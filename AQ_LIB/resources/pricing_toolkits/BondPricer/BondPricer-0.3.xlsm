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35" windowWidth="27795" windowHeight="13095"/>
  </bookViews>
  <sheets>
    <sheet name="US_TREASURY_TYPE1" sheetId="4" r:id="rId1"/>
    <sheet name="GERMAN_BUND_TYPE60" sheetId="6" r:id="rId2"/>
    <sheet name="JAPAN_JGB_TYPE51" sheetId="7" r:id="rId3"/>
    <sheet name="FRENCH_BTAN_TYPE89" sheetId="8" r:id="rId4"/>
    <sheet name="ITALIAN_BTPS_TYPE523" sheetId="5" r:id="rId5"/>
    <sheet name="AUSTRALIAN_GOVT_TYPE23" sheetId="9" r:id="rId6"/>
    <sheet name="UK_GILT_TYPE26" sheetId="13" r:id="rId7"/>
    <sheet name="BESPOKE BONDS" sheetId="10" r:id="rId8"/>
  </sheets>
  <definedNames>
    <definedName name="_xlnm._FilterDatabase" localSheetId="5" hidden="1">AUSTRALIAN_GOVT_TYPE23!$B$6:$AF$6</definedName>
    <definedName name="_xlnm._FilterDatabase" localSheetId="3" hidden="1">FRENCH_BTAN_TYPE89!$B$6:$AC$6</definedName>
    <definedName name="_xlnm._FilterDatabase" localSheetId="1" hidden="1">GERMAN_BUND_TYPE60!$B$6:$AB$6</definedName>
    <definedName name="_xlnm._FilterDatabase" localSheetId="4" hidden="1">ITALIAN_BTPS_TYPE523!$B$6:$AE$6</definedName>
    <definedName name="_xlnm._FilterDatabase" localSheetId="2" hidden="1">JAPAN_JGB_TYPE51!$B$6:$AJ$6</definedName>
    <definedName name="_xlnm._FilterDatabase" localSheetId="6" hidden="1">UK_GILT_TYPE26!$B$7:$AD$7</definedName>
    <definedName name="_xlnm._FilterDatabase" localSheetId="0" hidden="1">US_TREASURY_TYPE1!$B$6:$AD$6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L8" i="13" l="1"/>
  <c r="M31" i="13"/>
  <c r="M35" i="13"/>
  <c r="M25" i="13"/>
  <c r="M26" i="13"/>
  <c r="M18" i="13"/>
  <c r="M40" i="13"/>
  <c r="M23" i="13"/>
  <c r="M27" i="13"/>
  <c r="M34" i="13"/>
  <c r="M19" i="13"/>
  <c r="M22" i="13"/>
  <c r="M21" i="13"/>
  <c r="M30" i="13"/>
  <c r="M20" i="13"/>
  <c r="M8" i="13"/>
  <c r="M29" i="13"/>
  <c r="L19" i="13"/>
  <c r="M28" i="13"/>
  <c r="L27" i="13"/>
  <c r="L23" i="13"/>
  <c r="M36" i="13"/>
  <c r="L21" i="13"/>
  <c r="L38" i="13"/>
  <c r="L35" i="13"/>
  <c r="L29" i="13"/>
  <c r="L28" i="13"/>
  <c r="L36" i="13"/>
  <c r="L30" i="13"/>
  <c r="M14" i="13"/>
  <c r="L25" i="13"/>
  <c r="L22" i="13"/>
  <c r="L26" i="13"/>
  <c r="L31" i="13"/>
  <c r="L18" i="13"/>
  <c r="L14" i="13"/>
  <c r="L20" i="13"/>
  <c r="L34" i="13"/>
  <c r="M38" i="13"/>
  <c r="L40" i="13"/>
  <c r="M12" i="13"/>
  <c r="M37" i="13"/>
  <c r="M13" i="13"/>
  <c r="M15" i="13"/>
  <c r="M33" i="13"/>
  <c r="M10" i="13"/>
  <c r="M41" i="13"/>
  <c r="M39" i="13"/>
  <c r="M24" i="13"/>
  <c r="L9" i="13"/>
  <c r="L16" i="13"/>
  <c r="L41" i="13"/>
  <c r="L37" i="13"/>
  <c r="L39" i="13"/>
  <c r="L17" i="13"/>
  <c r="L15" i="13"/>
  <c r="L33" i="13"/>
  <c r="L11" i="13"/>
  <c r="L24" i="13"/>
  <c r="L13" i="13"/>
  <c r="L12" i="13"/>
  <c r="S24" i="13" l="1"/>
  <c r="S39" i="13"/>
  <c r="S41" i="13"/>
  <c r="S33" i="13"/>
  <c r="S37" i="13"/>
  <c r="S38" i="13"/>
  <c r="S36" i="13"/>
  <c r="S28" i="13"/>
  <c r="S29" i="13"/>
  <c r="S20" i="13"/>
  <c r="S30" i="13"/>
  <c r="S21" i="13"/>
  <c r="S22" i="13"/>
  <c r="S19" i="13"/>
  <c r="S34" i="13"/>
  <c r="S27" i="13"/>
  <c r="S23" i="13"/>
  <c r="S40" i="13"/>
  <c r="S18" i="13"/>
  <c r="S26" i="13"/>
  <c r="S25" i="13"/>
  <c r="S35" i="13"/>
  <c r="S31" i="13"/>
  <c r="S8" i="13"/>
  <c r="S15" i="13"/>
  <c r="S10" i="13"/>
  <c r="S13" i="13"/>
  <c r="S12" i="13"/>
  <c r="S14" i="13"/>
  <c r="AB22" i="13" l="1"/>
  <c r="T26" i="13"/>
  <c r="X35" i="13"/>
  <c r="X19" i="13"/>
  <c r="T38" i="13"/>
  <c r="X37" i="13"/>
  <c r="T28" i="13"/>
  <c r="X18" i="13"/>
  <c r="X41" i="13"/>
  <c r="X27" i="13"/>
  <c r="X33" i="13"/>
  <c r="AB40" i="13"/>
  <c r="T20" i="13"/>
  <c r="X39" i="13"/>
  <c r="T24" i="13"/>
  <c r="AB30" i="13"/>
  <c r="AB36" i="13"/>
  <c r="AB19" i="13"/>
  <c r="X30" i="13"/>
  <c r="X24" i="13"/>
  <c r="T34" i="13"/>
  <c r="X25" i="13"/>
  <c r="T22" i="13"/>
  <c r="AB28" i="13"/>
  <c r="X21" i="13"/>
  <c r="T30" i="13"/>
  <c r="X31" i="13"/>
  <c r="T40" i="13"/>
  <c r="AB20" i="13"/>
  <c r="T36" i="13"/>
  <c r="X23" i="13"/>
  <c r="X29" i="13"/>
  <c r="AB24" i="13"/>
  <c r="AB34" i="13"/>
  <c r="AB38" i="13"/>
  <c r="X38" i="13"/>
  <c r="X28" i="13"/>
  <c r="X40" i="13"/>
  <c r="X36" i="13"/>
  <c r="X26" i="13"/>
  <c r="T35" i="13"/>
  <c r="T37" i="13"/>
  <c r="T21" i="13"/>
  <c r="T18" i="13"/>
  <c r="T41" i="13"/>
  <c r="T27" i="13"/>
  <c r="T31" i="13"/>
  <c r="T33" i="13"/>
  <c r="T39" i="13"/>
  <c r="AB26" i="13"/>
  <c r="T23" i="13"/>
  <c r="T29" i="13"/>
  <c r="AB35" i="13"/>
  <c r="T19" i="13"/>
  <c r="T25" i="13"/>
  <c r="AB37" i="13"/>
  <c r="AB21" i="13"/>
  <c r="AB18" i="13"/>
  <c r="AB41" i="13"/>
  <c r="AB27" i="13"/>
  <c r="AB31" i="13"/>
  <c r="AB33" i="13"/>
  <c r="AB39" i="13"/>
  <c r="AB23" i="13"/>
  <c r="AB29" i="13"/>
  <c r="X34" i="13"/>
  <c r="AB25" i="13"/>
  <c r="X20" i="13"/>
  <c r="X22" i="13"/>
  <c r="T14" i="13"/>
  <c r="T10" i="13"/>
  <c r="AB15" i="13"/>
  <c r="T12" i="13"/>
  <c r="T13" i="13"/>
  <c r="T8" i="13"/>
  <c r="X10" i="13"/>
  <c r="X15" i="13"/>
  <c r="AB10" i="13"/>
  <c r="AB12" i="13"/>
  <c r="AB13" i="13"/>
  <c r="AB8" i="13"/>
  <c r="T15" i="13"/>
  <c r="X14" i="13"/>
  <c r="X13" i="13"/>
  <c r="X8" i="13"/>
  <c r="AB14" i="13"/>
  <c r="X12" i="13"/>
  <c r="B4" i="13" l="1"/>
  <c r="C4" i="13"/>
  <c r="M16" i="13"/>
  <c r="M17" i="13"/>
  <c r="M11" i="13"/>
  <c r="M32" i="13"/>
  <c r="M9" i="13"/>
  <c r="O13" i="13"/>
  <c r="Q13" i="13"/>
  <c r="O12" i="13"/>
  <c r="N13" i="13"/>
  <c r="R33" i="13"/>
  <c r="O41" i="13"/>
  <c r="Q41" i="13"/>
  <c r="N33" i="13"/>
  <c r="N12" i="13"/>
  <c r="N41" i="13"/>
  <c r="N24" i="13"/>
  <c r="N37" i="13"/>
  <c r="Q15" i="13"/>
  <c r="N39" i="13"/>
  <c r="O24" i="13"/>
  <c r="Q33" i="13"/>
  <c r="R12" i="13"/>
  <c r="R41" i="13"/>
  <c r="R13" i="13"/>
  <c r="Q39" i="13"/>
  <c r="O37" i="13"/>
  <c r="N15" i="13"/>
  <c r="R39" i="13"/>
  <c r="Q24" i="13"/>
  <c r="Q12" i="13"/>
  <c r="O33" i="13"/>
  <c r="R37" i="13"/>
  <c r="O15" i="13"/>
  <c r="Q37" i="13"/>
  <c r="R15" i="13"/>
  <c r="O39" i="13"/>
  <c r="R24" i="13"/>
  <c r="P12" i="13"/>
  <c r="P13" i="13"/>
  <c r="P24" i="13"/>
  <c r="P33" i="13"/>
  <c r="P15" i="13"/>
  <c r="P39" i="13"/>
  <c r="P37" i="13"/>
  <c r="P41" i="13"/>
  <c r="AA8" i="13"/>
  <c r="AA13" i="13"/>
  <c r="AA12" i="13"/>
  <c r="AA14" i="13"/>
  <c r="U8" i="13"/>
  <c r="U13" i="13"/>
  <c r="U15" i="13"/>
  <c r="AD13" i="13"/>
  <c r="AD12" i="13"/>
  <c r="U14" i="13"/>
  <c r="AD15" i="13"/>
  <c r="U12" i="13"/>
  <c r="W8" i="13"/>
  <c r="W12" i="13"/>
  <c r="AD8" i="13"/>
  <c r="Z14" i="13"/>
  <c r="W13" i="13"/>
  <c r="W15" i="13"/>
  <c r="W14" i="13"/>
  <c r="AA15" i="13"/>
  <c r="Z12" i="13"/>
  <c r="Z8" i="13"/>
  <c r="AD14" i="13"/>
  <c r="Z13" i="13"/>
  <c r="Z15" i="13"/>
  <c r="R35" i="13"/>
  <c r="Q34" i="13"/>
  <c r="O22" i="13"/>
  <c r="N30" i="13"/>
  <c r="Q14" i="13"/>
  <c r="N35" i="13"/>
  <c r="Q26" i="13"/>
  <c r="R40" i="13"/>
  <c r="R34" i="13"/>
  <c r="N22" i="13"/>
  <c r="O30" i="13"/>
  <c r="N8" i="13"/>
  <c r="N28" i="13"/>
  <c r="R14" i="13"/>
  <c r="O35" i="13"/>
  <c r="N26" i="13"/>
  <c r="N40" i="13"/>
  <c r="N34" i="13"/>
  <c r="Q22" i="13"/>
  <c r="Q30" i="13"/>
  <c r="R8" i="13"/>
  <c r="O28" i="13"/>
  <c r="N14" i="13"/>
  <c r="O40" i="13"/>
  <c r="Q28" i="13"/>
  <c r="Q35" i="13"/>
  <c r="O34" i="13"/>
  <c r="R30" i="13"/>
  <c r="O25" i="13"/>
  <c r="Q23" i="13"/>
  <c r="O21" i="13"/>
  <c r="Q38" i="13"/>
  <c r="N31" i="13"/>
  <c r="Q25" i="13"/>
  <c r="O18" i="13"/>
  <c r="N23" i="13"/>
  <c r="Q27" i="13"/>
  <c r="Q19" i="13"/>
  <c r="Q21" i="13"/>
  <c r="R20" i="13"/>
  <c r="Q29" i="13"/>
  <c r="O36" i="13"/>
  <c r="R38" i="13"/>
  <c r="R26" i="13"/>
  <c r="Q8" i="13"/>
  <c r="O26" i="13"/>
  <c r="R28" i="13"/>
  <c r="O27" i="13"/>
  <c r="N20" i="13"/>
  <c r="Q31" i="13"/>
  <c r="R25" i="13"/>
  <c r="R18" i="13"/>
  <c r="O23" i="13"/>
  <c r="R27" i="13"/>
  <c r="N19" i="13"/>
  <c r="N21" i="13"/>
  <c r="O20" i="13"/>
  <c r="R29" i="13"/>
  <c r="Q36" i="13"/>
  <c r="N38" i="13"/>
  <c r="Q40" i="13"/>
  <c r="R22" i="13"/>
  <c r="O8" i="13"/>
  <c r="O14" i="13"/>
  <c r="O31" i="13"/>
  <c r="N18" i="13"/>
  <c r="R19" i="13"/>
  <c r="O29" i="13"/>
  <c r="N36" i="13"/>
  <c r="R31" i="13"/>
  <c r="N25" i="13"/>
  <c r="Q18" i="13"/>
  <c r="R23" i="13"/>
  <c r="N27" i="13"/>
  <c r="O19" i="13"/>
  <c r="R21" i="13"/>
  <c r="Q20" i="13"/>
  <c r="N29" i="13"/>
  <c r="R36" i="13"/>
  <c r="O38" i="13"/>
  <c r="P40" i="13"/>
  <c r="P8" i="13"/>
  <c r="P34" i="13"/>
  <c r="P20" i="13"/>
  <c r="P14" i="13"/>
  <c r="P30" i="13"/>
  <c r="P18" i="13"/>
  <c r="P21" i="13"/>
  <c r="P31" i="13"/>
  <c r="P26" i="13"/>
  <c r="P22" i="13"/>
  <c r="P25" i="13"/>
  <c r="P36" i="13"/>
  <c r="P28" i="13"/>
  <c r="P29" i="13"/>
  <c r="P35" i="13"/>
  <c r="P38" i="13"/>
  <c r="P23" i="13"/>
  <c r="P27" i="13"/>
  <c r="P19" i="13"/>
  <c r="AD23" i="13"/>
  <c r="Z20" i="13"/>
  <c r="AD27" i="13"/>
  <c r="AD21" i="13"/>
  <c r="AD35" i="13"/>
  <c r="U23" i="13"/>
  <c r="U27" i="13"/>
  <c r="U21" i="13"/>
  <c r="W24" i="13"/>
  <c r="AD26" i="13"/>
  <c r="W36" i="13"/>
  <c r="W20" i="13"/>
  <c r="AD40" i="13"/>
  <c r="AD30" i="13"/>
  <c r="W28" i="13"/>
  <c r="U22" i="13"/>
  <c r="AD38" i="13"/>
  <c r="W34" i="13"/>
  <c r="AD24" i="13"/>
  <c r="U36" i="13"/>
  <c r="AD20" i="13"/>
  <c r="U40" i="13"/>
  <c r="U30" i="13"/>
  <c r="AD28" i="13"/>
  <c r="Z22" i="13"/>
  <c r="AD25" i="13"/>
  <c r="U38" i="13"/>
  <c r="AD19" i="13"/>
  <c r="U34" i="13"/>
  <c r="AD29" i="13"/>
  <c r="Z40" i="13"/>
  <c r="AD41" i="13"/>
  <c r="AD37" i="13"/>
  <c r="U19" i="13"/>
  <c r="U29" i="13"/>
  <c r="U41" i="13"/>
  <c r="AA29" i="13"/>
  <c r="AA39" i="13"/>
  <c r="AA33" i="13"/>
  <c r="AA41" i="13"/>
  <c r="Z21" i="13"/>
  <c r="AA37" i="13"/>
  <c r="Z26" i="13"/>
  <c r="Z39" i="13"/>
  <c r="Z33" i="13"/>
  <c r="AA27" i="13"/>
  <c r="Z41" i="13"/>
  <c r="AA18" i="13"/>
  <c r="Z37" i="13"/>
  <c r="W38" i="13"/>
  <c r="AA19" i="13"/>
  <c r="AA35" i="13"/>
  <c r="AD39" i="13"/>
  <c r="AD31" i="13"/>
  <c r="AD18" i="13"/>
  <c r="U25" i="13"/>
  <c r="Z34" i="13"/>
  <c r="U26" i="13"/>
  <c r="U33" i="13"/>
  <c r="W22" i="13"/>
  <c r="Z23" i="13"/>
  <c r="W40" i="13"/>
  <c r="Z27" i="13"/>
  <c r="U28" i="13"/>
  <c r="AA25" i="13"/>
  <c r="Z35" i="13"/>
  <c r="Z29" i="13"/>
  <c r="AA23" i="13"/>
  <c r="W26" i="13"/>
  <c r="AD36" i="13"/>
  <c r="Z31" i="13"/>
  <c r="W30" i="13"/>
  <c r="AA21" i="13"/>
  <c r="AD22" i="13"/>
  <c r="Z25" i="13"/>
  <c r="AD34" i="13"/>
  <c r="Z36" i="13"/>
  <c r="AD33" i="13"/>
  <c r="Z30" i="13"/>
  <c r="Z28" i="13"/>
  <c r="Z38" i="13"/>
  <c r="Z24" i="13"/>
  <c r="U39" i="13"/>
  <c r="U31" i="13"/>
  <c r="U18" i="13"/>
  <c r="U37" i="13"/>
  <c r="U35" i="13"/>
  <c r="U24" i="13"/>
  <c r="U20" i="13"/>
  <c r="AA31" i="13"/>
  <c r="Z18" i="13"/>
  <c r="Z19" i="13"/>
  <c r="AA24" i="13"/>
  <c r="W29" i="13"/>
  <c r="W23" i="13"/>
  <c r="AA26" i="13"/>
  <c r="AA36" i="13"/>
  <c r="W39" i="13"/>
  <c r="AA20" i="13"/>
  <c r="AA40" i="13"/>
  <c r="W33" i="13"/>
  <c r="W31" i="13"/>
  <c r="W27" i="13"/>
  <c r="W41" i="13"/>
  <c r="AA30" i="13"/>
  <c r="W18" i="13"/>
  <c r="W21" i="13"/>
  <c r="AA28" i="13"/>
  <c r="W37" i="13"/>
  <c r="AA22" i="13"/>
  <c r="W25" i="13"/>
  <c r="AA38" i="13"/>
  <c r="W19" i="13"/>
  <c r="W35" i="13"/>
  <c r="AA34" i="13"/>
  <c r="AC34" i="13" l="1"/>
  <c r="Y35" i="13"/>
  <c r="Y19" i="13"/>
  <c r="AC38" i="13"/>
  <c r="Y25" i="13"/>
  <c r="AC22" i="13"/>
  <c r="Y37" i="13"/>
  <c r="AC28" i="13"/>
  <c r="Y21" i="13"/>
  <c r="Y18" i="13"/>
  <c r="AC30" i="13"/>
  <c r="Y41" i="13"/>
  <c r="Y27" i="13"/>
  <c r="Y31" i="13"/>
  <c r="Y33" i="13"/>
  <c r="AC40" i="13"/>
  <c r="AC20" i="13"/>
  <c r="Y39" i="13"/>
  <c r="AC36" i="13"/>
  <c r="AC26" i="13"/>
  <c r="Y23" i="13"/>
  <c r="Y29" i="13"/>
  <c r="AC24" i="13"/>
  <c r="AC31" i="13"/>
  <c r="V20" i="13"/>
  <c r="V24" i="13"/>
  <c r="V35" i="13"/>
  <c r="V37" i="13"/>
  <c r="V18" i="13"/>
  <c r="V31" i="13"/>
  <c r="V39" i="13"/>
  <c r="AC21" i="13"/>
  <c r="Y30" i="13"/>
  <c r="Y26" i="13"/>
  <c r="AC23" i="13"/>
  <c r="AC25" i="13"/>
  <c r="V28" i="13"/>
  <c r="Y40" i="13"/>
  <c r="Y22" i="13"/>
  <c r="V33" i="13"/>
  <c r="V26" i="13"/>
  <c r="V25" i="13"/>
  <c r="AC35" i="13"/>
  <c r="AC19" i="13"/>
  <c r="Y38" i="13"/>
  <c r="AC18" i="13"/>
  <c r="AC27" i="13"/>
  <c r="AC37" i="13"/>
  <c r="AC41" i="13"/>
  <c r="AC33" i="13"/>
  <c r="AC39" i="13"/>
  <c r="AC29" i="13"/>
  <c r="V41" i="13"/>
  <c r="V29" i="13"/>
  <c r="V19" i="13"/>
  <c r="V34" i="13"/>
  <c r="V38" i="13"/>
  <c r="V30" i="13"/>
  <c r="V40" i="13"/>
  <c r="V36" i="13"/>
  <c r="Y34" i="13"/>
  <c r="V22" i="13"/>
  <c r="Y28" i="13"/>
  <c r="Y20" i="13"/>
  <c r="Y36" i="13"/>
  <c r="Y24" i="13"/>
  <c r="V21" i="13"/>
  <c r="V27" i="13"/>
  <c r="V23" i="13"/>
  <c r="S32" i="13"/>
  <c r="S17" i="13"/>
  <c r="S16" i="13"/>
  <c r="S9" i="13"/>
  <c r="S11" i="13"/>
  <c r="AC15" i="13"/>
  <c r="Y14" i="13"/>
  <c r="Y15" i="13"/>
  <c r="Y13" i="13"/>
  <c r="Y12" i="13"/>
  <c r="Y8" i="13"/>
  <c r="V12" i="13"/>
  <c r="V14" i="13"/>
  <c r="V15" i="13"/>
  <c r="V13" i="13"/>
  <c r="V8" i="13"/>
  <c r="AC14" i="13"/>
  <c r="AC12" i="13"/>
  <c r="AC13" i="13"/>
  <c r="AC8" i="13"/>
  <c r="C18" i="10"/>
  <c r="C29" i="10"/>
  <c r="C28" i="10"/>
  <c r="C27" i="10"/>
  <c r="C26" i="10"/>
  <c r="C16" i="10"/>
  <c r="C7" i="10"/>
  <c r="AD16" i="13"/>
  <c r="AB16" i="13"/>
  <c r="AA16" i="13"/>
  <c r="Z16" i="13"/>
  <c r="X16" i="13"/>
  <c r="W16" i="13"/>
  <c r="U16" i="13"/>
  <c r="T16" i="13"/>
  <c r="AD9" i="13"/>
  <c r="AA9" i="13"/>
  <c r="Z9" i="13"/>
  <c r="U9" i="13"/>
  <c r="W9" i="13"/>
  <c r="X9" i="13"/>
  <c r="AB9" i="13"/>
  <c r="T9" i="13"/>
  <c r="X11" i="13"/>
  <c r="AB11" i="13"/>
  <c r="T11" i="13"/>
  <c r="N9" i="13"/>
  <c r="Q11" i="13"/>
  <c r="R16" i="13"/>
  <c r="R11" i="13"/>
  <c r="N16" i="13"/>
  <c r="P16" i="13" s="1"/>
  <c r="R9" i="13"/>
  <c r="O17" i="13"/>
  <c r="Q9" i="13"/>
  <c r="N17" i="13"/>
  <c r="P17" i="13" s="1"/>
  <c r="Q16" i="13"/>
  <c r="N11" i="13"/>
  <c r="P11" i="13" s="1"/>
  <c r="P9" i="13"/>
  <c r="R17" i="13"/>
  <c r="Q17" i="13"/>
  <c r="O16" i="13"/>
  <c r="O11" i="13"/>
  <c r="O9" i="13"/>
  <c r="C4" i="10"/>
  <c r="C40" i="10"/>
  <c r="C46" i="10"/>
  <c r="C39" i="10"/>
  <c r="C42" i="10"/>
  <c r="C43" i="10"/>
  <c r="C45" i="10"/>
  <c r="C44" i="10"/>
  <c r="C41" i="10"/>
  <c r="E3" i="10" a="1"/>
  <c r="V16" i="13" l="1"/>
  <c r="Y16" i="13"/>
  <c r="AC16" i="13"/>
  <c r="AC9" i="13"/>
  <c r="Y9" i="13"/>
  <c r="V9" i="13"/>
  <c r="L3" i="10"/>
  <c r="T3" i="10"/>
  <c r="L4" i="10"/>
  <c r="T4" i="10"/>
  <c r="L5" i="10"/>
  <c r="T5" i="10"/>
  <c r="L6" i="10"/>
  <c r="T6" i="10"/>
  <c r="L7" i="10"/>
  <c r="T7" i="10"/>
  <c r="L8" i="10"/>
  <c r="T8" i="10"/>
  <c r="L9" i="10"/>
  <c r="T9" i="10"/>
  <c r="L10" i="10"/>
  <c r="T10" i="10"/>
  <c r="L11" i="10"/>
  <c r="T11" i="10"/>
  <c r="L12" i="10"/>
  <c r="T12" i="10"/>
  <c r="L13" i="10"/>
  <c r="T13" i="10"/>
  <c r="L14" i="10"/>
  <c r="T14" i="10"/>
  <c r="L15" i="10"/>
  <c r="T15" i="10"/>
  <c r="L16" i="10"/>
  <c r="T16" i="10"/>
  <c r="L17" i="10"/>
  <c r="T17" i="10"/>
  <c r="L18" i="10"/>
  <c r="T18" i="10"/>
  <c r="L19" i="10"/>
  <c r="T19" i="10"/>
  <c r="L20" i="10"/>
  <c r="T20" i="10"/>
  <c r="L21" i="10"/>
  <c r="T21" i="10"/>
  <c r="L22" i="10"/>
  <c r="T22" i="10"/>
  <c r="L23" i="10"/>
  <c r="T23" i="10"/>
  <c r="L24" i="10"/>
  <c r="T24" i="10"/>
  <c r="L25" i="10"/>
  <c r="T25" i="10"/>
  <c r="L26" i="10"/>
  <c r="T26" i="10"/>
  <c r="L27" i="10"/>
  <c r="T27" i="10"/>
  <c r="L28" i="10"/>
  <c r="T28" i="10"/>
  <c r="L29" i="10"/>
  <c r="T29" i="10"/>
  <c r="L30" i="10"/>
  <c r="T30" i="10"/>
  <c r="L31" i="10"/>
  <c r="T31" i="10"/>
  <c r="L32" i="10"/>
  <c r="T32" i="10"/>
  <c r="L33" i="10"/>
  <c r="T33" i="10"/>
  <c r="L34" i="10"/>
  <c r="T34" i="10"/>
  <c r="L35" i="10"/>
  <c r="T35" i="10"/>
  <c r="L36" i="10"/>
  <c r="T36" i="10"/>
  <c r="L37" i="10"/>
  <c r="T37" i="10"/>
  <c r="L38" i="10"/>
  <c r="T38" i="10"/>
  <c r="L39" i="10"/>
  <c r="T39" i="10"/>
  <c r="L40" i="10"/>
  <c r="T40" i="10"/>
  <c r="L41" i="10"/>
  <c r="T41" i="10"/>
  <c r="L42" i="10"/>
  <c r="T42" i="10"/>
  <c r="L43" i="10"/>
  <c r="T43" i="10"/>
  <c r="L44" i="10"/>
  <c r="T44" i="10"/>
  <c r="E3" i="10"/>
  <c r="M3" i="10"/>
  <c r="E4" i="10"/>
  <c r="M4" i="10"/>
  <c r="E5" i="10"/>
  <c r="M5" i="10"/>
  <c r="E6" i="10"/>
  <c r="M6" i="10"/>
  <c r="E7" i="10"/>
  <c r="M7" i="10"/>
  <c r="E8" i="10"/>
  <c r="M8" i="10"/>
  <c r="E9" i="10"/>
  <c r="M9" i="10"/>
  <c r="E10" i="10"/>
  <c r="M10" i="10"/>
  <c r="E11" i="10"/>
  <c r="M11" i="10"/>
  <c r="E12" i="10"/>
  <c r="M12" i="10"/>
  <c r="E13" i="10"/>
  <c r="M13" i="10"/>
  <c r="E14" i="10"/>
  <c r="M14" i="10"/>
  <c r="E15" i="10"/>
  <c r="M15" i="10"/>
  <c r="E16" i="10"/>
  <c r="M16" i="10"/>
  <c r="E17" i="10"/>
  <c r="M17" i="10"/>
  <c r="E18" i="10"/>
  <c r="M18" i="10"/>
  <c r="E19" i="10"/>
  <c r="M19" i="10"/>
  <c r="E20" i="10"/>
  <c r="M20" i="10"/>
  <c r="E21" i="10"/>
  <c r="M21" i="10"/>
  <c r="E22" i="10"/>
  <c r="M22" i="10"/>
  <c r="E23" i="10"/>
  <c r="M23" i="10"/>
  <c r="E24" i="10"/>
  <c r="M24" i="10"/>
  <c r="E25" i="10"/>
  <c r="M25" i="10"/>
  <c r="E26" i="10"/>
  <c r="M26" i="10"/>
  <c r="E27" i="10"/>
  <c r="M27" i="10"/>
  <c r="E28" i="10"/>
  <c r="M28" i="10"/>
  <c r="E29" i="10"/>
  <c r="M29" i="10"/>
  <c r="E30" i="10"/>
  <c r="M30" i="10"/>
  <c r="E31" i="10"/>
  <c r="M31" i="10"/>
  <c r="E32" i="10"/>
  <c r="M32" i="10"/>
  <c r="E33" i="10"/>
  <c r="M33" i="10"/>
  <c r="E34" i="10"/>
  <c r="M34" i="10"/>
  <c r="E35" i="10"/>
  <c r="M35" i="10"/>
  <c r="E36" i="10"/>
  <c r="M36" i="10"/>
  <c r="E37" i="10"/>
  <c r="M37" i="10"/>
  <c r="E38" i="10"/>
  <c r="M38" i="10"/>
  <c r="E39" i="10"/>
  <c r="M39" i="10"/>
  <c r="E40" i="10"/>
  <c r="M40" i="10"/>
  <c r="E41" i="10"/>
  <c r="M41" i="10"/>
  <c r="E42" i="10"/>
  <c r="M42" i="10"/>
  <c r="E43" i="10"/>
  <c r="M43" i="10"/>
  <c r="E44" i="10"/>
  <c r="F3" i="10"/>
  <c r="N3" i="10"/>
  <c r="F4" i="10"/>
  <c r="N4" i="10"/>
  <c r="F5" i="10"/>
  <c r="N5" i="10"/>
  <c r="F6" i="10"/>
  <c r="N6" i="10"/>
  <c r="F7" i="10"/>
  <c r="N7" i="10"/>
  <c r="F8" i="10"/>
  <c r="N8" i="10"/>
  <c r="F9" i="10"/>
  <c r="N9" i="10"/>
  <c r="F10" i="10"/>
  <c r="N10" i="10"/>
  <c r="F11" i="10"/>
  <c r="N11" i="10"/>
  <c r="F12" i="10"/>
  <c r="N12" i="10"/>
  <c r="F13" i="10"/>
  <c r="N13" i="10"/>
  <c r="F14" i="10"/>
  <c r="N14" i="10"/>
  <c r="F15" i="10"/>
  <c r="I3" i="10"/>
  <c r="Q3" i="10"/>
  <c r="I4" i="10"/>
  <c r="Q4" i="10"/>
  <c r="I5" i="10"/>
  <c r="Q5" i="10"/>
  <c r="I6" i="10"/>
  <c r="Q6" i="10"/>
  <c r="I7" i="10"/>
  <c r="Q7" i="10"/>
  <c r="I8" i="10"/>
  <c r="Q8" i="10"/>
  <c r="I9" i="10"/>
  <c r="Q9" i="10"/>
  <c r="I10" i="10"/>
  <c r="Q10" i="10"/>
  <c r="I11" i="10"/>
  <c r="Q11" i="10"/>
  <c r="I12" i="10"/>
  <c r="Q12" i="10"/>
  <c r="I13" i="10"/>
  <c r="Q13" i="10"/>
  <c r="I14" i="10"/>
  <c r="Q14" i="10"/>
  <c r="I15" i="10"/>
  <c r="Q15" i="10"/>
  <c r="I16" i="10"/>
  <c r="Q16" i="10"/>
  <c r="I17" i="10"/>
  <c r="Q17" i="10"/>
  <c r="I18" i="10"/>
  <c r="Q18" i="10"/>
  <c r="I19" i="10"/>
  <c r="Q19" i="10"/>
  <c r="I20" i="10"/>
  <c r="Q20" i="10"/>
  <c r="I21" i="10"/>
  <c r="Q21" i="10"/>
  <c r="I22" i="10"/>
  <c r="Q22" i="10"/>
  <c r="I23" i="10"/>
  <c r="Q23" i="10"/>
  <c r="I24" i="10"/>
  <c r="Q24" i="10"/>
  <c r="I25" i="10"/>
  <c r="Q25" i="10"/>
  <c r="I26" i="10"/>
  <c r="Q26" i="10"/>
  <c r="I27" i="10"/>
  <c r="Q27" i="10"/>
  <c r="I28" i="10"/>
  <c r="Q28" i="10"/>
  <c r="I29" i="10"/>
  <c r="Q29" i="10"/>
  <c r="I30" i="10"/>
  <c r="Q30" i="10"/>
  <c r="I31" i="10"/>
  <c r="Q31" i="10"/>
  <c r="I32" i="10"/>
  <c r="Q32" i="10"/>
  <c r="I33" i="10"/>
  <c r="Q33" i="10"/>
  <c r="I34" i="10"/>
  <c r="Q34" i="10"/>
  <c r="I35" i="10"/>
  <c r="Q35" i="10"/>
  <c r="I36" i="10"/>
  <c r="Q36" i="10"/>
  <c r="I37" i="10"/>
  <c r="Q37" i="10"/>
  <c r="I38" i="10"/>
  <c r="Q38" i="10"/>
  <c r="I39" i="10"/>
  <c r="Q39" i="10"/>
  <c r="I40" i="10"/>
  <c r="Q40" i="10"/>
  <c r="I41" i="10"/>
  <c r="Q41" i="10"/>
  <c r="I42" i="10"/>
  <c r="Q42" i="10"/>
  <c r="I43" i="10"/>
  <c r="Q43" i="10"/>
  <c r="I44" i="10"/>
  <c r="Q44" i="10"/>
  <c r="I45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S15" i="10"/>
  <c r="P16" i="10"/>
  <c r="N17" i="10"/>
  <c r="J18" i="10"/>
  <c r="G19" i="10"/>
  <c r="S19" i="10"/>
  <c r="P20" i="10"/>
  <c r="N21" i="10"/>
  <c r="J22" i="10"/>
  <c r="G23" i="10"/>
  <c r="S23" i="10"/>
  <c r="P24" i="10"/>
  <c r="N25" i="10"/>
  <c r="J26" i="10"/>
  <c r="G27" i="10"/>
  <c r="S27" i="10"/>
  <c r="P28" i="10"/>
  <c r="N29" i="10"/>
  <c r="J30" i="10"/>
  <c r="G31" i="10"/>
  <c r="S31" i="10"/>
  <c r="P32" i="10"/>
  <c r="N33" i="10"/>
  <c r="J34" i="10"/>
  <c r="G35" i="10"/>
  <c r="S35" i="10"/>
  <c r="P36" i="10"/>
  <c r="N37" i="10"/>
  <c r="J38" i="10"/>
  <c r="G39" i="10"/>
  <c r="S39" i="10"/>
  <c r="P40" i="10"/>
  <c r="N41" i="10"/>
  <c r="J42" i="10"/>
  <c r="G43" i="10"/>
  <c r="S43" i="10"/>
  <c r="O44" i="10"/>
  <c r="J45" i="10"/>
  <c r="R45" i="10"/>
  <c r="J46" i="10"/>
  <c r="R46" i="10"/>
  <c r="L45" i="10"/>
  <c r="L46" i="10"/>
  <c r="T46" i="10"/>
  <c r="K3" i="10"/>
  <c r="K5" i="10"/>
  <c r="K6" i="10"/>
  <c r="K7" i="10"/>
  <c r="K8" i="10"/>
  <c r="K9" i="10"/>
  <c r="K10" i="10"/>
  <c r="K12" i="10"/>
  <c r="K13" i="10"/>
  <c r="K15" i="10"/>
  <c r="F17" i="10"/>
  <c r="O18" i="10"/>
  <c r="H20" i="10"/>
  <c r="R21" i="10"/>
  <c r="K23" i="10"/>
  <c r="F25" i="10"/>
  <c r="O26" i="10"/>
  <c r="K27" i="10"/>
  <c r="F29" i="10"/>
  <c r="O30" i="10"/>
  <c r="H32" i="10"/>
  <c r="R33" i="10"/>
  <c r="K35" i="10"/>
  <c r="F37" i="10"/>
  <c r="O38" i="10"/>
  <c r="H40" i="10"/>
  <c r="R41" i="10"/>
  <c r="K43" i="10"/>
  <c r="S44" i="10"/>
  <c r="E46" i="10"/>
  <c r="M46" i="10"/>
  <c r="O6" i="10"/>
  <c r="O14" i="10"/>
  <c r="S17" i="10"/>
  <c r="J20" i="10"/>
  <c r="P22" i="10"/>
  <c r="G25" i="10"/>
  <c r="N27" i="10"/>
  <c r="N31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F16" i="10"/>
  <c r="R16" i="10"/>
  <c r="O17" i="10"/>
  <c r="K18" i="10"/>
  <c r="H19" i="10"/>
  <c r="F20" i="10"/>
  <c r="R20" i="10"/>
  <c r="O21" i="10"/>
  <c r="K22" i="10"/>
  <c r="H23" i="10"/>
  <c r="F24" i="10"/>
  <c r="R24" i="10"/>
  <c r="O25" i="10"/>
  <c r="K26" i="10"/>
  <c r="H27" i="10"/>
  <c r="F28" i="10"/>
  <c r="R28" i="10"/>
  <c r="O29" i="10"/>
  <c r="K30" i="10"/>
  <c r="H31" i="10"/>
  <c r="F32" i="10"/>
  <c r="R32" i="10"/>
  <c r="O33" i="10"/>
  <c r="K34" i="10"/>
  <c r="H35" i="10"/>
  <c r="F36" i="10"/>
  <c r="R36" i="10"/>
  <c r="O37" i="10"/>
  <c r="K38" i="10"/>
  <c r="H39" i="10"/>
  <c r="F40" i="10"/>
  <c r="R40" i="10"/>
  <c r="O41" i="10"/>
  <c r="K42" i="10"/>
  <c r="H43" i="10"/>
  <c r="F44" i="10"/>
  <c r="P44" i="10"/>
  <c r="K45" i="10"/>
  <c r="S45" i="10"/>
  <c r="K46" i="10"/>
  <c r="S46" i="10"/>
  <c r="K4" i="10"/>
  <c r="K11" i="10"/>
  <c r="K14" i="10"/>
  <c r="H16" i="10"/>
  <c r="R17" i="10"/>
  <c r="K19" i="10"/>
  <c r="F21" i="10"/>
  <c r="O22" i="10"/>
  <c r="H24" i="10"/>
  <c r="R25" i="10"/>
  <c r="H28" i="10"/>
  <c r="R29" i="10"/>
  <c r="K31" i="10"/>
  <c r="F33" i="10"/>
  <c r="O34" i="10"/>
  <c r="H36" i="10"/>
  <c r="R37" i="10"/>
  <c r="K39" i="10"/>
  <c r="F41" i="10"/>
  <c r="O42" i="10"/>
  <c r="H44" i="10"/>
  <c r="M45" i="10"/>
  <c r="O4" i="10"/>
  <c r="O12" i="10"/>
  <c r="N15" i="10"/>
  <c r="P18" i="10"/>
  <c r="G21" i="10"/>
  <c r="J24" i="10"/>
  <c r="P26" i="10"/>
  <c r="S29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G16" i="10"/>
  <c r="S16" i="10"/>
  <c r="P17" i="10"/>
  <c r="N18" i="10"/>
  <c r="J19" i="10"/>
  <c r="G20" i="10"/>
  <c r="S20" i="10"/>
  <c r="P21" i="10"/>
  <c r="N22" i="10"/>
  <c r="J23" i="10"/>
  <c r="G24" i="10"/>
  <c r="S24" i="10"/>
  <c r="P25" i="10"/>
  <c r="N26" i="10"/>
  <c r="J27" i="10"/>
  <c r="G28" i="10"/>
  <c r="S28" i="10"/>
  <c r="P29" i="10"/>
  <c r="N30" i="10"/>
  <c r="J31" i="10"/>
  <c r="G32" i="10"/>
  <c r="S32" i="10"/>
  <c r="P33" i="10"/>
  <c r="N34" i="10"/>
  <c r="J35" i="10"/>
  <c r="G36" i="10"/>
  <c r="S36" i="10"/>
  <c r="P37" i="10"/>
  <c r="N38" i="10"/>
  <c r="J39" i="10"/>
  <c r="G40" i="10"/>
  <c r="S40" i="10"/>
  <c r="P41" i="10"/>
  <c r="N42" i="10"/>
  <c r="J43" i="10"/>
  <c r="G44" i="10"/>
  <c r="R44" i="10"/>
  <c r="T45" i="10"/>
  <c r="O3" i="10"/>
  <c r="O7" i="10"/>
  <c r="O8" i="10"/>
  <c r="O9" i="10"/>
  <c r="O10" i="10"/>
  <c r="O11" i="10"/>
  <c r="O13" i="10"/>
  <c r="J16" i="10"/>
  <c r="N19" i="10"/>
  <c r="N23" i="10"/>
  <c r="G29" i="10"/>
  <c r="S3" i="10"/>
  <c r="S4" i="10"/>
  <c r="S5" i="10"/>
  <c r="S6" i="10"/>
  <c r="S7" i="10"/>
  <c r="S8" i="10"/>
  <c r="S9" i="10"/>
  <c r="S10" i="10"/>
  <c r="S11" i="10"/>
  <c r="S12" i="10"/>
  <c r="S13" i="10"/>
  <c r="S14" i="10"/>
  <c r="R15" i="10"/>
  <c r="O16" i="10"/>
  <c r="K17" i="10"/>
  <c r="H18" i="10"/>
  <c r="F19" i="10"/>
  <c r="R19" i="10"/>
  <c r="O20" i="10"/>
  <c r="K21" i="10"/>
  <c r="H22" i="10"/>
  <c r="F23" i="10"/>
  <c r="R23" i="10"/>
  <c r="O24" i="10"/>
  <c r="K25" i="10"/>
  <c r="H26" i="10"/>
  <c r="F27" i="10"/>
  <c r="R27" i="10"/>
  <c r="O28" i="10"/>
  <c r="K29" i="10"/>
  <c r="H30" i="10"/>
  <c r="F31" i="10"/>
  <c r="R31" i="10"/>
  <c r="O32" i="10"/>
  <c r="K33" i="10"/>
  <c r="H34" i="10"/>
  <c r="F35" i="10"/>
  <c r="R35" i="10"/>
  <c r="O36" i="10"/>
  <c r="K37" i="10"/>
  <c r="H38" i="10"/>
  <c r="F39" i="10"/>
  <c r="R39" i="10"/>
  <c r="O40" i="10"/>
  <c r="K41" i="10"/>
  <c r="H42" i="10"/>
  <c r="F43" i="10"/>
  <c r="R43" i="10"/>
  <c r="N44" i="10"/>
  <c r="H45" i="10"/>
  <c r="Q45" i="10"/>
  <c r="I46" i="10"/>
  <c r="Q46" i="10"/>
  <c r="O5" i="10"/>
  <c r="G17" i="10"/>
  <c r="S21" i="10"/>
  <c r="S25" i="10"/>
  <c r="J28" i="10"/>
  <c r="P30" i="10"/>
  <c r="P3" i="10"/>
  <c r="P7" i="10"/>
  <c r="P11" i="10"/>
  <c r="O15" i="10"/>
  <c r="R18" i="10"/>
  <c r="F22" i="10"/>
  <c r="H25" i="10"/>
  <c r="K28" i="10"/>
  <c r="O31" i="10"/>
  <c r="S33" i="10"/>
  <c r="P35" i="10"/>
  <c r="F38" i="10"/>
  <c r="J40" i="10"/>
  <c r="G42" i="10"/>
  <c r="K44" i="10"/>
  <c r="F46" i="10"/>
  <c r="J25" i="10"/>
  <c r="P31" i="10"/>
  <c r="J36" i="10"/>
  <c r="G38" i="10"/>
  <c r="K40" i="10"/>
  <c r="M44" i="10"/>
  <c r="G46" i="10"/>
  <c r="R4" i="10"/>
  <c r="N16" i="10"/>
  <c r="S22" i="10"/>
  <c r="J29" i="10"/>
  <c r="N36" i="10"/>
  <c r="G41" i="10"/>
  <c r="F45" i="10"/>
  <c r="P13" i="10"/>
  <c r="K20" i="10"/>
  <c r="F30" i="10"/>
  <c r="G37" i="10"/>
  <c r="H41" i="10"/>
  <c r="O46" i="10"/>
  <c r="R5" i="10"/>
  <c r="P23" i="10"/>
  <c r="G30" i="10"/>
  <c r="N39" i="10"/>
  <c r="O43" i="10"/>
  <c r="P6" i="10"/>
  <c r="H21" i="10"/>
  <c r="R30" i="10"/>
  <c r="J37" i="10"/>
  <c r="P43" i="10"/>
  <c r="R3" i="10"/>
  <c r="R7" i="10"/>
  <c r="R11" i="10"/>
  <c r="P15" i="10"/>
  <c r="S18" i="10"/>
  <c r="G22" i="10"/>
  <c r="N28" i="10"/>
  <c r="F34" i="10"/>
  <c r="P42" i="10"/>
  <c r="R8" i="10"/>
  <c r="P19" i="10"/>
  <c r="G26" i="10"/>
  <c r="P34" i="10"/>
  <c r="R38" i="10"/>
  <c r="N46" i="10"/>
  <c r="P5" i="10"/>
  <c r="H17" i="10"/>
  <c r="R26" i="10"/>
  <c r="N32" i="10"/>
  <c r="S38" i="10"/>
  <c r="N43" i="10"/>
  <c r="R9" i="10"/>
  <c r="N20" i="10"/>
  <c r="S26" i="10"/>
  <c r="S34" i="10"/>
  <c r="J41" i="10"/>
  <c r="P46" i="10"/>
  <c r="F18" i="10"/>
  <c r="K24" i="10"/>
  <c r="N35" i="10"/>
  <c r="S41" i="10"/>
  <c r="P4" i="10"/>
  <c r="P8" i="10"/>
  <c r="P12" i="10"/>
  <c r="K16" i="10"/>
  <c r="O19" i="10"/>
  <c r="R22" i="10"/>
  <c r="F26" i="10"/>
  <c r="H29" i="10"/>
  <c r="J32" i="10"/>
  <c r="G34" i="10"/>
  <c r="K36" i="10"/>
  <c r="P38" i="10"/>
  <c r="N40" i="10"/>
  <c r="R42" i="10"/>
  <c r="E45" i="10"/>
  <c r="H46" i="10"/>
  <c r="R12" i="10"/>
  <c r="K32" i="10"/>
  <c r="S42" i="10"/>
  <c r="P9" i="10"/>
  <c r="O23" i="10"/>
  <c r="R34" i="10"/>
  <c r="G45" i="10"/>
  <c r="J17" i="10"/>
  <c r="G33" i="10"/>
  <c r="P14" i="10"/>
  <c r="H33" i="10"/>
  <c r="O45" i="10"/>
  <c r="R6" i="10"/>
  <c r="R10" i="10"/>
  <c r="R14" i="10"/>
  <c r="G18" i="10"/>
  <c r="J21" i="10"/>
  <c r="N24" i="10"/>
  <c r="P27" i="10"/>
  <c r="S30" i="10"/>
  <c r="J33" i="10"/>
  <c r="O35" i="10"/>
  <c r="S37" i="10"/>
  <c r="P39" i="10"/>
  <c r="F42" i="10"/>
  <c r="J44" i="10"/>
  <c r="P45" i="10"/>
  <c r="R13" i="10"/>
  <c r="H37" i="10"/>
  <c r="N45" i="10"/>
  <c r="P10" i="10"/>
  <c r="O27" i="10"/>
  <c r="O39" i="10"/>
  <c r="AD17" i="13"/>
  <c r="AA17" i="13"/>
  <c r="X17" i="13"/>
  <c r="X32" i="13"/>
  <c r="W17" i="13"/>
  <c r="Z17" i="13"/>
  <c r="T17" i="13"/>
  <c r="T32" i="13"/>
  <c r="AB17" i="13"/>
  <c r="AB32" i="13"/>
  <c r="U17" i="13"/>
  <c r="M46" i="9"/>
  <c r="M47" i="9"/>
  <c r="M18" i="9"/>
  <c r="M11" i="9"/>
  <c r="M7" i="9"/>
  <c r="M15" i="9"/>
  <c r="M44" i="9"/>
  <c r="M13" i="9"/>
  <c r="M30" i="9"/>
  <c r="M61" i="9"/>
  <c r="M42" i="9"/>
  <c r="M34" i="9"/>
  <c r="M32" i="9"/>
  <c r="M52" i="9"/>
  <c r="M58" i="9"/>
  <c r="M16" i="9"/>
  <c r="M62" i="9"/>
  <c r="M54" i="9"/>
  <c r="M33" i="9"/>
  <c r="M48" i="9"/>
  <c r="M43" i="9"/>
  <c r="M38" i="9"/>
  <c r="M50" i="9"/>
  <c r="M39" i="9"/>
  <c r="M10" i="9"/>
  <c r="M8" i="9"/>
  <c r="M14" i="9"/>
  <c r="M17" i="9"/>
  <c r="M45" i="9"/>
  <c r="M24" i="9"/>
  <c r="M57" i="9"/>
  <c r="M56" i="9"/>
  <c r="M59" i="9"/>
  <c r="M37" i="9"/>
  <c r="M23" i="9"/>
  <c r="M35" i="9"/>
  <c r="M12" i="9"/>
  <c r="M63" i="9"/>
  <c r="M20" i="9"/>
  <c r="M21" i="9"/>
  <c r="M27" i="9"/>
  <c r="M19" i="9"/>
  <c r="M53" i="9"/>
  <c r="M49" i="9"/>
  <c r="M36" i="9"/>
  <c r="M22" i="9"/>
  <c r="M28" i="9"/>
  <c r="M25" i="9"/>
  <c r="M31" i="9"/>
  <c r="M55" i="9"/>
  <c r="M60" i="9"/>
  <c r="M26" i="9"/>
  <c r="M41" i="9"/>
  <c r="M29" i="9"/>
  <c r="M40" i="9"/>
  <c r="M9" i="9"/>
  <c r="M51" i="9"/>
  <c r="V17" i="13" l="1"/>
  <c r="AC17" i="13"/>
  <c r="Y17" i="13"/>
  <c r="B4" i="9"/>
  <c r="G210" i="5" l="1"/>
  <c r="N13" i="9"/>
  <c r="N28" i="9"/>
  <c r="N33" i="9"/>
  <c r="N34" i="9"/>
  <c r="N50" i="9"/>
  <c r="N25" i="9"/>
  <c r="N48" i="9"/>
  <c r="O170" i="5"/>
  <c r="O106" i="5"/>
  <c r="O42" i="5"/>
  <c r="O185" i="5"/>
  <c r="O121" i="5"/>
  <c r="O57" i="5"/>
  <c r="O200" i="5"/>
  <c r="O136" i="5"/>
  <c r="O72" i="5"/>
  <c r="O8" i="5"/>
  <c r="O151" i="5"/>
  <c r="O87" i="5"/>
  <c r="O206" i="5"/>
  <c r="O142" i="5"/>
  <c r="O78" i="5"/>
  <c r="O14" i="5"/>
  <c r="O149" i="5"/>
  <c r="O85" i="5"/>
  <c r="O21" i="5"/>
  <c r="O156" i="5"/>
  <c r="O92" i="5"/>
  <c r="O28" i="5"/>
  <c r="O163" i="5"/>
  <c r="O99" i="5"/>
  <c r="O35" i="5"/>
  <c r="M240" i="8"/>
  <c r="M208" i="8"/>
  <c r="M176" i="8"/>
  <c r="M144" i="8"/>
  <c r="M221" i="8"/>
  <c r="M189" i="8"/>
  <c r="M157" i="8"/>
  <c r="M239" i="8"/>
  <c r="M178" i="8"/>
  <c r="M191" i="8"/>
  <c r="M215" i="8"/>
  <c r="M170" i="8"/>
  <c r="M174" i="8"/>
  <c r="M222" i="8"/>
  <c r="M121" i="8"/>
  <c r="M89" i="8"/>
  <c r="M57" i="8"/>
  <c r="M25" i="8"/>
  <c r="M118" i="8"/>
  <c r="M86" i="8"/>
  <c r="M54" i="8"/>
  <c r="M22" i="8"/>
  <c r="M115" i="8"/>
  <c r="M83" i="8"/>
  <c r="M51" i="8"/>
  <c r="M19" i="8"/>
  <c r="M92" i="8"/>
  <c r="M28" i="8"/>
  <c r="M88" i="8"/>
  <c r="M24" i="8"/>
  <c r="M152" i="7"/>
  <c r="M88" i="7"/>
  <c r="M24" i="7"/>
  <c r="M37" i="7"/>
  <c r="M28" i="7"/>
  <c r="M186" i="7"/>
  <c r="M169" i="7"/>
  <c r="M191" i="7"/>
  <c r="M127" i="7"/>
  <c r="M63" i="7"/>
  <c r="M101" i="7"/>
  <c r="M92" i="7"/>
  <c r="M107" i="7"/>
  <c r="M98" i="7"/>
  <c r="M97" i="7"/>
  <c r="M158" i="7"/>
  <c r="M94" i="7"/>
  <c r="M30" i="7"/>
  <c r="M125" i="7"/>
  <c r="M132" i="7"/>
  <c r="M123" i="7"/>
  <c r="M114" i="7"/>
  <c r="M81" i="7"/>
  <c r="M22" i="6"/>
  <c r="M27" i="6"/>
  <c r="M24" i="6"/>
  <c r="M36" i="6"/>
  <c r="N41" i="9"/>
  <c r="N29" i="9"/>
  <c r="C4" i="9"/>
  <c r="O97" i="5"/>
  <c r="O112" i="5"/>
  <c r="O127" i="5"/>
  <c r="O118" i="5"/>
  <c r="O125" i="5"/>
  <c r="O132" i="5"/>
  <c r="O203" i="5"/>
  <c r="O75" i="5"/>
  <c r="M228" i="8"/>
  <c r="M241" i="8"/>
  <c r="M177" i="8"/>
  <c r="M238" i="8"/>
  <c r="M234" i="8"/>
  <c r="M179" i="8"/>
  <c r="M77" i="8"/>
  <c r="M106" i="8"/>
  <c r="M42" i="8"/>
  <c r="M103" i="8"/>
  <c r="M39" i="8"/>
  <c r="M68" i="8"/>
  <c r="M192" i="7"/>
  <c r="M181" i="7"/>
  <c r="M115" i="7"/>
  <c r="M167" i="7"/>
  <c r="M29" i="7"/>
  <c r="M26" i="7"/>
  <c r="M70" i="7"/>
  <c r="M69" i="7"/>
  <c r="M42" i="7"/>
  <c r="M34" i="6"/>
  <c r="M7" i="6"/>
  <c r="N49" i="9"/>
  <c r="N7" i="9"/>
  <c r="O202" i="5"/>
  <c r="O10" i="5"/>
  <c r="O89" i="5"/>
  <c r="O104" i="5"/>
  <c r="O119" i="5"/>
  <c r="O110" i="5"/>
  <c r="O181" i="5"/>
  <c r="O188" i="5"/>
  <c r="O131" i="5"/>
  <c r="O71" i="5"/>
  <c r="M160" i="8"/>
  <c r="M205" i="8"/>
  <c r="M143" i="8"/>
  <c r="M203" i="8"/>
  <c r="M231" i="8"/>
  <c r="M202" i="8"/>
  <c r="M105" i="8"/>
  <c r="M9" i="8"/>
  <c r="M38" i="8"/>
  <c r="M99" i="8"/>
  <c r="M124" i="8"/>
  <c r="M56" i="8"/>
  <c r="M120" i="7"/>
  <c r="M91" i="7"/>
  <c r="M159" i="7"/>
  <c r="N51" i="9"/>
  <c r="N15" i="9"/>
  <c r="N45" i="9"/>
  <c r="N10" i="9"/>
  <c r="N46" i="9"/>
  <c r="N59" i="9"/>
  <c r="N54" i="9"/>
  <c r="N11" i="9"/>
  <c r="O162" i="5"/>
  <c r="O98" i="5"/>
  <c r="O34" i="5"/>
  <c r="O177" i="5"/>
  <c r="O113" i="5"/>
  <c r="O49" i="5"/>
  <c r="O192" i="5"/>
  <c r="O128" i="5"/>
  <c r="O64" i="5"/>
  <c r="O207" i="5"/>
  <c r="O143" i="5"/>
  <c r="O79" i="5"/>
  <c r="O198" i="5"/>
  <c r="O134" i="5"/>
  <c r="O70" i="5"/>
  <c r="O205" i="5"/>
  <c r="O141" i="5"/>
  <c r="O77" i="5"/>
  <c r="O13" i="5"/>
  <c r="O148" i="5"/>
  <c r="O84" i="5"/>
  <c r="O20" i="5"/>
  <c r="O155" i="5"/>
  <c r="O91" i="5"/>
  <c r="O27" i="5"/>
  <c r="M236" i="8"/>
  <c r="M204" i="8"/>
  <c r="M172" i="8"/>
  <c r="M140" i="8"/>
  <c r="M217" i="8"/>
  <c r="M185" i="8"/>
  <c r="M153" i="8"/>
  <c r="M211" i="8"/>
  <c r="M162" i="8"/>
  <c r="M183" i="8"/>
  <c r="M194" i="8"/>
  <c r="M146" i="8"/>
  <c r="M166" i="8"/>
  <c r="M219" i="8"/>
  <c r="M117" i="8"/>
  <c r="M85" i="8"/>
  <c r="M53" i="8"/>
  <c r="M21" i="8"/>
  <c r="M114" i="8"/>
  <c r="M82" i="8"/>
  <c r="M50" i="8"/>
  <c r="M18" i="8"/>
  <c r="M111" i="8"/>
  <c r="M79" i="8"/>
  <c r="M47" i="8"/>
  <c r="M15" i="8"/>
  <c r="M84" i="8"/>
  <c r="M20" i="8"/>
  <c r="M80" i="8"/>
  <c r="M16" i="8"/>
  <c r="M144" i="7"/>
  <c r="M80" i="7"/>
  <c r="M16" i="7"/>
  <c r="M13" i="7"/>
  <c r="M179" i="7"/>
  <c r="M154" i="7"/>
  <c r="M153" i="7"/>
  <c r="M183" i="7"/>
  <c r="M119" i="7"/>
  <c r="M55" i="7"/>
  <c r="M77" i="7"/>
  <c r="M68" i="7"/>
  <c r="M83" i="7"/>
  <c r="M74" i="7"/>
  <c r="M73" i="7"/>
  <c r="M150" i="7"/>
  <c r="M86" i="7"/>
  <c r="M22" i="7"/>
  <c r="M117" i="7"/>
  <c r="M108" i="7"/>
  <c r="M99" i="7"/>
  <c r="M90" i="7"/>
  <c r="M57" i="7"/>
  <c r="M26" i="6"/>
  <c r="M35" i="6"/>
  <c r="M31" i="6"/>
  <c r="M8" i="6"/>
  <c r="N24" i="9"/>
  <c r="N21" i="9"/>
  <c r="N17" i="9"/>
  <c r="O210" i="5"/>
  <c r="O146" i="5"/>
  <c r="O82" i="5"/>
  <c r="O161" i="5"/>
  <c r="O33" i="5"/>
  <c r="O48" i="5"/>
  <c r="O55" i="5"/>
  <c r="O182" i="5"/>
  <c r="O189" i="5"/>
  <c r="O61" i="5"/>
  <c r="O68" i="5"/>
  <c r="O11" i="5"/>
  <c r="M196" i="8"/>
  <c r="M209" i="8"/>
  <c r="M145" i="8"/>
  <c r="M151" i="8"/>
  <c r="M150" i="8"/>
  <c r="M109" i="8"/>
  <c r="M13" i="8"/>
  <c r="M74" i="8"/>
  <c r="M71" i="8"/>
  <c r="M128" i="8"/>
  <c r="M128" i="7"/>
  <c r="M148" i="7"/>
  <c r="M105" i="7"/>
  <c r="M39" i="7"/>
  <c r="M12" i="7"/>
  <c r="M25" i="7"/>
  <c r="M189" i="7"/>
  <c r="M60" i="7"/>
  <c r="M9" i="7"/>
  <c r="N57" i="9"/>
  <c r="N30" i="9"/>
  <c r="N14" i="9"/>
  <c r="N42" i="9"/>
  <c r="O74" i="5"/>
  <c r="O153" i="5"/>
  <c r="O168" i="5"/>
  <c r="O40" i="5"/>
  <c r="O47" i="5"/>
  <c r="O46" i="5"/>
  <c r="O117" i="5"/>
  <c r="O124" i="5"/>
  <c r="O60" i="5"/>
  <c r="O67" i="5"/>
  <c r="M192" i="8"/>
  <c r="M237" i="8"/>
  <c r="M173" i="8"/>
  <c r="M235" i="8"/>
  <c r="M142" i="8"/>
  <c r="M73" i="8"/>
  <c r="M102" i="8"/>
  <c r="M131" i="8"/>
  <c r="M35" i="8"/>
  <c r="M60" i="8"/>
  <c r="M184" i="7"/>
  <c r="M56" i="7"/>
  <c r="M124" i="7"/>
  <c r="M82" i="7"/>
  <c r="N8" i="9"/>
  <c r="N37" i="9"/>
  <c r="N32" i="9"/>
  <c r="N58" i="9"/>
  <c r="N47" i="9"/>
  <c r="N31" i="9"/>
  <c r="N62" i="9"/>
  <c r="N20" i="9"/>
  <c r="O154" i="5"/>
  <c r="O90" i="5"/>
  <c r="O26" i="5"/>
  <c r="O169" i="5"/>
  <c r="O105" i="5"/>
  <c r="O41" i="5"/>
  <c r="O184" i="5"/>
  <c r="O120" i="5"/>
  <c r="O56" i="5"/>
  <c r="O199" i="5"/>
  <c r="O135" i="5"/>
  <c r="O63" i="5"/>
  <c r="O190" i="5"/>
  <c r="O126" i="5"/>
  <c r="O62" i="5"/>
  <c r="O197" i="5"/>
  <c r="O133" i="5"/>
  <c r="O69" i="5"/>
  <c r="O204" i="5"/>
  <c r="O140" i="5"/>
  <c r="O76" i="5"/>
  <c r="O12" i="5"/>
  <c r="O147" i="5"/>
  <c r="O83" i="5"/>
  <c r="O19" i="5"/>
  <c r="M232" i="8"/>
  <c r="M200" i="8"/>
  <c r="M168" i="8"/>
  <c r="M136" i="8"/>
  <c r="M213" i="8"/>
  <c r="M181" i="8"/>
  <c r="M149" i="8"/>
  <c r="M175" i="8"/>
  <c r="M138" i="8"/>
  <c r="M167" i="8"/>
  <c r="M154" i="8"/>
  <c r="M230" i="8"/>
  <c r="M158" i="8"/>
  <c r="M195" i="8"/>
  <c r="M113" i="8"/>
  <c r="M81" i="8"/>
  <c r="M49" i="8"/>
  <c r="M17" i="8"/>
  <c r="M110" i="8"/>
  <c r="M78" i="8"/>
  <c r="M46" i="8"/>
  <c r="M14" i="8"/>
  <c r="M107" i="8"/>
  <c r="M75" i="8"/>
  <c r="M43" i="8"/>
  <c r="M11" i="8"/>
  <c r="M76" i="8"/>
  <c r="M12" i="8"/>
  <c r="M72" i="8"/>
  <c r="M8" i="8"/>
  <c r="M136" i="7"/>
  <c r="M72" i="7"/>
  <c r="M8" i="7"/>
  <c r="M188" i="7"/>
  <c r="M139" i="7"/>
  <c r="M130" i="7"/>
  <c r="M129" i="7"/>
  <c r="M175" i="7"/>
  <c r="M111" i="7"/>
  <c r="M47" i="7"/>
  <c r="M53" i="7"/>
  <c r="M44" i="7"/>
  <c r="M59" i="7"/>
  <c r="M50" i="7"/>
  <c r="M49" i="7"/>
  <c r="M142" i="7"/>
  <c r="M78" i="7"/>
  <c r="M14" i="7"/>
  <c r="M93" i="7"/>
  <c r="M84" i="7"/>
  <c r="M75" i="7"/>
  <c r="M66" i="7"/>
  <c r="M33" i="7"/>
  <c r="M30" i="6"/>
  <c r="M13" i="6"/>
  <c r="M9" i="6"/>
  <c r="M19" i="6"/>
  <c r="N39" i="9"/>
  <c r="O18" i="5"/>
  <c r="O176" i="5"/>
  <c r="O191" i="5"/>
  <c r="O54" i="5"/>
  <c r="O196" i="5"/>
  <c r="O139" i="5"/>
  <c r="M164" i="8"/>
  <c r="M159" i="8"/>
  <c r="M227" i="8"/>
  <c r="M45" i="8"/>
  <c r="M10" i="8"/>
  <c r="M132" i="8"/>
  <c r="M64" i="8"/>
  <c r="M64" i="7"/>
  <c r="M106" i="7"/>
  <c r="M103" i="7"/>
  <c r="M51" i="7"/>
  <c r="M134" i="7"/>
  <c r="M43" i="7"/>
  <c r="M17" i="6"/>
  <c r="N22" i="9"/>
  <c r="O138" i="5"/>
  <c r="O25" i="5"/>
  <c r="O183" i="5"/>
  <c r="O174" i="5"/>
  <c r="O53" i="5"/>
  <c r="O195" i="5"/>
  <c r="M224" i="8"/>
  <c r="M141" i="8"/>
  <c r="M206" i="8"/>
  <c r="M41" i="8"/>
  <c r="M70" i="8"/>
  <c r="M67" i="8"/>
  <c r="M120" i="8"/>
  <c r="M133" i="7"/>
  <c r="M89" i="7"/>
  <c r="N23" i="9"/>
  <c r="N26" i="9"/>
  <c r="N55" i="9"/>
  <c r="N63" i="9"/>
  <c r="N53" i="9"/>
  <c r="N61" i="9"/>
  <c r="N40" i="9"/>
  <c r="O186" i="5"/>
  <c r="O122" i="5"/>
  <c r="O58" i="5"/>
  <c r="O201" i="5"/>
  <c r="O137" i="5"/>
  <c r="O73" i="5"/>
  <c r="O9" i="5"/>
  <c r="O152" i="5"/>
  <c r="O88" i="5"/>
  <c r="O24" i="5"/>
  <c r="O167" i="5"/>
  <c r="O103" i="5"/>
  <c r="O23" i="5"/>
  <c r="O158" i="5"/>
  <c r="O94" i="5"/>
  <c r="O30" i="5"/>
  <c r="O165" i="5"/>
  <c r="O101" i="5"/>
  <c r="O37" i="5"/>
  <c r="O172" i="5"/>
  <c r="O108" i="5"/>
  <c r="O44" i="5"/>
  <c r="O179" i="5"/>
  <c r="O115" i="5"/>
  <c r="O51" i="5"/>
  <c r="O15" i="5"/>
  <c r="M216" i="8"/>
  <c r="M184" i="8"/>
  <c r="M152" i="8"/>
  <c r="M229" i="8"/>
  <c r="M197" i="8"/>
  <c r="M165" i="8"/>
  <c r="M133" i="8"/>
  <c r="M171" i="8"/>
  <c r="M207" i="8"/>
  <c r="M155" i="8"/>
  <c r="M218" i="8"/>
  <c r="M190" i="8"/>
  <c r="M226" i="8"/>
  <c r="M129" i="8"/>
  <c r="M97" i="8"/>
  <c r="M65" i="8"/>
  <c r="M33" i="8"/>
  <c r="M126" i="8"/>
  <c r="M94" i="8"/>
  <c r="M62" i="8"/>
  <c r="M30" i="8"/>
  <c r="M123" i="8"/>
  <c r="M91" i="8"/>
  <c r="M59" i="8"/>
  <c r="M27" i="8"/>
  <c r="M108" i="8"/>
  <c r="M44" i="8"/>
  <c r="M104" i="8"/>
  <c r="M40" i="8"/>
  <c r="M168" i="7"/>
  <c r="M104" i="7"/>
  <c r="M40" i="7"/>
  <c r="M85" i="7"/>
  <c r="M76" i="7"/>
  <c r="M35" i="7"/>
  <c r="M34" i="7"/>
  <c r="M41" i="7"/>
  <c r="M143" i="7"/>
  <c r="M79" i="7"/>
  <c r="M15" i="7"/>
  <c r="M140" i="7"/>
  <c r="M155" i="7"/>
  <c r="M146" i="7"/>
  <c r="M137" i="7"/>
  <c r="M174" i="7"/>
  <c r="M110" i="7"/>
  <c r="M46" i="7"/>
  <c r="M149" i="7"/>
  <c r="M180" i="7"/>
  <c r="M171" i="7"/>
  <c r="M162" i="7"/>
  <c r="M145" i="7"/>
  <c r="M14" i="6"/>
  <c r="M28" i="6"/>
  <c r="M29" i="6"/>
  <c r="M20" i="6"/>
  <c r="N27" i="9"/>
  <c r="N36" i="9"/>
  <c r="N35" i="9"/>
  <c r="N16" i="9"/>
  <c r="N60" i="9"/>
  <c r="N52" i="9"/>
  <c r="N43" i="9"/>
  <c r="O178" i="5"/>
  <c r="O114" i="5"/>
  <c r="O50" i="5"/>
  <c r="O193" i="5"/>
  <c r="O129" i="5"/>
  <c r="O65" i="5"/>
  <c r="O208" i="5"/>
  <c r="O144" i="5"/>
  <c r="O80" i="5"/>
  <c r="O16" i="5"/>
  <c r="O159" i="5"/>
  <c r="O95" i="5"/>
  <c r="O7" i="5"/>
  <c r="O150" i="5"/>
  <c r="O86" i="5"/>
  <c r="O22" i="5"/>
  <c r="O157" i="5"/>
  <c r="O93" i="5"/>
  <c r="O29" i="5"/>
  <c r="O164" i="5"/>
  <c r="O100" i="5"/>
  <c r="O36" i="5"/>
  <c r="O171" i="5"/>
  <c r="O107" i="5"/>
  <c r="O43" i="5"/>
  <c r="M7" i="8"/>
  <c r="M212" i="8"/>
  <c r="M180" i="8"/>
  <c r="M148" i="8"/>
  <c r="M225" i="8"/>
  <c r="M193" i="8"/>
  <c r="N19" i="9"/>
  <c r="O130" i="5"/>
  <c r="O32" i="5"/>
  <c r="O109" i="5"/>
  <c r="O31" i="5"/>
  <c r="M137" i="8"/>
  <c r="M163" i="8"/>
  <c r="M101" i="8"/>
  <c r="M98" i="8"/>
  <c r="M95" i="8"/>
  <c r="M52" i="8"/>
  <c r="M112" i="7"/>
  <c r="M67" i="7"/>
  <c r="M95" i="7"/>
  <c r="M116" i="7"/>
  <c r="M161" i="7"/>
  <c r="M62" i="7"/>
  <c r="M156" i="7"/>
  <c r="M185" i="7"/>
  <c r="M21" i="6"/>
  <c r="M163" i="7"/>
  <c r="M38" i="7"/>
  <c r="M7" i="7"/>
  <c r="N38" i="9"/>
  <c r="M156" i="8"/>
  <c r="M61" i="8"/>
  <c r="M96" i="8"/>
  <c r="M31" i="7"/>
  <c r="M182" i="7"/>
  <c r="M147" i="7"/>
  <c r="M12" i="6"/>
  <c r="O166" i="5"/>
  <c r="M233" i="8"/>
  <c r="M37" i="8"/>
  <c r="M48" i="8"/>
  <c r="M27" i="7"/>
  <c r="M18" i="6"/>
  <c r="O17" i="5"/>
  <c r="M199" i="8"/>
  <c r="M23" i="8"/>
  <c r="M173" i="7"/>
  <c r="M141" i="7"/>
  <c r="M32" i="6"/>
  <c r="N12" i="9"/>
  <c r="O66" i="5"/>
  <c r="O175" i="5"/>
  <c r="O45" i="5"/>
  <c r="M220" i="8"/>
  <c r="M242" i="8"/>
  <c r="M214" i="8"/>
  <c r="M93" i="8"/>
  <c r="M90" i="8"/>
  <c r="M87" i="8"/>
  <c r="M36" i="8"/>
  <c r="M96" i="7"/>
  <c r="M19" i="7"/>
  <c r="M87" i="7"/>
  <c r="M187" i="7"/>
  <c r="M121" i="7"/>
  <c r="M54" i="7"/>
  <c r="M36" i="7"/>
  <c r="M113" i="7"/>
  <c r="M25" i="6"/>
  <c r="M71" i="7"/>
  <c r="M20" i="7"/>
  <c r="M33" i="6"/>
  <c r="O145" i="5"/>
  <c r="O116" i="5"/>
  <c r="M182" i="8"/>
  <c r="M55" i="8"/>
  <c r="M32" i="7"/>
  <c r="M131" i="7"/>
  <c r="M10" i="6"/>
  <c r="N44" i="9"/>
  <c r="O52" i="5"/>
  <c r="M134" i="8"/>
  <c r="M31" i="8"/>
  <c r="M65" i="7"/>
  <c r="M166" i="7"/>
  <c r="M16" i="6"/>
  <c r="O187" i="5"/>
  <c r="M223" i="8"/>
  <c r="M32" i="8"/>
  <c r="M170" i="7"/>
  <c r="M178" i="7"/>
  <c r="N56" i="9"/>
  <c r="O209" i="5"/>
  <c r="O111" i="5"/>
  <c r="O180" i="5"/>
  <c r="M188" i="8"/>
  <c r="M135" i="8"/>
  <c r="M198" i="8"/>
  <c r="M69" i="8"/>
  <c r="M66" i="8"/>
  <c r="M63" i="8"/>
  <c r="M112" i="8"/>
  <c r="M48" i="7"/>
  <c r="M58" i="7"/>
  <c r="M190" i="7"/>
  <c r="O39" i="5"/>
  <c r="M147" i="8"/>
  <c r="M58" i="8"/>
  <c r="M10" i="7"/>
  <c r="M165" i="7"/>
  <c r="O81" i="5"/>
  <c r="M210" i="8"/>
  <c r="M109" i="7"/>
  <c r="M157" i="7"/>
  <c r="O102" i="5"/>
  <c r="M29" i="8"/>
  <c r="M17" i="7"/>
  <c r="M15" i="6"/>
  <c r="N9" i="9"/>
  <c r="O160" i="5"/>
  <c r="O38" i="5"/>
  <c r="O123" i="5"/>
  <c r="M169" i="8"/>
  <c r="M187" i="8"/>
  <c r="M186" i="8"/>
  <c r="M130" i="8"/>
  <c r="M127" i="8"/>
  <c r="M116" i="8"/>
  <c r="M176" i="7"/>
  <c r="M100" i="7"/>
  <c r="M151" i="7"/>
  <c r="M172" i="7"/>
  <c r="M122" i="7"/>
  <c r="M118" i="7"/>
  <c r="M45" i="7"/>
  <c r="M138" i="7"/>
  <c r="M23" i="6"/>
  <c r="O194" i="5"/>
  <c r="O96" i="5"/>
  <c r="O173" i="5"/>
  <c r="O59" i="5"/>
  <c r="M161" i="8"/>
  <c r="M139" i="8"/>
  <c r="M125" i="8"/>
  <c r="M122" i="8"/>
  <c r="M119" i="8"/>
  <c r="M100" i="8"/>
  <c r="M160" i="7"/>
  <c r="M52" i="7"/>
  <c r="M135" i="7"/>
  <c r="M164" i="7"/>
  <c r="M177" i="7"/>
  <c r="M102" i="7"/>
  <c r="M21" i="7"/>
  <c r="M18" i="7"/>
  <c r="M11" i="6"/>
  <c r="M34" i="8"/>
  <c r="M23" i="7"/>
  <c r="M11" i="7"/>
  <c r="N18" i="9"/>
  <c r="M201" i="8"/>
  <c r="M26" i="8"/>
  <c r="M61" i="7"/>
  <c r="M126" i="7"/>
  <c r="M52" i="4"/>
  <c r="M116" i="4"/>
  <c r="M45" i="4"/>
  <c r="M109" i="4"/>
  <c r="M30" i="4"/>
  <c r="M94" i="4"/>
  <c r="M23" i="4"/>
  <c r="M87" i="4"/>
  <c r="M17" i="4"/>
  <c r="M41" i="4"/>
  <c r="M64" i="4"/>
  <c r="M83" i="4"/>
  <c r="M81" i="4"/>
  <c r="M130" i="4"/>
  <c r="M120" i="4"/>
  <c r="M112" i="4"/>
  <c r="M76" i="4"/>
  <c r="M69" i="4"/>
  <c r="M118" i="4"/>
  <c r="M111" i="4"/>
  <c r="M128" i="4"/>
  <c r="M129" i="4"/>
  <c r="M13" i="4"/>
  <c r="M24" i="4"/>
  <c r="M126" i="4"/>
  <c r="M119" i="4"/>
  <c r="M49" i="4"/>
  <c r="M131" i="4"/>
  <c r="M92" i="4"/>
  <c r="M56" i="4"/>
  <c r="M16" i="4"/>
  <c r="M106" i="4"/>
  <c r="M25" i="4"/>
  <c r="M73" i="4"/>
  <c r="M60" i="4"/>
  <c r="M124" i="4"/>
  <c r="M53" i="4"/>
  <c r="M117" i="4"/>
  <c r="M38" i="4"/>
  <c r="M102" i="4"/>
  <c r="M31" i="4"/>
  <c r="M95" i="4"/>
  <c r="M35" i="4"/>
  <c r="M59" i="4"/>
  <c r="M80" i="4"/>
  <c r="M115" i="4"/>
  <c r="M97" i="4"/>
  <c r="M27" i="4"/>
  <c r="M121" i="4"/>
  <c r="N210" i="5"/>
  <c r="M12" i="4"/>
  <c r="M7" i="4"/>
  <c r="M91" i="4"/>
  <c r="M34" i="4"/>
  <c r="M84" i="4"/>
  <c r="M62" i="4"/>
  <c r="M90" i="4"/>
  <c r="M104" i="4"/>
  <c r="M21" i="4"/>
  <c r="M63" i="4"/>
  <c r="M114" i="4"/>
  <c r="M10" i="4"/>
  <c r="M68" i="4"/>
  <c r="M132" i="4"/>
  <c r="M61" i="4"/>
  <c r="M125" i="4"/>
  <c r="M46" i="4"/>
  <c r="M110" i="4"/>
  <c r="M39" i="4"/>
  <c r="M103" i="4"/>
  <c r="M58" i="4"/>
  <c r="M75" i="4"/>
  <c r="M96" i="4"/>
  <c r="M33" i="4"/>
  <c r="M113" i="4"/>
  <c r="M67" i="4"/>
  <c r="M11" i="4"/>
  <c r="M32" i="4"/>
  <c r="M54" i="4"/>
  <c r="M47" i="4"/>
  <c r="M74" i="4"/>
  <c r="M72" i="4"/>
  <c r="M99" i="4"/>
  <c r="M20" i="4"/>
  <c r="M77" i="4"/>
  <c r="M55" i="4"/>
  <c r="M107" i="4"/>
  <c r="M26" i="4"/>
  <c r="M57" i="4"/>
  <c r="M28" i="4"/>
  <c r="M85" i="4"/>
  <c r="M70" i="4"/>
  <c r="M127" i="4"/>
  <c r="M123" i="4"/>
  <c r="M66" i="4"/>
  <c r="M101" i="4"/>
  <c r="M79" i="4"/>
  <c r="M50" i="4"/>
  <c r="M105" i="4"/>
  <c r="M100" i="4"/>
  <c r="M82" i="4"/>
  <c r="M108" i="4"/>
  <c r="M18" i="4"/>
  <c r="M29" i="4"/>
  <c r="M51" i="4"/>
  <c r="M15" i="4"/>
  <c r="M71" i="4"/>
  <c r="M36" i="4"/>
  <c r="M14" i="4"/>
  <c r="M8" i="4"/>
  <c r="M43" i="4"/>
  <c r="M44" i="4"/>
  <c r="M22" i="4"/>
  <c r="M40" i="4"/>
  <c r="M65" i="4"/>
  <c r="M78" i="4"/>
  <c r="M122" i="4"/>
  <c r="M86" i="4"/>
  <c r="M98" i="4"/>
  <c r="M48" i="4"/>
  <c r="M19" i="4"/>
  <c r="M37" i="4"/>
  <c r="M42" i="4"/>
  <c r="M88" i="4"/>
  <c r="M93" i="4"/>
  <c r="M9" i="4"/>
  <c r="M89" i="4"/>
  <c r="S126" i="7" l="1"/>
  <c r="S61" i="7"/>
  <c r="S26" i="8"/>
  <c r="S201" i="8"/>
  <c r="U18" i="9"/>
  <c r="S11" i="7"/>
  <c r="S23" i="7"/>
  <c r="S34" i="8"/>
  <c r="S11" i="6"/>
  <c r="S18" i="7"/>
  <c r="S21" i="7"/>
  <c r="S102" i="7"/>
  <c r="S177" i="7"/>
  <c r="S164" i="7"/>
  <c r="S135" i="7"/>
  <c r="S52" i="7"/>
  <c r="S160" i="7"/>
  <c r="S100" i="8"/>
  <c r="S119" i="8"/>
  <c r="S122" i="8"/>
  <c r="S125" i="8"/>
  <c r="S139" i="8"/>
  <c r="S161" i="8"/>
  <c r="U59" i="5"/>
  <c r="U173" i="5"/>
  <c r="U96" i="5"/>
  <c r="U194" i="5"/>
  <c r="S23" i="6"/>
  <c r="S138" i="7"/>
  <c r="S45" i="7"/>
  <c r="S118" i="7"/>
  <c r="S122" i="7"/>
  <c r="S172" i="7"/>
  <c r="S151" i="7"/>
  <c r="S100" i="7"/>
  <c r="S176" i="7"/>
  <c r="S116" i="8"/>
  <c r="S127" i="8"/>
  <c r="S130" i="8"/>
  <c r="S186" i="8"/>
  <c r="S187" i="8"/>
  <c r="S169" i="8"/>
  <c r="U123" i="5"/>
  <c r="U38" i="5"/>
  <c r="U160" i="5"/>
  <c r="U9" i="9"/>
  <c r="S15" i="6"/>
  <c r="S17" i="7"/>
  <c r="S29" i="8"/>
  <c r="U102" i="5"/>
  <c r="S157" i="7"/>
  <c r="S109" i="7"/>
  <c r="S210" i="8"/>
  <c r="U81" i="5"/>
  <c r="S165" i="7"/>
  <c r="S10" i="7"/>
  <c r="S58" i="8"/>
  <c r="S147" i="8"/>
  <c r="U39" i="5"/>
  <c r="S190" i="7"/>
  <c r="S58" i="7"/>
  <c r="S48" i="7"/>
  <c r="S112" i="8"/>
  <c r="S63" i="8"/>
  <c r="S66" i="8"/>
  <c r="S69" i="8"/>
  <c r="S198" i="8"/>
  <c r="S135" i="8"/>
  <c r="S188" i="8"/>
  <c r="U180" i="5"/>
  <c r="U111" i="5"/>
  <c r="U209" i="5"/>
  <c r="U56" i="9"/>
  <c r="S178" i="7"/>
  <c r="S170" i="7"/>
  <c r="S32" i="8"/>
  <c r="S223" i="8"/>
  <c r="U187" i="5"/>
  <c r="S16" i="6"/>
  <c r="S166" i="7"/>
  <c r="S65" i="7"/>
  <c r="S31" i="8"/>
  <c r="S134" i="8"/>
  <c r="U52" i="5"/>
  <c r="U44" i="9"/>
  <c r="S10" i="6"/>
  <c r="S131" i="7"/>
  <c r="S32" i="7"/>
  <c r="S55" i="8"/>
  <c r="S182" i="8"/>
  <c r="U116" i="5"/>
  <c r="U145" i="5"/>
  <c r="S33" i="6"/>
  <c r="S20" i="7"/>
  <c r="S71" i="7"/>
  <c r="S25" i="6"/>
  <c r="S113" i="7"/>
  <c r="S36" i="7"/>
  <c r="S54" i="7"/>
  <c r="S121" i="7"/>
  <c r="S187" i="7"/>
  <c r="S87" i="7"/>
  <c r="S19" i="7"/>
  <c r="S96" i="7"/>
  <c r="S36" i="8"/>
  <c r="S87" i="8"/>
  <c r="S90" i="8"/>
  <c r="S93" i="8"/>
  <c r="S214" i="8"/>
  <c r="S242" i="8"/>
  <c r="S220" i="8"/>
  <c r="U45" i="5"/>
  <c r="U175" i="5"/>
  <c r="U66" i="5"/>
  <c r="U12" i="9"/>
  <c r="S32" i="6"/>
  <c r="S141" i="7"/>
  <c r="S173" i="7"/>
  <c r="S23" i="8"/>
  <c r="S199" i="8"/>
  <c r="U17" i="5"/>
  <c r="S18" i="6"/>
  <c r="S27" i="7"/>
  <c r="S48" i="8"/>
  <c r="S37" i="8"/>
  <c r="S233" i="8"/>
  <c r="U166" i="5"/>
  <c r="S12" i="6"/>
  <c r="S147" i="7"/>
  <c r="S182" i="7"/>
  <c r="S31" i="7"/>
  <c r="S96" i="8"/>
  <c r="S61" i="8"/>
  <c r="S156" i="8"/>
  <c r="U38" i="9"/>
  <c r="S7" i="7"/>
  <c r="S38" i="7"/>
  <c r="S163" i="7"/>
  <c r="S21" i="6"/>
  <c r="S185" i="7"/>
  <c r="S156" i="7"/>
  <c r="S62" i="7"/>
  <c r="S161" i="7"/>
  <c r="S116" i="7"/>
  <c r="S95" i="7"/>
  <c r="S67" i="7"/>
  <c r="S112" i="7"/>
  <c r="S52" i="8"/>
  <c r="S95" i="8"/>
  <c r="S98" i="8"/>
  <c r="S101" i="8"/>
  <c r="S163" i="8"/>
  <c r="S137" i="8"/>
  <c r="U31" i="5"/>
  <c r="U109" i="5"/>
  <c r="U32" i="5"/>
  <c r="U130" i="5"/>
  <c r="U19" i="9"/>
  <c r="S193" i="8"/>
  <c r="S225" i="8"/>
  <c r="S148" i="8"/>
  <c r="S180" i="8"/>
  <c r="S212" i="8"/>
  <c r="S7" i="8"/>
  <c r="U43" i="5"/>
  <c r="U107" i="5"/>
  <c r="U171" i="5"/>
  <c r="U36" i="5"/>
  <c r="U100" i="5"/>
  <c r="U164" i="5"/>
  <c r="U29" i="5"/>
  <c r="U93" i="5"/>
  <c r="U157" i="5"/>
  <c r="U22" i="5"/>
  <c r="U86" i="5"/>
  <c r="U150" i="5"/>
  <c r="U7" i="5"/>
  <c r="U95" i="5"/>
  <c r="U159" i="5"/>
  <c r="U16" i="5"/>
  <c r="U80" i="5"/>
  <c r="U144" i="5"/>
  <c r="U208" i="5"/>
  <c r="U65" i="5"/>
  <c r="U129" i="5"/>
  <c r="U193" i="5"/>
  <c r="U50" i="5"/>
  <c r="U114" i="5"/>
  <c r="U178" i="5"/>
  <c r="U43" i="9"/>
  <c r="U52" i="9"/>
  <c r="U60" i="9"/>
  <c r="U16" i="9"/>
  <c r="U35" i="9"/>
  <c r="U36" i="9"/>
  <c r="U27" i="9"/>
  <c r="S20" i="6"/>
  <c r="S29" i="6"/>
  <c r="S28" i="6"/>
  <c r="S14" i="6"/>
  <c r="S145" i="7"/>
  <c r="S162" i="7"/>
  <c r="S171" i="7"/>
  <c r="S180" i="7"/>
  <c r="S149" i="7"/>
  <c r="S46" i="7"/>
  <c r="S110" i="7"/>
  <c r="S174" i="7"/>
  <c r="S137" i="7"/>
  <c r="S146" i="7"/>
  <c r="S155" i="7"/>
  <c r="S140" i="7"/>
  <c r="S15" i="7"/>
  <c r="S79" i="7"/>
  <c r="S143" i="7"/>
  <c r="S41" i="7"/>
  <c r="S34" i="7"/>
  <c r="S35" i="7"/>
  <c r="S76" i="7"/>
  <c r="S85" i="7"/>
  <c r="S40" i="7"/>
  <c r="S104" i="7"/>
  <c r="S168" i="7"/>
  <c r="S40" i="8"/>
  <c r="S104" i="8"/>
  <c r="S44" i="8"/>
  <c r="S108" i="8"/>
  <c r="S27" i="8"/>
  <c r="S59" i="8"/>
  <c r="S91" i="8"/>
  <c r="S123" i="8"/>
  <c r="S30" i="8"/>
  <c r="S62" i="8"/>
  <c r="S94" i="8"/>
  <c r="S126" i="8"/>
  <c r="S33" i="8"/>
  <c r="S65" i="8"/>
  <c r="S97" i="8"/>
  <c r="S129" i="8"/>
  <c r="S226" i="8"/>
  <c r="S190" i="8"/>
  <c r="S218" i="8"/>
  <c r="S155" i="8"/>
  <c r="S207" i="8"/>
  <c r="S171" i="8"/>
  <c r="S133" i="8"/>
  <c r="S165" i="8"/>
  <c r="S197" i="8"/>
  <c r="S229" i="8"/>
  <c r="S152" i="8"/>
  <c r="S184" i="8"/>
  <c r="S216" i="8"/>
  <c r="U15" i="5"/>
  <c r="U51" i="5"/>
  <c r="U115" i="5"/>
  <c r="U179" i="5"/>
  <c r="U44" i="5"/>
  <c r="U108" i="5"/>
  <c r="U172" i="5"/>
  <c r="U37" i="5"/>
  <c r="U101" i="5"/>
  <c r="U165" i="5"/>
  <c r="U30" i="5"/>
  <c r="U94" i="5"/>
  <c r="U158" i="5"/>
  <c r="U23" i="5"/>
  <c r="U103" i="5"/>
  <c r="U167" i="5"/>
  <c r="U24" i="5"/>
  <c r="U88" i="5"/>
  <c r="U152" i="5"/>
  <c r="U9" i="5"/>
  <c r="U73" i="5"/>
  <c r="U137" i="5"/>
  <c r="U201" i="5"/>
  <c r="U58" i="5"/>
  <c r="U122" i="5"/>
  <c r="U186" i="5"/>
  <c r="U40" i="9"/>
  <c r="U61" i="9"/>
  <c r="U53" i="9"/>
  <c r="U63" i="9"/>
  <c r="U55" i="9"/>
  <c r="U26" i="9"/>
  <c r="U23" i="9"/>
  <c r="S89" i="7"/>
  <c r="S133" i="7"/>
  <c r="S120" i="8"/>
  <c r="S67" i="8"/>
  <c r="S70" i="8"/>
  <c r="S41" i="8"/>
  <c r="S206" i="8"/>
  <c r="S141" i="8"/>
  <c r="S224" i="8"/>
  <c r="U195" i="5"/>
  <c r="U53" i="5"/>
  <c r="U174" i="5"/>
  <c r="U183" i="5"/>
  <c r="U25" i="5"/>
  <c r="U138" i="5"/>
  <c r="U22" i="9"/>
  <c r="S17" i="6"/>
  <c r="S43" i="7"/>
  <c r="S134" i="7"/>
  <c r="S51" i="7"/>
  <c r="S103" i="7"/>
  <c r="S106" i="7"/>
  <c r="S64" i="7"/>
  <c r="S64" i="8"/>
  <c r="S132" i="8"/>
  <c r="S10" i="8"/>
  <c r="S45" i="8"/>
  <c r="S227" i="8"/>
  <c r="S159" i="8"/>
  <c r="S164" i="8"/>
  <c r="U139" i="5"/>
  <c r="U196" i="5"/>
  <c r="U54" i="5"/>
  <c r="U191" i="5"/>
  <c r="U176" i="5"/>
  <c r="U18" i="5"/>
  <c r="U39" i="9"/>
  <c r="S19" i="6"/>
  <c r="S9" i="6"/>
  <c r="S13" i="6"/>
  <c r="S30" i="6"/>
  <c r="S33" i="7"/>
  <c r="S66" i="7"/>
  <c r="S75" i="7"/>
  <c r="S84" i="7"/>
  <c r="S93" i="7"/>
  <c r="S14" i="7"/>
  <c r="S78" i="7"/>
  <c r="S142" i="7"/>
  <c r="S49" i="7"/>
  <c r="S50" i="7"/>
  <c r="S59" i="7"/>
  <c r="S44" i="7"/>
  <c r="S53" i="7"/>
  <c r="S47" i="7"/>
  <c r="S111" i="7"/>
  <c r="S175" i="7"/>
  <c r="S129" i="7"/>
  <c r="S130" i="7"/>
  <c r="S139" i="7"/>
  <c r="S188" i="7"/>
  <c r="S8" i="7"/>
  <c r="S72" i="7"/>
  <c r="S136" i="7"/>
  <c r="S8" i="8"/>
  <c r="S72" i="8"/>
  <c r="S12" i="8"/>
  <c r="S76" i="8"/>
  <c r="S11" i="8"/>
  <c r="S43" i="8"/>
  <c r="S75" i="8"/>
  <c r="S107" i="8"/>
  <c r="S14" i="8"/>
  <c r="S46" i="8"/>
  <c r="S78" i="8"/>
  <c r="S110" i="8"/>
  <c r="S17" i="8"/>
  <c r="S49" i="8"/>
  <c r="S81" i="8"/>
  <c r="S113" i="8"/>
  <c r="S195" i="8"/>
  <c r="S158" i="8"/>
  <c r="S230" i="8"/>
  <c r="S154" i="8"/>
  <c r="S167" i="8"/>
  <c r="S138" i="8"/>
  <c r="S175" i="8"/>
  <c r="S149" i="8"/>
  <c r="S181" i="8"/>
  <c r="S213" i="8"/>
  <c r="S136" i="8"/>
  <c r="S168" i="8"/>
  <c r="S200" i="8"/>
  <c r="S232" i="8"/>
  <c r="U19" i="5"/>
  <c r="U83" i="5"/>
  <c r="U147" i="5"/>
  <c r="U12" i="5"/>
  <c r="U76" i="5"/>
  <c r="U140" i="5"/>
  <c r="U204" i="5"/>
  <c r="U69" i="5"/>
  <c r="U133" i="5"/>
  <c r="U197" i="5"/>
  <c r="U62" i="5"/>
  <c r="U126" i="5"/>
  <c r="U190" i="5"/>
  <c r="U63" i="5"/>
  <c r="U135" i="5"/>
  <c r="U199" i="5"/>
  <c r="U56" i="5"/>
  <c r="U120" i="5"/>
  <c r="U184" i="5"/>
  <c r="U41" i="5"/>
  <c r="U105" i="5"/>
  <c r="U169" i="5"/>
  <c r="U26" i="5"/>
  <c r="U90" i="5"/>
  <c r="U154" i="5"/>
  <c r="U20" i="9"/>
  <c r="U62" i="9"/>
  <c r="U31" i="9"/>
  <c r="U47" i="9"/>
  <c r="U58" i="9"/>
  <c r="U32" i="9"/>
  <c r="U37" i="9"/>
  <c r="U8" i="9"/>
  <c r="S82" i="7"/>
  <c r="S124" i="7"/>
  <c r="S56" i="7"/>
  <c r="S184" i="7"/>
  <c r="S60" i="8"/>
  <c r="S35" i="8"/>
  <c r="S131" i="8"/>
  <c r="S102" i="8"/>
  <c r="S73" i="8"/>
  <c r="S142" i="8"/>
  <c r="S235" i="8"/>
  <c r="S173" i="8"/>
  <c r="S237" i="8"/>
  <c r="S192" i="8"/>
  <c r="U67" i="5"/>
  <c r="U60" i="5"/>
  <c r="U124" i="5"/>
  <c r="U117" i="5"/>
  <c r="U46" i="5"/>
  <c r="U47" i="5"/>
  <c r="U40" i="5"/>
  <c r="U168" i="5"/>
  <c r="U153" i="5"/>
  <c r="U74" i="5"/>
  <c r="U42" i="9"/>
  <c r="U14" i="9"/>
  <c r="U30" i="9"/>
  <c r="U57" i="9"/>
  <c r="S9" i="7"/>
  <c r="S60" i="7"/>
  <c r="S189" i="7"/>
  <c r="S25" i="7"/>
  <c r="S12" i="7"/>
  <c r="S39" i="7"/>
  <c r="S105" i="7"/>
  <c r="S148" i="7"/>
  <c r="S128" i="7"/>
  <c r="S128" i="8"/>
  <c r="S71" i="8"/>
  <c r="S74" i="8"/>
  <c r="S13" i="8"/>
  <c r="S109" i="8"/>
  <c r="S150" i="8"/>
  <c r="S151" i="8"/>
  <c r="S145" i="8"/>
  <c r="S209" i="8"/>
  <c r="S196" i="8"/>
  <c r="U11" i="5"/>
  <c r="U68" i="5"/>
  <c r="U61" i="5"/>
  <c r="U189" i="5"/>
  <c r="U182" i="5"/>
  <c r="U55" i="5"/>
  <c r="U48" i="5"/>
  <c r="U33" i="5"/>
  <c r="U161" i="5"/>
  <c r="U82" i="5"/>
  <c r="U146" i="5"/>
  <c r="U210" i="5"/>
  <c r="U17" i="9"/>
  <c r="U21" i="9"/>
  <c r="U24" i="9"/>
  <c r="S8" i="6"/>
  <c r="S31" i="6"/>
  <c r="S35" i="6"/>
  <c r="S26" i="6"/>
  <c r="S57" i="7"/>
  <c r="S90" i="7"/>
  <c r="S99" i="7"/>
  <c r="S108" i="7"/>
  <c r="S117" i="7"/>
  <c r="S22" i="7"/>
  <c r="S86" i="7"/>
  <c r="S150" i="7"/>
  <c r="S73" i="7"/>
  <c r="S74" i="7"/>
  <c r="S83" i="7"/>
  <c r="S68" i="7"/>
  <c r="S77" i="7"/>
  <c r="S55" i="7"/>
  <c r="S119" i="7"/>
  <c r="S183" i="7"/>
  <c r="S153" i="7"/>
  <c r="S154" i="7"/>
  <c r="S179" i="7"/>
  <c r="S13" i="7"/>
  <c r="S16" i="7"/>
  <c r="S80" i="7"/>
  <c r="S144" i="7"/>
  <c r="S16" i="8"/>
  <c r="S80" i="8"/>
  <c r="S20" i="8"/>
  <c r="S84" i="8"/>
  <c r="S15" i="8"/>
  <c r="S47" i="8"/>
  <c r="S79" i="8"/>
  <c r="S111" i="8"/>
  <c r="S18" i="8"/>
  <c r="S50" i="8"/>
  <c r="S82" i="8"/>
  <c r="S114" i="8"/>
  <c r="S21" i="8"/>
  <c r="S53" i="8"/>
  <c r="S85" i="8"/>
  <c r="S117" i="8"/>
  <c r="S219" i="8"/>
  <c r="S166" i="8"/>
  <c r="S146" i="8"/>
  <c r="S194" i="8"/>
  <c r="S183" i="8"/>
  <c r="S162" i="8"/>
  <c r="S211" i="8"/>
  <c r="S153" i="8"/>
  <c r="S185" i="8"/>
  <c r="S217" i="8"/>
  <c r="S140" i="8"/>
  <c r="S172" i="8"/>
  <c r="S204" i="8"/>
  <c r="S236" i="8"/>
  <c r="U27" i="5"/>
  <c r="U91" i="5"/>
  <c r="U155" i="5"/>
  <c r="U20" i="5"/>
  <c r="U84" i="5"/>
  <c r="U148" i="5"/>
  <c r="U13" i="5"/>
  <c r="U77" i="5"/>
  <c r="U141" i="5"/>
  <c r="U205" i="5"/>
  <c r="U70" i="5"/>
  <c r="U134" i="5"/>
  <c r="U198" i="5"/>
  <c r="U79" i="5"/>
  <c r="U143" i="5"/>
  <c r="U207" i="5"/>
  <c r="U64" i="5"/>
  <c r="U128" i="5"/>
  <c r="U192" i="5"/>
  <c r="U49" i="5"/>
  <c r="U113" i="5"/>
  <c r="U177" i="5"/>
  <c r="U34" i="5"/>
  <c r="U98" i="5"/>
  <c r="U162" i="5"/>
  <c r="U11" i="9"/>
  <c r="U54" i="9"/>
  <c r="U59" i="9"/>
  <c r="U46" i="9"/>
  <c r="U10" i="9"/>
  <c r="U45" i="9"/>
  <c r="U15" i="9"/>
  <c r="U51" i="9"/>
  <c r="S159" i="7"/>
  <c r="S91" i="7"/>
  <c r="S120" i="7"/>
  <c r="S56" i="8"/>
  <c r="S124" i="8"/>
  <c r="S99" i="8"/>
  <c r="S38" i="8"/>
  <c r="S9" i="8"/>
  <c r="S105" i="8"/>
  <c r="S202" i="8"/>
  <c r="S231" i="8"/>
  <c r="S203" i="8"/>
  <c r="S143" i="8"/>
  <c r="S205" i="8"/>
  <c r="S160" i="8"/>
  <c r="U71" i="5"/>
  <c r="U131" i="5"/>
  <c r="U188" i="5"/>
  <c r="U181" i="5"/>
  <c r="U110" i="5"/>
  <c r="U119" i="5"/>
  <c r="U104" i="5"/>
  <c r="U89" i="5"/>
  <c r="U10" i="5"/>
  <c r="U202" i="5"/>
  <c r="U7" i="9"/>
  <c r="U49" i="9"/>
  <c r="S7" i="6"/>
  <c r="S34" i="6"/>
  <c r="S42" i="7"/>
  <c r="S69" i="7"/>
  <c r="S70" i="7"/>
  <c r="S26" i="7"/>
  <c r="S29" i="7"/>
  <c r="S167" i="7"/>
  <c r="S115" i="7"/>
  <c r="S181" i="7"/>
  <c r="S192" i="7"/>
  <c r="S68" i="8"/>
  <c r="S39" i="8"/>
  <c r="S103" i="8"/>
  <c r="S42" i="8"/>
  <c r="S106" i="8"/>
  <c r="S77" i="8"/>
  <c r="S179" i="8"/>
  <c r="S234" i="8"/>
  <c r="S238" i="8"/>
  <c r="S177" i="8"/>
  <c r="S241" i="8"/>
  <c r="S228" i="8"/>
  <c r="U75" i="5"/>
  <c r="U203" i="5"/>
  <c r="U132" i="5"/>
  <c r="U125" i="5"/>
  <c r="U118" i="5"/>
  <c r="U127" i="5"/>
  <c r="U112" i="5"/>
  <c r="U97" i="5"/>
  <c r="U29" i="9"/>
  <c r="U41" i="9"/>
  <c r="S36" i="6"/>
  <c r="S24" i="6"/>
  <c r="S27" i="6"/>
  <c r="S22" i="6"/>
  <c r="S81" i="7"/>
  <c r="S114" i="7"/>
  <c r="S123" i="7"/>
  <c r="S132" i="7"/>
  <c r="S125" i="7"/>
  <c r="S30" i="7"/>
  <c r="S94" i="7"/>
  <c r="S158" i="7"/>
  <c r="S97" i="7"/>
  <c r="S98" i="7"/>
  <c r="S107" i="7"/>
  <c r="S92" i="7"/>
  <c r="S101" i="7"/>
  <c r="S63" i="7"/>
  <c r="S127" i="7"/>
  <c r="S191" i="7"/>
  <c r="S169" i="7"/>
  <c r="S186" i="7"/>
  <c r="S28" i="7"/>
  <c r="S37" i="7"/>
  <c r="S24" i="7"/>
  <c r="S88" i="7"/>
  <c r="S152" i="7"/>
  <c r="S24" i="8"/>
  <c r="S88" i="8"/>
  <c r="S28" i="8"/>
  <c r="S92" i="8"/>
  <c r="S19" i="8"/>
  <c r="S51" i="8"/>
  <c r="S83" i="8"/>
  <c r="S115" i="8"/>
  <c r="S22" i="8"/>
  <c r="S54" i="8"/>
  <c r="S86" i="8"/>
  <c r="S118" i="8"/>
  <c r="S25" i="8"/>
  <c r="S57" i="8"/>
  <c r="S89" i="8"/>
  <c r="S121" i="8"/>
  <c r="S222" i="8"/>
  <c r="S174" i="8"/>
  <c r="S170" i="8"/>
  <c r="S215" i="8"/>
  <c r="S191" i="8"/>
  <c r="S178" i="8"/>
  <c r="S239" i="8"/>
  <c r="S157" i="8"/>
  <c r="S189" i="8"/>
  <c r="S221" i="8"/>
  <c r="S144" i="8"/>
  <c r="S176" i="8"/>
  <c r="S208" i="8"/>
  <c r="S240" i="8"/>
  <c r="U35" i="5"/>
  <c r="U99" i="5"/>
  <c r="U163" i="5"/>
  <c r="U28" i="5"/>
  <c r="U92" i="5"/>
  <c r="U156" i="5"/>
  <c r="U21" i="5"/>
  <c r="U85" i="5"/>
  <c r="U149" i="5"/>
  <c r="U14" i="5"/>
  <c r="U78" i="5"/>
  <c r="U142" i="5"/>
  <c r="U206" i="5"/>
  <c r="U87" i="5"/>
  <c r="U151" i="5"/>
  <c r="U8" i="5"/>
  <c r="U72" i="5"/>
  <c r="U136" i="5"/>
  <c r="U200" i="5"/>
  <c r="U57" i="5"/>
  <c r="U121" i="5"/>
  <c r="U185" i="5"/>
  <c r="U42" i="5"/>
  <c r="U106" i="5"/>
  <c r="U170" i="5"/>
  <c r="U48" i="9"/>
  <c r="U25" i="9"/>
  <c r="U50" i="9"/>
  <c r="U34" i="9"/>
  <c r="U33" i="9"/>
  <c r="U28" i="9"/>
  <c r="U13" i="9"/>
  <c r="S112" i="4"/>
  <c r="S105" i="4"/>
  <c r="S89" i="4"/>
  <c r="S73" i="4"/>
  <c r="S57" i="4"/>
  <c r="S34" i="4"/>
  <c r="S11" i="4"/>
  <c r="S121" i="4"/>
  <c r="S120" i="4"/>
  <c r="S88" i="4"/>
  <c r="S51" i="4"/>
  <c r="S10" i="4"/>
  <c r="S131" i="4"/>
  <c r="S99" i="4"/>
  <c r="S67" i="4"/>
  <c r="S27" i="4"/>
  <c r="S130" i="4"/>
  <c r="S98" i="4"/>
  <c r="S82" i="4"/>
  <c r="S66" i="4"/>
  <c r="S26" i="4"/>
  <c r="S129" i="4"/>
  <c r="S113" i="4"/>
  <c r="S97" i="4"/>
  <c r="S81" i="4"/>
  <c r="S65" i="4"/>
  <c r="S43" i="4"/>
  <c r="S25" i="4"/>
  <c r="S104" i="4"/>
  <c r="S72" i="4"/>
  <c r="S33" i="4"/>
  <c r="S115" i="4"/>
  <c r="S83" i="4"/>
  <c r="S50" i="4"/>
  <c r="S9" i="4"/>
  <c r="S114" i="4"/>
  <c r="S49" i="4"/>
  <c r="S128" i="4"/>
  <c r="S96" i="4"/>
  <c r="S80" i="4"/>
  <c r="S64" i="4"/>
  <c r="S42" i="4"/>
  <c r="S19" i="4"/>
  <c r="S123" i="4"/>
  <c r="S107" i="4"/>
  <c r="S91" i="4"/>
  <c r="S75" i="4"/>
  <c r="S59" i="4"/>
  <c r="S41" i="4"/>
  <c r="S18" i="4"/>
  <c r="S122" i="4"/>
  <c r="S106" i="4"/>
  <c r="S90" i="4"/>
  <c r="S74" i="4"/>
  <c r="S58" i="4"/>
  <c r="S35" i="4"/>
  <c r="S17" i="4"/>
  <c r="S40" i="4"/>
  <c r="S8" i="4"/>
  <c r="S127" i="4"/>
  <c r="S119" i="4"/>
  <c r="S111" i="4"/>
  <c r="S103" i="4"/>
  <c r="S95" i="4"/>
  <c r="S87" i="4"/>
  <c r="S79" i="4"/>
  <c r="S71" i="4"/>
  <c r="S63" i="4"/>
  <c r="S55" i="4"/>
  <c r="S47" i="4"/>
  <c r="S39" i="4"/>
  <c r="S31" i="4"/>
  <c r="S23" i="4"/>
  <c r="S15" i="4"/>
  <c r="S48" i="4"/>
  <c r="S16" i="4"/>
  <c r="S126" i="4"/>
  <c r="S118" i="4"/>
  <c r="S110" i="4"/>
  <c r="S102" i="4"/>
  <c r="S94" i="4"/>
  <c r="S86" i="4"/>
  <c r="S78" i="4"/>
  <c r="S70" i="4"/>
  <c r="S62" i="4"/>
  <c r="S54" i="4"/>
  <c r="S46" i="4"/>
  <c r="S38" i="4"/>
  <c r="S30" i="4"/>
  <c r="S22" i="4"/>
  <c r="S14" i="4"/>
  <c r="S56" i="4"/>
  <c r="S24" i="4"/>
  <c r="S7" i="4"/>
  <c r="S125" i="4"/>
  <c r="S117" i="4"/>
  <c r="S109" i="4"/>
  <c r="S101" i="4"/>
  <c r="S93" i="4"/>
  <c r="S85" i="4"/>
  <c r="S77" i="4"/>
  <c r="S69" i="4"/>
  <c r="S61" i="4"/>
  <c r="S53" i="4"/>
  <c r="S45" i="4"/>
  <c r="S37" i="4"/>
  <c r="S29" i="4"/>
  <c r="S21" i="4"/>
  <c r="S13" i="4"/>
  <c r="S32" i="4"/>
  <c r="S132" i="4"/>
  <c r="S124" i="4"/>
  <c r="S116" i="4"/>
  <c r="S108" i="4"/>
  <c r="S100" i="4"/>
  <c r="S92" i="4"/>
  <c r="S84" i="4"/>
  <c r="S76" i="4"/>
  <c r="S68" i="4"/>
  <c r="S60" i="4"/>
  <c r="S52" i="4"/>
  <c r="S44" i="4"/>
  <c r="S36" i="4"/>
  <c r="S28" i="4"/>
  <c r="S20" i="4"/>
  <c r="S12" i="4"/>
  <c r="G209" i="5"/>
  <c r="S18" i="9"/>
  <c r="T44" i="9"/>
  <c r="Q12" i="9"/>
  <c r="S38" i="9"/>
  <c r="S19" i="9"/>
  <c r="P43" i="9"/>
  <c r="V52" i="9"/>
  <c r="P60" i="9"/>
  <c r="V35" i="9"/>
  <c r="Q36" i="9"/>
  <c r="Q27" i="9"/>
  <c r="O40" i="9"/>
  <c r="O53" i="9"/>
  <c r="S63" i="9"/>
  <c r="Q55" i="9"/>
  <c r="V23" i="9"/>
  <c r="O22" i="9"/>
  <c r="Q39" i="9"/>
  <c r="P20" i="9"/>
  <c r="O62" i="9"/>
  <c r="S31" i="9"/>
  <c r="Q58" i="9"/>
  <c r="T32" i="9"/>
  <c r="P37" i="9"/>
  <c r="O42" i="9"/>
  <c r="V14" i="9"/>
  <c r="O30" i="9"/>
  <c r="P17" i="9"/>
  <c r="T21" i="9"/>
  <c r="V54" i="9"/>
  <c r="T59" i="9"/>
  <c r="O46" i="9"/>
  <c r="V45" i="9"/>
  <c r="P15" i="9"/>
  <c r="O51" i="9"/>
  <c r="Q7" i="9"/>
  <c r="T29" i="9"/>
  <c r="Q41" i="9"/>
  <c r="T48" i="9"/>
  <c r="V50" i="9"/>
  <c r="Q34" i="9"/>
  <c r="Q33" i="9"/>
  <c r="V13" i="9"/>
  <c r="AD53" i="9"/>
  <c r="AB62" i="9"/>
  <c r="AF61" i="9"/>
  <c r="Y32" i="9"/>
  <c r="Y14" i="9"/>
  <c r="AD11" i="9"/>
  <c r="Z47" i="9"/>
  <c r="AD30" i="9"/>
  <c r="Y58" i="9"/>
  <c r="AB25" i="9"/>
  <c r="AD8" i="9"/>
  <c r="AF50" i="9"/>
  <c r="AF53" i="9"/>
  <c r="AB13" i="9"/>
  <c r="AC8" i="9"/>
  <c r="AC24" i="9"/>
  <c r="AD14" i="9"/>
  <c r="AD13" i="9"/>
  <c r="Z24" i="9"/>
  <c r="AC42" i="9"/>
  <c r="AC62" i="9"/>
  <c r="AD41" i="9"/>
  <c r="Z209" i="5"/>
  <c r="Z50" i="9"/>
  <c r="AB52" i="9"/>
  <c r="AB53" i="9"/>
  <c r="Y8" i="9"/>
  <c r="AB23" i="9"/>
  <c r="AF47" i="9"/>
  <c r="V9" i="9"/>
  <c r="T43" i="9"/>
  <c r="S53" i="9"/>
  <c r="S58" i="9"/>
  <c r="Q18" i="9"/>
  <c r="S12" i="9"/>
  <c r="Q38" i="9"/>
  <c r="V43" i="9"/>
  <c r="P52" i="9"/>
  <c r="S60" i="9"/>
  <c r="Q35" i="9"/>
  <c r="O36" i="9"/>
  <c r="O27" i="9"/>
  <c r="P40" i="9"/>
  <c r="V53" i="9"/>
  <c r="Q63" i="9"/>
  <c r="S55" i="9"/>
  <c r="Q23" i="9"/>
  <c r="Q22" i="9"/>
  <c r="O39" i="9"/>
  <c r="O20" i="9"/>
  <c r="T62" i="9"/>
  <c r="V47" i="9"/>
  <c r="T58" i="9"/>
  <c r="O32" i="9"/>
  <c r="V8" i="9"/>
  <c r="T42" i="9"/>
  <c r="T14" i="9"/>
  <c r="S57" i="9"/>
  <c r="S17" i="9"/>
  <c r="Q21" i="9"/>
  <c r="O54" i="9"/>
  <c r="O59" i="9"/>
  <c r="T46" i="9"/>
  <c r="Q45" i="9"/>
  <c r="O15" i="9"/>
  <c r="S51" i="9"/>
  <c r="S49" i="9"/>
  <c r="V29" i="9"/>
  <c r="S41" i="9"/>
  <c r="Q48" i="9"/>
  <c r="P50" i="9"/>
  <c r="S34" i="9"/>
  <c r="S33" i="9"/>
  <c r="P13" i="9"/>
  <c r="AF42" i="9"/>
  <c r="AB14" i="9"/>
  <c r="Y47" i="9"/>
  <c r="Y54" i="9"/>
  <c r="Z16" i="9"/>
  <c r="AC35" i="9"/>
  <c r="AD61" i="9"/>
  <c r="AC57" i="9"/>
  <c r="AF16" i="9"/>
  <c r="Z13" i="9"/>
  <c r="AF43" i="9"/>
  <c r="AF14" i="9"/>
  <c r="AC32" i="9"/>
  <c r="Z23" i="9"/>
  <c r="N209" i="5"/>
  <c r="AD20" i="9"/>
  <c r="AB54" i="9"/>
  <c r="Y10" i="9"/>
  <c r="Z45" i="9"/>
  <c r="Y30" i="9"/>
  <c r="AF41" i="9"/>
  <c r="Y25" i="9"/>
  <c r="Z56" i="9"/>
  <c r="AB50" i="9"/>
  <c r="P56" i="9"/>
  <c r="P44" i="9"/>
  <c r="P12" i="9"/>
  <c r="V38" i="9"/>
  <c r="Q16" i="9"/>
  <c r="S36" i="9"/>
  <c r="V63" i="9"/>
  <c r="S23" i="9"/>
  <c r="V39" i="9"/>
  <c r="T20" i="9"/>
  <c r="S47" i="9"/>
  <c r="V37" i="9"/>
  <c r="Q9" i="9"/>
  <c r="V56" i="9"/>
  <c r="V12" i="9"/>
  <c r="T38" i="9"/>
  <c r="S43" i="9"/>
  <c r="Q52" i="9"/>
  <c r="V16" i="9"/>
  <c r="S35" i="9"/>
  <c r="P36" i="9"/>
  <c r="Q61" i="9"/>
  <c r="P53" i="9"/>
  <c r="T63" i="9"/>
  <c r="Q26" i="9"/>
  <c r="O23" i="9"/>
  <c r="S22" i="9"/>
  <c r="S39" i="9"/>
  <c r="Q20" i="9"/>
  <c r="P62" i="9"/>
  <c r="O47" i="9"/>
  <c r="O58" i="9"/>
  <c r="S32" i="9"/>
  <c r="Q8" i="9"/>
  <c r="P42" i="9"/>
  <c r="P14" i="9"/>
  <c r="V57" i="9"/>
  <c r="T17" i="9"/>
  <c r="S24" i="9"/>
  <c r="V11" i="9"/>
  <c r="S54" i="9"/>
  <c r="P59" i="9"/>
  <c r="V10" i="9"/>
  <c r="P45" i="9"/>
  <c r="T15" i="9"/>
  <c r="P49" i="9"/>
  <c r="P29" i="9"/>
  <c r="V25" i="9"/>
  <c r="T50" i="9"/>
  <c r="O34" i="9"/>
  <c r="V28" i="9"/>
  <c r="S13" i="9"/>
  <c r="V18" i="9"/>
  <c r="T9" i="9"/>
  <c r="S56" i="9"/>
  <c r="S44" i="9"/>
  <c r="O19" i="9"/>
  <c r="O43" i="9"/>
  <c r="T60" i="9"/>
  <c r="S16" i="9"/>
  <c r="T35" i="9"/>
  <c r="P27" i="9"/>
  <c r="Q40" i="9"/>
  <c r="V61" i="9"/>
  <c r="Q53" i="9"/>
  <c r="T55" i="9"/>
  <c r="T26" i="9"/>
  <c r="T23" i="9"/>
  <c r="P22" i="9"/>
  <c r="V62" i="9"/>
  <c r="O31" i="9"/>
  <c r="P47" i="9"/>
  <c r="V32" i="9"/>
  <c r="T37" i="9"/>
  <c r="T8" i="9"/>
  <c r="S14" i="9"/>
  <c r="V30" i="9"/>
  <c r="O57" i="9"/>
  <c r="S21" i="9"/>
  <c r="Q24" i="9"/>
  <c r="S11" i="9"/>
  <c r="P54" i="9"/>
  <c r="P46" i="9"/>
  <c r="S10" i="9"/>
  <c r="O45" i="9"/>
  <c r="Q51" i="9"/>
  <c r="P7" i="9"/>
  <c r="T49" i="9"/>
  <c r="V41" i="9"/>
  <c r="S48" i="9"/>
  <c r="S25" i="9"/>
  <c r="Q50" i="9"/>
  <c r="T33" i="9"/>
  <c r="S28" i="9"/>
  <c r="O13" i="9"/>
  <c r="AB56" i="9"/>
  <c r="Z43" i="9"/>
  <c r="AC20" i="9"/>
  <c r="AB41" i="9"/>
  <c r="Z54" i="9"/>
  <c r="AB20" i="9"/>
  <c r="AF52" i="9"/>
  <c r="AD10" i="9"/>
  <c r="AD29" i="9"/>
  <c r="AD12" i="9"/>
  <c r="Y61" i="9"/>
  <c r="AC54" i="9"/>
  <c r="AF28" i="9"/>
  <c r="AD54" i="9"/>
  <c r="AB10" i="9"/>
  <c r="AD43" i="9"/>
  <c r="Z30" i="9"/>
  <c r="AC58" i="9"/>
  <c r="AC210" i="5"/>
  <c r="P18" i="9"/>
  <c r="S9" i="9"/>
  <c r="T56" i="9"/>
  <c r="Q44" i="9"/>
  <c r="T12" i="9"/>
  <c r="P19" i="9"/>
  <c r="T52" i="9"/>
  <c r="Q60" i="9"/>
  <c r="P16" i="9"/>
  <c r="V36" i="9"/>
  <c r="O18" i="9"/>
  <c r="P9" i="9"/>
  <c r="O56" i="9"/>
  <c r="O44" i="9"/>
  <c r="O12" i="9"/>
  <c r="P38" i="9"/>
  <c r="T19" i="9"/>
  <c r="O52" i="9"/>
  <c r="O60" i="9"/>
  <c r="O16" i="9"/>
  <c r="T36" i="9"/>
  <c r="S27" i="9"/>
  <c r="S40" i="9"/>
  <c r="S61" i="9"/>
  <c r="O63" i="9"/>
  <c r="O55" i="9"/>
  <c r="P26" i="9"/>
  <c r="T22" i="9"/>
  <c r="P39" i="9"/>
  <c r="V20" i="9"/>
  <c r="S62" i="9"/>
  <c r="T31" i="9"/>
  <c r="V58" i="9"/>
  <c r="P32" i="9"/>
  <c r="O37" i="9"/>
  <c r="V42" i="9"/>
  <c r="O14" i="9"/>
  <c r="Q30" i="9"/>
  <c r="Q17" i="9"/>
  <c r="P21" i="9"/>
  <c r="V24" i="9"/>
  <c r="O11" i="9"/>
  <c r="S59" i="9"/>
  <c r="Q46" i="9"/>
  <c r="Q10" i="9"/>
  <c r="Q15" i="9"/>
  <c r="P51" i="9"/>
  <c r="O7" i="9"/>
  <c r="O29" i="9"/>
  <c r="T41" i="9"/>
  <c r="P48" i="9"/>
  <c r="O25" i="9"/>
  <c r="P34" i="9"/>
  <c r="O33" i="9"/>
  <c r="P28" i="9"/>
  <c r="AB8" i="9"/>
  <c r="Y57" i="9"/>
  <c r="Z58" i="9"/>
  <c r="AF58" i="9"/>
  <c r="AC53" i="9"/>
  <c r="AF56" i="9"/>
  <c r="Z32" i="9"/>
  <c r="AB18" i="9"/>
  <c r="Z41" i="9"/>
  <c r="AB11" i="9"/>
  <c r="Y20" i="9"/>
  <c r="AB61" i="9"/>
  <c r="Y11" i="9"/>
  <c r="Z42" i="9"/>
  <c r="AF32" i="9"/>
  <c r="AF62" i="9"/>
  <c r="Z11" i="9"/>
  <c r="AB57" i="9"/>
  <c r="AF11" i="9"/>
  <c r="Z57" i="9"/>
  <c r="AD45" i="9"/>
  <c r="AB32" i="9"/>
  <c r="AC25" i="9"/>
  <c r="AF35" i="9"/>
  <c r="AF20" i="9"/>
  <c r="V209" i="5"/>
  <c r="AC13" i="9"/>
  <c r="AD62" i="9"/>
  <c r="AD25" i="9"/>
  <c r="AB24" i="9"/>
  <c r="Y24" i="9"/>
  <c r="Y23" i="9"/>
  <c r="Y28" i="9"/>
  <c r="Y62" i="9"/>
  <c r="AD28" i="9"/>
  <c r="AB43" i="9"/>
  <c r="AF10" i="9"/>
  <c r="AB30" i="9"/>
  <c r="AB28" i="9"/>
  <c r="Y43" i="9"/>
  <c r="AB45" i="9"/>
  <c r="AC29" i="9"/>
  <c r="AC209" i="5"/>
  <c r="Q19" i="9"/>
  <c r="S52" i="9"/>
  <c r="P35" i="9"/>
  <c r="P61" i="9"/>
  <c r="O26" i="9"/>
  <c r="V31" i="9"/>
  <c r="S8" i="9"/>
  <c r="O35" i="9"/>
  <c r="T61" i="9"/>
  <c r="P55" i="9"/>
  <c r="Q62" i="9"/>
  <c r="P58" i="9"/>
  <c r="O8" i="9"/>
  <c r="Q11" i="9"/>
  <c r="T45" i="9"/>
  <c r="T7" i="9"/>
  <c r="O41" i="9"/>
  <c r="T25" i="9"/>
  <c r="Z10" i="9"/>
  <c r="AF13" i="9"/>
  <c r="AD47" i="9"/>
  <c r="Y15" i="9"/>
  <c r="Z14" i="9"/>
  <c r="Y39" i="9"/>
  <c r="Y12" i="9"/>
  <c r="AD50" i="9"/>
  <c r="AD52" i="9"/>
  <c r="AC49" i="9"/>
  <c r="Y29" i="9"/>
  <c r="Y46" i="9"/>
  <c r="Q29" i="9"/>
  <c r="P23" i="9"/>
  <c r="T10" i="9"/>
  <c r="AC18" i="9"/>
  <c r="AF57" i="9"/>
  <c r="AF25" i="9"/>
  <c r="Z35" i="9"/>
  <c r="S37" i="9"/>
  <c r="S29" i="9"/>
  <c r="Q13" i="9"/>
  <c r="Y19" i="9"/>
  <c r="Y50" i="9"/>
  <c r="AC28" i="9"/>
  <c r="AC12" i="9"/>
  <c r="AB58" i="9"/>
  <c r="T16" i="9"/>
  <c r="T47" i="9"/>
  <c r="O17" i="9"/>
  <c r="T13" i="9"/>
  <c r="AF46" i="9"/>
  <c r="AB60" i="9"/>
  <c r="AC23" i="9"/>
  <c r="Z60" i="9"/>
  <c r="O9" i="9"/>
  <c r="O21" i="9"/>
  <c r="P33" i="9"/>
  <c r="AC11" i="9"/>
  <c r="Z63" i="9"/>
  <c r="AF39" i="9"/>
  <c r="AD40" i="9"/>
  <c r="Y38" i="9"/>
  <c r="AD39" i="9"/>
  <c r="T30" i="9"/>
  <c r="P24" i="9"/>
  <c r="P11" i="9"/>
  <c r="S46" i="9"/>
  <c r="O28" i="9"/>
  <c r="Z37" i="9"/>
  <c r="AF24" i="9"/>
  <c r="Y16" i="9"/>
  <c r="Z18" i="9"/>
  <c r="AB42" i="9"/>
  <c r="AC16" i="9"/>
  <c r="AC10" i="9"/>
  <c r="Z61" i="9"/>
  <c r="AD32" i="9"/>
  <c r="AD27" i="9"/>
  <c r="Z20" i="9"/>
  <c r="T7" i="4"/>
  <c r="O50" i="9"/>
  <c r="AB12" i="9"/>
  <c r="Z12" i="9"/>
  <c r="AB48" i="9"/>
  <c r="AF18" i="9"/>
  <c r="AC52" i="9"/>
  <c r="V210" i="5"/>
  <c r="Q37" i="9"/>
  <c r="T54" i="9"/>
  <c r="Z29" i="9"/>
  <c r="Z52" i="9"/>
  <c r="AC22" i="9"/>
  <c r="AB51" i="9"/>
  <c r="AC31" i="9"/>
  <c r="P63" i="9"/>
  <c r="Q47" i="9"/>
  <c r="Q57" i="9"/>
  <c r="O10" i="9"/>
  <c r="Y63" i="9"/>
  <c r="Z49" i="9"/>
  <c r="Y35" i="9"/>
  <c r="Y56" i="9"/>
  <c r="S20" i="9"/>
  <c r="P41" i="9"/>
  <c r="Z25" i="9"/>
  <c r="Z53" i="9"/>
  <c r="AD18" i="9"/>
  <c r="Y42" i="9"/>
  <c r="T40" i="9"/>
  <c r="S30" i="9"/>
  <c r="S45" i="9"/>
  <c r="S7" i="9"/>
  <c r="AD9" i="9"/>
  <c r="AB37" i="9"/>
  <c r="AC56" i="9"/>
  <c r="AB16" i="9"/>
  <c r="O38" i="9"/>
  <c r="Q43" i="9"/>
  <c r="O61" i="9"/>
  <c r="S26" i="9"/>
  <c r="T39" i="9"/>
  <c r="Q31" i="9"/>
  <c r="Q32" i="9"/>
  <c r="Q42" i="9"/>
  <c r="T24" i="9"/>
  <c r="T11" i="9"/>
  <c r="S15" i="9"/>
  <c r="O49" i="9"/>
  <c r="S50" i="9"/>
  <c r="T28" i="9"/>
  <c r="AF12" i="9"/>
  <c r="AB31" i="9"/>
  <c r="AF15" i="9"/>
  <c r="AF23" i="9"/>
  <c r="AB29" i="9"/>
  <c r="AF19" i="9"/>
  <c r="Y45" i="9"/>
  <c r="AD16" i="9"/>
  <c r="AD58" i="9"/>
  <c r="AD57" i="9"/>
  <c r="AB39" i="9"/>
  <c r="AC45" i="9"/>
  <c r="AC37" i="9"/>
  <c r="AC14" i="9"/>
  <c r="AF30" i="9"/>
  <c r="Z210" i="5"/>
  <c r="Q56" i="9"/>
  <c r="T27" i="9"/>
  <c r="P31" i="9"/>
  <c r="Y37" i="9"/>
  <c r="S42" i="9"/>
  <c r="T57" i="9"/>
  <c r="O24" i="9"/>
  <c r="P10" i="9"/>
  <c r="Q49" i="9"/>
  <c r="Q28" i="9"/>
  <c r="AB47" i="9"/>
  <c r="AB35" i="9"/>
  <c r="AD46" i="9"/>
  <c r="Z8" i="9"/>
  <c r="AC61" i="9"/>
  <c r="AB19" i="9"/>
  <c r="Y52" i="9"/>
  <c r="T18" i="9"/>
  <c r="T53" i="9"/>
  <c r="Q14" i="9"/>
  <c r="P57" i="9"/>
  <c r="T51" i="9"/>
  <c r="O48" i="9"/>
  <c r="AC43" i="9"/>
  <c r="Z62" i="9"/>
  <c r="AD23" i="9"/>
  <c r="Y41" i="9"/>
  <c r="AF45" i="9"/>
  <c r="AF54" i="9"/>
  <c r="AC30" i="9"/>
  <c r="Q54" i="9"/>
  <c r="T34" i="9"/>
  <c r="AF48" i="9"/>
  <c r="AD42" i="9"/>
  <c r="AD56" i="9"/>
  <c r="Y53" i="9"/>
  <c r="AC39" i="9"/>
  <c r="Z28" i="9"/>
  <c r="AC9" i="9"/>
  <c r="AB63" i="9"/>
  <c r="P30" i="9"/>
  <c r="Q25" i="9"/>
  <c r="AC41" i="9"/>
  <c r="Y13" i="9"/>
  <c r="Z31" i="9"/>
  <c r="AD35" i="9"/>
  <c r="AC7" i="9"/>
  <c r="AC15" i="9"/>
  <c r="Z27" i="9"/>
  <c r="AC47" i="9"/>
  <c r="P8" i="9"/>
  <c r="Q59" i="9"/>
  <c r="P25" i="9"/>
  <c r="Y22" i="9"/>
  <c r="AD48" i="9"/>
  <c r="AD24" i="9"/>
  <c r="AF29" i="9"/>
  <c r="Z19" i="9"/>
  <c r="AF8" i="9"/>
  <c r="AC50" i="9"/>
  <c r="Y18" i="9"/>
  <c r="AF7" i="9"/>
  <c r="Y34" i="9"/>
  <c r="AB17" i="9"/>
  <c r="W59" i="9" l="1"/>
  <c r="W25" i="9"/>
  <c r="W54" i="9"/>
  <c r="X54" i="9" s="1"/>
  <c r="W14" i="9"/>
  <c r="W28" i="9"/>
  <c r="X28" i="9" s="1"/>
  <c r="W49" i="9"/>
  <c r="W56" i="9"/>
  <c r="W42" i="9"/>
  <c r="W32" i="9"/>
  <c r="W31" i="9"/>
  <c r="W43" i="9"/>
  <c r="X43" i="9" s="1"/>
  <c r="W57" i="9"/>
  <c r="X57" i="9" s="1"/>
  <c r="W47" i="9"/>
  <c r="X47" i="9" s="1"/>
  <c r="W37" i="9"/>
  <c r="W13" i="9"/>
  <c r="W29" i="9"/>
  <c r="W11" i="9"/>
  <c r="W62" i="9"/>
  <c r="W19" i="9"/>
  <c r="W15" i="9"/>
  <c r="W10" i="9"/>
  <c r="W46" i="9"/>
  <c r="W17" i="9"/>
  <c r="W30" i="9"/>
  <c r="X30" i="9" s="1"/>
  <c r="W60" i="9"/>
  <c r="W44" i="9"/>
  <c r="W50" i="9"/>
  <c r="X50" i="9" s="1"/>
  <c r="W51" i="9"/>
  <c r="W24" i="9"/>
  <c r="X24" i="9" s="1"/>
  <c r="W53" i="9"/>
  <c r="W40" i="9"/>
  <c r="W8" i="9"/>
  <c r="W20" i="9"/>
  <c r="W26" i="9"/>
  <c r="W61" i="9"/>
  <c r="X61" i="9" s="1"/>
  <c r="W52" i="9"/>
  <c r="W9" i="9"/>
  <c r="X9" i="9" s="1"/>
  <c r="W16" i="9"/>
  <c r="W48" i="9"/>
  <c r="W45" i="9"/>
  <c r="W21" i="9"/>
  <c r="W22" i="9"/>
  <c r="W23" i="9"/>
  <c r="X23" i="9" s="1"/>
  <c r="W63" i="9"/>
  <c r="X63" i="9" s="1"/>
  <c r="W35" i="9"/>
  <c r="W38" i="9"/>
  <c r="W18" i="9"/>
  <c r="W33" i="9"/>
  <c r="W34" i="9"/>
  <c r="W41" i="9"/>
  <c r="W7" i="9"/>
  <c r="W58" i="9"/>
  <c r="W39" i="9"/>
  <c r="X39" i="9" s="1"/>
  <c r="W55" i="9"/>
  <c r="W27" i="9"/>
  <c r="W36" i="9"/>
  <c r="W12" i="9"/>
  <c r="X29" i="9"/>
  <c r="AA20" i="9"/>
  <c r="X14" i="9"/>
  <c r="X16" i="9"/>
  <c r="AA56" i="9"/>
  <c r="AA23" i="9"/>
  <c r="AE25" i="9"/>
  <c r="AE41" i="9"/>
  <c r="AE45" i="9"/>
  <c r="AA35" i="9"/>
  <c r="AA30" i="9"/>
  <c r="AE32" i="9"/>
  <c r="AE43" i="9"/>
  <c r="AA57" i="9"/>
  <c r="AA28" i="9"/>
  <c r="X41" i="9"/>
  <c r="AE54" i="9"/>
  <c r="AA61" i="9"/>
  <c r="AE39" i="9"/>
  <c r="AA13" i="9"/>
  <c r="AE62" i="9"/>
  <c r="X25" i="9"/>
  <c r="AA11" i="9"/>
  <c r="AA19" i="9"/>
  <c r="AE18" i="9"/>
  <c r="AE57" i="9"/>
  <c r="AE12" i="9"/>
  <c r="X53" i="9"/>
  <c r="AA24" i="9"/>
  <c r="AE29" i="9"/>
  <c r="AA8" i="9"/>
  <c r="AE13" i="9"/>
  <c r="X20" i="9"/>
  <c r="AA42" i="9"/>
  <c r="AE52" i="9"/>
  <c r="AE14" i="9"/>
  <c r="AE58" i="9"/>
  <c r="X18" i="9"/>
  <c r="X31" i="9"/>
  <c r="AE50" i="9"/>
  <c r="X38" i="9"/>
  <c r="AE10" i="9"/>
  <c r="AE35" i="9"/>
  <c r="AE16" i="9"/>
  <c r="X62" i="9"/>
  <c r="AA53" i="9"/>
  <c r="AE56" i="9"/>
  <c r="AE23" i="9"/>
  <c r="AA18" i="9"/>
  <c r="AE24" i="9"/>
  <c r="AE8" i="9"/>
  <c r="AA41" i="9"/>
  <c r="AA52" i="9"/>
  <c r="AA12" i="9"/>
  <c r="AA54" i="9"/>
  <c r="AA14" i="9"/>
  <c r="AA45" i="9"/>
  <c r="AE61" i="9"/>
  <c r="AA63" i="9"/>
  <c r="AA32" i="9"/>
  <c r="AA16" i="9"/>
  <c r="AE30" i="9"/>
  <c r="AE42" i="9"/>
  <c r="AA62" i="9"/>
  <c r="AA47" i="9"/>
  <c r="AE11" i="9"/>
  <c r="AE47" i="9"/>
  <c r="X12" i="9"/>
  <c r="X37" i="9"/>
  <c r="AA25" i="9"/>
  <c r="AA29" i="9"/>
  <c r="AE28" i="9"/>
  <c r="AA43" i="9"/>
  <c r="AE9" i="9"/>
  <c r="AA58" i="9"/>
  <c r="AA50" i="9"/>
  <c r="AA10" i="9"/>
  <c r="X32" i="9"/>
  <c r="AE20" i="9"/>
  <c r="AA37" i="9"/>
  <c r="X11" i="9"/>
  <c r="AE53" i="9"/>
  <c r="G208" i="5"/>
  <c r="R59" i="9"/>
  <c r="R32" i="9"/>
  <c r="R11" i="9"/>
  <c r="R60" i="9"/>
  <c r="R20" i="9"/>
  <c r="R21" i="9"/>
  <c r="R34" i="9"/>
  <c r="R12" i="9"/>
  <c r="AD44" i="9"/>
  <c r="AB22" i="9"/>
  <c r="AC48" i="9"/>
  <c r="AB33" i="9"/>
  <c r="AC59" i="9"/>
  <c r="AF17" i="9"/>
  <c r="Z34" i="9"/>
  <c r="AD33" i="9"/>
  <c r="AB49" i="9"/>
  <c r="Z26" i="9"/>
  <c r="AD7" i="9"/>
  <c r="V46" i="9"/>
  <c r="Z21" i="9"/>
  <c r="AD63" i="9"/>
  <c r="AC36" i="9"/>
  <c r="AD36" i="9"/>
  <c r="N208" i="5"/>
  <c r="Y33" i="9"/>
  <c r="Z15" i="9"/>
  <c r="AF38" i="9"/>
  <c r="AD37" i="9"/>
  <c r="R28" i="9"/>
  <c r="R24" i="9"/>
  <c r="R39" i="9"/>
  <c r="AC34" i="9"/>
  <c r="AB15" i="9"/>
  <c r="V21" i="9"/>
  <c r="AD31" i="9"/>
  <c r="R30" i="9"/>
  <c r="V33" i="9"/>
  <c r="Z44" i="9"/>
  <c r="Z59" i="9"/>
  <c r="R25" i="9"/>
  <c r="R31" i="9"/>
  <c r="R62" i="9"/>
  <c r="R44" i="9"/>
  <c r="R26" i="9"/>
  <c r="R22" i="9"/>
  <c r="R41" i="9"/>
  <c r="V55" i="9"/>
  <c r="AC44" i="9"/>
  <c r="V60" i="9"/>
  <c r="Z48" i="9"/>
  <c r="AF33" i="9"/>
  <c r="V40" i="9"/>
  <c r="Z17" i="9"/>
  <c r="Z33" i="9"/>
  <c r="AC40" i="9"/>
  <c r="V15" i="9"/>
  <c r="AF26" i="9"/>
  <c r="AB7" i="9"/>
  <c r="AC46" i="9"/>
  <c r="AD21" i="9"/>
  <c r="AF63" i="9"/>
  <c r="AB36" i="9"/>
  <c r="Z36" i="9"/>
  <c r="AC208" i="5"/>
  <c r="R51" i="9"/>
  <c r="Y55" i="9"/>
  <c r="AB44" i="9"/>
  <c r="AC27" i="9"/>
  <c r="V34" i="9"/>
  <c r="AF51" i="9"/>
  <c r="Y26" i="9"/>
  <c r="AF55" i="9"/>
  <c r="AF9" i="9"/>
  <c r="R10" i="9"/>
  <c r="R9" i="9"/>
  <c r="AB55" i="9"/>
  <c r="V22" i="9"/>
  <c r="AF60" i="9"/>
  <c r="AB27" i="9"/>
  <c r="V59" i="9"/>
  <c r="Z51" i="9"/>
  <c r="V49" i="9"/>
  <c r="Z40" i="9"/>
  <c r="Y9" i="9"/>
  <c r="R29" i="9"/>
  <c r="R8" i="9"/>
  <c r="R33" i="9"/>
  <c r="AD22" i="9"/>
  <c r="AB59" i="9"/>
  <c r="AB34" i="9"/>
  <c r="AD26" i="9"/>
  <c r="Y21" i="9"/>
  <c r="Y36" i="9"/>
  <c r="Z208" i="5"/>
  <c r="R54" i="9"/>
  <c r="R43" i="9"/>
  <c r="R19" i="9"/>
  <c r="R50" i="9"/>
  <c r="R61" i="9"/>
  <c r="R23" i="9"/>
  <c r="R7" i="9"/>
  <c r="Z55" i="9"/>
  <c r="Y44" i="9"/>
  <c r="AC60" i="9"/>
  <c r="V27" i="9"/>
  <c r="AC33" i="9"/>
  <c r="AF40" i="9"/>
  <c r="AD17" i="9"/>
  <c r="V51" i="9"/>
  <c r="AC55" i="9"/>
  <c r="AD15" i="9"/>
  <c r="AB26" i="9"/>
  <c r="Y7" i="9"/>
  <c r="Z46" i="9"/>
  <c r="AC21" i="9"/>
  <c r="AB9" i="9"/>
  <c r="AF36" i="9"/>
  <c r="AF37" i="9"/>
  <c r="R14" i="9"/>
  <c r="R57" i="9"/>
  <c r="R15" i="9"/>
  <c r="R52" i="9"/>
  <c r="R63" i="9"/>
  <c r="R58" i="9"/>
  <c r="Y60" i="9"/>
  <c r="AB40" i="9"/>
  <c r="AD59" i="9"/>
  <c r="AB46" i="9"/>
  <c r="R47" i="9"/>
  <c r="R35" i="9"/>
  <c r="Y40" i="9"/>
  <c r="V19" i="9"/>
  <c r="AC38" i="9"/>
  <c r="AF44" i="9"/>
  <c r="AB38" i="9"/>
  <c r="R49" i="9"/>
  <c r="R37" i="9"/>
  <c r="R46" i="9"/>
  <c r="R53" i="9"/>
  <c r="R16" i="9"/>
  <c r="R38" i="9"/>
  <c r="R55" i="9"/>
  <c r="AD55" i="9"/>
  <c r="AF22" i="9"/>
  <c r="AD60" i="9"/>
  <c r="AF27" i="9"/>
  <c r="Y59" i="9"/>
  <c r="V17" i="9"/>
  <c r="AF34" i="9"/>
  <c r="AD51" i="9"/>
  <c r="AF49" i="9"/>
  <c r="V26" i="9"/>
  <c r="AC19" i="9"/>
  <c r="Z7" i="9"/>
  <c r="AF21" i="9"/>
  <c r="Z38" i="9"/>
  <c r="Z9" i="9"/>
  <c r="Y31" i="9"/>
  <c r="R56" i="9"/>
  <c r="R13" i="9"/>
  <c r="R17" i="9"/>
  <c r="R40" i="9"/>
  <c r="R48" i="9"/>
  <c r="R18" i="9"/>
  <c r="R27" i="9"/>
  <c r="V44" i="9"/>
  <c r="Z22" i="9"/>
  <c r="V48" i="9"/>
  <c r="Y27" i="9"/>
  <c r="AF59" i="9"/>
  <c r="Y17" i="9"/>
  <c r="AD34" i="9"/>
  <c r="AC51" i="9"/>
  <c r="AD49" i="9"/>
  <c r="AC26" i="9"/>
  <c r="AD19" i="9"/>
  <c r="Y51" i="9"/>
  <c r="AB21" i="9"/>
  <c r="AF31" i="9"/>
  <c r="AC63" i="9"/>
  <c r="Z39" i="9"/>
  <c r="V208" i="5"/>
  <c r="R42" i="9"/>
  <c r="R45" i="9"/>
  <c r="R36" i="9"/>
  <c r="Y48" i="9"/>
  <c r="AC17" i="9"/>
  <c r="Y49" i="9"/>
  <c r="V7" i="9"/>
  <c r="AD38" i="9"/>
  <c r="R3" i="9" l="1"/>
  <c r="AE38" i="9"/>
  <c r="AA49" i="9"/>
  <c r="AA39" i="9"/>
  <c r="AE19" i="9"/>
  <c r="AE49" i="9"/>
  <c r="AE34" i="9"/>
  <c r="AA27" i="9"/>
  <c r="AA22" i="9"/>
  <c r="X44" i="9"/>
  <c r="AA31" i="9"/>
  <c r="AA9" i="9"/>
  <c r="AA38" i="9"/>
  <c r="AA7" i="9"/>
  <c r="X26" i="9"/>
  <c r="AE51" i="9"/>
  <c r="X17" i="9"/>
  <c r="AE60" i="9"/>
  <c r="AE55" i="9"/>
  <c r="X19" i="9"/>
  <c r="AE59" i="9"/>
  <c r="AA60" i="9"/>
  <c r="AA46" i="9"/>
  <c r="AE15" i="9"/>
  <c r="X51" i="9"/>
  <c r="AE17" i="9"/>
  <c r="AA55" i="9"/>
  <c r="AE26" i="9"/>
  <c r="AE22" i="9"/>
  <c r="AA40" i="9"/>
  <c r="X49" i="9"/>
  <c r="AA51" i="9"/>
  <c r="X59" i="9"/>
  <c r="X22" i="9"/>
  <c r="X34" i="9"/>
  <c r="AE27" i="9"/>
  <c r="AA36" i="9"/>
  <c r="AE21" i="9"/>
  <c r="AE46" i="9"/>
  <c r="AE40" i="9"/>
  <c r="AA33" i="9"/>
  <c r="AA17" i="9"/>
  <c r="AA48" i="9"/>
  <c r="X60" i="9"/>
  <c r="X55" i="9"/>
  <c r="AA59" i="9"/>
  <c r="AA44" i="9"/>
  <c r="AE31" i="9"/>
  <c r="X21" i="9"/>
  <c r="AE37" i="9"/>
  <c r="AA15" i="9"/>
  <c r="AE36" i="9"/>
  <c r="AE63" i="9"/>
  <c r="AA21" i="9"/>
  <c r="X46" i="9"/>
  <c r="AE7" i="9"/>
  <c r="S3" i="9" s="1"/>
  <c r="AA26" i="9"/>
  <c r="AE33" i="9"/>
  <c r="AA34" i="9"/>
  <c r="AE48" i="9"/>
  <c r="AE44" i="9"/>
  <c r="X33" i="9"/>
  <c r="X45" i="9"/>
  <c r="X56" i="9"/>
  <c r="X35" i="9"/>
  <c r="X36" i="9"/>
  <c r="X13" i="9"/>
  <c r="X52" i="9"/>
  <c r="X7" i="9"/>
  <c r="Q3" i="9" s="1"/>
  <c r="X8" i="9"/>
  <c r="X10" i="9"/>
  <c r="X15" i="9"/>
  <c r="X27" i="9"/>
  <c r="X42" i="9"/>
  <c r="X40" i="9"/>
  <c r="X58" i="9"/>
  <c r="X48" i="9"/>
  <c r="G207" i="5"/>
  <c r="V207" i="5"/>
  <c r="AC207" i="5"/>
  <c r="N207" i="5"/>
  <c r="Z207" i="5"/>
  <c r="G206" i="5" l="1"/>
  <c r="Z206" i="5"/>
  <c r="AC206" i="5"/>
  <c r="N206" i="5"/>
  <c r="V206" i="5"/>
  <c r="G205" i="5" l="1"/>
  <c r="Z205" i="5"/>
  <c r="V205" i="5"/>
  <c r="N205" i="5"/>
  <c r="AC205" i="5"/>
  <c r="G204" i="5" l="1"/>
  <c r="Z204" i="5"/>
  <c r="V204" i="5"/>
  <c r="AC204" i="5"/>
  <c r="N204" i="5"/>
  <c r="G203" i="5" l="1"/>
  <c r="N203" i="5"/>
  <c r="Z203" i="5"/>
  <c r="AC203" i="5"/>
  <c r="V203" i="5"/>
  <c r="G202" i="5" l="1"/>
  <c r="Z202" i="5"/>
  <c r="AC202" i="5"/>
  <c r="V202" i="5"/>
  <c r="N202" i="5"/>
  <c r="G201" i="5" l="1"/>
  <c r="AC201" i="5"/>
  <c r="Z201" i="5"/>
  <c r="V201" i="5"/>
  <c r="N201" i="5"/>
  <c r="G200" i="5" l="1"/>
  <c r="Z200" i="5"/>
  <c r="AC200" i="5"/>
  <c r="V200" i="5"/>
  <c r="N200" i="5"/>
  <c r="G199" i="5" l="1"/>
  <c r="V199" i="5"/>
  <c r="Z199" i="5"/>
  <c r="N199" i="5"/>
  <c r="AC199" i="5"/>
  <c r="G198" i="5" l="1"/>
  <c r="V198" i="5"/>
  <c r="Z198" i="5"/>
  <c r="N198" i="5"/>
  <c r="AC198" i="5"/>
  <c r="G197" i="5" l="1"/>
  <c r="Z197" i="5"/>
  <c r="V197" i="5"/>
  <c r="AC197" i="5"/>
  <c r="N197" i="5"/>
  <c r="G196" i="5" l="1"/>
  <c r="Z196" i="5"/>
  <c r="N196" i="5"/>
  <c r="V196" i="5"/>
  <c r="AC196" i="5"/>
  <c r="G195" i="5" l="1"/>
  <c r="AC195" i="5"/>
  <c r="Z195" i="5"/>
  <c r="N195" i="5"/>
  <c r="V195" i="5"/>
  <c r="G194" i="5" l="1"/>
  <c r="V194" i="5"/>
  <c r="Z194" i="5"/>
  <c r="AC194" i="5"/>
  <c r="N194" i="5"/>
  <c r="G193" i="5" l="1"/>
  <c r="Z193" i="5"/>
  <c r="AC193" i="5"/>
  <c r="N193" i="5"/>
  <c r="V193" i="5"/>
  <c r="G192" i="5" l="1"/>
  <c r="N192" i="5"/>
  <c r="Z192" i="5"/>
  <c r="AC192" i="5"/>
  <c r="V192" i="5"/>
  <c r="G191" i="5" l="1"/>
  <c r="V191" i="5"/>
  <c r="Z191" i="5"/>
  <c r="AC191" i="5"/>
  <c r="N191" i="5"/>
  <c r="G190" i="5" l="1"/>
  <c r="Z190" i="5"/>
  <c r="N190" i="5"/>
  <c r="AC190" i="5"/>
  <c r="V190" i="5"/>
  <c r="G189" i="5" l="1"/>
  <c r="Z189" i="5"/>
  <c r="AC189" i="5"/>
  <c r="V189" i="5"/>
  <c r="N189" i="5"/>
  <c r="G188" i="5" l="1"/>
  <c r="Z188" i="5"/>
  <c r="AC188" i="5"/>
  <c r="N188" i="5"/>
  <c r="V188" i="5"/>
  <c r="G187" i="5" l="1"/>
  <c r="V187" i="5"/>
  <c r="N187" i="5"/>
  <c r="AC187" i="5"/>
  <c r="Z187" i="5"/>
  <c r="G186" i="5" l="1"/>
  <c r="Z186" i="5"/>
  <c r="AC186" i="5"/>
  <c r="V186" i="5"/>
  <c r="N186" i="5"/>
  <c r="G185" i="5" l="1"/>
  <c r="AC185" i="5"/>
  <c r="N185" i="5"/>
  <c r="Z185" i="5"/>
  <c r="V185" i="5"/>
  <c r="G184" i="5" l="1"/>
  <c r="Z184" i="5"/>
  <c r="AC184" i="5"/>
  <c r="V184" i="5"/>
  <c r="N184" i="5"/>
  <c r="G183" i="5" l="1"/>
  <c r="Z183" i="5"/>
  <c r="V183" i="5"/>
  <c r="AC183" i="5"/>
  <c r="N183" i="5"/>
  <c r="G182" i="5" l="1"/>
  <c r="N182" i="5"/>
  <c r="Z182" i="5"/>
  <c r="V182" i="5"/>
  <c r="AC182" i="5"/>
  <c r="G181" i="5" l="1"/>
  <c r="Z181" i="5"/>
  <c r="AC181" i="5"/>
  <c r="V181" i="5"/>
  <c r="N181" i="5"/>
  <c r="G180" i="5" l="1"/>
  <c r="AC180" i="5"/>
  <c r="Z180" i="5"/>
  <c r="V180" i="5"/>
  <c r="N180" i="5"/>
  <c r="G179" i="5" l="1"/>
  <c r="AC179" i="5"/>
  <c r="V179" i="5"/>
  <c r="N179" i="5"/>
  <c r="Z179" i="5"/>
  <c r="G178" i="5" l="1"/>
  <c r="AC178" i="5"/>
  <c r="Z178" i="5"/>
  <c r="V178" i="5"/>
  <c r="N178" i="5"/>
  <c r="G177" i="5" l="1"/>
  <c r="V177" i="5"/>
  <c r="AC177" i="5"/>
  <c r="N177" i="5"/>
  <c r="Z177" i="5"/>
  <c r="G176" i="5" l="1"/>
  <c r="AC176" i="5"/>
  <c r="Z176" i="5"/>
  <c r="V176" i="5"/>
  <c r="N176" i="5"/>
  <c r="G175" i="5" l="1"/>
  <c r="V175" i="5"/>
  <c r="Z175" i="5"/>
  <c r="N175" i="5"/>
  <c r="AC175" i="5"/>
  <c r="G174" i="5" l="1"/>
  <c r="Z174" i="5"/>
  <c r="V174" i="5"/>
  <c r="N174" i="5"/>
  <c r="AC174" i="5"/>
  <c r="G173" i="5" l="1"/>
  <c r="Z173" i="5"/>
  <c r="AC173" i="5"/>
  <c r="N173" i="5"/>
  <c r="V173" i="5"/>
  <c r="G172" i="5" l="1"/>
  <c r="Z172" i="5"/>
  <c r="AC172" i="5"/>
  <c r="V172" i="5"/>
  <c r="N172" i="5"/>
  <c r="G171" i="5" l="1"/>
  <c r="AC171" i="5"/>
  <c r="Z171" i="5"/>
  <c r="N171" i="5"/>
  <c r="V171" i="5"/>
  <c r="G170" i="5" l="1"/>
  <c r="V170" i="5"/>
  <c r="AC170" i="5"/>
  <c r="Z170" i="5"/>
  <c r="N170" i="5"/>
  <c r="G169" i="5" l="1"/>
  <c r="Z169" i="5"/>
  <c r="AC169" i="5"/>
  <c r="V169" i="5"/>
  <c r="N169" i="5"/>
  <c r="G168" i="5" l="1"/>
  <c r="N168" i="5"/>
  <c r="Z168" i="5"/>
  <c r="AC168" i="5"/>
  <c r="V168" i="5"/>
  <c r="G167" i="5" l="1"/>
  <c r="AC167" i="5"/>
  <c r="Z167" i="5"/>
  <c r="N167" i="5"/>
  <c r="V167" i="5"/>
  <c r="G166" i="5" l="1"/>
  <c r="Z166" i="5"/>
  <c r="V166" i="5"/>
  <c r="AC166" i="5"/>
  <c r="N166" i="5"/>
  <c r="G165" i="5" l="1"/>
  <c r="Z165" i="5"/>
  <c r="V165" i="5"/>
  <c r="AC165" i="5"/>
  <c r="N165" i="5"/>
  <c r="G164" i="5" l="1"/>
  <c r="Z164" i="5"/>
  <c r="V164" i="5"/>
  <c r="N164" i="5"/>
  <c r="AC164" i="5"/>
  <c r="G163" i="5" l="1"/>
  <c r="Z163" i="5"/>
  <c r="AC163" i="5"/>
  <c r="N163" i="5"/>
  <c r="V163" i="5"/>
  <c r="G162" i="5" l="1"/>
  <c r="Z162" i="5"/>
  <c r="V162" i="5"/>
  <c r="AC162" i="5"/>
  <c r="N162" i="5"/>
  <c r="G161" i="5" l="1"/>
  <c r="Z161" i="5"/>
  <c r="N161" i="5"/>
  <c r="V161" i="5"/>
  <c r="AC161" i="5"/>
  <c r="G160" i="5" l="1"/>
  <c r="Z160" i="5"/>
  <c r="V160" i="5"/>
  <c r="N160" i="5"/>
  <c r="AC160" i="5"/>
  <c r="G159" i="5" l="1"/>
  <c r="AC159" i="5"/>
  <c r="Z159" i="5"/>
  <c r="N159" i="5"/>
  <c r="V159" i="5"/>
  <c r="G158" i="5" l="1"/>
  <c r="V158" i="5"/>
  <c r="AC158" i="5"/>
  <c r="N158" i="5"/>
  <c r="Z158" i="5"/>
  <c r="G157" i="5" l="1"/>
  <c r="AC157" i="5"/>
  <c r="V157" i="5"/>
  <c r="Z157" i="5"/>
  <c r="N157" i="5"/>
  <c r="G156" i="5" l="1"/>
  <c r="V156" i="5"/>
  <c r="N156" i="5"/>
  <c r="Z156" i="5"/>
  <c r="AC156" i="5"/>
  <c r="G155" i="5" l="1"/>
  <c r="Z155" i="5"/>
  <c r="AC155" i="5"/>
  <c r="N155" i="5"/>
  <c r="V155" i="5"/>
  <c r="G154" i="5" l="1"/>
  <c r="Z154" i="5"/>
  <c r="AC154" i="5"/>
  <c r="V154" i="5"/>
  <c r="N154" i="5"/>
  <c r="G153" i="5" l="1"/>
  <c r="N153" i="5"/>
  <c r="Z153" i="5"/>
  <c r="AC153" i="5"/>
  <c r="V153" i="5"/>
  <c r="G152" i="5" l="1"/>
  <c r="V152" i="5"/>
  <c r="AC152" i="5"/>
  <c r="N152" i="5"/>
  <c r="Z152" i="5"/>
  <c r="G151" i="5" l="1"/>
  <c r="V151" i="5"/>
  <c r="N151" i="5"/>
  <c r="AC151" i="5"/>
  <c r="Z151" i="5"/>
  <c r="G150" i="5" l="1"/>
  <c r="V150" i="5"/>
  <c r="AC150" i="5"/>
  <c r="N150" i="5"/>
  <c r="Z150" i="5"/>
  <c r="G149" i="5" l="1"/>
  <c r="Z149" i="5"/>
  <c r="V149" i="5"/>
  <c r="N149" i="5"/>
  <c r="AC149" i="5"/>
  <c r="G148" i="5" l="1"/>
  <c r="N148" i="5"/>
  <c r="Z148" i="5"/>
  <c r="V148" i="5"/>
  <c r="AC148" i="5"/>
  <c r="G147" i="5" l="1"/>
  <c r="AC147" i="5"/>
  <c r="Z147" i="5"/>
  <c r="N147" i="5"/>
  <c r="V147" i="5"/>
  <c r="G146" i="5" l="1"/>
  <c r="Z146" i="5"/>
  <c r="V146" i="5"/>
  <c r="AC146" i="5"/>
  <c r="N146" i="5"/>
  <c r="G145" i="5" l="1"/>
  <c r="AC145" i="5"/>
  <c r="V145" i="5"/>
  <c r="N145" i="5"/>
  <c r="Z145" i="5"/>
  <c r="G144" i="5" l="1"/>
  <c r="AC144" i="5"/>
  <c r="Z144" i="5"/>
  <c r="N144" i="5"/>
  <c r="V144" i="5"/>
  <c r="G143" i="5" l="1"/>
  <c r="Z143" i="5"/>
  <c r="AC143" i="5"/>
  <c r="V143" i="5"/>
  <c r="N143" i="5"/>
  <c r="G142" i="5" l="1"/>
  <c r="Z142" i="5"/>
  <c r="N142" i="5"/>
  <c r="V142" i="5"/>
  <c r="AC142" i="5"/>
  <c r="G141" i="5" l="1"/>
  <c r="V141" i="5"/>
  <c r="N141" i="5"/>
  <c r="AC141" i="5"/>
  <c r="Z141" i="5"/>
  <c r="G140" i="5" l="1"/>
  <c r="Z140" i="5"/>
  <c r="AC140" i="5"/>
  <c r="N140" i="5"/>
  <c r="V140" i="5"/>
  <c r="G139" i="5" l="1"/>
  <c r="N139" i="5"/>
  <c r="V139" i="5"/>
  <c r="Z139" i="5"/>
  <c r="AC139" i="5"/>
  <c r="G138" i="5" l="1"/>
  <c r="Z138" i="5"/>
  <c r="N138" i="5"/>
  <c r="AC138" i="5"/>
  <c r="V138" i="5"/>
  <c r="G137" i="5" l="1"/>
  <c r="N137" i="5"/>
  <c r="Z137" i="5"/>
  <c r="AC137" i="5"/>
  <c r="V137" i="5"/>
  <c r="G136" i="5" l="1"/>
  <c r="V136" i="5"/>
  <c r="AC136" i="5"/>
  <c r="Z136" i="5"/>
  <c r="N136" i="5"/>
  <c r="G135" i="5" l="1"/>
  <c r="N135" i="5"/>
  <c r="V135" i="5"/>
  <c r="AC135" i="5"/>
  <c r="Z135" i="5"/>
  <c r="G134" i="5" l="1"/>
  <c r="Z134" i="5"/>
  <c r="AC134" i="5"/>
  <c r="V134" i="5"/>
  <c r="N134" i="5"/>
  <c r="G133" i="5" l="1"/>
  <c r="N133" i="5"/>
  <c r="V133" i="5"/>
  <c r="AC133" i="5"/>
  <c r="Z133" i="5"/>
  <c r="G132" i="5" l="1"/>
  <c r="N132" i="5"/>
  <c r="Z132" i="5"/>
  <c r="V132" i="5"/>
  <c r="AC132" i="5"/>
  <c r="G131" i="5" l="1"/>
  <c r="Z131" i="5"/>
  <c r="AC131" i="5"/>
  <c r="N131" i="5"/>
  <c r="V131" i="5"/>
  <c r="G130" i="5" l="1"/>
  <c r="V130" i="5"/>
  <c r="Z130" i="5"/>
  <c r="N130" i="5"/>
  <c r="AC130" i="5"/>
  <c r="G129" i="5" l="1"/>
  <c r="N129" i="5"/>
  <c r="AC129" i="5"/>
  <c r="V129" i="5"/>
  <c r="Z129" i="5"/>
  <c r="G128" i="5" l="1"/>
  <c r="AC128" i="5"/>
  <c r="N128" i="5"/>
  <c r="Z128" i="5"/>
  <c r="V128" i="5"/>
  <c r="G127" i="5" l="1"/>
  <c r="V127" i="5"/>
  <c r="Z127" i="5"/>
  <c r="N127" i="5"/>
  <c r="AC127" i="5"/>
  <c r="G126" i="5" l="1"/>
  <c r="N126" i="5"/>
  <c r="AC126" i="5"/>
  <c r="V126" i="5"/>
  <c r="Z126" i="5"/>
  <c r="G125" i="5" l="1"/>
  <c r="AC125" i="5"/>
  <c r="V125" i="5"/>
  <c r="Z125" i="5"/>
  <c r="N125" i="5"/>
  <c r="G124" i="5" l="1"/>
  <c r="AC124" i="5"/>
  <c r="V124" i="5"/>
  <c r="N124" i="5"/>
  <c r="Z124" i="5"/>
  <c r="G123" i="5" l="1"/>
  <c r="N123" i="5"/>
  <c r="AC123" i="5"/>
  <c r="Z123" i="5"/>
  <c r="V123" i="5"/>
  <c r="G122" i="5" l="1"/>
  <c r="V122" i="5"/>
  <c r="N122" i="5"/>
  <c r="Z122" i="5"/>
  <c r="AC122" i="5"/>
  <c r="G121" i="5" l="1"/>
  <c r="N121" i="5"/>
  <c r="V121" i="5"/>
  <c r="Z121" i="5"/>
  <c r="AC121" i="5"/>
  <c r="G120" i="5" l="1"/>
  <c r="V120" i="5"/>
  <c r="Z120" i="5"/>
  <c r="AC120" i="5"/>
  <c r="N120" i="5"/>
  <c r="G119" i="5" l="1"/>
  <c r="N119" i="5"/>
  <c r="Z119" i="5"/>
  <c r="V119" i="5"/>
  <c r="AC119" i="5"/>
  <c r="G118" i="5" l="1"/>
  <c r="Z118" i="5"/>
  <c r="V118" i="5"/>
  <c r="N118" i="5"/>
  <c r="AC118" i="5"/>
  <c r="G117" i="5" l="1"/>
  <c r="AC117" i="5"/>
  <c r="N117" i="5"/>
  <c r="V117" i="5"/>
  <c r="Z117" i="5"/>
  <c r="G116" i="5" l="1"/>
  <c r="Z116" i="5"/>
  <c r="AC116" i="5"/>
  <c r="V116" i="5"/>
  <c r="N116" i="5"/>
  <c r="G115" i="5" l="1"/>
  <c r="Z115" i="5"/>
  <c r="V115" i="5"/>
  <c r="AC115" i="5"/>
  <c r="N115" i="5"/>
  <c r="G114" i="5" l="1"/>
  <c r="Z114" i="5"/>
  <c r="N114" i="5"/>
  <c r="AC114" i="5"/>
  <c r="V114" i="5"/>
  <c r="G113" i="5" l="1"/>
  <c r="Z113" i="5"/>
  <c r="AC113" i="5"/>
  <c r="N113" i="5"/>
  <c r="V113" i="5"/>
  <c r="G112" i="5" l="1"/>
  <c r="AC112" i="5"/>
  <c r="Z112" i="5"/>
  <c r="N112" i="5"/>
  <c r="V112" i="5"/>
  <c r="G111" i="5" l="1"/>
  <c r="V111" i="5"/>
  <c r="N111" i="5"/>
  <c r="Z111" i="5"/>
  <c r="AC111" i="5"/>
  <c r="G110" i="5" l="1"/>
  <c r="V110" i="5"/>
  <c r="N110" i="5"/>
  <c r="Z110" i="5"/>
  <c r="AC110" i="5"/>
  <c r="G109" i="5" l="1"/>
  <c r="AC109" i="5"/>
  <c r="V109" i="5"/>
  <c r="Z109" i="5"/>
  <c r="N109" i="5"/>
  <c r="G108" i="5" l="1"/>
  <c r="AC108" i="5"/>
  <c r="Z108" i="5"/>
  <c r="N108" i="5"/>
  <c r="V108" i="5"/>
  <c r="G107" i="5" l="1"/>
  <c r="N107" i="5"/>
  <c r="Z107" i="5"/>
  <c r="V107" i="5"/>
  <c r="AC107" i="5"/>
  <c r="G106" i="5" l="1"/>
  <c r="Z106" i="5"/>
  <c r="N106" i="5"/>
  <c r="AC106" i="5"/>
  <c r="V106" i="5"/>
  <c r="G105" i="5" l="1"/>
  <c r="N105" i="5"/>
  <c r="V105" i="5"/>
  <c r="Z105" i="5"/>
  <c r="AC105" i="5"/>
  <c r="G104" i="5" l="1"/>
  <c r="V104" i="5"/>
  <c r="N104" i="5"/>
  <c r="AC104" i="5"/>
  <c r="Z104" i="5"/>
  <c r="G103" i="5" l="1"/>
  <c r="Z103" i="5"/>
  <c r="AC103" i="5"/>
  <c r="V103" i="5"/>
  <c r="N103" i="5"/>
  <c r="G102" i="5" l="1"/>
  <c r="N102" i="5"/>
  <c r="V102" i="5"/>
  <c r="Z102" i="5"/>
  <c r="AC102" i="5"/>
  <c r="G101" i="5" l="1"/>
  <c r="N101" i="5"/>
  <c r="V101" i="5"/>
  <c r="AC101" i="5"/>
  <c r="Z101" i="5"/>
  <c r="G100" i="5" l="1"/>
  <c r="Z100" i="5"/>
  <c r="V100" i="5"/>
  <c r="N100" i="5"/>
  <c r="AC100" i="5"/>
  <c r="G99" i="5" l="1"/>
  <c r="N99" i="5"/>
  <c r="Z99" i="5"/>
  <c r="AC99" i="5"/>
  <c r="V99" i="5"/>
  <c r="G98" i="5" l="1"/>
  <c r="V98" i="5"/>
  <c r="Z98" i="5"/>
  <c r="N98" i="5"/>
  <c r="AC98" i="5"/>
  <c r="G97" i="5" l="1"/>
  <c r="AC97" i="5"/>
  <c r="Z97" i="5"/>
  <c r="V97" i="5"/>
  <c r="N97" i="5"/>
  <c r="G96" i="5" l="1"/>
  <c r="V96" i="5"/>
  <c r="AC96" i="5"/>
  <c r="N96" i="5"/>
  <c r="Z96" i="5"/>
  <c r="G95" i="5" l="1"/>
  <c r="V95" i="5"/>
  <c r="Z95" i="5"/>
  <c r="AC95" i="5"/>
  <c r="N95" i="5"/>
  <c r="G94" i="5" l="1"/>
  <c r="Z94" i="5"/>
  <c r="AC94" i="5"/>
  <c r="N94" i="5"/>
  <c r="V94" i="5"/>
  <c r="G93" i="5" l="1"/>
  <c r="Z93" i="5"/>
  <c r="AC93" i="5"/>
  <c r="V93" i="5"/>
  <c r="N93" i="5"/>
  <c r="G92" i="5" l="1"/>
  <c r="Z92" i="5"/>
  <c r="V92" i="5"/>
  <c r="AC92" i="5"/>
  <c r="N92" i="5"/>
  <c r="G91" i="5" l="1"/>
  <c r="V91" i="5"/>
  <c r="Z91" i="5"/>
  <c r="AC91" i="5"/>
  <c r="N91" i="5"/>
  <c r="G90" i="5" l="1"/>
  <c r="Z90" i="5"/>
  <c r="V90" i="5"/>
  <c r="AC90" i="5"/>
  <c r="N90" i="5"/>
  <c r="G89" i="5" l="1"/>
  <c r="AC89" i="5"/>
  <c r="Z89" i="5"/>
  <c r="V89" i="5"/>
  <c r="N89" i="5"/>
  <c r="G88" i="5" l="1"/>
  <c r="N88" i="5"/>
  <c r="AC88" i="5"/>
  <c r="Z88" i="5"/>
  <c r="V88" i="5"/>
  <c r="G87" i="5" l="1"/>
  <c r="V87" i="5"/>
  <c r="AC87" i="5"/>
  <c r="N87" i="5"/>
  <c r="Z87" i="5"/>
  <c r="G86" i="5" l="1"/>
  <c r="V86" i="5"/>
  <c r="Z86" i="5"/>
  <c r="AC86" i="5"/>
  <c r="N86" i="5"/>
  <c r="G85" i="5" l="1"/>
  <c r="V85" i="5"/>
  <c r="N85" i="5"/>
  <c r="AC85" i="5"/>
  <c r="Z85" i="5"/>
  <c r="G84" i="5" l="1"/>
  <c r="Z84" i="5"/>
  <c r="N84" i="5"/>
  <c r="AC84" i="5"/>
  <c r="V84" i="5"/>
  <c r="G83" i="5" l="1"/>
  <c r="N83" i="5"/>
  <c r="V83" i="5"/>
  <c r="AC83" i="5"/>
  <c r="Z83" i="5"/>
  <c r="G82" i="5" l="1"/>
  <c r="AC82" i="5"/>
  <c r="Z82" i="5"/>
  <c r="N82" i="5"/>
  <c r="V82" i="5"/>
  <c r="G81" i="5" l="1"/>
  <c r="V81" i="5"/>
  <c r="AC81" i="5"/>
  <c r="N81" i="5"/>
  <c r="Z81" i="5"/>
  <c r="G80" i="5" l="1"/>
  <c r="Z80" i="5"/>
  <c r="V80" i="5"/>
  <c r="N80" i="5"/>
  <c r="AC80" i="5"/>
  <c r="G79" i="5" l="1"/>
  <c r="Z79" i="5"/>
  <c r="AC79" i="5"/>
  <c r="N79" i="5"/>
  <c r="V79" i="5"/>
  <c r="G78" i="5" l="1"/>
  <c r="AC78" i="5"/>
  <c r="V78" i="5"/>
  <c r="N78" i="5"/>
  <c r="Z78" i="5"/>
  <c r="G77" i="5" l="1"/>
  <c r="Z77" i="5"/>
  <c r="AC77" i="5"/>
  <c r="N77" i="5"/>
  <c r="V77" i="5"/>
  <c r="G76" i="5" l="1"/>
  <c r="Z76" i="5"/>
  <c r="V76" i="5"/>
  <c r="N76" i="5"/>
  <c r="AC76" i="5"/>
  <c r="G75" i="5" l="1"/>
  <c r="V75" i="5"/>
  <c r="N75" i="5"/>
  <c r="AC75" i="5"/>
  <c r="Z75" i="5"/>
  <c r="G74" i="5" l="1"/>
  <c r="V74" i="5"/>
  <c r="AC74" i="5"/>
  <c r="N74" i="5"/>
  <c r="Z74" i="5"/>
  <c r="G73" i="5" l="1"/>
  <c r="V73" i="5"/>
  <c r="Z73" i="5"/>
  <c r="AC73" i="5"/>
  <c r="N73" i="5"/>
  <c r="G72" i="5" l="1"/>
  <c r="V72" i="5"/>
  <c r="Z72" i="5"/>
  <c r="N72" i="5"/>
  <c r="AC72" i="5"/>
  <c r="G71" i="5" l="1"/>
  <c r="Z71" i="5"/>
  <c r="AC71" i="5"/>
  <c r="V71" i="5"/>
  <c r="N71" i="5"/>
  <c r="G70" i="5" l="1"/>
  <c r="Z70" i="5"/>
  <c r="V70" i="5"/>
  <c r="AC70" i="5"/>
  <c r="N70" i="5"/>
  <c r="G69" i="5" l="1"/>
  <c r="AC69" i="5"/>
  <c r="V69" i="5"/>
  <c r="N69" i="5"/>
  <c r="Z69" i="5"/>
  <c r="G68" i="5" l="1"/>
  <c r="Z68" i="5"/>
  <c r="AC68" i="5"/>
  <c r="N68" i="5"/>
  <c r="V68" i="5"/>
  <c r="G67" i="5" l="1"/>
  <c r="N67" i="5"/>
  <c r="Z67" i="5"/>
  <c r="V67" i="5"/>
  <c r="AC67" i="5"/>
  <c r="G66" i="5" l="1"/>
  <c r="N66" i="5"/>
  <c r="AC66" i="5"/>
  <c r="V66" i="5"/>
  <c r="Z66" i="5"/>
  <c r="G65" i="5" l="1"/>
  <c r="AC65" i="5"/>
  <c r="N65" i="5"/>
  <c r="Z65" i="5"/>
  <c r="V65" i="5"/>
  <c r="G64" i="5" l="1"/>
  <c r="N64" i="5"/>
  <c r="Z64" i="5"/>
  <c r="AC64" i="5"/>
  <c r="V64" i="5"/>
  <c r="G63" i="5" l="1"/>
  <c r="N63" i="5"/>
  <c r="AC63" i="5"/>
  <c r="V63" i="5"/>
  <c r="Z63" i="5"/>
  <c r="G62" i="5" l="1"/>
  <c r="N62" i="5"/>
  <c r="AC62" i="5"/>
  <c r="Z62" i="5"/>
  <c r="V62" i="5"/>
  <c r="G61" i="5" l="1"/>
  <c r="N61" i="5"/>
  <c r="V61" i="5"/>
  <c r="AC61" i="5"/>
  <c r="Z61" i="5"/>
  <c r="G60" i="5" l="1"/>
  <c r="AC60" i="5"/>
  <c r="Z60" i="5"/>
  <c r="N60" i="5"/>
  <c r="V60" i="5"/>
  <c r="G59" i="5" l="1"/>
  <c r="AC59" i="5"/>
  <c r="V59" i="5"/>
  <c r="N59" i="5"/>
  <c r="Z59" i="5"/>
  <c r="G58" i="5" l="1"/>
  <c r="Z58" i="5"/>
  <c r="AC58" i="5"/>
  <c r="N58" i="5"/>
  <c r="V58" i="5"/>
  <c r="G57" i="5" l="1"/>
  <c r="Z57" i="5"/>
  <c r="N57" i="5"/>
  <c r="AC57" i="5"/>
  <c r="V57" i="5"/>
  <c r="G56" i="5" l="1"/>
  <c r="AC56" i="5"/>
  <c r="V56" i="5"/>
  <c r="Z56" i="5"/>
  <c r="N56" i="5"/>
  <c r="G55" i="5" l="1"/>
  <c r="AC55" i="5"/>
  <c r="Z55" i="5"/>
  <c r="V55" i="5"/>
  <c r="N55" i="5"/>
  <c r="G54" i="5" l="1"/>
  <c r="AC54" i="5"/>
  <c r="N54" i="5"/>
  <c r="Z54" i="5"/>
  <c r="V54" i="5"/>
  <c r="G53" i="5" l="1"/>
  <c r="Z53" i="5"/>
  <c r="V53" i="5"/>
  <c r="AC53" i="5"/>
  <c r="N53" i="5"/>
  <c r="G52" i="5" l="1"/>
  <c r="AC52" i="5"/>
  <c r="Z52" i="5"/>
  <c r="N52" i="5"/>
  <c r="V52" i="5"/>
  <c r="G51" i="5" l="1"/>
  <c r="AC51" i="5"/>
  <c r="Z51" i="5"/>
  <c r="V51" i="5"/>
  <c r="N51" i="5"/>
  <c r="G50" i="5" l="1"/>
  <c r="N50" i="5"/>
  <c r="Z50" i="5"/>
  <c r="V50" i="5"/>
  <c r="AC50" i="5"/>
  <c r="G49" i="5" l="1"/>
  <c r="Z49" i="5"/>
  <c r="V49" i="5"/>
  <c r="N49" i="5"/>
  <c r="AC49" i="5"/>
  <c r="G48" i="5" l="1"/>
  <c r="Z48" i="5"/>
  <c r="V48" i="5"/>
  <c r="AC48" i="5"/>
  <c r="N48" i="5"/>
  <c r="G47" i="5" l="1"/>
  <c r="AC47" i="5"/>
  <c r="N47" i="5"/>
  <c r="Z47" i="5"/>
  <c r="V47" i="5"/>
  <c r="G46" i="5" l="1"/>
  <c r="Z46" i="5"/>
  <c r="AC46" i="5"/>
  <c r="N46" i="5"/>
  <c r="V46" i="5"/>
  <c r="G45" i="5" l="1"/>
  <c r="AC45" i="5"/>
  <c r="Z45" i="5"/>
  <c r="N45" i="5"/>
  <c r="V45" i="5"/>
  <c r="G44" i="5" l="1"/>
  <c r="Z44" i="5"/>
  <c r="V44" i="5"/>
  <c r="N44" i="5"/>
  <c r="AC44" i="5"/>
  <c r="G43" i="5" l="1"/>
  <c r="Z43" i="5"/>
  <c r="V43" i="5"/>
  <c r="AC43" i="5"/>
  <c r="N43" i="5"/>
  <c r="G42" i="5" l="1"/>
  <c r="Z42" i="5"/>
  <c r="V42" i="5"/>
  <c r="AC42" i="5"/>
  <c r="N42" i="5"/>
  <c r="G41" i="5" l="1"/>
  <c r="V41" i="5"/>
  <c r="Z41" i="5"/>
  <c r="N41" i="5"/>
  <c r="AC41" i="5"/>
  <c r="G40" i="5" l="1"/>
  <c r="AC40" i="5"/>
  <c r="Z40" i="5"/>
  <c r="V40" i="5"/>
  <c r="N40" i="5"/>
  <c r="G39" i="5" l="1"/>
  <c r="Z39" i="5"/>
  <c r="N39" i="5"/>
  <c r="AC39" i="5"/>
  <c r="V39" i="5"/>
  <c r="G38" i="5" l="1"/>
  <c r="V38" i="5"/>
  <c r="AC38" i="5"/>
  <c r="N38" i="5"/>
  <c r="Z38" i="5"/>
  <c r="G37" i="5" l="1"/>
  <c r="N37" i="5"/>
  <c r="V37" i="5"/>
  <c r="Z37" i="5"/>
  <c r="AC37" i="5"/>
  <c r="G36" i="5" l="1"/>
  <c r="AC36" i="5"/>
  <c r="N36" i="5"/>
  <c r="Z36" i="5"/>
  <c r="V36" i="5"/>
  <c r="G35" i="5" l="1"/>
  <c r="Z35" i="5"/>
  <c r="N35" i="5"/>
  <c r="AC35" i="5"/>
  <c r="V35" i="5"/>
  <c r="G34" i="5" l="1"/>
  <c r="AC34" i="5"/>
  <c r="V34" i="5"/>
  <c r="Z34" i="5"/>
  <c r="N34" i="5"/>
  <c r="G33" i="5" l="1"/>
  <c r="V33" i="5"/>
  <c r="Z33" i="5"/>
  <c r="N33" i="5"/>
  <c r="AC33" i="5"/>
  <c r="G32" i="5" l="1"/>
  <c r="Z32" i="5"/>
  <c r="V32" i="5"/>
  <c r="N32" i="5"/>
  <c r="AC32" i="5"/>
  <c r="G31" i="5" l="1"/>
  <c r="N31" i="5"/>
  <c r="V31" i="5"/>
  <c r="AC31" i="5"/>
  <c r="Z31" i="5"/>
  <c r="G30" i="5" l="1"/>
  <c r="AC30" i="5"/>
  <c r="V30" i="5"/>
  <c r="Z30" i="5"/>
  <c r="N30" i="5"/>
  <c r="G29" i="5" l="1"/>
  <c r="AC29" i="5"/>
  <c r="N29" i="5"/>
  <c r="Z29" i="5"/>
  <c r="V29" i="5"/>
  <c r="G28" i="5" l="1"/>
  <c r="Z28" i="5"/>
  <c r="AC28" i="5"/>
  <c r="V28" i="5"/>
  <c r="N28" i="5"/>
  <c r="G27" i="5" l="1"/>
  <c r="Z27" i="5"/>
  <c r="AC27" i="5"/>
  <c r="V27" i="5"/>
  <c r="N27" i="5"/>
  <c r="G26" i="5" l="1"/>
  <c r="Z26" i="5"/>
  <c r="AC26" i="5"/>
  <c r="N26" i="5"/>
  <c r="V26" i="5"/>
  <c r="G25" i="5" l="1"/>
  <c r="AC25" i="5"/>
  <c r="V25" i="5"/>
  <c r="Z25" i="5"/>
  <c r="N25" i="5"/>
  <c r="G24" i="5" l="1"/>
  <c r="Z24" i="5"/>
  <c r="V24" i="5"/>
  <c r="N24" i="5"/>
  <c r="AC24" i="5"/>
  <c r="G23" i="5" l="1"/>
  <c r="V23" i="5"/>
  <c r="Z23" i="5"/>
  <c r="AC23" i="5"/>
  <c r="N23" i="5"/>
  <c r="G22" i="5" l="1"/>
  <c r="AC22" i="5"/>
  <c r="Z22" i="5"/>
  <c r="V22" i="5"/>
  <c r="N22" i="5"/>
  <c r="G21" i="5" l="1"/>
  <c r="V21" i="5"/>
  <c r="AC21" i="5"/>
  <c r="N21" i="5"/>
  <c r="Z21" i="5"/>
  <c r="G20" i="5" l="1"/>
  <c r="AC20" i="5"/>
  <c r="Z20" i="5"/>
  <c r="N20" i="5"/>
  <c r="V20" i="5"/>
  <c r="G19" i="5" l="1"/>
  <c r="V19" i="5"/>
  <c r="Z19" i="5"/>
  <c r="N19" i="5"/>
  <c r="AC19" i="5"/>
  <c r="G18" i="5" l="1"/>
  <c r="Z18" i="5"/>
  <c r="V18" i="5"/>
  <c r="N18" i="5"/>
  <c r="AC18" i="5"/>
  <c r="G17" i="5" l="1"/>
  <c r="V17" i="5"/>
  <c r="AC17" i="5"/>
  <c r="N17" i="5"/>
  <c r="Z17" i="5"/>
  <c r="G16" i="5" l="1"/>
  <c r="AC16" i="5"/>
  <c r="V16" i="5"/>
  <c r="N16" i="5"/>
  <c r="Z16" i="5"/>
  <c r="G15" i="5" l="1"/>
  <c r="Z15" i="5"/>
  <c r="AC15" i="5"/>
  <c r="V15" i="5"/>
  <c r="N15" i="5"/>
  <c r="G14" i="5" l="1"/>
  <c r="Z14" i="5"/>
  <c r="V14" i="5"/>
  <c r="N14" i="5"/>
  <c r="AC14" i="5"/>
  <c r="G13" i="5" l="1"/>
  <c r="AC13" i="5"/>
  <c r="N13" i="5"/>
  <c r="Z13" i="5"/>
  <c r="V13" i="5"/>
  <c r="G12" i="5" l="1"/>
  <c r="V12" i="5"/>
  <c r="Z12" i="5"/>
  <c r="AC12" i="5"/>
  <c r="N12" i="5"/>
  <c r="G11" i="5" l="1"/>
  <c r="Z11" i="5"/>
  <c r="V11" i="5"/>
  <c r="AC11" i="5"/>
  <c r="N11" i="5"/>
  <c r="G10" i="5" l="1"/>
  <c r="Z10" i="5"/>
  <c r="N10" i="5"/>
  <c r="AC10" i="5"/>
  <c r="V10" i="5"/>
  <c r="G9" i="5" l="1"/>
  <c r="Z9" i="5"/>
  <c r="V9" i="5"/>
  <c r="N9" i="5"/>
  <c r="AC9" i="5"/>
  <c r="G8" i="5" l="1"/>
  <c r="V8" i="5"/>
  <c r="Z8" i="5"/>
  <c r="AC8" i="5"/>
  <c r="N8" i="5"/>
  <c r="G7" i="5" l="1"/>
  <c r="B4" i="5"/>
  <c r="B4" i="8" l="1"/>
  <c r="AC7" i="5"/>
  <c r="V7" i="5"/>
  <c r="C4" i="5"/>
  <c r="Y50" i="5"/>
  <c r="AB92" i="5"/>
  <c r="AE134" i="5"/>
  <c r="AB152" i="5"/>
  <c r="AB46" i="5"/>
  <c r="AE200" i="5"/>
  <c r="AB164" i="5"/>
  <c r="AE164" i="5"/>
  <c r="AB34" i="5"/>
  <c r="AE76" i="5"/>
  <c r="Y120" i="5"/>
  <c r="AB162" i="5"/>
  <c r="Y200" i="5"/>
  <c r="AE34" i="5"/>
  <c r="Y78" i="5"/>
  <c r="AB120" i="5"/>
  <c r="AB184" i="5"/>
  <c r="AE120" i="5"/>
  <c r="AE78" i="5"/>
  <c r="AB74" i="5"/>
  <c r="AB106" i="5"/>
  <c r="Y106" i="5"/>
  <c r="AE152" i="5"/>
  <c r="AE210" i="5"/>
  <c r="AE112" i="5"/>
  <c r="AE32" i="5"/>
  <c r="Y160" i="5"/>
  <c r="AB132" i="5"/>
  <c r="AE176" i="5"/>
  <c r="AB200" i="5"/>
  <c r="Y156" i="5"/>
  <c r="Y92" i="5"/>
  <c r="AB198" i="5"/>
  <c r="Y166" i="5"/>
  <c r="AE122" i="5"/>
  <c r="AB80" i="5"/>
  <c r="Y38" i="5"/>
  <c r="AE205" i="5"/>
  <c r="AE189" i="5"/>
  <c r="AE173" i="5"/>
  <c r="AE157" i="5"/>
  <c r="AE141" i="5"/>
  <c r="AE125" i="5"/>
  <c r="AE109" i="5"/>
  <c r="AE93" i="5"/>
  <c r="AE77" i="5"/>
  <c r="AE61" i="5"/>
  <c r="AE45" i="5"/>
  <c r="AE29" i="5"/>
  <c r="AE13" i="5"/>
  <c r="AB199" i="5"/>
  <c r="AB183" i="5"/>
  <c r="AB167" i="5"/>
  <c r="AB151" i="5"/>
  <c r="AB135" i="5"/>
  <c r="AB119" i="5"/>
  <c r="AB103" i="5"/>
  <c r="AB87" i="5"/>
  <c r="AB71" i="5"/>
  <c r="AB55" i="5"/>
  <c r="AB39" i="5"/>
  <c r="AB23" i="5"/>
  <c r="Y209" i="5"/>
  <c r="Y193" i="5"/>
  <c r="Y177" i="5"/>
  <c r="Y161" i="5"/>
  <c r="Y145" i="5"/>
  <c r="Y129" i="5"/>
  <c r="Y113" i="5"/>
  <c r="Y97" i="5"/>
  <c r="Y81" i="5"/>
  <c r="Y65" i="5"/>
  <c r="Y49" i="5"/>
  <c r="Y33" i="5"/>
  <c r="Y17" i="5"/>
  <c r="P10" i="5"/>
  <c r="P18" i="5"/>
  <c r="P26" i="5"/>
  <c r="P34" i="5"/>
  <c r="P42" i="5"/>
  <c r="P50" i="5"/>
  <c r="P58" i="5"/>
  <c r="P66" i="5"/>
  <c r="P74" i="5"/>
  <c r="P82" i="5"/>
  <c r="P90" i="5"/>
  <c r="P98" i="5"/>
  <c r="P106" i="5"/>
  <c r="P114" i="5"/>
  <c r="P122" i="5"/>
  <c r="P130" i="5"/>
  <c r="P138" i="5"/>
  <c r="P146" i="5"/>
  <c r="P154" i="5"/>
  <c r="P162" i="5"/>
  <c r="P170" i="5"/>
  <c r="P178" i="5"/>
  <c r="P186" i="5"/>
  <c r="P194" i="5"/>
  <c r="P202" i="5"/>
  <c r="P210" i="5"/>
  <c r="S9" i="5"/>
  <c r="S17" i="5"/>
  <c r="S25" i="5"/>
  <c r="S33" i="5"/>
  <c r="S41" i="5"/>
  <c r="S49" i="5"/>
  <c r="S57" i="5"/>
  <c r="S65" i="5"/>
  <c r="S73" i="5"/>
  <c r="S81" i="5"/>
  <c r="S89" i="5"/>
  <c r="S97" i="5"/>
  <c r="S105" i="5"/>
  <c r="S113" i="5"/>
  <c r="S121" i="5"/>
  <c r="S129" i="5"/>
  <c r="S137" i="5"/>
  <c r="S145" i="5"/>
  <c r="S153" i="5"/>
  <c r="S161" i="5"/>
  <c r="S169" i="5"/>
  <c r="S177" i="5"/>
  <c r="S185" i="5"/>
  <c r="S193" i="5"/>
  <c r="S201" i="5"/>
  <c r="S209" i="5"/>
  <c r="T183" i="5"/>
  <c r="T191" i="5"/>
  <c r="T199" i="5"/>
  <c r="T207" i="5"/>
  <c r="T174" i="5"/>
  <c r="T47" i="5"/>
  <c r="T55" i="5"/>
  <c r="T63" i="5"/>
  <c r="T71" i="5"/>
  <c r="T79" i="5"/>
  <c r="T87" i="5"/>
  <c r="T95" i="5"/>
  <c r="T103" i="5"/>
  <c r="T111" i="5"/>
  <c r="T119" i="5"/>
  <c r="T127" i="5"/>
  <c r="T135" i="5"/>
  <c r="T143" i="5"/>
  <c r="T151" i="5"/>
  <c r="T159" i="5"/>
  <c r="T167" i="5"/>
  <c r="T12" i="5"/>
  <c r="T20" i="5"/>
  <c r="T28" i="5"/>
  <c r="T36" i="5"/>
  <c r="Q10" i="5"/>
  <c r="Q18" i="5"/>
  <c r="Q26" i="5"/>
  <c r="Q34" i="5"/>
  <c r="Q42" i="5"/>
  <c r="Q50" i="5"/>
  <c r="Q58" i="5"/>
  <c r="Q66" i="5"/>
  <c r="Q74" i="5"/>
  <c r="Q82" i="5"/>
  <c r="Q90" i="5"/>
  <c r="Q98" i="5"/>
  <c r="Q106" i="5"/>
  <c r="Q114" i="5"/>
  <c r="Q122" i="5"/>
  <c r="Q130" i="5"/>
  <c r="Q138" i="5"/>
  <c r="Q146" i="5"/>
  <c r="Q154" i="5"/>
  <c r="Q162" i="5"/>
  <c r="Q170" i="5"/>
  <c r="Q178" i="5"/>
  <c r="Q186" i="5"/>
  <c r="Q194" i="5"/>
  <c r="Q202" i="5"/>
  <c r="Q210" i="5"/>
  <c r="Q156" i="5"/>
  <c r="Q172" i="5"/>
  <c r="Q196" i="5"/>
  <c r="Q190" i="5"/>
  <c r="AB76" i="5"/>
  <c r="AE100" i="5"/>
  <c r="Y188" i="5"/>
  <c r="AE56" i="5"/>
  <c r="AE40" i="5"/>
  <c r="AE36" i="5"/>
  <c r="AB178" i="5"/>
  <c r="AE10" i="5"/>
  <c r="AE147" i="5"/>
  <c r="AE67" i="5"/>
  <c r="AB189" i="5"/>
  <c r="AB141" i="5"/>
  <c r="AB61" i="5"/>
  <c r="Y183" i="5"/>
  <c r="Y135" i="5"/>
  <c r="Y55" i="5"/>
  <c r="P47" i="5"/>
  <c r="P79" i="5"/>
  <c r="P111" i="5"/>
  <c r="P151" i="5"/>
  <c r="P175" i="5"/>
  <c r="S22" i="5"/>
  <c r="S70" i="5"/>
  <c r="S110" i="5"/>
  <c r="S134" i="5"/>
  <c r="S174" i="5"/>
  <c r="T180" i="5"/>
  <c r="T204" i="5"/>
  <c r="T68" i="5"/>
  <c r="AB12" i="5"/>
  <c r="AE54" i="5"/>
  <c r="Y98" i="5"/>
  <c r="AB140" i="5"/>
  <c r="AE162" i="5"/>
  <c r="Y68" i="5"/>
  <c r="AE14" i="5"/>
  <c r="AB10" i="5"/>
  <c r="Y182" i="5"/>
  <c r="Y40" i="5"/>
  <c r="AB82" i="5"/>
  <c r="AE124" i="5"/>
  <c r="Y172" i="5"/>
  <c r="Y204" i="5"/>
  <c r="AB40" i="5"/>
  <c r="AE82" i="5"/>
  <c r="Y126" i="5"/>
  <c r="AB192" i="5"/>
  <c r="AB142" i="5"/>
  <c r="AB100" i="5"/>
  <c r="Y96" i="5"/>
  <c r="AE84" i="5"/>
  <c r="AB84" i="5"/>
  <c r="Y132" i="5"/>
  <c r="AE198" i="5"/>
  <c r="AB102" i="5"/>
  <c r="Y28" i="5"/>
  <c r="AE132" i="5"/>
  <c r="AE110" i="5"/>
  <c r="AB158" i="5"/>
  <c r="AE206" i="5"/>
  <c r="AB150" i="5"/>
  <c r="AE80" i="5"/>
  <c r="AB194" i="5"/>
  <c r="AB160" i="5"/>
  <c r="Y118" i="5"/>
  <c r="AE74" i="5"/>
  <c r="AB32" i="5"/>
  <c r="AE203" i="5"/>
  <c r="AE187" i="5"/>
  <c r="AE171" i="5"/>
  <c r="AE155" i="5"/>
  <c r="AE139" i="5"/>
  <c r="AE123" i="5"/>
  <c r="AE107" i="5"/>
  <c r="AE91" i="5"/>
  <c r="AE75" i="5"/>
  <c r="AE59" i="5"/>
  <c r="AE43" i="5"/>
  <c r="AE27" i="5"/>
  <c r="AE11" i="5"/>
  <c r="AB197" i="5"/>
  <c r="AB181" i="5"/>
  <c r="AB165" i="5"/>
  <c r="AB149" i="5"/>
  <c r="AB133" i="5"/>
  <c r="AB117" i="5"/>
  <c r="AB101" i="5"/>
  <c r="AB85" i="5"/>
  <c r="AB69" i="5"/>
  <c r="AB53" i="5"/>
  <c r="AB37" i="5"/>
  <c r="AB21" i="5"/>
  <c r="Y207" i="5"/>
  <c r="Y191" i="5"/>
  <c r="Y175" i="5"/>
  <c r="Y159" i="5"/>
  <c r="Y143" i="5"/>
  <c r="Y127" i="5"/>
  <c r="Y111" i="5"/>
  <c r="Y95" i="5"/>
  <c r="Y79" i="5"/>
  <c r="Y63" i="5"/>
  <c r="Y47" i="5"/>
  <c r="Y31" i="5"/>
  <c r="Y15" i="5"/>
  <c r="P11" i="5"/>
  <c r="P19" i="5"/>
  <c r="P27" i="5"/>
  <c r="P35" i="5"/>
  <c r="P43" i="5"/>
  <c r="P51" i="5"/>
  <c r="P59" i="5"/>
  <c r="P67" i="5"/>
  <c r="P75" i="5"/>
  <c r="P83" i="5"/>
  <c r="P91" i="5"/>
  <c r="P99" i="5"/>
  <c r="P107" i="5"/>
  <c r="P115" i="5"/>
  <c r="P123" i="5"/>
  <c r="P131" i="5"/>
  <c r="P139" i="5"/>
  <c r="P147" i="5"/>
  <c r="P155" i="5"/>
  <c r="P163" i="5"/>
  <c r="P171" i="5"/>
  <c r="P179" i="5"/>
  <c r="P187" i="5"/>
  <c r="P195" i="5"/>
  <c r="P203" i="5"/>
  <c r="S10" i="5"/>
  <c r="S18" i="5"/>
  <c r="S26" i="5"/>
  <c r="S34" i="5"/>
  <c r="S42" i="5"/>
  <c r="S50" i="5"/>
  <c r="S58" i="5"/>
  <c r="S66" i="5"/>
  <c r="S74" i="5"/>
  <c r="S82" i="5"/>
  <c r="S90" i="5"/>
  <c r="S98" i="5"/>
  <c r="S106" i="5"/>
  <c r="S114" i="5"/>
  <c r="S122" i="5"/>
  <c r="S130" i="5"/>
  <c r="S138" i="5"/>
  <c r="S146" i="5"/>
  <c r="S154" i="5"/>
  <c r="S162" i="5"/>
  <c r="S170" i="5"/>
  <c r="S178" i="5"/>
  <c r="S186" i="5"/>
  <c r="S194" i="5"/>
  <c r="S202" i="5"/>
  <c r="S210" i="5"/>
  <c r="T184" i="5"/>
  <c r="T192" i="5"/>
  <c r="T200" i="5"/>
  <c r="T208" i="5"/>
  <c r="T175" i="5"/>
  <c r="T48" i="5"/>
  <c r="T56" i="5"/>
  <c r="T64" i="5"/>
  <c r="T72" i="5"/>
  <c r="T80" i="5"/>
  <c r="T88" i="5"/>
  <c r="T96" i="5"/>
  <c r="T104" i="5"/>
  <c r="T112" i="5"/>
  <c r="T120" i="5"/>
  <c r="T128" i="5"/>
  <c r="T136" i="5"/>
  <c r="T144" i="5"/>
  <c r="T152" i="5"/>
  <c r="T160" i="5"/>
  <c r="T168" i="5"/>
  <c r="T13" i="5"/>
  <c r="T21" i="5"/>
  <c r="T29" i="5"/>
  <c r="T37" i="5"/>
  <c r="Q11" i="5"/>
  <c r="Q19" i="5"/>
  <c r="Q27" i="5"/>
  <c r="Q35" i="5"/>
  <c r="Q43" i="5"/>
  <c r="Q51" i="5"/>
  <c r="Q59" i="5"/>
  <c r="Q67" i="5"/>
  <c r="Q75" i="5"/>
  <c r="Q83" i="5"/>
  <c r="Q91" i="5"/>
  <c r="Q99" i="5"/>
  <c r="Q107" i="5"/>
  <c r="Q115" i="5"/>
  <c r="Q123" i="5"/>
  <c r="Q131" i="5"/>
  <c r="Q139" i="5"/>
  <c r="Q147" i="5"/>
  <c r="Q155" i="5"/>
  <c r="Q163" i="5"/>
  <c r="Q171" i="5"/>
  <c r="Q179" i="5"/>
  <c r="Q187" i="5"/>
  <c r="Q195" i="5"/>
  <c r="Q203" i="5"/>
  <c r="Q52" i="5"/>
  <c r="Q68" i="5"/>
  <c r="Q84" i="5"/>
  <c r="Q92" i="5"/>
  <c r="Q108" i="5"/>
  <c r="Q116" i="5"/>
  <c r="Q132" i="5"/>
  <c r="Q140" i="5"/>
  <c r="Q164" i="5"/>
  <c r="Q180" i="5"/>
  <c r="Q204" i="5"/>
  <c r="Q206" i="5"/>
  <c r="AE118" i="5"/>
  <c r="AB18" i="5"/>
  <c r="AB146" i="5"/>
  <c r="AB104" i="5"/>
  <c r="Y10" i="5"/>
  <c r="Y170" i="5"/>
  <c r="AE160" i="5"/>
  <c r="Y26" i="5"/>
  <c r="AB210" i="5"/>
  <c r="AB96" i="5"/>
  <c r="AE179" i="5"/>
  <c r="AE115" i="5"/>
  <c r="AE51" i="5"/>
  <c r="AB173" i="5"/>
  <c r="AB93" i="5"/>
  <c r="AB29" i="5"/>
  <c r="Y151" i="5"/>
  <c r="Y87" i="5"/>
  <c r="Y39" i="5"/>
  <c r="P31" i="5"/>
  <c r="P55" i="5"/>
  <c r="P95" i="5"/>
  <c r="P119" i="5"/>
  <c r="P159" i="5"/>
  <c r="P199" i="5"/>
  <c r="S14" i="5"/>
  <c r="S54" i="5"/>
  <c r="S78" i="5"/>
  <c r="S118" i="5"/>
  <c r="S158" i="5"/>
  <c r="S182" i="5"/>
  <c r="T188" i="5"/>
  <c r="T52" i="5"/>
  <c r="Z7" i="5"/>
  <c r="AE166" i="5"/>
  <c r="AB122" i="5"/>
  <c r="Y152" i="5"/>
  <c r="Y110" i="5"/>
  <c r="Y48" i="5"/>
  <c r="AE188" i="5"/>
  <c r="Y194" i="5"/>
  <c r="AE170" i="5"/>
  <c r="Y134" i="5"/>
  <c r="AE193" i="5"/>
  <c r="AE129" i="5"/>
  <c r="AE65" i="5"/>
  <c r="AB203" i="5"/>
  <c r="AB139" i="5"/>
  <c r="AB75" i="5"/>
  <c r="AB11" i="5"/>
  <c r="Y149" i="5"/>
  <c r="Y85" i="5"/>
  <c r="Y21" i="5"/>
  <c r="P32" i="5"/>
  <c r="P64" i="5"/>
  <c r="P96" i="5"/>
  <c r="P128" i="5"/>
  <c r="P160" i="5"/>
  <c r="P192" i="5"/>
  <c r="R186" i="5"/>
  <c r="S39" i="5"/>
  <c r="S71" i="5"/>
  <c r="S103" i="5"/>
  <c r="S135" i="5"/>
  <c r="S167" i="5"/>
  <c r="S199" i="5"/>
  <c r="T197" i="5"/>
  <c r="T53" i="5"/>
  <c r="T78" i="5"/>
  <c r="T101" i="5"/>
  <c r="T124" i="5"/>
  <c r="T142" i="5"/>
  <c r="T165" i="5"/>
  <c r="T25" i="5"/>
  <c r="Q55" i="5"/>
  <c r="Q137" i="5"/>
  <c r="P41" i="5"/>
  <c r="R151" i="5"/>
  <c r="S144" i="5"/>
  <c r="T86" i="5"/>
  <c r="T33" i="5"/>
  <c r="Q104" i="5"/>
  <c r="Q191" i="5"/>
  <c r="AB66" i="5"/>
  <c r="AE33" i="5"/>
  <c r="P16" i="5"/>
  <c r="P176" i="5"/>
  <c r="S151" i="5"/>
  <c r="T110" i="5"/>
  <c r="Q64" i="5"/>
  <c r="Y30" i="5"/>
  <c r="AE192" i="5"/>
  <c r="AE31" i="5"/>
  <c r="P49" i="5"/>
  <c r="R31" i="5"/>
  <c r="S56" i="5"/>
  <c r="T70" i="5"/>
  <c r="Q47" i="5"/>
  <c r="Q175" i="5"/>
  <c r="N7" i="5"/>
  <c r="AB136" i="5"/>
  <c r="Y144" i="5"/>
  <c r="AE156" i="5"/>
  <c r="AE114" i="5"/>
  <c r="AB58" i="5"/>
  <c r="AE172" i="5"/>
  <c r="Y178" i="5"/>
  <c r="AB166" i="5"/>
  <c r="AB128" i="5"/>
  <c r="AE191" i="5"/>
  <c r="AE127" i="5"/>
  <c r="AE63" i="5"/>
  <c r="AB201" i="5"/>
  <c r="AB137" i="5"/>
  <c r="AB73" i="5"/>
  <c r="AB9" i="5"/>
  <c r="Y147" i="5"/>
  <c r="Y83" i="5"/>
  <c r="Y19" i="5"/>
  <c r="P33" i="5"/>
  <c r="P65" i="5"/>
  <c r="P97" i="5"/>
  <c r="P129" i="5"/>
  <c r="P161" i="5"/>
  <c r="P193" i="5"/>
  <c r="R187" i="5"/>
  <c r="R47" i="5"/>
  <c r="R79" i="5"/>
  <c r="R111" i="5"/>
  <c r="S8" i="5"/>
  <c r="S40" i="5"/>
  <c r="S72" i="5"/>
  <c r="S104" i="5"/>
  <c r="S136" i="5"/>
  <c r="S168" i="5"/>
  <c r="S200" i="5"/>
  <c r="T198" i="5"/>
  <c r="T54" i="5"/>
  <c r="T84" i="5"/>
  <c r="T102" i="5"/>
  <c r="T125" i="5"/>
  <c r="T148" i="5"/>
  <c r="T166" i="5"/>
  <c r="T26" i="5"/>
  <c r="Q15" i="5"/>
  <c r="Q33" i="5"/>
  <c r="Q56" i="5"/>
  <c r="Q79" i="5"/>
  <c r="Q97" i="5"/>
  <c r="Q120" i="5"/>
  <c r="Q143" i="5"/>
  <c r="Q161" i="5"/>
  <c r="Q184" i="5"/>
  <c r="Q207" i="5"/>
  <c r="T27" i="5"/>
  <c r="Q16" i="5"/>
  <c r="T172" i="5"/>
  <c r="T11" i="5"/>
  <c r="Q41" i="5"/>
  <c r="Q128" i="5"/>
  <c r="Q192" i="5"/>
  <c r="Y72" i="5"/>
  <c r="AE159" i="5"/>
  <c r="AB41" i="5"/>
  <c r="Y51" i="5"/>
  <c r="P113" i="5"/>
  <c r="P209" i="5"/>
  <c r="S88" i="5"/>
  <c r="T182" i="5"/>
  <c r="T134" i="5"/>
  <c r="T35" i="5"/>
  <c r="Q111" i="5"/>
  <c r="AE38" i="5"/>
  <c r="AB208" i="5"/>
  <c r="Y24" i="5"/>
  <c r="Y192" i="5"/>
  <c r="Y168" i="5"/>
  <c r="Y190" i="5"/>
  <c r="Y20" i="5"/>
  <c r="AE20" i="5"/>
  <c r="Y108" i="5"/>
  <c r="AE90" i="5"/>
  <c r="AE177" i="5"/>
  <c r="AE113" i="5"/>
  <c r="AE49" i="5"/>
  <c r="AB187" i="5"/>
  <c r="AB123" i="5"/>
  <c r="AB59" i="5"/>
  <c r="Y197" i="5"/>
  <c r="Y133" i="5"/>
  <c r="Y69" i="5"/>
  <c r="P8" i="5"/>
  <c r="P40" i="5"/>
  <c r="P72" i="5"/>
  <c r="P104" i="5"/>
  <c r="P136" i="5"/>
  <c r="P168" i="5"/>
  <c r="P200" i="5"/>
  <c r="R194" i="5"/>
  <c r="S15" i="5"/>
  <c r="S47" i="5"/>
  <c r="S79" i="5"/>
  <c r="S111" i="5"/>
  <c r="S143" i="5"/>
  <c r="S175" i="5"/>
  <c r="S207" i="5"/>
  <c r="T205" i="5"/>
  <c r="T61" i="5"/>
  <c r="T85" i="5"/>
  <c r="T108" i="5"/>
  <c r="T126" i="5"/>
  <c r="T149" i="5"/>
  <c r="T9" i="5"/>
  <c r="AB105" i="5"/>
  <c r="S152" i="5"/>
  <c r="T116" i="5"/>
  <c r="Q65" i="5"/>
  <c r="Q193" i="5"/>
  <c r="AB124" i="5"/>
  <c r="Y122" i="5"/>
  <c r="AE108" i="5"/>
  <c r="AE66" i="5"/>
  <c r="AE30" i="5"/>
  <c r="AB148" i="5"/>
  <c r="AE48" i="5"/>
  <c r="Y52" i="5"/>
  <c r="AB174" i="5"/>
  <c r="AE209" i="5"/>
  <c r="AE145" i="5"/>
  <c r="AE81" i="5"/>
  <c r="AE17" i="5"/>
  <c r="AB155" i="5"/>
  <c r="AB91" i="5"/>
  <c r="AB27" i="5"/>
  <c r="Y165" i="5"/>
  <c r="Y101" i="5"/>
  <c r="Y37" i="5"/>
  <c r="P24" i="5"/>
  <c r="P56" i="5"/>
  <c r="P88" i="5"/>
  <c r="P120" i="5"/>
  <c r="P152" i="5"/>
  <c r="P184" i="5"/>
  <c r="R178" i="5"/>
  <c r="R210" i="5"/>
  <c r="S31" i="5"/>
  <c r="S63" i="5"/>
  <c r="S95" i="5"/>
  <c r="S127" i="5"/>
  <c r="S159" i="5"/>
  <c r="S191" i="5"/>
  <c r="T189" i="5"/>
  <c r="T45" i="5"/>
  <c r="T76" i="5"/>
  <c r="T94" i="5"/>
  <c r="T117" i="5"/>
  <c r="T140" i="5"/>
  <c r="T158" i="5"/>
  <c r="T18" i="5"/>
  <c r="T41" i="5"/>
  <c r="Q25" i="5"/>
  <c r="Q48" i="5"/>
  <c r="Q71" i="5"/>
  <c r="Q89" i="5"/>
  <c r="Q112" i="5"/>
  <c r="Q135" i="5"/>
  <c r="Q153" i="5"/>
  <c r="Q176" i="5"/>
  <c r="Q199" i="5"/>
  <c r="Q9" i="5"/>
  <c r="Q96" i="5"/>
  <c r="Q160" i="5"/>
  <c r="Q201" i="5"/>
  <c r="Q57" i="5"/>
  <c r="Q103" i="5"/>
  <c r="Q144" i="5"/>
  <c r="Q208" i="5"/>
  <c r="AE24" i="5"/>
  <c r="AE28" i="5"/>
  <c r="AB176" i="5"/>
  <c r="AB204" i="5"/>
  <c r="AE96" i="5"/>
  <c r="AE175" i="5"/>
  <c r="AE47" i="5"/>
  <c r="AB121" i="5"/>
  <c r="Y195" i="5"/>
  <c r="Y67" i="5"/>
  <c r="P73" i="5"/>
  <c r="P137" i="5"/>
  <c r="P201" i="5"/>
  <c r="S16" i="5"/>
  <c r="S80" i="5"/>
  <c r="S176" i="5"/>
  <c r="T206" i="5"/>
  <c r="T109" i="5"/>
  <c r="T150" i="5"/>
  <c r="Q17" i="5"/>
  <c r="Q63" i="5"/>
  <c r="Q127" i="5"/>
  <c r="Q168" i="5"/>
  <c r="Y82" i="5"/>
  <c r="AB24" i="5"/>
  <c r="AE148" i="5"/>
  <c r="AE208" i="5"/>
  <c r="AB48" i="5"/>
  <c r="AE97" i="5"/>
  <c r="AB107" i="5"/>
  <c r="Y181" i="5"/>
  <c r="Y53" i="5"/>
  <c r="P80" i="5"/>
  <c r="P144" i="5"/>
  <c r="R202" i="5"/>
  <c r="S55" i="5"/>
  <c r="S119" i="5"/>
  <c r="T181" i="5"/>
  <c r="T92" i="5"/>
  <c r="T156" i="5"/>
  <c r="Q23" i="5"/>
  <c r="Q105" i="5"/>
  <c r="Q169" i="5"/>
  <c r="AE86" i="5"/>
  <c r="Y128" i="5"/>
  <c r="AB202" i="5"/>
  <c r="AE95" i="5"/>
  <c r="Y179" i="5"/>
  <c r="P17" i="5"/>
  <c r="P145" i="5"/>
  <c r="R203" i="5"/>
  <c r="R159" i="5"/>
  <c r="S120" i="5"/>
  <c r="T173" i="5"/>
  <c r="T157" i="5"/>
  <c r="Q24" i="5"/>
  <c r="Q129" i="5"/>
  <c r="Y130" i="5"/>
  <c r="AE142" i="5"/>
  <c r="AB114" i="5"/>
  <c r="AB72" i="5"/>
  <c r="Y58" i="5"/>
  <c r="AE126" i="5"/>
  <c r="Y44" i="5"/>
  <c r="AE8" i="5"/>
  <c r="AB170" i="5"/>
  <c r="AE207" i="5"/>
  <c r="AE143" i="5"/>
  <c r="AE79" i="5"/>
  <c r="AE15" i="5"/>
  <c r="AB153" i="5"/>
  <c r="AB89" i="5"/>
  <c r="AB25" i="5"/>
  <c r="Y163" i="5"/>
  <c r="Y99" i="5"/>
  <c r="Y35" i="5"/>
  <c r="P25" i="5"/>
  <c r="P57" i="5"/>
  <c r="P89" i="5"/>
  <c r="P121" i="5"/>
  <c r="P153" i="5"/>
  <c r="P185" i="5"/>
  <c r="R179" i="5"/>
  <c r="S32" i="5"/>
  <c r="S64" i="5"/>
  <c r="S96" i="5"/>
  <c r="S128" i="5"/>
  <c r="S160" i="5"/>
  <c r="S192" i="5"/>
  <c r="T190" i="5"/>
  <c r="T46" i="5"/>
  <c r="T77" i="5"/>
  <c r="T100" i="5"/>
  <c r="T118" i="5"/>
  <c r="T141" i="5"/>
  <c r="T164" i="5"/>
  <c r="T19" i="5"/>
  <c r="Q8" i="5"/>
  <c r="Q31" i="5"/>
  <c r="Q49" i="5"/>
  <c r="Q72" i="5"/>
  <c r="Q95" i="5"/>
  <c r="Q113" i="5"/>
  <c r="Q136" i="5"/>
  <c r="Q159" i="5"/>
  <c r="Q177" i="5"/>
  <c r="Q200" i="5"/>
  <c r="Q32" i="5"/>
  <c r="Q73" i="5"/>
  <c r="Q119" i="5"/>
  <c r="Q183" i="5"/>
  <c r="Q39" i="5"/>
  <c r="Q80" i="5"/>
  <c r="Q121" i="5"/>
  <c r="Q167" i="5"/>
  <c r="Q185" i="5"/>
  <c r="AB44" i="5"/>
  <c r="Y196" i="5"/>
  <c r="Y206" i="5"/>
  <c r="Y154" i="5"/>
  <c r="Y86" i="5"/>
  <c r="AE111" i="5"/>
  <c r="AB185" i="5"/>
  <c r="AB57" i="5"/>
  <c r="Y131" i="5"/>
  <c r="P9" i="5"/>
  <c r="P105" i="5"/>
  <c r="P169" i="5"/>
  <c r="R195" i="5"/>
  <c r="R55" i="5"/>
  <c r="R119" i="5"/>
  <c r="S48" i="5"/>
  <c r="S112" i="5"/>
  <c r="S208" i="5"/>
  <c r="T62" i="5"/>
  <c r="T132" i="5"/>
  <c r="T10" i="5"/>
  <c r="Q40" i="5"/>
  <c r="Q81" i="5"/>
  <c r="Q145" i="5"/>
  <c r="Q209" i="5"/>
  <c r="AB168" i="5"/>
  <c r="AB78" i="5"/>
  <c r="AE144" i="5"/>
  <c r="AB206" i="5"/>
  <c r="AE161" i="5"/>
  <c r="AB171" i="5"/>
  <c r="AB43" i="5"/>
  <c r="Y117" i="5"/>
  <c r="P48" i="5"/>
  <c r="P112" i="5"/>
  <c r="P208" i="5"/>
  <c r="S23" i="5"/>
  <c r="S87" i="5"/>
  <c r="S183" i="5"/>
  <c r="T69" i="5"/>
  <c r="T133" i="5"/>
  <c r="T34" i="5"/>
  <c r="Q87" i="5"/>
  <c r="Q151" i="5"/>
  <c r="AE184" i="5"/>
  <c r="Y100" i="5"/>
  <c r="AE128" i="5"/>
  <c r="AE42" i="5"/>
  <c r="AB169" i="5"/>
  <c r="Y115" i="5"/>
  <c r="P81" i="5"/>
  <c r="P177" i="5"/>
  <c r="R95" i="5"/>
  <c r="S24" i="5"/>
  <c r="S184" i="5"/>
  <c r="T93" i="5"/>
  <c r="T17" i="5"/>
  <c r="Q88" i="5"/>
  <c r="Q152" i="5"/>
  <c r="T242" i="8"/>
  <c r="T240" i="8"/>
  <c r="AA237" i="8"/>
  <c r="T236" i="8"/>
  <c r="T234" i="8"/>
  <c r="T232" i="8"/>
  <c r="L230" i="8"/>
  <c r="AA227" i="8"/>
  <c r="L226" i="8"/>
  <c r="X224" i="8"/>
  <c r="L222" i="8"/>
  <c r="L220" i="8"/>
  <c r="T218" i="8"/>
  <c r="L216" i="8"/>
  <c r="AA213" i="8"/>
  <c r="T212" i="8"/>
  <c r="T210" i="8"/>
  <c r="AA207" i="8"/>
  <c r="AA205" i="8"/>
  <c r="AA203" i="8"/>
  <c r="T202" i="8"/>
  <c r="X200" i="8"/>
  <c r="T198" i="8"/>
  <c r="T196" i="8"/>
  <c r="L194" i="8"/>
  <c r="X192" i="8"/>
  <c r="T190" i="8"/>
  <c r="T188" i="8"/>
  <c r="T186" i="8"/>
  <c r="T184" i="8"/>
  <c r="AA181" i="8"/>
  <c r="T180" i="8"/>
  <c r="L178" i="8"/>
  <c r="AA175" i="8"/>
  <c r="T174" i="8"/>
  <c r="T172" i="8"/>
  <c r="AA169" i="8"/>
  <c r="AA167" i="8"/>
  <c r="T166" i="8"/>
  <c r="X164" i="8"/>
  <c r="L162" i="8"/>
  <c r="L160" i="8"/>
  <c r="L158" i="8"/>
  <c r="X156" i="8"/>
  <c r="X154" i="8"/>
  <c r="T152" i="8"/>
  <c r="T150" i="8"/>
  <c r="L148" i="8"/>
  <c r="T146" i="8"/>
  <c r="L144" i="8"/>
  <c r="X142" i="8"/>
  <c r="T140" i="8"/>
  <c r="L138" i="8"/>
  <c r="T136" i="8"/>
  <c r="AA133" i="8"/>
  <c r="AA131" i="8"/>
  <c r="AA129" i="8"/>
  <c r="X128" i="8"/>
  <c r="T126" i="8"/>
  <c r="L124" i="8"/>
  <c r="AA121" i="8"/>
  <c r="X120" i="8"/>
  <c r="T118" i="8"/>
  <c r="L116" i="8"/>
  <c r="T114" i="8"/>
  <c r="AA111" i="8"/>
  <c r="T110" i="8"/>
  <c r="T108" i="8"/>
  <c r="T106" i="8"/>
  <c r="T104" i="8"/>
  <c r="T102" i="8"/>
  <c r="T100" i="8"/>
  <c r="L98" i="8"/>
  <c r="L96" i="8"/>
  <c r="L94" i="8"/>
  <c r="T92" i="8"/>
  <c r="X90" i="8"/>
  <c r="T88" i="8"/>
  <c r="AA85" i="8"/>
  <c r="AA83" i="8"/>
  <c r="X82" i="8"/>
  <c r="X80" i="8"/>
  <c r="AA77" i="8"/>
  <c r="AA75" i="8"/>
  <c r="T74" i="8"/>
  <c r="AA71" i="8"/>
  <c r="AA69" i="8"/>
  <c r="AA67" i="8"/>
  <c r="X66" i="8"/>
  <c r="L64" i="8"/>
  <c r="L62" i="8"/>
  <c r="L60" i="8"/>
  <c r="AA57" i="8"/>
  <c r="AA55" i="8"/>
  <c r="L54" i="8"/>
  <c r="T52" i="8"/>
  <c r="L50" i="8"/>
  <c r="T48" i="8"/>
  <c r="L46" i="8"/>
  <c r="T44" i="8"/>
  <c r="T42" i="8"/>
  <c r="T40" i="8"/>
  <c r="X38" i="8"/>
  <c r="T36" i="8"/>
  <c r="L34" i="8"/>
  <c r="AA31" i="8"/>
  <c r="AA29" i="8"/>
  <c r="T28" i="8"/>
  <c r="X26" i="8"/>
  <c r="T24" i="8"/>
  <c r="AA21" i="8"/>
  <c r="L20" i="8"/>
  <c r="X18" i="8"/>
  <c r="AA15" i="8"/>
  <c r="L14" i="8"/>
  <c r="AA11" i="8"/>
  <c r="AA9" i="8"/>
  <c r="X242" i="8"/>
  <c r="X240" i="8"/>
  <c r="X238" i="8"/>
  <c r="X236" i="8"/>
  <c r="X234" i="8"/>
  <c r="X232" i="8"/>
  <c r="AA229" i="8"/>
  <c r="X228" i="8"/>
  <c r="AA225" i="8"/>
  <c r="L224" i="8"/>
  <c r="AA221" i="8"/>
  <c r="T220" i="8"/>
  <c r="X218" i="8"/>
  <c r="AA215" i="8"/>
  <c r="X214" i="8"/>
  <c r="X212" i="8"/>
  <c r="X210" i="8"/>
  <c r="T208" i="8"/>
  <c r="T206" i="8"/>
  <c r="L204" i="8"/>
  <c r="X202" i="8"/>
  <c r="T200" i="8"/>
  <c r="X198" i="8"/>
  <c r="X196" i="8"/>
  <c r="AA193" i="8"/>
  <c r="T192" i="8"/>
  <c r="X190" i="8"/>
  <c r="X188" i="8"/>
  <c r="X186" i="8"/>
  <c r="X184" i="8"/>
  <c r="X182" i="8"/>
  <c r="X180" i="8"/>
  <c r="AA177" i="8"/>
  <c r="L176" i="8"/>
  <c r="L174" i="8"/>
  <c r="X172" i="8"/>
  <c r="X170" i="8"/>
  <c r="X168" i="8"/>
  <c r="X166" i="8"/>
  <c r="AA163" i="8"/>
  <c r="AA161" i="8"/>
  <c r="AA159" i="8"/>
  <c r="AA157" i="8"/>
  <c r="T156" i="8"/>
  <c r="L154" i="8"/>
  <c r="X152" i="8"/>
  <c r="X150" i="8"/>
  <c r="AA147" i="8"/>
  <c r="X146" i="8"/>
  <c r="AA143" i="8"/>
  <c r="AA141" i="8"/>
  <c r="AA139" i="8"/>
  <c r="AA137" i="8"/>
  <c r="X136" i="8"/>
  <c r="X134" i="8"/>
  <c r="T132" i="8"/>
  <c r="X130" i="8"/>
  <c r="AA127" i="8"/>
  <c r="AA125" i="8"/>
  <c r="AA123" i="8"/>
  <c r="L122" i="8"/>
  <c r="L120" i="8"/>
  <c r="X118" i="8"/>
  <c r="AA115" i="8"/>
  <c r="X114" i="8"/>
  <c r="T112" i="8"/>
  <c r="X110" i="8"/>
  <c r="AA107" i="8"/>
  <c r="X106" i="8"/>
  <c r="X104" i="8"/>
  <c r="X102" i="8"/>
  <c r="X100" i="8"/>
  <c r="AA97" i="8"/>
  <c r="AA95" i="8"/>
  <c r="AA93" i="8"/>
  <c r="L92" i="8"/>
  <c r="L90" i="8"/>
  <c r="L88" i="8"/>
  <c r="T86" i="8"/>
  <c r="T84" i="8"/>
  <c r="L82" i="8"/>
  <c r="AA79" i="8"/>
  <c r="T78" i="8"/>
  <c r="T76" i="8"/>
  <c r="X74" i="8"/>
  <c r="T72" i="8"/>
  <c r="T70" i="8"/>
  <c r="T68" i="8"/>
  <c r="AA65" i="8"/>
  <c r="AA63" i="8"/>
  <c r="AA61" i="8"/>
  <c r="AA59" i="8"/>
  <c r="T58" i="8"/>
  <c r="L56" i="8"/>
  <c r="AA53" i="8"/>
  <c r="X52" i="8"/>
  <c r="AA49" i="8"/>
  <c r="X48" i="8"/>
  <c r="AA45" i="8"/>
  <c r="X44" i="8"/>
  <c r="AA41" i="8"/>
  <c r="X40" i="8"/>
  <c r="T38" i="8"/>
  <c r="AA35" i="8"/>
  <c r="AA33" i="8"/>
  <c r="X32" i="8"/>
  <c r="T30" i="8"/>
  <c r="X28" i="8"/>
  <c r="L26" i="8"/>
  <c r="L24" i="8"/>
  <c r="L22" i="8"/>
  <c r="AA19" i="8"/>
  <c r="AA17" i="8"/>
  <c r="L16" i="8"/>
  <c r="AA13" i="8"/>
  <c r="L12" i="8"/>
  <c r="L10" i="8"/>
  <c r="L8" i="8"/>
  <c r="L241" i="8"/>
  <c r="X239" i="8"/>
  <c r="L237" i="8"/>
  <c r="L235" i="8"/>
  <c r="L233" i="8"/>
  <c r="T231" i="8"/>
  <c r="T229" i="8"/>
  <c r="L227" i="8"/>
  <c r="T225" i="8"/>
  <c r="T223" i="8"/>
  <c r="L221" i="8"/>
  <c r="T219" i="8"/>
  <c r="L217" i="8"/>
  <c r="T215" i="8"/>
  <c r="L213" i="8"/>
  <c r="L211" i="8"/>
  <c r="T209" i="8"/>
  <c r="L207" i="8"/>
  <c r="T205" i="8"/>
  <c r="L203" i="8"/>
  <c r="L201" i="8"/>
  <c r="L199" i="8"/>
  <c r="L197" i="8"/>
  <c r="L195" i="8"/>
  <c r="X193" i="8"/>
  <c r="L191" i="8"/>
  <c r="L189" i="8"/>
  <c r="L187" i="8"/>
  <c r="L185" i="8"/>
  <c r="L183" i="8"/>
  <c r="L181" i="8"/>
  <c r="L179" i="8"/>
  <c r="T177" i="8"/>
  <c r="T175" i="8"/>
  <c r="X173" i="8"/>
  <c r="T171" i="8"/>
  <c r="L169" i="8"/>
  <c r="T167" i="8"/>
  <c r="L165" i="8"/>
  <c r="T163" i="8"/>
  <c r="T161" i="8"/>
  <c r="T159" i="8"/>
  <c r="T157" i="8"/>
  <c r="L155" i="8"/>
  <c r="X153" i="8"/>
  <c r="L151" i="8"/>
  <c r="L149" i="8"/>
  <c r="T147" i="8"/>
  <c r="L145" i="8"/>
  <c r="L143" i="8"/>
  <c r="L141" i="8"/>
  <c r="L139" i="8"/>
  <c r="T137" i="8"/>
  <c r="T135" i="8"/>
  <c r="T133" i="8"/>
  <c r="T131" i="8"/>
  <c r="T129" i="8"/>
  <c r="T127" i="8"/>
  <c r="T125" i="8"/>
  <c r="T123" i="8"/>
  <c r="X121" i="8"/>
  <c r="X119" i="8"/>
  <c r="L117" i="8"/>
  <c r="L115" i="8"/>
  <c r="L113" i="8"/>
  <c r="L111" i="8"/>
  <c r="L109" i="8"/>
  <c r="T107" i="8"/>
  <c r="L105" i="8"/>
  <c r="L103" i="8"/>
  <c r="T101" i="8"/>
  <c r="L99" i="8"/>
  <c r="X97" i="8"/>
  <c r="T95" i="8"/>
  <c r="T93" i="8"/>
  <c r="T91" i="8"/>
  <c r="X89" i="8"/>
  <c r="T87" i="8"/>
  <c r="X85" i="8"/>
  <c r="T83" i="8"/>
  <c r="T81" i="8"/>
  <c r="X79" i="8"/>
  <c r="X77" i="8"/>
  <c r="L75" i="8"/>
  <c r="T73" i="8"/>
  <c r="L71" i="8"/>
  <c r="X69" i="8"/>
  <c r="T67" i="8"/>
  <c r="T65" i="8"/>
  <c r="T63" i="8"/>
  <c r="T61" i="8"/>
  <c r="T59" i="8"/>
  <c r="X57" i="8"/>
  <c r="T55" i="8"/>
  <c r="L53" i="8"/>
  <c r="X51" i="8"/>
  <c r="L49" i="8"/>
  <c r="L47" i="8"/>
  <c r="L45" i="8"/>
  <c r="T43" i="8"/>
  <c r="L41" i="8"/>
  <c r="T39" i="8"/>
  <c r="T37" i="8"/>
  <c r="T35" i="8"/>
  <c r="T33" i="8"/>
  <c r="L31" i="8"/>
  <c r="T29" i="8"/>
  <c r="T27" i="8"/>
  <c r="X25" i="8"/>
  <c r="T23" i="8"/>
  <c r="T21" i="8"/>
  <c r="T19" i="8"/>
  <c r="T17" i="8"/>
  <c r="X15" i="8"/>
  <c r="T13" i="8"/>
  <c r="T11" i="8"/>
  <c r="X9" i="8"/>
  <c r="L242" i="8"/>
  <c r="L240" i="8"/>
  <c r="T238" i="8"/>
  <c r="L236" i="8"/>
  <c r="L234" i="8"/>
  <c r="L232" i="8"/>
  <c r="T230" i="8"/>
  <c r="T228" i="8"/>
  <c r="T226" i="8"/>
  <c r="T224" i="8"/>
  <c r="X222" i="8"/>
  <c r="X220" i="8"/>
  <c r="L218" i="8"/>
  <c r="T216" i="8"/>
  <c r="T214" i="8"/>
  <c r="L212" i="8"/>
  <c r="L210" i="8"/>
  <c r="X208" i="8"/>
  <c r="X206" i="8"/>
  <c r="T204" i="8"/>
  <c r="L202" i="8"/>
  <c r="L200" i="8"/>
  <c r="L198" i="8"/>
  <c r="L196" i="8"/>
  <c r="T194" i="8"/>
  <c r="L192" i="8"/>
  <c r="L190" i="8"/>
  <c r="L188" i="8"/>
  <c r="L186" i="8"/>
  <c r="L184" i="8"/>
  <c r="T182" i="8"/>
  <c r="L180" i="8"/>
  <c r="T178" i="8"/>
  <c r="T176" i="8"/>
  <c r="X174" i="8"/>
  <c r="L172" i="8"/>
  <c r="L170" i="8"/>
  <c r="L168" i="8"/>
  <c r="L166" i="8"/>
  <c r="T164" i="8"/>
  <c r="X162" i="8"/>
  <c r="T160" i="8"/>
  <c r="T158" i="8"/>
  <c r="L156" i="8"/>
  <c r="T154" i="8"/>
  <c r="L152" i="8"/>
  <c r="L150" i="8"/>
  <c r="T148" i="8"/>
  <c r="L146" i="8"/>
  <c r="T144" i="8"/>
  <c r="L142" i="8"/>
  <c r="X140" i="8"/>
  <c r="T138" i="8"/>
  <c r="L136" i="8"/>
  <c r="T134" i="8"/>
  <c r="X132" i="8"/>
  <c r="T130" i="8"/>
  <c r="T128" i="8"/>
  <c r="X126" i="8"/>
  <c r="T124" i="8"/>
  <c r="T122" i="8"/>
  <c r="T120" i="8"/>
  <c r="L118" i="8"/>
  <c r="T116" i="8"/>
  <c r="L114" i="8"/>
  <c r="L112" i="8"/>
  <c r="L110" i="8"/>
  <c r="X108" i="8"/>
  <c r="L106" i="8"/>
  <c r="L104" i="8"/>
  <c r="L102" i="8"/>
  <c r="L100" i="8"/>
  <c r="T98" i="8"/>
  <c r="T96" i="8"/>
  <c r="T94" i="8"/>
  <c r="X92" i="8"/>
  <c r="T90" i="8"/>
  <c r="X88" i="8"/>
  <c r="X86" i="8"/>
  <c r="X84" i="8"/>
  <c r="T82" i="8"/>
  <c r="T80" i="8"/>
  <c r="X78" i="8"/>
  <c r="X76" i="8"/>
  <c r="L74" i="8"/>
  <c r="L72" i="8"/>
  <c r="X70" i="8"/>
  <c r="X68" i="8"/>
  <c r="T66" i="8"/>
  <c r="T64" i="8"/>
  <c r="T62" i="8"/>
  <c r="T60" i="8"/>
  <c r="X58" i="8"/>
  <c r="X56" i="8"/>
  <c r="X54" i="8"/>
  <c r="L52" i="8"/>
  <c r="T50" i="8"/>
  <c r="L48" i="8"/>
  <c r="T46" i="8"/>
  <c r="L44" i="8"/>
  <c r="X42" i="8"/>
  <c r="L40" i="8"/>
  <c r="L38" i="8"/>
  <c r="X36" i="8"/>
  <c r="X34" i="8"/>
  <c r="T32" i="8"/>
  <c r="X30" i="8"/>
  <c r="L28" i="8"/>
  <c r="T26" i="8"/>
  <c r="X24" i="8"/>
  <c r="T22" i="8"/>
  <c r="X20" i="8"/>
  <c r="T18" i="8"/>
  <c r="T16" i="8"/>
  <c r="T14" i="8"/>
  <c r="T12" i="8"/>
  <c r="X10" i="8"/>
  <c r="X8" i="8"/>
  <c r="AA241" i="8"/>
  <c r="AA239" i="8"/>
  <c r="L238" i="8"/>
  <c r="AA235" i="8"/>
  <c r="AA233" i="8"/>
  <c r="AA231" i="8"/>
  <c r="X230" i="8"/>
  <c r="L228" i="8"/>
  <c r="X226" i="8"/>
  <c r="AA223" i="8"/>
  <c r="T222" i="8"/>
  <c r="AA219" i="8"/>
  <c r="AA217" i="8"/>
  <c r="X216" i="8"/>
  <c r="L214" i="8"/>
  <c r="AA211" i="8"/>
  <c r="AA209" i="8"/>
  <c r="L208" i="8"/>
  <c r="L206" i="8"/>
  <c r="X204" i="8"/>
  <c r="AA201" i="8"/>
  <c r="AA199" i="8"/>
  <c r="AA197" i="8"/>
  <c r="AA195" i="8"/>
  <c r="X194" i="8"/>
  <c r="AA191" i="8"/>
  <c r="AA189" i="8"/>
  <c r="AA187" i="8"/>
  <c r="AA185" i="8"/>
  <c r="AA183" i="8"/>
  <c r="L182" i="8"/>
  <c r="AA179" i="8"/>
  <c r="X178" i="8"/>
  <c r="X176" i="8"/>
  <c r="AA173" i="8"/>
  <c r="AA171" i="8"/>
  <c r="T170" i="8"/>
  <c r="T168" i="8"/>
  <c r="AA165" i="8"/>
  <c r="L164" i="8"/>
  <c r="T162" i="8"/>
  <c r="X160" i="8"/>
  <c r="X158" i="8"/>
  <c r="AA155" i="8"/>
  <c r="AA153" i="8"/>
  <c r="AA151" i="8"/>
  <c r="AA149" i="8"/>
  <c r="X148" i="8"/>
  <c r="AA145" i="8"/>
  <c r="X144" i="8"/>
  <c r="T142" i="8"/>
  <c r="L140" i="8"/>
  <c r="X138" i="8"/>
  <c r="AA135" i="8"/>
  <c r="L134" i="8"/>
  <c r="L132" i="8"/>
  <c r="L130" i="8"/>
  <c r="L128" i="8"/>
  <c r="L126" i="8"/>
  <c r="X124" i="8"/>
  <c r="X122" i="8"/>
  <c r="AA119" i="8"/>
  <c r="AA117" i="8"/>
  <c r="X116" i="8"/>
  <c r="AA113" i="8"/>
  <c r="X112" i="8"/>
  <c r="AA109" i="8"/>
  <c r="L108" i="8"/>
  <c r="AA105" i="8"/>
  <c r="AA103" i="8"/>
  <c r="AA101" i="8"/>
  <c r="AA99" i="8"/>
  <c r="X98" i="8"/>
  <c r="X96" i="8"/>
  <c r="X94" i="8"/>
  <c r="AA91" i="8"/>
  <c r="AA89" i="8"/>
  <c r="AA87" i="8"/>
  <c r="L86" i="8"/>
  <c r="L84" i="8"/>
  <c r="AA81" i="8"/>
  <c r="L80" i="8"/>
  <c r="L78" i="8"/>
  <c r="L76" i="8"/>
  <c r="AA73" i="8"/>
  <c r="X72" i="8"/>
  <c r="L70" i="8"/>
  <c r="L68" i="8"/>
  <c r="L66" i="8"/>
  <c r="X64" i="8"/>
  <c r="X62" i="8"/>
  <c r="X60" i="8"/>
  <c r="L58" i="8"/>
  <c r="T56" i="8"/>
  <c r="T54" i="8"/>
  <c r="AA51" i="8"/>
  <c r="X50" i="8"/>
  <c r="AA47" i="8"/>
  <c r="X46" i="8"/>
  <c r="AA43" i="8"/>
  <c r="L42" i="8"/>
  <c r="AA39" i="8"/>
  <c r="AA37" i="8"/>
  <c r="L36" i="8"/>
  <c r="T34" i="8"/>
  <c r="L32" i="8"/>
  <c r="L30" i="8"/>
  <c r="AA27" i="8"/>
  <c r="AA25" i="8"/>
  <c r="AA23" i="8"/>
  <c r="X22" i="8"/>
  <c r="T20" i="8"/>
  <c r="L18" i="8"/>
  <c r="X16" i="8"/>
  <c r="X14" i="8"/>
  <c r="X12" i="8"/>
  <c r="T10" i="8"/>
  <c r="T8" i="8"/>
  <c r="AA7" i="8"/>
  <c r="T239" i="8"/>
  <c r="T233" i="8"/>
  <c r="AA226" i="8"/>
  <c r="L223" i="8"/>
  <c r="T217" i="8"/>
  <c r="AA210" i="8"/>
  <c r="X207" i="8"/>
  <c r="T201" i="8"/>
  <c r="AA194" i="8"/>
  <c r="X191" i="8"/>
  <c r="T185" i="8"/>
  <c r="AA178" i="8"/>
  <c r="AA174" i="8"/>
  <c r="X169" i="8"/>
  <c r="X163" i="8"/>
  <c r="AA158" i="8"/>
  <c r="AA152" i="8"/>
  <c r="X147" i="8"/>
  <c r="X143" i="8"/>
  <c r="L137" i="8"/>
  <c r="L131" i="8"/>
  <c r="L127" i="8"/>
  <c r="L121" i="8"/>
  <c r="AA114" i="8"/>
  <c r="T111" i="8"/>
  <c r="T105" i="8"/>
  <c r="AA98" i="8"/>
  <c r="AA94" i="8"/>
  <c r="T89" i="8"/>
  <c r="X83" i="8"/>
  <c r="L79" i="8"/>
  <c r="X67" i="8"/>
  <c r="AA56" i="8"/>
  <c r="T41" i="8"/>
  <c r="L25" i="8"/>
  <c r="AA8" i="8"/>
  <c r="L13" i="8"/>
  <c r="L225" i="8"/>
  <c r="T199" i="8"/>
  <c r="L167" i="8"/>
  <c r="AA144" i="8"/>
  <c r="T103" i="8"/>
  <c r="T71" i="8"/>
  <c r="L39" i="8"/>
  <c r="AA234" i="8"/>
  <c r="X199" i="8"/>
  <c r="AA166" i="8"/>
  <c r="AA134" i="8"/>
  <c r="X103" i="8"/>
  <c r="L59" i="8"/>
  <c r="AA32" i="8"/>
  <c r="X225" i="8"/>
  <c r="T187" i="8"/>
  <c r="T155" i="8"/>
  <c r="AA128" i="8"/>
  <c r="AA80" i="8"/>
  <c r="L37" i="8"/>
  <c r="X11" i="8"/>
  <c r="AA236" i="8"/>
  <c r="X233" i="8"/>
  <c r="T227" i="8"/>
  <c r="AA220" i="8"/>
  <c r="X217" i="8"/>
  <c r="T211" i="8"/>
  <c r="L205" i="8"/>
  <c r="X201" i="8"/>
  <c r="T195" i="8"/>
  <c r="AA188" i="8"/>
  <c r="X185" i="8"/>
  <c r="T179" i="8"/>
  <c r="T173" i="8"/>
  <c r="T169" i="8"/>
  <c r="AA162" i="8"/>
  <c r="X157" i="8"/>
  <c r="T153" i="8"/>
  <c r="L147" i="8"/>
  <c r="AA140" i="8"/>
  <c r="AA136" i="8"/>
  <c r="AA130" i="8"/>
  <c r="X125" i="8"/>
  <c r="AA120" i="8"/>
  <c r="T115" i="8"/>
  <c r="AA108" i="8"/>
  <c r="X105" i="8"/>
  <c r="T99" i="8"/>
  <c r="X93" i="8"/>
  <c r="AA88" i="8"/>
  <c r="L83" i="8"/>
  <c r="L77" i="8"/>
  <c r="AA72" i="8"/>
  <c r="L67" i="8"/>
  <c r="X61" i="8"/>
  <c r="L57" i="8"/>
  <c r="AA50" i="8"/>
  <c r="AA44" i="8"/>
  <c r="X41" i="8"/>
  <c r="AA34" i="8"/>
  <c r="X29" i="8"/>
  <c r="AA24" i="8"/>
  <c r="X19" i="8"/>
  <c r="X13" i="8"/>
  <c r="L9" i="8"/>
  <c r="X39" i="8"/>
  <c r="L23" i="8"/>
  <c r="AA230" i="8"/>
  <c r="X209" i="8"/>
  <c r="X189" i="8"/>
  <c r="X161" i="8"/>
  <c r="X141" i="8"/>
  <c r="AA124" i="8"/>
  <c r="T97" i="8"/>
  <c r="L81" i="8"/>
  <c r="X55" i="8"/>
  <c r="AA28" i="8"/>
  <c r="AA12" i="8"/>
  <c r="AA224" i="8"/>
  <c r="AA202" i="8"/>
  <c r="L177" i="8"/>
  <c r="AA154" i="8"/>
  <c r="L129" i="8"/>
  <c r="T113" i="8"/>
  <c r="AA86" i="8"/>
  <c r="X71" i="8"/>
  <c r="X43" i="8"/>
  <c r="X17" i="8"/>
  <c r="X241" i="8"/>
  <c r="AA212" i="8"/>
  <c r="AA180" i="8"/>
  <c r="AA164" i="8"/>
  <c r="T139" i="8"/>
  <c r="X113" i="8"/>
  <c r="X101" i="8"/>
  <c r="T75" i="8"/>
  <c r="AA52" i="8"/>
  <c r="X33" i="8"/>
  <c r="AA242" i="8"/>
  <c r="X237" i="8"/>
  <c r="X231" i="8"/>
  <c r="X227" i="8"/>
  <c r="T221" i="8"/>
  <c r="X215" i="8"/>
  <c r="X211" i="8"/>
  <c r="AA204" i="8"/>
  <c r="AA198" i="8"/>
  <c r="X195" i="8"/>
  <c r="T189" i="8"/>
  <c r="X183" i="8"/>
  <c r="X179" i="8"/>
  <c r="L173" i="8"/>
  <c r="X167" i="8"/>
  <c r="L163" i="8"/>
  <c r="L157" i="8"/>
  <c r="AA150" i="8"/>
  <c r="AA146" i="8"/>
  <c r="T141" i="8"/>
  <c r="X135" i="8"/>
  <c r="X131" i="8"/>
  <c r="L125" i="8"/>
  <c r="AA118" i="8"/>
  <c r="X115" i="8"/>
  <c r="T109" i="8"/>
  <c r="AA102" i="8"/>
  <c r="X99" i="8"/>
  <c r="L93" i="8"/>
  <c r="L87" i="8"/>
  <c r="AA82" i="8"/>
  <c r="AA76" i="8"/>
  <c r="AA70" i="8"/>
  <c r="AA66" i="8"/>
  <c r="L61" i="8"/>
  <c r="AA54" i="8"/>
  <c r="T51" i="8"/>
  <c r="T45" i="8"/>
  <c r="L29" i="8"/>
  <c r="AA240" i="8"/>
  <c r="X205" i="8"/>
  <c r="AA172" i="8"/>
  <c r="L135" i="8"/>
  <c r="X109" i="8"/>
  <c r="T77" i="8"/>
  <c r="X45" i="8"/>
  <c r="X219" i="8"/>
  <c r="L193" i="8"/>
  <c r="X171" i="8"/>
  <c r="AA138" i="8"/>
  <c r="X91" i="8"/>
  <c r="X65" i="8"/>
  <c r="AA26" i="8"/>
  <c r="L219" i="8"/>
  <c r="AA196" i="8"/>
  <c r="AA148" i="8"/>
  <c r="L123" i="8"/>
  <c r="L91" i="8"/>
  <c r="X59" i="8"/>
  <c r="L21" i="8"/>
  <c r="L239" i="8"/>
  <c r="X235" i="8"/>
  <c r="AA228" i="8"/>
  <c r="X223" i="8"/>
  <c r="AA218" i="8"/>
  <c r="T213" i="8"/>
  <c r="AA206" i="8"/>
  <c r="T203" i="8"/>
  <c r="T197" i="8"/>
  <c r="AA190" i="8"/>
  <c r="X187" i="8"/>
  <c r="T181" i="8"/>
  <c r="X175" i="8"/>
  <c r="AA170" i="8"/>
  <c r="T165" i="8"/>
  <c r="X159" i="8"/>
  <c r="X155" i="8"/>
  <c r="T149" i="8"/>
  <c r="AA142" i="8"/>
  <c r="X139" i="8"/>
  <c r="X133" i="8"/>
  <c r="X127" i="8"/>
  <c r="AA122" i="8"/>
  <c r="T117" i="8"/>
  <c r="AA110" i="8"/>
  <c r="AA106" i="8"/>
  <c r="L101" i="8"/>
  <c r="X95" i="8"/>
  <c r="AA90" i="8"/>
  <c r="AA84" i="8"/>
  <c r="AA78" i="8"/>
  <c r="X75" i="8"/>
  <c r="AA68" i="8"/>
  <c r="X63" i="8"/>
  <c r="AA58" i="8"/>
  <c r="T53" i="8"/>
  <c r="AA46" i="8"/>
  <c r="AA42" i="8"/>
  <c r="X37" i="8"/>
  <c r="AA30" i="8"/>
  <c r="L27" i="8"/>
  <c r="X21" i="8"/>
  <c r="L15" i="8"/>
  <c r="L11" i="8"/>
  <c r="L215" i="8"/>
  <c r="AA182" i="8"/>
  <c r="T151" i="8"/>
  <c r="L119" i="8"/>
  <c r="X87" i="8"/>
  <c r="AA60" i="8"/>
  <c r="L33" i="8"/>
  <c r="L17" i="8"/>
  <c r="L231" i="8"/>
  <c r="AA208" i="8"/>
  <c r="AA186" i="8"/>
  <c r="X151" i="8"/>
  <c r="X123" i="8"/>
  <c r="X107" i="8"/>
  <c r="X81" i="8"/>
  <c r="L55" i="8"/>
  <c r="AA38" i="8"/>
  <c r="AA10" i="8"/>
  <c r="X229" i="8"/>
  <c r="X203" i="8"/>
  <c r="AA176" i="8"/>
  <c r="AA160" i="8"/>
  <c r="AA132" i="8"/>
  <c r="L107" i="8"/>
  <c r="L85" i="8"/>
  <c r="AA64" i="8"/>
  <c r="L43" i="8"/>
  <c r="AA16" i="8"/>
  <c r="AA238" i="8"/>
  <c r="AA232" i="8"/>
  <c r="L229" i="8"/>
  <c r="AA222" i="8"/>
  <c r="AA216" i="8"/>
  <c r="X213" i="8"/>
  <c r="T207" i="8"/>
  <c r="AA200" i="8"/>
  <c r="X197" i="8"/>
  <c r="T191" i="8"/>
  <c r="AA184" i="8"/>
  <c r="X181" i="8"/>
  <c r="L175" i="8"/>
  <c r="AA168" i="8"/>
  <c r="X165" i="8"/>
  <c r="L159" i="8"/>
  <c r="L153" i="8"/>
  <c r="X149" i="8"/>
  <c r="T143" i="8"/>
  <c r="X137" i="8"/>
  <c r="L133" i="8"/>
  <c r="AA126" i="8"/>
  <c r="T121" i="8"/>
  <c r="X117" i="8"/>
  <c r="X111" i="8"/>
  <c r="AA104" i="8"/>
  <c r="AA100" i="8"/>
  <c r="L95" i="8"/>
  <c r="L89" i="8"/>
  <c r="T85" i="8"/>
  <c r="T79" i="8"/>
  <c r="L73" i="8"/>
  <c r="L69" i="8"/>
  <c r="L63" i="8"/>
  <c r="T57" i="8"/>
  <c r="X53" i="8"/>
  <c r="T47" i="8"/>
  <c r="AA40" i="8"/>
  <c r="AA36" i="8"/>
  <c r="T31" i="8"/>
  <c r="T25" i="8"/>
  <c r="AA20" i="8"/>
  <c r="T15" i="8"/>
  <c r="T9" i="8"/>
  <c r="X73" i="8"/>
  <c r="AA62" i="8"/>
  <c r="L51" i="8"/>
  <c r="X47" i="8"/>
  <c r="X35" i="8"/>
  <c r="X31" i="8"/>
  <c r="AA18" i="8"/>
  <c r="AA14" i="8"/>
  <c r="L35" i="8"/>
  <c r="L19" i="8"/>
  <c r="T237" i="8"/>
  <c r="X221" i="8"/>
  <c r="T193" i="8"/>
  <c r="X177" i="8"/>
  <c r="AA156" i="8"/>
  <c r="X129" i="8"/>
  <c r="AA112" i="8"/>
  <c r="AA92" i="8"/>
  <c r="L65" i="8"/>
  <c r="AA48" i="8"/>
  <c r="X23" i="8"/>
  <c r="T241" i="8"/>
  <c r="AA214" i="8"/>
  <c r="T183" i="8"/>
  <c r="L161" i="8"/>
  <c r="T145" i="8"/>
  <c r="T119" i="8"/>
  <c r="L97" i="8"/>
  <c r="AA74" i="8"/>
  <c r="T49" i="8"/>
  <c r="AA22" i="8"/>
  <c r="T235" i="8"/>
  <c r="L209" i="8"/>
  <c r="AA192" i="8"/>
  <c r="L171" i="8"/>
  <c r="X145" i="8"/>
  <c r="AA116" i="8"/>
  <c r="AA96" i="8"/>
  <c r="T69" i="8"/>
  <c r="X49" i="8"/>
  <c r="X27" i="8"/>
  <c r="T171" i="5"/>
  <c r="S190" i="5"/>
  <c r="S150" i="5"/>
  <c r="S86" i="5"/>
  <c r="S46" i="5"/>
  <c r="R209" i="5"/>
  <c r="P183" i="5"/>
  <c r="P127" i="5"/>
  <c r="P71" i="5"/>
  <c r="P23" i="5"/>
  <c r="Y103" i="5"/>
  <c r="Y199" i="5"/>
  <c r="AB109" i="5"/>
  <c r="AE19" i="5"/>
  <c r="AE131" i="5"/>
  <c r="Y54" i="5"/>
  <c r="AE72" i="5"/>
  <c r="AE204" i="5"/>
  <c r="Y158" i="5"/>
  <c r="Y104" i="5"/>
  <c r="Y148" i="5"/>
  <c r="AB196" i="5"/>
  <c r="Y162" i="5"/>
  <c r="Q198" i="5"/>
  <c r="Q166" i="5"/>
  <c r="Q150" i="5"/>
  <c r="Q126" i="5"/>
  <c r="Q102" i="5"/>
  <c r="Q78" i="5"/>
  <c r="Q62" i="5"/>
  <c r="Q46" i="5"/>
  <c r="Q38" i="5"/>
  <c r="Q22" i="5"/>
  <c r="Q14" i="5"/>
  <c r="T40" i="5"/>
  <c r="T32" i="5"/>
  <c r="T24" i="5"/>
  <c r="T16" i="5"/>
  <c r="T8" i="5"/>
  <c r="T163" i="5"/>
  <c r="T155" i="5"/>
  <c r="T147" i="5"/>
  <c r="T139" i="5"/>
  <c r="T131" i="5"/>
  <c r="T123" i="5"/>
  <c r="T115" i="5"/>
  <c r="T107" i="5"/>
  <c r="T99" i="5"/>
  <c r="T91" i="5"/>
  <c r="T83" i="5"/>
  <c r="T75" i="5"/>
  <c r="T67" i="5"/>
  <c r="T59" i="5"/>
  <c r="T51" i="5"/>
  <c r="T43" i="5"/>
  <c r="T170" i="5"/>
  <c r="T203" i="5"/>
  <c r="T195" i="5"/>
  <c r="T187" i="5"/>
  <c r="T179" i="5"/>
  <c r="S205" i="5"/>
  <c r="S197" i="5"/>
  <c r="S189" i="5"/>
  <c r="S181" i="5"/>
  <c r="S173" i="5"/>
  <c r="S165" i="5"/>
  <c r="S157" i="5"/>
  <c r="S149" i="5"/>
  <c r="S141" i="5"/>
  <c r="S133" i="5"/>
  <c r="S125" i="5"/>
  <c r="S117" i="5"/>
  <c r="S109" i="5"/>
  <c r="S101" i="5"/>
  <c r="S93" i="5"/>
  <c r="S85" i="5"/>
  <c r="S77" i="5"/>
  <c r="S69" i="5"/>
  <c r="S61" i="5"/>
  <c r="S53" i="5"/>
  <c r="S45" i="5"/>
  <c r="S37" i="5"/>
  <c r="S29" i="5"/>
  <c r="S21" i="5"/>
  <c r="S13" i="5"/>
  <c r="R208" i="5"/>
  <c r="R200" i="5"/>
  <c r="R192" i="5"/>
  <c r="R184" i="5"/>
  <c r="R176" i="5"/>
  <c r="P206" i="5"/>
  <c r="P198" i="5"/>
  <c r="P190" i="5"/>
  <c r="P182" i="5"/>
  <c r="P174" i="5"/>
  <c r="P166" i="5"/>
  <c r="P158" i="5"/>
  <c r="P150" i="5"/>
  <c r="P142" i="5"/>
  <c r="P134" i="5"/>
  <c r="P126" i="5"/>
  <c r="P118" i="5"/>
  <c r="P110" i="5"/>
  <c r="P102" i="5"/>
  <c r="P94" i="5"/>
  <c r="P86" i="5"/>
  <c r="P78" i="5"/>
  <c r="P70" i="5"/>
  <c r="P62" i="5"/>
  <c r="P54" i="5"/>
  <c r="P46" i="5"/>
  <c r="P38" i="5"/>
  <c r="P30" i="5"/>
  <c r="P22" i="5"/>
  <c r="P14" i="5"/>
  <c r="Y9" i="5"/>
  <c r="Y25" i="5"/>
  <c r="Y41" i="5"/>
  <c r="Y57" i="5"/>
  <c r="Y73" i="5"/>
  <c r="Y89" i="5"/>
  <c r="Y105" i="5"/>
  <c r="Y121" i="5"/>
  <c r="Y137" i="5"/>
  <c r="Y153" i="5"/>
  <c r="Y169" i="5"/>
  <c r="Y185" i="5"/>
  <c r="Y201" i="5"/>
  <c r="AB15" i="5"/>
  <c r="AB31" i="5"/>
  <c r="AB47" i="5"/>
  <c r="AB63" i="5"/>
  <c r="AB79" i="5"/>
  <c r="AB95" i="5"/>
  <c r="AB111" i="5"/>
  <c r="AB127" i="5"/>
  <c r="AB143" i="5"/>
  <c r="AB159" i="5"/>
  <c r="AB175" i="5"/>
  <c r="AB191" i="5"/>
  <c r="AB207" i="5"/>
  <c r="AE21" i="5"/>
  <c r="AE37" i="5"/>
  <c r="AE53" i="5"/>
  <c r="AE69" i="5"/>
  <c r="AE85" i="5"/>
  <c r="AE101" i="5"/>
  <c r="AE117" i="5"/>
  <c r="AE133" i="5"/>
  <c r="AE149" i="5"/>
  <c r="AE165" i="5"/>
  <c r="AE181" i="5"/>
  <c r="AE197" i="5"/>
  <c r="AB16" i="5"/>
  <c r="AE58" i="5"/>
  <c r="Y102" i="5"/>
  <c r="AB144" i="5"/>
  <c r="AB182" i="5"/>
  <c r="AB38" i="5"/>
  <c r="Y124" i="5"/>
  <c r="AE186" i="5"/>
  <c r="AB94" i="5"/>
  <c r="AE46" i="5"/>
  <c r="AE68" i="5"/>
  <c r="Y12" i="5"/>
  <c r="AE64" i="5"/>
  <c r="AE174" i="5"/>
  <c r="AB62" i="5"/>
  <c r="AB20" i="5"/>
  <c r="Y16" i="5"/>
  <c r="Y186" i="5"/>
  <c r="AB154" i="5"/>
  <c r="AE158" i="5"/>
  <c r="AE196" i="5"/>
  <c r="Y36" i="5"/>
  <c r="AE146" i="5"/>
  <c r="AE98" i="5"/>
  <c r="AB56" i="5"/>
  <c r="Y14" i="5"/>
  <c r="Y184" i="5"/>
  <c r="AE140" i="5"/>
  <c r="AB98" i="5"/>
  <c r="Y56" i="5"/>
  <c r="AE12" i="5"/>
  <c r="Y80" i="5"/>
  <c r="Y74" i="5"/>
  <c r="AB126" i="5"/>
  <c r="AB188" i="5"/>
  <c r="AB156" i="5"/>
  <c r="Y114" i="5"/>
  <c r="AE70" i="5"/>
  <c r="AB28" i="5"/>
  <c r="T60" i="5"/>
  <c r="T196" i="5"/>
  <c r="S206" i="5"/>
  <c r="S166" i="5"/>
  <c r="S126" i="5"/>
  <c r="S102" i="5"/>
  <c r="S62" i="5"/>
  <c r="S30" i="5"/>
  <c r="R201" i="5"/>
  <c r="P207" i="5"/>
  <c r="P167" i="5"/>
  <c r="P135" i="5"/>
  <c r="P103" i="5"/>
  <c r="P63" i="5"/>
  <c r="P39" i="5"/>
  <c r="Y23" i="5"/>
  <c r="Y71" i="5"/>
  <c r="Y167" i="5"/>
  <c r="AB45" i="5"/>
  <c r="AB77" i="5"/>
  <c r="AB157" i="5"/>
  <c r="AB205" i="5"/>
  <c r="AE83" i="5"/>
  <c r="AE163" i="5"/>
  <c r="AE138" i="5"/>
  <c r="AE178" i="5"/>
  <c r="Y210" i="5"/>
  <c r="AE168" i="5"/>
  <c r="AB26" i="5"/>
  <c r="Y62" i="5"/>
  <c r="AE60" i="5"/>
  <c r="Y34" i="5"/>
  <c r="Q182" i="5"/>
  <c r="Q174" i="5"/>
  <c r="Q158" i="5"/>
  <c r="Q142" i="5"/>
  <c r="Q134" i="5"/>
  <c r="Q118" i="5"/>
  <c r="Q110" i="5"/>
  <c r="Q94" i="5"/>
  <c r="Q86" i="5"/>
  <c r="Q70" i="5"/>
  <c r="Q54" i="5"/>
  <c r="Q30" i="5"/>
  <c r="Q205" i="5"/>
  <c r="Q197" i="5"/>
  <c r="Q189" i="5"/>
  <c r="Q181" i="5"/>
  <c r="Q173" i="5"/>
  <c r="Q165" i="5"/>
  <c r="Q157" i="5"/>
  <c r="Q149" i="5"/>
  <c r="Q141" i="5"/>
  <c r="Q133" i="5"/>
  <c r="Q125" i="5"/>
  <c r="Q117" i="5"/>
  <c r="Q109" i="5"/>
  <c r="Q101" i="5"/>
  <c r="Q93" i="5"/>
  <c r="Q85" i="5"/>
  <c r="Q77" i="5"/>
  <c r="Q69" i="5"/>
  <c r="Q61" i="5"/>
  <c r="Q53" i="5"/>
  <c r="Q45" i="5"/>
  <c r="Q37" i="5"/>
  <c r="Q29" i="5"/>
  <c r="Q21" i="5"/>
  <c r="Q13" i="5"/>
  <c r="T39" i="5"/>
  <c r="T31" i="5"/>
  <c r="T23" i="5"/>
  <c r="T15" i="5"/>
  <c r="T162" i="5"/>
  <c r="T154" i="5"/>
  <c r="T146" i="5"/>
  <c r="T138" i="5"/>
  <c r="T130" i="5"/>
  <c r="T122" i="5"/>
  <c r="T114" i="5"/>
  <c r="T106" i="5"/>
  <c r="T98" i="5"/>
  <c r="T90" i="5"/>
  <c r="T82" i="5"/>
  <c r="T74" i="5"/>
  <c r="T66" i="5"/>
  <c r="T58" i="5"/>
  <c r="T50" i="5"/>
  <c r="T42" i="5"/>
  <c r="T210" i="5"/>
  <c r="T202" i="5"/>
  <c r="T194" i="5"/>
  <c r="T186" i="5"/>
  <c r="T178" i="5"/>
  <c r="S204" i="5"/>
  <c r="S196" i="5"/>
  <c r="S188" i="5"/>
  <c r="S180" i="5"/>
  <c r="S172" i="5"/>
  <c r="S164" i="5"/>
  <c r="S156" i="5"/>
  <c r="S148" i="5"/>
  <c r="S140" i="5"/>
  <c r="S132" i="5"/>
  <c r="S124" i="5"/>
  <c r="S116" i="5"/>
  <c r="S108" i="5"/>
  <c r="S100" i="5"/>
  <c r="S92" i="5"/>
  <c r="S84" i="5"/>
  <c r="S76" i="5"/>
  <c r="S68" i="5"/>
  <c r="S60" i="5"/>
  <c r="S52" i="5"/>
  <c r="S44" i="5"/>
  <c r="S36" i="5"/>
  <c r="S28" i="5"/>
  <c r="S20" i="5"/>
  <c r="S12" i="5"/>
  <c r="R171" i="5"/>
  <c r="R163" i="5"/>
  <c r="R155" i="5"/>
  <c r="R147" i="5"/>
  <c r="R139" i="5"/>
  <c r="R131" i="5"/>
  <c r="R123" i="5"/>
  <c r="R115" i="5"/>
  <c r="R107" i="5"/>
  <c r="R99" i="5"/>
  <c r="R91" i="5"/>
  <c r="R83" i="5"/>
  <c r="R75" i="5"/>
  <c r="R67" i="5"/>
  <c r="R59" i="5"/>
  <c r="R51" i="5"/>
  <c r="R43" i="5"/>
  <c r="R35" i="5"/>
  <c r="R27" i="5"/>
  <c r="R19" i="5"/>
  <c r="R11" i="5"/>
  <c r="R207" i="5"/>
  <c r="R199" i="5"/>
  <c r="R183" i="5"/>
  <c r="R175" i="5"/>
  <c r="P205" i="5"/>
  <c r="P197" i="5"/>
  <c r="P189" i="5"/>
  <c r="P181" i="5"/>
  <c r="P173" i="5"/>
  <c r="P165" i="5"/>
  <c r="P157" i="5"/>
  <c r="P149" i="5"/>
  <c r="P141" i="5"/>
  <c r="P133" i="5"/>
  <c r="P125" i="5"/>
  <c r="P117" i="5"/>
  <c r="P109" i="5"/>
  <c r="P101" i="5"/>
  <c r="P93" i="5"/>
  <c r="P85" i="5"/>
  <c r="P77" i="5"/>
  <c r="P69" i="5"/>
  <c r="P61" i="5"/>
  <c r="P53" i="5"/>
  <c r="P45" i="5"/>
  <c r="P37" i="5"/>
  <c r="P29" i="5"/>
  <c r="P21" i="5"/>
  <c r="P13" i="5"/>
  <c r="Y11" i="5"/>
  <c r="Y27" i="5"/>
  <c r="Y43" i="5"/>
  <c r="Y59" i="5"/>
  <c r="Y75" i="5"/>
  <c r="Y91" i="5"/>
  <c r="Y107" i="5"/>
  <c r="Y123" i="5"/>
  <c r="Y139" i="5"/>
  <c r="Y155" i="5"/>
  <c r="Y171" i="5"/>
  <c r="Y187" i="5"/>
  <c r="Y203" i="5"/>
  <c r="AB17" i="5"/>
  <c r="AB33" i="5"/>
  <c r="AB49" i="5"/>
  <c r="AB65" i="5"/>
  <c r="AB81" i="5"/>
  <c r="AB97" i="5"/>
  <c r="AB113" i="5"/>
  <c r="AB129" i="5"/>
  <c r="AB145" i="5"/>
  <c r="AB161" i="5"/>
  <c r="AB177" i="5"/>
  <c r="AB193" i="5"/>
  <c r="AB209" i="5"/>
  <c r="AE23" i="5"/>
  <c r="AE39" i="5"/>
  <c r="AE55" i="5"/>
  <c r="AE71" i="5"/>
  <c r="AE87" i="5"/>
  <c r="AE103" i="5"/>
  <c r="AE119" i="5"/>
  <c r="AE135" i="5"/>
  <c r="AE151" i="5"/>
  <c r="AE167" i="5"/>
  <c r="AE183" i="5"/>
  <c r="AE199" i="5"/>
  <c r="Y22" i="5"/>
  <c r="AB64" i="5"/>
  <c r="AE106" i="5"/>
  <c r="Y150" i="5"/>
  <c r="AB186" i="5"/>
  <c r="Y60" i="5"/>
  <c r="AB134" i="5"/>
  <c r="AE194" i="5"/>
  <c r="Y116" i="5"/>
  <c r="AB68" i="5"/>
  <c r="AB90" i="5"/>
  <c r="AE16" i="5"/>
  <c r="Y76" i="5"/>
  <c r="AE182" i="5"/>
  <c r="AE88" i="5"/>
  <c r="Y42" i="5"/>
  <c r="AB42" i="5"/>
  <c r="Y202" i="5"/>
  <c r="AB138" i="5"/>
  <c r="Y138" i="5"/>
  <c r="AE180" i="5"/>
  <c r="AB30" i="5"/>
  <c r="Y142" i="5"/>
  <c r="Y94" i="5"/>
  <c r="AE50" i="5"/>
  <c r="AB8" i="5"/>
  <c r="Y180" i="5"/>
  <c r="Y136" i="5"/>
  <c r="AE92" i="5"/>
  <c r="AB50" i="5"/>
  <c r="Y8" i="5"/>
  <c r="AE52" i="5"/>
  <c r="AB52" i="5"/>
  <c r="AE104" i="5"/>
  <c r="AB180" i="5"/>
  <c r="AE150" i="5"/>
  <c r="AB108" i="5"/>
  <c r="Y66" i="5"/>
  <c r="AE22" i="5"/>
  <c r="T44" i="5"/>
  <c r="S198" i="5"/>
  <c r="S142" i="5"/>
  <c r="S94" i="5"/>
  <c r="S38" i="5"/>
  <c r="R165" i="5"/>
  <c r="R101" i="5"/>
  <c r="R45" i="5"/>
  <c r="R193" i="5"/>
  <c r="P191" i="5"/>
  <c r="P143" i="5"/>
  <c r="P87" i="5"/>
  <c r="P15" i="5"/>
  <c r="Y119" i="5"/>
  <c r="AB13" i="5"/>
  <c r="AB125" i="5"/>
  <c r="AE35" i="5"/>
  <c r="AE99" i="5"/>
  <c r="AE195" i="5"/>
  <c r="AB118" i="5"/>
  <c r="AB54" i="5"/>
  <c r="Y174" i="5"/>
  <c r="AE18" i="5"/>
  <c r="AE94" i="5"/>
  <c r="Q188" i="5"/>
  <c r="Q148" i="5"/>
  <c r="Q124" i="5"/>
  <c r="Q100" i="5"/>
  <c r="Q76" i="5"/>
  <c r="Q60" i="5"/>
  <c r="Q44" i="5"/>
  <c r="Q36" i="5"/>
  <c r="Q28" i="5"/>
  <c r="Q20" i="5"/>
  <c r="Q12" i="5"/>
  <c r="T38" i="5"/>
  <c r="T30" i="5"/>
  <c r="T22" i="5"/>
  <c r="T14" i="5"/>
  <c r="T169" i="5"/>
  <c r="T161" i="5"/>
  <c r="T153" i="5"/>
  <c r="T145" i="5"/>
  <c r="T137" i="5"/>
  <c r="T129" i="5"/>
  <c r="T121" i="5"/>
  <c r="T113" i="5"/>
  <c r="T105" i="5"/>
  <c r="T97" i="5"/>
  <c r="T89" i="5"/>
  <c r="T81" i="5"/>
  <c r="T73" i="5"/>
  <c r="T65" i="5"/>
  <c r="T57" i="5"/>
  <c r="T49" i="5"/>
  <c r="T176" i="5"/>
  <c r="T209" i="5"/>
  <c r="T201" i="5"/>
  <c r="T193" i="5"/>
  <c r="T185" i="5"/>
  <c r="T177" i="5"/>
  <c r="S203" i="5"/>
  <c r="S195" i="5"/>
  <c r="S187" i="5"/>
  <c r="S179" i="5"/>
  <c r="S171" i="5"/>
  <c r="S163" i="5"/>
  <c r="S155" i="5"/>
  <c r="S147" i="5"/>
  <c r="S139" i="5"/>
  <c r="S131" i="5"/>
  <c r="S123" i="5"/>
  <c r="S115" i="5"/>
  <c r="S107" i="5"/>
  <c r="S99" i="5"/>
  <c r="S91" i="5"/>
  <c r="S83" i="5"/>
  <c r="S75" i="5"/>
  <c r="S67" i="5"/>
  <c r="S59" i="5"/>
  <c r="S51" i="5"/>
  <c r="S43" i="5"/>
  <c r="S35" i="5"/>
  <c r="S27" i="5"/>
  <c r="S19" i="5"/>
  <c r="S11" i="5"/>
  <c r="R170" i="5"/>
  <c r="R162" i="5"/>
  <c r="R154" i="5"/>
  <c r="R146" i="5"/>
  <c r="R138" i="5"/>
  <c r="R130" i="5"/>
  <c r="R122" i="5"/>
  <c r="R114" i="5"/>
  <c r="R106" i="5"/>
  <c r="R98" i="5"/>
  <c r="R90" i="5"/>
  <c r="R82" i="5"/>
  <c r="R74" i="5"/>
  <c r="R66" i="5"/>
  <c r="R58" i="5"/>
  <c r="R50" i="5"/>
  <c r="R42" i="5"/>
  <c r="R34" i="5"/>
  <c r="R26" i="5"/>
  <c r="R18" i="5"/>
  <c r="R10" i="5"/>
  <c r="R206" i="5"/>
  <c r="R198" i="5"/>
  <c r="R190" i="5"/>
  <c r="R182" i="5"/>
  <c r="R174" i="5"/>
  <c r="P204" i="5"/>
  <c r="P196" i="5"/>
  <c r="P188" i="5"/>
  <c r="P180" i="5"/>
  <c r="P172" i="5"/>
  <c r="P164" i="5"/>
  <c r="P156" i="5"/>
  <c r="P148" i="5"/>
  <c r="P140" i="5"/>
  <c r="P132" i="5"/>
  <c r="P124" i="5"/>
  <c r="P116" i="5"/>
  <c r="P108" i="5"/>
  <c r="P100" i="5"/>
  <c r="P92" i="5"/>
  <c r="P84" i="5"/>
  <c r="P76" i="5"/>
  <c r="P68" i="5"/>
  <c r="P60" i="5"/>
  <c r="P52" i="5"/>
  <c r="P44" i="5"/>
  <c r="P36" i="5"/>
  <c r="P28" i="5"/>
  <c r="P20" i="5"/>
  <c r="P12" i="5"/>
  <c r="Y13" i="5"/>
  <c r="Y29" i="5"/>
  <c r="Y45" i="5"/>
  <c r="Y61" i="5"/>
  <c r="Y77" i="5"/>
  <c r="Y93" i="5"/>
  <c r="Y109" i="5"/>
  <c r="Y125" i="5"/>
  <c r="Y141" i="5"/>
  <c r="Y157" i="5"/>
  <c r="Y173" i="5"/>
  <c r="Y189" i="5"/>
  <c r="Y205" i="5"/>
  <c r="AB19" i="5"/>
  <c r="AB35" i="5"/>
  <c r="AB51" i="5"/>
  <c r="AB67" i="5"/>
  <c r="AB83" i="5"/>
  <c r="AB99" i="5"/>
  <c r="AB115" i="5"/>
  <c r="AB131" i="5"/>
  <c r="AB147" i="5"/>
  <c r="AB163" i="5"/>
  <c r="AB179" i="5"/>
  <c r="AB195" i="5"/>
  <c r="AE9" i="5"/>
  <c r="AE25" i="5"/>
  <c r="AE41" i="5"/>
  <c r="AE57" i="5"/>
  <c r="AE73" i="5"/>
  <c r="AE89" i="5"/>
  <c r="AE105" i="5"/>
  <c r="AE121" i="5"/>
  <c r="AE137" i="5"/>
  <c r="AE153" i="5"/>
  <c r="AE169" i="5"/>
  <c r="AE185" i="5"/>
  <c r="AE201" i="5"/>
  <c r="AE26" i="5"/>
  <c r="Y70" i="5"/>
  <c r="AB112" i="5"/>
  <c r="AE154" i="5"/>
  <c r="AB190" i="5"/>
  <c r="AB70" i="5"/>
  <c r="Y140" i="5"/>
  <c r="AE202" i="5"/>
  <c r="AE136" i="5"/>
  <c r="Y90" i="5"/>
  <c r="Y112" i="5"/>
  <c r="AB22" i="5"/>
  <c r="AB86" i="5"/>
  <c r="AE190" i="5"/>
  <c r="AB110" i="5"/>
  <c r="AE62" i="5"/>
  <c r="Y64" i="5"/>
  <c r="AE116" i="5"/>
  <c r="AB116" i="5"/>
  <c r="Y164" i="5"/>
  <c r="AB14" i="5"/>
  <c r="AE130" i="5"/>
  <c r="AB88" i="5"/>
  <c r="Y46" i="5"/>
  <c r="Y208" i="5"/>
  <c r="Y176" i="5"/>
  <c r="AB130" i="5"/>
  <c r="Y88" i="5"/>
  <c r="AE44" i="5"/>
  <c r="Y198" i="5"/>
  <c r="Y32" i="5"/>
  <c r="AB36" i="5"/>
  <c r="Y84" i="5"/>
  <c r="AB172" i="5"/>
  <c r="Y146" i="5"/>
  <c r="AE102" i="5"/>
  <c r="AB60" i="5"/>
  <c r="Y18" i="5"/>
  <c r="R32" i="5"/>
  <c r="R64" i="5"/>
  <c r="R96" i="5"/>
  <c r="R128" i="5"/>
  <c r="R160" i="5"/>
  <c r="R41" i="5"/>
  <c r="R16" i="5"/>
  <c r="R49" i="5"/>
  <c r="S7" i="5"/>
  <c r="Q7" i="5"/>
  <c r="AB7" i="5"/>
  <c r="P7" i="5"/>
  <c r="AE7" i="5"/>
  <c r="T7" i="5"/>
  <c r="Y7" i="5"/>
  <c r="R33" i="5"/>
  <c r="R65" i="5"/>
  <c r="R97" i="5"/>
  <c r="R129" i="5"/>
  <c r="R161" i="5"/>
  <c r="R113" i="5"/>
  <c r="R8" i="5"/>
  <c r="R40" i="5"/>
  <c r="R72" i="5"/>
  <c r="R104" i="5"/>
  <c r="R136" i="5"/>
  <c r="R168" i="5"/>
  <c r="R24" i="5"/>
  <c r="R56" i="5"/>
  <c r="R88" i="5"/>
  <c r="R120" i="5"/>
  <c r="R152" i="5"/>
  <c r="R73" i="5"/>
  <c r="R137" i="5"/>
  <c r="R80" i="5"/>
  <c r="R144" i="5"/>
  <c r="R17" i="5"/>
  <c r="R145" i="5"/>
  <c r="R25" i="5"/>
  <c r="R57" i="5"/>
  <c r="R89" i="5"/>
  <c r="R121" i="5"/>
  <c r="R153" i="5"/>
  <c r="R185" i="5"/>
  <c r="R9" i="5"/>
  <c r="R105" i="5"/>
  <c r="R169" i="5"/>
  <c r="R48" i="5"/>
  <c r="R112" i="5"/>
  <c r="R81" i="5"/>
  <c r="R177" i="5"/>
  <c r="R127" i="5"/>
  <c r="R71" i="5"/>
  <c r="R23" i="5"/>
  <c r="R166" i="5"/>
  <c r="R158" i="5"/>
  <c r="R150" i="5"/>
  <c r="R142" i="5"/>
  <c r="R134" i="5"/>
  <c r="R126" i="5"/>
  <c r="R118" i="5"/>
  <c r="R110" i="5"/>
  <c r="R102" i="5"/>
  <c r="R94" i="5"/>
  <c r="R86" i="5"/>
  <c r="R78" i="5"/>
  <c r="R70" i="5"/>
  <c r="R62" i="5"/>
  <c r="R54" i="5"/>
  <c r="R46" i="5"/>
  <c r="R38" i="5"/>
  <c r="R30" i="5"/>
  <c r="R22" i="5"/>
  <c r="R14" i="5"/>
  <c r="R167" i="5"/>
  <c r="R135" i="5"/>
  <c r="R103" i="5"/>
  <c r="R63" i="5"/>
  <c r="R39" i="5"/>
  <c r="R205" i="5"/>
  <c r="R197" i="5"/>
  <c r="R189" i="5"/>
  <c r="R181" i="5"/>
  <c r="R173" i="5"/>
  <c r="R157" i="5"/>
  <c r="R149" i="5"/>
  <c r="R141" i="5"/>
  <c r="R133" i="5"/>
  <c r="R125" i="5"/>
  <c r="R117" i="5"/>
  <c r="R109" i="5"/>
  <c r="R93" i="5"/>
  <c r="R85" i="5"/>
  <c r="R77" i="5"/>
  <c r="R69" i="5"/>
  <c r="R61" i="5"/>
  <c r="R53" i="5"/>
  <c r="R37" i="5"/>
  <c r="R29" i="5"/>
  <c r="R21" i="5"/>
  <c r="R13" i="5"/>
  <c r="R191" i="5"/>
  <c r="R143" i="5"/>
  <c r="R87" i="5"/>
  <c r="R15" i="5"/>
  <c r="R204" i="5"/>
  <c r="R196" i="5"/>
  <c r="R188" i="5"/>
  <c r="R180" i="5"/>
  <c r="R172" i="5"/>
  <c r="R164" i="5"/>
  <c r="R156" i="5"/>
  <c r="R148" i="5"/>
  <c r="R140" i="5"/>
  <c r="R132" i="5"/>
  <c r="R124" i="5"/>
  <c r="R116" i="5"/>
  <c r="R108" i="5"/>
  <c r="R100" i="5"/>
  <c r="R92" i="5"/>
  <c r="R84" i="5"/>
  <c r="R76" i="5"/>
  <c r="R68" i="5"/>
  <c r="R60" i="5"/>
  <c r="R52" i="5"/>
  <c r="R44" i="5"/>
  <c r="R36" i="5"/>
  <c r="R28" i="5"/>
  <c r="R20" i="5"/>
  <c r="R12" i="5"/>
  <c r="R7" i="5"/>
  <c r="R3" i="5" l="1"/>
  <c r="W7" i="5"/>
  <c r="X7" i="5" s="1"/>
  <c r="P3" i="5" s="1"/>
  <c r="AA18" i="5"/>
  <c r="AD60" i="5"/>
  <c r="AA146" i="5"/>
  <c r="AD172" i="5"/>
  <c r="AA84" i="5"/>
  <c r="AD36" i="5"/>
  <c r="AA32" i="5"/>
  <c r="AA198" i="5"/>
  <c r="AA88" i="5"/>
  <c r="AD130" i="5"/>
  <c r="AA176" i="5"/>
  <c r="AA208" i="5"/>
  <c r="AA46" i="5"/>
  <c r="AD88" i="5"/>
  <c r="AD14" i="5"/>
  <c r="AA164" i="5"/>
  <c r="AD116" i="5"/>
  <c r="AA64" i="5"/>
  <c r="AD110" i="5"/>
  <c r="AD86" i="5"/>
  <c r="AD22" i="5"/>
  <c r="AA112" i="5"/>
  <c r="AA90" i="5"/>
  <c r="AA140" i="5"/>
  <c r="AD70" i="5"/>
  <c r="AD190" i="5"/>
  <c r="AD112" i="5"/>
  <c r="AA70" i="5"/>
  <c r="AD195" i="5"/>
  <c r="AD179" i="5"/>
  <c r="AD163" i="5"/>
  <c r="AD147" i="5"/>
  <c r="AD131" i="5"/>
  <c r="AD115" i="5"/>
  <c r="AD99" i="5"/>
  <c r="AD83" i="5"/>
  <c r="AD67" i="5"/>
  <c r="AD51" i="5"/>
  <c r="AD35" i="5"/>
  <c r="AD19" i="5"/>
  <c r="AA205" i="5"/>
  <c r="AA189" i="5"/>
  <c r="AA173" i="5"/>
  <c r="AA157" i="5"/>
  <c r="AA141" i="5"/>
  <c r="AA125" i="5"/>
  <c r="AA109" i="5"/>
  <c r="AA93" i="5"/>
  <c r="AA77" i="5"/>
  <c r="AA61" i="5"/>
  <c r="AA45" i="5"/>
  <c r="AA29" i="5"/>
  <c r="AA13" i="5"/>
  <c r="W12" i="5"/>
  <c r="X12" i="5" s="1"/>
  <c r="W20" i="5"/>
  <c r="X20" i="5" s="1"/>
  <c r="W28" i="5"/>
  <c r="X28" i="5" s="1"/>
  <c r="W36" i="5"/>
  <c r="X36" i="5" s="1"/>
  <c r="W44" i="5"/>
  <c r="X44" i="5" s="1"/>
  <c r="W52" i="5"/>
  <c r="X52" i="5" s="1"/>
  <c r="W60" i="5"/>
  <c r="X60" i="5" s="1"/>
  <c r="W68" i="5"/>
  <c r="X68" i="5" s="1"/>
  <c r="W76" i="5"/>
  <c r="X76" i="5" s="1"/>
  <c r="W84" i="5"/>
  <c r="X84" i="5" s="1"/>
  <c r="W92" i="5"/>
  <c r="X92" i="5" s="1"/>
  <c r="W100" i="5"/>
  <c r="X100" i="5" s="1"/>
  <c r="W108" i="5"/>
  <c r="X108" i="5" s="1"/>
  <c r="W116" i="5"/>
  <c r="X116" i="5" s="1"/>
  <c r="W124" i="5"/>
  <c r="X124" i="5" s="1"/>
  <c r="W132" i="5"/>
  <c r="X132" i="5" s="1"/>
  <c r="W140" i="5"/>
  <c r="X140" i="5" s="1"/>
  <c r="W148" i="5"/>
  <c r="X148" i="5" s="1"/>
  <c r="W156" i="5"/>
  <c r="X156" i="5" s="1"/>
  <c r="W164" i="5"/>
  <c r="X164" i="5" s="1"/>
  <c r="W172" i="5"/>
  <c r="X172" i="5" s="1"/>
  <c r="W180" i="5"/>
  <c r="X180" i="5" s="1"/>
  <c r="W188" i="5"/>
  <c r="X188" i="5" s="1"/>
  <c r="W196" i="5"/>
  <c r="X196" i="5" s="1"/>
  <c r="W204" i="5"/>
  <c r="X204" i="5" s="1"/>
  <c r="AA174" i="5"/>
  <c r="AD54" i="5"/>
  <c r="AD118" i="5"/>
  <c r="AD125" i="5"/>
  <c r="AD13" i="5"/>
  <c r="AA119" i="5"/>
  <c r="W15" i="5"/>
  <c r="X15" i="5" s="1"/>
  <c r="W87" i="5"/>
  <c r="X87" i="5" s="1"/>
  <c r="W143" i="5"/>
  <c r="X143" i="5" s="1"/>
  <c r="W191" i="5"/>
  <c r="X191" i="5" s="1"/>
  <c r="AA66" i="5"/>
  <c r="AD108" i="5"/>
  <c r="AD180" i="5"/>
  <c r="AD52" i="5"/>
  <c r="AA8" i="5"/>
  <c r="AD50" i="5"/>
  <c r="AA136" i="5"/>
  <c r="AA180" i="5"/>
  <c r="AD8" i="5"/>
  <c r="AA94" i="5"/>
  <c r="AA142" i="5"/>
  <c r="AD30" i="5"/>
  <c r="AA138" i="5"/>
  <c r="AD138" i="5"/>
  <c r="AA202" i="5"/>
  <c r="AD42" i="5"/>
  <c r="AA42" i="5"/>
  <c r="AA76" i="5"/>
  <c r="AD90" i="5"/>
  <c r="AD68" i="5"/>
  <c r="AA116" i="5"/>
  <c r="AD134" i="5"/>
  <c r="AA60" i="5"/>
  <c r="AD186" i="5"/>
  <c r="AA150" i="5"/>
  <c r="AD64" i="5"/>
  <c r="AA22" i="5"/>
  <c r="AD209" i="5"/>
  <c r="AD193" i="5"/>
  <c r="AD177" i="5"/>
  <c r="AD161" i="5"/>
  <c r="AD145" i="5"/>
  <c r="AD129" i="5"/>
  <c r="AD113" i="5"/>
  <c r="AD97" i="5"/>
  <c r="AD81" i="5"/>
  <c r="AD65" i="5"/>
  <c r="AD49" i="5"/>
  <c r="AD33" i="5"/>
  <c r="AD17" i="5"/>
  <c r="AA203" i="5"/>
  <c r="AA187" i="5"/>
  <c r="AA171" i="5"/>
  <c r="AA155" i="5"/>
  <c r="AA139" i="5"/>
  <c r="AA123" i="5"/>
  <c r="AA107" i="5"/>
  <c r="AA91" i="5"/>
  <c r="AA75" i="5"/>
  <c r="AA59" i="5"/>
  <c r="AA43" i="5"/>
  <c r="AA27" i="5"/>
  <c r="AA11" i="5"/>
  <c r="W13" i="5"/>
  <c r="X13" i="5" s="1"/>
  <c r="W21" i="5"/>
  <c r="X21" i="5" s="1"/>
  <c r="W29" i="5"/>
  <c r="X29" i="5" s="1"/>
  <c r="W37" i="5"/>
  <c r="X37" i="5" s="1"/>
  <c r="W45" i="5"/>
  <c r="X45" i="5" s="1"/>
  <c r="W53" i="5"/>
  <c r="X53" i="5" s="1"/>
  <c r="W61" i="5"/>
  <c r="X61" i="5" s="1"/>
  <c r="W69" i="5"/>
  <c r="X69" i="5" s="1"/>
  <c r="W77" i="5"/>
  <c r="X77" i="5" s="1"/>
  <c r="W85" i="5"/>
  <c r="X85" i="5" s="1"/>
  <c r="W93" i="5"/>
  <c r="X93" i="5" s="1"/>
  <c r="W101" i="5"/>
  <c r="X101" i="5" s="1"/>
  <c r="W109" i="5"/>
  <c r="X109" i="5" s="1"/>
  <c r="W117" i="5"/>
  <c r="X117" i="5" s="1"/>
  <c r="W125" i="5"/>
  <c r="X125" i="5" s="1"/>
  <c r="W133" i="5"/>
  <c r="X133" i="5" s="1"/>
  <c r="W141" i="5"/>
  <c r="X141" i="5" s="1"/>
  <c r="W149" i="5"/>
  <c r="X149" i="5" s="1"/>
  <c r="W157" i="5"/>
  <c r="X157" i="5" s="1"/>
  <c r="W165" i="5"/>
  <c r="X165" i="5" s="1"/>
  <c r="W173" i="5"/>
  <c r="X173" i="5" s="1"/>
  <c r="W181" i="5"/>
  <c r="X181" i="5" s="1"/>
  <c r="W189" i="5"/>
  <c r="X189" i="5" s="1"/>
  <c r="W197" i="5"/>
  <c r="X197" i="5" s="1"/>
  <c r="W205" i="5"/>
  <c r="X205" i="5" s="1"/>
  <c r="AA34" i="5"/>
  <c r="AA62" i="5"/>
  <c r="AD26" i="5"/>
  <c r="AA210" i="5"/>
  <c r="AD205" i="5"/>
  <c r="AD157" i="5"/>
  <c r="AD77" i="5"/>
  <c r="AD45" i="5"/>
  <c r="AA167" i="5"/>
  <c r="AA71" i="5"/>
  <c r="AA23" i="5"/>
  <c r="W39" i="5"/>
  <c r="X39" i="5" s="1"/>
  <c r="W63" i="5"/>
  <c r="X63" i="5" s="1"/>
  <c r="W103" i="5"/>
  <c r="X103" i="5" s="1"/>
  <c r="W135" i="5"/>
  <c r="X135" i="5" s="1"/>
  <c r="W167" i="5"/>
  <c r="X167" i="5" s="1"/>
  <c r="W207" i="5"/>
  <c r="X207" i="5" s="1"/>
  <c r="AD28" i="5"/>
  <c r="AA114" i="5"/>
  <c r="AD156" i="5"/>
  <c r="AD188" i="5"/>
  <c r="AD126" i="5"/>
  <c r="AA74" i="5"/>
  <c r="AA80" i="5"/>
  <c r="AA56" i="5"/>
  <c r="AD98" i="5"/>
  <c r="AA184" i="5"/>
  <c r="AA14" i="5"/>
  <c r="AD56" i="5"/>
  <c r="AA36" i="5"/>
  <c r="AD154" i="5"/>
  <c r="AA186" i="5"/>
  <c r="AA16" i="5"/>
  <c r="AD20" i="5"/>
  <c r="AD62" i="5"/>
  <c r="AA12" i="5"/>
  <c r="AD94" i="5"/>
  <c r="AA124" i="5"/>
  <c r="AD38" i="5"/>
  <c r="AD182" i="5"/>
  <c r="AD144" i="5"/>
  <c r="AA102" i="5"/>
  <c r="AD16" i="5"/>
  <c r="AD207" i="5"/>
  <c r="AD191" i="5"/>
  <c r="AD175" i="5"/>
  <c r="AD159" i="5"/>
  <c r="AD143" i="5"/>
  <c r="AD127" i="5"/>
  <c r="AD111" i="5"/>
  <c r="AD95" i="5"/>
  <c r="AD79" i="5"/>
  <c r="AD63" i="5"/>
  <c r="AD47" i="5"/>
  <c r="AD31" i="5"/>
  <c r="AD15" i="5"/>
  <c r="AA201" i="5"/>
  <c r="AA185" i="5"/>
  <c r="AA169" i="5"/>
  <c r="AA153" i="5"/>
  <c r="AA137" i="5"/>
  <c r="AA121" i="5"/>
  <c r="AA105" i="5"/>
  <c r="AA89" i="5"/>
  <c r="AA73" i="5"/>
  <c r="AA57" i="5"/>
  <c r="AA41" i="5"/>
  <c r="AA25" i="5"/>
  <c r="AA9" i="5"/>
  <c r="W14" i="5"/>
  <c r="X14" i="5" s="1"/>
  <c r="W22" i="5"/>
  <c r="X22" i="5" s="1"/>
  <c r="W30" i="5"/>
  <c r="X30" i="5" s="1"/>
  <c r="W38" i="5"/>
  <c r="X38" i="5" s="1"/>
  <c r="W46" i="5"/>
  <c r="X46" i="5" s="1"/>
  <c r="W54" i="5"/>
  <c r="X54" i="5" s="1"/>
  <c r="W62" i="5"/>
  <c r="X62" i="5" s="1"/>
  <c r="W70" i="5"/>
  <c r="X70" i="5" s="1"/>
  <c r="W78" i="5"/>
  <c r="X78" i="5" s="1"/>
  <c r="W86" i="5"/>
  <c r="X86" i="5" s="1"/>
  <c r="W94" i="5"/>
  <c r="X94" i="5" s="1"/>
  <c r="W102" i="5"/>
  <c r="X102" i="5" s="1"/>
  <c r="W110" i="5"/>
  <c r="X110" i="5" s="1"/>
  <c r="W118" i="5"/>
  <c r="X118" i="5" s="1"/>
  <c r="W126" i="5"/>
  <c r="X126" i="5" s="1"/>
  <c r="W134" i="5"/>
  <c r="X134" i="5" s="1"/>
  <c r="W142" i="5"/>
  <c r="X142" i="5" s="1"/>
  <c r="W150" i="5"/>
  <c r="X150" i="5" s="1"/>
  <c r="W158" i="5"/>
  <c r="X158" i="5" s="1"/>
  <c r="W166" i="5"/>
  <c r="X166" i="5" s="1"/>
  <c r="W174" i="5"/>
  <c r="X174" i="5" s="1"/>
  <c r="W182" i="5"/>
  <c r="X182" i="5" s="1"/>
  <c r="W190" i="5"/>
  <c r="X190" i="5" s="1"/>
  <c r="W198" i="5"/>
  <c r="X198" i="5" s="1"/>
  <c r="W206" i="5"/>
  <c r="X206" i="5" s="1"/>
  <c r="AA162" i="5"/>
  <c r="AD196" i="5"/>
  <c r="AA148" i="5"/>
  <c r="AA104" i="5"/>
  <c r="AA158" i="5"/>
  <c r="AA54" i="5"/>
  <c r="AD109" i="5"/>
  <c r="AA199" i="5"/>
  <c r="AA103" i="5"/>
  <c r="W23" i="5"/>
  <c r="X23" i="5" s="1"/>
  <c r="W71" i="5"/>
  <c r="X71" i="5" s="1"/>
  <c r="W127" i="5"/>
  <c r="X127" i="5" s="1"/>
  <c r="W183" i="5"/>
  <c r="X183" i="5" s="1"/>
  <c r="W177" i="5"/>
  <c r="X177" i="5" s="1"/>
  <c r="W81" i="5"/>
  <c r="X81" i="5" s="1"/>
  <c r="AA115" i="5"/>
  <c r="AD169" i="5"/>
  <c r="AA100" i="5"/>
  <c r="W208" i="5"/>
  <c r="X208" i="5" s="1"/>
  <c r="W112" i="5"/>
  <c r="X112" i="5" s="1"/>
  <c r="W48" i="5"/>
  <c r="X48" i="5" s="1"/>
  <c r="AA117" i="5"/>
  <c r="AD43" i="5"/>
  <c r="AD171" i="5"/>
  <c r="AD206" i="5"/>
  <c r="AD78" i="5"/>
  <c r="AD168" i="5"/>
  <c r="W169" i="5"/>
  <c r="X169" i="5" s="1"/>
  <c r="W105" i="5"/>
  <c r="X105" i="5" s="1"/>
  <c r="W9" i="5"/>
  <c r="X9" i="5" s="1"/>
  <c r="AA131" i="5"/>
  <c r="AD57" i="5"/>
  <c r="AD185" i="5"/>
  <c r="AA86" i="5"/>
  <c r="AA154" i="5"/>
  <c r="AA206" i="5"/>
  <c r="AA196" i="5"/>
  <c r="AD44" i="5"/>
  <c r="W185" i="5"/>
  <c r="X185" i="5" s="1"/>
  <c r="W153" i="5"/>
  <c r="X153" i="5" s="1"/>
  <c r="W121" i="5"/>
  <c r="X121" i="5" s="1"/>
  <c r="W89" i="5"/>
  <c r="X89" i="5" s="1"/>
  <c r="W57" i="5"/>
  <c r="X57" i="5" s="1"/>
  <c r="W25" i="5"/>
  <c r="X25" i="5" s="1"/>
  <c r="AA35" i="5"/>
  <c r="AA99" i="5"/>
  <c r="AA163" i="5"/>
  <c r="AD25" i="5"/>
  <c r="AD89" i="5"/>
  <c r="AD153" i="5"/>
  <c r="AD170" i="5"/>
  <c r="AA44" i="5"/>
  <c r="AA58" i="5"/>
  <c r="AD72" i="5"/>
  <c r="AD114" i="5"/>
  <c r="AA130" i="5"/>
  <c r="W145" i="5"/>
  <c r="X145" i="5" s="1"/>
  <c r="W17" i="5"/>
  <c r="X17" i="5" s="1"/>
  <c r="AA179" i="5"/>
  <c r="AD202" i="5"/>
  <c r="AA128" i="5"/>
  <c r="W144" i="5"/>
  <c r="X144" i="5" s="1"/>
  <c r="W80" i="5"/>
  <c r="X80" i="5" s="1"/>
  <c r="AA53" i="5"/>
  <c r="AA181" i="5"/>
  <c r="AD107" i="5"/>
  <c r="AD48" i="5"/>
  <c r="AD24" i="5"/>
  <c r="AA82" i="5"/>
  <c r="W201" i="5"/>
  <c r="X201" i="5" s="1"/>
  <c r="W137" i="5"/>
  <c r="X137" i="5" s="1"/>
  <c r="W73" i="5"/>
  <c r="X73" i="5" s="1"/>
  <c r="AA67" i="5"/>
  <c r="AA195" i="5"/>
  <c r="AD121" i="5"/>
  <c r="AD204" i="5"/>
  <c r="AD176" i="5"/>
  <c r="W184" i="5"/>
  <c r="X184" i="5" s="1"/>
  <c r="W152" i="5"/>
  <c r="X152" i="5" s="1"/>
  <c r="W120" i="5"/>
  <c r="X120" i="5" s="1"/>
  <c r="W88" i="5"/>
  <c r="X88" i="5" s="1"/>
  <c r="W56" i="5"/>
  <c r="X56" i="5" s="1"/>
  <c r="W24" i="5"/>
  <c r="X24" i="5" s="1"/>
  <c r="AA37" i="5"/>
  <c r="AA101" i="5"/>
  <c r="AA165" i="5"/>
  <c r="AD27" i="5"/>
  <c r="AD91" i="5"/>
  <c r="AD155" i="5"/>
  <c r="AD174" i="5"/>
  <c r="AA52" i="5"/>
  <c r="AD148" i="5"/>
  <c r="AA122" i="5"/>
  <c r="AD124" i="5"/>
  <c r="AD105" i="5"/>
  <c r="W200" i="5"/>
  <c r="X200" i="5" s="1"/>
  <c r="W168" i="5"/>
  <c r="X168" i="5" s="1"/>
  <c r="W136" i="5"/>
  <c r="X136" i="5" s="1"/>
  <c r="W104" i="5"/>
  <c r="X104" i="5" s="1"/>
  <c r="W72" i="5"/>
  <c r="X72" i="5" s="1"/>
  <c r="W40" i="5"/>
  <c r="X40" i="5" s="1"/>
  <c r="W8" i="5"/>
  <c r="X8" i="5" s="1"/>
  <c r="AA69" i="5"/>
  <c r="AA133" i="5"/>
  <c r="AA197" i="5"/>
  <c r="AD59" i="5"/>
  <c r="AD123" i="5"/>
  <c r="AD187" i="5"/>
  <c r="AA108" i="5"/>
  <c r="AA20" i="5"/>
  <c r="AA190" i="5"/>
  <c r="AA168" i="5"/>
  <c r="AA192" i="5"/>
  <c r="AA24" i="5"/>
  <c r="AD208" i="5"/>
  <c r="W209" i="5"/>
  <c r="X209" i="5" s="1"/>
  <c r="W113" i="5"/>
  <c r="X113" i="5" s="1"/>
  <c r="AA51" i="5"/>
  <c r="AD41" i="5"/>
  <c r="AA72" i="5"/>
  <c r="W193" i="5"/>
  <c r="X193" i="5" s="1"/>
  <c r="W161" i="5"/>
  <c r="X161" i="5" s="1"/>
  <c r="W129" i="5"/>
  <c r="X129" i="5" s="1"/>
  <c r="W97" i="5"/>
  <c r="X97" i="5" s="1"/>
  <c r="W65" i="5"/>
  <c r="X65" i="5" s="1"/>
  <c r="W33" i="5"/>
  <c r="X33" i="5" s="1"/>
  <c r="AA19" i="5"/>
  <c r="AA83" i="5"/>
  <c r="AA147" i="5"/>
  <c r="AD9" i="5"/>
  <c r="AD73" i="5"/>
  <c r="AD137" i="5"/>
  <c r="AD201" i="5"/>
  <c r="AD128" i="5"/>
  <c r="AD166" i="5"/>
  <c r="AA178" i="5"/>
  <c r="AD58" i="5"/>
  <c r="AA144" i="5"/>
  <c r="AD136" i="5"/>
  <c r="W49" i="5"/>
  <c r="X49" i="5" s="1"/>
  <c r="AA30" i="5"/>
  <c r="W176" i="5"/>
  <c r="X176" i="5" s="1"/>
  <c r="W16" i="5"/>
  <c r="X16" i="5" s="1"/>
  <c r="AD66" i="5"/>
  <c r="W41" i="5"/>
  <c r="X41" i="5" s="1"/>
  <c r="W192" i="5"/>
  <c r="X192" i="5" s="1"/>
  <c r="W160" i="5"/>
  <c r="X160" i="5" s="1"/>
  <c r="W128" i="5"/>
  <c r="X128" i="5" s="1"/>
  <c r="W96" i="5"/>
  <c r="X96" i="5" s="1"/>
  <c r="W64" i="5"/>
  <c r="X64" i="5" s="1"/>
  <c r="W32" i="5"/>
  <c r="X32" i="5" s="1"/>
  <c r="AA21" i="5"/>
  <c r="AA85" i="5"/>
  <c r="AA149" i="5"/>
  <c r="AD11" i="5"/>
  <c r="AD75" i="5"/>
  <c r="AD139" i="5"/>
  <c r="AD203" i="5"/>
  <c r="AA134" i="5"/>
  <c r="AA194" i="5"/>
  <c r="AA48" i="5"/>
  <c r="AA110" i="5"/>
  <c r="AA152" i="5"/>
  <c r="AD122" i="5"/>
  <c r="AA7" i="5"/>
  <c r="W199" i="5"/>
  <c r="X199" i="5" s="1"/>
  <c r="W159" i="5"/>
  <c r="X159" i="5" s="1"/>
  <c r="W119" i="5"/>
  <c r="X119" i="5" s="1"/>
  <c r="W95" i="5"/>
  <c r="X95" i="5" s="1"/>
  <c r="W55" i="5"/>
  <c r="X55" i="5" s="1"/>
  <c r="W31" i="5"/>
  <c r="X31" i="5" s="1"/>
  <c r="AA39" i="5"/>
  <c r="AA87" i="5"/>
  <c r="AA151" i="5"/>
  <c r="AD29" i="5"/>
  <c r="AD93" i="5"/>
  <c r="AD173" i="5"/>
  <c r="AD96" i="5"/>
  <c r="AD210" i="5"/>
  <c r="AA26" i="5"/>
  <c r="AA170" i="5"/>
  <c r="AA10" i="5"/>
  <c r="AD104" i="5"/>
  <c r="AD146" i="5"/>
  <c r="AD18" i="5"/>
  <c r="W203" i="5"/>
  <c r="X203" i="5" s="1"/>
  <c r="W195" i="5"/>
  <c r="X195" i="5" s="1"/>
  <c r="W187" i="5"/>
  <c r="X187" i="5" s="1"/>
  <c r="W179" i="5"/>
  <c r="X179" i="5" s="1"/>
  <c r="W171" i="5"/>
  <c r="X171" i="5" s="1"/>
  <c r="W163" i="5"/>
  <c r="X163" i="5" s="1"/>
  <c r="W155" i="5"/>
  <c r="X155" i="5" s="1"/>
  <c r="W147" i="5"/>
  <c r="X147" i="5" s="1"/>
  <c r="W139" i="5"/>
  <c r="X139" i="5" s="1"/>
  <c r="W131" i="5"/>
  <c r="X131" i="5" s="1"/>
  <c r="W123" i="5"/>
  <c r="X123" i="5" s="1"/>
  <c r="W115" i="5"/>
  <c r="X115" i="5" s="1"/>
  <c r="W107" i="5"/>
  <c r="X107" i="5" s="1"/>
  <c r="W99" i="5"/>
  <c r="X99" i="5" s="1"/>
  <c r="W91" i="5"/>
  <c r="X91" i="5" s="1"/>
  <c r="W83" i="5"/>
  <c r="X83" i="5" s="1"/>
  <c r="W75" i="5"/>
  <c r="X75" i="5" s="1"/>
  <c r="W67" i="5"/>
  <c r="X67" i="5" s="1"/>
  <c r="W59" i="5"/>
  <c r="X59" i="5" s="1"/>
  <c r="W51" i="5"/>
  <c r="X51" i="5" s="1"/>
  <c r="W43" i="5"/>
  <c r="X43" i="5" s="1"/>
  <c r="W35" i="5"/>
  <c r="X35" i="5" s="1"/>
  <c r="W27" i="5"/>
  <c r="X27" i="5" s="1"/>
  <c r="W19" i="5"/>
  <c r="X19" i="5" s="1"/>
  <c r="W11" i="5"/>
  <c r="X11" i="5" s="1"/>
  <c r="AA15" i="5"/>
  <c r="AA31" i="5"/>
  <c r="AA47" i="5"/>
  <c r="AA63" i="5"/>
  <c r="AA79" i="5"/>
  <c r="AA95" i="5"/>
  <c r="AA111" i="5"/>
  <c r="AA127" i="5"/>
  <c r="AA143" i="5"/>
  <c r="AA159" i="5"/>
  <c r="AA175" i="5"/>
  <c r="AA191" i="5"/>
  <c r="AA207" i="5"/>
  <c r="AD21" i="5"/>
  <c r="AD37" i="5"/>
  <c r="AD53" i="5"/>
  <c r="AD69" i="5"/>
  <c r="AD85" i="5"/>
  <c r="AD101" i="5"/>
  <c r="AD117" i="5"/>
  <c r="AD133" i="5"/>
  <c r="AD149" i="5"/>
  <c r="AD165" i="5"/>
  <c r="AD181" i="5"/>
  <c r="AD197" i="5"/>
  <c r="AD32" i="5"/>
  <c r="AA118" i="5"/>
  <c r="AD160" i="5"/>
  <c r="AD194" i="5"/>
  <c r="AD150" i="5"/>
  <c r="AD158" i="5"/>
  <c r="AA28" i="5"/>
  <c r="AD102" i="5"/>
  <c r="AA132" i="5"/>
  <c r="AD84" i="5"/>
  <c r="AA96" i="5"/>
  <c r="AD100" i="5"/>
  <c r="AD142" i="5"/>
  <c r="AD192" i="5"/>
  <c r="AA126" i="5"/>
  <c r="AD40" i="5"/>
  <c r="AA204" i="5"/>
  <c r="AA172" i="5"/>
  <c r="AD82" i="5"/>
  <c r="AA40" i="5"/>
  <c r="AA182" i="5"/>
  <c r="AD10" i="5"/>
  <c r="AA68" i="5"/>
  <c r="AD140" i="5"/>
  <c r="AA98" i="5"/>
  <c r="AD12" i="5"/>
  <c r="W175" i="5"/>
  <c r="X175" i="5" s="1"/>
  <c r="W151" i="5"/>
  <c r="X151" i="5" s="1"/>
  <c r="W111" i="5"/>
  <c r="X111" i="5" s="1"/>
  <c r="W79" i="5"/>
  <c r="X79" i="5" s="1"/>
  <c r="W47" i="5"/>
  <c r="X47" i="5" s="1"/>
  <c r="AA55" i="5"/>
  <c r="AA135" i="5"/>
  <c r="AA183" i="5"/>
  <c r="AD61" i="5"/>
  <c r="AD141" i="5"/>
  <c r="AD189" i="5"/>
  <c r="AD178" i="5"/>
  <c r="AA188" i="5"/>
  <c r="AD76" i="5"/>
  <c r="W210" i="5"/>
  <c r="X210" i="5" s="1"/>
  <c r="W202" i="5"/>
  <c r="X202" i="5" s="1"/>
  <c r="W194" i="5"/>
  <c r="X194" i="5" s="1"/>
  <c r="W186" i="5"/>
  <c r="X186" i="5" s="1"/>
  <c r="W178" i="5"/>
  <c r="X178" i="5" s="1"/>
  <c r="W170" i="5"/>
  <c r="X170" i="5" s="1"/>
  <c r="W162" i="5"/>
  <c r="X162" i="5" s="1"/>
  <c r="W154" i="5"/>
  <c r="X154" i="5" s="1"/>
  <c r="W146" i="5"/>
  <c r="X146" i="5" s="1"/>
  <c r="W138" i="5"/>
  <c r="X138" i="5" s="1"/>
  <c r="W130" i="5"/>
  <c r="X130" i="5" s="1"/>
  <c r="W122" i="5"/>
  <c r="X122" i="5" s="1"/>
  <c r="W114" i="5"/>
  <c r="X114" i="5" s="1"/>
  <c r="W106" i="5"/>
  <c r="X106" i="5" s="1"/>
  <c r="W98" i="5"/>
  <c r="X98" i="5" s="1"/>
  <c r="W90" i="5"/>
  <c r="X90" i="5" s="1"/>
  <c r="W82" i="5"/>
  <c r="X82" i="5" s="1"/>
  <c r="W74" i="5"/>
  <c r="X74" i="5" s="1"/>
  <c r="W66" i="5"/>
  <c r="X66" i="5" s="1"/>
  <c r="W58" i="5"/>
  <c r="X58" i="5" s="1"/>
  <c r="W50" i="5"/>
  <c r="X50" i="5" s="1"/>
  <c r="W42" i="5"/>
  <c r="X42" i="5" s="1"/>
  <c r="W34" i="5"/>
  <c r="X34" i="5" s="1"/>
  <c r="W26" i="5"/>
  <c r="X26" i="5" s="1"/>
  <c r="W18" i="5"/>
  <c r="X18" i="5" s="1"/>
  <c r="W10" i="5"/>
  <c r="X10" i="5" s="1"/>
  <c r="AA17" i="5"/>
  <c r="AA33" i="5"/>
  <c r="AA49" i="5"/>
  <c r="AA65" i="5"/>
  <c r="AA81" i="5"/>
  <c r="AA97" i="5"/>
  <c r="AA113" i="5"/>
  <c r="AA129" i="5"/>
  <c r="AA145" i="5"/>
  <c r="AA161" i="5"/>
  <c r="AA177" i="5"/>
  <c r="AA193" i="5"/>
  <c r="AA209" i="5"/>
  <c r="AD23" i="5"/>
  <c r="AD39" i="5"/>
  <c r="AD55" i="5"/>
  <c r="AD71" i="5"/>
  <c r="AD87" i="5"/>
  <c r="AD103" i="5"/>
  <c r="AD119" i="5"/>
  <c r="AD135" i="5"/>
  <c r="AD151" i="5"/>
  <c r="AD167" i="5"/>
  <c r="AD183" i="5"/>
  <c r="AD199" i="5"/>
  <c r="AA38" i="5"/>
  <c r="AD80" i="5"/>
  <c r="AA166" i="5"/>
  <c r="AD198" i="5"/>
  <c r="AA92" i="5"/>
  <c r="AA156" i="5"/>
  <c r="AD200" i="5"/>
  <c r="AD132" i="5"/>
  <c r="AA160" i="5"/>
  <c r="AA106" i="5"/>
  <c r="AD106" i="5"/>
  <c r="AD74" i="5"/>
  <c r="AD184" i="5"/>
  <c r="AD120" i="5"/>
  <c r="AA78" i="5"/>
  <c r="AA200" i="5"/>
  <c r="AD162" i="5"/>
  <c r="AA120" i="5"/>
  <c r="AD34" i="5"/>
  <c r="AD164" i="5"/>
  <c r="AD46" i="5"/>
  <c r="AD152" i="5"/>
  <c r="AD92" i="5"/>
  <c r="AA50" i="5"/>
  <c r="AD7" i="5"/>
  <c r="S3" i="5" s="1"/>
  <c r="B4" i="7"/>
  <c r="C4" i="8"/>
  <c r="AC70" i="8"/>
  <c r="W213" i="8"/>
  <c r="AC52" i="8"/>
  <c r="W187" i="8"/>
  <c r="Z120" i="8"/>
  <c r="AC32" i="8"/>
  <c r="AC188" i="8"/>
  <c r="AC44" i="8"/>
  <c r="W97" i="8"/>
  <c r="W129" i="8"/>
  <c r="W161" i="8"/>
  <c r="W221" i="8"/>
  <c r="W163" i="8"/>
  <c r="Z84" i="8"/>
  <c r="Z216" i="8"/>
  <c r="AC144" i="8"/>
  <c r="AC18" i="8"/>
  <c r="AC76" i="8"/>
  <c r="Z110" i="8"/>
  <c r="Z142" i="8"/>
  <c r="Z174" i="8"/>
  <c r="Z206" i="8"/>
  <c r="Z238" i="8"/>
  <c r="AC30" i="8"/>
  <c r="W111" i="8"/>
  <c r="W235" i="8"/>
  <c r="Z192" i="8"/>
  <c r="AC116" i="8"/>
  <c r="AC8" i="8"/>
  <c r="AC72" i="8"/>
  <c r="AC110" i="8"/>
  <c r="AC142" i="8"/>
  <c r="AC174" i="8"/>
  <c r="AC206" i="8"/>
  <c r="W77" i="8"/>
  <c r="W167" i="8"/>
  <c r="Z96" i="8"/>
  <c r="Z220" i="8"/>
  <c r="AC156" i="8"/>
  <c r="L190" i="7"/>
  <c r="L182" i="7"/>
  <c r="L174" i="7"/>
  <c r="L166" i="7"/>
  <c r="L158" i="7"/>
  <c r="L150" i="7"/>
  <c r="L142" i="7"/>
  <c r="L134" i="7"/>
  <c r="L126" i="7"/>
  <c r="L118" i="7"/>
  <c r="L110" i="7"/>
  <c r="L102" i="7"/>
  <c r="L94" i="7"/>
  <c r="L86" i="7"/>
  <c r="L78" i="7"/>
  <c r="L70" i="7"/>
  <c r="L62" i="7"/>
  <c r="L54" i="7"/>
  <c r="L46" i="7"/>
  <c r="L38" i="7"/>
  <c r="L30" i="7"/>
  <c r="L22" i="7"/>
  <c r="L14" i="7"/>
  <c r="C4" i="7"/>
  <c r="W232" i="8"/>
  <c r="W216" i="8"/>
  <c r="W200" i="8"/>
  <c r="W184" i="8"/>
  <c r="W168" i="8"/>
  <c r="W152" i="8"/>
  <c r="W136" i="8"/>
  <c r="W120" i="8"/>
  <c r="W104" i="8"/>
  <c r="W88" i="8"/>
  <c r="W72" i="8"/>
  <c r="W56" i="8"/>
  <c r="W40" i="8"/>
  <c r="W24" i="8"/>
  <c r="W8" i="8"/>
  <c r="Z72" i="8"/>
  <c r="Z42" i="8"/>
  <c r="Z26" i="8"/>
  <c r="AC239" i="8"/>
  <c r="AC221" i="8"/>
  <c r="AC205" i="8"/>
  <c r="AC189" i="8"/>
  <c r="AC173" i="8"/>
  <c r="AC157" i="8"/>
  <c r="AC141" i="8"/>
  <c r="AC125" i="8"/>
  <c r="AC109" i="8"/>
  <c r="AC93" i="8"/>
  <c r="AC77" i="8"/>
  <c r="AC61" i="8"/>
  <c r="AC45" i="8"/>
  <c r="AC29" i="8"/>
  <c r="AC13" i="8"/>
  <c r="Z12" i="8"/>
  <c r="Z231" i="8"/>
  <c r="Z215" i="8"/>
  <c r="Z199" i="8"/>
  <c r="Z183" i="8"/>
  <c r="Z167" i="8"/>
  <c r="Z151" i="8"/>
  <c r="Z135" i="8"/>
  <c r="Z119" i="8"/>
  <c r="Z103" i="8"/>
  <c r="Z87" i="8"/>
  <c r="Z71" i="8"/>
  <c r="Z55" i="8"/>
  <c r="Z39" i="8"/>
  <c r="Z23" i="8"/>
  <c r="W11" i="8"/>
  <c r="W75" i="8"/>
  <c r="W217" i="8"/>
  <c r="W73" i="8"/>
  <c r="W199" i="8"/>
  <c r="Z132" i="8"/>
  <c r="AC64" i="8"/>
  <c r="AC204" i="8"/>
  <c r="W49" i="8"/>
  <c r="W101" i="8"/>
  <c r="W133" i="8"/>
  <c r="W165" i="8"/>
  <c r="W233" i="8"/>
  <c r="W179" i="8"/>
  <c r="Z100" i="8"/>
  <c r="Z232" i="8"/>
  <c r="AC160" i="8"/>
  <c r="W23" i="8"/>
  <c r="W81" i="8"/>
  <c r="Z114" i="8"/>
  <c r="Z146" i="8"/>
  <c r="Z178" i="8"/>
  <c r="Z210" i="8"/>
  <c r="Z242" i="8"/>
  <c r="AC46" i="8"/>
  <c r="W127" i="8"/>
  <c r="AC58" i="8"/>
  <c r="Z208" i="8"/>
  <c r="AC132" i="8"/>
  <c r="W13" i="8"/>
  <c r="AC82" i="8"/>
  <c r="AC114" i="8"/>
  <c r="AC146" i="8"/>
  <c r="AC178" i="8"/>
  <c r="AC214" i="8"/>
  <c r="W25" i="8"/>
  <c r="W183" i="8"/>
  <c r="Z112" i="8"/>
  <c r="Z236" i="8"/>
  <c r="AC168" i="8"/>
  <c r="L189" i="7"/>
  <c r="L181" i="7"/>
  <c r="L173" i="7"/>
  <c r="L165" i="7"/>
  <c r="L157" i="7"/>
  <c r="L149" i="7"/>
  <c r="L141" i="7"/>
  <c r="L133" i="7"/>
  <c r="L125" i="7"/>
  <c r="L117" i="7"/>
  <c r="L109" i="7"/>
  <c r="L101" i="7"/>
  <c r="L93" i="7"/>
  <c r="L85" i="7"/>
  <c r="L77" i="7"/>
  <c r="L69" i="7"/>
  <c r="L61" i="7"/>
  <c r="L53" i="7"/>
  <c r="L45" i="7"/>
  <c r="L37" i="7"/>
  <c r="L29" i="7"/>
  <c r="L21" i="7"/>
  <c r="L13" i="7"/>
  <c r="W230" i="8"/>
  <c r="W214" i="8"/>
  <c r="W198" i="8"/>
  <c r="W182" i="8"/>
  <c r="W166" i="8"/>
  <c r="W150" i="8"/>
  <c r="W134" i="8"/>
  <c r="W118" i="8"/>
  <c r="W102" i="8"/>
  <c r="W86" i="8"/>
  <c r="W70" i="8"/>
  <c r="W54" i="8"/>
  <c r="W38" i="8"/>
  <c r="W22" i="8"/>
  <c r="Z82" i="8"/>
  <c r="Z66" i="8"/>
  <c r="Z40" i="8"/>
  <c r="Z24" i="8"/>
  <c r="AC235" i="8"/>
  <c r="AC219" i="8"/>
  <c r="AC203" i="8"/>
  <c r="AC187" i="8"/>
  <c r="AC171" i="8"/>
  <c r="AC155" i="8"/>
  <c r="AC139" i="8"/>
  <c r="AC123" i="8"/>
  <c r="AC107" i="8"/>
  <c r="AC91" i="8"/>
  <c r="AC75" i="8"/>
  <c r="AC59" i="8"/>
  <c r="AC43" i="8"/>
  <c r="AC27" i="8"/>
  <c r="AC11" i="8"/>
  <c r="AC241" i="8"/>
  <c r="Z229" i="8"/>
  <c r="Z213" i="8"/>
  <c r="Z197" i="8"/>
  <c r="Z181" i="8"/>
  <c r="Z165" i="8"/>
  <c r="Z149" i="8"/>
  <c r="Z133" i="8"/>
  <c r="Z117" i="8"/>
  <c r="Z101" i="8"/>
  <c r="Z85" i="8"/>
  <c r="Z69" i="8"/>
  <c r="Z53" i="8"/>
  <c r="Z37" i="8"/>
  <c r="Z21" i="8"/>
  <c r="W27" i="8"/>
  <c r="W169" i="8"/>
  <c r="W229" i="8"/>
  <c r="W103" i="8"/>
  <c r="W231" i="8"/>
  <c r="Z164" i="8"/>
  <c r="AC104" i="8"/>
  <c r="AC236" i="8"/>
  <c r="W65" i="8"/>
  <c r="W109" i="8"/>
  <c r="W141" i="8"/>
  <c r="W177" i="8"/>
  <c r="AC68" i="8"/>
  <c r="W223" i="8"/>
  <c r="Z136" i="8"/>
  <c r="W37" i="8"/>
  <c r="AC192" i="8"/>
  <c r="W39" i="8"/>
  <c r="Z90" i="8"/>
  <c r="Z122" i="8"/>
  <c r="Z154" i="8"/>
  <c r="Z186" i="8"/>
  <c r="Z218" i="8"/>
  <c r="AC222" i="8"/>
  <c r="AC20" i="8"/>
  <c r="W159" i="8"/>
  <c r="Z108" i="8"/>
  <c r="Z240" i="8"/>
  <c r="AC164" i="8"/>
  <c r="W29" i="8"/>
  <c r="AC90" i="8"/>
  <c r="AC122" i="8"/>
  <c r="AC154" i="8"/>
  <c r="AC186" i="8"/>
  <c r="AC226" i="8"/>
  <c r="W95" i="8"/>
  <c r="W211" i="8"/>
  <c r="Z144" i="8"/>
  <c r="W53" i="8"/>
  <c r="AC200" i="8"/>
  <c r="L187" i="7"/>
  <c r="L179" i="7"/>
  <c r="L171" i="7"/>
  <c r="L163" i="7"/>
  <c r="L155" i="7"/>
  <c r="L147" i="7"/>
  <c r="L139" i="7"/>
  <c r="L131" i="7"/>
  <c r="L123" i="7"/>
  <c r="L115" i="7"/>
  <c r="L107" i="7"/>
  <c r="L99" i="7"/>
  <c r="L91" i="7"/>
  <c r="L83" i="7"/>
  <c r="L75" i="7"/>
  <c r="L67" i="7"/>
  <c r="L59" i="7"/>
  <c r="L51" i="7"/>
  <c r="L43" i="7"/>
  <c r="L35" i="7"/>
  <c r="L27" i="7"/>
  <c r="L19" i="7"/>
  <c r="L11" i="7"/>
  <c r="W242" i="8"/>
  <c r="W226" i="8"/>
  <c r="W210" i="8"/>
  <c r="W194" i="8"/>
  <c r="W178" i="8"/>
  <c r="W162" i="8"/>
  <c r="W146" i="8"/>
  <c r="W130" i="8"/>
  <c r="W114" i="8"/>
  <c r="W98" i="8"/>
  <c r="W82" i="8"/>
  <c r="W66" i="8"/>
  <c r="W50" i="8"/>
  <c r="W34" i="8"/>
  <c r="W18" i="8"/>
  <c r="Z68" i="8"/>
  <c r="Z56" i="8"/>
  <c r="Z36" i="8"/>
  <c r="Z20" i="8"/>
  <c r="AC231" i="8"/>
  <c r="AC215" i="8"/>
  <c r="AC199" i="8"/>
  <c r="AC183" i="8"/>
  <c r="AC167" i="8"/>
  <c r="AC151" i="8"/>
  <c r="AC135" i="8"/>
  <c r="AC119" i="8"/>
  <c r="AC103" i="8"/>
  <c r="AC87" i="8"/>
  <c r="AC71" i="8"/>
  <c r="AC55" i="8"/>
  <c r="AC39" i="8"/>
  <c r="AC23" i="8"/>
  <c r="Z78" i="8"/>
  <c r="Z241" i="8"/>
  <c r="Z225" i="8"/>
  <c r="Z209" i="8"/>
  <c r="Z193" i="8"/>
  <c r="Z177" i="8"/>
  <c r="Z161" i="8"/>
  <c r="Z145" i="8"/>
  <c r="Z129" i="8"/>
  <c r="Z113" i="8"/>
  <c r="Z97" i="8"/>
  <c r="Z81" i="8"/>
  <c r="Z65" i="8"/>
  <c r="Z49" i="8"/>
  <c r="Z33" i="8"/>
  <c r="Z17" i="8"/>
  <c r="R131" i="7"/>
  <c r="Q123" i="7"/>
  <c r="R115" i="7"/>
  <c r="R107" i="7"/>
  <c r="R99" i="7"/>
  <c r="R91" i="7"/>
  <c r="R83" i="7"/>
  <c r="R75" i="7"/>
  <c r="X7" i="8"/>
  <c r="W43" i="8"/>
  <c r="W193" i="8"/>
  <c r="W241" i="8"/>
  <c r="W139" i="8"/>
  <c r="W31" i="8"/>
  <c r="Z196" i="8"/>
  <c r="AC136" i="8"/>
  <c r="W17" i="8"/>
  <c r="W85" i="8"/>
  <c r="W117" i="8"/>
  <c r="W149" i="8"/>
  <c r="W189" i="8"/>
  <c r="W115" i="8"/>
  <c r="AC26" i="8"/>
  <c r="Z168" i="8"/>
  <c r="AC96" i="8"/>
  <c r="AC224" i="8"/>
  <c r="W55" i="8"/>
  <c r="Z98" i="8"/>
  <c r="Z130" i="8"/>
  <c r="Z162" i="8"/>
  <c r="Z194" i="8"/>
  <c r="Z226" i="8"/>
  <c r="AC234" i="8"/>
  <c r="W57" i="8"/>
  <c r="W191" i="8"/>
  <c r="Z140" i="8"/>
  <c r="W69" i="8"/>
  <c r="AC196" i="8"/>
  <c r="W45" i="8"/>
  <c r="AC98" i="8"/>
  <c r="AC130" i="8"/>
  <c r="AC162" i="8"/>
  <c r="AC194" i="8"/>
  <c r="W35" i="8"/>
  <c r="W119" i="8"/>
  <c r="AC10" i="8"/>
  <c r="Z172" i="8"/>
  <c r="AC108" i="8"/>
  <c r="AC232" i="8"/>
  <c r="L185" i="7"/>
  <c r="L177" i="7"/>
  <c r="L169" i="7"/>
  <c r="L161" i="7"/>
  <c r="L153" i="7"/>
  <c r="L145" i="7"/>
  <c r="L137" i="7"/>
  <c r="L129" i="7"/>
  <c r="L121" i="7"/>
  <c r="L113" i="7"/>
  <c r="L105" i="7"/>
  <c r="L97" i="7"/>
  <c r="L89" i="7"/>
  <c r="L81" i="7"/>
  <c r="L73" i="7"/>
  <c r="L65" i="7"/>
  <c r="L57" i="7"/>
  <c r="L49" i="7"/>
  <c r="L41" i="7"/>
  <c r="L33" i="7"/>
  <c r="L25" i="7"/>
  <c r="L17" i="7"/>
  <c r="L9" i="7"/>
  <c r="W238" i="8"/>
  <c r="W222" i="8"/>
  <c r="W206" i="8"/>
  <c r="W190" i="8"/>
  <c r="W174" i="8"/>
  <c r="W158" i="8"/>
  <c r="W142" i="8"/>
  <c r="W126" i="8"/>
  <c r="W110" i="8"/>
  <c r="W94" i="8"/>
  <c r="W78" i="8"/>
  <c r="W62" i="8"/>
  <c r="W46" i="8"/>
  <c r="W30" i="8"/>
  <c r="W14" i="8"/>
  <c r="Z52" i="8"/>
  <c r="Z48" i="8"/>
  <c r="Z32" i="8"/>
  <c r="Z16" i="8"/>
  <c r="AC227" i="8"/>
  <c r="AC211" i="8"/>
  <c r="AC195" i="8"/>
  <c r="AC179" i="8"/>
  <c r="AC163" i="8"/>
  <c r="AC147" i="8"/>
  <c r="AC131" i="8"/>
  <c r="AC115" i="8"/>
  <c r="AC99" i="8"/>
  <c r="AC83" i="8"/>
  <c r="AC67" i="8"/>
  <c r="AC51" i="8"/>
  <c r="AC35" i="8"/>
  <c r="AC19" i="8"/>
  <c r="Z64" i="8"/>
  <c r="Z237" i="8"/>
  <c r="Z221" i="8"/>
  <c r="Z205" i="8"/>
  <c r="Z189" i="8"/>
  <c r="Z173" i="8"/>
  <c r="Z157" i="8"/>
  <c r="Z141" i="8"/>
  <c r="Z125" i="8"/>
  <c r="Z109" i="8"/>
  <c r="Z93" i="8"/>
  <c r="Z77" i="8"/>
  <c r="Z61" i="8"/>
  <c r="Z45" i="8"/>
  <c r="Z29" i="8"/>
  <c r="Z13" i="8"/>
  <c r="R126" i="7"/>
  <c r="R118" i="7"/>
  <c r="R110" i="7"/>
  <c r="R102" i="7"/>
  <c r="R94" i="7"/>
  <c r="R86" i="7"/>
  <c r="R78" i="7"/>
  <c r="W59" i="8"/>
  <c r="W9" i="8"/>
  <c r="Z104" i="8"/>
  <c r="AC172" i="8"/>
  <c r="W93" i="8"/>
  <c r="W157" i="8"/>
  <c r="W147" i="8"/>
  <c r="Z200" i="8"/>
  <c r="Z106" i="8"/>
  <c r="Z170" i="8"/>
  <c r="Z234" i="8"/>
  <c r="W99" i="8"/>
  <c r="Z176" i="8"/>
  <c r="AC228" i="8"/>
  <c r="AC106" i="8"/>
  <c r="AC170" i="8"/>
  <c r="AC62" i="8"/>
  <c r="AC74" i="8"/>
  <c r="AC140" i="8"/>
  <c r="L183" i="7"/>
  <c r="L167" i="7"/>
  <c r="L151" i="7"/>
  <c r="L135" i="7"/>
  <c r="L119" i="7"/>
  <c r="Q119" i="7" s="1"/>
  <c r="L103" i="7"/>
  <c r="Q103" i="7" s="1"/>
  <c r="L87" i="7"/>
  <c r="Q87" i="7" s="1"/>
  <c r="L71" i="7"/>
  <c r="L55" i="7"/>
  <c r="L39" i="7"/>
  <c r="L23" i="7"/>
  <c r="L7" i="7"/>
  <c r="W218" i="8"/>
  <c r="W186" i="8"/>
  <c r="W154" i="8"/>
  <c r="W122" i="8"/>
  <c r="W90" i="8"/>
  <c r="W58" i="8"/>
  <c r="W26" i="8"/>
  <c r="Z80" i="8"/>
  <c r="Z28" i="8"/>
  <c r="AC223" i="8"/>
  <c r="AC191" i="8"/>
  <c r="AC159" i="8"/>
  <c r="AC127" i="8"/>
  <c r="AC95" i="8"/>
  <c r="AC63" i="8"/>
  <c r="AC31" i="8"/>
  <c r="Z50" i="8"/>
  <c r="Z217" i="8"/>
  <c r="Z185" i="8"/>
  <c r="Z153" i="8"/>
  <c r="Z121" i="8"/>
  <c r="Z89" i="8"/>
  <c r="Z57" i="8"/>
  <c r="Z25" i="8"/>
  <c r="R129" i="7"/>
  <c r="R121" i="7"/>
  <c r="R113" i="7"/>
  <c r="Q105" i="7"/>
  <c r="R97" i="7"/>
  <c r="R89" i="7"/>
  <c r="R81" i="7"/>
  <c r="R73" i="7"/>
  <c r="Q190" i="7"/>
  <c r="Q182" i="7"/>
  <c r="Q174" i="7"/>
  <c r="Q166" i="7"/>
  <c r="Q158" i="7"/>
  <c r="Q150" i="7"/>
  <c r="Q142" i="7"/>
  <c r="Q134" i="7"/>
  <c r="Q9" i="8"/>
  <c r="N12" i="8"/>
  <c r="Q15" i="8"/>
  <c r="Q17" i="8"/>
  <c r="N20" i="8"/>
  <c r="Q23" i="8"/>
  <c r="N25" i="8"/>
  <c r="R28" i="8"/>
  <c r="R31" i="8"/>
  <c r="Q33" i="8"/>
  <c r="R36" i="8"/>
  <c r="R39" i="8"/>
  <c r="Q41" i="8"/>
  <c r="N44" i="8"/>
  <c r="Q47" i="8"/>
  <c r="N49" i="8"/>
  <c r="Q52" i="8"/>
  <c r="Q55" i="8"/>
  <c r="Q57" i="8"/>
  <c r="N60" i="8"/>
  <c r="R63" i="8"/>
  <c r="Q65" i="8"/>
  <c r="Q68" i="8"/>
  <c r="R71" i="8"/>
  <c r="Q73" i="8"/>
  <c r="R76" i="8"/>
  <c r="Q79" i="8"/>
  <c r="N81" i="8"/>
  <c r="N84" i="8"/>
  <c r="Q87" i="8"/>
  <c r="Q89" i="8"/>
  <c r="N92" i="8"/>
  <c r="R95" i="8"/>
  <c r="Q97" i="8"/>
  <c r="R100" i="8"/>
  <c r="Q103" i="8"/>
  <c r="Q105" i="8"/>
  <c r="N108" i="8"/>
  <c r="Q111" i="8"/>
  <c r="N113" i="8"/>
  <c r="N116" i="8"/>
  <c r="Q119" i="8"/>
  <c r="Q121" i="8"/>
  <c r="R124" i="8"/>
  <c r="Q127" i="8"/>
  <c r="R129" i="8"/>
  <c r="N132" i="8"/>
  <c r="R135" i="8"/>
  <c r="R137" i="8"/>
  <c r="R140" i="8"/>
  <c r="R143" i="8"/>
  <c r="R145" i="8"/>
  <c r="Q148" i="8"/>
  <c r="R151" i="8"/>
  <c r="Q153" i="8"/>
  <c r="R156" i="8"/>
  <c r="R159" i="8"/>
  <c r="R161" i="8"/>
  <c r="Q164" i="8"/>
  <c r="N167" i="8"/>
  <c r="R169" i="8"/>
  <c r="R172" i="8"/>
  <c r="N175" i="8"/>
  <c r="Q177" i="8"/>
  <c r="Q180" i="8"/>
  <c r="R183" i="8"/>
  <c r="R185" i="8"/>
  <c r="Q188" i="8"/>
  <c r="N191" i="8"/>
  <c r="Q193" i="8"/>
  <c r="R196" i="8"/>
  <c r="R199" i="8"/>
  <c r="R201" i="8"/>
  <c r="Q204" i="8"/>
  <c r="N207" i="8"/>
  <c r="R209" i="8"/>
  <c r="R212" i="8"/>
  <c r="R215" i="8"/>
  <c r="R217" i="8"/>
  <c r="R220" i="8"/>
  <c r="R223" i="8"/>
  <c r="Q225" i="8"/>
  <c r="Q228" i="8"/>
  <c r="R231" i="8"/>
  <c r="R233" i="8"/>
  <c r="R236" i="8"/>
  <c r="N239" i="8"/>
  <c r="Q241" i="8"/>
  <c r="P12" i="8"/>
  <c r="P20" i="8"/>
  <c r="AC80" i="8"/>
  <c r="W87" i="8"/>
  <c r="Z148" i="8"/>
  <c r="AC220" i="8"/>
  <c r="W105" i="8"/>
  <c r="W173" i="8"/>
  <c r="W203" i="8"/>
  <c r="AC16" i="8"/>
  <c r="AC34" i="8"/>
  <c r="Z118" i="8"/>
  <c r="Z182" i="8"/>
  <c r="AC210" i="8"/>
  <c r="W143" i="8"/>
  <c r="Z224" i="8"/>
  <c r="AC24" i="8"/>
  <c r="AC118" i="8"/>
  <c r="AC182" i="8"/>
  <c r="W83" i="8"/>
  <c r="Z128" i="8"/>
  <c r="AC184" i="8"/>
  <c r="L180" i="7"/>
  <c r="N180" i="7" s="1"/>
  <c r="L164" i="7"/>
  <c r="N164" i="7" s="1"/>
  <c r="L148" i="7"/>
  <c r="N148" i="7" s="1"/>
  <c r="L132" i="7"/>
  <c r="N132" i="7" s="1"/>
  <c r="L116" i="7"/>
  <c r="N116" i="7" s="1"/>
  <c r="L100" i="7"/>
  <c r="N100" i="7" s="1"/>
  <c r="L84" i="7"/>
  <c r="N84" i="7" s="1"/>
  <c r="L68" i="7"/>
  <c r="L52" i="7"/>
  <c r="L36" i="7"/>
  <c r="L20" i="7"/>
  <c r="W212" i="8"/>
  <c r="W180" i="8"/>
  <c r="W148" i="8"/>
  <c r="W116" i="8"/>
  <c r="W84" i="8"/>
  <c r="W52" i="8"/>
  <c r="W20" i="8"/>
  <c r="Z60" i="8"/>
  <c r="Z22" i="8"/>
  <c r="AC217" i="8"/>
  <c r="AC185" i="8"/>
  <c r="AC153" i="8"/>
  <c r="AC121" i="8"/>
  <c r="AC89" i="8"/>
  <c r="AC57" i="8"/>
  <c r="AC25" i="8"/>
  <c r="AC237" i="8"/>
  <c r="Z211" i="8"/>
  <c r="Z179" i="8"/>
  <c r="Z147" i="8"/>
  <c r="Z115" i="8"/>
  <c r="Z83" i="8"/>
  <c r="Z51" i="8"/>
  <c r="Z19" i="8"/>
  <c r="R119" i="7"/>
  <c r="R103" i="7"/>
  <c r="R87" i="7"/>
  <c r="R71" i="7"/>
  <c r="Q67" i="7"/>
  <c r="R59" i="7"/>
  <c r="R55" i="7"/>
  <c r="Q51" i="7"/>
  <c r="R43" i="7"/>
  <c r="R39" i="7"/>
  <c r="Q35" i="7"/>
  <c r="Q27" i="7"/>
  <c r="R23" i="7"/>
  <c r="Q19" i="7"/>
  <c r="R11" i="7"/>
  <c r="R7" i="7"/>
  <c r="R190" i="7"/>
  <c r="R182" i="7"/>
  <c r="R174" i="7"/>
  <c r="R166" i="7"/>
  <c r="R158" i="7"/>
  <c r="R150" i="7"/>
  <c r="R142" i="7"/>
  <c r="R134" i="7"/>
  <c r="N187" i="7"/>
  <c r="N179" i="7"/>
  <c r="N171" i="7"/>
  <c r="N163" i="7"/>
  <c r="N155" i="7"/>
  <c r="N147" i="7"/>
  <c r="N139" i="7"/>
  <c r="N131" i="7"/>
  <c r="N123" i="7"/>
  <c r="N115" i="7"/>
  <c r="N107" i="7"/>
  <c r="N99" i="7"/>
  <c r="N91" i="7"/>
  <c r="N83" i="7"/>
  <c r="N75" i="7"/>
  <c r="N67" i="7"/>
  <c r="N59" i="7"/>
  <c r="N51" i="7"/>
  <c r="N43" i="7"/>
  <c r="N35" i="7"/>
  <c r="N27" i="7"/>
  <c r="N19" i="7"/>
  <c r="N11" i="7"/>
  <c r="R10" i="8"/>
  <c r="R12" i="8"/>
  <c r="R15" i="8"/>
  <c r="Q18" i="8"/>
  <c r="R20" i="8"/>
  <c r="N23" i="8"/>
  <c r="R26" i="8"/>
  <c r="N28" i="8"/>
  <c r="P28" i="8" s="1"/>
  <c r="Q31" i="8"/>
  <c r="R34" i="8"/>
  <c r="N36" i="8"/>
  <c r="P36" i="8" s="1"/>
  <c r="Q39" i="8"/>
  <c r="Q42" i="8"/>
  <c r="R44" i="8"/>
  <c r="R47" i="8"/>
  <c r="R50" i="8"/>
  <c r="R52" i="8"/>
  <c r="N55" i="8"/>
  <c r="R58" i="8"/>
  <c r="R60" i="8"/>
  <c r="Q63" i="8"/>
  <c r="Q66" i="8"/>
  <c r="R68" i="8"/>
  <c r="Q71" i="8"/>
  <c r="R74" i="8"/>
  <c r="N76" i="8"/>
  <c r="R79" i="8"/>
  <c r="R82" i="8"/>
  <c r="R84" i="8"/>
  <c r="N87" i="8"/>
  <c r="Q90" i="8"/>
  <c r="R92" i="8"/>
  <c r="Q95" i="8"/>
  <c r="R98" i="8"/>
  <c r="N100" i="8"/>
  <c r="R103" i="8"/>
  <c r="R106" i="8"/>
  <c r="R108" i="8"/>
  <c r="R111" i="8"/>
  <c r="Q114" i="8"/>
  <c r="R116" i="8"/>
  <c r="N119" i="8"/>
  <c r="R122" i="8"/>
  <c r="N124" i="8"/>
  <c r="R127" i="8"/>
  <c r="R130" i="8"/>
  <c r="R132" i="8"/>
  <c r="Q135" i="8"/>
  <c r="R138" i="8"/>
  <c r="Q140" i="8"/>
  <c r="Q143" i="8"/>
  <c r="R146" i="8"/>
  <c r="R148" i="8"/>
  <c r="Q151" i="8"/>
  <c r="R154" i="8"/>
  <c r="Q156" i="8"/>
  <c r="Q159" i="8"/>
  <c r="R162" i="8"/>
  <c r="R164" i="8"/>
  <c r="R167" i="8"/>
  <c r="R170" i="8"/>
  <c r="Q172" i="8"/>
  <c r="R175" i="8"/>
  <c r="R178" i="8"/>
  <c r="R180" i="8"/>
  <c r="Q183" i="8"/>
  <c r="R186" i="8"/>
  <c r="R188" i="8"/>
  <c r="R191" i="8"/>
  <c r="R194" i="8"/>
  <c r="Q196" i="8"/>
  <c r="Q199" i="8"/>
  <c r="N202" i="8"/>
  <c r="R204" i="8"/>
  <c r="R207" i="8"/>
  <c r="R210" i="8"/>
  <c r="Q212" i="8"/>
  <c r="Q215" i="8"/>
  <c r="R218" i="8"/>
  <c r="Q220" i="8"/>
  <c r="Q223" i="8"/>
  <c r="R226" i="8"/>
  <c r="R228" i="8"/>
  <c r="Q231" i="8"/>
  <c r="R234" i="8"/>
  <c r="Q236" i="8"/>
  <c r="R239" i="8"/>
  <c r="R242" i="8"/>
  <c r="T7" i="8"/>
  <c r="W201" i="8"/>
  <c r="W155" i="8"/>
  <c r="Z212" i="8"/>
  <c r="AC28" i="8"/>
  <c r="W121" i="8"/>
  <c r="W197" i="8"/>
  <c r="W47" i="8"/>
  <c r="AC112" i="8"/>
  <c r="AC66" i="8"/>
  <c r="Z134" i="8"/>
  <c r="Z198" i="8"/>
  <c r="AC242" i="8"/>
  <c r="W207" i="8"/>
  <c r="AC84" i="8"/>
  <c r="AC56" i="8"/>
  <c r="AC134" i="8"/>
  <c r="AC198" i="8"/>
  <c r="W135" i="8"/>
  <c r="Z188" i="8"/>
  <c r="L192" i="7"/>
  <c r="L176" i="7"/>
  <c r="L160" i="7"/>
  <c r="L144" i="7"/>
  <c r="L128" i="7"/>
  <c r="L112" i="7"/>
  <c r="L96" i="7"/>
  <c r="L80" i="7"/>
  <c r="L64" i="7"/>
  <c r="R64" i="7" s="1"/>
  <c r="L48" i="7"/>
  <c r="R48" i="7" s="1"/>
  <c r="L32" i="7"/>
  <c r="Q32" i="7" s="1"/>
  <c r="L16" i="7"/>
  <c r="R16" i="7" s="1"/>
  <c r="W236" i="8"/>
  <c r="W204" i="8"/>
  <c r="W172" i="8"/>
  <c r="W140" i="8"/>
  <c r="W108" i="8"/>
  <c r="W76" i="8"/>
  <c r="W44" i="8"/>
  <c r="W12" i="8"/>
  <c r="Z46" i="8"/>
  <c r="Z14" i="8"/>
  <c r="AC209" i="8"/>
  <c r="AC177" i="8"/>
  <c r="AC145" i="8"/>
  <c r="AC113" i="8"/>
  <c r="AC81" i="8"/>
  <c r="AC49" i="8"/>
  <c r="AC17" i="8"/>
  <c r="Z235" i="8"/>
  <c r="Z203" i="8"/>
  <c r="Z171" i="8"/>
  <c r="Z139" i="8"/>
  <c r="Z107" i="8"/>
  <c r="Z75" i="8"/>
  <c r="Z43" i="8"/>
  <c r="Z11" i="8"/>
  <c r="R125" i="7"/>
  <c r="Q117" i="7"/>
  <c r="Q109" i="7"/>
  <c r="R101" i="7"/>
  <c r="Q93" i="7"/>
  <c r="Q85" i="7"/>
  <c r="Q77" i="7"/>
  <c r="Q70" i="7"/>
  <c r="Q62" i="7"/>
  <c r="Q54" i="7"/>
  <c r="Q46" i="7"/>
  <c r="Q38" i="7"/>
  <c r="Q30" i="7"/>
  <c r="Q22" i="7"/>
  <c r="Q14" i="7"/>
  <c r="Q7" i="7"/>
  <c r="R189" i="7"/>
  <c r="Q185" i="7"/>
  <c r="R181" i="7"/>
  <c r="Q177" i="7"/>
  <c r="R173" i="7"/>
  <c r="Q169" i="7"/>
  <c r="R165" i="7"/>
  <c r="Q161" i="7"/>
  <c r="R157" i="7"/>
  <c r="Q153" i="7"/>
  <c r="R149" i="7"/>
  <c r="Q145" i="7"/>
  <c r="R141" i="7"/>
  <c r="Q137" i="7"/>
  <c r="R133" i="7"/>
  <c r="N185" i="7"/>
  <c r="P185" i="7" s="1"/>
  <c r="N177" i="7"/>
  <c r="P177" i="7" s="1"/>
  <c r="N169" i="7"/>
  <c r="P169" i="7" s="1"/>
  <c r="N161" i="7"/>
  <c r="P161" i="7" s="1"/>
  <c r="N153" i="7"/>
  <c r="P153" i="7" s="1"/>
  <c r="N145" i="7"/>
  <c r="P145" i="7" s="1"/>
  <c r="N137" i="7"/>
  <c r="P137" i="7" s="1"/>
  <c r="N129" i="7"/>
  <c r="P129" i="7" s="1"/>
  <c r="N121" i="7"/>
  <c r="P121" i="7" s="1"/>
  <c r="N113" i="7"/>
  <c r="P113" i="7" s="1"/>
  <c r="N105" i="7"/>
  <c r="P105" i="7" s="1"/>
  <c r="N97" i="7"/>
  <c r="P97" i="7" s="1"/>
  <c r="N89" i="7"/>
  <c r="P89" i="7" s="1"/>
  <c r="N81" i="7"/>
  <c r="P81" i="7" s="1"/>
  <c r="N73" i="7"/>
  <c r="P73" i="7" s="1"/>
  <c r="N65" i="7"/>
  <c r="P65" i="7" s="1"/>
  <c r="N57" i="7"/>
  <c r="P57" i="7" s="1"/>
  <c r="N49" i="7"/>
  <c r="P49" i="7" s="1"/>
  <c r="N41" i="7"/>
  <c r="P41" i="7" s="1"/>
  <c r="N33" i="7"/>
  <c r="P33" i="7" s="1"/>
  <c r="N25" i="7"/>
  <c r="P25" i="7" s="1"/>
  <c r="N17" i="7"/>
  <c r="P17" i="7" s="1"/>
  <c r="N9" i="7"/>
  <c r="P9" i="7" s="1"/>
  <c r="P84" i="7"/>
  <c r="P100" i="7"/>
  <c r="P116" i="7"/>
  <c r="P132" i="7"/>
  <c r="P148" i="7"/>
  <c r="P164" i="7"/>
  <c r="P180" i="7"/>
  <c r="Q8" i="8"/>
  <c r="Q10" i="8"/>
  <c r="N13" i="8"/>
  <c r="P13" i="8" s="1"/>
  <c r="R16" i="8"/>
  <c r="R18" i="8"/>
  <c r="R21" i="8"/>
  <c r="Q24" i="8"/>
  <c r="N26" i="8"/>
  <c r="Q29" i="8"/>
  <c r="Q32" i="8"/>
  <c r="Q34" i="8"/>
  <c r="N37" i="8"/>
  <c r="P37" i="8" s="1"/>
  <c r="Q40" i="8"/>
  <c r="R42" i="8"/>
  <c r="R45" i="8"/>
  <c r="Q48" i="8"/>
  <c r="N50" i="8"/>
  <c r="Q53" i="8"/>
  <c r="Q56" i="8"/>
  <c r="Q58" i="8"/>
  <c r="N61" i="8"/>
  <c r="P61" i="8" s="1"/>
  <c r="Q64" i="8"/>
  <c r="R66" i="8"/>
  <c r="Q69" i="8"/>
  <c r="Q72" i="8"/>
  <c r="N74" i="8"/>
  <c r="R77" i="8"/>
  <c r="Q80" i="8"/>
  <c r="Q82" i="8"/>
  <c r="N85" i="8"/>
  <c r="P85" i="8" s="1"/>
  <c r="Q88" i="8"/>
  <c r="R90" i="8"/>
  <c r="Q93" i="8"/>
  <c r="Q96" i="8"/>
  <c r="N98" i="8"/>
  <c r="R101" i="8"/>
  <c r="Q104" i="8"/>
  <c r="Q106" i="8"/>
  <c r="Q109" i="8"/>
  <c r="Q112" i="8"/>
  <c r="R114" i="8"/>
  <c r="N117" i="8"/>
  <c r="P117" i="8" s="1"/>
  <c r="Q120" i="8"/>
  <c r="N122" i="8"/>
  <c r="R125" i="8"/>
  <c r="N128" i="8"/>
  <c r="Q130" i="8"/>
  <c r="N133" i="8"/>
  <c r="P133" i="8" s="1"/>
  <c r="R136" i="8"/>
  <c r="N138" i="8"/>
  <c r="R141" i="8"/>
  <c r="N144" i="8"/>
  <c r="N146" i="8"/>
  <c r="N149" i="8"/>
  <c r="P149" i="8" s="1"/>
  <c r="N152" i="8"/>
  <c r="N154" i="8"/>
  <c r="N157" i="8"/>
  <c r="P157" i="8" s="1"/>
  <c r="Q160" i="8"/>
  <c r="Q162" i="8"/>
  <c r="Q165" i="8"/>
  <c r="Q168" i="8"/>
  <c r="N170" i="8"/>
  <c r="N173" i="8"/>
  <c r="P173" i="8" s="1"/>
  <c r="N176" i="8"/>
  <c r="N178" i="8"/>
  <c r="N181" i="8"/>
  <c r="P181" i="8" s="1"/>
  <c r="R184" i="8"/>
  <c r="N186" i="8"/>
  <c r="N189" i="8"/>
  <c r="P189" i="8" s="1"/>
  <c r="N192" i="8"/>
  <c r="Q194" i="8"/>
  <c r="R197" i="8"/>
  <c r="Q200" i="8"/>
  <c r="Q202" i="8"/>
  <c r="N205" i="8"/>
  <c r="P205" i="8" s="1"/>
  <c r="N208" i="8"/>
  <c r="N210" i="8"/>
  <c r="N213" i="8"/>
  <c r="Q216" i="8"/>
  <c r="N218" i="8"/>
  <c r="N221" i="8"/>
  <c r="N224" i="8"/>
  <c r="Q226" i="8"/>
  <c r="Q229" i="8"/>
  <c r="N232" i="8"/>
  <c r="N234" i="8"/>
  <c r="N237" i="8"/>
  <c r="Q240" i="8"/>
  <c r="N242" i="8"/>
  <c r="P23" i="8"/>
  <c r="P55" i="8"/>
  <c r="P87" i="8"/>
  <c r="P119" i="8"/>
  <c r="P167" i="8"/>
  <c r="P175" i="8"/>
  <c r="P191" i="8"/>
  <c r="AC22" i="8"/>
  <c r="W225" i="8"/>
  <c r="W215" i="8"/>
  <c r="AC88" i="8"/>
  <c r="AC60" i="8"/>
  <c r="W137" i="8"/>
  <c r="AC36" i="8"/>
  <c r="Z116" i="8"/>
  <c r="AC176" i="8"/>
  <c r="Z86" i="8"/>
  <c r="Z150" i="8"/>
  <c r="Z214" i="8"/>
  <c r="W67" i="8"/>
  <c r="Z92" i="8"/>
  <c r="AC148" i="8"/>
  <c r="AC86" i="8"/>
  <c r="AC150" i="8"/>
  <c r="AC218" i="8"/>
  <c r="W195" i="8"/>
  <c r="W21" i="8"/>
  <c r="L188" i="7"/>
  <c r="L172" i="7"/>
  <c r="L156" i="7"/>
  <c r="L140" i="7"/>
  <c r="L124" i="7"/>
  <c r="L108" i="7"/>
  <c r="L92" i="7"/>
  <c r="L76" i="7"/>
  <c r="L60" i="7"/>
  <c r="L44" i="7"/>
  <c r="L28" i="7"/>
  <c r="L12" i="7"/>
  <c r="W228" i="8"/>
  <c r="W196" i="8"/>
  <c r="W164" i="8"/>
  <c r="W132" i="8"/>
  <c r="W100" i="8"/>
  <c r="W68" i="8"/>
  <c r="W36" i="8"/>
  <c r="Z74" i="8"/>
  <c r="Z38" i="8"/>
  <c r="AC233" i="8"/>
  <c r="AC201" i="8"/>
  <c r="AC169" i="8"/>
  <c r="AC137" i="8"/>
  <c r="AC105" i="8"/>
  <c r="AC73" i="8"/>
  <c r="AC41" i="8"/>
  <c r="AC9" i="8"/>
  <c r="Z227" i="8"/>
  <c r="Z195" i="8"/>
  <c r="Z163" i="8"/>
  <c r="Z131" i="8"/>
  <c r="Z99" i="8"/>
  <c r="Z67" i="8"/>
  <c r="Z35" i="8"/>
  <c r="Q131" i="7"/>
  <c r="R123" i="7"/>
  <c r="Q115" i="7"/>
  <c r="Q107" i="7"/>
  <c r="Q99" i="7"/>
  <c r="Q91" i="7"/>
  <c r="Q83" i="7"/>
  <c r="Q75" i="7"/>
  <c r="Q69" i="7"/>
  <c r="Q65" i="7"/>
  <c r="R61" i="7"/>
  <c r="Q57" i="7"/>
  <c r="Q53" i="7"/>
  <c r="Q49" i="7"/>
  <c r="Q45" i="7"/>
  <c r="R41" i="7"/>
  <c r="R37" i="7"/>
  <c r="Q33" i="7"/>
  <c r="R29" i="7"/>
  <c r="Q25" i="7"/>
  <c r="Q21" i="7"/>
  <c r="Q17" i="7"/>
  <c r="Q13" i="7"/>
  <c r="Q9" i="7"/>
  <c r="R192" i="7"/>
  <c r="Q188" i="7"/>
  <c r="Q180" i="7"/>
  <c r="R176" i="7"/>
  <c r="Q172" i="7"/>
  <c r="Q164" i="7"/>
  <c r="R160" i="7"/>
  <c r="Q156" i="7"/>
  <c r="Q148" i="7"/>
  <c r="R144" i="7"/>
  <c r="Q140" i="7"/>
  <c r="N183" i="7"/>
  <c r="N167" i="7"/>
  <c r="N151" i="7"/>
  <c r="N135" i="7"/>
  <c r="N119" i="7"/>
  <c r="N103" i="7"/>
  <c r="N87" i="7"/>
  <c r="N71" i="7"/>
  <c r="N55" i="7"/>
  <c r="N39" i="7"/>
  <c r="N23" i="7"/>
  <c r="N7" i="7"/>
  <c r="R8" i="8"/>
  <c r="R11" i="8"/>
  <c r="N14" i="8"/>
  <c r="N16" i="8"/>
  <c r="R19" i="8"/>
  <c r="N22" i="8"/>
  <c r="N24" i="8"/>
  <c r="N27" i="8"/>
  <c r="N30" i="8"/>
  <c r="R32" i="8"/>
  <c r="R35" i="8"/>
  <c r="Q38" i="8"/>
  <c r="R40" i="8"/>
  <c r="R43" i="8"/>
  <c r="W123" i="8"/>
  <c r="AC12" i="8"/>
  <c r="W181" i="8"/>
  <c r="W79" i="8"/>
  <c r="Z126" i="8"/>
  <c r="AC230" i="8"/>
  <c r="AC48" i="8"/>
  <c r="AC126" i="8"/>
  <c r="W107" i="8"/>
  <c r="AC216" i="8"/>
  <c r="L162" i="7"/>
  <c r="L130" i="7"/>
  <c r="L98" i="7"/>
  <c r="L66" i="7"/>
  <c r="L34" i="7"/>
  <c r="W240" i="8"/>
  <c r="W176" i="8"/>
  <c r="W112" i="8"/>
  <c r="W48" i="8"/>
  <c r="Z54" i="8"/>
  <c r="AC213" i="8"/>
  <c r="AC149" i="8"/>
  <c r="AC85" i="8"/>
  <c r="AC21" i="8"/>
  <c r="Z207" i="8"/>
  <c r="Z143" i="8"/>
  <c r="Z79" i="8"/>
  <c r="Z15" i="8"/>
  <c r="Q118" i="7"/>
  <c r="Q102" i="7"/>
  <c r="Q86" i="7"/>
  <c r="Q71" i="7"/>
  <c r="Q55" i="7"/>
  <c r="Q39" i="7"/>
  <c r="Q23" i="7"/>
  <c r="O7" i="7"/>
  <c r="R185" i="7"/>
  <c r="R177" i="7"/>
  <c r="R169" i="7"/>
  <c r="R161" i="7"/>
  <c r="R153" i="7"/>
  <c r="R145" i="7"/>
  <c r="R137" i="7"/>
  <c r="P19" i="7"/>
  <c r="P35" i="7"/>
  <c r="P51" i="7"/>
  <c r="P67" i="7"/>
  <c r="P83" i="7"/>
  <c r="P99" i="7"/>
  <c r="P115" i="7"/>
  <c r="P131" i="7"/>
  <c r="P147" i="7"/>
  <c r="P163" i="7"/>
  <c r="P179" i="7"/>
  <c r="R13" i="8"/>
  <c r="N18" i="8"/>
  <c r="R23" i="8"/>
  <c r="R29" i="8"/>
  <c r="N34" i="8"/>
  <c r="N39" i="8"/>
  <c r="P39" i="8" s="1"/>
  <c r="N45" i="8"/>
  <c r="P45" i="8" s="1"/>
  <c r="R49" i="8"/>
  <c r="N53" i="8"/>
  <c r="P53" i="8" s="1"/>
  <c r="R57" i="8"/>
  <c r="N62" i="8"/>
  <c r="N66" i="8"/>
  <c r="R70" i="8"/>
  <c r="Q75" i="8"/>
  <c r="R78" i="8"/>
  <c r="R83" i="8"/>
  <c r="R87" i="8"/>
  <c r="N91" i="8"/>
  <c r="R96" i="8"/>
  <c r="Q100" i="8"/>
  <c r="N104" i="8"/>
  <c r="R109" i="8"/>
  <c r="R113" i="8"/>
  <c r="Q117" i="8"/>
  <c r="R121" i="8"/>
  <c r="N126" i="8"/>
  <c r="N130" i="8"/>
  <c r="Q134" i="8"/>
  <c r="R139" i="8"/>
  <c r="Q142" i="8"/>
  <c r="Q147" i="8"/>
  <c r="N151" i="8"/>
  <c r="P151" i="8" s="1"/>
  <c r="N155" i="8"/>
  <c r="N160" i="8"/>
  <c r="N164" i="8"/>
  <c r="R168" i="8"/>
  <c r="Q173" i="8"/>
  <c r="N177" i="8"/>
  <c r="R181" i="8"/>
  <c r="N185" i="8"/>
  <c r="N190" i="8"/>
  <c r="N194" i="8"/>
  <c r="N198" i="8"/>
  <c r="R203" i="8"/>
  <c r="Q206" i="8"/>
  <c r="Q211" i="8"/>
  <c r="N215" i="8"/>
  <c r="N219" i="8"/>
  <c r="R224" i="8"/>
  <c r="N228" i="8"/>
  <c r="Q232" i="8"/>
  <c r="R237" i="8"/>
  <c r="N241" i="8"/>
  <c r="P16" i="8"/>
  <c r="P27" i="8"/>
  <c r="P62" i="8"/>
  <c r="P126" i="8"/>
  <c r="P190" i="8"/>
  <c r="P210" i="8"/>
  <c r="P218" i="8"/>
  <c r="P234" i="8"/>
  <c r="P242" i="8"/>
  <c r="O23" i="7"/>
  <c r="O39" i="7"/>
  <c r="O55" i="7"/>
  <c r="O71" i="7"/>
  <c r="O87" i="7"/>
  <c r="O103" i="7"/>
  <c r="O119" i="7"/>
  <c r="O135" i="7"/>
  <c r="O151" i="7"/>
  <c r="O167" i="7"/>
  <c r="O183" i="7"/>
  <c r="O14" i="8"/>
  <c r="O22" i="8"/>
  <c r="O30" i="8"/>
  <c r="O38" i="8"/>
  <c r="O46" i="8"/>
  <c r="O54" i="8"/>
  <c r="O62" i="8"/>
  <c r="O70" i="8"/>
  <c r="O78" i="8"/>
  <c r="O86" i="8"/>
  <c r="O94" i="8"/>
  <c r="O102" i="8"/>
  <c r="O110" i="8"/>
  <c r="O118" i="8"/>
  <c r="O126" i="8"/>
  <c r="O134" i="8"/>
  <c r="O142" i="8"/>
  <c r="O150" i="8"/>
  <c r="O158" i="8"/>
  <c r="O166" i="8"/>
  <c r="O174" i="8"/>
  <c r="O182" i="8"/>
  <c r="O190" i="8"/>
  <c r="O198" i="8"/>
  <c r="O206" i="8"/>
  <c r="O214" i="8"/>
  <c r="O222" i="8"/>
  <c r="L7" i="8"/>
  <c r="W171" i="8"/>
  <c r="W33" i="8"/>
  <c r="W209" i="8"/>
  <c r="AC128" i="8"/>
  <c r="Z138" i="8"/>
  <c r="AC14" i="8"/>
  <c r="AC100" i="8"/>
  <c r="AC138" i="8"/>
  <c r="W151" i="8"/>
  <c r="L191" i="7"/>
  <c r="L159" i="7"/>
  <c r="L127" i="7"/>
  <c r="L95" i="7"/>
  <c r="L63" i="7"/>
  <c r="L31" i="7"/>
  <c r="W234" i="8"/>
  <c r="W170" i="8"/>
  <c r="W106" i="8"/>
  <c r="W42" i="8"/>
  <c r="Z44" i="8"/>
  <c r="AC207" i="8"/>
  <c r="AC143" i="8"/>
  <c r="AC79" i="8"/>
  <c r="AC15" i="8"/>
  <c r="Z201" i="8"/>
  <c r="Z137" i="8"/>
  <c r="Z73" i="8"/>
  <c r="Z9" i="8"/>
  <c r="R117" i="7"/>
  <c r="Q101" i="7"/>
  <c r="R85" i="7"/>
  <c r="R70" i="7"/>
  <c r="R62" i="7"/>
  <c r="R54" i="7"/>
  <c r="R46" i="7"/>
  <c r="R38" i="7"/>
  <c r="R30" i="7"/>
  <c r="R22" i="7"/>
  <c r="R14" i="7"/>
  <c r="Q192" i="7"/>
  <c r="Q176" i="7"/>
  <c r="Q160" i="7"/>
  <c r="Q144" i="7"/>
  <c r="N8" i="8"/>
  <c r="Q13" i="8"/>
  <c r="Q19" i="8"/>
  <c r="R24" i="8"/>
  <c r="N29" i="8"/>
  <c r="P29" i="8" s="1"/>
  <c r="Q35" i="8"/>
  <c r="N40" i="8"/>
  <c r="Q45" i="8"/>
  <c r="Q49" i="8"/>
  <c r="N54" i="8"/>
  <c r="N58" i="8"/>
  <c r="Q62" i="8"/>
  <c r="Q67" i="8"/>
  <c r="Q70" i="8"/>
  <c r="N75" i="8"/>
  <c r="N79" i="8"/>
  <c r="P79" i="8" s="1"/>
  <c r="N83" i="8"/>
  <c r="P83" i="8" s="1"/>
  <c r="R88" i="8"/>
  <c r="Q92" i="8"/>
  <c r="N96" i="8"/>
  <c r="N101" i="8"/>
  <c r="P101" i="8" s="1"/>
  <c r="N105" i="8"/>
  <c r="P105" i="8" s="1"/>
  <c r="N109" i="8"/>
  <c r="P109" i="8" s="1"/>
  <c r="Q113" i="8"/>
  <c r="N118" i="8"/>
  <c r="Q122" i="8"/>
  <c r="Q126" i="8"/>
  <c r="Q131" i="8"/>
  <c r="N134" i="8"/>
  <c r="Q139" i="8"/>
  <c r="N143" i="8"/>
  <c r="P143" i="8" s="1"/>
  <c r="N147" i="8"/>
  <c r="P147" i="8" s="1"/>
  <c r="R152" i="8"/>
  <c r="N156" i="8"/>
  <c r="R160" i="8"/>
  <c r="N165" i="8"/>
  <c r="P165" i="8" s="1"/>
  <c r="N169" i="8"/>
  <c r="P169" i="8" s="1"/>
  <c r="R173" i="8"/>
  <c r="R177" i="8"/>
  <c r="R182" i="8"/>
  <c r="Q186" i="8"/>
  <c r="R190" i="8"/>
  <c r="N195" i="8"/>
  <c r="Q198" i="8"/>
  <c r="Q203" i="8"/>
  <c r="Q207" i="8"/>
  <c r="N211" i="8"/>
  <c r="N216" i="8"/>
  <c r="N220" i="8"/>
  <c r="Q224" i="8"/>
  <c r="N229" i="8"/>
  <c r="Q233" i="8"/>
  <c r="Q237" i="8"/>
  <c r="R241" i="8"/>
  <c r="P30" i="8"/>
  <c r="P74" i="8"/>
  <c r="P84" i="8"/>
  <c r="P96" i="8"/>
  <c r="P116" i="8"/>
  <c r="P128" i="8"/>
  <c r="P138" i="8"/>
  <c r="P160" i="8"/>
  <c r="P170" i="8"/>
  <c r="P192" i="8"/>
  <c r="P202" i="8"/>
  <c r="P211" i="8"/>
  <c r="P219" i="8"/>
  <c r="O16" i="7"/>
  <c r="O32" i="7"/>
  <c r="O48" i="7"/>
  <c r="O64" i="7"/>
  <c r="O80" i="7"/>
  <c r="O96" i="7"/>
  <c r="O112" i="7"/>
  <c r="O128" i="7"/>
  <c r="O144" i="7"/>
  <c r="O160" i="7"/>
  <c r="O176" i="7"/>
  <c r="O192" i="7"/>
  <c r="O15" i="8"/>
  <c r="O23" i="8"/>
  <c r="O31" i="8"/>
  <c r="O39" i="8"/>
  <c r="O47" i="8"/>
  <c r="O55" i="8"/>
  <c r="O63" i="8"/>
  <c r="O71" i="8"/>
  <c r="O79" i="8"/>
  <c r="O87" i="8"/>
  <c r="O95" i="8"/>
  <c r="O103" i="8"/>
  <c r="O111" i="8"/>
  <c r="O119" i="8"/>
  <c r="O127" i="8"/>
  <c r="O135" i="8"/>
  <c r="O143" i="8"/>
  <c r="O151" i="8"/>
  <c r="O159" i="8"/>
  <c r="O167" i="8"/>
  <c r="O175" i="8"/>
  <c r="O183" i="8"/>
  <c r="O191" i="8"/>
  <c r="O199" i="8"/>
  <c r="O207" i="8"/>
  <c r="O215" i="8"/>
  <c r="O223" i="8"/>
  <c r="O231" i="8"/>
  <c r="O239" i="8"/>
  <c r="AC54" i="8"/>
  <c r="Z88" i="8"/>
  <c r="W89" i="8"/>
  <c r="W131" i="8"/>
  <c r="AC240" i="8"/>
  <c r="Z166" i="8"/>
  <c r="AC78" i="8"/>
  <c r="AC212" i="8"/>
  <c r="AC166" i="8"/>
  <c r="AC42" i="8"/>
  <c r="L184" i="7"/>
  <c r="L152" i="7"/>
  <c r="L120" i="7"/>
  <c r="L88" i="7"/>
  <c r="L56" i="7"/>
  <c r="L24" i="7"/>
  <c r="W220" i="8"/>
  <c r="W156" i="8"/>
  <c r="W92" i="8"/>
  <c r="W28" i="8"/>
  <c r="Z30" i="8"/>
  <c r="AC193" i="8"/>
  <c r="AC129" i="8"/>
  <c r="AC65" i="8"/>
  <c r="Z58" i="8"/>
  <c r="Z187" i="8"/>
  <c r="Z123" i="8"/>
  <c r="Z59" i="8"/>
  <c r="Q129" i="7"/>
  <c r="Q113" i="7"/>
  <c r="Q97" i="7"/>
  <c r="Q81" i="7"/>
  <c r="Q68" i="7"/>
  <c r="Q60" i="7"/>
  <c r="R52" i="7"/>
  <c r="Q44" i="7"/>
  <c r="Q36" i="7"/>
  <c r="Q28" i="7"/>
  <c r="Q20" i="7"/>
  <c r="Q12" i="7"/>
  <c r="R191" i="7"/>
  <c r="R183" i="7"/>
  <c r="R167" i="7"/>
  <c r="Q159" i="7"/>
  <c r="Q151" i="7"/>
  <c r="R135" i="7"/>
  <c r="N181" i="7"/>
  <c r="P181" i="7" s="1"/>
  <c r="N165" i="7"/>
  <c r="P165" i="7" s="1"/>
  <c r="N149" i="7"/>
  <c r="P149" i="7" s="1"/>
  <c r="N133" i="7"/>
  <c r="P133" i="7" s="1"/>
  <c r="N117" i="7"/>
  <c r="P117" i="7" s="1"/>
  <c r="N101" i="7"/>
  <c r="P101" i="7" s="1"/>
  <c r="N85" i="7"/>
  <c r="P85" i="7" s="1"/>
  <c r="N69" i="7"/>
  <c r="P69" i="7" s="1"/>
  <c r="N53" i="7"/>
  <c r="P53" i="7" s="1"/>
  <c r="N37" i="7"/>
  <c r="P37" i="7" s="1"/>
  <c r="N21" i="7"/>
  <c r="P21" i="7" s="1"/>
  <c r="R9" i="8"/>
  <c r="R14" i="8"/>
  <c r="Q20" i="8"/>
  <c r="Q25" i="8"/>
  <c r="R30" i="8"/>
  <c r="Q36" i="8"/>
  <c r="R41" i="8"/>
  <c r="R46" i="8"/>
  <c r="Q51" i="8"/>
  <c r="R54" i="8"/>
  <c r="R59" i="8"/>
  <c r="N63" i="8"/>
  <c r="P63" i="8" s="1"/>
  <c r="N67" i="8"/>
  <c r="R72" i="8"/>
  <c r="Q76" i="8"/>
  <c r="R80" i="8"/>
  <c r="R85" i="8"/>
  <c r="N89" i="8"/>
  <c r="N93" i="8"/>
  <c r="P93" i="8" s="1"/>
  <c r="R97" i="8"/>
  <c r="Q102" i="8"/>
  <c r="N106" i="8"/>
  <c r="P106" i="8" s="1"/>
  <c r="Q110" i="8"/>
  <c r="Q115" i="8"/>
  <c r="Q118" i="8"/>
  <c r="N123" i="8"/>
  <c r="N127" i="8"/>
  <c r="P127" i="8" s="1"/>
  <c r="N131" i="8"/>
  <c r="N136" i="8"/>
  <c r="N140" i="8"/>
  <c r="Q144" i="8"/>
  <c r="R149" i="8"/>
  <c r="N153" i="8"/>
  <c r="R157" i="8"/>
  <c r="N161" i="8"/>
  <c r="R166" i="8"/>
  <c r="Q170" i="8"/>
  <c r="R174" i="8"/>
  <c r="R179" i="8"/>
  <c r="N182" i="8"/>
  <c r="N187" i="8"/>
  <c r="Q191" i="8"/>
  <c r="Q195" i="8"/>
  <c r="N200" i="8"/>
  <c r="N204" i="8"/>
  <c r="Q208" i="8"/>
  <c r="R213" i="8"/>
  <c r="N217" i="8"/>
  <c r="Q221" i="8"/>
  <c r="R225" i="8"/>
  <c r="R230" i="8"/>
  <c r="Q234" i="8"/>
  <c r="N238" i="8"/>
  <c r="P8" i="8"/>
  <c r="P44" i="8"/>
  <c r="P66" i="8"/>
  <c r="P76" i="8"/>
  <c r="P98" i="8"/>
  <c r="P108" i="8"/>
  <c r="P130" i="8"/>
  <c r="P140" i="8"/>
  <c r="P152" i="8"/>
  <c r="P194" i="8"/>
  <c r="P204" i="8"/>
  <c r="P213" i="8"/>
  <c r="P221" i="8"/>
  <c r="P229" i="8"/>
  <c r="P237" i="8"/>
  <c r="O34" i="7"/>
  <c r="O66" i="7"/>
  <c r="O98" i="7"/>
  <c r="O130" i="7"/>
  <c r="O162" i="7"/>
  <c r="O9" i="8"/>
  <c r="O17" i="8"/>
  <c r="O25" i="8"/>
  <c r="O33" i="8"/>
  <c r="O41" i="8"/>
  <c r="O49" i="8"/>
  <c r="O57" i="8"/>
  <c r="O65" i="8"/>
  <c r="O73" i="8"/>
  <c r="O81" i="8"/>
  <c r="O89" i="8"/>
  <c r="O97" i="8"/>
  <c r="O105" i="8"/>
  <c r="O113" i="8"/>
  <c r="O121" i="8"/>
  <c r="O129" i="8"/>
  <c r="O137" i="8"/>
  <c r="O145" i="8"/>
  <c r="O153" i="8"/>
  <c r="O161" i="8"/>
  <c r="O169" i="8"/>
  <c r="O177" i="8"/>
  <c r="O185" i="8"/>
  <c r="O193" i="8"/>
  <c r="O201" i="8"/>
  <c r="O209" i="8"/>
  <c r="O217" i="8"/>
  <c r="O225" i="8"/>
  <c r="O233" i="8"/>
  <c r="O241" i="8"/>
  <c r="W185" i="8"/>
  <c r="Z180" i="8"/>
  <c r="W113" i="8"/>
  <c r="W239" i="8"/>
  <c r="AC50" i="8"/>
  <c r="Z190" i="8"/>
  <c r="W175" i="8"/>
  <c r="AC40" i="8"/>
  <c r="AC190" i="8"/>
  <c r="Z156" i="8"/>
  <c r="L178" i="7"/>
  <c r="L146" i="7"/>
  <c r="L114" i="7"/>
  <c r="L82" i="7"/>
  <c r="L50" i="7"/>
  <c r="L18" i="7"/>
  <c r="W208" i="8"/>
  <c r="W144" i="8"/>
  <c r="W80" i="8"/>
  <c r="W16" i="8"/>
  <c r="Z18" i="8"/>
  <c r="AC181" i="8"/>
  <c r="AC117" i="8"/>
  <c r="AC53" i="8"/>
  <c r="Z239" i="8"/>
  <c r="Z175" i="8"/>
  <c r="Z111" i="8"/>
  <c r="Z47" i="8"/>
  <c r="Q126" i="7"/>
  <c r="Q110" i="7"/>
  <c r="Q94" i="7"/>
  <c r="Q78" i="7"/>
  <c r="R67" i="7"/>
  <c r="Q59" i="7"/>
  <c r="R51" i="7"/>
  <c r="Q43" i="7"/>
  <c r="R35" i="7"/>
  <c r="R27" i="7"/>
  <c r="R19" i="7"/>
  <c r="W237" i="8"/>
  <c r="AC120" i="8"/>
  <c r="W145" i="8"/>
  <c r="Z152" i="8"/>
  <c r="Z94" i="8"/>
  <c r="Z222" i="8"/>
  <c r="Z124" i="8"/>
  <c r="AC94" i="8"/>
  <c r="AC238" i="8"/>
  <c r="AC92" i="8"/>
  <c r="L170" i="7"/>
  <c r="L138" i="7"/>
  <c r="L106" i="7"/>
  <c r="L74" i="7"/>
  <c r="L42" i="7"/>
  <c r="L10" i="7"/>
  <c r="W192" i="8"/>
  <c r="W128" i="8"/>
  <c r="W64" i="8"/>
  <c r="Z62" i="8"/>
  <c r="AC229" i="8"/>
  <c r="AC165" i="8"/>
  <c r="AC101" i="8"/>
  <c r="AC37" i="8"/>
  <c r="Z223" i="8"/>
  <c r="Z159" i="8"/>
  <c r="Z95" i="8"/>
  <c r="Z31" i="8"/>
  <c r="Q106" i="7"/>
  <c r="Q74" i="7"/>
  <c r="R65" i="7"/>
  <c r="R57" i="7"/>
  <c r="R49" i="7"/>
  <c r="Q41" i="7"/>
  <c r="R33" i="7"/>
  <c r="R25" i="7"/>
  <c r="R17" i="7"/>
  <c r="R9" i="7"/>
  <c r="R187" i="7"/>
  <c r="R179" i="7"/>
  <c r="R171" i="7"/>
  <c r="Q163" i="7"/>
  <c r="R155" i="7"/>
  <c r="Q147" i="7"/>
  <c r="Q139" i="7"/>
  <c r="N190" i="7"/>
  <c r="P190" i="7" s="1"/>
  <c r="N174" i="7"/>
  <c r="P174" i="7" s="1"/>
  <c r="N158" i="7"/>
  <c r="P158" i="7" s="1"/>
  <c r="N142" i="7"/>
  <c r="P142" i="7" s="1"/>
  <c r="N126" i="7"/>
  <c r="P126" i="7" s="1"/>
  <c r="N110" i="7"/>
  <c r="P110" i="7" s="1"/>
  <c r="N94" i="7"/>
  <c r="P94" i="7" s="1"/>
  <c r="N78" i="7"/>
  <c r="P78" i="7" s="1"/>
  <c r="N62" i="7"/>
  <c r="P62" i="7" s="1"/>
  <c r="N46" i="7"/>
  <c r="P46" i="7" s="1"/>
  <c r="N30" i="7"/>
  <c r="P30" i="7" s="1"/>
  <c r="N14" i="7"/>
  <c r="P14" i="7" s="1"/>
  <c r="N11" i="8"/>
  <c r="N17" i="8"/>
  <c r="P17" i="8" s="1"/>
  <c r="R22" i="8"/>
  <c r="R27" i="8"/>
  <c r="N33" i="8"/>
  <c r="P33" i="8" s="1"/>
  <c r="N38" i="8"/>
  <c r="N43" i="8"/>
  <c r="R48" i="8"/>
  <c r="N52" i="8"/>
  <c r="P52" i="8" s="1"/>
  <c r="N56" i="8"/>
  <c r="P56" i="8" s="1"/>
  <c r="R61" i="8"/>
  <c r="N65" i="8"/>
  <c r="N69" i="8"/>
  <c r="P69" i="8" s="1"/>
  <c r="R73" i="8"/>
  <c r="N78" i="8"/>
  <c r="N82" i="8"/>
  <c r="Q86" i="8"/>
  <c r="Q91" i="8"/>
  <c r="Q94" i="8"/>
  <c r="N99" i="8"/>
  <c r="N103" i="8"/>
  <c r="P103" i="8" s="1"/>
  <c r="N107" i="8"/>
  <c r="N112" i="8"/>
  <c r="Q116" i="8"/>
  <c r="R120" i="8"/>
  <c r="N125" i="8"/>
  <c r="P125" i="8" s="1"/>
  <c r="N129" i="8"/>
  <c r="Q133" i="8"/>
  <c r="N137" i="8"/>
  <c r="P137" i="8" s="1"/>
  <c r="N142" i="8"/>
  <c r="Q146" i="8"/>
  <c r="N150" i="8"/>
  <c r="R155" i="8"/>
  <c r="N158" i="8"/>
  <c r="P158" i="8" s="1"/>
  <c r="Q163" i="8"/>
  <c r="Q167" i="8"/>
  <c r="N171" i="8"/>
  <c r="R176" i="8"/>
  <c r="N180" i="8"/>
  <c r="P180" i="8" s="1"/>
  <c r="Q184" i="8"/>
  <c r="Q189" i="8"/>
  <c r="N193" i="8"/>
  <c r="Q197" i="8"/>
  <c r="Q201" i="8"/>
  <c r="N206" i="8"/>
  <c r="Q210" i="8"/>
  <c r="N214" i="8"/>
  <c r="R219" i="8"/>
  <c r="N222" i="8"/>
  <c r="Q227" i="8"/>
  <c r="N231" i="8"/>
  <c r="N235" i="8"/>
  <c r="P235" i="8" s="1"/>
  <c r="N240" i="8"/>
  <c r="P11" i="8"/>
  <c r="P25" i="8"/>
  <c r="P38" i="8"/>
  <c r="P49" i="8"/>
  <c r="P81" i="8"/>
  <c r="P91" i="8"/>
  <c r="P113" i="8"/>
  <c r="P123" i="8"/>
  <c r="P134" i="8"/>
  <c r="P155" i="8"/>
  <c r="P177" i="8"/>
  <c r="P187" i="8"/>
  <c r="P198" i="8"/>
  <c r="P208" i="8"/>
  <c r="P216" i="8"/>
  <c r="P224" i="8"/>
  <c r="P232" i="8"/>
  <c r="P240" i="8"/>
  <c r="O13" i="7"/>
  <c r="O21" i="7"/>
  <c r="O29" i="7"/>
  <c r="O37" i="7"/>
  <c r="O45" i="7"/>
  <c r="O53" i="7"/>
  <c r="O61" i="7"/>
  <c r="O69" i="7"/>
  <c r="O77" i="7"/>
  <c r="O85" i="7"/>
  <c r="O93" i="7"/>
  <c r="O101" i="7"/>
  <c r="O109" i="7"/>
  <c r="O117" i="7"/>
  <c r="O125" i="7"/>
  <c r="O133" i="7"/>
  <c r="O141" i="7"/>
  <c r="O149" i="7"/>
  <c r="O157" i="7"/>
  <c r="O165" i="7"/>
  <c r="O173" i="7"/>
  <c r="O181" i="7"/>
  <c r="O189" i="7"/>
  <c r="O12" i="8"/>
  <c r="O20" i="8"/>
  <c r="O28" i="8"/>
  <c r="O36" i="8"/>
  <c r="O44" i="8"/>
  <c r="O52" i="8"/>
  <c r="O60" i="8"/>
  <c r="O68" i="8"/>
  <c r="O76" i="8"/>
  <c r="O84" i="8"/>
  <c r="O92" i="8"/>
  <c r="O100" i="8"/>
  <c r="O108" i="8"/>
  <c r="O116" i="8"/>
  <c r="O124" i="8"/>
  <c r="O132" i="8"/>
  <c r="O140" i="8"/>
  <c r="O148" i="8"/>
  <c r="O156" i="8"/>
  <c r="O164" i="8"/>
  <c r="O172" i="8"/>
  <c r="O180" i="8"/>
  <c r="O188" i="8"/>
  <c r="O196" i="8"/>
  <c r="O204" i="8"/>
  <c r="O212" i="8"/>
  <c r="O220" i="8"/>
  <c r="O228" i="8"/>
  <c r="O236" i="8"/>
  <c r="W19" i="8"/>
  <c r="AC152" i="8"/>
  <c r="W153" i="8"/>
  <c r="Z184" i="8"/>
  <c r="Z102" i="8"/>
  <c r="Z230" i="8"/>
  <c r="Z160" i="8"/>
  <c r="AC102" i="8"/>
  <c r="W51" i="8"/>
  <c r="AC124" i="8"/>
  <c r="L168" i="7"/>
  <c r="L136" i="7"/>
  <c r="L104" i="7"/>
  <c r="L72" i="7"/>
  <c r="L40" i="7"/>
  <c r="L8" i="7"/>
  <c r="W188" i="8"/>
  <c r="W124" i="8"/>
  <c r="W60" i="8"/>
  <c r="Z8" i="8"/>
  <c r="AC225" i="8"/>
  <c r="AC161" i="8"/>
  <c r="AC97" i="8"/>
  <c r="AC33" i="8"/>
  <c r="Z219" i="8"/>
  <c r="Z155" i="8"/>
  <c r="Z91" i="8"/>
  <c r="Z27" i="8"/>
  <c r="Q121" i="7"/>
  <c r="R105" i="7"/>
  <c r="Q89" i="7"/>
  <c r="Q73" i="7"/>
  <c r="Q64" i="7"/>
  <c r="Q56" i="7"/>
  <c r="Q48" i="7"/>
  <c r="R40" i="7"/>
  <c r="R32" i="7"/>
  <c r="Q24" i="7"/>
  <c r="Q16" i="7"/>
  <c r="Q8" i="7"/>
  <c r="Q187" i="7"/>
  <c r="Q179" i="7"/>
  <c r="Q171" i="7"/>
  <c r="R163" i="7"/>
  <c r="Q155" i="7"/>
  <c r="R147" i="7"/>
  <c r="R139" i="7"/>
  <c r="N189" i="7"/>
  <c r="N173" i="7"/>
  <c r="N157" i="7"/>
  <c r="N141" i="7"/>
  <c r="N125" i="7"/>
  <c r="N109" i="7"/>
  <c r="N93" i="7"/>
  <c r="N77" i="7"/>
  <c r="N61" i="7"/>
  <c r="Z76" i="8"/>
  <c r="W41" i="8"/>
  <c r="L186" i="7"/>
  <c r="L58" i="7"/>
  <c r="W96" i="8"/>
  <c r="AC133" i="8"/>
  <c r="Z127" i="8"/>
  <c r="R98" i="7"/>
  <c r="R53" i="7"/>
  <c r="R21" i="7"/>
  <c r="Q183" i="7"/>
  <c r="R164" i="7"/>
  <c r="Q141" i="7"/>
  <c r="N166" i="7"/>
  <c r="P166" i="7" s="1"/>
  <c r="N128" i="7"/>
  <c r="N82" i="7"/>
  <c r="N45" i="7"/>
  <c r="N13" i="7"/>
  <c r="P128" i="7"/>
  <c r="R17" i="8"/>
  <c r="Q28" i="8"/>
  <c r="R38" i="8"/>
  <c r="N48" i="8"/>
  <c r="N57" i="8"/>
  <c r="R65" i="8"/>
  <c r="Q74" i="8"/>
  <c r="Q83" i="8"/>
  <c r="R91" i="8"/>
  <c r="R99" i="8"/>
  <c r="Q108" i="8"/>
  <c r="R117" i="8"/>
  <c r="Q125" i="8"/>
  <c r="R134" i="8"/>
  <c r="R142" i="8"/>
  <c r="Q150" i="8"/>
  <c r="N159" i="8"/>
  <c r="P159" i="8" s="1"/>
  <c r="N168" i="8"/>
  <c r="Q176" i="8"/>
  <c r="Q185" i="8"/>
  <c r="R193" i="8"/>
  <c r="R202" i="8"/>
  <c r="R211" i="8"/>
  <c r="Q219" i="8"/>
  <c r="N227" i="8"/>
  <c r="P227" i="8" s="1"/>
  <c r="N236" i="8"/>
  <c r="P14" i="8"/>
  <c r="P40" i="8"/>
  <c r="P60" i="8"/>
  <c r="P82" i="8"/>
  <c r="P104" i="8"/>
  <c r="P124" i="8"/>
  <c r="P146" i="8"/>
  <c r="P168" i="8"/>
  <c r="P241" i="8"/>
  <c r="O22" i="7"/>
  <c r="O38" i="7"/>
  <c r="O54" i="7"/>
  <c r="O70" i="7"/>
  <c r="O86" i="7"/>
  <c r="O102" i="7"/>
  <c r="O118" i="7"/>
  <c r="O134" i="7"/>
  <c r="O150" i="7"/>
  <c r="O166" i="7"/>
  <c r="O182" i="7"/>
  <c r="O13" i="8"/>
  <c r="O29" i="8"/>
  <c r="O45" i="8"/>
  <c r="O61" i="8"/>
  <c r="O77" i="8"/>
  <c r="O93" i="8"/>
  <c r="O109" i="8"/>
  <c r="O125" i="8"/>
  <c r="O141" i="8"/>
  <c r="O157" i="8"/>
  <c r="O173" i="8"/>
  <c r="O189" i="8"/>
  <c r="O205" i="8"/>
  <c r="O221" i="8"/>
  <c r="O235" i="8"/>
  <c r="Q11" i="7"/>
  <c r="N150" i="7"/>
  <c r="P150" i="7" s="1"/>
  <c r="P13" i="7"/>
  <c r="P109" i="7"/>
  <c r="P173" i="7"/>
  <c r="N32" i="8"/>
  <c r="Q60" i="8"/>
  <c r="N86" i="8"/>
  <c r="N111" i="8"/>
  <c r="P111" i="8" s="1"/>
  <c r="Q137" i="8"/>
  <c r="R163" i="8"/>
  <c r="N188" i="8"/>
  <c r="P188" i="8" s="1"/>
  <c r="R205" i="8"/>
  <c r="N230" i="8"/>
  <c r="P48" i="8"/>
  <c r="P112" i="8"/>
  <c r="P176" i="8"/>
  <c r="P231" i="8"/>
  <c r="O44" i="7"/>
  <c r="O76" i="7"/>
  <c r="O124" i="7"/>
  <c r="O172" i="7"/>
  <c r="O35" i="8"/>
  <c r="O99" i="8"/>
  <c r="O131" i="8"/>
  <c r="O179" i="8"/>
  <c r="O227" i="8"/>
  <c r="AC38" i="8"/>
  <c r="W224" i="8"/>
  <c r="R130" i="7"/>
  <c r="R10" i="7"/>
  <c r="N192" i="7"/>
  <c r="P192" i="7" s="1"/>
  <c r="N64" i="7"/>
  <c r="P64" i="7" s="1"/>
  <c r="Q12" i="8"/>
  <c r="Q44" i="8"/>
  <c r="N70" i="8"/>
  <c r="P70" i="8" s="1"/>
  <c r="N95" i="8"/>
  <c r="P95" i="8" s="1"/>
  <c r="R112" i="8"/>
  <c r="Q138" i="8"/>
  <c r="N172" i="8"/>
  <c r="P172" i="8" s="1"/>
  <c r="R198" i="8"/>
  <c r="N223" i="8"/>
  <c r="P26" i="8"/>
  <c r="P136" i="8"/>
  <c r="P200" i="8"/>
  <c r="O14" i="7"/>
  <c r="O62" i="7"/>
  <c r="O110" i="7"/>
  <c r="O158" i="7"/>
  <c r="O37" i="8"/>
  <c r="O85" i="8"/>
  <c r="O133" i="8"/>
  <c r="O181" i="8"/>
  <c r="O229" i="8"/>
  <c r="AC202" i="8"/>
  <c r="Z10" i="8"/>
  <c r="R66" i="7"/>
  <c r="Q191" i="7"/>
  <c r="N182" i="7"/>
  <c r="P182" i="7" s="1"/>
  <c r="N54" i="7"/>
  <c r="P54" i="7" s="1"/>
  <c r="P55" i="7"/>
  <c r="P151" i="7"/>
  <c r="R25" i="8"/>
  <c r="Q54" i="8"/>
  <c r="N80" i="8"/>
  <c r="R105" i="8"/>
  <c r="R131" i="8"/>
  <c r="N148" i="8"/>
  <c r="P148" i="8" s="1"/>
  <c r="N174" i="8"/>
  <c r="R208" i="8"/>
  <c r="N233" i="8"/>
  <c r="P75" i="8"/>
  <c r="O17" i="7"/>
  <c r="O65" i="7"/>
  <c r="O113" i="7"/>
  <c r="O161" i="7"/>
  <c r="O8" i="8"/>
  <c r="O40" i="8"/>
  <c r="O88" i="8"/>
  <c r="O136" i="8"/>
  <c r="O184" i="8"/>
  <c r="O230" i="8"/>
  <c r="W227" i="8"/>
  <c r="AC197" i="8"/>
  <c r="Q61" i="7"/>
  <c r="Q167" i="7"/>
  <c r="N134" i="7"/>
  <c r="P134" i="7" s="1"/>
  <c r="N18" i="7"/>
  <c r="P91" i="7"/>
  <c r="P155" i="7"/>
  <c r="Q26" i="8"/>
  <c r="R55" i="8"/>
  <c r="R81" i="8"/>
  <c r="Q107" i="8"/>
  <c r="N141" i="8"/>
  <c r="P141" i="8" s="1"/>
  <c r="Q166" i="8"/>
  <c r="N183" i="8"/>
  <c r="P183" i="8" s="1"/>
  <c r="Q209" i="8"/>
  <c r="R235" i="8"/>
  <c r="P57" i="8"/>
  <c r="P185" i="8"/>
  <c r="P238" i="8"/>
  <c r="O51" i="7"/>
  <c r="O99" i="7"/>
  <c r="O147" i="7"/>
  <c r="O10" i="8"/>
  <c r="O58" i="8"/>
  <c r="O106" i="8"/>
  <c r="O154" i="8"/>
  <c r="O202" i="8"/>
  <c r="Z204" i="8"/>
  <c r="AC175" i="8"/>
  <c r="Q58" i="7"/>
  <c r="Q165" i="7"/>
  <c r="N130" i="7"/>
  <c r="N16" i="7"/>
  <c r="P93" i="7"/>
  <c r="P189" i="7"/>
  <c r="Q27" i="8"/>
  <c r="R56" i="8"/>
  <c r="Q81" i="8"/>
  <c r="R107" i="8"/>
  <c r="R133" i="8"/>
  <c r="N166" i="8"/>
  <c r="P166" i="8" s="1"/>
  <c r="Q192" i="8"/>
  <c r="N209" i="8"/>
  <c r="P209" i="8" s="1"/>
  <c r="Q235" i="8"/>
  <c r="P58" i="8"/>
  <c r="P122" i="8"/>
  <c r="P164" i="8"/>
  <c r="P223" i="8"/>
  <c r="O36" i="7"/>
  <c r="O84" i="7"/>
  <c r="O116" i="7"/>
  <c r="O164" i="7"/>
  <c r="O27" i="8"/>
  <c r="O91" i="8"/>
  <c r="O139" i="8"/>
  <c r="O187" i="8"/>
  <c r="O234" i="8"/>
  <c r="W125" i="8"/>
  <c r="W219" i="8"/>
  <c r="L175" i="7"/>
  <c r="L47" i="7"/>
  <c r="W74" i="8"/>
  <c r="AC111" i="8"/>
  <c r="Z105" i="8"/>
  <c r="R93" i="7"/>
  <c r="Q50" i="7"/>
  <c r="Q18" i="7"/>
  <c r="Q181" i="7"/>
  <c r="R159" i="7"/>
  <c r="R140" i="7"/>
  <c r="N162" i="7"/>
  <c r="N118" i="7"/>
  <c r="P118" i="7" s="1"/>
  <c r="N80" i="7"/>
  <c r="N38" i="7"/>
  <c r="P38" i="7" s="1"/>
  <c r="P7" i="7"/>
  <c r="P39" i="7"/>
  <c r="P71" i="7"/>
  <c r="P103" i="7"/>
  <c r="P135" i="7"/>
  <c r="P167" i="7"/>
  <c r="N9" i="8"/>
  <c r="N19" i="8"/>
  <c r="P19" i="8" s="1"/>
  <c r="Q30" i="8"/>
  <c r="N41" i="8"/>
  <c r="P41" i="8" s="1"/>
  <c r="Q50" i="8"/>
  <c r="Q59" i="8"/>
  <c r="R67" i="8"/>
  <c r="R75" i="8"/>
  <c r="Q84" i="8"/>
  <c r="R93" i="8"/>
  <c r="Q101" i="8"/>
  <c r="N110" i="8"/>
  <c r="R118" i="8"/>
  <c r="R126" i="8"/>
  <c r="N135" i="8"/>
  <c r="P135" i="8" s="1"/>
  <c r="R144" i="8"/>
  <c r="Q152" i="8"/>
  <c r="Q161" i="8"/>
  <c r="Q169" i="8"/>
  <c r="Q178" i="8"/>
  <c r="R187" i="8"/>
  <c r="R195" i="8"/>
  <c r="N203" i="8"/>
  <c r="P203" i="8" s="1"/>
  <c r="N212" i="8"/>
  <c r="R221" i="8"/>
  <c r="R229" i="8"/>
  <c r="R238" i="8"/>
  <c r="P18" i="8"/>
  <c r="P43" i="8"/>
  <c r="P65" i="8"/>
  <c r="P86" i="8"/>
  <c r="P107" i="8"/>
  <c r="P129" i="8"/>
  <c r="P150" i="8"/>
  <c r="P171" i="8"/>
  <c r="P193" i="8"/>
  <c r="P212" i="8"/>
  <c r="P228" i="8"/>
  <c r="O9" i="7"/>
  <c r="O25" i="7"/>
  <c r="O41" i="7"/>
  <c r="O57" i="7"/>
  <c r="O73" i="7"/>
  <c r="O89" i="7"/>
  <c r="O105" i="7"/>
  <c r="O121" i="7"/>
  <c r="O137" i="7"/>
  <c r="O153" i="7"/>
  <c r="O169" i="7"/>
  <c r="O185" i="7"/>
  <c r="O16" i="8"/>
  <c r="O32" i="8"/>
  <c r="O48" i="8"/>
  <c r="O64" i="8"/>
  <c r="O80" i="8"/>
  <c r="O96" i="8"/>
  <c r="O112" i="8"/>
  <c r="O128" i="8"/>
  <c r="O144" i="8"/>
  <c r="O160" i="8"/>
  <c r="O176" i="8"/>
  <c r="O192" i="8"/>
  <c r="O208" i="8"/>
  <c r="O224" i="8"/>
  <c r="O237" i="8"/>
  <c r="R156" i="7"/>
  <c r="N66" i="7"/>
  <c r="P45" i="7"/>
  <c r="P141" i="7"/>
  <c r="Q21" i="8"/>
  <c r="Q43" i="8"/>
  <c r="R69" i="8"/>
  <c r="R94" i="8"/>
  <c r="N120" i="8"/>
  <c r="P120" i="8" s="1"/>
  <c r="Q145" i="8"/>
  <c r="Q171" i="8"/>
  <c r="N197" i="8"/>
  <c r="P197" i="8" s="1"/>
  <c r="R222" i="8"/>
  <c r="P24" i="8"/>
  <c r="P154" i="8"/>
  <c r="P215" i="8"/>
  <c r="O28" i="7"/>
  <c r="O92" i="7"/>
  <c r="O140" i="7"/>
  <c r="O188" i="7"/>
  <c r="O51" i="8"/>
  <c r="O67" i="8"/>
  <c r="O115" i="8"/>
  <c r="O163" i="8"/>
  <c r="O211" i="8"/>
  <c r="AC158" i="8"/>
  <c r="Z34" i="8"/>
  <c r="R69" i="7"/>
  <c r="Q173" i="7"/>
  <c r="N146" i="7"/>
  <c r="N29" i="7"/>
  <c r="P80" i="7"/>
  <c r="R33" i="8"/>
  <c r="Q61" i="8"/>
  <c r="R86" i="8"/>
  <c r="N121" i="8"/>
  <c r="P121" i="8" s="1"/>
  <c r="Q155" i="8"/>
  <c r="Q181" i="8"/>
  <c r="R206" i="8"/>
  <c r="R232" i="8"/>
  <c r="P50" i="8"/>
  <c r="P178" i="8"/>
  <c r="P233" i="8"/>
  <c r="O46" i="7"/>
  <c r="O94" i="7"/>
  <c r="O142" i="7"/>
  <c r="O190" i="7"/>
  <c r="O69" i="8"/>
  <c r="O117" i="8"/>
  <c r="O165" i="8"/>
  <c r="O213" i="8"/>
  <c r="W205" i="8"/>
  <c r="L111" i="7"/>
  <c r="Q125" i="7"/>
  <c r="R172" i="7"/>
  <c r="N144" i="7"/>
  <c r="P144" i="7" s="1"/>
  <c r="N22" i="7"/>
  <c r="P22" i="7" s="1"/>
  <c r="P87" i="7"/>
  <c r="P183" i="7"/>
  <c r="N35" i="8"/>
  <c r="R62" i="8"/>
  <c r="N88" i="8"/>
  <c r="P88" i="8" s="1"/>
  <c r="N114" i="8"/>
  <c r="P114" i="8" s="1"/>
  <c r="N139" i="8"/>
  <c r="P139" i="8" s="1"/>
  <c r="R165" i="8"/>
  <c r="Q182" i="8"/>
  <c r="N199" i="8"/>
  <c r="P199" i="8" s="1"/>
  <c r="N225" i="8"/>
  <c r="P225" i="8" s="1"/>
  <c r="P32" i="8"/>
  <c r="P161" i="8"/>
  <c r="P220" i="8"/>
  <c r="O49" i="7"/>
  <c r="O97" i="7"/>
  <c r="O145" i="7"/>
  <c r="O24" i="8"/>
  <c r="O72" i="8"/>
  <c r="O104" i="8"/>
  <c r="O152" i="8"/>
  <c r="O200" i="8"/>
  <c r="N7" i="8"/>
  <c r="Z158" i="8"/>
  <c r="W160" i="8"/>
  <c r="Z191" i="8"/>
  <c r="Q29" i="7"/>
  <c r="R148" i="7"/>
  <c r="N96" i="7"/>
  <c r="P96" i="7" s="1"/>
  <c r="P27" i="7"/>
  <c r="P123" i="7"/>
  <c r="N15" i="8"/>
  <c r="P15" i="8" s="1"/>
  <c r="N46" i="8"/>
  <c r="N72" i="8"/>
  <c r="P72" i="8" s="1"/>
  <c r="Q98" i="8"/>
  <c r="R123" i="8"/>
  <c r="R158" i="8"/>
  <c r="R192" i="8"/>
  <c r="Q217" i="8"/>
  <c r="P9" i="8"/>
  <c r="P78" i="8"/>
  <c r="P142" i="8"/>
  <c r="P206" i="8"/>
  <c r="O19" i="7"/>
  <c r="O67" i="7"/>
  <c r="O115" i="7"/>
  <c r="O163" i="7"/>
  <c r="O26" i="8"/>
  <c r="O74" i="8"/>
  <c r="O122" i="8"/>
  <c r="O186" i="8"/>
  <c r="O232" i="8"/>
  <c r="Z202" i="8"/>
  <c r="L79" i="7"/>
  <c r="R109" i="7"/>
  <c r="R188" i="7"/>
  <c r="N176" i="7"/>
  <c r="P176" i="7" s="1"/>
  <c r="N48" i="7"/>
  <c r="P48" i="7" s="1"/>
  <c r="P61" i="7"/>
  <c r="P125" i="7"/>
  <c r="Q16" i="8"/>
  <c r="N47" i="8"/>
  <c r="P47" i="8" s="1"/>
  <c r="N73" i="8"/>
  <c r="P73" i="8" s="1"/>
  <c r="Q99" i="8"/>
  <c r="Q124" i="8"/>
  <c r="R150" i="8"/>
  <c r="N184" i="8"/>
  <c r="P184" i="8" s="1"/>
  <c r="Q218" i="8"/>
  <c r="P80" i="8"/>
  <c r="P144" i="8"/>
  <c r="P207" i="8"/>
  <c r="O20" i="7"/>
  <c r="O68" i="7"/>
  <c r="O132" i="7"/>
  <c r="O180" i="7"/>
  <c r="O59" i="8"/>
  <c r="O107" i="8"/>
  <c r="O155" i="8"/>
  <c r="O219" i="8"/>
  <c r="W91" i="8"/>
  <c r="AC180" i="8"/>
  <c r="L154" i="7"/>
  <c r="L26" i="7"/>
  <c r="W32" i="8"/>
  <c r="AC69" i="8"/>
  <c r="Z63" i="8"/>
  <c r="R82" i="7"/>
  <c r="R45" i="7"/>
  <c r="R13" i="7"/>
  <c r="R180" i="7"/>
  <c r="Q157" i="7"/>
  <c r="Q135" i="7"/>
  <c r="N160" i="7"/>
  <c r="P160" i="7" s="1"/>
  <c r="N114" i="7"/>
  <c r="N70" i="7"/>
  <c r="P70" i="7" s="1"/>
  <c r="N34" i="7"/>
  <c r="P11" i="7"/>
  <c r="P43" i="7"/>
  <c r="P75" i="7"/>
  <c r="P107" i="7"/>
  <c r="P139" i="7"/>
  <c r="P171" i="7"/>
  <c r="N10" i="8"/>
  <c r="P10" i="8" s="1"/>
  <c r="N21" i="8"/>
  <c r="P21" i="8" s="1"/>
  <c r="N31" i="8"/>
  <c r="P31" i="8" s="1"/>
  <c r="N42" i="8"/>
  <c r="P42" i="8" s="1"/>
  <c r="N51" i="8"/>
  <c r="P51" i="8" s="1"/>
  <c r="N59" i="8"/>
  <c r="P59" i="8" s="1"/>
  <c r="N68" i="8"/>
  <c r="N77" i="8"/>
  <c r="P77" i="8" s="1"/>
  <c r="Q85" i="8"/>
  <c r="N94" i="8"/>
  <c r="P94" i="8" s="1"/>
  <c r="N102" i="8"/>
  <c r="P102" i="8" s="1"/>
  <c r="R110" i="8"/>
  <c r="R119" i="8"/>
  <c r="Q128" i="8"/>
  <c r="Q136" i="8"/>
  <c r="N145" i="8"/>
  <c r="P145" i="8" s="1"/>
  <c r="R153" i="8"/>
  <c r="N162" i="8"/>
  <c r="P162" i="8" s="1"/>
  <c r="R171" i="8"/>
  <c r="N179" i="8"/>
  <c r="P179" i="8" s="1"/>
  <c r="Q187" i="8"/>
  <c r="N196" i="8"/>
  <c r="Q205" i="8"/>
  <c r="Q213" i="8"/>
  <c r="Q222" i="8"/>
  <c r="Q230" i="8"/>
  <c r="Q238" i="8"/>
  <c r="P22" i="8"/>
  <c r="P46" i="8"/>
  <c r="P67" i="8"/>
  <c r="P89" i="8"/>
  <c r="P110" i="8"/>
  <c r="P131" i="8"/>
  <c r="P153" i="8"/>
  <c r="P174" i="8"/>
  <c r="P195" i="8"/>
  <c r="P214" i="8"/>
  <c r="P230" i="8"/>
  <c r="O11" i="7"/>
  <c r="O27" i="7"/>
  <c r="O43" i="7"/>
  <c r="O59" i="7"/>
  <c r="O75" i="7"/>
  <c r="O91" i="7"/>
  <c r="O107" i="7"/>
  <c r="O123" i="7"/>
  <c r="O139" i="7"/>
  <c r="O155" i="7"/>
  <c r="O171" i="7"/>
  <c r="O187" i="7"/>
  <c r="O18" i="8"/>
  <c r="O34" i="8"/>
  <c r="O50" i="8"/>
  <c r="O66" i="8"/>
  <c r="O82" i="8"/>
  <c r="O98" i="8"/>
  <c r="O114" i="8"/>
  <c r="O130" i="8"/>
  <c r="O146" i="8"/>
  <c r="O162" i="8"/>
  <c r="O178" i="8"/>
  <c r="O194" i="8"/>
  <c r="O210" i="8"/>
  <c r="O226" i="8"/>
  <c r="O238" i="8"/>
  <c r="W63" i="8"/>
  <c r="W61" i="8"/>
  <c r="L143" i="7"/>
  <c r="L15" i="7"/>
  <c r="W10" i="8"/>
  <c r="AC47" i="8"/>
  <c r="Z41" i="8"/>
  <c r="R77" i="7"/>
  <c r="R42" i="7"/>
  <c r="Q175" i="7"/>
  <c r="Q133" i="7"/>
  <c r="N112" i="7"/>
  <c r="N32" i="7"/>
  <c r="P32" i="7" s="1"/>
  <c r="P77" i="7"/>
  <c r="Q11" i="8"/>
  <c r="R51" i="8"/>
  <c r="Q77" i="8"/>
  <c r="R102" i="8"/>
  <c r="R128" i="8"/>
  <c r="Q154" i="8"/>
  <c r="Q179" i="8"/>
  <c r="R214" i="8"/>
  <c r="Q239" i="8"/>
  <c r="P68" i="8"/>
  <c r="P132" i="8"/>
  <c r="P196" i="8"/>
  <c r="O12" i="7"/>
  <c r="O60" i="7"/>
  <c r="O108" i="7"/>
  <c r="O156" i="7"/>
  <c r="O19" i="8"/>
  <c r="O83" i="8"/>
  <c r="O147" i="8"/>
  <c r="O195" i="8"/>
  <c r="O240" i="8"/>
  <c r="AC208" i="8"/>
  <c r="L122" i="7"/>
  <c r="Z70" i="8"/>
  <c r="Q37" i="7"/>
  <c r="R151" i="7"/>
  <c r="N102" i="7"/>
  <c r="P102" i="7" s="1"/>
  <c r="P16" i="7"/>
  <c r="P112" i="7"/>
  <c r="Q22" i="8"/>
  <c r="R53" i="8"/>
  <c r="Q78" i="8"/>
  <c r="R104" i="8"/>
  <c r="Q129" i="8"/>
  <c r="R147" i="8"/>
  <c r="N163" i="8"/>
  <c r="R189" i="8"/>
  <c r="Q214" i="8"/>
  <c r="R240" i="8"/>
  <c r="P92" i="8"/>
  <c r="P156" i="8"/>
  <c r="P217" i="8"/>
  <c r="O30" i="7"/>
  <c r="O78" i="7"/>
  <c r="O126" i="7"/>
  <c r="O174" i="7"/>
  <c r="O21" i="8"/>
  <c r="O53" i="8"/>
  <c r="O101" i="8"/>
  <c r="O149" i="8"/>
  <c r="O197" i="8"/>
  <c r="O242" i="8"/>
  <c r="W71" i="8"/>
  <c r="W202" i="8"/>
  <c r="Z233" i="8"/>
  <c r="R34" i="7"/>
  <c r="Q149" i="7"/>
  <c r="N98" i="7"/>
  <c r="P23" i="7"/>
  <c r="P119" i="7"/>
  <c r="Q14" i="8"/>
  <c r="Q46" i="8"/>
  <c r="N71" i="8"/>
  <c r="P71" i="8" s="1"/>
  <c r="N97" i="8"/>
  <c r="P97" i="8" s="1"/>
  <c r="Q123" i="8"/>
  <c r="Q157" i="8"/>
  <c r="Q190" i="8"/>
  <c r="R216" i="8"/>
  <c r="Q242" i="8"/>
  <c r="P54" i="8"/>
  <c r="P118" i="8"/>
  <c r="P182" i="8"/>
  <c r="P236" i="8"/>
  <c r="O33" i="7"/>
  <c r="O81" i="7"/>
  <c r="O129" i="7"/>
  <c r="O177" i="7"/>
  <c r="O56" i="8"/>
  <c r="O120" i="8"/>
  <c r="O168" i="8"/>
  <c r="O216" i="8"/>
  <c r="W15" i="8"/>
  <c r="L90" i="7"/>
  <c r="R114" i="7"/>
  <c r="Q189" i="7"/>
  <c r="N178" i="7"/>
  <c r="N50" i="7"/>
  <c r="P59" i="7"/>
  <c r="P187" i="7"/>
  <c r="R37" i="8"/>
  <c r="N64" i="8"/>
  <c r="P64" i="8" s="1"/>
  <c r="R89" i="8"/>
  <c r="R115" i="8"/>
  <c r="Q132" i="8"/>
  <c r="Q149" i="8"/>
  <c r="Q174" i="8"/>
  <c r="R200" i="8"/>
  <c r="N226" i="8"/>
  <c r="P226" i="8" s="1"/>
  <c r="P34" i="8"/>
  <c r="P99" i="8"/>
  <c r="P163" i="8"/>
  <c r="P222" i="8"/>
  <c r="O35" i="7"/>
  <c r="O83" i="7"/>
  <c r="O131" i="7"/>
  <c r="O179" i="7"/>
  <c r="O42" i="8"/>
  <c r="O90" i="8"/>
  <c r="O138" i="8"/>
  <c r="O170" i="8"/>
  <c r="O218" i="8"/>
  <c r="Z228" i="8"/>
  <c r="W138" i="8"/>
  <c r="Z169" i="8"/>
  <c r="Q26" i="7"/>
  <c r="Q143" i="7"/>
  <c r="N86" i="7"/>
  <c r="P86" i="7" s="1"/>
  <c r="P29" i="7"/>
  <c r="P157" i="7"/>
  <c r="Q37" i="8"/>
  <c r="R64" i="8"/>
  <c r="N90" i="8"/>
  <c r="P90" i="8" s="1"/>
  <c r="N115" i="8"/>
  <c r="P115" i="8" s="1"/>
  <c r="Q141" i="8"/>
  <c r="Q158" i="8"/>
  <c r="Q175" i="8"/>
  <c r="N201" i="8"/>
  <c r="P201" i="8" s="1"/>
  <c r="R227" i="8"/>
  <c r="P35" i="8"/>
  <c r="P100" i="8"/>
  <c r="P186" i="8"/>
  <c r="P239" i="8"/>
  <c r="O52" i="7"/>
  <c r="O100" i="7"/>
  <c r="O148" i="7"/>
  <c r="O11" i="8"/>
  <c r="O43" i="8"/>
  <c r="O75" i="8"/>
  <c r="O123" i="8"/>
  <c r="O171" i="8"/>
  <c r="O203" i="8"/>
  <c r="R132" i="7"/>
  <c r="Q132" i="7"/>
  <c r="R116" i="7"/>
  <c r="Q116" i="7"/>
  <c r="R100" i="7"/>
  <c r="Q100" i="7"/>
  <c r="R84" i="7"/>
  <c r="Q84" i="7"/>
  <c r="R128" i="7"/>
  <c r="Q128" i="7"/>
  <c r="R112" i="7"/>
  <c r="Q112" i="7"/>
  <c r="R96" i="7"/>
  <c r="Q96" i="7"/>
  <c r="R80" i="7"/>
  <c r="Q80" i="7"/>
  <c r="R124" i="7"/>
  <c r="Q124" i="7"/>
  <c r="Q108" i="7"/>
  <c r="R108" i="7"/>
  <c r="R92" i="7"/>
  <c r="Q92" i="7"/>
  <c r="R76" i="7"/>
  <c r="Q76" i="7"/>
  <c r="R120" i="7"/>
  <c r="Q120" i="7"/>
  <c r="R88" i="7"/>
  <c r="Q88" i="7"/>
  <c r="Q104" i="7"/>
  <c r="R104" i="7"/>
  <c r="Q72" i="7"/>
  <c r="R72" i="7"/>
  <c r="N68" i="7"/>
  <c r="P68" i="7" s="1"/>
  <c r="R68" i="7"/>
  <c r="N52" i="7"/>
  <c r="P52" i="7" s="1"/>
  <c r="Q52" i="7"/>
  <c r="N36" i="7"/>
  <c r="P36" i="7" s="1"/>
  <c r="R36" i="7"/>
  <c r="N20" i="7"/>
  <c r="P20" i="7" s="1"/>
  <c r="R20" i="7"/>
  <c r="N188" i="7"/>
  <c r="P188" i="7" s="1"/>
  <c r="N172" i="7"/>
  <c r="P172" i="7" s="1"/>
  <c r="N156" i="7"/>
  <c r="P156" i="7" s="1"/>
  <c r="N140" i="7"/>
  <c r="P140" i="7" s="1"/>
  <c r="N124" i="7"/>
  <c r="P124" i="7" s="1"/>
  <c r="N108" i="7"/>
  <c r="P108" i="7" s="1"/>
  <c r="N92" i="7"/>
  <c r="P92" i="7" s="1"/>
  <c r="N76" i="7"/>
  <c r="P76" i="7" s="1"/>
  <c r="N60" i="7"/>
  <c r="P60" i="7" s="1"/>
  <c r="R60" i="7"/>
  <c r="N44" i="7"/>
  <c r="P44" i="7" s="1"/>
  <c r="R44" i="7"/>
  <c r="N28" i="7"/>
  <c r="P28" i="7" s="1"/>
  <c r="R28" i="7"/>
  <c r="N12" i="7"/>
  <c r="P12" i="7" s="1"/>
  <c r="R12" i="7"/>
  <c r="P162" i="7"/>
  <c r="Q162" i="7"/>
  <c r="R162" i="7"/>
  <c r="P130" i="7"/>
  <c r="Q130" i="7"/>
  <c r="P98" i="7"/>
  <c r="Q98" i="7"/>
  <c r="Q66" i="7"/>
  <c r="P66" i="7"/>
  <c r="Q34" i="7"/>
  <c r="P34" i="7"/>
  <c r="R7" i="8"/>
  <c r="Q7" i="8"/>
  <c r="Z7" i="8"/>
  <c r="O7" i="8"/>
  <c r="W7" i="8"/>
  <c r="AC7" i="8"/>
  <c r="O191" i="7"/>
  <c r="N191" i="7"/>
  <c r="P191" i="7" s="1"/>
  <c r="O159" i="7"/>
  <c r="N159" i="7"/>
  <c r="P159" i="7" s="1"/>
  <c r="O127" i="7"/>
  <c r="N127" i="7"/>
  <c r="P127" i="7" s="1"/>
  <c r="R127" i="7"/>
  <c r="Q127" i="7"/>
  <c r="O95" i="7"/>
  <c r="N95" i="7"/>
  <c r="P95" i="7" s="1"/>
  <c r="R95" i="7"/>
  <c r="Q95" i="7"/>
  <c r="O63" i="7"/>
  <c r="Q63" i="7"/>
  <c r="N63" i="7"/>
  <c r="P63" i="7" s="1"/>
  <c r="R63" i="7"/>
  <c r="O31" i="7"/>
  <c r="Q31" i="7"/>
  <c r="N31" i="7"/>
  <c r="P31" i="7" s="1"/>
  <c r="R31" i="7"/>
  <c r="O184" i="7"/>
  <c r="N184" i="7"/>
  <c r="P184" i="7" s="1"/>
  <c r="Q184" i="7"/>
  <c r="R184" i="7"/>
  <c r="O152" i="7"/>
  <c r="N152" i="7"/>
  <c r="P152" i="7" s="1"/>
  <c r="Q152" i="7"/>
  <c r="R152" i="7"/>
  <c r="O120" i="7"/>
  <c r="N120" i="7"/>
  <c r="P120" i="7" s="1"/>
  <c r="O88" i="7"/>
  <c r="N88" i="7"/>
  <c r="P88" i="7" s="1"/>
  <c r="O56" i="7"/>
  <c r="N56" i="7"/>
  <c r="P56" i="7" s="1"/>
  <c r="R56" i="7"/>
  <c r="O24" i="7"/>
  <c r="N24" i="7"/>
  <c r="P24" i="7" s="1"/>
  <c r="R24" i="7"/>
  <c r="O178" i="7"/>
  <c r="P178" i="7"/>
  <c r="Q178" i="7"/>
  <c r="R178" i="7"/>
  <c r="O146" i="7"/>
  <c r="P146" i="7"/>
  <c r="Q146" i="7"/>
  <c r="R146" i="7"/>
  <c r="O114" i="7"/>
  <c r="P114" i="7"/>
  <c r="Q114" i="7"/>
  <c r="O82" i="7"/>
  <c r="P82" i="7"/>
  <c r="Q82" i="7"/>
  <c r="O50" i="7"/>
  <c r="R50" i="7"/>
  <c r="P50" i="7"/>
  <c r="O18" i="7"/>
  <c r="R18" i="7"/>
  <c r="P18" i="7"/>
  <c r="O170" i="7"/>
  <c r="N170" i="7"/>
  <c r="P170" i="7"/>
  <c r="Q170" i="7"/>
  <c r="R170" i="7"/>
  <c r="O138" i="7"/>
  <c r="N138" i="7"/>
  <c r="P138" i="7"/>
  <c r="Q138" i="7"/>
  <c r="R138" i="7"/>
  <c r="O106" i="7"/>
  <c r="N106" i="7"/>
  <c r="P106" i="7"/>
  <c r="R106" i="7"/>
  <c r="O74" i="7"/>
  <c r="N74" i="7"/>
  <c r="P74" i="7"/>
  <c r="R74" i="7"/>
  <c r="O42" i="7"/>
  <c r="N42" i="7"/>
  <c r="Q42" i="7"/>
  <c r="P42" i="7"/>
  <c r="O10" i="7"/>
  <c r="N10" i="7"/>
  <c r="Q10" i="7"/>
  <c r="P10" i="7"/>
  <c r="O168" i="7"/>
  <c r="N168" i="7"/>
  <c r="P168" i="7" s="1"/>
  <c r="Q168" i="7"/>
  <c r="R168" i="7"/>
  <c r="O136" i="7"/>
  <c r="N136" i="7"/>
  <c r="P136" i="7" s="1"/>
  <c r="Q136" i="7"/>
  <c r="R136" i="7"/>
  <c r="O104" i="7"/>
  <c r="N104" i="7"/>
  <c r="P104" i="7" s="1"/>
  <c r="O72" i="7"/>
  <c r="N72" i="7"/>
  <c r="P72" i="7" s="1"/>
  <c r="O40" i="7"/>
  <c r="N40" i="7"/>
  <c r="P40" i="7" s="1"/>
  <c r="Q40" i="7"/>
  <c r="O8" i="7"/>
  <c r="N8" i="7"/>
  <c r="P8" i="7" s="1"/>
  <c r="R8" i="7"/>
  <c r="O186" i="7"/>
  <c r="N186" i="7"/>
  <c r="P186" i="7"/>
  <c r="Q186" i="7"/>
  <c r="R186" i="7"/>
  <c r="O58" i="7"/>
  <c r="N58" i="7"/>
  <c r="R58" i="7"/>
  <c r="P58" i="7"/>
  <c r="R175" i="7"/>
  <c r="O175" i="7"/>
  <c r="N175" i="7"/>
  <c r="P175" i="7" s="1"/>
  <c r="O47" i="7"/>
  <c r="R47" i="7"/>
  <c r="N47" i="7"/>
  <c r="P47" i="7" s="1"/>
  <c r="Q47" i="7"/>
  <c r="O111" i="7"/>
  <c r="N111" i="7"/>
  <c r="P111" i="7" s="1"/>
  <c r="Q111" i="7"/>
  <c r="R111" i="7"/>
  <c r="O79" i="7"/>
  <c r="N79" i="7"/>
  <c r="P79" i="7" s="1"/>
  <c r="Q79" i="7"/>
  <c r="R79" i="7"/>
  <c r="O154" i="7"/>
  <c r="N154" i="7"/>
  <c r="P154" i="7"/>
  <c r="Q154" i="7"/>
  <c r="R154" i="7"/>
  <c r="O26" i="7"/>
  <c r="N26" i="7"/>
  <c r="R26" i="7"/>
  <c r="P26" i="7"/>
  <c r="R143" i="7"/>
  <c r="O143" i="7"/>
  <c r="N143" i="7"/>
  <c r="P143" i="7" s="1"/>
  <c r="O15" i="7"/>
  <c r="R15" i="7"/>
  <c r="N15" i="7"/>
  <c r="P15" i="7" s="1"/>
  <c r="Q15" i="7"/>
  <c r="Q122" i="7"/>
  <c r="O122" i="7"/>
  <c r="N122" i="7"/>
  <c r="P122" i="7"/>
  <c r="R122" i="7"/>
  <c r="R90" i="7"/>
  <c r="O90" i="7"/>
  <c r="N90" i="7"/>
  <c r="P90" i="7"/>
  <c r="Q90" i="7"/>
  <c r="U242" i="8" l="1"/>
  <c r="V242" i="8" s="1"/>
  <c r="U241" i="8"/>
  <c r="V241" i="8" s="1"/>
  <c r="U240" i="8"/>
  <c r="U239" i="8"/>
  <c r="V239" i="8" s="1"/>
  <c r="U238" i="8"/>
  <c r="V238" i="8" s="1"/>
  <c r="U237" i="8"/>
  <c r="V237" i="8" s="1"/>
  <c r="U236" i="8"/>
  <c r="V236" i="8" s="1"/>
  <c r="U235" i="8"/>
  <c r="V235" i="8" s="1"/>
  <c r="U234" i="8"/>
  <c r="U233" i="8"/>
  <c r="V233" i="8" s="1"/>
  <c r="U232" i="8"/>
  <c r="V232" i="8" s="1"/>
  <c r="U231" i="8"/>
  <c r="V231" i="8" s="1"/>
  <c r="U230" i="8"/>
  <c r="V230" i="8" s="1"/>
  <c r="U229" i="8"/>
  <c r="V229" i="8" s="1"/>
  <c r="U228" i="8"/>
  <c r="V228" i="8" s="1"/>
  <c r="U227" i="8"/>
  <c r="V227" i="8" s="1"/>
  <c r="U226" i="8"/>
  <c r="V226" i="8" s="1"/>
  <c r="U225" i="8"/>
  <c r="V225" i="8" s="1"/>
  <c r="U224" i="8"/>
  <c r="V224" i="8" s="1"/>
  <c r="U223" i="8"/>
  <c r="U222" i="8"/>
  <c r="V222" i="8" s="1"/>
  <c r="U221" i="8"/>
  <c r="V221" i="8" s="1"/>
  <c r="U220" i="8"/>
  <c r="V220" i="8" s="1"/>
  <c r="U219" i="8"/>
  <c r="V219" i="8" s="1"/>
  <c r="U218" i="8"/>
  <c r="U217" i="8"/>
  <c r="V217" i="8" s="1"/>
  <c r="U216" i="8"/>
  <c r="V216" i="8" s="1"/>
  <c r="U215" i="8"/>
  <c r="V215" i="8" s="1"/>
  <c r="U214" i="8"/>
  <c r="V214" i="8" s="1"/>
  <c r="U213" i="8"/>
  <c r="V213" i="8" s="1"/>
  <c r="U212" i="8"/>
  <c r="V212" i="8" s="1"/>
  <c r="U211" i="8"/>
  <c r="V211" i="8" s="1"/>
  <c r="U210" i="8"/>
  <c r="V210" i="8" s="1"/>
  <c r="U209" i="8"/>
  <c r="V209" i="8" s="1"/>
  <c r="U208" i="8"/>
  <c r="V208" i="8" s="1"/>
  <c r="U207" i="8"/>
  <c r="V207" i="8" s="1"/>
  <c r="U206" i="8"/>
  <c r="V206" i="8" s="1"/>
  <c r="U205" i="8"/>
  <c r="V205" i="8" s="1"/>
  <c r="U204" i="8"/>
  <c r="V204" i="8" s="1"/>
  <c r="U203" i="8"/>
  <c r="V203" i="8" s="1"/>
  <c r="U202" i="8"/>
  <c r="U201" i="8"/>
  <c r="V201" i="8" s="1"/>
  <c r="U200" i="8"/>
  <c r="V200" i="8" s="1"/>
  <c r="U199" i="8"/>
  <c r="V199" i="8" s="1"/>
  <c r="U198" i="8"/>
  <c r="V198" i="8" s="1"/>
  <c r="U197" i="8"/>
  <c r="V197" i="8" s="1"/>
  <c r="U196" i="8"/>
  <c r="V196" i="8" s="1"/>
  <c r="U195" i="8"/>
  <c r="V195" i="8" s="1"/>
  <c r="U194" i="8"/>
  <c r="V194" i="8" s="1"/>
  <c r="U193" i="8"/>
  <c r="V193" i="8" s="1"/>
  <c r="U192" i="8"/>
  <c r="V192" i="8" s="1"/>
  <c r="U191" i="8"/>
  <c r="V191" i="8" s="1"/>
  <c r="U190" i="8"/>
  <c r="V190" i="8" s="1"/>
  <c r="U189" i="8"/>
  <c r="V189" i="8" s="1"/>
  <c r="U188" i="8"/>
  <c r="V188" i="8" s="1"/>
  <c r="U187" i="8"/>
  <c r="V187" i="8" s="1"/>
  <c r="U186" i="8"/>
  <c r="U185" i="8"/>
  <c r="V185" i="8" s="1"/>
  <c r="U184" i="8"/>
  <c r="U183" i="8"/>
  <c r="V183" i="8" s="1"/>
  <c r="U182" i="8"/>
  <c r="V182" i="8" s="1"/>
  <c r="U181" i="8"/>
  <c r="V181" i="8" s="1"/>
  <c r="U180" i="8"/>
  <c r="V180" i="8" s="1"/>
  <c r="U179" i="8"/>
  <c r="V179" i="8" s="1"/>
  <c r="U178" i="8"/>
  <c r="V178" i="8" s="1"/>
  <c r="U177" i="8"/>
  <c r="V177" i="8" s="1"/>
  <c r="U176" i="8"/>
  <c r="V176" i="8" s="1"/>
  <c r="U175" i="8"/>
  <c r="V175" i="8" s="1"/>
  <c r="U174" i="8"/>
  <c r="V174" i="8" s="1"/>
  <c r="U173" i="8"/>
  <c r="V173" i="8" s="1"/>
  <c r="U172" i="8"/>
  <c r="V172" i="8" s="1"/>
  <c r="U171" i="8"/>
  <c r="U170" i="8"/>
  <c r="V170" i="8" s="1"/>
  <c r="U169" i="8"/>
  <c r="V169" i="8" s="1"/>
  <c r="U168" i="8"/>
  <c r="V168" i="8" s="1"/>
  <c r="U167" i="8"/>
  <c r="V167" i="8" s="1"/>
  <c r="U166" i="8"/>
  <c r="V166" i="8" s="1"/>
  <c r="U165" i="8"/>
  <c r="V165" i="8" s="1"/>
  <c r="U164" i="8"/>
  <c r="V164" i="8" s="1"/>
  <c r="U163" i="8"/>
  <c r="V163" i="8" s="1"/>
  <c r="U162" i="8"/>
  <c r="V162" i="8" s="1"/>
  <c r="U161" i="8"/>
  <c r="V161" i="8" s="1"/>
  <c r="U160" i="8"/>
  <c r="V160" i="8" s="1"/>
  <c r="U159" i="8"/>
  <c r="V159" i="8" s="1"/>
  <c r="U158" i="8"/>
  <c r="V158" i="8" s="1"/>
  <c r="U157" i="8"/>
  <c r="V157" i="8" s="1"/>
  <c r="U156" i="8"/>
  <c r="V156" i="8" s="1"/>
  <c r="U155" i="8"/>
  <c r="U154" i="8"/>
  <c r="U153" i="8"/>
  <c r="V153" i="8" s="1"/>
  <c r="U152" i="8"/>
  <c r="V152" i="8" s="1"/>
  <c r="U151" i="8"/>
  <c r="V151" i="8" s="1"/>
  <c r="U150" i="8"/>
  <c r="V150" i="8" s="1"/>
  <c r="U149" i="8"/>
  <c r="V149" i="8" s="1"/>
  <c r="U148" i="8"/>
  <c r="V148" i="8" s="1"/>
  <c r="U147" i="8"/>
  <c r="V147" i="8" s="1"/>
  <c r="U146" i="8"/>
  <c r="V146" i="8" s="1"/>
  <c r="U145" i="8"/>
  <c r="V145" i="8" s="1"/>
  <c r="U144" i="8"/>
  <c r="V144" i="8" s="1"/>
  <c r="U143" i="8"/>
  <c r="V143" i="8" s="1"/>
  <c r="U142" i="8"/>
  <c r="V142" i="8" s="1"/>
  <c r="U141" i="8"/>
  <c r="V141" i="8" s="1"/>
  <c r="U140" i="8"/>
  <c r="V140" i="8" s="1"/>
  <c r="U139" i="8"/>
  <c r="V139" i="8" s="1"/>
  <c r="U138" i="8"/>
  <c r="U137" i="8"/>
  <c r="V137" i="8" s="1"/>
  <c r="U136" i="8"/>
  <c r="U135" i="8"/>
  <c r="V135" i="8" s="1"/>
  <c r="U134" i="8"/>
  <c r="V134" i="8" s="1"/>
  <c r="U133" i="8"/>
  <c r="V133" i="8" s="1"/>
  <c r="U132" i="8"/>
  <c r="V132" i="8" s="1"/>
  <c r="U131" i="8"/>
  <c r="V131" i="8" s="1"/>
  <c r="U130" i="8"/>
  <c r="V130" i="8" s="1"/>
  <c r="U129" i="8"/>
  <c r="V129" i="8" s="1"/>
  <c r="U128" i="8"/>
  <c r="V128" i="8" s="1"/>
  <c r="U127" i="8"/>
  <c r="U126" i="8"/>
  <c r="V126" i="8" s="1"/>
  <c r="U125" i="8"/>
  <c r="V125" i="8" s="1"/>
  <c r="U124" i="8"/>
  <c r="V124" i="8" s="1"/>
  <c r="U123" i="8"/>
  <c r="V123" i="8" s="1"/>
  <c r="U122" i="8"/>
  <c r="V122" i="8" s="1"/>
  <c r="U121" i="8"/>
  <c r="V121" i="8" s="1"/>
  <c r="U120" i="8"/>
  <c r="V120" i="8" s="1"/>
  <c r="U119" i="8"/>
  <c r="U118" i="8"/>
  <c r="V118" i="8" s="1"/>
  <c r="U117" i="8"/>
  <c r="V117" i="8" s="1"/>
  <c r="U116" i="8"/>
  <c r="V116" i="8" s="1"/>
  <c r="U115" i="8"/>
  <c r="V115" i="8" s="1"/>
  <c r="U114" i="8"/>
  <c r="V114" i="8" s="1"/>
  <c r="U113" i="8"/>
  <c r="V113" i="8" s="1"/>
  <c r="U112" i="8"/>
  <c r="V112" i="8" s="1"/>
  <c r="U111" i="8"/>
  <c r="V111" i="8" s="1"/>
  <c r="U110" i="8"/>
  <c r="V110" i="8" s="1"/>
  <c r="U109" i="8"/>
  <c r="V109" i="8" s="1"/>
  <c r="U108" i="8"/>
  <c r="V108" i="8" s="1"/>
  <c r="U107" i="8"/>
  <c r="V107" i="8" s="1"/>
  <c r="U106" i="8"/>
  <c r="V106" i="8" s="1"/>
  <c r="U105" i="8"/>
  <c r="V105" i="8" s="1"/>
  <c r="U104" i="8"/>
  <c r="U103" i="8"/>
  <c r="V103" i="8" s="1"/>
  <c r="U102" i="8"/>
  <c r="V102" i="8" s="1"/>
  <c r="U101" i="8"/>
  <c r="V101" i="8" s="1"/>
  <c r="U100" i="8"/>
  <c r="V100" i="8" s="1"/>
  <c r="U99" i="8"/>
  <c r="V99" i="8" s="1"/>
  <c r="U98" i="8"/>
  <c r="V98" i="8" s="1"/>
  <c r="U97" i="8"/>
  <c r="V97" i="8" s="1"/>
  <c r="U96" i="8"/>
  <c r="V96" i="8" s="1"/>
  <c r="U95" i="8"/>
  <c r="V95" i="8" s="1"/>
  <c r="U94" i="8"/>
  <c r="V94" i="8" s="1"/>
  <c r="U93" i="8"/>
  <c r="U92" i="8"/>
  <c r="V92" i="8" s="1"/>
  <c r="U91" i="8"/>
  <c r="V91" i="8" s="1"/>
  <c r="U90" i="8"/>
  <c r="U89" i="8"/>
  <c r="V89" i="8" s="1"/>
  <c r="U88" i="8"/>
  <c r="V88" i="8" s="1"/>
  <c r="U87" i="8"/>
  <c r="V87" i="8" s="1"/>
  <c r="U86" i="8"/>
  <c r="V86" i="8" s="1"/>
  <c r="U85" i="8"/>
  <c r="U84" i="8"/>
  <c r="V84" i="8" s="1"/>
  <c r="U83" i="8"/>
  <c r="U82" i="8"/>
  <c r="V82" i="8" s="1"/>
  <c r="U81" i="8"/>
  <c r="V81" i="8" s="1"/>
  <c r="U80" i="8"/>
  <c r="V80" i="8" s="1"/>
  <c r="U79" i="8"/>
  <c r="V79" i="8" s="1"/>
  <c r="U78" i="8"/>
  <c r="V78" i="8" s="1"/>
  <c r="U77" i="8"/>
  <c r="V77" i="8" s="1"/>
  <c r="U76" i="8"/>
  <c r="V76" i="8" s="1"/>
  <c r="U75" i="8"/>
  <c r="V75" i="8" s="1"/>
  <c r="U74" i="8"/>
  <c r="V74" i="8" s="1"/>
  <c r="U73" i="8"/>
  <c r="V73" i="8" s="1"/>
  <c r="U72" i="8"/>
  <c r="V72" i="8" s="1"/>
  <c r="U71" i="8"/>
  <c r="V71" i="8" s="1"/>
  <c r="U70" i="8"/>
  <c r="V70" i="8" s="1"/>
  <c r="U69" i="8"/>
  <c r="V69" i="8" s="1"/>
  <c r="U68" i="8"/>
  <c r="V68" i="8" s="1"/>
  <c r="U67" i="8"/>
  <c r="V67" i="8" s="1"/>
  <c r="U66" i="8"/>
  <c r="V66" i="8" s="1"/>
  <c r="U65" i="8"/>
  <c r="V65" i="8" s="1"/>
  <c r="U64" i="8"/>
  <c r="V64" i="8" s="1"/>
  <c r="U63" i="8"/>
  <c r="V63" i="8" s="1"/>
  <c r="U62" i="8"/>
  <c r="V62" i="8" s="1"/>
  <c r="U61" i="8"/>
  <c r="V61" i="8" s="1"/>
  <c r="U60" i="8"/>
  <c r="V60" i="8" s="1"/>
  <c r="U59" i="8"/>
  <c r="V59" i="8" s="1"/>
  <c r="U58" i="8"/>
  <c r="V58" i="8" s="1"/>
  <c r="U57" i="8"/>
  <c r="V57" i="8" s="1"/>
  <c r="U56" i="8"/>
  <c r="V56" i="8" s="1"/>
  <c r="U55" i="8"/>
  <c r="V55" i="8" s="1"/>
  <c r="U54" i="8"/>
  <c r="V54" i="8" s="1"/>
  <c r="U53" i="8"/>
  <c r="V53" i="8" s="1"/>
  <c r="U52" i="8"/>
  <c r="V52" i="8" s="1"/>
  <c r="U51" i="8"/>
  <c r="V51" i="8" s="1"/>
  <c r="U50" i="8"/>
  <c r="V50" i="8" s="1"/>
  <c r="U49" i="8"/>
  <c r="V49" i="8" s="1"/>
  <c r="U48" i="8"/>
  <c r="V48" i="8" s="1"/>
  <c r="U47" i="8"/>
  <c r="V47" i="8" s="1"/>
  <c r="U46" i="8"/>
  <c r="V46" i="8" s="1"/>
  <c r="U45" i="8"/>
  <c r="V45" i="8" s="1"/>
  <c r="U44" i="8"/>
  <c r="V44" i="8" s="1"/>
  <c r="U43" i="8"/>
  <c r="V43" i="8" s="1"/>
  <c r="U42" i="8"/>
  <c r="U41" i="8"/>
  <c r="V41" i="8" s="1"/>
  <c r="U40" i="8"/>
  <c r="V40" i="8" s="1"/>
  <c r="U39" i="8"/>
  <c r="V39" i="8" s="1"/>
  <c r="U38" i="8"/>
  <c r="V38" i="8" s="1"/>
  <c r="U37" i="8"/>
  <c r="V37" i="8" s="1"/>
  <c r="U36" i="8"/>
  <c r="V36" i="8" s="1"/>
  <c r="U35" i="8"/>
  <c r="U34" i="8"/>
  <c r="V34" i="8" s="1"/>
  <c r="U33" i="8"/>
  <c r="V33" i="8" s="1"/>
  <c r="U32" i="8"/>
  <c r="V32" i="8" s="1"/>
  <c r="U31" i="8"/>
  <c r="V31" i="8" s="1"/>
  <c r="U30" i="8"/>
  <c r="V30" i="8" s="1"/>
  <c r="U29" i="8"/>
  <c r="V29" i="8" s="1"/>
  <c r="U28" i="8"/>
  <c r="V28" i="8" s="1"/>
  <c r="U27" i="8"/>
  <c r="V27" i="8" s="1"/>
  <c r="U26" i="8"/>
  <c r="U25" i="8"/>
  <c r="V25" i="8" s="1"/>
  <c r="U24" i="8"/>
  <c r="V24" i="8" s="1"/>
  <c r="U23" i="8"/>
  <c r="V23" i="8" s="1"/>
  <c r="U22" i="8"/>
  <c r="V22" i="8" s="1"/>
  <c r="U21" i="8"/>
  <c r="V21" i="8" s="1"/>
  <c r="U20" i="8"/>
  <c r="V20" i="8" s="1"/>
  <c r="U19" i="8"/>
  <c r="V19" i="8" s="1"/>
  <c r="U18" i="8"/>
  <c r="V18" i="8" s="1"/>
  <c r="U17" i="8"/>
  <c r="V17" i="8" s="1"/>
  <c r="U16" i="8"/>
  <c r="V16" i="8" s="1"/>
  <c r="U15" i="8"/>
  <c r="V15" i="8" s="1"/>
  <c r="U14" i="8"/>
  <c r="V14" i="8" s="1"/>
  <c r="U13" i="8"/>
  <c r="V13" i="8" s="1"/>
  <c r="U12" i="8"/>
  <c r="V12" i="8" s="1"/>
  <c r="U11" i="8"/>
  <c r="U10" i="8"/>
  <c r="U9" i="8"/>
  <c r="V9" i="8" s="1"/>
  <c r="U8" i="8"/>
  <c r="V8" i="8" s="1"/>
  <c r="U7" i="8"/>
  <c r="V7" i="8" s="1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P3" i="7"/>
  <c r="AB9" i="8"/>
  <c r="AB11" i="8"/>
  <c r="AB13" i="8"/>
  <c r="AB15" i="8"/>
  <c r="AB17" i="8"/>
  <c r="AB19" i="8"/>
  <c r="AB21" i="8"/>
  <c r="AB23" i="8"/>
  <c r="AB25" i="8"/>
  <c r="AB27" i="8"/>
  <c r="AB29" i="8"/>
  <c r="AB31" i="8"/>
  <c r="AB33" i="8"/>
  <c r="AB35" i="8"/>
  <c r="AB37" i="8"/>
  <c r="AB39" i="8"/>
  <c r="AB41" i="8"/>
  <c r="AB43" i="8"/>
  <c r="AB45" i="8"/>
  <c r="AB47" i="8"/>
  <c r="AB49" i="8"/>
  <c r="AB51" i="8"/>
  <c r="AB53" i="8"/>
  <c r="AB55" i="8"/>
  <c r="AB57" i="8"/>
  <c r="AB59" i="8"/>
  <c r="AB61" i="8"/>
  <c r="AB63" i="8"/>
  <c r="AB65" i="8"/>
  <c r="AB67" i="8"/>
  <c r="AB69" i="8"/>
  <c r="AB71" i="8"/>
  <c r="AB73" i="8"/>
  <c r="AB75" i="8"/>
  <c r="AB77" i="8"/>
  <c r="AB79" i="8"/>
  <c r="AB81" i="8"/>
  <c r="AB83" i="8"/>
  <c r="AB85" i="8"/>
  <c r="AB87" i="8"/>
  <c r="AB89" i="8"/>
  <c r="AB91" i="8"/>
  <c r="AB93" i="8"/>
  <c r="AB95" i="8"/>
  <c r="AB97" i="8"/>
  <c r="AB99" i="8"/>
  <c r="AB101" i="8"/>
  <c r="AB103" i="8"/>
  <c r="AB105" i="8"/>
  <c r="AB107" i="8"/>
  <c r="AB109" i="8"/>
  <c r="AB111" i="8"/>
  <c r="AB113" i="8"/>
  <c r="AB115" i="8"/>
  <c r="AB117" i="8"/>
  <c r="AB119" i="8"/>
  <c r="AB121" i="8"/>
  <c r="AB123" i="8"/>
  <c r="AB125" i="8"/>
  <c r="AB127" i="8"/>
  <c r="AB129" i="8"/>
  <c r="AB131" i="8"/>
  <c r="AB133" i="8"/>
  <c r="AB135" i="8"/>
  <c r="AB137" i="8"/>
  <c r="AB139" i="8"/>
  <c r="AB141" i="8"/>
  <c r="AB143" i="8"/>
  <c r="AB145" i="8"/>
  <c r="AB147" i="8"/>
  <c r="AB149" i="8"/>
  <c r="AB151" i="8"/>
  <c r="AB153" i="8"/>
  <c r="AB155" i="8"/>
  <c r="AB157" i="8"/>
  <c r="AB159" i="8"/>
  <c r="AB161" i="8"/>
  <c r="AB163" i="8"/>
  <c r="AB165" i="8"/>
  <c r="AB167" i="8"/>
  <c r="AB169" i="8"/>
  <c r="AB171" i="8"/>
  <c r="AB173" i="8"/>
  <c r="AB175" i="8"/>
  <c r="AB177" i="8"/>
  <c r="AB179" i="8"/>
  <c r="AB181" i="8"/>
  <c r="AB183" i="8"/>
  <c r="AB185" i="8"/>
  <c r="AB187" i="8"/>
  <c r="AB189" i="8"/>
  <c r="AB191" i="8"/>
  <c r="AB193" i="8"/>
  <c r="AB195" i="8"/>
  <c r="AB197" i="8"/>
  <c r="AB199" i="8"/>
  <c r="AB201" i="8"/>
  <c r="AB203" i="8"/>
  <c r="AB205" i="8"/>
  <c r="AB207" i="8"/>
  <c r="AB209" i="8"/>
  <c r="AB211" i="8"/>
  <c r="AB213" i="8"/>
  <c r="AB215" i="8"/>
  <c r="AB217" i="8"/>
  <c r="AB219" i="8"/>
  <c r="AB221" i="8"/>
  <c r="AB223" i="8"/>
  <c r="AB225" i="8"/>
  <c r="AB227" i="8"/>
  <c r="AB229" i="8"/>
  <c r="AB231" i="8"/>
  <c r="AB233" i="8"/>
  <c r="AB235" i="8"/>
  <c r="AB237" i="8"/>
  <c r="AB239" i="8"/>
  <c r="AB241" i="8"/>
  <c r="AB12" i="8"/>
  <c r="AB50" i="8"/>
  <c r="AB58" i="8"/>
  <c r="AB64" i="8"/>
  <c r="AB70" i="8"/>
  <c r="AB78" i="8"/>
  <c r="AB10" i="8"/>
  <c r="AB14" i="8"/>
  <c r="AB16" i="8"/>
  <c r="AB18" i="8"/>
  <c r="AB20" i="8"/>
  <c r="AB22" i="8"/>
  <c r="AB24" i="8"/>
  <c r="AB26" i="8"/>
  <c r="AB28" i="8"/>
  <c r="AB30" i="8"/>
  <c r="AB32" i="8"/>
  <c r="AB34" i="8"/>
  <c r="AB36" i="8"/>
  <c r="AB38" i="8"/>
  <c r="AB40" i="8"/>
  <c r="AB42" i="8"/>
  <c r="AB44" i="8"/>
  <c r="AB46" i="8"/>
  <c r="AB48" i="8"/>
  <c r="AB54" i="8"/>
  <c r="AB56" i="8"/>
  <c r="AB60" i="8"/>
  <c r="AB66" i="8"/>
  <c r="AB72" i="8"/>
  <c r="AB80" i="8"/>
  <c r="V10" i="8"/>
  <c r="V26" i="8"/>
  <c r="V42" i="8"/>
  <c r="V90" i="8"/>
  <c r="V104" i="8"/>
  <c r="V136" i="8"/>
  <c r="V138" i="8"/>
  <c r="V154" i="8"/>
  <c r="V184" i="8"/>
  <c r="V186" i="8"/>
  <c r="V202" i="8"/>
  <c r="V218" i="8"/>
  <c r="V234" i="8"/>
  <c r="V240" i="8"/>
  <c r="AB8" i="8"/>
  <c r="AB52" i="8"/>
  <c r="AB62" i="8"/>
  <c r="AB68" i="8"/>
  <c r="AB74" i="8"/>
  <c r="AB82" i="8"/>
  <c r="Y8" i="8"/>
  <c r="Y10" i="8"/>
  <c r="Y12" i="8"/>
  <c r="Y14" i="8"/>
  <c r="Y16" i="8"/>
  <c r="Y18" i="8"/>
  <c r="Y20" i="8"/>
  <c r="Y22" i="8"/>
  <c r="Y24" i="8"/>
  <c r="Y26" i="8"/>
  <c r="Y28" i="8"/>
  <c r="Y30" i="8"/>
  <c r="Y32" i="8"/>
  <c r="Y34" i="8"/>
  <c r="Y36" i="8"/>
  <c r="Y38" i="8"/>
  <c r="Y40" i="8"/>
  <c r="Y42" i="8"/>
  <c r="Y44" i="8"/>
  <c r="Y46" i="8"/>
  <c r="Y48" i="8"/>
  <c r="Y50" i="8"/>
  <c r="Y52" i="8"/>
  <c r="Y54" i="8"/>
  <c r="Y56" i="8"/>
  <c r="Y58" i="8"/>
  <c r="Y60" i="8"/>
  <c r="Y62" i="8"/>
  <c r="Y64" i="8"/>
  <c r="Y66" i="8"/>
  <c r="Y68" i="8"/>
  <c r="Y70" i="8"/>
  <c r="Y72" i="8"/>
  <c r="Y74" i="8"/>
  <c r="Y76" i="8"/>
  <c r="Y78" i="8"/>
  <c r="Y80" i="8"/>
  <c r="Y82" i="8"/>
  <c r="Y84" i="8"/>
  <c r="Y86" i="8"/>
  <c r="Y88" i="8"/>
  <c r="Y90" i="8"/>
  <c r="Y92" i="8"/>
  <c r="Y94" i="8"/>
  <c r="Y96" i="8"/>
  <c r="Y98" i="8"/>
  <c r="Y100" i="8"/>
  <c r="Y102" i="8"/>
  <c r="Y104" i="8"/>
  <c r="Y106" i="8"/>
  <c r="Y108" i="8"/>
  <c r="Y110" i="8"/>
  <c r="Y112" i="8"/>
  <c r="Y114" i="8"/>
  <c r="Y116" i="8"/>
  <c r="Y118" i="8"/>
  <c r="Y120" i="8"/>
  <c r="Y122" i="8"/>
  <c r="Y124" i="8"/>
  <c r="Y126" i="8"/>
  <c r="Y128" i="8"/>
  <c r="Y130" i="8"/>
  <c r="Y132" i="8"/>
  <c r="Y134" i="8"/>
  <c r="Y136" i="8"/>
  <c r="Y138" i="8"/>
  <c r="Y140" i="8"/>
  <c r="Y142" i="8"/>
  <c r="Y144" i="8"/>
  <c r="Y146" i="8"/>
  <c r="Y148" i="8"/>
  <c r="Y150" i="8"/>
  <c r="Y152" i="8"/>
  <c r="Y154" i="8"/>
  <c r="Y156" i="8"/>
  <c r="Y158" i="8"/>
  <c r="Y160" i="8"/>
  <c r="Y162" i="8"/>
  <c r="Y164" i="8"/>
  <c r="Y166" i="8"/>
  <c r="Y168" i="8"/>
  <c r="Y170" i="8"/>
  <c r="Y172" i="8"/>
  <c r="Y174" i="8"/>
  <c r="Y176" i="8"/>
  <c r="Y178" i="8"/>
  <c r="Y180" i="8"/>
  <c r="Y182" i="8"/>
  <c r="Y184" i="8"/>
  <c r="Y186" i="8"/>
  <c r="Y188" i="8"/>
  <c r="Y190" i="8"/>
  <c r="Y192" i="8"/>
  <c r="Y194" i="8"/>
  <c r="Y196" i="8"/>
  <c r="Y198" i="8"/>
  <c r="Y200" i="8"/>
  <c r="Y202" i="8"/>
  <c r="Y204" i="8"/>
  <c r="Y206" i="8"/>
  <c r="Y208" i="8"/>
  <c r="Y210" i="8"/>
  <c r="Y212" i="8"/>
  <c r="Y214" i="8"/>
  <c r="Y216" i="8"/>
  <c r="Y218" i="8"/>
  <c r="Y220" i="8"/>
  <c r="Y222" i="8"/>
  <c r="Y224" i="8"/>
  <c r="Y226" i="8"/>
  <c r="Y228" i="8"/>
  <c r="Y230" i="8"/>
  <c r="Y232" i="8"/>
  <c r="Y234" i="8"/>
  <c r="Y236" i="8"/>
  <c r="Y238" i="8"/>
  <c r="Y240" i="8"/>
  <c r="Y242" i="8"/>
  <c r="AB7" i="8"/>
  <c r="Y53" i="8"/>
  <c r="Y21" i="8"/>
  <c r="AB236" i="8"/>
  <c r="AB220" i="8"/>
  <c r="AB204" i="8"/>
  <c r="AB188" i="8"/>
  <c r="AB172" i="8"/>
  <c r="AB156" i="8"/>
  <c r="AB144" i="8"/>
  <c r="AB128" i="8"/>
  <c r="AB112" i="8"/>
  <c r="AB96" i="8"/>
  <c r="Y227" i="8"/>
  <c r="Y211" i="8"/>
  <c r="Y195" i="8"/>
  <c r="Y183" i="8"/>
  <c r="Y167" i="8"/>
  <c r="Y151" i="8"/>
  <c r="Y135" i="8"/>
  <c r="Y119" i="8"/>
  <c r="Y107" i="8"/>
  <c r="Y95" i="8"/>
  <c r="Y83" i="8"/>
  <c r="Y25" i="8"/>
  <c r="V223" i="8"/>
  <c r="V171" i="8"/>
  <c r="V155" i="8"/>
  <c r="V119" i="8"/>
  <c r="Y77" i="8"/>
  <c r="Y51" i="8"/>
  <c r="Y35" i="8"/>
  <c r="Y61" i="8"/>
  <c r="Y45" i="8"/>
  <c r="V35" i="8"/>
  <c r="Y29" i="8"/>
  <c r="Y13" i="8"/>
  <c r="Y69" i="8"/>
  <c r="AB240" i="8"/>
  <c r="AB224" i="8"/>
  <c r="AB208" i="8"/>
  <c r="AB192" i="8"/>
  <c r="AB176" i="8"/>
  <c r="AB160" i="8"/>
  <c r="AB140" i="8"/>
  <c r="AB124" i="8"/>
  <c r="AB108" i="8"/>
  <c r="AB92" i="8"/>
  <c r="Y235" i="8"/>
  <c r="Y219" i="8"/>
  <c r="Y207" i="8"/>
  <c r="Y191" i="8"/>
  <c r="Y175" i="8"/>
  <c r="Y159" i="8"/>
  <c r="Y143" i="8"/>
  <c r="Y127" i="8"/>
  <c r="Y111" i="8"/>
  <c r="Y99" i="8"/>
  <c r="Y57" i="8"/>
  <c r="Y41" i="8"/>
  <c r="V83" i="8"/>
  <c r="Y67" i="8"/>
  <c r="AB242" i="8"/>
  <c r="AB238" i="8"/>
  <c r="AB234" i="8"/>
  <c r="AB230" i="8"/>
  <c r="AB226" i="8"/>
  <c r="AB222" i="8"/>
  <c r="AB218" i="8"/>
  <c r="AB214" i="8"/>
  <c r="AB210" i="8"/>
  <c r="AB206" i="8"/>
  <c r="AB202" i="8"/>
  <c r="AB198" i="8"/>
  <c r="AB194" i="8"/>
  <c r="AB190" i="8"/>
  <c r="AB186" i="8"/>
  <c r="AB182" i="8"/>
  <c r="AB178" i="8"/>
  <c r="AB174" i="8"/>
  <c r="AB170" i="8"/>
  <c r="AB166" i="8"/>
  <c r="AB162" i="8"/>
  <c r="AB158" i="8"/>
  <c r="AB154" i="8"/>
  <c r="AB150" i="8"/>
  <c r="AB146" i="8"/>
  <c r="AB142" i="8"/>
  <c r="AB138" i="8"/>
  <c r="AB134" i="8"/>
  <c r="AB130" i="8"/>
  <c r="AB126" i="8"/>
  <c r="AB122" i="8"/>
  <c r="AB118" i="8"/>
  <c r="AB114" i="8"/>
  <c r="AB110" i="8"/>
  <c r="AB106" i="8"/>
  <c r="AB102" i="8"/>
  <c r="AB98" i="8"/>
  <c r="AB94" i="8"/>
  <c r="AB90" i="8"/>
  <c r="AB86" i="8"/>
  <c r="Y81" i="8"/>
  <c r="Y71" i="8"/>
  <c r="Y55" i="8"/>
  <c r="Y39" i="8"/>
  <c r="Y23" i="8"/>
  <c r="Y79" i="8"/>
  <c r="Y37" i="8"/>
  <c r="AB232" i="8"/>
  <c r="AB216" i="8"/>
  <c r="AB200" i="8"/>
  <c r="AB184" i="8"/>
  <c r="AB168" i="8"/>
  <c r="AB152" i="8"/>
  <c r="AB136" i="8"/>
  <c r="AB116" i="8"/>
  <c r="AB100" i="8"/>
  <c r="AB84" i="8"/>
  <c r="Y63" i="8"/>
  <c r="Y47" i="8"/>
  <c r="Y239" i="8"/>
  <c r="Y223" i="8"/>
  <c r="Y203" i="8"/>
  <c r="Y179" i="8"/>
  <c r="Y163" i="8"/>
  <c r="Y147" i="8"/>
  <c r="Y131" i="8"/>
  <c r="Y115" i="8"/>
  <c r="Y91" i="8"/>
  <c r="Y233" i="8"/>
  <c r="Y221" i="8"/>
  <c r="Y209" i="8"/>
  <c r="Y197" i="8"/>
  <c r="Y189" i="8"/>
  <c r="Y181" i="8"/>
  <c r="Y177" i="8"/>
  <c r="Y173" i="8"/>
  <c r="Y165" i="8"/>
  <c r="Y161" i="8"/>
  <c r="Y157" i="8"/>
  <c r="Y153" i="8"/>
  <c r="Y149" i="8"/>
  <c r="Y145" i="8"/>
  <c r="Y141" i="8"/>
  <c r="Y137" i="8"/>
  <c r="Y133" i="8"/>
  <c r="Y129" i="8"/>
  <c r="Y125" i="8"/>
  <c r="Y121" i="8"/>
  <c r="Y117" i="8"/>
  <c r="Y113" i="8"/>
  <c r="Y109" i="8"/>
  <c r="Y105" i="8"/>
  <c r="Y101" i="8"/>
  <c r="Y97" i="8"/>
  <c r="Y93" i="8"/>
  <c r="Y89" i="8"/>
  <c r="Y85" i="8"/>
  <c r="AB76" i="8"/>
  <c r="Y65" i="8"/>
  <c r="Y49" i="8"/>
  <c r="Y33" i="8"/>
  <c r="Y17" i="8"/>
  <c r="V11" i="8"/>
  <c r="AB228" i="8"/>
  <c r="AB212" i="8"/>
  <c r="AB196" i="8"/>
  <c r="AB180" i="8"/>
  <c r="AB164" i="8"/>
  <c r="AB148" i="8"/>
  <c r="AB132" i="8"/>
  <c r="AB120" i="8"/>
  <c r="AB104" i="8"/>
  <c r="AB88" i="8"/>
  <c r="Y31" i="8"/>
  <c r="Y15" i="8"/>
  <c r="Y231" i="8"/>
  <c r="Y215" i="8"/>
  <c r="Y199" i="8"/>
  <c r="Y187" i="8"/>
  <c r="Y171" i="8"/>
  <c r="Y155" i="8"/>
  <c r="Y139" i="8"/>
  <c r="Y123" i="8"/>
  <c r="Y103" i="8"/>
  <c r="Y87" i="8"/>
  <c r="Y73" i="8"/>
  <c r="Y9" i="8"/>
  <c r="V127" i="8"/>
  <c r="Y19" i="8"/>
  <c r="Y241" i="8"/>
  <c r="Y237" i="8"/>
  <c r="Y229" i="8"/>
  <c r="Y225" i="8"/>
  <c r="Y217" i="8"/>
  <c r="Y213" i="8"/>
  <c r="Y205" i="8"/>
  <c r="Y201" i="8"/>
  <c r="Y193" i="8"/>
  <c r="Y185" i="8"/>
  <c r="Y169" i="8"/>
  <c r="V93" i="8"/>
  <c r="V85" i="8"/>
  <c r="Y75" i="8"/>
  <c r="Y59" i="8"/>
  <c r="Y43" i="8"/>
  <c r="Y27" i="8"/>
  <c r="Y11" i="8"/>
  <c r="Y7" i="8"/>
  <c r="P7" i="8"/>
  <c r="Y11" i="7"/>
  <c r="Y19" i="7"/>
  <c r="AB27" i="7"/>
  <c r="Y35" i="7"/>
  <c r="AB43" i="7"/>
  <c r="Y51" i="7"/>
  <c r="AB59" i="7"/>
  <c r="Y67" i="7"/>
  <c r="Y75" i="7"/>
  <c r="AB83" i="7"/>
  <c r="AB91" i="7"/>
  <c r="Y99" i="7"/>
  <c r="AB107" i="7"/>
  <c r="AB115" i="7"/>
  <c r="Y123" i="7"/>
  <c r="AB131" i="7"/>
  <c r="AD16" i="7"/>
  <c r="AA25" i="7"/>
  <c r="AD37" i="7"/>
  <c r="AA57" i="7"/>
  <c r="AD68" i="7"/>
  <c r="X78" i="7"/>
  <c r="AD91" i="7"/>
  <c r="AA101" i="7"/>
  <c r="AA113" i="7"/>
  <c r="AD124" i="7"/>
  <c r="T10" i="7"/>
  <c r="AA32" i="7"/>
  <c r="T50" i="7"/>
  <c r="T66" i="7"/>
  <c r="T86" i="7"/>
  <c r="T110" i="7"/>
  <c r="T126" i="7"/>
  <c r="Y14" i="7"/>
  <c r="Y26" i="7"/>
  <c r="Y38" i="7"/>
  <c r="X48" i="7"/>
  <c r="AB62" i="7"/>
  <c r="X76" i="7"/>
  <c r="AD87" i="7"/>
  <c r="AB102" i="7"/>
  <c r="Y114" i="7"/>
  <c r="Y130" i="7"/>
  <c r="X23" i="7"/>
  <c r="T41" i="7"/>
  <c r="T57" i="7"/>
  <c r="T73" i="7"/>
  <c r="T89" i="7"/>
  <c r="T105" i="7"/>
  <c r="Y121" i="7"/>
  <c r="Y17" i="7"/>
  <c r="AA31" i="7"/>
  <c r="Y45" i="7"/>
  <c r="AD59" i="7"/>
  <c r="AA75" i="7"/>
  <c r="AA91" i="7"/>
  <c r="AA107" i="7"/>
  <c r="T121" i="7"/>
  <c r="T12" i="7"/>
  <c r="AA30" i="7"/>
  <c r="T56" i="7"/>
  <c r="AD90" i="7"/>
  <c r="AA118" i="7"/>
  <c r="AA46" i="7"/>
  <c r="AA78" i="7"/>
  <c r="T112" i="7"/>
  <c r="AA131" i="7"/>
  <c r="Y115" i="7"/>
  <c r="Y24" i="7"/>
  <c r="AD45" i="7"/>
  <c r="AD66" i="7"/>
  <c r="AB88" i="7"/>
  <c r="AA109" i="7"/>
  <c r="T11" i="7"/>
  <c r="AA85" i="7"/>
  <c r="AB19" i="7"/>
  <c r="Y43" i="7"/>
  <c r="AD64" i="7"/>
  <c r="AD88" i="7"/>
  <c r="AD109" i="7"/>
  <c r="AA132" i="7"/>
  <c r="AD46" i="7"/>
  <c r="AD86" i="7"/>
  <c r="T28" i="7"/>
  <c r="X73" i="7"/>
  <c r="T23" i="7"/>
  <c r="AA44" i="7"/>
  <c r="AA124" i="7"/>
  <c r="AD121" i="7"/>
  <c r="AA100" i="7"/>
  <c r="AD102" i="7"/>
  <c r="AA20" i="7"/>
  <c r="T15" i="7"/>
  <c r="T127" i="7"/>
  <c r="AB21" i="7"/>
  <c r="AB45" i="7"/>
  <c r="AB77" i="7"/>
  <c r="Y101" i="7"/>
  <c r="Y12" i="7"/>
  <c r="AB20" i="7"/>
  <c r="AB28" i="7"/>
  <c r="Y36" i="7"/>
  <c r="Y44" i="7"/>
  <c r="Y52" i="7"/>
  <c r="Y60" i="7"/>
  <c r="Y68" i="7"/>
  <c r="Y76" i="7"/>
  <c r="Y84" i="7"/>
  <c r="AB92" i="7"/>
  <c r="AB100" i="7"/>
  <c r="Y108" i="7"/>
  <c r="Y116" i="7"/>
  <c r="AB124" i="7"/>
  <c r="T132" i="7"/>
  <c r="AA17" i="7"/>
  <c r="X27" i="7"/>
  <c r="X38" i="7"/>
  <c r="X58" i="7"/>
  <c r="AA69" i="7"/>
  <c r="X80" i="7"/>
  <c r="AD92" i="7"/>
  <c r="X102" i="7"/>
  <c r="X115" i="7"/>
  <c r="X126" i="7"/>
  <c r="T14" i="7"/>
  <c r="T34" i="7"/>
  <c r="AD52" i="7"/>
  <c r="X68" i="7"/>
  <c r="X88" i="7"/>
  <c r="X112" i="7"/>
  <c r="AD128" i="7"/>
  <c r="AD15" i="7"/>
  <c r="X28" i="7"/>
  <c r="AD39" i="7"/>
  <c r="AB50" i="7"/>
  <c r="AD63" i="7"/>
  <c r="AB78" i="7"/>
  <c r="AA88" i="7"/>
  <c r="AD103" i="7"/>
  <c r="Y118" i="7"/>
  <c r="X7" i="7"/>
  <c r="T25" i="7"/>
  <c r="X43" i="7"/>
  <c r="AA59" i="7"/>
  <c r="X75" i="7"/>
  <c r="X91" i="7"/>
  <c r="X107" i="7"/>
  <c r="AD123" i="7"/>
  <c r="AD19" i="7"/>
  <c r="AB33" i="7"/>
  <c r="AA47" i="7"/>
  <c r="AB61" i="7"/>
  <c r="Y77" i="7"/>
  <c r="AB93" i="7"/>
  <c r="Y109" i="7"/>
  <c r="AA123" i="7"/>
  <c r="AA14" i="7"/>
  <c r="T32" i="7"/>
  <c r="T60" i="7"/>
  <c r="AF60" i="7" s="1"/>
  <c r="AA94" i="7"/>
  <c r="Y120" i="7"/>
  <c r="X50" i="7"/>
  <c r="T80" i="7"/>
  <c r="AF80" i="7" s="1"/>
  <c r="T116" i="7"/>
  <c r="X45" i="7"/>
  <c r="AA125" i="7"/>
  <c r="AD26" i="7"/>
  <c r="AB48" i="7"/>
  <c r="X69" i="7"/>
  <c r="AA90" i="7"/>
  <c r="Y112" i="7"/>
  <c r="T19" i="7"/>
  <c r="AF19" i="7" s="1"/>
  <c r="T91" i="7"/>
  <c r="X21" i="7"/>
  <c r="AA45" i="7"/>
  <c r="AB67" i="7"/>
  <c r="Y91" i="7"/>
  <c r="AA112" i="7"/>
  <c r="X9" i="7"/>
  <c r="AB52" i="7"/>
  <c r="AD94" i="7"/>
  <c r="X33" i="7"/>
  <c r="AD78" i="7"/>
  <c r="T47" i="7"/>
  <c r="T79" i="7"/>
  <c r="AB23" i="7"/>
  <c r="AD49" i="7"/>
  <c r="T129" i="7"/>
  <c r="AD110" i="7"/>
  <c r="Y55" i="7"/>
  <c r="AB39" i="7"/>
  <c r="T131" i="7"/>
  <c r="AF66" i="7"/>
  <c r="AF110" i="7"/>
  <c r="AF41" i="7"/>
  <c r="AF73" i="7"/>
  <c r="AF105" i="7"/>
  <c r="AF127" i="7"/>
  <c r="AB29" i="7"/>
  <c r="Y53" i="7"/>
  <c r="Y69" i="7"/>
  <c r="Y93" i="7"/>
  <c r="Y8" i="7"/>
  <c r="AB16" i="7"/>
  <c r="AB24" i="7"/>
  <c r="Y32" i="7"/>
  <c r="AB40" i="7"/>
  <c r="Y48" i="7"/>
  <c r="AB56" i="7"/>
  <c r="AB64" i="7"/>
  <c r="Y72" i="7"/>
  <c r="Y80" i="7"/>
  <c r="Y88" i="7"/>
  <c r="AB96" i="7"/>
  <c r="AB104" i="7"/>
  <c r="AB112" i="7"/>
  <c r="AB120" i="7"/>
  <c r="AB128" i="7"/>
  <c r="AD13" i="7"/>
  <c r="AD21" i="7"/>
  <c r="AA33" i="7"/>
  <c r="AA49" i="7"/>
  <c r="AA65" i="7"/>
  <c r="AD75" i="7"/>
  <c r="X86" i="7"/>
  <c r="X98" i="7"/>
  <c r="AD107" i="7"/>
  <c r="AA121" i="7"/>
  <c r="X131" i="7"/>
  <c r="AA24" i="7"/>
  <c r="AD44" i="7"/>
  <c r="X60" i="7"/>
  <c r="T78" i="7"/>
  <c r="X100" i="7"/>
  <c r="X120" i="7"/>
  <c r="AD8" i="7"/>
  <c r="Y22" i="7"/>
  <c r="AB34" i="7"/>
  <c r="X44" i="7"/>
  <c r="AD55" i="7"/>
  <c r="AD71" i="7"/>
  <c r="AD83" i="7"/>
  <c r="AD95" i="7"/>
  <c r="AB110" i="7"/>
  <c r="AB126" i="7"/>
  <c r="T17" i="7"/>
  <c r="T33" i="7"/>
  <c r="X51" i="7"/>
  <c r="X67" i="7"/>
  <c r="X83" i="7"/>
  <c r="AA99" i="7"/>
  <c r="AA115" i="7"/>
  <c r="AA11" i="7"/>
  <c r="AA26" i="7"/>
  <c r="AB41" i="7"/>
  <c r="AB53" i="7"/>
  <c r="AB69" i="7"/>
  <c r="Y85" i="7"/>
  <c r="AB101" i="7"/>
  <c r="AD115" i="7"/>
  <c r="AD131" i="7"/>
  <c r="AA22" i="7"/>
  <c r="T44" i="7"/>
  <c r="T76" i="7"/>
  <c r="AD106" i="7"/>
  <c r="T24" i="7"/>
  <c r="AA66" i="7"/>
  <c r="Y96" i="7"/>
  <c r="Y125" i="7"/>
  <c r="X93" i="7"/>
  <c r="Y16" i="7"/>
  <c r="AA37" i="7"/>
  <c r="AD58" i="7"/>
  <c r="AB80" i="7"/>
  <c r="X101" i="7"/>
  <c r="AA122" i="7"/>
  <c r="T51" i="7"/>
  <c r="AA8" i="7"/>
  <c r="AB35" i="7"/>
  <c r="AA56" i="7"/>
  <c r="AD77" i="7"/>
  <c r="AD101" i="7"/>
  <c r="AB123" i="7"/>
  <c r="AD30" i="7"/>
  <c r="AD70" i="7"/>
  <c r="AB12" i="7"/>
  <c r="AD54" i="7"/>
  <c r="X97" i="7"/>
  <c r="X105" i="7"/>
  <c r="Y124" i="7"/>
  <c r="T87" i="7"/>
  <c r="AF87" i="7" s="1"/>
  <c r="AB31" i="7"/>
  <c r="Y63" i="7"/>
  <c r="AB15" i="7"/>
  <c r="Y47" i="7"/>
  <c r="T103" i="7"/>
  <c r="T71" i="7"/>
  <c r="AF14" i="7"/>
  <c r="AF86" i="7"/>
  <c r="AF126" i="7"/>
  <c r="AF25" i="7"/>
  <c r="AF57" i="7"/>
  <c r="AF89" i="7"/>
  <c r="AF121" i="7"/>
  <c r="AF112" i="7"/>
  <c r="AF47" i="7"/>
  <c r="AF15" i="7"/>
  <c r="AF71" i="7"/>
  <c r="Y10" i="7"/>
  <c r="Y18" i="7"/>
  <c r="AB26" i="7"/>
  <c r="Y34" i="7"/>
  <c r="Y42" i="7"/>
  <c r="Y50" i="7"/>
  <c r="AB58" i="7"/>
  <c r="AB66" i="7"/>
  <c r="AB74" i="7"/>
  <c r="Y82" i="7"/>
  <c r="Y90" i="7"/>
  <c r="AB98" i="7"/>
  <c r="AB106" i="7"/>
  <c r="AB114" i="7"/>
  <c r="Y122" i="7"/>
  <c r="AB130" i="7"/>
  <c r="X15" i="7"/>
  <c r="X24" i="7"/>
  <c r="AD36" i="7"/>
  <c r="X54" i="7"/>
  <c r="AD67" i="7"/>
  <c r="AA77" i="7"/>
  <c r="X90" i="7"/>
  <c r="AD100" i="7"/>
  <c r="X110" i="7"/>
  <c r="X123" i="7"/>
  <c r="X8" i="7"/>
  <c r="T30" i="7"/>
  <c r="AF30" i="7" s="1"/>
  <c r="AA48" i="7"/>
  <c r="AA64" i="7"/>
  <c r="T82" i="7"/>
  <c r="Y106" i="7"/>
  <c r="X124" i="7"/>
  <c r="X12" i="7"/>
  <c r="AD24" i="7"/>
  <c r="X36" i="7"/>
  <c r="AD47" i="7"/>
  <c r="Y58" i="7"/>
  <c r="T74" i="7"/>
  <c r="AB86" i="7"/>
  <c r="Y98" i="7"/>
  <c r="AD112" i="7"/>
  <c r="X128" i="7"/>
  <c r="T21" i="7"/>
  <c r="T37" i="7"/>
  <c r="AF37" i="7" s="1"/>
  <c r="AA55" i="7"/>
  <c r="X71" i="7"/>
  <c r="AA87" i="7"/>
  <c r="X103" i="7"/>
  <c r="AA119" i="7"/>
  <c r="AA15" i="7"/>
  <c r="Y29" i="7"/>
  <c r="AA43" i="7"/>
  <c r="AB57" i="7"/>
  <c r="AB73" i="7"/>
  <c r="Y89" i="7"/>
  <c r="AB105" i="7"/>
  <c r="X119" i="7"/>
  <c r="X10" i="7"/>
  <c r="Y28" i="7"/>
  <c r="T52" i="7"/>
  <c r="AA86" i="7"/>
  <c r="AA114" i="7"/>
  <c r="AA42" i="7"/>
  <c r="AD74" i="7"/>
  <c r="T108" i="7"/>
  <c r="X129" i="7"/>
  <c r="X109" i="7"/>
  <c r="AA21" i="7"/>
  <c r="AD42" i="7"/>
  <c r="Y64" i="7"/>
  <c r="X85" i="7"/>
  <c r="AA106" i="7"/>
  <c r="AB132" i="7"/>
  <c r="T67" i="7"/>
  <c r="AF67" i="7" s="1"/>
  <c r="X13" i="7"/>
  <c r="AD40" i="7"/>
  <c r="AD61" i="7"/>
  <c r="AD85" i="7"/>
  <c r="Y107" i="7"/>
  <c r="Y128" i="7"/>
  <c r="X41" i="7"/>
  <c r="X81" i="7"/>
  <c r="AD22" i="7"/>
  <c r="AB68" i="7"/>
  <c r="AD17" i="7"/>
  <c r="X121" i="7"/>
  <c r="AA108" i="7"/>
  <c r="AD113" i="7"/>
  <c r="AD41" i="7"/>
  <c r="AD97" i="7"/>
  <c r="Y111" i="7"/>
  <c r="AD9" i="7"/>
  <c r="T119" i="7"/>
  <c r="AF119" i="7" s="1"/>
  <c r="AB71" i="7"/>
  <c r="AF74" i="7"/>
  <c r="AF33" i="7"/>
  <c r="AF12" i="7"/>
  <c r="AF56" i="7"/>
  <c r="AF11" i="7"/>
  <c r="AB13" i="7"/>
  <c r="AB37" i="7"/>
  <c r="Y61" i="7"/>
  <c r="AB85" i="7"/>
  <c r="AB109" i="7"/>
  <c r="Y23" i="7"/>
  <c r="AB46" i="7"/>
  <c r="AB65" i="7"/>
  <c r="AB87" i="7"/>
  <c r="Y110" i="7"/>
  <c r="Y126" i="7"/>
  <c r="X19" i="7"/>
  <c r="AA41" i="7"/>
  <c r="AA73" i="7"/>
  <c r="AD96" i="7"/>
  <c r="AA117" i="7"/>
  <c r="T18" i="7"/>
  <c r="X56" i="7"/>
  <c r="T94" i="7"/>
  <c r="AF94" i="7" s="1"/>
  <c r="X132" i="7"/>
  <c r="AD31" i="7"/>
  <c r="X52" i="7"/>
  <c r="AD80" i="7"/>
  <c r="T106" i="7"/>
  <c r="AF106" i="7" s="1"/>
  <c r="X11" i="7"/>
  <c r="X47" i="7"/>
  <c r="AA79" i="7"/>
  <c r="X111" i="7"/>
  <c r="AA23" i="7"/>
  <c r="AA50" i="7"/>
  <c r="Y81" i="7"/>
  <c r="T113" i="7"/>
  <c r="AA18" i="7"/>
  <c r="T68" i="7"/>
  <c r="AA126" i="7"/>
  <c r="T88" i="7"/>
  <c r="T75" i="7"/>
  <c r="AF75" i="7" s="1"/>
  <c r="AB32" i="7"/>
  <c r="AA74" i="7"/>
  <c r="X117" i="7"/>
  <c r="T123" i="7"/>
  <c r="AF123" i="7" s="1"/>
  <c r="AB51" i="7"/>
  <c r="AA96" i="7"/>
  <c r="Y20" i="7"/>
  <c r="AD125" i="7"/>
  <c r="X89" i="7"/>
  <c r="AD25" i="7"/>
  <c r="AA84" i="7"/>
  <c r="AD126" i="7"/>
  <c r="AD73" i="7"/>
  <c r="AF132" i="7"/>
  <c r="AF78" i="7"/>
  <c r="AF17" i="7"/>
  <c r="AB111" i="7"/>
  <c r="T98" i="7"/>
  <c r="AF98" i="7" s="1"/>
  <c r="AB54" i="7"/>
  <c r="T49" i="7"/>
  <c r="AB25" i="7"/>
  <c r="X114" i="7"/>
  <c r="AA130" i="7"/>
  <c r="T83" i="7"/>
  <c r="T120" i="7"/>
  <c r="AB99" i="7"/>
  <c r="T95" i="7"/>
  <c r="AF95" i="7" s="1"/>
  <c r="Y79" i="7"/>
  <c r="AF21" i="7"/>
  <c r="AF108" i="7"/>
  <c r="Y30" i="7"/>
  <c r="AB94" i="7"/>
  <c r="X22" i="7"/>
  <c r="AD76" i="7"/>
  <c r="T26" i="7"/>
  <c r="AF26" i="7" s="1"/>
  <c r="AB10" i="7"/>
  <c r="AD111" i="7"/>
  <c r="T85" i="7"/>
  <c r="X55" i="7"/>
  <c r="AB117" i="7"/>
  <c r="Y100" i="7"/>
  <c r="AD82" i="7"/>
  <c r="AB11" i="7"/>
  <c r="X17" i="7"/>
  <c r="T55" i="7"/>
  <c r="AF52" i="7"/>
  <c r="AF103" i="7"/>
  <c r="Y31" i="7"/>
  <c r="Y117" i="7"/>
  <c r="AD104" i="7"/>
  <c r="AA16" i="7"/>
  <c r="AA40" i="7"/>
  <c r="AA27" i="7"/>
  <c r="AA7" i="7"/>
  <c r="AA63" i="7"/>
  <c r="AD98" i="7"/>
  <c r="AB8" i="7"/>
  <c r="AD69" i="7"/>
  <c r="AD38" i="7"/>
  <c r="AB116" i="7"/>
  <c r="AF131" i="7"/>
  <c r="AB55" i="7"/>
  <c r="AB118" i="7"/>
  <c r="X82" i="7"/>
  <c r="AA129" i="7"/>
  <c r="AB18" i="7"/>
  <c r="T29" i="7"/>
  <c r="AB97" i="7"/>
  <c r="Y25" i="7"/>
  <c r="AB47" i="7"/>
  <c r="Y70" i="7"/>
  <c r="AB89" i="7"/>
  <c r="Y127" i="7"/>
  <c r="X46" i="7"/>
  <c r="X74" i="7"/>
  <c r="AA97" i="7"/>
  <c r="X118" i="7"/>
  <c r="T58" i="7"/>
  <c r="AF58" i="7" s="1"/>
  <c r="X32" i="7"/>
  <c r="AB82" i="7"/>
  <c r="T81" i="7"/>
  <c r="AF81" i="7" s="1"/>
  <c r="AA51" i="7"/>
  <c r="T72" i="7"/>
  <c r="AD34" i="7"/>
  <c r="X53" i="7"/>
  <c r="AD130" i="7"/>
  <c r="AB108" i="7"/>
  <c r="AF10" i="7"/>
  <c r="AF85" i="7"/>
  <c r="AF55" i="7"/>
  <c r="Y49" i="7"/>
  <c r="AB113" i="7"/>
  <c r="AD53" i="7"/>
  <c r="X122" i="7"/>
  <c r="Y102" i="7"/>
  <c r="AD56" i="7"/>
  <c r="AA19" i="7"/>
  <c r="T117" i="7"/>
  <c r="X87" i="7"/>
  <c r="AA82" i="7"/>
  <c r="T99" i="7"/>
  <c r="AD129" i="7"/>
  <c r="AA104" i="7"/>
  <c r="AB36" i="7"/>
  <c r="AD65" i="7"/>
  <c r="T111" i="7"/>
  <c r="AF111" i="7" s="1"/>
  <c r="AF91" i="7"/>
  <c r="Y73" i="7"/>
  <c r="AD28" i="7"/>
  <c r="T38" i="7"/>
  <c r="X64" i="7"/>
  <c r="T61" i="7"/>
  <c r="AA34" i="7"/>
  <c r="AD50" i="7"/>
  <c r="Y27" i="7"/>
  <c r="AA76" i="7"/>
  <c r="T31" i="7"/>
  <c r="AF68" i="7"/>
  <c r="AB14" i="7"/>
  <c r="Y97" i="7"/>
  <c r="AD60" i="7"/>
  <c r="AA72" i="7"/>
  <c r="AB42" i="7"/>
  <c r="X63" i="7"/>
  <c r="Y65" i="7"/>
  <c r="Y15" i="7"/>
  <c r="AB38" i="7"/>
  <c r="Y57" i="7"/>
  <c r="AB79" i="7"/>
  <c r="T102" i="7"/>
  <c r="AF102" i="7" s="1"/>
  <c r="Y119" i="7"/>
  <c r="AD12" i="7"/>
  <c r="X30" i="7"/>
  <c r="X62" i="7"/>
  <c r="AD84" i="7"/>
  <c r="X106" i="7"/>
  <c r="X130" i="7"/>
  <c r="T42" i="7"/>
  <c r="Y74" i="7"/>
  <c r="T118" i="7"/>
  <c r="X20" i="7"/>
  <c r="AD43" i="7"/>
  <c r="AB70" i="7"/>
  <c r="Y94" i="7"/>
  <c r="AB122" i="7"/>
  <c r="X31" i="7"/>
  <c r="T65" i="7"/>
  <c r="AF65" i="7" s="1"/>
  <c r="T97" i="7"/>
  <c r="AF97" i="7" s="1"/>
  <c r="AA10" i="7"/>
  <c r="AA39" i="7"/>
  <c r="AA67" i="7"/>
  <c r="AD99" i="7"/>
  <c r="AB129" i="7"/>
  <c r="T40" i="7"/>
  <c r="AF40" i="7" s="1"/>
  <c r="Y104" i="7"/>
  <c r="AA62" i="7"/>
  <c r="Y132" i="7"/>
  <c r="AA13" i="7"/>
  <c r="Y56" i="7"/>
  <c r="AA98" i="7"/>
  <c r="T43" i="7"/>
  <c r="AF43" i="7" s="1"/>
  <c r="AD32" i="7"/>
  <c r="AB75" i="7"/>
  <c r="AD120" i="7"/>
  <c r="X65" i="7"/>
  <c r="X49" i="7"/>
  <c r="Y87" i="7"/>
  <c r="T63" i="7"/>
  <c r="AF63" i="7" s="1"/>
  <c r="T39" i="7"/>
  <c r="AF39" i="7" s="1"/>
  <c r="Y7" i="7"/>
  <c r="T7" i="7"/>
  <c r="AF42" i="7"/>
  <c r="AF113" i="7"/>
  <c r="AF76" i="7"/>
  <c r="AF23" i="7"/>
  <c r="AF7" i="7"/>
  <c r="AB17" i="7"/>
  <c r="Y39" i="7"/>
  <c r="Y62" i="7"/>
  <c r="AB81" i="7"/>
  <c r="Y103" i="7"/>
  <c r="AB121" i="7"/>
  <c r="X14" i="7"/>
  <c r="X34" i="7"/>
  <c r="X66" i="7"/>
  <c r="AA89" i="7"/>
  <c r="AD108" i="7"/>
  <c r="AD132" i="7"/>
  <c r="T46" i="7"/>
  <c r="AF46" i="7" s="1"/>
  <c r="AA80" i="7"/>
  <c r="T122" i="7"/>
  <c r="AF122" i="7" s="1"/>
  <c r="AD23" i="7"/>
  <c r="Y46" i="7"/>
  <c r="X72" i="7"/>
  <c r="X96" i="7"/>
  <c r="AD127" i="7"/>
  <c r="X35" i="7"/>
  <c r="T69" i="7"/>
  <c r="AF69" i="7" s="1"/>
  <c r="T101" i="7"/>
  <c r="AF101" i="7" s="1"/>
  <c r="Y13" i="7"/>
  <c r="X42" i="7"/>
  <c r="AA71" i="7"/>
  <c r="AA103" i="7"/>
  <c r="T8" i="7"/>
  <c r="T48" i="7"/>
  <c r="AF48" i="7" s="1"/>
  <c r="AA110" i="7"/>
  <c r="AA70" i="7"/>
  <c r="AB127" i="7"/>
  <c r="AD18" i="7"/>
  <c r="X61" i="7"/>
  <c r="T104" i="7"/>
  <c r="AF104" i="7" s="1"/>
  <c r="AA61" i="7"/>
  <c r="X37" i="7"/>
  <c r="Y83" i="7"/>
  <c r="X125" i="7"/>
  <c r="AB76" i="7"/>
  <c r="AD62" i="7"/>
  <c r="X113" i="7"/>
  <c r="AD105" i="7"/>
  <c r="AA92" i="7"/>
  <c r="AA116" i="7"/>
  <c r="AA36" i="7"/>
  <c r="AF50" i="7"/>
  <c r="AF61" i="7"/>
  <c r="AF8" i="7"/>
  <c r="AF24" i="7"/>
  <c r="AF120" i="7"/>
  <c r="AF79" i="7"/>
  <c r="AB9" i="7"/>
  <c r="AB95" i="7"/>
  <c r="AA81" i="7"/>
  <c r="T70" i="7"/>
  <c r="AB90" i="7"/>
  <c r="AA35" i="7"/>
  <c r="AA95" i="7"/>
  <c r="AA54" i="7"/>
  <c r="AA93" i="7"/>
  <c r="T115" i="7"/>
  <c r="AF115" i="7" s="1"/>
  <c r="AA52" i="7"/>
  <c r="AF34" i="7"/>
  <c r="Y78" i="7"/>
  <c r="AD29" i="7"/>
  <c r="X40" i="7"/>
  <c r="Y66" i="7"/>
  <c r="Y9" i="7"/>
  <c r="AB22" i="7"/>
  <c r="Y41" i="7"/>
  <c r="AB63" i="7"/>
  <c r="Y86" i="7"/>
  <c r="Y105" i="7"/>
  <c r="T125" i="7"/>
  <c r="X18" i="7"/>
  <c r="X39" i="7"/>
  <c r="X70" i="7"/>
  <c r="X94" i="7"/>
  <c r="AD116" i="7"/>
  <c r="X16" i="7"/>
  <c r="Y54" i="7"/>
  <c r="T90" i="7"/>
  <c r="AF90" i="7" s="1"/>
  <c r="T130" i="7"/>
  <c r="AF130" i="7" s="1"/>
  <c r="AB30" i="7"/>
  <c r="AD51" i="7"/>
  <c r="AD79" i="7"/>
  <c r="X104" i="7"/>
  <c r="T9" i="7"/>
  <c r="AF9" i="7" s="1"/>
  <c r="T45" i="7"/>
  <c r="AF45" i="7" s="1"/>
  <c r="T77" i="7"/>
  <c r="T109" i="7"/>
  <c r="AF109" i="7" s="1"/>
  <c r="Y21" i="7"/>
  <c r="AB49" i="7"/>
  <c r="X79" i="7"/>
  <c r="AA111" i="7"/>
  <c r="T16" i="7"/>
  <c r="AF16" i="7" s="1"/>
  <c r="T64" i="7"/>
  <c r="AF64" i="7" s="1"/>
  <c r="T124" i="7"/>
  <c r="AF124" i="7" s="1"/>
  <c r="T84" i="7"/>
  <c r="AF84" i="7" s="1"/>
  <c r="T59" i="7"/>
  <c r="AF59" i="7" s="1"/>
  <c r="AA29" i="7"/>
  <c r="AB72" i="7"/>
  <c r="AD114" i="7"/>
  <c r="T107" i="7"/>
  <c r="AF107" i="7" s="1"/>
  <c r="AD48" i="7"/>
  <c r="AD93" i="7"/>
  <c r="AD14" i="7"/>
  <c r="T100" i="7"/>
  <c r="AF100" i="7" s="1"/>
  <c r="AB84" i="7"/>
  <c r="AB119" i="7"/>
  <c r="AB103" i="7"/>
  <c r="AD118" i="7"/>
  <c r="AA68" i="7"/>
  <c r="AF125" i="7"/>
  <c r="AF70" i="7"/>
  <c r="AF77" i="7"/>
  <c r="AF32" i="7"/>
  <c r="AF88" i="7"/>
  <c r="AF129" i="7"/>
  <c r="AD20" i="7"/>
  <c r="T22" i="7"/>
  <c r="AF22" i="7" s="1"/>
  <c r="AD7" i="7"/>
  <c r="X108" i="7"/>
  <c r="T13" i="7"/>
  <c r="AF13" i="7" s="1"/>
  <c r="Y113" i="7"/>
  <c r="AA83" i="7"/>
  <c r="T20" i="7"/>
  <c r="AF20" i="7" s="1"/>
  <c r="T92" i="7"/>
  <c r="AF92" i="7" s="1"/>
  <c r="X77" i="7"/>
  <c r="X127" i="7"/>
  <c r="X25" i="7"/>
  <c r="Y92" i="7"/>
  <c r="Y131" i="7"/>
  <c r="AF82" i="7"/>
  <c r="AF44" i="7"/>
  <c r="AF51" i="7"/>
  <c r="AB7" i="7"/>
  <c r="Y71" i="7"/>
  <c r="Y129" i="7"/>
  <c r="X99" i="7"/>
  <c r="T62" i="7"/>
  <c r="AF62" i="7" s="1"/>
  <c r="AD35" i="7"/>
  <c r="X84" i="7"/>
  <c r="T53" i="7"/>
  <c r="AF53" i="7" s="1"/>
  <c r="AD27" i="7"/>
  <c r="X26" i="7"/>
  <c r="T36" i="7"/>
  <c r="AF36" i="7" s="1"/>
  <c r="Y40" i="7"/>
  <c r="Y59" i="7"/>
  <c r="AA12" i="7"/>
  <c r="Y95" i="7"/>
  <c r="AF18" i="7"/>
  <c r="AF29" i="7"/>
  <c r="AF116" i="7"/>
  <c r="T54" i="7"/>
  <c r="AF54" i="7" s="1"/>
  <c r="AA9" i="7"/>
  <c r="X59" i="7"/>
  <c r="AA128" i="7"/>
  <c r="T114" i="7"/>
  <c r="AD119" i="7"/>
  <c r="T93" i="7"/>
  <c r="AF93" i="7" s="1"/>
  <c r="AB125" i="7"/>
  <c r="AD122" i="7"/>
  <c r="T27" i="7"/>
  <c r="AF27" i="7" s="1"/>
  <c r="X57" i="7"/>
  <c r="AA28" i="7"/>
  <c r="AF114" i="7"/>
  <c r="AF83" i="7"/>
  <c r="Y33" i="7"/>
  <c r="AD11" i="7"/>
  <c r="AA105" i="7"/>
  <c r="X116" i="7"/>
  <c r="X92" i="7"/>
  <c r="AA120" i="7"/>
  <c r="X95" i="7"/>
  <c r="Y37" i="7"/>
  <c r="AA38" i="7"/>
  <c r="X29" i="7"/>
  <c r="AA60" i="7"/>
  <c r="AF28" i="7"/>
  <c r="AF31" i="7"/>
  <c r="AF38" i="7"/>
  <c r="AB60" i="7"/>
  <c r="AD10" i="7"/>
  <c r="AA102" i="7"/>
  <c r="AD72" i="7"/>
  <c r="AD89" i="7"/>
  <c r="AA58" i="7"/>
  <c r="AF118" i="7"/>
  <c r="AB44" i="7"/>
  <c r="AA53" i="7"/>
  <c r="AD81" i="7"/>
  <c r="AF117" i="7"/>
  <c r="T96" i="7"/>
  <c r="AF96" i="7" s="1"/>
  <c r="AD57" i="7"/>
  <c r="AF72" i="7"/>
  <c r="AF49" i="7"/>
  <c r="AA127" i="7"/>
  <c r="T35" i="7"/>
  <c r="AF35" i="7" s="1"/>
  <c r="AD33" i="7"/>
  <c r="AF99" i="7"/>
  <c r="AD117" i="7"/>
  <c r="T128" i="7"/>
  <c r="AF128" i="7" s="1"/>
  <c r="P3" i="8" l="1"/>
  <c r="N3" i="8"/>
  <c r="Q3" i="8"/>
  <c r="AG71" i="7"/>
  <c r="AG7" i="7"/>
  <c r="AG31" i="7"/>
  <c r="AG131" i="7"/>
  <c r="AG127" i="7"/>
  <c r="AG119" i="7"/>
  <c r="AG111" i="7"/>
  <c r="AG103" i="7"/>
  <c r="AG15" i="7"/>
  <c r="AG55" i="7"/>
  <c r="AG39" i="7"/>
  <c r="AG129" i="7"/>
  <c r="AG87" i="7"/>
  <c r="AG63" i="7"/>
  <c r="AG95" i="7"/>
  <c r="AG79" i="7"/>
  <c r="AG47" i="7"/>
  <c r="AG23" i="7"/>
  <c r="AG28" i="7"/>
  <c r="AG100" i="7"/>
  <c r="AG115" i="7"/>
  <c r="AG123" i="7"/>
  <c r="AG107" i="7"/>
  <c r="AG91" i="7"/>
  <c r="AG67" i="7"/>
  <c r="AG51" i="7"/>
  <c r="AG43" i="7"/>
  <c r="AG35" i="7"/>
  <c r="AG27" i="7"/>
  <c r="AG19" i="7"/>
  <c r="AG11" i="7"/>
  <c r="AG120" i="7"/>
  <c r="AG104" i="7"/>
  <c r="AG96" i="7"/>
  <c r="AG99" i="7"/>
  <c r="AG83" i="7"/>
  <c r="AG75" i="7"/>
  <c r="AG59" i="7"/>
  <c r="AG128" i="7"/>
  <c r="AG116" i="7"/>
  <c r="AG112" i="7"/>
  <c r="AG108" i="7"/>
  <c r="AG92" i="7"/>
  <c r="AG88" i="7"/>
  <c r="AG84" i="7"/>
  <c r="AG80" i="7"/>
  <c r="AG36" i="7"/>
  <c r="AG24" i="7"/>
  <c r="AG124" i="7"/>
  <c r="AG76" i="7"/>
  <c r="AG72" i="7"/>
  <c r="AG68" i="7"/>
  <c r="AG64" i="7"/>
  <c r="AG60" i="7"/>
  <c r="AG56" i="7"/>
  <c r="AG52" i="7"/>
  <c r="AG48" i="7"/>
  <c r="AG44" i="7"/>
  <c r="AG40" i="7"/>
  <c r="AG32" i="7"/>
  <c r="AG20" i="7"/>
  <c r="AG16" i="7"/>
  <c r="AG12" i="7"/>
  <c r="AG8" i="7"/>
  <c r="AG121" i="7"/>
  <c r="AG113" i="7"/>
  <c r="AG117" i="7"/>
  <c r="AG109" i="7"/>
  <c r="AG105" i="7"/>
  <c r="AG101" i="7"/>
  <c r="AG97" i="7"/>
  <c r="AG93" i="7"/>
  <c r="AG89" i="7"/>
  <c r="AG85" i="7"/>
  <c r="AG81" i="7"/>
  <c r="AG77" i="7"/>
  <c r="AG73" i="7"/>
  <c r="AG69" i="7"/>
  <c r="AG65" i="7"/>
  <c r="AG61" i="7"/>
  <c r="AG57" i="7"/>
  <c r="AG53" i="7"/>
  <c r="AG49" i="7"/>
  <c r="AG45" i="7"/>
  <c r="AG41" i="7"/>
  <c r="AG37" i="7"/>
  <c r="AG33" i="7"/>
  <c r="AG29" i="7"/>
  <c r="AG25" i="7"/>
  <c r="AG21" i="7"/>
  <c r="AG17" i="7"/>
  <c r="AG13" i="7"/>
  <c r="AG9" i="7"/>
  <c r="AG106" i="7"/>
  <c r="AG74" i="7"/>
  <c r="AG130" i="7"/>
  <c r="AG126" i="7"/>
  <c r="AG122" i="7"/>
  <c r="AG118" i="7"/>
  <c r="AG114" i="7"/>
  <c r="AG110" i="7"/>
  <c r="AG98" i="7"/>
  <c r="AG94" i="7"/>
  <c r="AG90" i="7"/>
  <c r="AG86" i="7"/>
  <c r="AG82" i="7"/>
  <c r="AG78" i="7"/>
  <c r="AG70" i="7"/>
  <c r="AG66" i="7"/>
  <c r="AG62" i="7"/>
  <c r="AG58" i="7"/>
  <c r="AG50" i="7"/>
  <c r="AG46" i="7"/>
  <c r="AG42" i="7"/>
  <c r="AG38" i="7"/>
  <c r="AG34" i="7"/>
  <c r="AG30" i="7"/>
  <c r="AG26" i="7"/>
  <c r="AG22" i="7"/>
  <c r="AG18" i="7"/>
  <c r="AG14" i="7"/>
  <c r="AG10" i="7"/>
  <c r="AG132" i="7"/>
  <c r="AG125" i="7"/>
  <c r="AG102" i="7"/>
  <c r="AG54" i="7"/>
  <c r="AC71" i="7"/>
  <c r="V97" i="7"/>
  <c r="W97" i="7" s="1"/>
  <c r="Z79" i="7"/>
  <c r="AC39" i="7"/>
  <c r="V33" i="7"/>
  <c r="W33" i="7" s="1"/>
  <c r="Z47" i="7"/>
  <c r="Z7" i="7"/>
  <c r="V89" i="7"/>
  <c r="W89" i="7" s="1"/>
  <c r="AC116" i="7"/>
  <c r="Z55" i="7"/>
  <c r="Z111" i="7"/>
  <c r="AC15" i="7"/>
  <c r="Z131" i="7"/>
  <c r="V121" i="7"/>
  <c r="W121" i="7" s="1"/>
  <c r="V113" i="7"/>
  <c r="W113" i="7" s="1"/>
  <c r="V105" i="7"/>
  <c r="W105" i="7" s="1"/>
  <c r="Z63" i="7"/>
  <c r="V57" i="7"/>
  <c r="W57" i="7" s="1"/>
  <c r="V128" i="7"/>
  <c r="W128" i="7" s="1"/>
  <c r="Z95" i="7"/>
  <c r="AC31" i="7"/>
  <c r="AC108" i="7"/>
  <c r="V49" i="7"/>
  <c r="W49" i="7" s="1"/>
  <c r="AC103" i="7"/>
  <c r="V9" i="7"/>
  <c r="W9" i="7" s="1"/>
  <c r="V81" i="7"/>
  <c r="W81" i="7" s="1"/>
  <c r="AC23" i="7"/>
  <c r="V17" i="7"/>
  <c r="W17" i="7" s="1"/>
  <c r="V65" i="7"/>
  <c r="W65" i="7" s="1"/>
  <c r="V25" i="7"/>
  <c r="W25" i="7" s="1"/>
  <c r="Z124" i="7"/>
  <c r="AC119" i="7"/>
  <c r="V73" i="7"/>
  <c r="W73" i="7" s="1"/>
  <c r="Z87" i="7"/>
  <c r="V41" i="7"/>
  <c r="W41" i="7" s="1"/>
  <c r="Z92" i="7"/>
  <c r="AC84" i="7"/>
  <c r="AC68" i="7"/>
  <c r="AC44" i="7"/>
  <c r="AC12" i="7"/>
  <c r="AC76" i="7"/>
  <c r="AC60" i="7"/>
  <c r="AC52" i="7"/>
  <c r="AC36" i="7"/>
  <c r="Z20" i="7"/>
  <c r="Z128" i="7"/>
  <c r="AC123" i="7"/>
  <c r="Z107" i="7"/>
  <c r="AC99" i="7"/>
  <c r="Z91" i="7"/>
  <c r="Z83" i="7"/>
  <c r="V80" i="7"/>
  <c r="W80" i="7" s="1"/>
  <c r="AC75" i="7"/>
  <c r="AC67" i="7"/>
  <c r="Z59" i="7"/>
  <c r="AC51" i="7"/>
  <c r="Z43" i="7"/>
  <c r="AC35" i="7"/>
  <c r="Z27" i="7"/>
  <c r="V24" i="7"/>
  <c r="W24" i="7" s="1"/>
  <c r="AC19" i="7"/>
  <c r="V16" i="7"/>
  <c r="W16" i="7" s="1"/>
  <c r="AC11" i="7"/>
  <c r="V117" i="7"/>
  <c r="W117" i="7" s="1"/>
  <c r="V101" i="7"/>
  <c r="W101" i="7" s="1"/>
  <c r="V77" i="7"/>
  <c r="W77" i="7" s="1"/>
  <c r="AC132" i="7"/>
  <c r="Z112" i="7"/>
  <c r="AC88" i="7"/>
  <c r="AC80" i="7"/>
  <c r="AC72" i="7"/>
  <c r="Z64" i="7"/>
  <c r="Z56" i="7"/>
  <c r="AC48" i="7"/>
  <c r="Z40" i="7"/>
  <c r="AC32" i="7"/>
  <c r="Z24" i="7"/>
  <c r="Z16" i="7"/>
  <c r="AC8" i="7"/>
  <c r="V129" i="7"/>
  <c r="W129" i="7" s="1"/>
  <c r="Z115" i="7"/>
  <c r="V69" i="7"/>
  <c r="W69" i="7" s="1"/>
  <c r="V53" i="7"/>
  <c r="W53" i="7" s="1"/>
  <c r="V37" i="7"/>
  <c r="W37" i="7" s="1"/>
  <c r="V29" i="7"/>
  <c r="W29" i="7" s="1"/>
  <c r="V21" i="7"/>
  <c r="W21" i="7" s="1"/>
  <c r="V13" i="7"/>
  <c r="W13" i="7" s="1"/>
  <c r="AC127" i="7"/>
  <c r="Z125" i="7"/>
  <c r="Z132" i="7"/>
  <c r="Z100" i="7"/>
  <c r="Z96" i="7"/>
  <c r="Z120" i="7"/>
  <c r="Z104" i="7"/>
  <c r="Z28" i="7"/>
  <c r="V130" i="7"/>
  <c r="W130" i="7" s="1"/>
  <c r="AC129" i="7"/>
  <c r="V126" i="7"/>
  <c r="W126" i="7" s="1"/>
  <c r="AC125" i="7"/>
  <c r="V122" i="7"/>
  <c r="W122" i="7" s="1"/>
  <c r="V118" i="7"/>
  <c r="W118" i="7" s="1"/>
  <c r="AC117" i="7"/>
  <c r="V110" i="7"/>
  <c r="W110" i="7" s="1"/>
  <c r="Z109" i="7"/>
  <c r="V106" i="7"/>
  <c r="W106" i="7" s="1"/>
  <c r="AC105" i="7"/>
  <c r="V102" i="7"/>
  <c r="W102" i="7" s="1"/>
  <c r="AC101" i="7"/>
  <c r="V98" i="7"/>
  <c r="W98" i="7" s="1"/>
  <c r="AC97" i="7"/>
  <c r="V94" i="7"/>
  <c r="W94" i="7" s="1"/>
  <c r="AC93" i="7"/>
  <c r="V90" i="7"/>
  <c r="W90" i="7" s="1"/>
  <c r="Z89" i="7"/>
  <c r="V86" i="7"/>
  <c r="W86" i="7" s="1"/>
  <c r="Z85" i="7"/>
  <c r="V82" i="7"/>
  <c r="W82" i="7" s="1"/>
  <c r="Z81" i="7"/>
  <c r="V78" i="7"/>
  <c r="W78" i="7" s="1"/>
  <c r="Z77" i="7"/>
  <c r="V74" i="7"/>
  <c r="W74" i="7" s="1"/>
  <c r="AC73" i="7"/>
  <c r="V70" i="7"/>
  <c r="W70" i="7" s="1"/>
  <c r="AC69" i="7"/>
  <c r="V66" i="7"/>
  <c r="W66" i="7" s="1"/>
  <c r="Z65" i="7"/>
  <c r="V62" i="7"/>
  <c r="W62" i="7" s="1"/>
  <c r="AC61" i="7"/>
  <c r="V58" i="7"/>
  <c r="W58" i="7" s="1"/>
  <c r="AC57" i="7"/>
  <c r="V54" i="7"/>
  <c r="W54" i="7" s="1"/>
  <c r="AC53" i="7"/>
  <c r="AC49" i="7"/>
  <c r="V46" i="7"/>
  <c r="W46" i="7" s="1"/>
  <c r="Z45" i="7"/>
  <c r="AC41" i="7"/>
  <c r="V38" i="7"/>
  <c r="W38" i="7" s="1"/>
  <c r="Z37" i="7"/>
  <c r="V34" i="7"/>
  <c r="W34" i="7" s="1"/>
  <c r="AC33" i="7"/>
  <c r="V30" i="7"/>
  <c r="W30" i="7" s="1"/>
  <c r="Z29" i="7"/>
  <c r="AC25" i="7"/>
  <c r="V22" i="7"/>
  <c r="W22" i="7" s="1"/>
  <c r="Z21" i="7"/>
  <c r="V18" i="7"/>
  <c r="W18" i="7" s="1"/>
  <c r="Z17" i="7"/>
  <c r="V14" i="7"/>
  <c r="W14" i="7" s="1"/>
  <c r="Z13" i="7"/>
  <c r="Z9" i="7"/>
  <c r="Z121" i="7"/>
  <c r="Z113" i="7"/>
  <c r="V39" i="7"/>
  <c r="W39" i="7" s="1"/>
  <c r="V15" i="7"/>
  <c r="W15" i="7" s="1"/>
  <c r="V132" i="7"/>
  <c r="W132" i="7" s="1"/>
  <c r="V131" i="7"/>
  <c r="W131" i="7" s="1"/>
  <c r="Z130" i="7"/>
  <c r="AC126" i="7"/>
  <c r="V124" i="7"/>
  <c r="W124" i="7" s="1"/>
  <c r="V123" i="7"/>
  <c r="W123" i="7" s="1"/>
  <c r="AC122" i="7"/>
  <c r="Z118" i="7"/>
  <c r="V116" i="7"/>
  <c r="W116" i="7" s="1"/>
  <c r="V115" i="7"/>
  <c r="W115" i="7" s="1"/>
  <c r="Z114" i="7"/>
  <c r="AC110" i="7"/>
  <c r="V107" i="7"/>
  <c r="W107" i="7" s="1"/>
  <c r="AC102" i="7"/>
  <c r="V100" i="7"/>
  <c r="W100" i="7" s="1"/>
  <c r="V99" i="7"/>
  <c r="W99" i="7" s="1"/>
  <c r="Z98" i="7"/>
  <c r="Z94" i="7"/>
  <c r="V91" i="7"/>
  <c r="W91" i="7" s="1"/>
  <c r="AC90" i="7"/>
  <c r="AC86" i="7"/>
  <c r="AC82" i="7"/>
  <c r="AC78" i="7"/>
  <c r="V75" i="7"/>
  <c r="W75" i="7" s="1"/>
  <c r="AC70" i="7"/>
  <c r="V68" i="7"/>
  <c r="W68" i="7" s="1"/>
  <c r="V67" i="7"/>
  <c r="W67" i="7" s="1"/>
  <c r="Z66" i="7"/>
  <c r="AC62" i="7"/>
  <c r="V60" i="7"/>
  <c r="W60" i="7" s="1"/>
  <c r="V59" i="7"/>
  <c r="W59" i="7" s="1"/>
  <c r="Z58" i="7"/>
  <c r="AC54" i="7"/>
  <c r="AC50" i="7"/>
  <c r="Z46" i="7"/>
  <c r="AC42" i="7"/>
  <c r="Z38" i="7"/>
  <c r="AC34" i="7"/>
  <c r="AC30" i="7"/>
  <c r="V27" i="7"/>
  <c r="W27" i="7" s="1"/>
  <c r="Z26" i="7"/>
  <c r="Z22" i="7"/>
  <c r="V19" i="7"/>
  <c r="W19" i="7" s="1"/>
  <c r="AC18" i="7"/>
  <c r="Z14" i="7"/>
  <c r="V11" i="7"/>
  <c r="W11" i="7" s="1"/>
  <c r="AC10" i="7"/>
  <c r="V108" i="7"/>
  <c r="W108" i="7" s="1"/>
  <c r="Z106" i="7"/>
  <c r="V104" i="7"/>
  <c r="W104" i="7" s="1"/>
  <c r="Z102" i="7"/>
  <c r="V96" i="7"/>
  <c r="W96" i="7" s="1"/>
  <c r="V92" i="7"/>
  <c r="W92" i="7" s="1"/>
  <c r="V84" i="7"/>
  <c r="W84" i="7" s="1"/>
  <c r="V76" i="7"/>
  <c r="W76" i="7" s="1"/>
  <c r="Z74" i="7"/>
  <c r="Z54" i="7"/>
  <c r="V36" i="7"/>
  <c r="W36" i="7" s="1"/>
  <c r="V28" i="7"/>
  <c r="W28" i="7" s="1"/>
  <c r="V20" i="7"/>
  <c r="W20" i="7" s="1"/>
  <c r="V12" i="7"/>
  <c r="W12" i="7" s="1"/>
  <c r="V127" i="7"/>
  <c r="W127" i="7" s="1"/>
  <c r="V125" i="7"/>
  <c r="W125" i="7" s="1"/>
  <c r="V120" i="7"/>
  <c r="W120" i="7" s="1"/>
  <c r="V119" i="7"/>
  <c r="W119" i="7" s="1"/>
  <c r="V114" i="7"/>
  <c r="W114" i="7" s="1"/>
  <c r="V112" i="7"/>
  <c r="W112" i="7" s="1"/>
  <c r="V111" i="7"/>
  <c r="W111" i="7" s="1"/>
  <c r="V109" i="7"/>
  <c r="W109" i="7" s="1"/>
  <c r="V103" i="7"/>
  <c r="W103" i="7" s="1"/>
  <c r="V95" i="7"/>
  <c r="W95" i="7" s="1"/>
  <c r="V93" i="7"/>
  <c r="W93" i="7" s="1"/>
  <c r="V88" i="7"/>
  <c r="W88" i="7" s="1"/>
  <c r="V87" i="7"/>
  <c r="W87" i="7" s="1"/>
  <c r="V85" i="7"/>
  <c r="W85" i="7" s="1"/>
  <c r="V83" i="7"/>
  <c r="W83" i="7" s="1"/>
  <c r="V79" i="7"/>
  <c r="W79" i="7" s="1"/>
  <c r="V72" i="7"/>
  <c r="W72" i="7" s="1"/>
  <c r="V71" i="7"/>
  <c r="W71" i="7" s="1"/>
  <c r="V64" i="7"/>
  <c r="W64" i="7" s="1"/>
  <c r="V63" i="7"/>
  <c r="W63" i="7" s="1"/>
  <c r="V61" i="7"/>
  <c r="W61" i="7" s="1"/>
  <c r="V56" i="7"/>
  <c r="W56" i="7" s="1"/>
  <c r="V55" i="7"/>
  <c r="W55" i="7" s="1"/>
  <c r="V52" i="7"/>
  <c r="W52" i="7" s="1"/>
  <c r="V51" i="7"/>
  <c r="W51" i="7" s="1"/>
  <c r="V50" i="7"/>
  <c r="W50" i="7" s="1"/>
  <c r="V48" i="7"/>
  <c r="W48" i="7" s="1"/>
  <c r="V47" i="7"/>
  <c r="W47" i="7" s="1"/>
  <c r="V45" i="7"/>
  <c r="W45" i="7" s="1"/>
  <c r="V44" i="7"/>
  <c r="W44" i="7" s="1"/>
  <c r="V43" i="7"/>
  <c r="W43" i="7" s="1"/>
  <c r="V42" i="7"/>
  <c r="W42" i="7" s="1"/>
  <c r="V40" i="7"/>
  <c r="W40" i="7" s="1"/>
  <c r="V35" i="7"/>
  <c r="W35" i="7" s="1"/>
  <c r="V32" i="7"/>
  <c r="W32" i="7" s="1"/>
  <c r="V31" i="7"/>
  <c r="W31" i="7" s="1"/>
  <c r="V26" i="7"/>
  <c r="W26" i="7" s="1"/>
  <c r="V23" i="7"/>
  <c r="W23" i="7" s="1"/>
  <c r="V10" i="7"/>
  <c r="W10" i="7" s="1"/>
  <c r="V8" i="7"/>
  <c r="W8" i="7" s="1"/>
  <c r="V7" i="7"/>
  <c r="W7" i="7" s="1"/>
  <c r="AC131" i="7"/>
  <c r="AC130" i="7"/>
  <c r="Z129" i="7"/>
  <c r="AC128" i="7"/>
  <c r="Z127" i="7"/>
  <c r="Z126" i="7"/>
  <c r="AC124" i="7"/>
  <c r="Z123" i="7"/>
  <c r="Z122" i="7"/>
  <c r="AC121" i="7"/>
  <c r="AC120" i="7"/>
  <c r="Z119" i="7"/>
  <c r="AC118" i="7"/>
  <c r="Z117" i="7"/>
  <c r="Z116" i="7"/>
  <c r="AC115" i="7"/>
  <c r="AC114" i="7"/>
  <c r="AC113" i="7"/>
  <c r="AC112" i="7"/>
  <c r="AC111" i="7"/>
  <c r="Z110" i="7"/>
  <c r="AC109" i="7"/>
  <c r="Z108" i="7"/>
  <c r="AC107" i="7"/>
  <c r="AC106" i="7"/>
  <c r="Z105" i="7"/>
  <c r="AC104" i="7"/>
  <c r="Z103" i="7"/>
  <c r="Z101" i="7"/>
  <c r="AC100" i="7"/>
  <c r="Z99" i="7"/>
  <c r="AC98" i="7"/>
  <c r="Z97" i="7"/>
  <c r="AC96" i="7"/>
  <c r="AC95" i="7"/>
  <c r="AC94" i="7"/>
  <c r="Z93" i="7"/>
  <c r="AC92" i="7"/>
  <c r="AC91" i="7"/>
  <c r="Z90" i="7"/>
  <c r="AC89" i="7"/>
  <c r="Z88" i="7"/>
  <c r="AC87" i="7"/>
  <c r="Z86" i="7"/>
  <c r="AC85" i="7"/>
  <c r="Z84" i="7"/>
  <c r="AC83" i="7"/>
  <c r="Z82" i="7"/>
  <c r="AC81" i="7"/>
  <c r="Z80" i="7"/>
  <c r="AC79" i="7"/>
  <c r="Z78" i="7"/>
  <c r="AC77" i="7"/>
  <c r="Z76" i="7"/>
  <c r="Z75" i="7"/>
  <c r="AC74" i="7"/>
  <c r="Z73" i="7"/>
  <c r="Z72" i="7"/>
  <c r="Z71" i="7"/>
  <c r="Z70" i="7"/>
  <c r="Z69" i="7"/>
  <c r="Z68" i="7"/>
  <c r="Z67" i="7"/>
  <c r="AC66" i="7"/>
  <c r="AC65" i="7"/>
  <c r="AC64" i="7"/>
  <c r="AC63" i="7"/>
  <c r="Z62" i="7"/>
  <c r="Z61" i="7"/>
  <c r="Z60" i="7"/>
  <c r="AC59" i="7"/>
  <c r="AC58" i="7"/>
  <c r="Z57" i="7"/>
  <c r="AC56" i="7"/>
  <c r="AC55" i="7"/>
  <c r="Z53" i="7"/>
  <c r="Z52" i="7"/>
  <c r="Z51" i="7"/>
  <c r="Z50" i="7"/>
  <c r="Z49" i="7"/>
  <c r="Z48" i="7"/>
  <c r="AC47" i="7"/>
  <c r="AC46" i="7"/>
  <c r="AC45" i="7"/>
  <c r="Z44" i="7"/>
  <c r="AC43" i="7"/>
  <c r="Z42" i="7"/>
  <c r="Z41" i="7"/>
  <c r="AC40" i="7"/>
  <c r="Z39" i="7"/>
  <c r="AC38" i="7"/>
  <c r="AC37" i="7"/>
  <c r="Z36" i="7"/>
  <c r="Z35" i="7"/>
  <c r="Z34" i="7"/>
  <c r="Z33" i="7"/>
  <c r="Z32" i="7"/>
  <c r="Z31" i="7"/>
  <c r="Z30" i="7"/>
  <c r="AC29" i="7"/>
  <c r="AC28" i="7"/>
  <c r="AC27" i="7"/>
  <c r="AC26" i="7"/>
  <c r="Z25" i="7"/>
  <c r="AC24" i="7"/>
  <c r="Z23" i="7"/>
  <c r="AC22" i="7"/>
  <c r="AC21" i="7"/>
  <c r="AC20" i="7"/>
  <c r="Z19" i="7"/>
  <c r="Z18" i="7"/>
  <c r="AC17" i="7"/>
  <c r="AC16" i="7"/>
  <c r="Z15" i="7"/>
  <c r="AC14" i="7"/>
  <c r="AC13" i="7"/>
  <c r="Z12" i="7"/>
  <c r="Z11" i="7"/>
  <c r="Z10" i="7"/>
  <c r="AC9" i="7"/>
  <c r="Z8" i="7"/>
  <c r="AC7" i="7"/>
  <c r="AI28" i="7"/>
  <c r="AI24" i="7"/>
  <c r="AE69" i="7"/>
  <c r="AI82" i="7"/>
  <c r="AI125" i="7"/>
  <c r="AI63" i="7"/>
  <c r="AE60" i="7"/>
  <c r="AI37" i="7"/>
  <c r="AE26" i="7"/>
  <c r="AE104" i="7"/>
  <c r="AE121" i="7"/>
  <c r="AE130" i="7"/>
  <c r="AI26" i="7"/>
  <c r="AI58" i="7"/>
  <c r="AE95" i="7"/>
  <c r="AI80" i="7"/>
  <c r="AE42" i="7"/>
  <c r="AI96" i="7"/>
  <c r="AI16" i="7"/>
  <c r="AI87" i="7"/>
  <c r="AE80" i="7"/>
  <c r="AI33" i="7"/>
  <c r="AE14" i="7"/>
  <c r="AI116" i="7"/>
  <c r="AE105" i="7"/>
  <c r="AE126" i="7"/>
  <c r="AI74" i="7"/>
  <c r="AE123" i="7"/>
  <c r="AE124" i="7"/>
  <c r="AI73" i="7"/>
  <c r="AE38" i="7"/>
  <c r="AE18" i="7"/>
  <c r="AI121" i="7"/>
  <c r="AI131" i="7"/>
  <c r="AI98" i="7"/>
  <c r="AI14" i="7"/>
  <c r="AE47" i="7"/>
  <c r="AI49" i="7"/>
  <c r="AI126" i="7"/>
  <c r="AE119" i="7"/>
  <c r="AE73" i="7"/>
  <c r="AI51" i="7"/>
  <c r="AE41" i="7"/>
  <c r="AE7" i="7"/>
  <c r="AE44" i="7"/>
  <c r="AE50" i="7"/>
  <c r="AI113" i="7"/>
  <c r="AI84" i="7"/>
  <c r="AI90" i="7"/>
  <c r="AE67" i="7"/>
  <c r="AE40" i="7"/>
  <c r="AE29" i="7"/>
  <c r="AI86" i="7"/>
  <c r="AI68" i="7"/>
  <c r="AE30" i="7"/>
  <c r="AI19" i="7"/>
  <c r="AI79" i="7"/>
  <c r="AI111" i="7"/>
  <c r="AE99" i="7"/>
  <c r="AE16" i="7"/>
  <c r="AI9" i="7"/>
  <c r="AI132" i="7"/>
  <c r="AI7" i="7"/>
  <c r="AI108" i="7"/>
  <c r="AI101" i="7"/>
  <c r="AE90" i="7"/>
  <c r="AE72" i="7"/>
  <c r="AI57" i="7"/>
  <c r="AE70" i="7"/>
  <c r="AI45" i="7"/>
  <c r="AE35" i="7"/>
  <c r="AI12" i="7"/>
  <c r="AE36" i="7"/>
  <c r="AE9" i="7"/>
  <c r="AE97" i="7"/>
  <c r="AE87" i="7"/>
  <c r="AI52" i="7"/>
  <c r="AI22" i="7"/>
  <c r="AI71" i="7"/>
  <c r="AI8" i="7"/>
  <c r="AE28" i="7"/>
  <c r="AI21" i="7"/>
  <c r="AI92" i="7"/>
  <c r="AI94" i="7"/>
  <c r="AI47" i="7"/>
  <c r="AI110" i="7"/>
  <c r="AI55" i="7"/>
  <c r="AE46" i="7"/>
  <c r="AE12" i="7"/>
  <c r="AE78" i="7"/>
  <c r="AI129" i="7"/>
  <c r="AE19" i="7"/>
  <c r="AE39" i="7"/>
  <c r="AI75" i="7"/>
  <c r="AE115" i="7"/>
  <c r="AI36" i="7"/>
  <c r="AI100" i="7"/>
  <c r="AE76" i="7"/>
  <c r="AE49" i="7"/>
  <c r="AE62" i="7"/>
  <c r="AE102" i="7"/>
  <c r="AI43" i="7"/>
  <c r="AI44" i="7"/>
  <c r="AI17" i="7"/>
  <c r="AI18" i="7"/>
  <c r="AE83" i="7"/>
  <c r="AI109" i="7"/>
  <c r="AI118" i="7"/>
  <c r="AE54" i="7"/>
  <c r="AI34" i="7"/>
  <c r="AI23" i="7"/>
  <c r="AI72" i="7"/>
  <c r="AE114" i="7"/>
  <c r="AI99" i="7"/>
  <c r="AI93" i="7"/>
  <c r="AI95" i="7"/>
  <c r="AE68" i="7"/>
  <c r="AE13" i="7"/>
  <c r="AI31" i="7"/>
  <c r="AE92" i="7"/>
  <c r="AI85" i="7"/>
  <c r="AE86" i="7"/>
  <c r="AE122" i="7"/>
  <c r="AI91" i="7"/>
  <c r="AI64" i="7"/>
  <c r="AE61" i="7"/>
  <c r="AI30" i="7"/>
  <c r="AI29" i="7"/>
  <c r="AE110" i="7"/>
  <c r="AI89" i="7"/>
  <c r="AE109" i="7"/>
  <c r="AI56" i="7"/>
  <c r="AE112" i="7"/>
  <c r="AE52" i="7"/>
  <c r="AI124" i="7"/>
  <c r="AI62" i="7"/>
  <c r="AI48" i="7"/>
  <c r="AE11" i="7"/>
  <c r="AE10" i="7"/>
  <c r="AI59" i="7"/>
  <c r="AE98" i="7"/>
  <c r="AE77" i="7"/>
  <c r="AE94" i="7"/>
  <c r="AI115" i="7"/>
  <c r="AI67" i="7"/>
  <c r="AE20" i="7"/>
  <c r="AI39" i="7"/>
  <c r="AI53" i="7"/>
  <c r="AI38" i="7"/>
  <c r="AE32" i="7"/>
  <c r="AE21" i="7"/>
  <c r="AE43" i="7"/>
  <c r="AI60" i="7"/>
  <c r="AI54" i="7"/>
  <c r="AI11" i="7"/>
  <c r="AE108" i="7"/>
  <c r="AI107" i="7"/>
  <c r="AE23" i="7"/>
  <c r="AE66" i="7"/>
  <c r="AE71" i="7"/>
  <c r="AE17" i="7"/>
  <c r="AE103" i="7"/>
  <c r="AE65" i="7"/>
  <c r="AE88" i="7"/>
  <c r="AE15" i="7"/>
  <c r="AE111" i="7"/>
  <c r="AI123" i="7"/>
  <c r="AE27" i="7"/>
  <c r="AI78" i="7"/>
  <c r="AI41" i="7"/>
  <c r="AE96" i="7"/>
  <c r="AE74" i="7"/>
  <c r="AI61" i="7"/>
  <c r="AI105" i="7"/>
  <c r="AI81" i="7"/>
  <c r="AE57" i="7"/>
  <c r="AE25" i="7"/>
  <c r="AE118" i="7"/>
  <c r="AE53" i="7"/>
  <c r="AI13" i="7"/>
  <c r="AI50" i="7"/>
  <c r="AE55" i="7"/>
  <c r="AE59" i="7"/>
  <c r="AE113" i="7"/>
  <c r="AI106" i="7"/>
  <c r="AE125" i="7"/>
  <c r="AE131" i="7"/>
  <c r="AE84" i="7"/>
  <c r="AE89" i="7"/>
  <c r="AE82" i="7"/>
  <c r="AE129" i="7"/>
  <c r="AE56" i="7"/>
  <c r="AE45" i="7"/>
  <c r="AE58" i="7"/>
  <c r="AI25" i="7"/>
  <c r="AE127" i="7"/>
  <c r="AI104" i="7"/>
  <c r="AI97" i="7"/>
  <c r="AE91" i="7"/>
  <c r="AE64" i="7"/>
  <c r="AE31" i="7"/>
  <c r="AI120" i="7"/>
  <c r="AE85" i="7"/>
  <c r="AI66" i="7"/>
  <c r="AI27" i="7"/>
  <c r="AI20" i="7"/>
  <c r="AE33" i="7"/>
  <c r="AE81" i="7"/>
  <c r="AI119" i="7"/>
  <c r="AE116" i="7"/>
  <c r="AE117" i="7"/>
  <c r="AI114" i="7"/>
  <c r="AE100" i="7"/>
  <c r="AE63" i="7"/>
  <c r="AI112" i="7"/>
  <c r="AE101" i="7"/>
  <c r="AI122" i="7"/>
  <c r="AI102" i="7"/>
  <c r="AI103" i="7"/>
  <c r="AE24" i="7"/>
  <c r="AI69" i="7"/>
  <c r="AI70" i="7"/>
  <c r="AE107" i="7"/>
  <c r="AI40" i="7"/>
  <c r="AE37" i="7"/>
  <c r="AI46" i="7"/>
  <c r="AI130" i="7"/>
  <c r="AI15" i="7"/>
  <c r="AI83" i="7"/>
  <c r="AI77" i="7"/>
  <c r="AE51" i="7"/>
  <c r="AE48" i="7"/>
  <c r="AI127" i="7"/>
  <c r="AE75" i="7"/>
  <c r="AI65" i="7"/>
  <c r="AI42" i="7"/>
  <c r="AE120" i="7"/>
  <c r="AE8" i="7"/>
  <c r="AE79" i="7"/>
  <c r="AI10" i="7"/>
  <c r="AI88" i="7"/>
  <c r="AE132" i="7"/>
  <c r="AI76" i="7"/>
  <c r="AI35" i="7"/>
  <c r="AE34" i="7"/>
  <c r="AI128" i="7"/>
  <c r="AI32" i="7"/>
  <c r="AE128" i="7"/>
  <c r="AE22" i="7"/>
  <c r="AI117" i="7"/>
  <c r="AE106" i="7"/>
  <c r="AE93" i="7"/>
  <c r="AJ10" i="7" l="1"/>
  <c r="AH100" i="7"/>
  <c r="AH28" i="7"/>
  <c r="AJ79" i="7"/>
  <c r="AH71" i="7"/>
  <c r="AJ30" i="7"/>
  <c r="AH38" i="7"/>
  <c r="AJ50" i="7"/>
  <c r="AJ94" i="7"/>
  <c r="AJ114" i="7"/>
  <c r="AH74" i="7"/>
  <c r="AH21" i="7"/>
  <c r="AH41" i="7"/>
  <c r="AH61" i="7"/>
  <c r="AJ73" i="7"/>
  <c r="AH93" i="7"/>
  <c r="AJ105" i="7"/>
  <c r="AH117" i="7"/>
  <c r="AJ8" i="7"/>
  <c r="AH32" i="7"/>
  <c r="AJ48" i="7"/>
  <c r="AJ64" i="7"/>
  <c r="AH124" i="7"/>
  <c r="AJ36" i="7"/>
  <c r="AJ92" i="7"/>
  <c r="AH116" i="7"/>
  <c r="AH96" i="7"/>
  <c r="AJ19" i="7"/>
  <c r="AJ51" i="7"/>
  <c r="AJ91" i="7"/>
  <c r="AH123" i="7"/>
  <c r="AH115" i="7"/>
  <c r="AJ119" i="7"/>
  <c r="AJ71" i="7"/>
  <c r="AJ38" i="7"/>
  <c r="AJ62" i="7"/>
  <c r="AH122" i="7"/>
  <c r="AJ74" i="7"/>
  <c r="AH106" i="7"/>
  <c r="AJ61" i="7"/>
  <c r="AH81" i="7"/>
  <c r="AJ22" i="7"/>
  <c r="AH30" i="7"/>
  <c r="AH66" i="7"/>
  <c r="AH86" i="7"/>
  <c r="AH126" i="7"/>
  <c r="AJ13" i="7"/>
  <c r="AJ21" i="7"/>
  <c r="AH33" i="7"/>
  <c r="AJ41" i="7"/>
  <c r="AJ53" i="7"/>
  <c r="AH73" i="7"/>
  <c r="AJ85" i="7"/>
  <c r="AH105" i="7"/>
  <c r="AJ117" i="7"/>
  <c r="AH8" i="7"/>
  <c r="AJ20" i="7"/>
  <c r="AJ52" i="7"/>
  <c r="AJ68" i="7"/>
  <c r="AJ124" i="7"/>
  <c r="AH92" i="7"/>
  <c r="AJ116" i="7"/>
  <c r="AJ75" i="7"/>
  <c r="AH120" i="7"/>
  <c r="AJ27" i="7"/>
  <c r="AH87" i="7"/>
  <c r="AJ39" i="7"/>
  <c r="AH119" i="7"/>
  <c r="AJ31" i="7"/>
  <c r="AH14" i="7"/>
  <c r="AH22" i="7"/>
  <c r="AJ42" i="7"/>
  <c r="AJ66" i="7"/>
  <c r="AJ78" i="7"/>
  <c r="AJ86" i="7"/>
  <c r="AJ126" i="7"/>
  <c r="AH13" i="7"/>
  <c r="AJ33" i="7"/>
  <c r="AH53" i="7"/>
  <c r="AJ65" i="7"/>
  <c r="AH85" i="7"/>
  <c r="AH97" i="7"/>
  <c r="AH20" i="7"/>
  <c r="AH52" i="7"/>
  <c r="AH68" i="7"/>
  <c r="AH80" i="7"/>
  <c r="AH128" i="7"/>
  <c r="AH75" i="7"/>
  <c r="AJ120" i="7"/>
  <c r="AH27" i="7"/>
  <c r="AJ67" i="7"/>
  <c r="AH23" i="7"/>
  <c r="AJ95" i="7"/>
  <c r="AJ87" i="7"/>
  <c r="AJ127" i="7"/>
  <c r="AH31" i="7"/>
  <c r="AH9" i="7"/>
  <c r="AH29" i="7"/>
  <c r="AJ49" i="7"/>
  <c r="AJ93" i="7"/>
  <c r="AJ16" i="7"/>
  <c r="AJ32" i="7"/>
  <c r="AH48" i="7"/>
  <c r="AH64" i="7"/>
  <c r="AH36" i="7"/>
  <c r="AH88" i="7"/>
  <c r="AH112" i="7"/>
  <c r="AJ99" i="7"/>
  <c r="AJ96" i="7"/>
  <c r="AH19" i="7"/>
  <c r="AH51" i="7"/>
  <c r="AH91" i="7"/>
  <c r="AJ123" i="7"/>
  <c r="AJ115" i="7"/>
  <c r="AH47" i="7"/>
  <c r="AH114" i="7"/>
  <c r="AH42" i="7"/>
  <c r="AJ77" i="7"/>
  <c r="AJ97" i="7"/>
  <c r="AJ12" i="7"/>
  <c r="AH40" i="7"/>
  <c r="AJ56" i="7"/>
  <c r="AJ72" i="7"/>
  <c r="AJ80" i="7"/>
  <c r="AJ128" i="7"/>
  <c r="AJ83" i="7"/>
  <c r="AJ104" i="7"/>
  <c r="AH35" i="7"/>
  <c r="AH67" i="7"/>
  <c r="AJ107" i="7"/>
  <c r="AJ23" i="7"/>
  <c r="AH95" i="7"/>
  <c r="AJ129" i="7"/>
  <c r="AJ15" i="7"/>
  <c r="AH127" i="7"/>
  <c r="AH111" i="7"/>
  <c r="AJ14" i="7"/>
  <c r="AJ34" i="7"/>
  <c r="AJ58" i="7"/>
  <c r="AH78" i="7"/>
  <c r="AJ130" i="7"/>
  <c r="AJ25" i="7"/>
  <c r="AJ45" i="7"/>
  <c r="AH65" i="7"/>
  <c r="AH109" i="7"/>
  <c r="AH54" i="7"/>
  <c r="AJ26" i="7"/>
  <c r="AH34" i="7"/>
  <c r="AJ46" i="7"/>
  <c r="AH70" i="7"/>
  <c r="AJ90" i="7"/>
  <c r="AJ98" i="7"/>
  <c r="AJ118" i="7"/>
  <c r="AH130" i="7"/>
  <c r="AH25" i="7"/>
  <c r="AH37" i="7"/>
  <c r="AJ57" i="7"/>
  <c r="AH77" i="7"/>
  <c r="AJ89" i="7"/>
  <c r="AJ109" i="7"/>
  <c r="AH121" i="7"/>
  <c r="AH12" i="7"/>
  <c r="AJ40" i="7"/>
  <c r="AH72" i="7"/>
  <c r="AJ84" i="7"/>
  <c r="AH83" i="7"/>
  <c r="AH104" i="7"/>
  <c r="AJ35" i="7"/>
  <c r="AH107" i="7"/>
  <c r="AH129" i="7"/>
  <c r="AH15" i="7"/>
  <c r="AH103" i="7"/>
  <c r="AJ131" i="7"/>
  <c r="AJ18" i="7"/>
  <c r="AH26" i="7"/>
  <c r="AH46" i="7"/>
  <c r="AJ70" i="7"/>
  <c r="AH82" i="7"/>
  <c r="AH90" i="7"/>
  <c r="AH110" i="7"/>
  <c r="AJ17" i="7"/>
  <c r="AJ37" i="7"/>
  <c r="AH57" i="7"/>
  <c r="AJ69" i="7"/>
  <c r="AH89" i="7"/>
  <c r="AJ101" i="7"/>
  <c r="AJ113" i="7"/>
  <c r="AJ121" i="7"/>
  <c r="AJ44" i="7"/>
  <c r="AH60" i="7"/>
  <c r="AJ76" i="7"/>
  <c r="AH24" i="7"/>
  <c r="AH84" i="7"/>
  <c r="AJ108" i="7"/>
  <c r="AJ59" i="7"/>
  <c r="AJ11" i="7"/>
  <c r="AJ43" i="7"/>
  <c r="AJ63" i="7"/>
  <c r="AJ55" i="7"/>
  <c r="AJ103" i="7"/>
  <c r="AJ7" i="7"/>
  <c r="AH50" i="7"/>
  <c r="AJ54" i="7"/>
  <c r="AH102" i="7"/>
  <c r="AJ125" i="7"/>
  <c r="AH132" i="7"/>
  <c r="AJ102" i="7"/>
  <c r="AJ132" i="7"/>
  <c r="AH10" i="7"/>
  <c r="AH18" i="7"/>
  <c r="AH62" i="7"/>
  <c r="AJ82" i="7"/>
  <c r="AJ110" i="7"/>
  <c r="AJ122" i="7"/>
  <c r="AJ106" i="7"/>
  <c r="AJ9" i="7"/>
  <c r="AH17" i="7"/>
  <c r="AJ29" i="7"/>
  <c r="AH49" i="7"/>
  <c r="AJ81" i="7"/>
  <c r="AH113" i="7"/>
  <c r="AH16" i="7"/>
  <c r="AH44" i="7"/>
  <c r="AJ60" i="7"/>
  <c r="AH76" i="7"/>
  <c r="AJ24" i="7"/>
  <c r="AJ88" i="7"/>
  <c r="AJ112" i="7"/>
  <c r="AH99" i="7"/>
  <c r="AH11" i="7"/>
  <c r="AJ100" i="7"/>
  <c r="AJ28" i="7"/>
  <c r="AJ47" i="7"/>
  <c r="AH63" i="7"/>
  <c r="AH55" i="7"/>
  <c r="AJ111" i="7"/>
  <c r="AH7" i="7"/>
  <c r="AH125" i="7"/>
  <c r="AH58" i="7"/>
  <c r="AH94" i="7"/>
  <c r="AH101" i="7"/>
  <c r="AH56" i="7"/>
  <c r="AH108" i="7"/>
  <c r="AH59" i="7"/>
  <c r="AH79" i="7"/>
  <c r="AH39" i="7"/>
  <c r="AH131" i="7"/>
  <c r="AH98" i="7"/>
  <c r="AH45" i="7"/>
  <c r="AH118" i="7"/>
  <c r="AH69" i="7"/>
  <c r="AH43" i="7"/>
  <c r="X35" i="6"/>
  <c r="X33" i="6"/>
  <c r="X31" i="6"/>
  <c r="T29" i="6"/>
  <c r="T27" i="6"/>
  <c r="X25" i="6"/>
  <c r="X23" i="6"/>
  <c r="T21" i="6"/>
  <c r="AA19" i="6"/>
  <c r="AA17" i="6"/>
  <c r="X15" i="6"/>
  <c r="AA13" i="6"/>
  <c r="AA11" i="6"/>
  <c r="L19" i="6"/>
  <c r="L13" i="6"/>
  <c r="T35" i="6"/>
  <c r="T23" i="6"/>
  <c r="X17" i="6"/>
  <c r="X9" i="6"/>
  <c r="X36" i="6"/>
  <c r="AA28" i="6"/>
  <c r="X22" i="6"/>
  <c r="AA14" i="6"/>
  <c r="AA32" i="6"/>
  <c r="X26" i="6"/>
  <c r="X16" i="6"/>
  <c r="L10" i="6"/>
  <c r="L34" i="6"/>
  <c r="X30" i="6"/>
  <c r="T20" i="6"/>
  <c r="T14" i="6"/>
  <c r="AA35" i="6"/>
  <c r="AA33" i="6"/>
  <c r="AA31" i="6"/>
  <c r="AA29" i="6"/>
  <c r="AA27" i="6"/>
  <c r="AA25" i="6"/>
  <c r="AA23" i="6"/>
  <c r="X21" i="6"/>
  <c r="X19" i="6"/>
  <c r="T17" i="6"/>
  <c r="L15" i="6"/>
  <c r="X13" i="6"/>
  <c r="L11" i="6"/>
  <c r="AA9" i="6"/>
  <c r="T31" i="6"/>
  <c r="L23" i="6"/>
  <c r="L17" i="6"/>
  <c r="X11" i="6"/>
  <c r="L31" i="6"/>
  <c r="X27" i="6"/>
  <c r="L21" i="6"/>
  <c r="AA15" i="6"/>
  <c r="X34" i="6"/>
  <c r="T26" i="6"/>
  <c r="AA18" i="6"/>
  <c r="X10" i="6"/>
  <c r="T30" i="6"/>
  <c r="L24" i="6"/>
  <c r="L20" i="6"/>
  <c r="X14" i="6"/>
  <c r="L8" i="6"/>
  <c r="L32" i="6"/>
  <c r="AA26" i="6"/>
  <c r="L18" i="6"/>
  <c r="L12" i="6"/>
  <c r="L35" i="6"/>
  <c r="L33" i="6"/>
  <c r="L29" i="6"/>
  <c r="L27" i="6"/>
  <c r="AA21" i="6"/>
  <c r="X29" i="6"/>
  <c r="T13" i="6"/>
  <c r="L30" i="6"/>
  <c r="AA20" i="6"/>
  <c r="X8" i="6"/>
  <c r="AA34" i="6"/>
  <c r="X18" i="6"/>
  <c r="T24" i="6"/>
  <c r="T8" i="6"/>
  <c r="T36" i="6"/>
  <c r="T34" i="6"/>
  <c r="T32" i="6"/>
  <c r="AA30" i="6"/>
  <c r="T28" i="6"/>
  <c r="L26" i="6"/>
  <c r="X24" i="6"/>
  <c r="T22" i="6"/>
  <c r="X20" i="6"/>
  <c r="T18" i="6"/>
  <c r="AA16" i="6"/>
  <c r="L14" i="6"/>
  <c r="AA12" i="6"/>
  <c r="AA10" i="6"/>
  <c r="AA8" i="6"/>
  <c r="T9" i="6"/>
  <c r="L25" i="6"/>
  <c r="T15" i="6"/>
  <c r="L9" i="6"/>
  <c r="T33" i="6"/>
  <c r="T25" i="6"/>
  <c r="T19" i="6"/>
  <c r="T11" i="6"/>
  <c r="X32" i="6"/>
  <c r="AA24" i="6"/>
  <c r="T16" i="6"/>
  <c r="T12" i="6"/>
  <c r="L36" i="6"/>
  <c r="X28" i="6"/>
  <c r="AA22" i="6"/>
  <c r="X12" i="6"/>
  <c r="AA36" i="6"/>
  <c r="L28" i="6"/>
  <c r="L22" i="6"/>
  <c r="L16" i="6"/>
  <c r="T10" i="6"/>
  <c r="B4" i="6" l="1"/>
  <c r="T7" i="6"/>
  <c r="AA7" i="6"/>
  <c r="L7" i="6"/>
  <c r="X7" i="6"/>
  <c r="C4" i="6"/>
  <c r="U12" i="6"/>
  <c r="R15" i="6"/>
  <c r="N26" i="6"/>
  <c r="O8" i="6"/>
  <c r="Z30" i="6"/>
  <c r="W12" i="6"/>
  <c r="U13" i="6"/>
  <c r="N8" i="6"/>
  <c r="Q18" i="6"/>
  <c r="R29" i="6"/>
  <c r="O17" i="6"/>
  <c r="Z18" i="6"/>
  <c r="U28" i="6"/>
  <c r="Z31" i="6"/>
  <c r="R8" i="6"/>
  <c r="R16" i="6"/>
  <c r="Q27" i="6"/>
  <c r="Q32" i="6"/>
  <c r="O26" i="6"/>
  <c r="Q7" i="6"/>
  <c r="W7" i="6"/>
  <c r="R7" i="6"/>
  <c r="O7" i="6"/>
  <c r="Z7" i="6"/>
  <c r="O31" i="6"/>
  <c r="N36" i="6"/>
  <c r="R26" i="6"/>
  <c r="N20" i="6"/>
  <c r="Q10" i="6"/>
  <c r="Z22" i="6"/>
  <c r="W25" i="6"/>
  <c r="W9" i="6"/>
  <c r="U32" i="6"/>
  <c r="O30" i="6"/>
  <c r="O28" i="6"/>
  <c r="O12" i="6"/>
  <c r="O35" i="6"/>
  <c r="O27" i="6"/>
  <c r="O19" i="6"/>
  <c r="O11" i="6"/>
  <c r="Q35" i="6"/>
  <c r="N32" i="6"/>
  <c r="N30" i="6"/>
  <c r="N27" i="6"/>
  <c r="N24" i="6"/>
  <c r="N22" i="6"/>
  <c r="N19" i="6"/>
  <c r="Q16" i="6"/>
  <c r="Q14" i="6"/>
  <c r="R11" i="6"/>
  <c r="Q8" i="6"/>
  <c r="U10" i="6"/>
  <c r="W31" i="6"/>
  <c r="U31" i="6"/>
  <c r="U29" i="6"/>
  <c r="W35" i="6"/>
  <c r="W28" i="6"/>
  <c r="W19" i="6"/>
  <c r="U7" i="6"/>
  <c r="Z19" i="6"/>
  <c r="U27" i="6"/>
  <c r="W21" i="6"/>
  <c r="Z25" i="6"/>
  <c r="O10" i="6"/>
  <c r="N21" i="6"/>
  <c r="W10" i="6"/>
  <c r="W14" i="6"/>
  <c r="R32" i="6"/>
  <c r="N10" i="6"/>
  <c r="U9" i="6"/>
  <c r="O24" i="6"/>
  <c r="R23" i="6"/>
  <c r="R10" i="6"/>
  <c r="W22" i="6"/>
  <c r="Z34" i="6"/>
  <c r="R28" i="6"/>
  <c r="N12" i="6"/>
  <c r="W24" i="6"/>
  <c r="U22" i="6"/>
  <c r="O22" i="6"/>
  <c r="N33" i="6"/>
  <c r="R31" i="6"/>
  <c r="N28" i="6"/>
  <c r="Q25" i="6"/>
  <c r="N23" i="6"/>
  <c r="R20" i="6"/>
  <c r="Q17" i="6"/>
  <c r="N15" i="6"/>
  <c r="R12" i="6"/>
  <c r="Q9" i="6"/>
  <c r="N7" i="6"/>
  <c r="W23" i="6"/>
  <c r="W33" i="6"/>
  <c r="U21" i="6"/>
  <c r="W32" i="6"/>
  <c r="U33" i="6"/>
  <c r="Z14" i="6"/>
  <c r="W8" i="6"/>
  <c r="Z35" i="6"/>
  <c r="U14" i="6"/>
  <c r="W29" i="6"/>
  <c r="U8" i="6"/>
  <c r="O34" i="6"/>
  <c r="R35" i="6"/>
  <c r="R24" i="6"/>
  <c r="Q13" i="6"/>
  <c r="Z12" i="6"/>
  <c r="Z11" i="6"/>
  <c r="W11" i="6"/>
  <c r="Z21" i="6"/>
  <c r="O33" i="6"/>
  <c r="O9" i="6"/>
  <c r="Q26" i="6"/>
  <c r="R21" i="6"/>
  <c r="N13" i="6"/>
  <c r="Z36" i="6"/>
  <c r="U17" i="6"/>
  <c r="U20" i="6"/>
  <c r="U16" i="6"/>
  <c r="O32" i="6"/>
  <c r="Q34" i="6"/>
  <c r="Q29" i="6"/>
  <c r="N18" i="6"/>
  <c r="P7" i="6"/>
  <c r="Z15" i="6"/>
  <c r="U19" i="6"/>
  <c r="W13" i="6"/>
  <c r="O23" i="6"/>
  <c r="N34" i="6"/>
  <c r="Q23" i="6"/>
  <c r="Q15" i="6"/>
  <c r="Z20" i="6"/>
  <c r="Z27" i="6"/>
  <c r="O14" i="6"/>
  <c r="R36" i="6"/>
  <c r="O29" i="6"/>
  <c r="O21" i="6"/>
  <c r="O13" i="6"/>
  <c r="Q36" i="6"/>
  <c r="Q33" i="6"/>
  <c r="R30" i="6"/>
  <c r="Q28" i="6"/>
  <c r="R25" i="6"/>
  <c r="R22" i="6"/>
  <c r="Q20" i="6"/>
  <c r="R17" i="6"/>
  <c r="R14" i="6"/>
  <c r="Q12" i="6"/>
  <c r="N9" i="6"/>
  <c r="U26" i="6"/>
  <c r="Z9" i="6"/>
  <c r="Z23" i="6"/>
  <c r="Z16" i="6"/>
  <c r="U30" i="6"/>
  <c r="W36" i="6"/>
  <c r="W30" i="6"/>
  <c r="Z8" i="6"/>
  <c r="Z26" i="6"/>
  <c r="O18" i="6"/>
  <c r="N29" i="6"/>
  <c r="Q19" i="6"/>
  <c r="N11" i="6"/>
  <c r="U34" i="6"/>
  <c r="Z17" i="6"/>
  <c r="U15" i="6"/>
  <c r="O25" i="6"/>
  <c r="R34" i="6"/>
  <c r="Q24" i="6"/>
  <c r="N16" i="6"/>
  <c r="W15" i="6"/>
  <c r="W34" i="6"/>
  <c r="Z29" i="6"/>
  <c r="W16" i="6"/>
  <c r="O16" i="6"/>
  <c r="Q31" i="6"/>
  <c r="Q21" i="6"/>
  <c r="R13" i="6"/>
  <c r="U18" i="6"/>
  <c r="Z13" i="6"/>
  <c r="U36" i="6"/>
  <c r="W17" i="6"/>
  <c r="Z32" i="6"/>
  <c r="O15" i="6"/>
  <c r="N31" i="6"/>
  <c r="R18" i="6"/>
  <c r="W18" i="6"/>
  <c r="U11" i="6"/>
  <c r="Z10" i="6"/>
  <c r="O36" i="6"/>
  <c r="O20" i="6"/>
  <c r="N35" i="6"/>
  <c r="R33" i="6"/>
  <c r="Q30" i="6"/>
  <c r="R27" i="6"/>
  <c r="N25" i="6"/>
  <c r="Q22" i="6"/>
  <c r="R19" i="6"/>
  <c r="N17" i="6"/>
  <c r="N14" i="6"/>
  <c r="Q11" i="6"/>
  <c r="R9" i="6"/>
  <c r="Z28" i="6"/>
  <c r="U23" i="6"/>
  <c r="W26" i="6"/>
  <c r="W27" i="6"/>
  <c r="Z24" i="6"/>
  <c r="W20" i="6"/>
  <c r="U25" i="6"/>
  <c r="U35" i="6"/>
  <c r="U24" i="6"/>
  <c r="Z33" i="6"/>
  <c r="AB36" i="6" l="1"/>
  <c r="Y36" i="6"/>
  <c r="V36" i="6"/>
  <c r="AB35" i="6"/>
  <c r="Y35" i="6"/>
  <c r="V35" i="6"/>
  <c r="AB34" i="6"/>
  <c r="Y34" i="6"/>
  <c r="V34" i="6"/>
  <c r="AB33" i="6"/>
  <c r="Y33" i="6"/>
  <c r="V33" i="6"/>
  <c r="AB32" i="6"/>
  <c r="Y32" i="6"/>
  <c r="V32" i="6"/>
  <c r="AB31" i="6"/>
  <c r="Y31" i="6"/>
  <c r="V31" i="6"/>
  <c r="AB30" i="6"/>
  <c r="Y30" i="6"/>
  <c r="V30" i="6"/>
  <c r="AB29" i="6"/>
  <c r="Y29" i="6"/>
  <c r="V29" i="6"/>
  <c r="AB28" i="6"/>
  <c r="Y28" i="6"/>
  <c r="V28" i="6"/>
  <c r="AB27" i="6"/>
  <c r="Y27" i="6"/>
  <c r="V27" i="6"/>
  <c r="AB26" i="6"/>
  <c r="Y26" i="6"/>
  <c r="V26" i="6"/>
  <c r="AB25" i="6"/>
  <c r="Y25" i="6"/>
  <c r="V25" i="6"/>
  <c r="AB24" i="6"/>
  <c r="Y24" i="6"/>
  <c r="V24" i="6"/>
  <c r="AB23" i="6"/>
  <c r="Y23" i="6"/>
  <c r="V23" i="6"/>
  <c r="AB22" i="6"/>
  <c r="Y22" i="6"/>
  <c r="V22" i="6"/>
  <c r="AB21" i="6"/>
  <c r="Y21" i="6"/>
  <c r="V21" i="6"/>
  <c r="AB20" i="6"/>
  <c r="Y20" i="6"/>
  <c r="V20" i="6"/>
  <c r="AB19" i="6"/>
  <c r="Y19" i="6"/>
  <c r="V19" i="6"/>
  <c r="AB18" i="6"/>
  <c r="Y18" i="6"/>
  <c r="V18" i="6"/>
  <c r="AB17" i="6"/>
  <c r="Y17" i="6"/>
  <c r="V17" i="6"/>
  <c r="AB16" i="6"/>
  <c r="Y16" i="6"/>
  <c r="V16" i="6"/>
  <c r="AB15" i="6"/>
  <c r="Y15" i="6"/>
  <c r="V15" i="6"/>
  <c r="AB14" i="6"/>
  <c r="Y14" i="6"/>
  <c r="V14" i="6"/>
  <c r="AB13" i="6"/>
  <c r="Y13" i="6"/>
  <c r="V13" i="6"/>
  <c r="AB12" i="6"/>
  <c r="Y12" i="6"/>
  <c r="V12" i="6"/>
  <c r="AB11" i="6"/>
  <c r="Y11" i="6"/>
  <c r="V11" i="6"/>
  <c r="AB10" i="6"/>
  <c r="Y10" i="6"/>
  <c r="V10" i="6"/>
  <c r="AB9" i="6"/>
  <c r="Y9" i="6"/>
  <c r="V9" i="6"/>
  <c r="AB8" i="6"/>
  <c r="Y8" i="6"/>
  <c r="V8" i="6"/>
  <c r="AB7" i="6"/>
  <c r="Y7" i="6"/>
  <c r="V7" i="6"/>
  <c r="P14" i="6"/>
  <c r="P9" i="6"/>
  <c r="P12" i="6"/>
  <c r="P32" i="6"/>
  <c r="P35" i="6"/>
  <c r="P22" i="6"/>
  <c r="P17" i="6"/>
  <c r="P34" i="6"/>
  <c r="P10" i="6"/>
  <c r="P20" i="6"/>
  <c r="P13" i="6"/>
  <c r="P8" i="6"/>
  <c r="P31" i="6"/>
  <c r="P25" i="6"/>
  <c r="P18" i="6"/>
  <c r="P21" i="6"/>
  <c r="P36" i="6"/>
  <c r="P19" i="6"/>
  <c r="P26" i="6"/>
  <c r="P16" i="6"/>
  <c r="P23" i="6"/>
  <c r="P24" i="6"/>
  <c r="P11" i="6"/>
  <c r="P28" i="6"/>
  <c r="P27" i="6"/>
  <c r="P29" i="6"/>
  <c r="P33" i="6"/>
  <c r="P30" i="6"/>
  <c r="P15" i="6"/>
  <c r="P3" i="6" l="1"/>
  <c r="N3" i="6"/>
  <c r="Q3" i="6"/>
  <c r="G132" i="4"/>
  <c r="L132" i="4"/>
  <c r="AB132" i="4"/>
  <c r="X132" i="4"/>
  <c r="T132" i="4"/>
  <c r="G131" i="4" l="1"/>
  <c r="X131" i="4"/>
  <c r="T131" i="4"/>
  <c r="L131" i="4"/>
  <c r="AB131" i="4"/>
  <c r="G130" i="4" l="1"/>
  <c r="X130" i="4"/>
  <c r="L130" i="4"/>
  <c r="T130" i="4"/>
  <c r="AB130" i="4"/>
  <c r="G129" i="4" l="1"/>
  <c r="T129" i="4"/>
  <c r="X129" i="4"/>
  <c r="L129" i="4"/>
  <c r="AB129" i="4"/>
  <c r="G128" i="4" l="1"/>
  <c r="AB128" i="4"/>
  <c r="T128" i="4"/>
  <c r="X128" i="4"/>
  <c r="L128" i="4"/>
  <c r="G127" i="4" l="1"/>
  <c r="L127" i="4"/>
  <c r="T127" i="4"/>
  <c r="X127" i="4"/>
  <c r="AB127" i="4"/>
  <c r="G126" i="4" l="1"/>
  <c r="X126" i="4"/>
  <c r="L126" i="4"/>
  <c r="T126" i="4"/>
  <c r="AB126" i="4"/>
  <c r="G125" i="4" l="1"/>
  <c r="L125" i="4"/>
  <c r="X125" i="4"/>
  <c r="AB125" i="4"/>
  <c r="T125" i="4"/>
  <c r="G124" i="4" l="1"/>
  <c r="L124" i="4"/>
  <c r="T124" i="4"/>
  <c r="X124" i="4"/>
  <c r="AB124" i="4"/>
  <c r="G123" i="4" l="1"/>
  <c r="X123" i="4"/>
  <c r="L123" i="4"/>
  <c r="AB123" i="4"/>
  <c r="T123" i="4"/>
  <c r="G122" i="4" l="1"/>
  <c r="AB122" i="4"/>
  <c r="T122" i="4"/>
  <c r="L122" i="4"/>
  <c r="X122" i="4"/>
  <c r="G121" i="4" l="1"/>
  <c r="AB121" i="4"/>
  <c r="L121" i="4"/>
  <c r="X121" i="4"/>
  <c r="T121" i="4"/>
  <c r="G120" i="4" l="1"/>
  <c r="X120" i="4"/>
  <c r="AB120" i="4"/>
  <c r="L120" i="4"/>
  <c r="T120" i="4"/>
  <c r="G119" i="4" l="1"/>
  <c r="L119" i="4"/>
  <c r="T119" i="4"/>
  <c r="AB119" i="4"/>
  <c r="X119" i="4"/>
  <c r="G118" i="4" l="1"/>
  <c r="AB118" i="4"/>
  <c r="T118" i="4"/>
  <c r="X118" i="4"/>
  <c r="L118" i="4"/>
  <c r="G117" i="4" l="1"/>
  <c r="X117" i="4"/>
  <c r="AB117" i="4"/>
  <c r="L117" i="4"/>
  <c r="T117" i="4"/>
  <c r="G116" i="4" l="1"/>
  <c r="L116" i="4"/>
  <c r="X116" i="4"/>
  <c r="AB116" i="4"/>
  <c r="T116" i="4"/>
  <c r="G115" i="4" l="1"/>
  <c r="L115" i="4"/>
  <c r="T115" i="4"/>
  <c r="X115" i="4"/>
  <c r="AB115" i="4"/>
  <c r="G114" i="4" l="1"/>
  <c r="X114" i="4"/>
  <c r="T114" i="4"/>
  <c r="AB114" i="4"/>
  <c r="L114" i="4"/>
  <c r="G113" i="4" l="1"/>
  <c r="T113" i="4"/>
  <c r="X113" i="4"/>
  <c r="AB113" i="4"/>
  <c r="L113" i="4"/>
  <c r="G112" i="4" l="1"/>
  <c r="AB112" i="4"/>
  <c r="L112" i="4"/>
  <c r="X112" i="4"/>
  <c r="T112" i="4"/>
  <c r="G111" i="4" l="1"/>
  <c r="L111" i="4"/>
  <c r="T111" i="4"/>
  <c r="X111" i="4"/>
  <c r="AB111" i="4"/>
  <c r="G110" i="4" l="1"/>
  <c r="AB110" i="4"/>
  <c r="X110" i="4"/>
  <c r="T110" i="4"/>
  <c r="L110" i="4"/>
  <c r="G109" i="4" l="1"/>
  <c r="X109" i="4"/>
  <c r="L109" i="4"/>
  <c r="T109" i="4"/>
  <c r="AB109" i="4"/>
  <c r="G108" i="4" l="1"/>
  <c r="X108" i="4"/>
  <c r="AB108" i="4"/>
  <c r="L108" i="4"/>
  <c r="T108" i="4"/>
  <c r="G107" i="4" l="1"/>
  <c r="T107" i="4"/>
  <c r="AB107" i="4"/>
  <c r="X107" i="4"/>
  <c r="L107" i="4"/>
  <c r="G106" i="4" l="1"/>
  <c r="AB106" i="4"/>
  <c r="T106" i="4"/>
  <c r="L106" i="4"/>
  <c r="X106" i="4"/>
  <c r="G105" i="4" l="1"/>
  <c r="L105" i="4"/>
  <c r="AB105" i="4"/>
  <c r="T105" i="4"/>
  <c r="X105" i="4"/>
  <c r="G104" i="4" l="1"/>
  <c r="X104" i="4"/>
  <c r="T104" i="4"/>
  <c r="AB104" i="4"/>
  <c r="L104" i="4"/>
  <c r="G103" i="4" l="1"/>
  <c r="L103" i="4"/>
  <c r="X103" i="4"/>
  <c r="AB103" i="4"/>
  <c r="T103" i="4"/>
  <c r="G102" i="4" l="1"/>
  <c r="X102" i="4"/>
  <c r="T102" i="4"/>
  <c r="L102" i="4"/>
  <c r="AB102" i="4"/>
  <c r="G101" i="4" l="1"/>
  <c r="L101" i="4"/>
  <c r="AB101" i="4"/>
  <c r="T101" i="4"/>
  <c r="X101" i="4"/>
  <c r="G100" i="4" l="1"/>
  <c r="AB100" i="4"/>
  <c r="X100" i="4"/>
  <c r="T100" i="4"/>
  <c r="L100" i="4"/>
  <c r="G99" i="4" l="1"/>
  <c r="AB99" i="4"/>
  <c r="X99" i="4"/>
  <c r="T99" i="4"/>
  <c r="L99" i="4"/>
  <c r="G98" i="4" l="1"/>
  <c r="T98" i="4"/>
  <c r="L98" i="4"/>
  <c r="AB98" i="4"/>
  <c r="X98" i="4"/>
  <c r="G97" i="4" l="1"/>
  <c r="X97" i="4"/>
  <c r="L97" i="4"/>
  <c r="T97" i="4"/>
  <c r="AB97" i="4"/>
  <c r="G96" i="4" l="1"/>
  <c r="L96" i="4"/>
  <c r="AB96" i="4"/>
  <c r="T96" i="4"/>
  <c r="X96" i="4"/>
  <c r="G95" i="4" l="1"/>
  <c r="AB95" i="4"/>
  <c r="L95" i="4"/>
  <c r="X95" i="4"/>
  <c r="T95" i="4"/>
  <c r="G94" i="4" l="1"/>
  <c r="L94" i="4"/>
  <c r="AB94" i="4"/>
  <c r="T94" i="4"/>
  <c r="X94" i="4"/>
  <c r="G93" i="4" l="1"/>
  <c r="L93" i="4"/>
  <c r="T93" i="4"/>
  <c r="X93" i="4"/>
  <c r="AB93" i="4"/>
  <c r="G92" i="4" l="1"/>
  <c r="L92" i="4"/>
  <c r="AB92" i="4"/>
  <c r="T92" i="4"/>
  <c r="X92" i="4"/>
  <c r="G91" i="4" l="1"/>
  <c r="X91" i="4"/>
  <c r="L91" i="4"/>
  <c r="AB91" i="4"/>
  <c r="T91" i="4"/>
  <c r="G90" i="4" l="1"/>
  <c r="X90" i="4"/>
  <c r="T90" i="4"/>
  <c r="AB90" i="4"/>
  <c r="L90" i="4"/>
  <c r="G89" i="4" l="1"/>
  <c r="X89" i="4"/>
  <c r="AB89" i="4"/>
  <c r="L89" i="4"/>
  <c r="T89" i="4"/>
  <c r="G88" i="4" l="1"/>
  <c r="X88" i="4"/>
  <c r="T88" i="4"/>
  <c r="L88" i="4"/>
  <c r="AB88" i="4"/>
  <c r="G87" i="4" l="1"/>
  <c r="AB87" i="4"/>
  <c r="L87" i="4"/>
  <c r="X87" i="4"/>
  <c r="T87" i="4"/>
  <c r="G86" i="4" l="1"/>
  <c r="T86" i="4"/>
  <c r="AB86" i="4"/>
  <c r="L86" i="4"/>
  <c r="X86" i="4"/>
  <c r="G85" i="4" l="1"/>
  <c r="AB85" i="4"/>
  <c r="X85" i="4"/>
  <c r="L85" i="4"/>
  <c r="T85" i="4"/>
  <c r="G84" i="4" l="1"/>
  <c r="L84" i="4"/>
  <c r="T84" i="4"/>
  <c r="AB84" i="4"/>
  <c r="X84" i="4"/>
  <c r="G83" i="4" l="1"/>
  <c r="T83" i="4"/>
  <c r="AB83" i="4"/>
  <c r="X83" i="4"/>
  <c r="L83" i="4"/>
  <c r="G82" i="4" l="1"/>
  <c r="T82" i="4"/>
  <c r="X82" i="4"/>
  <c r="AB82" i="4"/>
  <c r="L82" i="4"/>
  <c r="G81" i="4" l="1"/>
  <c r="T81" i="4"/>
  <c r="X81" i="4"/>
  <c r="L81" i="4"/>
  <c r="AB81" i="4"/>
  <c r="G80" i="4" l="1"/>
  <c r="X80" i="4"/>
  <c r="AB80" i="4"/>
  <c r="L80" i="4"/>
  <c r="T80" i="4"/>
  <c r="G79" i="4" l="1"/>
  <c r="T79" i="4"/>
  <c r="L79" i="4"/>
  <c r="X79" i="4"/>
  <c r="AB79" i="4"/>
  <c r="G78" i="4" l="1"/>
  <c r="X78" i="4"/>
  <c r="AB78" i="4"/>
  <c r="T78" i="4"/>
  <c r="L78" i="4"/>
  <c r="G77" i="4" l="1"/>
  <c r="T77" i="4"/>
  <c r="L77" i="4"/>
  <c r="X77" i="4"/>
  <c r="AB77" i="4"/>
  <c r="G76" i="4" l="1"/>
  <c r="AB76" i="4"/>
  <c r="T76" i="4"/>
  <c r="X76" i="4"/>
  <c r="L76" i="4"/>
  <c r="G75" i="4" l="1"/>
  <c r="T75" i="4"/>
  <c r="L75" i="4"/>
  <c r="X75" i="4"/>
  <c r="AB75" i="4"/>
  <c r="G74" i="4" l="1"/>
  <c r="L74" i="4"/>
  <c r="AB74" i="4"/>
  <c r="T74" i="4"/>
  <c r="X74" i="4"/>
  <c r="G73" i="4" l="1"/>
  <c r="X73" i="4"/>
  <c r="L73" i="4"/>
  <c r="AB73" i="4"/>
  <c r="T73" i="4"/>
  <c r="G72" i="4" l="1"/>
  <c r="X72" i="4"/>
  <c r="AB72" i="4"/>
  <c r="L72" i="4"/>
  <c r="T72" i="4"/>
  <c r="G71" i="4" l="1"/>
  <c r="T71" i="4"/>
  <c r="L71" i="4"/>
  <c r="X71" i="4"/>
  <c r="AB71" i="4"/>
  <c r="G70" i="4" l="1"/>
  <c r="L70" i="4"/>
  <c r="X70" i="4"/>
  <c r="AB70" i="4"/>
  <c r="T70" i="4"/>
  <c r="G69" i="4" l="1"/>
  <c r="AB69" i="4"/>
  <c r="T69" i="4"/>
  <c r="L69" i="4"/>
  <c r="X69" i="4"/>
  <c r="G68" i="4" l="1"/>
  <c r="T68" i="4"/>
  <c r="X68" i="4"/>
  <c r="AB68" i="4"/>
  <c r="L68" i="4"/>
  <c r="G67" i="4" l="1"/>
  <c r="X67" i="4"/>
  <c r="AB67" i="4"/>
  <c r="L67" i="4"/>
  <c r="T67" i="4"/>
  <c r="G66" i="4" l="1"/>
  <c r="X66" i="4"/>
  <c r="AB66" i="4"/>
  <c r="L66" i="4"/>
  <c r="T66" i="4"/>
  <c r="G65" i="4" l="1"/>
  <c r="T65" i="4"/>
  <c r="L65" i="4"/>
  <c r="X65" i="4"/>
  <c r="AB65" i="4"/>
  <c r="G64" i="4" l="1"/>
  <c r="T64" i="4"/>
  <c r="X64" i="4"/>
  <c r="AB64" i="4"/>
  <c r="L64" i="4"/>
  <c r="G63" i="4" l="1"/>
  <c r="AB63" i="4"/>
  <c r="T63" i="4"/>
  <c r="L63" i="4"/>
  <c r="X63" i="4"/>
  <c r="G62" i="4" l="1"/>
  <c r="X62" i="4"/>
  <c r="AB62" i="4"/>
  <c r="T62" i="4"/>
  <c r="L62" i="4"/>
  <c r="G61" i="4" l="1"/>
  <c r="X61" i="4"/>
  <c r="L61" i="4"/>
  <c r="AB61" i="4"/>
  <c r="T61" i="4"/>
  <c r="G60" i="4" l="1"/>
  <c r="L60" i="4"/>
  <c r="AB60" i="4"/>
  <c r="T60" i="4"/>
  <c r="X60" i="4"/>
  <c r="G59" i="4" l="1"/>
  <c r="L59" i="4"/>
  <c r="X59" i="4"/>
  <c r="AB59" i="4"/>
  <c r="T59" i="4"/>
  <c r="G58" i="4" l="1"/>
  <c r="AB58" i="4"/>
  <c r="T58" i="4"/>
  <c r="L58" i="4"/>
  <c r="X58" i="4"/>
  <c r="G57" i="4" l="1"/>
  <c r="T57" i="4"/>
  <c r="AB57" i="4"/>
  <c r="L57" i="4"/>
  <c r="X57" i="4"/>
  <c r="G56" i="4" l="1"/>
  <c r="X56" i="4"/>
  <c r="AB56" i="4"/>
  <c r="T56" i="4"/>
  <c r="L56" i="4"/>
  <c r="G55" i="4" l="1"/>
  <c r="T55" i="4"/>
  <c r="AB55" i="4"/>
  <c r="X55" i="4"/>
  <c r="L55" i="4"/>
  <c r="G54" i="4" l="1"/>
  <c r="X54" i="4"/>
  <c r="T54" i="4"/>
  <c r="L54" i="4"/>
  <c r="AB54" i="4"/>
  <c r="G53" i="4" l="1"/>
  <c r="L53" i="4"/>
  <c r="AB53" i="4"/>
  <c r="T53" i="4"/>
  <c r="X53" i="4"/>
  <c r="G52" i="4" l="1"/>
  <c r="T52" i="4"/>
  <c r="X52" i="4"/>
  <c r="AB52" i="4"/>
  <c r="L52" i="4"/>
  <c r="G51" i="4" l="1"/>
  <c r="L51" i="4"/>
  <c r="AB51" i="4"/>
  <c r="T51" i="4"/>
  <c r="X51" i="4"/>
  <c r="G50" i="4" l="1"/>
  <c r="T50" i="4"/>
  <c r="AB50" i="4"/>
  <c r="L50" i="4"/>
  <c r="X50" i="4"/>
  <c r="G49" i="4" l="1"/>
  <c r="X49" i="4"/>
  <c r="T49" i="4"/>
  <c r="L49" i="4"/>
  <c r="AB49" i="4"/>
  <c r="G48" i="4" l="1"/>
  <c r="L48" i="4"/>
  <c r="AB48" i="4"/>
  <c r="T48" i="4"/>
  <c r="X48" i="4"/>
  <c r="G47" i="4" l="1"/>
  <c r="L47" i="4"/>
  <c r="X47" i="4"/>
  <c r="T47" i="4"/>
  <c r="AB47" i="4"/>
  <c r="G46" i="4" l="1"/>
  <c r="L46" i="4"/>
  <c r="X46" i="4"/>
  <c r="T46" i="4"/>
  <c r="AB46" i="4"/>
  <c r="G45" i="4" l="1"/>
  <c r="AB45" i="4"/>
  <c r="T45" i="4"/>
  <c r="X45" i="4"/>
  <c r="L45" i="4"/>
  <c r="G44" i="4" l="1"/>
  <c r="AB44" i="4"/>
  <c r="T44" i="4"/>
  <c r="L44" i="4"/>
  <c r="X44" i="4"/>
  <c r="G43" i="4" l="1"/>
  <c r="T43" i="4"/>
  <c r="L43" i="4"/>
  <c r="AB43" i="4"/>
  <c r="X43" i="4"/>
  <c r="G42" i="4" l="1"/>
  <c r="T42" i="4"/>
  <c r="X42" i="4"/>
  <c r="L42" i="4"/>
  <c r="AB42" i="4"/>
  <c r="G41" i="4" l="1"/>
  <c r="L41" i="4"/>
  <c r="AB41" i="4"/>
  <c r="T41" i="4"/>
  <c r="X41" i="4"/>
  <c r="G40" i="4" l="1"/>
  <c r="L40" i="4"/>
  <c r="AB40" i="4"/>
  <c r="T40" i="4"/>
  <c r="X40" i="4"/>
  <c r="G39" i="4" l="1"/>
  <c r="L39" i="4"/>
  <c r="AB39" i="4"/>
  <c r="T39" i="4"/>
  <c r="X39" i="4"/>
  <c r="G38" i="4" l="1"/>
  <c r="L38" i="4"/>
  <c r="AB38" i="4"/>
  <c r="T38" i="4"/>
  <c r="X38" i="4"/>
  <c r="G37" i="4" l="1"/>
  <c r="X37" i="4"/>
  <c r="T37" i="4"/>
  <c r="L37" i="4"/>
  <c r="AB37" i="4"/>
  <c r="G36" i="4" l="1"/>
  <c r="T36" i="4"/>
  <c r="L36" i="4"/>
  <c r="X36" i="4"/>
  <c r="AB36" i="4"/>
  <c r="G35" i="4" l="1"/>
  <c r="X35" i="4"/>
  <c r="T35" i="4"/>
  <c r="AB35" i="4"/>
  <c r="L35" i="4"/>
  <c r="G34" i="4" l="1"/>
  <c r="X34" i="4"/>
  <c r="T34" i="4"/>
  <c r="L34" i="4"/>
  <c r="AB34" i="4"/>
  <c r="G33" i="4" l="1"/>
  <c r="X33" i="4"/>
  <c r="T33" i="4"/>
  <c r="AB33" i="4"/>
  <c r="L33" i="4"/>
  <c r="G32" i="4" l="1"/>
  <c r="AB32" i="4"/>
  <c r="T32" i="4"/>
  <c r="L32" i="4"/>
  <c r="X32" i="4"/>
  <c r="G31" i="4" l="1"/>
  <c r="T31" i="4"/>
  <c r="L31" i="4"/>
  <c r="AB31" i="4"/>
  <c r="X31" i="4"/>
  <c r="G30" i="4" l="1"/>
  <c r="X30" i="4"/>
  <c r="T30" i="4"/>
  <c r="L30" i="4"/>
  <c r="AB30" i="4"/>
  <c r="G29" i="4" l="1"/>
  <c r="X29" i="4"/>
  <c r="L29" i="4"/>
  <c r="T29" i="4"/>
  <c r="AB29" i="4"/>
  <c r="G28" i="4" l="1"/>
  <c r="T28" i="4"/>
  <c r="X28" i="4"/>
  <c r="AB28" i="4"/>
  <c r="L28" i="4"/>
  <c r="G27" i="4" l="1"/>
  <c r="T27" i="4"/>
  <c r="X27" i="4"/>
  <c r="L27" i="4"/>
  <c r="AB27" i="4"/>
  <c r="G26" i="4" l="1"/>
  <c r="X26" i="4"/>
  <c r="L26" i="4"/>
  <c r="AB26" i="4"/>
  <c r="T26" i="4"/>
  <c r="G25" i="4" l="1"/>
  <c r="X25" i="4"/>
  <c r="AB25" i="4"/>
  <c r="T25" i="4"/>
  <c r="L25" i="4"/>
  <c r="G24" i="4" l="1"/>
  <c r="X24" i="4"/>
  <c r="L24" i="4"/>
  <c r="AB24" i="4"/>
  <c r="T24" i="4"/>
  <c r="G23" i="4" l="1"/>
  <c r="X23" i="4"/>
  <c r="L23" i="4"/>
  <c r="T23" i="4"/>
  <c r="AB23" i="4"/>
  <c r="G22" i="4" l="1"/>
  <c r="X22" i="4"/>
  <c r="L22" i="4"/>
  <c r="AB22" i="4"/>
  <c r="T22" i="4"/>
  <c r="G21" i="4" l="1"/>
  <c r="X21" i="4"/>
  <c r="L21" i="4"/>
  <c r="AB21" i="4"/>
  <c r="T21" i="4"/>
  <c r="G20" i="4" l="1"/>
  <c r="X20" i="4"/>
  <c r="L20" i="4"/>
  <c r="T20" i="4"/>
  <c r="AB20" i="4"/>
  <c r="G19" i="4" l="1"/>
  <c r="X19" i="4"/>
  <c r="AB19" i="4"/>
  <c r="L19" i="4"/>
  <c r="T19" i="4"/>
  <c r="G18" i="4" l="1"/>
  <c r="X18" i="4"/>
  <c r="L18" i="4"/>
  <c r="AB18" i="4"/>
  <c r="T18" i="4"/>
  <c r="G17" i="4" l="1"/>
  <c r="T17" i="4"/>
  <c r="L17" i="4"/>
  <c r="X17" i="4"/>
  <c r="AB17" i="4"/>
  <c r="G16" i="4" l="1"/>
  <c r="T16" i="4"/>
  <c r="X16" i="4"/>
  <c r="AB16" i="4"/>
  <c r="L16" i="4"/>
  <c r="G15" i="4" l="1"/>
  <c r="AB15" i="4"/>
  <c r="T15" i="4"/>
  <c r="L15" i="4"/>
  <c r="X15" i="4"/>
  <c r="G14" i="4" l="1"/>
  <c r="X14" i="4"/>
  <c r="T14" i="4"/>
  <c r="L14" i="4"/>
  <c r="AB14" i="4"/>
  <c r="G13" i="4" l="1"/>
  <c r="X13" i="4"/>
  <c r="L13" i="4"/>
  <c r="T13" i="4"/>
  <c r="AB13" i="4"/>
  <c r="G12" i="4" l="1"/>
  <c r="T12" i="4"/>
  <c r="X12" i="4"/>
  <c r="L12" i="4"/>
  <c r="AB12" i="4"/>
  <c r="G11" i="4" l="1"/>
  <c r="T11" i="4"/>
  <c r="X11" i="4"/>
  <c r="L11" i="4"/>
  <c r="AB11" i="4"/>
  <c r="G10" i="4" l="1"/>
  <c r="AB10" i="4"/>
  <c r="L10" i="4"/>
  <c r="T10" i="4"/>
  <c r="X10" i="4"/>
  <c r="G9" i="4" l="1"/>
  <c r="X9" i="4"/>
  <c r="L9" i="4"/>
  <c r="T9" i="4"/>
  <c r="AB9" i="4"/>
  <c r="G8" i="4" l="1"/>
  <c r="X8" i="4"/>
  <c r="T8" i="4"/>
  <c r="AB8" i="4"/>
  <c r="L8" i="4"/>
  <c r="G7" i="4" l="1"/>
  <c r="B4" i="4"/>
  <c r="V142" i="7" l="1"/>
  <c r="L7" i="4"/>
  <c r="AB7" i="4"/>
  <c r="X7" i="4"/>
  <c r="C4" i="4"/>
  <c r="W101" i="4"/>
  <c r="Z25" i="4"/>
  <c r="U51" i="4"/>
  <c r="AA76" i="4"/>
  <c r="W102" i="4"/>
  <c r="AD127" i="4"/>
  <c r="AA25" i="4"/>
  <c r="W51" i="4"/>
  <c r="AD76" i="4"/>
  <c r="Z102" i="4"/>
  <c r="U128" i="4"/>
  <c r="Z27" i="4"/>
  <c r="W56" i="4"/>
  <c r="AA118" i="4"/>
  <c r="U58" i="4"/>
  <c r="AD126" i="4"/>
  <c r="AD130" i="4"/>
  <c r="U78" i="4"/>
  <c r="AD26" i="4"/>
  <c r="W100" i="4"/>
  <c r="U49" i="4"/>
  <c r="W127" i="4"/>
  <c r="AA101" i="4"/>
  <c r="U76" i="4"/>
  <c r="Z50" i="4"/>
  <c r="AD24" i="4"/>
  <c r="W109" i="4"/>
  <c r="AA27" i="4"/>
  <c r="AD89" i="4"/>
  <c r="Z100" i="4"/>
  <c r="Z52" i="4"/>
  <c r="AD125" i="4"/>
  <c r="U73" i="4"/>
  <c r="W20" i="4"/>
  <c r="W114" i="4"/>
  <c r="AA88" i="4"/>
  <c r="U63" i="4"/>
  <c r="Z37" i="4"/>
  <c r="AD11" i="4"/>
  <c r="N16" i="4"/>
  <c r="N32" i="4"/>
  <c r="N48" i="4"/>
  <c r="N64" i="4"/>
  <c r="N80" i="4"/>
  <c r="N96" i="4"/>
  <c r="N112" i="4"/>
  <c r="N128" i="4"/>
  <c r="Q11" i="4"/>
  <c r="Q16" i="4"/>
  <c r="Q22" i="4"/>
  <c r="O27" i="4"/>
  <c r="O32" i="4"/>
  <c r="O38" i="4"/>
  <c r="O43" i="4"/>
  <c r="R48" i="4"/>
  <c r="Q54" i="4"/>
  <c r="Q59" i="4"/>
  <c r="O70" i="4"/>
  <c r="R80" i="4"/>
  <c r="Q86" i="4"/>
  <c r="O100" i="4"/>
  <c r="Q113" i="4"/>
  <c r="R124" i="4"/>
  <c r="AA28" i="4"/>
  <c r="W54" i="4"/>
  <c r="U131" i="4"/>
  <c r="AD28" i="4"/>
  <c r="AA105" i="4"/>
  <c r="Z59" i="4"/>
  <c r="W128" i="4"/>
  <c r="Z20" i="4"/>
  <c r="U124" i="4"/>
  <c r="W47" i="4"/>
  <c r="AA19" i="4"/>
  <c r="U46" i="4"/>
  <c r="AD13" i="4"/>
  <c r="AD59" i="4"/>
  <c r="N18" i="4"/>
  <c r="N66" i="4"/>
  <c r="N114" i="4"/>
  <c r="R17" i="4"/>
  <c r="R33" i="4"/>
  <c r="O54" i="4"/>
  <c r="R70" i="4"/>
  <c r="O86" i="4"/>
  <c r="R100" i="4"/>
  <c r="O108" i="4"/>
  <c r="Q116" i="4"/>
  <c r="Q124" i="4"/>
  <c r="O130" i="4"/>
  <c r="AA115" i="4"/>
  <c r="Z81" i="4"/>
  <c r="Z30" i="4"/>
  <c r="W107" i="4"/>
  <c r="U61" i="4"/>
  <c r="AD121" i="4"/>
  <c r="AD62" i="4"/>
  <c r="AA12" i="4"/>
  <c r="W38" i="4"/>
  <c r="AD63" i="4"/>
  <c r="Z89" i="4"/>
  <c r="U115" i="4"/>
  <c r="AD12" i="4"/>
  <c r="Z38" i="4"/>
  <c r="U64" i="4"/>
  <c r="AA89" i="4"/>
  <c r="W115" i="4"/>
  <c r="AA14" i="4"/>
  <c r="W40" i="4"/>
  <c r="W72" i="4"/>
  <c r="W21" i="4"/>
  <c r="Z88" i="4"/>
  <c r="W96" i="4"/>
  <c r="W105" i="4"/>
  <c r="AD50" i="4"/>
  <c r="W124" i="4"/>
  <c r="AA74" i="4"/>
  <c r="Z23" i="4"/>
  <c r="Z114" i="4"/>
  <c r="AD88" i="4"/>
  <c r="W63" i="4"/>
  <c r="AA37" i="4"/>
  <c r="U12" i="4"/>
  <c r="AA67" i="4"/>
  <c r="W120" i="4"/>
  <c r="U126" i="4"/>
  <c r="Z76" i="4"/>
  <c r="W25" i="4"/>
  <c r="AA98" i="4"/>
  <c r="Z47" i="4"/>
  <c r="U127" i="4"/>
  <c r="Z101" i="4"/>
  <c r="AD75" i="4"/>
  <c r="W50" i="4"/>
  <c r="AA24" i="4"/>
  <c r="N8" i="4"/>
  <c r="N24" i="4"/>
  <c r="N40" i="4"/>
  <c r="N56" i="4"/>
  <c r="N72" i="4"/>
  <c r="N88" i="4"/>
  <c r="N104" i="4"/>
  <c r="N120" i="4"/>
  <c r="R8" i="4"/>
  <c r="R14" i="4"/>
  <c r="O19" i="4"/>
  <c r="Q24" i="4"/>
  <c r="O30" i="4"/>
  <c r="Q35" i="4"/>
  <c r="Q40" i="4"/>
  <c r="R46" i="4"/>
  <c r="O51" i="4"/>
  <c r="Q56" i="4"/>
  <c r="Q62" i="4"/>
  <c r="Q67" i="4"/>
  <c r="O72" i="4"/>
  <c r="R78" i="4"/>
  <c r="Q83" i="4"/>
  <c r="Q88" i="4"/>
  <c r="R93" i="4"/>
  <c r="Q96" i="4"/>
  <c r="Q99" i="4"/>
  <c r="O101" i="4"/>
  <c r="R104" i="4"/>
  <c r="O107" i="4"/>
  <c r="Q109" i="4"/>
  <c r="R112" i="4"/>
  <c r="O115" i="4"/>
  <c r="Q117" i="4"/>
  <c r="R120" i="4"/>
  <c r="O123" i="4"/>
  <c r="Q125" i="4"/>
  <c r="Q128" i="4"/>
  <c r="R131" i="4"/>
  <c r="N7" i="4"/>
  <c r="U74" i="4"/>
  <c r="AD15" i="4"/>
  <c r="Z41" i="4"/>
  <c r="U67" i="4"/>
  <c r="AA92" i="4"/>
  <c r="W118" i="4"/>
  <c r="U16" i="4"/>
  <c r="AA41" i="4"/>
  <c r="W67" i="4"/>
  <c r="AD92" i="4"/>
  <c r="Z118" i="4"/>
  <c r="AD17" i="4"/>
  <c r="Z43" i="4"/>
  <c r="W80" i="4"/>
  <c r="W29" i="4"/>
  <c r="U98" i="4"/>
  <c r="W88" i="4"/>
  <c r="AD98" i="4"/>
  <c r="Z44" i="4"/>
  <c r="AD117" i="4"/>
  <c r="W68" i="4"/>
  <c r="AA18" i="4"/>
  <c r="W111" i="4"/>
  <c r="AA85" i="4"/>
  <c r="U60" i="4"/>
  <c r="Z34" i="4"/>
  <c r="AD8" i="4"/>
  <c r="AD54" i="4"/>
  <c r="W112" i="4"/>
  <c r="AA119" i="4"/>
  <c r="U70" i="4"/>
  <c r="AD18" i="4"/>
  <c r="W92" i="4"/>
  <c r="U41" i="4"/>
  <c r="AD123" i="4"/>
  <c r="W98" i="4"/>
  <c r="AA72" i="4"/>
  <c r="U47" i="4"/>
  <c r="Z21" i="4"/>
  <c r="N10" i="4"/>
  <c r="N26" i="4"/>
  <c r="N42" i="4"/>
  <c r="N58" i="4"/>
  <c r="N74" i="4"/>
  <c r="N90" i="4"/>
  <c r="N106" i="4"/>
  <c r="N122" i="4"/>
  <c r="W77" i="4"/>
  <c r="Z17" i="4"/>
  <c r="U43" i="4"/>
  <c r="AA68" i="4"/>
  <c r="W94" i="4"/>
  <c r="AD119" i="4"/>
  <c r="AA17" i="4"/>
  <c r="W43" i="4"/>
  <c r="AD68" i="4"/>
  <c r="Z94" i="4"/>
  <c r="U120" i="4"/>
  <c r="Z19" i="4"/>
  <c r="U45" i="4"/>
  <c r="AA86" i="4"/>
  <c r="U34" i="4"/>
  <c r="AD102" i="4"/>
  <c r="Z83" i="4"/>
  <c r="AA95" i="4"/>
  <c r="AD42" i="4"/>
  <c r="AA114" i="4"/>
  <c r="U65" i="4"/>
  <c r="Z15" i="4"/>
  <c r="AA109" i="4"/>
  <c r="U84" i="4"/>
  <c r="Z58" i="4"/>
  <c r="AD32" i="4"/>
  <c r="U130" i="4"/>
  <c r="U50" i="4"/>
  <c r="U109" i="4"/>
  <c r="Z116" i="4"/>
  <c r="AD66" i="4"/>
  <c r="AA15" i="4"/>
  <c r="U89" i="4"/>
  <c r="AD37" i="4"/>
  <c r="W122" i="4"/>
  <c r="AA96" i="4"/>
  <c r="U71" i="4"/>
  <c r="Z45" i="4"/>
  <c r="AD19" i="4"/>
  <c r="N11" i="4"/>
  <c r="N27" i="4"/>
  <c r="N43" i="4"/>
  <c r="N59" i="4"/>
  <c r="N75" i="4"/>
  <c r="N91" i="4"/>
  <c r="N107" i="4"/>
  <c r="N123" i="4"/>
  <c r="R9" i="4"/>
  <c r="R15" i="4"/>
  <c r="R20" i="4"/>
  <c r="Q25" i="4"/>
  <c r="O31" i="4"/>
  <c r="O36" i="4"/>
  <c r="Q41" i="4"/>
  <c r="Q47" i="4"/>
  <c r="R52" i="4"/>
  <c r="Q57" i="4"/>
  <c r="O63" i="4"/>
  <c r="R68" i="4"/>
  <c r="Q73" i="4"/>
  <c r="Q79" i="4"/>
  <c r="R84" i="4"/>
  <c r="R89" i="4"/>
  <c r="Q94" i="4"/>
  <c r="R97" i="4"/>
  <c r="O99" i="4"/>
  <c r="Q102" i="4"/>
  <c r="R105" i="4"/>
  <c r="R107" i="4"/>
  <c r="Q110" i="4"/>
  <c r="O113" i="4"/>
  <c r="R115" i="4"/>
  <c r="R118" i="4"/>
  <c r="O121" i="4"/>
  <c r="R123" i="4"/>
  <c r="Q126" i="4"/>
  <c r="R129" i="4"/>
  <c r="Q131" i="4"/>
  <c r="R102" i="4"/>
  <c r="R108" i="4"/>
  <c r="R113" i="4"/>
  <c r="O116" i="4"/>
  <c r="R121" i="4"/>
  <c r="O124" i="4"/>
  <c r="Q129" i="4"/>
  <c r="O132" i="4"/>
  <c r="Q64" i="4"/>
  <c r="O95" i="4"/>
  <c r="O103" i="4"/>
  <c r="Q108" i="4"/>
  <c r="R116" i="4"/>
  <c r="Q121" i="4"/>
  <c r="O129" i="4"/>
  <c r="AD30" i="4"/>
  <c r="AD79" i="4"/>
  <c r="U80" i="4"/>
  <c r="AA30" i="4"/>
  <c r="Z64" i="4"/>
  <c r="AA71" i="4"/>
  <c r="AD93" i="4"/>
  <c r="AD72" i="4"/>
  <c r="AA99" i="4"/>
  <c r="U94" i="4"/>
  <c r="AA66" i="4"/>
  <c r="Z85" i="4"/>
  <c r="AA8" i="4"/>
  <c r="N50" i="4"/>
  <c r="N98" i="4"/>
  <c r="R12" i="4"/>
  <c r="O28" i="4"/>
  <c r="R38" i="4"/>
  <c r="R49" i="4"/>
  <c r="O60" i="4"/>
  <c r="R76" i="4"/>
  <c r="O92" i="4"/>
  <c r="Q98" i="4"/>
  <c r="O106" i="4"/>
  <c r="O114" i="4"/>
  <c r="R122" i="4"/>
  <c r="Q132" i="4"/>
  <c r="W30" i="4"/>
  <c r="AD55" i="4"/>
  <c r="AA132" i="4"/>
  <c r="AA81" i="4"/>
  <c r="W32" i="4"/>
  <c r="U66" i="4"/>
  <c r="W121" i="4"/>
  <c r="Z56" i="4"/>
  <c r="Z62" i="4"/>
  <c r="U101" i="4"/>
  <c r="AA26" i="4"/>
  <c r="W39" i="4"/>
  <c r="W129" i="4"/>
  <c r="AA50" i="4"/>
  <c r="AD51" i="4"/>
  <c r="N39" i="4"/>
  <c r="N103" i="4"/>
  <c r="Q14" i="4"/>
  <c r="R29" i="4"/>
  <c r="Q44" i="4"/>
  <c r="R57" i="4"/>
  <c r="Q72" i="4"/>
  <c r="O87" i="4"/>
  <c r="R96" i="4"/>
  <c r="O104" i="4"/>
  <c r="O111" i="4"/>
  <c r="Q118" i="4"/>
  <c r="R125" i="4"/>
  <c r="Q7" i="4"/>
  <c r="O89" i="4"/>
  <c r="O120" i="4"/>
  <c r="U13" i="4"/>
  <c r="AD94" i="4"/>
  <c r="AD7" i="4"/>
  <c r="O35" i="4"/>
  <c r="Q77" i="4"/>
  <c r="R106" i="4"/>
  <c r="R128" i="4"/>
  <c r="Z127" i="4"/>
  <c r="Z28" i="4"/>
  <c r="O8" i="4"/>
  <c r="R51" i="4"/>
  <c r="O93" i="4"/>
  <c r="Q107" i="4"/>
  <c r="O128" i="4"/>
  <c r="O117" i="4"/>
  <c r="AA83" i="4"/>
  <c r="U77" i="4"/>
  <c r="N99" i="4"/>
  <c r="R41" i="4"/>
  <c r="O96" i="4"/>
  <c r="O125" i="4"/>
  <c r="U11" i="4"/>
  <c r="U88" i="4"/>
  <c r="Z108" i="4"/>
  <c r="Z122" i="4"/>
  <c r="U20" i="4"/>
  <c r="Z92" i="4"/>
  <c r="W12" i="4"/>
  <c r="AA32" i="4"/>
  <c r="N51" i="4"/>
  <c r="N115" i="4"/>
  <c r="Q17" i="4"/>
  <c r="R30" i="4"/>
  <c r="Q45" i="4"/>
  <c r="R60" i="4"/>
  <c r="R73" i="4"/>
  <c r="O88" i="4"/>
  <c r="R98" i="4"/>
  <c r="Q104" i="4"/>
  <c r="O112" i="4"/>
  <c r="R119" i="4"/>
  <c r="O126" i="4"/>
  <c r="R7" i="4"/>
  <c r="O98" i="4"/>
  <c r="Q112" i="4"/>
  <c r="W62" i="4"/>
  <c r="W41" i="4"/>
  <c r="N67" i="4"/>
  <c r="O20" i="4"/>
  <c r="R62" i="4"/>
  <c r="R99" i="4"/>
  <c r="Q120" i="4"/>
  <c r="AA38" i="4"/>
  <c r="Z72" i="4"/>
  <c r="U7" i="4"/>
  <c r="O23" i="4"/>
  <c r="O65" i="4"/>
  <c r="R101" i="4"/>
  <c r="O122" i="4"/>
  <c r="O102" i="4"/>
  <c r="R130" i="4"/>
  <c r="AA45" i="4"/>
  <c r="N35" i="4"/>
  <c r="R56" i="4"/>
  <c r="R103" i="4"/>
  <c r="O131" i="4"/>
  <c r="AA36" i="4"/>
  <c r="AA113" i="4"/>
  <c r="AA55" i="4"/>
  <c r="U116" i="4"/>
  <c r="AA13" i="4"/>
  <c r="AA79" i="4"/>
  <c r="AA128" i="4"/>
  <c r="W26" i="4"/>
  <c r="N55" i="4"/>
  <c r="N119" i="4"/>
  <c r="R19" i="4"/>
  <c r="Q33" i="4"/>
  <c r="Q46" i="4"/>
  <c r="R61" i="4"/>
  <c r="Q76" i="4"/>
  <c r="Q106" i="4"/>
  <c r="R127" i="4"/>
  <c r="W17" i="4"/>
  <c r="AD96" i="4"/>
  <c r="Z109" i="4"/>
  <c r="N131" i="4"/>
  <c r="Q49" i="4"/>
  <c r="R92" i="4"/>
  <c r="Q114" i="4"/>
  <c r="AD87" i="4"/>
  <c r="Z90" i="4"/>
  <c r="U103" i="4"/>
  <c r="N71" i="4"/>
  <c r="Q36" i="4"/>
  <c r="O78" i="4"/>
  <c r="R114" i="4"/>
  <c r="R95" i="4"/>
  <c r="Q123" i="4"/>
  <c r="Z39" i="4"/>
  <c r="W58" i="4"/>
  <c r="Q13" i="4"/>
  <c r="R71" i="4"/>
  <c r="O110" i="4"/>
  <c r="Z113" i="4"/>
  <c r="U69" i="4"/>
  <c r="AA90" i="4"/>
  <c r="W71" i="4"/>
  <c r="Z16" i="4"/>
  <c r="W116" i="4"/>
  <c r="AD83" i="4"/>
  <c r="N19" i="4"/>
  <c r="N83" i="4"/>
  <c r="O9" i="4"/>
  <c r="R24" i="4"/>
  <c r="R39" i="4"/>
  <c r="O52" i="4"/>
  <c r="O67" i="4"/>
  <c r="Q81" i="4"/>
  <c r="O94" i="4"/>
  <c r="Q101" i="4"/>
  <c r="O109" i="4"/>
  <c r="Q115" i="4"/>
  <c r="Q122" i="4"/>
  <c r="Q130" i="4"/>
  <c r="W11" i="4"/>
  <c r="U18" i="4"/>
  <c r="AD77" i="4"/>
  <c r="AD64" i="4"/>
  <c r="Z123" i="4"/>
  <c r="Z103" i="4"/>
  <c r="Z77" i="4"/>
  <c r="N23" i="4"/>
  <c r="N87" i="4"/>
  <c r="Q12" i="4"/>
  <c r="R25" i="4"/>
  <c r="O40" i="4"/>
  <c r="O55" i="4"/>
  <c r="O68" i="4"/>
  <c r="O83" i="4"/>
  <c r="R109" i="4"/>
  <c r="AD36" i="4"/>
  <c r="Z63" i="4"/>
  <c r="R28" i="4"/>
  <c r="O84" i="4"/>
  <c r="R117" i="4"/>
  <c r="AB142" i="7"/>
  <c r="AD142" i="7"/>
  <c r="X142" i="7"/>
  <c r="Y142" i="7"/>
  <c r="AA142" i="7"/>
  <c r="T142" i="7"/>
  <c r="AA191" i="7"/>
  <c r="AD191" i="7"/>
  <c r="Y191" i="7"/>
  <c r="AB191" i="7"/>
  <c r="X191" i="7"/>
  <c r="T191" i="7"/>
  <c r="Z68" i="4"/>
  <c r="U10" i="4"/>
  <c r="AD132" i="4"/>
  <c r="U56" i="4"/>
  <c r="U107" i="4"/>
  <c r="W37" i="4"/>
  <c r="Q127" i="4"/>
  <c r="Q119" i="4"/>
  <c r="R111" i="4"/>
  <c r="Q103" i="4"/>
  <c r="Q95" i="4"/>
  <c r="R81" i="4"/>
  <c r="Q65" i="4"/>
  <c r="R44" i="4"/>
  <c r="R22" i="4"/>
  <c r="N130" i="4"/>
  <c r="N82" i="4"/>
  <c r="N34" i="4"/>
  <c r="W34" i="4"/>
  <c r="U111" i="4"/>
  <c r="Z119" i="4"/>
  <c r="AD81" i="4"/>
  <c r="AA21" i="4"/>
  <c r="Z98" i="4"/>
  <c r="AA42" i="4"/>
  <c r="Z124" i="4"/>
  <c r="Z131" i="4"/>
  <c r="W131" i="4"/>
  <c r="Z54" i="4"/>
  <c r="Z105" i="4"/>
  <c r="AD110" i="4"/>
  <c r="R132" i="4"/>
  <c r="O127" i="4"/>
  <c r="O119" i="4"/>
  <c r="Q111" i="4"/>
  <c r="Q105" i="4"/>
  <c r="Q97" i="4"/>
  <c r="R91" i="4"/>
  <c r="Q75" i="4"/>
  <c r="R126" i="4"/>
  <c r="O118" i="4"/>
  <c r="R110" i="4"/>
  <c r="O105" i="4"/>
  <c r="Q100" i="4"/>
  <c r="O97" i="4"/>
  <c r="R94" i="4"/>
  <c r="Q91" i="4"/>
  <c r="Q85" i="4"/>
  <c r="Q80" i="4"/>
  <c r="O75" i="4"/>
  <c r="O69" i="4"/>
  <c r="R64" i="4"/>
  <c r="O59" i="4"/>
  <c r="R53" i="4"/>
  <c r="O48" i="4"/>
  <c r="R43" i="4"/>
  <c r="O37" i="4"/>
  <c r="Q32" i="4"/>
  <c r="Q27" i="4"/>
  <c r="Q21" i="4"/>
  <c r="R16" i="4"/>
  <c r="O11" i="4"/>
  <c r="N127" i="4"/>
  <c r="N111" i="4"/>
  <c r="N95" i="4"/>
  <c r="N79" i="4"/>
  <c r="N63" i="4"/>
  <c r="N47" i="4"/>
  <c r="N31" i="4"/>
  <c r="N15" i="4"/>
  <c r="Z13" i="4"/>
  <c r="U39" i="4"/>
  <c r="AA64" i="4"/>
  <c r="W90" i="4"/>
  <c r="AD115" i="4"/>
  <c r="U25" i="4"/>
  <c r="W76" i="4"/>
  <c r="U129" i="4"/>
  <c r="U54" i="4"/>
  <c r="AA103" i="4"/>
  <c r="AA94" i="4"/>
  <c r="Z32" i="4"/>
  <c r="U114" i="4"/>
  <c r="Z26" i="4"/>
  <c r="U52" i="4"/>
  <c r="AA77" i="4"/>
  <c r="W103" i="4"/>
  <c r="AD128" i="4"/>
  <c r="W52" i="4"/>
  <c r="AD101" i="4"/>
  <c r="U30" i="4"/>
  <c r="W81" i="4"/>
  <c r="AD49" i="4"/>
  <c r="U122" i="4"/>
  <c r="W53" i="4"/>
  <c r="AD113" i="4"/>
  <c r="AA54" i="4"/>
  <c r="AD25" i="4"/>
  <c r="Z126" i="4"/>
  <c r="AD100" i="4"/>
  <c r="W75" i="4"/>
  <c r="AA49" i="4"/>
  <c r="U24" i="4"/>
  <c r="W126" i="4"/>
  <c r="AA100" i="4"/>
  <c r="U75" i="4"/>
  <c r="Z49" i="4"/>
  <c r="AD23" i="4"/>
  <c r="Z96" i="4"/>
  <c r="O91" i="4"/>
  <c r="Q89" i="4"/>
  <c r="R86" i="4"/>
  <c r="R83" i="4"/>
  <c r="O81" i="4"/>
  <c r="Q78" i="4"/>
  <c r="R75" i="4"/>
  <c r="O73" i="4"/>
  <c r="Q70" i="4"/>
  <c r="R67" i="4"/>
  <c r="R65" i="4"/>
  <c r="O62" i="4"/>
  <c r="R59" i="4"/>
  <c r="O57" i="4"/>
  <c r="R54" i="4"/>
  <c r="Q51" i="4"/>
  <c r="O49" i="4"/>
  <c r="O46" i="4"/>
  <c r="Q43" i="4"/>
  <c r="O41" i="4"/>
  <c r="Q38" i="4"/>
  <c r="R35" i="4"/>
  <c r="O33" i="4"/>
  <c r="Q30" i="4"/>
  <c r="R27" i="4"/>
  <c r="O25" i="4"/>
  <c r="O22" i="4"/>
  <c r="Q19" i="4"/>
  <c r="O17" i="4"/>
  <c r="O14" i="4"/>
  <c r="R11" i="4"/>
  <c r="Q9" i="4"/>
  <c r="N129" i="4"/>
  <c r="N121" i="4"/>
  <c r="N113" i="4"/>
  <c r="N105" i="4"/>
  <c r="N97" i="4"/>
  <c r="N89" i="4"/>
  <c r="N81" i="4"/>
  <c r="N73" i="4"/>
  <c r="N65" i="4"/>
  <c r="N57" i="4"/>
  <c r="N49" i="4"/>
  <c r="N41" i="4"/>
  <c r="N33" i="4"/>
  <c r="N25" i="4"/>
  <c r="N17" i="4"/>
  <c r="N9" i="4"/>
  <c r="W10" i="4"/>
  <c r="U23" i="4"/>
  <c r="AD35" i="4"/>
  <c r="AA48" i="4"/>
  <c r="Z61" i="4"/>
  <c r="W74" i="4"/>
  <c r="U87" i="4"/>
  <c r="AD99" i="4"/>
  <c r="AA112" i="4"/>
  <c r="Z125" i="4"/>
  <c r="U17" i="4"/>
  <c r="W44" i="4"/>
  <c r="AD69" i="4"/>
  <c r="Z95" i="4"/>
  <c r="AA122" i="4"/>
  <c r="U22" i="4"/>
  <c r="W49" i="4"/>
  <c r="W73" i="4"/>
  <c r="W97" i="4"/>
  <c r="AD122" i="4"/>
  <c r="U85" i="4"/>
  <c r="U117" i="4"/>
  <c r="Z24" i="4"/>
  <c r="W61" i="4"/>
  <c r="Z104" i="4"/>
  <c r="Z10" i="4"/>
  <c r="W23" i="4"/>
  <c r="U36" i="4"/>
  <c r="AD48" i="4"/>
  <c r="AA61" i="4"/>
  <c r="Z74" i="4"/>
  <c r="W87" i="4"/>
  <c r="U100" i="4"/>
  <c r="AD112" i="4"/>
  <c r="AA125" i="4"/>
  <c r="AD21" i="4"/>
  <c r="AD45" i="4"/>
  <c r="Z71" i="4"/>
  <c r="U97" i="4"/>
  <c r="U121" i="4"/>
  <c r="AA23" i="4"/>
  <c r="AA47" i="4"/>
  <c r="AD74" i="4"/>
  <c r="U102" i="4"/>
  <c r="AA127" i="4"/>
  <c r="Z91" i="4"/>
  <c r="AA131" i="4"/>
  <c r="W93" i="4"/>
  <c r="AA59" i="4"/>
  <c r="U26" i="4"/>
  <c r="U125" i="4"/>
  <c r="Z75" i="4"/>
  <c r="AD57" i="4"/>
  <c r="AD41" i="4"/>
  <c r="U29" i="4"/>
  <c r="W16" i="4"/>
  <c r="AA129" i="4"/>
  <c r="AD116" i="4"/>
  <c r="U104" i="4"/>
  <c r="W91" i="4"/>
  <c r="Z78" i="4"/>
  <c r="AA65" i="4"/>
  <c r="AD52" i="4"/>
  <c r="U40" i="4"/>
  <c r="W27" i="4"/>
  <c r="Z14" i="4"/>
  <c r="Z129" i="4"/>
  <c r="AA116" i="4"/>
  <c r="AD103" i="4"/>
  <c r="U91" i="4"/>
  <c r="W78" i="4"/>
  <c r="Z65" i="4"/>
  <c r="AA52" i="4"/>
  <c r="AD39" i="4"/>
  <c r="U27" i="4"/>
  <c r="W14" i="4"/>
  <c r="U106" i="4"/>
  <c r="W69" i="4"/>
  <c r="AD22" i="4"/>
  <c r="R90" i="4"/>
  <c r="R88" i="4"/>
  <c r="R85" i="4"/>
  <c r="Q82" i="4"/>
  <c r="O80" i="4"/>
  <c r="O77" i="4"/>
  <c r="O74" i="4"/>
  <c r="R72" i="4"/>
  <c r="Q69" i="4"/>
  <c r="R66" i="4"/>
  <c r="O64" i="4"/>
  <c r="O61" i="4"/>
  <c r="Q58" i="4"/>
  <c r="O56" i="4"/>
  <c r="Q53" i="4"/>
  <c r="O50" i="4"/>
  <c r="Q48" i="4"/>
  <c r="R45" i="4"/>
  <c r="O42" i="4"/>
  <c r="R40" i="4"/>
  <c r="R37" i="4"/>
  <c r="O34" i="4"/>
  <c r="R32" i="4"/>
  <c r="O29" i="4"/>
  <c r="R26" i="4"/>
  <c r="O24" i="4"/>
  <c r="R21" i="4"/>
  <c r="O18" i="4"/>
  <c r="O16" i="4"/>
  <c r="R13" i="4"/>
  <c r="R10" i="4"/>
  <c r="Q8" i="4"/>
  <c r="N126" i="4"/>
  <c r="N118" i="4"/>
  <c r="N110" i="4"/>
  <c r="N102" i="4"/>
  <c r="N94" i="4"/>
  <c r="N86" i="4"/>
  <c r="N78" i="4"/>
  <c r="N70" i="4"/>
  <c r="N62" i="4"/>
  <c r="N54" i="4"/>
  <c r="N46" i="4"/>
  <c r="N38" i="4"/>
  <c r="N30" i="4"/>
  <c r="N22" i="4"/>
  <c r="N14" i="4"/>
  <c r="Z7" i="4"/>
  <c r="U15" i="4"/>
  <c r="AD27" i="4"/>
  <c r="AA40" i="4"/>
  <c r="Z53" i="4"/>
  <c r="W66" i="4"/>
  <c r="U79" i="4"/>
  <c r="AD91" i="4"/>
  <c r="AA104" i="4"/>
  <c r="Z117" i="4"/>
  <c r="W130" i="4"/>
  <c r="W28" i="4"/>
  <c r="AD53" i="4"/>
  <c r="Z79" i="4"/>
  <c r="AA106" i="4"/>
  <c r="W132" i="4"/>
  <c r="AA31" i="4"/>
  <c r="W57" i="4"/>
  <c r="AD82" i="4"/>
  <c r="AD106" i="4"/>
  <c r="Z132" i="4"/>
  <c r="AD97" i="4"/>
  <c r="AA126" i="4"/>
  <c r="AA35" i="4"/>
  <c r="AD78" i="4"/>
  <c r="AD118" i="4"/>
  <c r="W15" i="4"/>
  <c r="U28" i="4"/>
  <c r="AD40" i="4"/>
  <c r="AA53" i="4"/>
  <c r="Z66" i="4"/>
  <c r="W79" i="4"/>
  <c r="U92" i="4"/>
  <c r="AD104" i="4"/>
  <c r="AA117" i="4"/>
  <c r="Z130" i="4"/>
  <c r="AD29" i="4"/>
  <c r="Z55" i="4"/>
  <c r="U81" i="4"/>
  <c r="U105" i="4"/>
  <c r="AA130" i="4"/>
  <c r="W33" i="4"/>
  <c r="Z60" i="4"/>
  <c r="Z84" i="4"/>
  <c r="AA111" i="4"/>
  <c r="Z67" i="4"/>
  <c r="Z107" i="4"/>
  <c r="W117" i="4"/>
  <c r="Z80" i="4"/>
  <c r="AD46" i="4"/>
  <c r="AD14" i="4"/>
  <c r="AD105" i="4"/>
  <c r="AD65" i="4"/>
  <c r="Z51" i="4"/>
  <c r="U37" i="4"/>
  <c r="W24" i="4"/>
  <c r="Z11" i="4"/>
  <c r="AD124" i="4"/>
  <c r="U112" i="4"/>
  <c r="W99" i="4"/>
  <c r="Z86" i="4"/>
  <c r="AA73" i="4"/>
  <c r="AD60" i="4"/>
  <c r="U48" i="4"/>
  <c r="W35" i="4"/>
  <c r="Z22" i="4"/>
  <c r="AA9" i="4"/>
  <c r="AA124" i="4"/>
  <c r="AD111" i="4"/>
  <c r="U99" i="4"/>
  <c r="W86" i="4"/>
  <c r="Z73" i="4"/>
  <c r="AA60" i="4"/>
  <c r="AD47" i="4"/>
  <c r="U35" i="4"/>
  <c r="W22" i="4"/>
  <c r="Z9" i="4"/>
  <c r="AA91" i="4"/>
  <c r="AA51" i="4"/>
  <c r="Q93" i="4"/>
  <c r="O90" i="4"/>
  <c r="R87" i="4"/>
  <c r="O85" i="4"/>
  <c r="O82" i="4"/>
  <c r="R79" i="4"/>
  <c r="R77" i="4"/>
  <c r="R74" i="4"/>
  <c r="Q71" i="4"/>
  <c r="R69" i="4"/>
  <c r="Q66" i="4"/>
  <c r="R63" i="4"/>
  <c r="Q61" i="4"/>
  <c r="R58" i="4"/>
  <c r="R55" i="4"/>
  <c r="O53" i="4"/>
  <c r="R50" i="4"/>
  <c r="O47" i="4"/>
  <c r="O45" i="4"/>
  <c r="R42" i="4"/>
  <c r="Q39" i="4"/>
  <c r="Q37" i="4"/>
  <c r="R34" i="4"/>
  <c r="Q31" i="4"/>
  <c r="Q29" i="4"/>
  <c r="Q26" i="4"/>
  <c r="R23" i="4"/>
  <c r="O21" i="4"/>
  <c r="R18" i="4"/>
  <c r="Q15" i="4"/>
  <c r="O13" i="4"/>
  <c r="Q10" i="4"/>
  <c r="O7" i="4"/>
  <c r="N125" i="4"/>
  <c r="N117" i="4"/>
  <c r="N109" i="4"/>
  <c r="N101" i="4"/>
  <c r="N93" i="4"/>
  <c r="N85" i="4"/>
  <c r="N77" i="4"/>
  <c r="N69" i="4"/>
  <c r="N61" i="4"/>
  <c r="N53" i="4"/>
  <c r="N45" i="4"/>
  <c r="N37" i="4"/>
  <c r="N29" i="4"/>
  <c r="N21" i="4"/>
  <c r="N13" i="4"/>
  <c r="AA7" i="4"/>
  <c r="AA16" i="4"/>
  <c r="Z29" i="4"/>
  <c r="W42" i="4"/>
  <c r="U55" i="4"/>
  <c r="AD67" i="4"/>
  <c r="AA80" i="4"/>
  <c r="Z93" i="4"/>
  <c r="W106" i="4"/>
  <c r="U119" i="4"/>
  <c r="AD131" i="4"/>
  <c r="Z31" i="4"/>
  <c r="U57" i="4"/>
  <c r="AA82" i="4"/>
  <c r="AD109" i="4"/>
  <c r="W9" i="4"/>
  <c r="AD34" i="4"/>
  <c r="AD58" i="4"/>
  <c r="U86" i="4"/>
  <c r="U110" i="4"/>
  <c r="U53" i="4"/>
  <c r="AA102" i="4"/>
  <c r="AD129" i="4"/>
  <c r="Z40" i="4"/>
  <c r="W85" i="4"/>
  <c r="AA123" i="4"/>
  <c r="AD16" i="4"/>
  <c r="AA29" i="4"/>
  <c r="Z42" i="4"/>
  <c r="W55" i="4"/>
  <c r="U68" i="4"/>
  <c r="AD80" i="4"/>
  <c r="AA93" i="4"/>
  <c r="Z106" i="4"/>
  <c r="W119" i="4"/>
  <c r="U132" i="4"/>
  <c r="U33" i="4"/>
  <c r="AA58" i="4"/>
  <c r="W84" i="4"/>
  <c r="W108" i="4"/>
  <c r="AD10" i="4"/>
  <c r="Z36" i="4"/>
  <c r="U62" i="4"/>
  <c r="AA87" i="4"/>
  <c r="AD114" i="4"/>
  <c r="AD73" i="4"/>
  <c r="AA110" i="4"/>
  <c r="Z112" i="4"/>
  <c r="AA75" i="4"/>
  <c r="AA43" i="4"/>
  <c r="W13" i="4"/>
  <c r="Z99" i="4"/>
  <c r="W64" i="4"/>
  <c r="W48" i="4"/>
  <c r="Z35" i="4"/>
  <c r="AA22" i="4"/>
  <c r="AD9" i="4"/>
  <c r="W123" i="4"/>
  <c r="Z110" i="4"/>
  <c r="AA97" i="4"/>
  <c r="AD84" i="4"/>
  <c r="U72" i="4"/>
  <c r="W59" i="4"/>
  <c r="Z46" i="4"/>
  <c r="AA33" i="4"/>
  <c r="AD20" i="4"/>
  <c r="U8" i="4"/>
  <c r="U123" i="4"/>
  <c r="W110" i="4"/>
  <c r="Z97" i="4"/>
  <c r="AA84" i="4"/>
  <c r="AD71" i="4"/>
  <c r="U59" i="4"/>
  <c r="W46" i="4"/>
  <c r="Z33" i="4"/>
  <c r="AA20" i="4"/>
  <c r="Z128" i="4"/>
  <c r="AD86" i="4"/>
  <c r="Z48" i="4"/>
  <c r="Q92" i="4"/>
  <c r="Q90" i="4"/>
  <c r="Q87" i="4"/>
  <c r="Q84" i="4"/>
  <c r="R82" i="4"/>
  <c r="O79" i="4"/>
  <c r="O76" i="4"/>
  <c r="Q74" i="4"/>
  <c r="O71" i="4"/>
  <c r="Q68" i="4"/>
  <c r="O66" i="4"/>
  <c r="Q63" i="4"/>
  <c r="Q60" i="4"/>
  <c r="O58" i="4"/>
  <c r="Q55" i="4"/>
  <c r="Q52" i="4"/>
  <c r="Q50" i="4"/>
  <c r="R47" i="4"/>
  <c r="O44" i="4"/>
  <c r="Q42" i="4"/>
  <c r="O39" i="4"/>
  <c r="R36" i="4"/>
  <c r="Q34" i="4"/>
  <c r="R31" i="4"/>
  <c r="Q28" i="4"/>
  <c r="O26" i="4"/>
  <c r="Q23" i="4"/>
  <c r="Q20" i="4"/>
  <c r="Q18" i="4"/>
  <c r="O15" i="4"/>
  <c r="O12" i="4"/>
  <c r="O10" i="4"/>
  <c r="N132" i="4"/>
  <c r="N124" i="4"/>
  <c r="N116" i="4"/>
  <c r="N108" i="4"/>
  <c r="N100" i="4"/>
  <c r="N92" i="4"/>
  <c r="N84" i="4"/>
  <c r="N76" i="4"/>
  <c r="N68" i="4"/>
  <c r="N60" i="4"/>
  <c r="N52" i="4"/>
  <c r="N44" i="4"/>
  <c r="N36" i="4"/>
  <c r="N28" i="4"/>
  <c r="N20" i="4"/>
  <c r="N12" i="4"/>
  <c r="W7" i="4"/>
  <c r="W18" i="4"/>
  <c r="U31" i="4"/>
  <c r="AD43" i="4"/>
  <c r="AA56" i="4"/>
  <c r="Z69" i="4"/>
  <c r="W82" i="4"/>
  <c r="U95" i="4"/>
  <c r="AD107" i="4"/>
  <c r="AA120" i="4"/>
  <c r="U9" i="4"/>
  <c r="AA34" i="4"/>
  <c r="W60" i="4"/>
  <c r="AD85" i="4"/>
  <c r="U113" i="4"/>
  <c r="Z12" i="4"/>
  <c r="U38" i="4"/>
  <c r="AA63" i="4"/>
  <c r="W89" i="4"/>
  <c r="W113" i="4"/>
  <c r="AA70" i="4"/>
  <c r="W104" i="4"/>
  <c r="Z8" i="4"/>
  <c r="W45" i="4"/>
  <c r="U90" i="4"/>
  <c r="W125" i="4"/>
  <c r="Z18" i="4"/>
  <c r="W31" i="4"/>
  <c r="U44" i="4"/>
  <c r="AD56" i="4"/>
  <c r="AA69" i="4"/>
  <c r="Z82" i="4"/>
  <c r="W95" i="4"/>
  <c r="U108" i="4"/>
  <c r="AD120" i="4"/>
  <c r="AA10" i="4"/>
  <c r="W36" i="4"/>
  <c r="AD61" i="4"/>
  <c r="Z87" i="4"/>
  <c r="Z111" i="4"/>
  <c r="U14" i="4"/>
  <c r="AA39" i="4"/>
  <c r="W65" i="4"/>
  <c r="AD90" i="4"/>
  <c r="U118" i="4"/>
  <c r="AA78" i="4"/>
  <c r="Z115" i="4"/>
  <c r="AA107" i="4"/>
  <c r="AD70" i="4"/>
  <c r="AD38" i="4"/>
  <c r="AA11" i="4"/>
  <c r="U93" i="4"/>
  <c r="AA62" i="4"/>
  <c r="AA46" i="4"/>
  <c r="AD33" i="4"/>
  <c r="U21" i="4"/>
  <c r="W8" i="4"/>
  <c r="AA121" i="4"/>
  <c r="AD108" i="4"/>
  <c r="U96" i="4"/>
  <c r="W83" i="4"/>
  <c r="Z70" i="4"/>
  <c r="AA57" i="4"/>
  <c r="AD44" i="4"/>
  <c r="U32" i="4"/>
  <c r="W19" i="4"/>
  <c r="Z121" i="4"/>
  <c r="AA108" i="4"/>
  <c r="AD95" i="4"/>
  <c r="U83" i="4"/>
  <c r="W70" i="4"/>
  <c r="Z57" i="4"/>
  <c r="AA44" i="4"/>
  <c r="AD31" i="4"/>
  <c r="U19" i="4"/>
  <c r="Z120" i="4"/>
  <c r="U82" i="4"/>
  <c r="U42" i="4"/>
  <c r="AF142" i="7"/>
  <c r="AF191" i="7"/>
  <c r="AG142" i="7" l="1"/>
  <c r="V42" i="4"/>
  <c r="V82" i="4"/>
  <c r="V19" i="4"/>
  <c r="AC44" i="4"/>
  <c r="Y70" i="4"/>
  <c r="V83" i="4"/>
  <c r="AC108" i="4"/>
  <c r="Y19" i="4"/>
  <c r="V32" i="4"/>
  <c r="AC57" i="4"/>
  <c r="Y83" i="4"/>
  <c r="V96" i="4"/>
  <c r="AC121" i="4"/>
  <c r="Y8" i="4"/>
  <c r="V21" i="4"/>
  <c r="AC46" i="4"/>
  <c r="AC62" i="4"/>
  <c r="V93" i="4"/>
  <c r="AC11" i="4"/>
  <c r="AC107" i="4"/>
  <c r="AC78" i="4"/>
  <c r="V118" i="4"/>
  <c r="Y65" i="4"/>
  <c r="AC39" i="4"/>
  <c r="V14" i="4"/>
  <c r="Y36" i="4"/>
  <c r="AC10" i="4"/>
  <c r="V108" i="4"/>
  <c r="Y95" i="4"/>
  <c r="AC69" i="4"/>
  <c r="V44" i="4"/>
  <c r="Y31" i="4"/>
  <c r="Y125" i="4"/>
  <c r="V90" i="4"/>
  <c r="Y45" i="4"/>
  <c r="Y104" i="4"/>
  <c r="AC70" i="4"/>
  <c r="Y113" i="4"/>
  <c r="Y89" i="4"/>
  <c r="AC63" i="4"/>
  <c r="V38" i="4"/>
  <c r="V113" i="4"/>
  <c r="Y60" i="4"/>
  <c r="AC34" i="4"/>
  <c r="V9" i="4"/>
  <c r="AC120" i="4"/>
  <c r="V95" i="4"/>
  <c r="Y82" i="4"/>
  <c r="AC56" i="4"/>
  <c r="V31" i="4"/>
  <c r="Y18" i="4"/>
  <c r="AC20" i="4"/>
  <c r="Y46" i="4"/>
  <c r="V59" i="4"/>
  <c r="AC84" i="4"/>
  <c r="Y110" i="4"/>
  <c r="V123" i="4"/>
  <c r="V8" i="4"/>
  <c r="AC33" i="4"/>
  <c r="Y59" i="4"/>
  <c r="V72" i="4"/>
  <c r="AC97" i="4"/>
  <c r="Y123" i="4"/>
  <c r="AC22" i="4"/>
  <c r="Y48" i="4"/>
  <c r="Y64" i="4"/>
  <c r="Y13" i="4"/>
  <c r="AC43" i="4"/>
  <c r="AC75" i="4"/>
  <c r="AC110" i="4"/>
  <c r="AC87" i="4"/>
  <c r="V62" i="4"/>
  <c r="Y108" i="4"/>
  <c r="Y84" i="4"/>
  <c r="AC58" i="4"/>
  <c r="V33" i="4"/>
  <c r="V132" i="4"/>
  <c r="Y119" i="4"/>
  <c r="AC93" i="4"/>
  <c r="V68" i="4"/>
  <c r="Y55" i="4"/>
  <c r="AC29" i="4"/>
  <c r="AC123" i="4"/>
  <c r="Y85" i="4"/>
  <c r="AC102" i="4"/>
  <c r="V53" i="4"/>
  <c r="V110" i="4"/>
  <c r="V86" i="4"/>
  <c r="Y9" i="4"/>
  <c r="AC82" i="4"/>
  <c r="V57" i="4"/>
  <c r="V119" i="4"/>
  <c r="Y106" i="4"/>
  <c r="AC80" i="4"/>
  <c r="V55" i="4"/>
  <c r="Y42" i="4"/>
  <c r="AC16" i="4"/>
  <c r="AC51" i="4"/>
  <c r="AC91" i="4"/>
  <c r="Y22" i="4"/>
  <c r="V35" i="4"/>
  <c r="AC60" i="4"/>
  <c r="Y86" i="4"/>
  <c r="V99" i="4"/>
  <c r="AC124" i="4"/>
  <c r="AC9" i="4"/>
  <c r="Y35" i="4"/>
  <c r="V48" i="4"/>
  <c r="AC73" i="4"/>
  <c r="Y99" i="4"/>
  <c r="V112" i="4"/>
  <c r="Y24" i="4"/>
  <c r="V37" i="4"/>
  <c r="Y117" i="4"/>
  <c r="AC111" i="4"/>
  <c r="Y33" i="4"/>
  <c r="AC130" i="4"/>
  <c r="V105" i="4"/>
  <c r="V81" i="4"/>
  <c r="AC117" i="4"/>
  <c r="V92" i="4"/>
  <c r="Y79" i="4"/>
  <c r="AC53" i="4"/>
  <c r="V28" i="4"/>
  <c r="Y15" i="4"/>
  <c r="AC35" i="4"/>
  <c r="AC126" i="4"/>
  <c r="Y57" i="4"/>
  <c r="AC31" i="4"/>
  <c r="Y132" i="4"/>
  <c r="AC106" i="4"/>
  <c r="Y28" i="4"/>
  <c r="Y130" i="4"/>
  <c r="AC104" i="4"/>
  <c r="V79" i="4"/>
  <c r="Y66" i="4"/>
  <c r="AC40" i="4"/>
  <c r="V15" i="4"/>
  <c r="Y69" i="4"/>
  <c r="V106" i="4"/>
  <c r="Y14" i="4"/>
  <c r="V27" i="4"/>
  <c r="AC52" i="4"/>
  <c r="Y78" i="4"/>
  <c r="V91" i="4"/>
  <c r="AC116" i="4"/>
  <c r="Y27" i="4"/>
  <c r="V40" i="4"/>
  <c r="AC65" i="4"/>
  <c r="Y91" i="4"/>
  <c r="V104" i="4"/>
  <c r="AC129" i="4"/>
  <c r="Y16" i="4"/>
  <c r="V29" i="4"/>
  <c r="V125" i="4"/>
  <c r="V26" i="4"/>
  <c r="AC59" i="4"/>
  <c r="Y93" i="4"/>
  <c r="AC131" i="4"/>
  <c r="AC127" i="4"/>
  <c r="V102" i="4"/>
  <c r="AC47" i="4"/>
  <c r="AC23" i="4"/>
  <c r="V121" i="4"/>
  <c r="V97" i="4"/>
  <c r="AC125" i="4"/>
  <c r="V100" i="4"/>
  <c r="Y87" i="4"/>
  <c r="AC61" i="4"/>
  <c r="V36" i="4"/>
  <c r="Y23" i="4"/>
  <c r="Y61" i="4"/>
  <c r="V117" i="4"/>
  <c r="V85" i="4"/>
  <c r="Y97" i="4"/>
  <c r="Y73" i="4"/>
  <c r="Y49" i="4"/>
  <c r="V22" i="4"/>
  <c r="AC122" i="4"/>
  <c r="Y44" i="4"/>
  <c r="V17" i="4"/>
  <c r="AC112" i="4"/>
  <c r="V87" i="4"/>
  <c r="Y74" i="4"/>
  <c r="AC48" i="4"/>
  <c r="V23" i="4"/>
  <c r="Y10" i="4"/>
  <c r="V75" i="4"/>
  <c r="AC100" i="4"/>
  <c r="Y126" i="4"/>
  <c r="V24" i="4"/>
  <c r="AC49" i="4"/>
  <c r="Y75" i="4"/>
  <c r="AC54" i="4"/>
  <c r="Y53" i="4"/>
  <c r="V122" i="4"/>
  <c r="Y81" i="4"/>
  <c r="V30" i="4"/>
  <c r="Y52" i="4"/>
  <c r="Y103" i="4"/>
  <c r="AC77" i="4"/>
  <c r="V52" i="4"/>
  <c r="V114" i="4"/>
  <c r="AC94" i="4"/>
  <c r="AC103" i="4"/>
  <c r="V54" i="4"/>
  <c r="V129" i="4"/>
  <c r="Y76" i="4"/>
  <c r="V25" i="4"/>
  <c r="Y90" i="4"/>
  <c r="AC64" i="4"/>
  <c r="V39" i="4"/>
  <c r="Y131" i="4"/>
  <c r="AC42" i="4"/>
  <c r="AC21" i="4"/>
  <c r="V111" i="4"/>
  <c r="Y34" i="4"/>
  <c r="Y37" i="4"/>
  <c r="V107" i="4"/>
  <c r="V56" i="4"/>
  <c r="V10" i="4"/>
  <c r="Z142" i="7"/>
  <c r="AC142" i="7"/>
  <c r="V18" i="4"/>
  <c r="Y11" i="4"/>
  <c r="Y116" i="4"/>
  <c r="Y71" i="4"/>
  <c r="AC90" i="4"/>
  <c r="V69" i="4"/>
  <c r="Y58" i="4"/>
  <c r="V103" i="4"/>
  <c r="Y17" i="4"/>
  <c r="Y26" i="4"/>
  <c r="AC128" i="4"/>
  <c r="AC79" i="4"/>
  <c r="AC13" i="4"/>
  <c r="V116" i="4"/>
  <c r="AC55" i="4"/>
  <c r="AC113" i="4"/>
  <c r="AC36" i="4"/>
  <c r="AC45" i="4"/>
  <c r="V7" i="4"/>
  <c r="N3" i="4" s="1"/>
  <c r="AC38" i="4"/>
  <c r="Y41" i="4"/>
  <c r="Y62" i="4"/>
  <c r="AC32" i="4"/>
  <c r="Y12" i="4"/>
  <c r="V20" i="4"/>
  <c r="V88" i="4"/>
  <c r="V11" i="4"/>
  <c r="V77" i="4"/>
  <c r="AC83" i="4"/>
  <c r="V13" i="4"/>
  <c r="AC50" i="4"/>
  <c r="Y129" i="4"/>
  <c r="Y39" i="4"/>
  <c r="AC26" i="4"/>
  <c r="V101" i="4"/>
  <c r="Y121" i="4"/>
  <c r="V66" i="4"/>
  <c r="Y32" i="4"/>
  <c r="AC81" i="4"/>
  <c r="AC132" i="4"/>
  <c r="Y30" i="4"/>
  <c r="AC8" i="4"/>
  <c r="AC66" i="4"/>
  <c r="V94" i="4"/>
  <c r="AC99" i="4"/>
  <c r="AC71" i="4"/>
  <c r="AC30" i="4"/>
  <c r="V80" i="4"/>
  <c r="V71" i="4"/>
  <c r="AC96" i="4"/>
  <c r="Y122" i="4"/>
  <c r="V89" i="4"/>
  <c r="AC15" i="4"/>
  <c r="V109" i="4"/>
  <c r="V50" i="4"/>
  <c r="V130" i="4"/>
  <c r="V84" i="4"/>
  <c r="AC109" i="4"/>
  <c r="V65" i="4"/>
  <c r="AC114" i="4"/>
  <c r="AC95" i="4"/>
  <c r="V34" i="4"/>
  <c r="AC86" i="4"/>
  <c r="V45" i="4"/>
  <c r="V120" i="4"/>
  <c r="Y43" i="4"/>
  <c r="AC17" i="4"/>
  <c r="Y94" i="4"/>
  <c r="AC68" i="4"/>
  <c r="V43" i="4"/>
  <c r="Y77" i="4"/>
  <c r="V47" i="4"/>
  <c r="AC72" i="4"/>
  <c r="Y98" i="4"/>
  <c r="V41" i="4"/>
  <c r="Y92" i="4"/>
  <c r="V70" i="4"/>
  <c r="AC119" i="4"/>
  <c r="Y112" i="4"/>
  <c r="V60" i="4"/>
  <c r="AC85" i="4"/>
  <c r="Y111" i="4"/>
  <c r="AC18" i="4"/>
  <c r="Y68" i="4"/>
  <c r="Y88" i="4"/>
  <c r="V98" i="4"/>
  <c r="Y29" i="4"/>
  <c r="Y80" i="4"/>
  <c r="Y67" i="4"/>
  <c r="AC41" i="4"/>
  <c r="V16" i="4"/>
  <c r="Y118" i="4"/>
  <c r="AC92" i="4"/>
  <c r="V67" i="4"/>
  <c r="V74" i="4"/>
  <c r="AC24" i="4"/>
  <c r="Y50" i="4"/>
  <c r="V127" i="4"/>
  <c r="AC98" i="4"/>
  <c r="Y25" i="4"/>
  <c r="V126" i="4"/>
  <c r="Y120" i="4"/>
  <c r="AC67" i="4"/>
  <c r="V12" i="4"/>
  <c r="AC37" i="4"/>
  <c r="Y63" i="4"/>
  <c r="AC74" i="4"/>
  <c r="Y124" i="4"/>
  <c r="Y105" i="4"/>
  <c r="Y96" i="4"/>
  <c r="Y21" i="4"/>
  <c r="Y72" i="4"/>
  <c r="Y40" i="4"/>
  <c r="AC14" i="4"/>
  <c r="Y115" i="4"/>
  <c r="AC89" i="4"/>
  <c r="V64" i="4"/>
  <c r="V115" i="4"/>
  <c r="Y38" i="4"/>
  <c r="AC12" i="4"/>
  <c r="V61" i="4"/>
  <c r="Y107" i="4"/>
  <c r="AC115" i="4"/>
  <c r="V46" i="4"/>
  <c r="AC19" i="4"/>
  <c r="Y47" i="4"/>
  <c r="V124" i="4"/>
  <c r="Y128" i="4"/>
  <c r="AC105" i="4"/>
  <c r="V131" i="4"/>
  <c r="Y54" i="4"/>
  <c r="AC28" i="4"/>
  <c r="V63" i="4"/>
  <c r="AC88" i="4"/>
  <c r="Y114" i="4"/>
  <c r="Y20" i="4"/>
  <c r="V73" i="4"/>
  <c r="AC27" i="4"/>
  <c r="Y109" i="4"/>
  <c r="V76" i="4"/>
  <c r="AC101" i="4"/>
  <c r="Y127" i="4"/>
  <c r="V49" i="4"/>
  <c r="Y100" i="4"/>
  <c r="V78" i="4"/>
  <c r="V58" i="4"/>
  <c r="AC118" i="4"/>
  <c r="Y56" i="4"/>
  <c r="V128" i="4"/>
  <c r="Y51" i="4"/>
  <c r="AC25" i="4"/>
  <c r="Y102" i="4"/>
  <c r="AC76" i="4"/>
  <c r="V51" i="4"/>
  <c r="Y101" i="4"/>
  <c r="Y7" i="4"/>
  <c r="AC7" i="4"/>
  <c r="Q3" i="4" s="1"/>
  <c r="W142" i="7"/>
  <c r="V191" i="7"/>
  <c r="W191" i="7" s="1"/>
  <c r="AC191" i="7"/>
  <c r="Z191" i="7"/>
  <c r="AG191" i="7"/>
  <c r="P44" i="4"/>
  <c r="P108" i="4"/>
  <c r="P61" i="4"/>
  <c r="P125" i="4"/>
  <c r="P62" i="4"/>
  <c r="P126" i="4"/>
  <c r="P57" i="4"/>
  <c r="P121" i="4"/>
  <c r="P95" i="4"/>
  <c r="P34" i="4"/>
  <c r="AE191" i="7"/>
  <c r="P71" i="4"/>
  <c r="P103" i="4"/>
  <c r="P91" i="4"/>
  <c r="P74" i="4"/>
  <c r="P88" i="4"/>
  <c r="P96" i="4"/>
  <c r="X164" i="7"/>
  <c r="AD164" i="7"/>
  <c r="P14" i="4"/>
  <c r="P19" i="4"/>
  <c r="P67" i="4"/>
  <c r="P59" i="4"/>
  <c r="P114" i="4"/>
  <c r="P68" i="4"/>
  <c r="P22" i="4"/>
  <c r="P15" i="4"/>
  <c r="P30" i="4"/>
  <c r="P25" i="4"/>
  <c r="P99" i="4"/>
  <c r="P18" i="4"/>
  <c r="P52" i="4"/>
  <c r="P116" i="4"/>
  <c r="P69" i="4"/>
  <c r="P70" i="4"/>
  <c r="P65" i="4"/>
  <c r="P129" i="4"/>
  <c r="P111" i="4"/>
  <c r="P82" i="4"/>
  <c r="AE142" i="7"/>
  <c r="P83" i="4"/>
  <c r="P39" i="4"/>
  <c r="P75" i="4"/>
  <c r="P58" i="4"/>
  <c r="P72" i="4"/>
  <c r="P80" i="4"/>
  <c r="P60" i="4"/>
  <c r="P77" i="4"/>
  <c r="P78" i="4"/>
  <c r="P73" i="4"/>
  <c r="P130" i="4"/>
  <c r="P131" i="4"/>
  <c r="P42" i="4"/>
  <c r="T164" i="7"/>
  <c r="P132" i="4"/>
  <c r="P21" i="4"/>
  <c r="P86" i="4"/>
  <c r="P81" i="4"/>
  <c r="P43" i="4"/>
  <c r="P40" i="4"/>
  <c r="P66" i="4"/>
  <c r="P48" i="4"/>
  <c r="P76" i="4"/>
  <c r="P93" i="4"/>
  <c r="P10" i="4"/>
  <c r="P32" i="4"/>
  <c r="AF164" i="7"/>
  <c r="P20" i="4"/>
  <c r="P84" i="4"/>
  <c r="P37" i="4"/>
  <c r="P101" i="4"/>
  <c r="P38" i="4"/>
  <c r="P102" i="4"/>
  <c r="P33" i="4"/>
  <c r="P97" i="4"/>
  <c r="P47" i="4"/>
  <c r="P87" i="4"/>
  <c r="P55" i="4"/>
  <c r="P115" i="4"/>
  <c r="P98" i="4"/>
  <c r="P11" i="4"/>
  <c r="P122" i="4"/>
  <c r="P7" i="4"/>
  <c r="P8" i="4"/>
  <c r="P16" i="4"/>
  <c r="AB164" i="7"/>
  <c r="P28" i="4"/>
  <c r="P92" i="4"/>
  <c r="P45" i="4"/>
  <c r="P109" i="4"/>
  <c r="P46" i="4"/>
  <c r="P110" i="4"/>
  <c r="P41" i="4"/>
  <c r="P105" i="4"/>
  <c r="P63" i="4"/>
  <c r="P23" i="4"/>
  <c r="P35" i="4"/>
  <c r="P51" i="4"/>
  <c r="P50" i="4"/>
  <c r="P123" i="4"/>
  <c r="P106" i="4"/>
  <c r="P120" i="4"/>
  <c r="P128" i="4"/>
  <c r="Y164" i="7"/>
  <c r="P36" i="4"/>
  <c r="P100" i="4"/>
  <c r="P53" i="4"/>
  <c r="P117" i="4"/>
  <c r="P54" i="4"/>
  <c r="P118" i="4"/>
  <c r="P49" i="4"/>
  <c r="P113" i="4"/>
  <c r="P79" i="4"/>
  <c r="AI191" i="7"/>
  <c r="P107" i="4"/>
  <c r="P90" i="4"/>
  <c r="P104" i="4"/>
  <c r="P112" i="4"/>
  <c r="AA164" i="7"/>
  <c r="P124" i="4"/>
  <c r="P13" i="4"/>
  <c r="P9" i="4"/>
  <c r="P127" i="4"/>
  <c r="AI142" i="7"/>
  <c r="P56" i="4"/>
  <c r="P64" i="4"/>
  <c r="P85" i="4"/>
  <c r="P17" i="4"/>
  <c r="P26" i="4"/>
  <c r="P12" i="4"/>
  <c r="P29" i="4"/>
  <c r="P94" i="4"/>
  <c r="P89" i="4"/>
  <c r="P31" i="4"/>
  <c r="P119" i="4"/>
  <c r="P27" i="4"/>
  <c r="P24" i="4"/>
  <c r="AJ142" i="7" l="1"/>
  <c r="AJ191" i="7"/>
  <c r="P3" i="4"/>
  <c r="AH191" i="7"/>
  <c r="AH142" i="7"/>
  <c r="AG164" i="7"/>
  <c r="Z164" i="7"/>
  <c r="V164" i="7"/>
  <c r="W164" i="7" s="1"/>
  <c r="AC164" i="7"/>
  <c r="AA185" i="7"/>
  <c r="AI164" i="7"/>
  <c r="AE164" i="7"/>
  <c r="Y185" i="7"/>
  <c r="AD185" i="7"/>
  <c r="AB185" i="7"/>
  <c r="X185" i="7"/>
  <c r="T185" i="7"/>
  <c r="AF185" i="7"/>
  <c r="AJ164" i="7" l="1"/>
  <c r="AH164" i="7"/>
  <c r="Z185" i="7"/>
  <c r="AC185" i="7"/>
  <c r="V185" i="7"/>
  <c r="W185" i="7" s="1"/>
  <c r="AG185" i="7"/>
  <c r="AE185" i="7"/>
  <c r="Y167" i="7"/>
  <c r="T167" i="7"/>
  <c r="AF167" i="7"/>
  <c r="AI185" i="7"/>
  <c r="AB167" i="7"/>
  <c r="X167" i="7"/>
  <c r="AA167" i="7"/>
  <c r="AD167" i="7"/>
  <c r="AJ185" i="7" l="1"/>
  <c r="AH185" i="7"/>
  <c r="Z167" i="7"/>
  <c r="V167" i="7"/>
  <c r="W167" i="7" s="1"/>
  <c r="AC167" i="7"/>
  <c r="AG167" i="7"/>
  <c r="AB147" i="7"/>
  <c r="AI167" i="7"/>
  <c r="Y147" i="7"/>
  <c r="AA147" i="7"/>
  <c r="AD147" i="7"/>
  <c r="X147" i="7"/>
  <c r="T147" i="7"/>
  <c r="AE167" i="7"/>
  <c r="AF147" i="7"/>
  <c r="AJ167" i="7" l="1"/>
  <c r="AH167" i="7"/>
  <c r="AC147" i="7"/>
  <c r="Z147" i="7"/>
  <c r="V147" i="7"/>
  <c r="W147" i="7" s="1"/>
  <c r="AG147" i="7"/>
  <c r="AI147" i="7"/>
  <c r="X188" i="7"/>
  <c r="AD188" i="7"/>
  <c r="T188" i="7"/>
  <c r="AE147" i="7"/>
  <c r="AB188" i="7"/>
  <c r="Y188" i="7"/>
  <c r="AA188" i="7"/>
  <c r="AF188" i="7"/>
  <c r="AJ147" i="7" l="1"/>
  <c r="AH147" i="7"/>
  <c r="AG188" i="7"/>
  <c r="Z188" i="7"/>
  <c r="AC188" i="7"/>
  <c r="V188" i="7"/>
  <c r="W188" i="7" s="1"/>
  <c r="AE188" i="7"/>
  <c r="T150" i="7"/>
  <c r="AF150" i="7"/>
  <c r="AI188" i="7"/>
  <c r="AB150" i="7"/>
  <c r="AD150" i="7"/>
  <c r="AA150" i="7"/>
  <c r="X150" i="7"/>
  <c r="Y150" i="7"/>
  <c r="AJ188" i="7" l="1"/>
  <c r="AH188" i="7"/>
  <c r="V150" i="7"/>
  <c r="W150" i="7" s="1"/>
  <c r="Z150" i="7"/>
  <c r="AC150" i="7"/>
  <c r="AG150" i="7"/>
  <c r="AI150" i="7"/>
  <c r="AB175" i="7"/>
  <c r="Y175" i="7"/>
  <c r="AA175" i="7"/>
  <c r="X175" i="7"/>
  <c r="AE150" i="7"/>
  <c r="AD175" i="7"/>
  <c r="T175" i="7"/>
  <c r="AF175" i="7"/>
  <c r="AJ150" i="7" l="1"/>
  <c r="AH150" i="7"/>
  <c r="V175" i="7"/>
  <c r="W175" i="7" s="1"/>
  <c r="Z175" i="7"/>
  <c r="AC175" i="7"/>
  <c r="AG175" i="7"/>
  <c r="AE175" i="7"/>
  <c r="AI175" i="7"/>
  <c r="Y138" i="7"/>
  <c r="AB138" i="7"/>
  <c r="AA138" i="7"/>
  <c r="AD138" i="7"/>
  <c r="X138" i="7"/>
  <c r="T138" i="7"/>
  <c r="AF138" i="7"/>
  <c r="AJ175" i="7" l="1"/>
  <c r="AH175" i="7"/>
  <c r="AG138" i="7"/>
  <c r="V138" i="7"/>
  <c r="W138" i="7" s="1"/>
  <c r="AC138" i="7"/>
  <c r="Z138" i="7"/>
  <c r="AI138" i="7"/>
  <c r="Y171" i="7"/>
  <c r="AB171" i="7"/>
  <c r="X171" i="7"/>
  <c r="AA171" i="7"/>
  <c r="AD171" i="7"/>
  <c r="T171" i="7"/>
  <c r="AF171" i="7"/>
  <c r="AE138" i="7"/>
  <c r="AJ138" i="7" l="1"/>
  <c r="AH138" i="7"/>
  <c r="AC171" i="7"/>
  <c r="V171" i="7"/>
  <c r="W171" i="7" s="1"/>
  <c r="Z171" i="7"/>
  <c r="AG171" i="7"/>
  <c r="AI171" i="7"/>
  <c r="Y143" i="7"/>
  <c r="AB143" i="7"/>
  <c r="AA143" i="7"/>
  <c r="X143" i="7"/>
  <c r="AD143" i="7"/>
  <c r="T143" i="7"/>
  <c r="AE171" i="7"/>
  <c r="AF143" i="7"/>
  <c r="AJ171" i="7" l="1"/>
  <c r="AH171" i="7"/>
  <c r="AG143" i="7"/>
  <c r="V143" i="7"/>
  <c r="W143" i="7" s="1"/>
  <c r="AC143" i="7"/>
  <c r="Z143" i="7"/>
  <c r="AI143" i="7"/>
  <c r="Y180" i="7"/>
  <c r="AB180" i="7"/>
  <c r="AA180" i="7"/>
  <c r="X180" i="7"/>
  <c r="AD180" i="7"/>
  <c r="T180" i="7"/>
  <c r="AF180" i="7"/>
  <c r="AE143" i="7"/>
  <c r="AJ143" i="7" l="1"/>
  <c r="AH143" i="7"/>
  <c r="AC180" i="7"/>
  <c r="Z180" i="7"/>
  <c r="V180" i="7"/>
  <c r="W180" i="7" s="1"/>
  <c r="AG180" i="7"/>
  <c r="AE180" i="7"/>
  <c r="AI180" i="7"/>
  <c r="Y163" i="7"/>
  <c r="AB163" i="7"/>
  <c r="AD163" i="7"/>
  <c r="AA163" i="7"/>
  <c r="X163" i="7"/>
  <c r="T163" i="7"/>
  <c r="AF163" i="7"/>
  <c r="AJ180" i="7" l="1"/>
  <c r="AH180" i="7"/>
  <c r="AG163" i="7"/>
  <c r="V163" i="7"/>
  <c r="W163" i="7" s="1"/>
  <c r="AC163" i="7"/>
  <c r="Z163" i="7"/>
  <c r="AI163" i="7"/>
  <c r="AB170" i="7"/>
  <c r="Y170" i="7"/>
  <c r="AA170" i="7"/>
  <c r="AD170" i="7"/>
  <c r="X170" i="7"/>
  <c r="T170" i="7"/>
  <c r="AE163" i="7"/>
  <c r="AF170" i="7"/>
  <c r="AJ163" i="7" l="1"/>
  <c r="AH163" i="7"/>
  <c r="AG170" i="7"/>
  <c r="Z170" i="7"/>
  <c r="V170" i="7"/>
  <c r="W170" i="7" s="1"/>
  <c r="AC170" i="7"/>
  <c r="AI170" i="7"/>
  <c r="AB157" i="7"/>
  <c r="Y157" i="7"/>
  <c r="AD157" i="7"/>
  <c r="X157" i="7"/>
  <c r="AA157" i="7"/>
  <c r="T157" i="7"/>
  <c r="AF157" i="7"/>
  <c r="AE170" i="7"/>
  <c r="AJ170" i="7" l="1"/>
  <c r="AH170" i="7"/>
  <c r="AG157" i="7"/>
  <c r="Z157" i="7"/>
  <c r="AC157" i="7"/>
  <c r="V157" i="7"/>
  <c r="W157" i="7" s="1"/>
  <c r="AE157" i="7"/>
  <c r="AI157" i="7"/>
  <c r="Y186" i="7"/>
  <c r="AB186" i="7"/>
  <c r="AA186" i="7"/>
  <c r="AD186" i="7"/>
  <c r="X186" i="7"/>
  <c r="T186" i="7"/>
  <c r="AF186" i="7"/>
  <c r="AJ157" i="7" l="1"/>
  <c r="AH157" i="7"/>
  <c r="AG186" i="7"/>
  <c r="AC186" i="7"/>
  <c r="V186" i="7"/>
  <c r="W186" i="7" s="1"/>
  <c r="Z186" i="7"/>
  <c r="T184" i="7"/>
  <c r="AI186" i="7"/>
  <c r="AB184" i="7"/>
  <c r="Y184" i="7"/>
  <c r="AA184" i="7"/>
  <c r="X184" i="7"/>
  <c r="AD184" i="7"/>
  <c r="AE186" i="7"/>
  <c r="AF184" i="7"/>
  <c r="AJ186" i="7" l="1"/>
  <c r="AH186" i="7"/>
  <c r="AG184" i="7"/>
  <c r="Z184" i="7"/>
  <c r="V184" i="7"/>
  <c r="W184" i="7" s="1"/>
  <c r="AC184" i="7"/>
  <c r="AE184" i="7"/>
  <c r="AB148" i="7"/>
  <c r="Y148" i="7"/>
  <c r="AA148" i="7"/>
  <c r="X148" i="7"/>
  <c r="AD148" i="7"/>
  <c r="AI184" i="7"/>
  <c r="T148" i="7"/>
  <c r="AF148" i="7"/>
  <c r="AJ184" i="7" l="1"/>
  <c r="AH184" i="7"/>
  <c r="AG148" i="7"/>
  <c r="Z148" i="7"/>
  <c r="AC148" i="7"/>
  <c r="V148" i="7"/>
  <c r="W148" i="7" s="1"/>
  <c r="AE148" i="7"/>
  <c r="AD168" i="7"/>
  <c r="AI148" i="7"/>
  <c r="AB168" i="7"/>
  <c r="Y168" i="7"/>
  <c r="AA168" i="7"/>
  <c r="X168" i="7"/>
  <c r="T168" i="7"/>
  <c r="AF168" i="7"/>
  <c r="AJ148" i="7" l="1"/>
  <c r="AH148" i="7"/>
  <c r="AG168" i="7"/>
  <c r="V168" i="7"/>
  <c r="W168" i="7" s="1"/>
  <c r="Z168" i="7"/>
  <c r="AC168" i="7"/>
  <c r="AI168" i="7"/>
  <c r="AB152" i="7"/>
  <c r="Y152" i="7"/>
  <c r="X152" i="7"/>
  <c r="AD152" i="7"/>
  <c r="AA152" i="7"/>
  <c r="T152" i="7"/>
  <c r="AE168" i="7"/>
  <c r="AF152" i="7"/>
  <c r="AJ168" i="7" l="1"/>
  <c r="AH168" i="7"/>
  <c r="AG152" i="7"/>
  <c r="Z152" i="7"/>
  <c r="V152" i="7"/>
  <c r="W152" i="7" s="1"/>
  <c r="AC152" i="7"/>
  <c r="AE152" i="7"/>
  <c r="AI152" i="7"/>
  <c r="Y178" i="7"/>
  <c r="AB178" i="7"/>
  <c r="AD178" i="7"/>
  <c r="AA178" i="7"/>
  <c r="X178" i="7"/>
  <c r="T178" i="7"/>
  <c r="AF178" i="7"/>
  <c r="AJ152" i="7" l="1"/>
  <c r="AH152" i="7"/>
  <c r="V178" i="7"/>
  <c r="W178" i="7" s="1"/>
  <c r="AC178" i="7"/>
  <c r="Z178" i="7"/>
  <c r="AG178" i="7"/>
  <c r="AI178" i="7"/>
  <c r="Y169" i="7"/>
  <c r="AB169" i="7"/>
  <c r="AD169" i="7"/>
  <c r="X169" i="7"/>
  <c r="AA169" i="7"/>
  <c r="AE178" i="7"/>
  <c r="T169" i="7"/>
  <c r="AF169" i="7"/>
  <c r="AJ178" i="7" l="1"/>
  <c r="AH178" i="7"/>
  <c r="AG169" i="7"/>
  <c r="V169" i="7"/>
  <c r="W169" i="7" s="1"/>
  <c r="AC169" i="7"/>
  <c r="Z169" i="7"/>
  <c r="AE169" i="7"/>
  <c r="AI169" i="7"/>
  <c r="Y139" i="7"/>
  <c r="AB139" i="7"/>
  <c r="AD139" i="7"/>
  <c r="AA139" i="7"/>
  <c r="X139" i="7"/>
  <c r="T139" i="7"/>
  <c r="AF139" i="7"/>
  <c r="AJ169" i="7" l="1"/>
  <c r="AH169" i="7"/>
  <c r="V139" i="7"/>
  <c r="W139" i="7" s="1"/>
  <c r="AC139" i="7"/>
  <c r="Z139" i="7"/>
  <c r="AG139" i="7"/>
  <c r="AI139" i="7"/>
  <c r="AB144" i="7"/>
  <c r="Y144" i="7"/>
  <c r="AD144" i="7"/>
  <c r="X144" i="7"/>
  <c r="AA144" i="7"/>
  <c r="T144" i="7"/>
  <c r="AF144" i="7"/>
  <c r="AE139" i="7"/>
  <c r="AJ139" i="7" l="1"/>
  <c r="AH139" i="7"/>
  <c r="AG144" i="7"/>
  <c r="V144" i="7"/>
  <c r="W144" i="7" s="1"/>
  <c r="Z144" i="7"/>
  <c r="AC144" i="7"/>
  <c r="AE144" i="7"/>
  <c r="AI144" i="7"/>
  <c r="Y146" i="7"/>
  <c r="AB146" i="7"/>
  <c r="AD146" i="7"/>
  <c r="AA146" i="7"/>
  <c r="X146" i="7"/>
  <c r="T146" i="7"/>
  <c r="AF146" i="7"/>
  <c r="AJ144" i="7" l="1"/>
  <c r="AH144" i="7"/>
  <c r="AG146" i="7"/>
  <c r="V146" i="7"/>
  <c r="W146" i="7" s="1"/>
  <c r="AC146" i="7"/>
  <c r="Z146" i="7"/>
  <c r="AI146" i="7"/>
  <c r="Y154" i="7"/>
  <c r="AB154" i="7"/>
  <c r="AD154" i="7"/>
  <c r="AA154" i="7"/>
  <c r="X154" i="7"/>
  <c r="T154" i="7"/>
  <c r="AF154" i="7"/>
  <c r="AE146" i="7"/>
  <c r="AJ146" i="7" l="1"/>
  <c r="AH146" i="7"/>
  <c r="AC154" i="7"/>
  <c r="Z154" i="7"/>
  <c r="V154" i="7"/>
  <c r="W154" i="7" s="1"/>
  <c r="AG154" i="7"/>
  <c r="AE154" i="7"/>
  <c r="AI154" i="7"/>
  <c r="AB189" i="7"/>
  <c r="Y189" i="7"/>
  <c r="AD189" i="7"/>
  <c r="X189" i="7"/>
  <c r="AA189" i="7"/>
  <c r="T189" i="7"/>
  <c r="AF189" i="7"/>
  <c r="AJ154" i="7" l="1"/>
  <c r="AH154" i="7"/>
  <c r="AG189" i="7"/>
  <c r="Z189" i="7"/>
  <c r="AC189" i="7"/>
  <c r="V189" i="7"/>
  <c r="W189" i="7" s="1"/>
  <c r="AE189" i="7"/>
  <c r="AI189" i="7"/>
  <c r="Y136" i="7"/>
  <c r="AB136" i="7"/>
  <c r="AA136" i="7"/>
  <c r="X136" i="7"/>
  <c r="AD136" i="7"/>
  <c r="T136" i="7"/>
  <c r="AF136" i="7"/>
  <c r="AJ189" i="7" l="1"/>
  <c r="AH189" i="7"/>
  <c r="AG136" i="7"/>
  <c r="AC136" i="7"/>
  <c r="V136" i="7"/>
  <c r="W136" i="7" s="1"/>
  <c r="Z136" i="7"/>
  <c r="AI136" i="7"/>
  <c r="AB158" i="7"/>
  <c r="AD158" i="7"/>
  <c r="AA158" i="7"/>
  <c r="X158" i="7"/>
  <c r="Y158" i="7"/>
  <c r="T158" i="7"/>
  <c r="AE136" i="7"/>
  <c r="AF158" i="7"/>
  <c r="AJ136" i="7" l="1"/>
  <c r="AH136" i="7"/>
  <c r="AG158" i="7"/>
  <c r="Z158" i="7"/>
  <c r="V158" i="7"/>
  <c r="W158" i="7" s="1"/>
  <c r="AC158" i="7"/>
  <c r="AE158" i="7"/>
  <c r="AI158" i="7"/>
  <c r="AB151" i="7"/>
  <c r="Y151" i="7"/>
  <c r="AA151" i="7"/>
  <c r="X151" i="7"/>
  <c r="AD151" i="7"/>
  <c r="T151" i="7"/>
  <c r="AF151" i="7"/>
  <c r="AJ158" i="7" l="1"/>
  <c r="AH158" i="7"/>
  <c r="AG151" i="7"/>
  <c r="Z151" i="7"/>
  <c r="V151" i="7"/>
  <c r="W151" i="7" s="1"/>
  <c r="AC151" i="7"/>
  <c r="AI151" i="7"/>
  <c r="AB161" i="7"/>
  <c r="AD161" i="7"/>
  <c r="X161" i="7"/>
  <c r="AA161" i="7"/>
  <c r="T161" i="7"/>
  <c r="Y161" i="7"/>
  <c r="AE151" i="7"/>
  <c r="AF161" i="7"/>
  <c r="AJ151" i="7" l="1"/>
  <c r="AH151" i="7"/>
  <c r="AG161" i="7"/>
  <c r="Z161" i="7"/>
  <c r="V161" i="7"/>
  <c r="W161" i="7" s="1"/>
  <c r="AC161" i="7"/>
  <c r="AE161" i="7"/>
  <c r="AI161" i="7"/>
  <c r="Y141" i="7"/>
  <c r="AB141" i="7"/>
  <c r="AD141" i="7"/>
  <c r="X141" i="7"/>
  <c r="AA141" i="7"/>
  <c r="T141" i="7"/>
  <c r="AF141" i="7"/>
  <c r="AJ161" i="7" l="1"/>
  <c r="AH161" i="7"/>
  <c r="AC141" i="7"/>
  <c r="Z141" i="7"/>
  <c r="V141" i="7"/>
  <c r="W141" i="7" s="1"/>
  <c r="AG141" i="7"/>
  <c r="AE141" i="7"/>
  <c r="AI141" i="7"/>
  <c r="Y160" i="7"/>
  <c r="AB160" i="7"/>
  <c r="AA160" i="7"/>
  <c r="X160" i="7"/>
  <c r="AD160" i="7"/>
  <c r="T160" i="7"/>
  <c r="AF160" i="7"/>
  <c r="AJ141" i="7" l="1"/>
  <c r="AH141" i="7"/>
  <c r="AG160" i="7"/>
  <c r="V160" i="7"/>
  <c r="W160" i="7" s="1"/>
  <c r="AC160" i="7"/>
  <c r="Z160" i="7"/>
  <c r="AI160" i="7"/>
  <c r="AB137" i="7"/>
  <c r="Y137" i="7"/>
  <c r="AD137" i="7"/>
  <c r="X137" i="7"/>
  <c r="AA137" i="7"/>
  <c r="T137" i="7"/>
  <c r="AE160" i="7"/>
  <c r="AF137" i="7"/>
  <c r="AJ160" i="7" l="1"/>
  <c r="AH160" i="7"/>
  <c r="AG137" i="7"/>
  <c r="Z137" i="7"/>
  <c r="AC137" i="7"/>
  <c r="V137" i="7"/>
  <c r="W137" i="7" s="1"/>
  <c r="AE137" i="7"/>
  <c r="AI137" i="7"/>
  <c r="Y159" i="7"/>
  <c r="X159" i="7"/>
  <c r="AA159" i="7"/>
  <c r="AD159" i="7"/>
  <c r="T159" i="7"/>
  <c r="AF159" i="7"/>
  <c r="AB159" i="7"/>
  <c r="AJ137" i="7" l="1"/>
  <c r="AH137" i="7"/>
  <c r="AC159" i="7"/>
  <c r="V159" i="7"/>
  <c r="W159" i="7" s="1"/>
  <c r="Z159" i="7"/>
  <c r="AG159" i="7"/>
  <c r="AI159" i="7"/>
  <c r="Y149" i="7"/>
  <c r="AB149" i="7"/>
  <c r="X149" i="7"/>
  <c r="AD149" i="7"/>
  <c r="AA149" i="7"/>
  <c r="T149" i="7"/>
  <c r="AF149" i="7"/>
  <c r="AE159" i="7"/>
  <c r="AJ159" i="7" l="1"/>
  <c r="AH159" i="7"/>
  <c r="AC149" i="7"/>
  <c r="V149" i="7"/>
  <c r="W149" i="7" s="1"/>
  <c r="Z149" i="7"/>
  <c r="AG149" i="7"/>
  <c r="AE149" i="7"/>
  <c r="AI149" i="7"/>
  <c r="AB135" i="7"/>
  <c r="Y135" i="7"/>
  <c r="AA135" i="7"/>
  <c r="X135" i="7"/>
  <c r="AD135" i="7"/>
  <c r="T135" i="7"/>
  <c r="AF135" i="7"/>
  <c r="AJ149" i="7" l="1"/>
  <c r="AH149" i="7"/>
  <c r="Z135" i="7"/>
  <c r="AC135" i="7"/>
  <c r="V135" i="7"/>
  <c r="W135" i="7" s="1"/>
  <c r="AG135" i="7"/>
  <c r="AE135" i="7"/>
  <c r="AI135" i="7"/>
  <c r="AB182" i="7"/>
  <c r="Y182" i="7"/>
  <c r="AD182" i="7"/>
  <c r="AA182" i="7"/>
  <c r="X182" i="7"/>
  <c r="T182" i="7"/>
  <c r="AF182" i="7"/>
  <c r="AJ135" i="7" l="1"/>
  <c r="AH135" i="7"/>
  <c r="Z182" i="7"/>
  <c r="AC182" i="7"/>
  <c r="V182" i="7"/>
  <c r="W182" i="7" s="1"/>
  <c r="AG182" i="7"/>
  <c r="AI182" i="7"/>
  <c r="Y140" i="7"/>
  <c r="AB140" i="7"/>
  <c r="AA140" i="7"/>
  <c r="X140" i="7"/>
  <c r="AD140" i="7"/>
  <c r="T140" i="7"/>
  <c r="AF140" i="7"/>
  <c r="AE182" i="7"/>
  <c r="AJ182" i="7" l="1"/>
  <c r="AH182" i="7"/>
  <c r="AC140" i="7"/>
  <c r="V140" i="7"/>
  <c r="W140" i="7" s="1"/>
  <c r="Z140" i="7"/>
  <c r="AG140" i="7"/>
  <c r="AI140" i="7"/>
  <c r="Y162" i="7"/>
  <c r="AD162" i="7"/>
  <c r="AA162" i="7"/>
  <c r="X162" i="7"/>
  <c r="T162" i="7"/>
  <c r="AB162" i="7"/>
  <c r="AF162" i="7"/>
  <c r="AE140" i="7"/>
  <c r="AJ140" i="7" l="1"/>
  <c r="AH140" i="7"/>
  <c r="AG162" i="7"/>
  <c r="AC162" i="7"/>
  <c r="Z162" i="7"/>
  <c r="V162" i="7"/>
  <c r="W162" i="7" s="1"/>
  <c r="AE162" i="7"/>
  <c r="AI162" i="7"/>
  <c r="Y133" i="7"/>
  <c r="AB133" i="7"/>
  <c r="X133" i="7"/>
  <c r="AA133" i="7"/>
  <c r="AD133" i="7"/>
  <c r="T133" i="7"/>
  <c r="AF133" i="7"/>
  <c r="AJ162" i="7" l="1"/>
  <c r="AH162" i="7"/>
  <c r="AC133" i="7"/>
  <c r="V133" i="7"/>
  <c r="W133" i="7" s="1"/>
  <c r="Z133" i="7"/>
  <c r="AG133" i="7"/>
  <c r="AI133" i="7"/>
  <c r="Y166" i="7"/>
  <c r="AB166" i="7"/>
  <c r="AD166" i="7"/>
  <c r="AA166" i="7"/>
  <c r="X166" i="7"/>
  <c r="T166" i="7"/>
  <c r="AE133" i="7"/>
  <c r="AF166" i="7"/>
  <c r="AJ133" i="7" l="1"/>
  <c r="AH133" i="7"/>
  <c r="AG166" i="7"/>
  <c r="V166" i="7"/>
  <c r="W166" i="7" s="1"/>
  <c r="AC166" i="7"/>
  <c r="Z166" i="7"/>
  <c r="AI166" i="7"/>
  <c r="Y177" i="7"/>
  <c r="AB177" i="7"/>
  <c r="AD177" i="7"/>
  <c r="X177" i="7"/>
  <c r="T177" i="7"/>
  <c r="AF177" i="7"/>
  <c r="AE166" i="7"/>
  <c r="AA177" i="7"/>
  <c r="AJ166" i="7" l="1"/>
  <c r="AH166" i="7"/>
  <c r="V177" i="7"/>
  <c r="W177" i="7" s="1"/>
  <c r="AC177" i="7"/>
  <c r="Z177" i="7"/>
  <c r="AG177" i="7"/>
  <c r="AE177" i="7"/>
  <c r="AI177" i="7"/>
  <c r="Y172" i="7"/>
  <c r="AB172" i="7"/>
  <c r="AA172" i="7"/>
  <c r="X172" i="7"/>
  <c r="AD172" i="7"/>
  <c r="T172" i="7"/>
  <c r="AF172" i="7"/>
  <c r="AJ177" i="7" l="1"/>
  <c r="AH177" i="7"/>
  <c r="AG172" i="7"/>
  <c r="AC172" i="7"/>
  <c r="Z172" i="7"/>
  <c r="V172" i="7"/>
  <c r="W172" i="7" s="1"/>
  <c r="AA192" i="7"/>
  <c r="T192" i="7"/>
  <c r="AF192" i="7"/>
  <c r="AI172" i="7"/>
  <c r="Y192" i="7"/>
  <c r="AB192" i="7"/>
  <c r="X192" i="7"/>
  <c r="AE172" i="7"/>
  <c r="AD192" i="7"/>
  <c r="AJ172" i="7" l="1"/>
  <c r="AH172" i="7"/>
  <c r="AG192" i="7"/>
  <c r="AC192" i="7"/>
  <c r="V192" i="7"/>
  <c r="W192" i="7" s="1"/>
  <c r="Z192" i="7"/>
  <c r="Y181" i="7"/>
  <c r="AI192" i="7"/>
  <c r="AB181" i="7"/>
  <c r="X181" i="7"/>
  <c r="AD181" i="7"/>
  <c r="AE192" i="7"/>
  <c r="AA181" i="7"/>
  <c r="T181" i="7"/>
  <c r="AF181" i="7"/>
  <c r="AJ192" i="7" l="1"/>
  <c r="AH192" i="7"/>
  <c r="AG181" i="7"/>
  <c r="Z181" i="7"/>
  <c r="AC181" i="7"/>
  <c r="V181" i="7"/>
  <c r="W181" i="7" s="1"/>
  <c r="AA176" i="7"/>
  <c r="AI181" i="7"/>
  <c r="Y176" i="7"/>
  <c r="AB176" i="7"/>
  <c r="AD176" i="7"/>
  <c r="T176" i="7"/>
  <c r="AE181" i="7"/>
  <c r="AF176" i="7"/>
  <c r="X176" i="7"/>
  <c r="AJ181" i="7" l="1"/>
  <c r="AH181" i="7"/>
  <c r="AG176" i="7"/>
  <c r="AC176" i="7"/>
  <c r="Z176" i="7"/>
  <c r="V176" i="7"/>
  <c r="W176" i="7" s="1"/>
  <c r="AI176" i="7"/>
  <c r="AB155" i="7"/>
  <c r="X155" i="7"/>
  <c r="AA155" i="7"/>
  <c r="AE176" i="7"/>
  <c r="Y155" i="7"/>
  <c r="AD155" i="7"/>
  <c r="T155" i="7"/>
  <c r="AF155" i="7"/>
  <c r="AJ176" i="7" l="1"/>
  <c r="AH176" i="7"/>
  <c r="Z155" i="7"/>
  <c r="AC155" i="7"/>
  <c r="V155" i="7"/>
  <c r="W155" i="7" s="1"/>
  <c r="AG155" i="7"/>
  <c r="AE155" i="7"/>
  <c r="Y153" i="7"/>
  <c r="AA153" i="7"/>
  <c r="T153" i="7"/>
  <c r="AF153" i="7"/>
  <c r="AI155" i="7"/>
  <c r="AD153" i="7"/>
  <c r="X153" i="7"/>
  <c r="AB153" i="7"/>
  <c r="AJ155" i="7" l="1"/>
  <c r="AH155" i="7"/>
  <c r="AC153" i="7"/>
  <c r="Z153" i="7"/>
  <c r="V153" i="7"/>
  <c r="W153" i="7" s="1"/>
  <c r="AG153" i="7"/>
  <c r="AB145" i="7"/>
  <c r="AI153" i="7"/>
  <c r="Y145" i="7"/>
  <c r="AD145" i="7"/>
  <c r="AA145" i="7"/>
  <c r="T145" i="7"/>
  <c r="AF145" i="7"/>
  <c r="AE153" i="7"/>
  <c r="X145" i="7"/>
  <c r="AJ153" i="7" l="1"/>
  <c r="AH153" i="7"/>
  <c r="AG145" i="7"/>
  <c r="AC145" i="7"/>
  <c r="V145" i="7"/>
  <c r="W145" i="7" s="1"/>
  <c r="Z145" i="7"/>
  <c r="AI145" i="7"/>
  <c r="AB190" i="7"/>
  <c r="AE145" i="7"/>
  <c r="Y190" i="7"/>
  <c r="X190" i="7"/>
  <c r="T190" i="7"/>
  <c r="AF190" i="7"/>
  <c r="AD190" i="7"/>
  <c r="AA190" i="7"/>
  <c r="AJ145" i="7" l="1"/>
  <c r="AH145" i="7"/>
  <c r="Z190" i="7"/>
  <c r="AC190" i="7"/>
  <c r="V190" i="7"/>
  <c r="W190" i="7" s="1"/>
  <c r="AG190" i="7"/>
  <c r="AI190" i="7"/>
  <c r="AE190" i="7"/>
  <c r="AB179" i="7"/>
  <c r="AA179" i="7"/>
  <c r="AD179" i="7"/>
  <c r="T179" i="7"/>
  <c r="Y179" i="7"/>
  <c r="X179" i="7"/>
  <c r="AF179" i="7"/>
  <c r="AJ190" i="7" l="1"/>
  <c r="AH190" i="7"/>
  <c r="AG179" i="7"/>
  <c r="AC179" i="7"/>
  <c r="V179" i="7"/>
  <c r="W179" i="7" s="1"/>
  <c r="Z179" i="7"/>
  <c r="AD174" i="7"/>
  <c r="AI179" i="7"/>
  <c r="Y174" i="7"/>
  <c r="X174" i="7"/>
  <c r="T174" i="7"/>
  <c r="AE179" i="7"/>
  <c r="AA174" i="7"/>
  <c r="AF174" i="7"/>
  <c r="AB174" i="7"/>
  <c r="AJ179" i="7" l="1"/>
  <c r="AH179" i="7"/>
  <c r="AG174" i="7"/>
  <c r="V174" i="7"/>
  <c r="W174" i="7" s="1"/>
  <c r="AC174" i="7"/>
  <c r="Z174" i="7"/>
  <c r="X156" i="7"/>
  <c r="AI174" i="7"/>
  <c r="AB156" i="7"/>
  <c r="AD156" i="7"/>
  <c r="T156" i="7"/>
  <c r="AE174" i="7"/>
  <c r="AA156" i="7"/>
  <c r="AF156" i="7"/>
  <c r="Y156" i="7"/>
  <c r="AJ174" i="7" l="1"/>
  <c r="AH174" i="7"/>
  <c r="Z156" i="7"/>
  <c r="V156" i="7"/>
  <c r="W156" i="7" s="1"/>
  <c r="AC156" i="7"/>
  <c r="AG156" i="7"/>
  <c r="AI156" i="7"/>
  <c r="AE156" i="7"/>
  <c r="Y173" i="7"/>
  <c r="AD173" i="7"/>
  <c r="X173" i="7"/>
  <c r="AA173" i="7"/>
  <c r="AB173" i="7"/>
  <c r="T173" i="7"/>
  <c r="AF173" i="7"/>
  <c r="AJ156" i="7" l="1"/>
  <c r="AH156" i="7"/>
  <c r="V173" i="7"/>
  <c r="W173" i="7" s="1"/>
  <c r="Z173" i="7"/>
  <c r="AC173" i="7"/>
  <c r="AG173" i="7"/>
  <c r="AE173" i="7"/>
  <c r="AB165" i="7"/>
  <c r="AA165" i="7"/>
  <c r="T165" i="7"/>
  <c r="AI173" i="7"/>
  <c r="Y165" i="7"/>
  <c r="X165" i="7"/>
  <c r="AD165" i="7"/>
  <c r="AF165" i="7"/>
  <c r="AJ173" i="7" l="1"/>
  <c r="AH173" i="7"/>
  <c r="Z165" i="7"/>
  <c r="V165" i="7"/>
  <c r="W165" i="7" s="1"/>
  <c r="AC165" i="7"/>
  <c r="AG165" i="7"/>
  <c r="AI165" i="7"/>
  <c r="AB187" i="7"/>
  <c r="AE165" i="7"/>
  <c r="Y187" i="7"/>
  <c r="AA187" i="7"/>
  <c r="AD187" i="7"/>
  <c r="X187" i="7"/>
  <c r="T187" i="7"/>
  <c r="AF187" i="7"/>
  <c r="AJ165" i="7" l="1"/>
  <c r="AH165" i="7"/>
  <c r="AG187" i="7"/>
  <c r="V187" i="7"/>
  <c r="W187" i="7" s="1"/>
  <c r="Z187" i="7"/>
  <c r="AC187" i="7"/>
  <c r="AE187" i="7"/>
  <c r="AI187" i="7"/>
  <c r="Y134" i="7"/>
  <c r="AB134" i="7"/>
  <c r="AA134" i="7"/>
  <c r="AD134" i="7"/>
  <c r="X134" i="7"/>
  <c r="T134" i="7"/>
  <c r="AF134" i="7"/>
  <c r="AJ187" i="7" l="1"/>
  <c r="AH187" i="7"/>
  <c r="AG134" i="7"/>
  <c r="AC134" i="7"/>
  <c r="V134" i="7"/>
  <c r="W134" i="7" s="1"/>
  <c r="Z134" i="7"/>
  <c r="AA183" i="7"/>
  <c r="AI134" i="7"/>
  <c r="Y183" i="7"/>
  <c r="AD183" i="7"/>
  <c r="T183" i="7"/>
  <c r="AE134" i="7"/>
  <c r="X183" i="7"/>
  <c r="AF183" i="7"/>
  <c r="AB183" i="7"/>
  <c r="AJ134" i="7" l="1"/>
  <c r="AH134" i="7"/>
  <c r="N3" i="7"/>
  <c r="AC183" i="7"/>
  <c r="Q3" i="7" s="1"/>
  <c r="V183" i="7"/>
  <c r="W183" i="7" s="1"/>
  <c r="Z183" i="7"/>
  <c r="AG183" i="7"/>
  <c r="AI183" i="7"/>
  <c r="AE183" i="7"/>
  <c r="AJ183" i="7" l="1"/>
  <c r="AH183" i="7"/>
  <c r="L32" i="13"/>
  <c r="L10" i="13"/>
  <c r="O32" i="13"/>
  <c r="R32" i="13"/>
  <c r="N32" i="13"/>
  <c r="P32" i="13"/>
  <c r="Q32" i="13"/>
  <c r="O10" i="13"/>
  <c r="Q10" i="13"/>
  <c r="R10" i="13"/>
  <c r="N10" i="13"/>
  <c r="P10" i="13"/>
  <c r="W11" i="13"/>
  <c r="AA11" i="13"/>
  <c r="U11" i="13"/>
  <c r="Z11" i="13"/>
  <c r="AD11" i="13"/>
  <c r="Z10" i="13"/>
  <c r="W10" i="13"/>
  <c r="AA10" i="13"/>
  <c r="U10" i="13"/>
  <c r="AD10" i="13"/>
  <c r="U32" i="13"/>
  <c r="AA32" i="13"/>
  <c r="Z32" i="13"/>
  <c r="W32" i="13"/>
  <c r="AD32" i="13"/>
  <c r="Y32" i="13" l="1"/>
  <c r="AC32" i="13"/>
  <c r="V32" i="13"/>
  <c r="V10" i="13"/>
  <c r="AC10" i="13"/>
  <c r="Y10" i="13"/>
  <c r="V11" i="13"/>
  <c r="AC11" i="13"/>
  <c r="Y11" i="13"/>
  <c r="P3" i="13"/>
  <c r="N3" i="13" l="1"/>
  <c r="Q3" i="13"/>
</calcChain>
</file>

<file path=xl/sharedStrings.xml><?xml version="1.0" encoding="utf-8"?>
<sst xmlns="http://schemas.openxmlformats.org/spreadsheetml/2006/main" count="4233" uniqueCount="1986">
  <si>
    <t>BondDescription</t>
  </si>
  <si>
    <t>ISIN</t>
  </si>
  <si>
    <t>IssueDate</t>
  </si>
  <si>
    <t>FirstCouponDate</t>
  </si>
  <si>
    <t>LastCouponDate</t>
  </si>
  <si>
    <t>MaturityDate</t>
  </si>
  <si>
    <t>Coupon</t>
  </si>
  <si>
    <t>RollDay</t>
  </si>
  <si>
    <t>AccrualStartDate</t>
  </si>
  <si>
    <t>Valuation Date</t>
  </si>
  <si>
    <t>Settlement Date</t>
  </si>
  <si>
    <t>1D</t>
  </si>
  <si>
    <t>Bloomberg</t>
  </si>
  <si>
    <t xml:space="preserve">MLIB </t>
  </si>
  <si>
    <t>BB vs MLIB</t>
  </si>
  <si>
    <t>MLIB</t>
  </si>
  <si>
    <t>BBG</t>
  </si>
  <si>
    <t>Bond Identifier</t>
  </si>
  <si>
    <t>CreateBond</t>
  </si>
  <si>
    <t>YLD_YTM_ASK</t>
  </si>
  <si>
    <t>YAS_BOND_PX</t>
  </si>
  <si>
    <t>Clean Price</t>
  </si>
  <si>
    <t>Difference</t>
  </si>
  <si>
    <t>DV01</t>
  </si>
  <si>
    <t>YAS_RISK</t>
  </si>
  <si>
    <t>Dirty Price</t>
  </si>
  <si>
    <t>Mod. Duration</t>
  </si>
  <si>
    <t>DUR_ADJ_ASK</t>
  </si>
  <si>
    <t>Numerical DV01</t>
  </si>
  <si>
    <t>912810EV Govt</t>
  </si>
  <si>
    <t>US912810EV62</t>
  </si>
  <si>
    <t>912810EQ Govt</t>
  </si>
  <si>
    <t>US912810EQ77</t>
  </si>
  <si>
    <t>912810EX Govt</t>
  </si>
  <si>
    <t>US912810EX29</t>
  </si>
  <si>
    <t>912810EZ Govt</t>
  </si>
  <si>
    <t>US912810EZ76</t>
  </si>
  <si>
    <t>912810EY Govt</t>
  </si>
  <si>
    <t>US912810EY02</t>
  </si>
  <si>
    <t>912828K7 Govt</t>
  </si>
  <si>
    <t>US912828K742</t>
  </si>
  <si>
    <t>912810FA Govt</t>
  </si>
  <si>
    <t>US912810FA17</t>
  </si>
  <si>
    <t>912810EW Govt</t>
  </si>
  <si>
    <t>US912810EW46</t>
  </si>
  <si>
    <t>912810QY Govt</t>
  </si>
  <si>
    <t>US912810QY73</t>
  </si>
  <si>
    <t>FaceValue</t>
  </si>
  <si>
    <t>912810QX Govt</t>
  </si>
  <si>
    <t>US912810QX90</t>
  </si>
  <si>
    <t>Frequency</t>
  </si>
  <si>
    <t>912810RB Govt</t>
  </si>
  <si>
    <t>US912810RB61</t>
  </si>
  <si>
    <t>912810RJ Govt</t>
  </si>
  <si>
    <t>US912810RJ97</t>
  </si>
  <si>
    <t>912810FB Govt</t>
  </si>
  <si>
    <t>US912810FB99</t>
  </si>
  <si>
    <t>912810FJ Govt</t>
  </si>
  <si>
    <t>US912810FJ26</t>
  </si>
  <si>
    <t>912810FM Govt</t>
  </si>
  <si>
    <t>US912810FM54</t>
  </si>
  <si>
    <t>912810FE Govt</t>
  </si>
  <si>
    <t>US912810FE39</t>
  </si>
  <si>
    <t>912810FG Govt</t>
  </si>
  <si>
    <t>US912810FG86</t>
  </si>
  <si>
    <t>912810FF Govt</t>
  </si>
  <si>
    <t>US912810FF04</t>
  </si>
  <si>
    <t>912810FP Govt</t>
  </si>
  <si>
    <t>US912810FP85</t>
  </si>
  <si>
    <t>912810PX Govt</t>
  </si>
  <si>
    <t>US912810PX00</t>
  </si>
  <si>
    <t>912828PX Govt</t>
  </si>
  <si>
    <t>US912828PX26</t>
  </si>
  <si>
    <t>912810PU Govt</t>
  </si>
  <si>
    <t>US912810PU60</t>
  </si>
  <si>
    <t>912828QN Govt</t>
  </si>
  <si>
    <t>US912828QN35</t>
  </si>
  <si>
    <t>912810PT Govt</t>
  </si>
  <si>
    <t>US912810PT97</t>
  </si>
  <si>
    <t>912810FT Govt</t>
  </si>
  <si>
    <t>US912810FT08</t>
  </si>
  <si>
    <t>912810QN Govt</t>
  </si>
  <si>
    <t>US912810QN19</t>
  </si>
  <si>
    <t>912810QE Govt</t>
  </si>
  <si>
    <t>US912810QE10</t>
  </si>
  <si>
    <t>912810PW Govt</t>
  </si>
  <si>
    <t>US912810PW27</t>
  </si>
  <si>
    <t>912810QC Govt</t>
  </si>
  <si>
    <t>US912810QC53</t>
  </si>
  <si>
    <t>912828S9 Govt</t>
  </si>
  <si>
    <t>US912828S927</t>
  </si>
  <si>
    <t>912810QD Govt</t>
  </si>
  <si>
    <t>US912810QD37</t>
  </si>
  <si>
    <t>912828T3 Govt</t>
  </si>
  <si>
    <t>US912828T347</t>
  </si>
  <si>
    <t>9128282A Govt</t>
  </si>
  <si>
    <t>US9128282A70</t>
  </si>
  <si>
    <t>912828T2 Govt</t>
  </si>
  <si>
    <t>US912828T263</t>
  </si>
  <si>
    <t>912810QH Govt</t>
  </si>
  <si>
    <t>US912810QH41</t>
  </si>
  <si>
    <t>912810QB Govt</t>
  </si>
  <si>
    <t>US912810QB70</t>
  </si>
  <si>
    <t>912828S7 Govt</t>
  </si>
  <si>
    <t>US912828S760</t>
  </si>
  <si>
    <t>912810QQ Govt</t>
  </si>
  <si>
    <t>US912810QQ40</t>
  </si>
  <si>
    <t>912810QL Govt</t>
  </si>
  <si>
    <t>US912810QL52</t>
  </si>
  <si>
    <t>912828R3 Govt</t>
  </si>
  <si>
    <t>US912828R366</t>
  </si>
  <si>
    <t>912828P4 Govt</t>
  </si>
  <si>
    <t>US912828P469</t>
  </si>
  <si>
    <t>912828P8 Govt</t>
  </si>
  <si>
    <t>US912828P873</t>
  </si>
  <si>
    <t>9128282D Govt</t>
  </si>
  <si>
    <t>US9128282D10</t>
  </si>
  <si>
    <t>9128282F Govt</t>
  </si>
  <si>
    <t>US9128282F67</t>
  </si>
  <si>
    <t>912828P7 Govt</t>
  </si>
  <si>
    <t>US912828P790</t>
  </si>
  <si>
    <t>912828S3 Govt</t>
  </si>
  <si>
    <t>US912828S356</t>
  </si>
  <si>
    <t>912828S2 Govt</t>
  </si>
  <si>
    <t>US912828S273</t>
  </si>
  <si>
    <t>912810QK Govt</t>
  </si>
  <si>
    <t>US912810QK79</t>
  </si>
  <si>
    <t>912828WE Govt</t>
  </si>
  <si>
    <t>US912828WE61</t>
  </si>
  <si>
    <t>912828B6 Govt</t>
  </si>
  <si>
    <t>US912828B667</t>
  </si>
  <si>
    <t>912828TY Govt</t>
  </si>
  <si>
    <t>US912828TY62</t>
  </si>
  <si>
    <t>912828H8 Govt</t>
  </si>
  <si>
    <t>US912828H862</t>
  </si>
  <si>
    <t>912810QS Govt</t>
  </si>
  <si>
    <t>US912810QS06</t>
  </si>
  <si>
    <t>912828N8 Govt</t>
  </si>
  <si>
    <t>US912828N894</t>
  </si>
  <si>
    <t>912828TJ Govt</t>
  </si>
  <si>
    <t>US912828TJ95</t>
  </si>
  <si>
    <t>912828VB Govt</t>
  </si>
  <si>
    <t>US912828VB32</t>
  </si>
  <si>
    <t>912828WY Govt</t>
  </si>
  <si>
    <t>US912828WY26</t>
  </si>
  <si>
    <t>912810QA Govt</t>
  </si>
  <si>
    <t>US912810QA97</t>
  </si>
  <si>
    <t>912828U2 Govt</t>
  </si>
  <si>
    <t>US912828U246</t>
  </si>
  <si>
    <t>912828R6 Govt</t>
  </si>
  <si>
    <t>US912828R697</t>
  </si>
  <si>
    <t>912810RD Govt</t>
  </si>
  <si>
    <t>US912810RD28</t>
  </si>
  <si>
    <t>912828B5 Govt</t>
  </si>
  <si>
    <t>US912828B584</t>
  </si>
  <si>
    <t>912828P3 Govt</t>
  </si>
  <si>
    <t>US912828P386</t>
  </si>
  <si>
    <t>912810RT Govt</t>
  </si>
  <si>
    <t>US912810RT79</t>
  </si>
  <si>
    <t>912828R7 Govt</t>
  </si>
  <si>
    <t>US912828R770</t>
  </si>
  <si>
    <t>912810RC Govt</t>
  </si>
  <si>
    <t>US912810RC45</t>
  </si>
  <si>
    <t>912828Q2 Govt</t>
  </si>
  <si>
    <t>US912828Q293</t>
  </si>
  <si>
    <t>912828L5 Govt</t>
  </si>
  <si>
    <t>US912828L575</t>
  </si>
  <si>
    <t>912828VS Govt</t>
  </si>
  <si>
    <t>US912828VS66</t>
  </si>
  <si>
    <t>912810RE Govt</t>
  </si>
  <si>
    <t>US912810RE01</t>
  </si>
  <si>
    <t>912828Q3 Govt</t>
  </si>
  <si>
    <t>US912828Q376</t>
  </si>
  <si>
    <t>912828J2 Govt</t>
  </si>
  <si>
    <t>US912828J272</t>
  </si>
  <si>
    <t>912828SV Govt</t>
  </si>
  <si>
    <t>US912828SV33</t>
  </si>
  <si>
    <t>912810RS Govt</t>
  </si>
  <si>
    <t>US912810RS96</t>
  </si>
  <si>
    <t>912810RK Govt</t>
  </si>
  <si>
    <t>US912810RK60</t>
  </si>
  <si>
    <t>912828RC Govt</t>
  </si>
  <si>
    <t>US912828RC60</t>
  </si>
  <si>
    <t>912810RQ Govt</t>
  </si>
  <si>
    <t>US912810RQ31</t>
  </si>
  <si>
    <t>912828WJ Govt</t>
  </si>
  <si>
    <t>US912828WJ58</t>
  </si>
  <si>
    <t>912828C5 Govt</t>
  </si>
  <si>
    <t>US912828C574</t>
  </si>
  <si>
    <t>912828B9 Govt</t>
  </si>
  <si>
    <t>US912828B907</t>
  </si>
  <si>
    <t>912828J4 Govt</t>
  </si>
  <si>
    <t>US912828J439</t>
  </si>
  <si>
    <t>912828XB Govt</t>
  </si>
  <si>
    <t>US912828XB14</t>
  </si>
  <si>
    <t>912828F2 Govt</t>
  </si>
  <si>
    <t>US912828F213</t>
  </si>
  <si>
    <t>912828WR Govt</t>
  </si>
  <si>
    <t>US912828WR74</t>
  </si>
  <si>
    <t>912828U6 Govt</t>
  </si>
  <si>
    <t>US912828U659</t>
  </si>
  <si>
    <t>912810RG Govt</t>
  </si>
  <si>
    <t>US912810RG58</t>
  </si>
  <si>
    <t>912828L2 Govt</t>
  </si>
  <si>
    <t>US912828L245</t>
  </si>
  <si>
    <t>912828T6 Govt</t>
  </si>
  <si>
    <t>US912828T677</t>
  </si>
  <si>
    <t>912828V9 Govt</t>
  </si>
  <si>
    <t>US912828V988</t>
  </si>
  <si>
    <t>912828G8 Govt</t>
  </si>
  <si>
    <t>US912828G872</t>
  </si>
  <si>
    <t>912828J7 Govt</t>
  </si>
  <si>
    <t>US912828J769</t>
  </si>
  <si>
    <t>912828M5 Govt</t>
  </si>
  <si>
    <t>US912828M565</t>
  </si>
  <si>
    <t>912828T9 Govt</t>
  </si>
  <si>
    <t>US912828T917</t>
  </si>
  <si>
    <t>912828WN Govt</t>
  </si>
  <si>
    <t>US912828WN60</t>
  </si>
  <si>
    <t>912828R2 Govt</t>
  </si>
  <si>
    <t>US912828R283</t>
  </si>
  <si>
    <t>912828UN Govt</t>
  </si>
  <si>
    <t>US912828UN88</t>
  </si>
  <si>
    <t>912828U8 Govt</t>
  </si>
  <si>
    <t>US912828U816</t>
  </si>
  <si>
    <t>912828D5 Govt</t>
  </si>
  <si>
    <t>US912828D564</t>
  </si>
  <si>
    <t>912828Q7 Govt</t>
  </si>
  <si>
    <t>US912828Q780</t>
  </si>
  <si>
    <t>912828M8 Govt</t>
  </si>
  <si>
    <t>US912828M805</t>
  </si>
  <si>
    <t>912828XD Govt</t>
  </si>
  <si>
    <t>US912828XD79</t>
  </si>
  <si>
    <t>912828W4 Govt</t>
  </si>
  <si>
    <t>US912828W481</t>
  </si>
  <si>
    <t>912828D7 Govt</t>
  </si>
  <si>
    <t>US912828D721</t>
  </si>
  <si>
    <t>912810RU Govt</t>
  </si>
  <si>
    <t>US912810RU43</t>
  </si>
  <si>
    <t>912828U5 Govt</t>
  </si>
  <si>
    <t>US912828U576</t>
  </si>
  <si>
    <t>912810QU Govt</t>
  </si>
  <si>
    <t>US912810QU51</t>
  </si>
  <si>
    <t>912828XG Govt</t>
  </si>
  <si>
    <t>US912828XG01</t>
  </si>
  <si>
    <t>912828RR Govt</t>
  </si>
  <si>
    <t>US912828RR30</t>
  </si>
  <si>
    <t>912828V7 Govt</t>
  </si>
  <si>
    <t>US912828V723</t>
  </si>
  <si>
    <t>912810QZ Govt</t>
  </si>
  <si>
    <t>US912810QZ49</t>
  </si>
  <si>
    <t>912828W5 Govt</t>
  </si>
  <si>
    <t>US912828W556</t>
  </si>
  <si>
    <t>912828SF Govt</t>
  </si>
  <si>
    <t>US912828SF82</t>
  </si>
  <si>
    <t>912810RN Govt</t>
  </si>
  <si>
    <t>US912810RN00</t>
  </si>
  <si>
    <t>912828G5 Govt</t>
  </si>
  <si>
    <t>US912828G534</t>
  </si>
  <si>
    <t>912828V2 Govt</t>
  </si>
  <si>
    <t>US912828V236</t>
  </si>
  <si>
    <t>912810RH Govt</t>
  </si>
  <si>
    <t>US912810RH32</t>
  </si>
  <si>
    <t>912810QT Govt</t>
  </si>
  <si>
    <t>US912810QT88</t>
  </si>
  <si>
    <t>912828G3 Govt</t>
  </si>
  <si>
    <t>US912828G385</t>
  </si>
  <si>
    <t>912828WZ Govt</t>
  </si>
  <si>
    <t>US912828WZ90</t>
  </si>
  <si>
    <t>912828M4 Govt</t>
  </si>
  <si>
    <t>US912828M490</t>
  </si>
  <si>
    <t>912828XQ Govt</t>
  </si>
  <si>
    <t>US912828XQ82</t>
  </si>
  <si>
    <t>912828V8 Govt</t>
  </si>
  <si>
    <t>US912828V806</t>
  </si>
  <si>
    <t>912810RP Govt</t>
  </si>
  <si>
    <t>US912810RP57</t>
  </si>
  <si>
    <t>912810RM Govt</t>
  </si>
  <si>
    <t>US912810RM27</t>
  </si>
  <si>
    <t>912828F9 Govt</t>
  </si>
  <si>
    <t>US912828F965</t>
  </si>
  <si>
    <t>912810QW Govt</t>
  </si>
  <si>
    <t>US912810QW18</t>
  </si>
  <si>
    <t>US_TREASURY_TYPE1</t>
  </si>
  <si>
    <t>Bond Generator</t>
  </si>
  <si>
    <t>+/-</t>
  </si>
  <si>
    <t>CleanPrice</t>
  </si>
  <si>
    <t>ModDuration</t>
  </si>
  <si>
    <t>Price Checks …</t>
  </si>
  <si>
    <t>-</t>
  </si>
  <si>
    <t>Bond Dates …</t>
  </si>
  <si>
    <t>2D</t>
  </si>
  <si>
    <t>IssuePrice</t>
  </si>
  <si>
    <t>YLD_TRUE_ASK</t>
  </si>
  <si>
    <t>PX_ASK</t>
  </si>
  <si>
    <t>AM2936822 Govt</t>
  </si>
  <si>
    <t>IT0005240830</t>
  </si>
  <si>
    <t>SEMI-ANNUAL</t>
  </si>
  <si>
    <t>QZ0167556 Govt</t>
  </si>
  <si>
    <t>IT0005210650</t>
  </si>
  <si>
    <t>JV9105265 Govt</t>
  </si>
  <si>
    <t>IT0005162828</t>
  </si>
  <si>
    <t>QZ7665156 Govt</t>
  </si>
  <si>
    <t>IT0005217390</t>
  </si>
  <si>
    <t>AM7963128 Govt</t>
  </si>
  <si>
    <t>IT0005246340</t>
  </si>
  <si>
    <t>JK2344014 Govt</t>
  </si>
  <si>
    <t>IT0005170839</t>
  </si>
  <si>
    <t>EI4153199 Govt</t>
  </si>
  <si>
    <t>IT0004644735</t>
  </si>
  <si>
    <t>JK8403186 Govt</t>
  </si>
  <si>
    <t>IT0005177909</t>
  </si>
  <si>
    <t>QZ5107748 Govt</t>
  </si>
  <si>
    <t>IT0005215246</t>
  </si>
  <si>
    <t>ANNUAL</t>
  </si>
  <si>
    <t>EK6994165 Govt</t>
  </si>
  <si>
    <t>IT0005083057</t>
  </si>
  <si>
    <t>EK8086077 Govt</t>
  </si>
  <si>
    <t>IT0005094088</t>
  </si>
  <si>
    <t>UV6569569 Govt</t>
  </si>
  <si>
    <t>IT0005127086</t>
  </si>
  <si>
    <t>EK7691190 Govt</t>
  </si>
  <si>
    <t>IT0005090318</t>
  </si>
  <si>
    <t>EJ7704418 Govt</t>
  </si>
  <si>
    <t>IT0004953417</t>
  </si>
  <si>
    <t>EK2743541 Govt</t>
  </si>
  <si>
    <t>IT0005024234</t>
  </si>
  <si>
    <t>JK3942121 Govt</t>
  </si>
  <si>
    <t>IT0005172322</t>
  </si>
  <si>
    <t>EF1307950 Govt</t>
  </si>
  <si>
    <t>IT0003934657</t>
  </si>
  <si>
    <t>AM2016153 Govt</t>
  </si>
  <si>
    <t>IT0005240350</t>
  </si>
  <si>
    <t/>
  </si>
  <si>
    <t>EK0933524 Govt</t>
  </si>
  <si>
    <t>IT0005001547</t>
  </si>
  <si>
    <t>GG7366139 Govt</t>
  </si>
  <si>
    <t>IT0001174611</t>
  </si>
  <si>
    <t>EJ6794667 Govt</t>
  </si>
  <si>
    <t>IT0004923998</t>
  </si>
  <si>
    <t>EJ5688621 Govt</t>
  </si>
  <si>
    <t>IT0004898034</t>
  </si>
  <si>
    <t>EJ5142728 Govt</t>
  </si>
  <si>
    <t>IT0004889033</t>
  </si>
  <si>
    <t>EH9691161 Govt</t>
  </si>
  <si>
    <t>IT0004532559</t>
  </si>
  <si>
    <t>EK4572963 Govt</t>
  </si>
  <si>
    <t>IT0005045270</t>
  </si>
  <si>
    <t>ED1544706 Govt</t>
  </si>
  <si>
    <t>IT0003535157</t>
  </si>
  <si>
    <t>EH8960682 Govt</t>
  </si>
  <si>
    <t>IT0004513641</t>
  </si>
  <si>
    <t>GG7302712 Govt</t>
  </si>
  <si>
    <t>IT0001086567</t>
  </si>
  <si>
    <t>EC2373701 Govt</t>
  </si>
  <si>
    <t>IT0001444378</t>
  </si>
  <si>
    <t>EC0659473 Govt</t>
  </si>
  <si>
    <t>IT0001278511</t>
  </si>
  <si>
    <t>GG7178740 Govt</t>
  </si>
  <si>
    <t>IT0000366655</t>
  </si>
  <si>
    <t>EH3056924 Govt</t>
  </si>
  <si>
    <t>IT0004356843</t>
  </si>
  <si>
    <t>EC5346845 Govt</t>
  </si>
  <si>
    <t>IT0003256820</t>
  </si>
  <si>
    <t>EG9398371 Govt</t>
  </si>
  <si>
    <t>IT0004286966</t>
  </si>
  <si>
    <t>EJ4854638 Govt</t>
  </si>
  <si>
    <t>IT0004848690</t>
  </si>
  <si>
    <t>GG7302662 Govt</t>
  </si>
  <si>
    <t>IT0000366721</t>
  </si>
  <si>
    <t>EK0225855 Govt</t>
  </si>
  <si>
    <t>IT0004976848</t>
  </si>
  <si>
    <t>EJ4853937 Govt</t>
  </si>
  <si>
    <t>IT0004848591</t>
  </si>
  <si>
    <t>EJ4853036 Govt</t>
  </si>
  <si>
    <t>IT0004848476</t>
  </si>
  <si>
    <t>EK0224957 Govt</t>
  </si>
  <si>
    <t>IT0004976780</t>
  </si>
  <si>
    <t>EK0225558 Govt</t>
  </si>
  <si>
    <t>IT0004976830</t>
  </si>
  <si>
    <t>EJ4852988 Govt</t>
  </si>
  <si>
    <t>IT0004848443</t>
  </si>
  <si>
    <t>AN2032562 Govt</t>
  </si>
  <si>
    <t>IT0005248262</t>
  </si>
  <si>
    <t>EK0224775 Govt</t>
  </si>
  <si>
    <t>IT0004976764</t>
  </si>
  <si>
    <t>EC2917820 Govt</t>
  </si>
  <si>
    <t>IT0001464186</t>
  </si>
  <si>
    <t>EJ4853432 Govt</t>
  </si>
  <si>
    <t>IT0004848492</t>
  </si>
  <si>
    <t>EH2972345 Govt</t>
  </si>
  <si>
    <t>IT0004235559</t>
  </si>
  <si>
    <t>EJ4852830 Govt</t>
  </si>
  <si>
    <t>IT0004848435</t>
  </si>
  <si>
    <t>EJ4853184 Govt</t>
  </si>
  <si>
    <t>IT0004848484</t>
  </si>
  <si>
    <t>EJ4853739 Govt</t>
  </si>
  <si>
    <t>IT0004848534</t>
  </si>
  <si>
    <t>EJ4854232 Govt</t>
  </si>
  <si>
    <t>IT0004848641</t>
  </si>
  <si>
    <t>EK0224411 Govt</t>
  </si>
  <si>
    <t>IT0004976723</t>
  </si>
  <si>
    <t>EK0224239 Govt</t>
  </si>
  <si>
    <t>IT0004976707</t>
  </si>
  <si>
    <t>EH2420998 Govt</t>
  </si>
  <si>
    <t>IT0004288624</t>
  </si>
  <si>
    <t>EK0221532 Govt</t>
  </si>
  <si>
    <t>IT0004976459</t>
  </si>
  <si>
    <t>EC5588503 Govt</t>
  </si>
  <si>
    <t>IT0003268882</t>
  </si>
  <si>
    <t>EC5588982 Govt</t>
  </si>
  <si>
    <t>IT0003269039</t>
  </si>
  <si>
    <t>EH2420238 Govt</t>
  </si>
  <si>
    <t>IT0004288574</t>
  </si>
  <si>
    <t>EC2918380 Govt</t>
  </si>
  <si>
    <t>IT0001464202</t>
  </si>
  <si>
    <t>EC5587265 Govt</t>
  </si>
  <si>
    <t>IT0003268775</t>
  </si>
  <si>
    <t>EK0222795 Govt</t>
  </si>
  <si>
    <t>IT0004976533</t>
  </si>
  <si>
    <t>UV3555454 Govt</t>
  </si>
  <si>
    <t>IT0005093312</t>
  </si>
  <si>
    <t>EC1067726 Govt</t>
  </si>
  <si>
    <t>IT0001312799</t>
  </si>
  <si>
    <t>EC5588966 Govt</t>
  </si>
  <si>
    <t>IT0003269021</t>
  </si>
  <si>
    <t>CP5087988 Govt</t>
  </si>
  <si>
    <t>IT0001247375</t>
  </si>
  <si>
    <t>EK0221953 Govt</t>
  </si>
  <si>
    <t>IT0004976467</t>
  </si>
  <si>
    <t>EC5588628 Govt</t>
  </si>
  <si>
    <t>IT0003268924</t>
  </si>
  <si>
    <t>AN2030939 Govt</t>
  </si>
  <si>
    <t>IT0005248254</t>
  </si>
  <si>
    <t>EC5588867 Govt</t>
  </si>
  <si>
    <t>IT0003268957</t>
  </si>
  <si>
    <t>LW2047824 Govt</t>
  </si>
  <si>
    <t>IT0005177628</t>
  </si>
  <si>
    <t>CP5087921 Govt</t>
  </si>
  <si>
    <t>IT0001247318</t>
  </si>
  <si>
    <t>EK0224056 Govt</t>
  </si>
  <si>
    <t>IT0004976681</t>
  </si>
  <si>
    <t>ED1666434 Govt</t>
  </si>
  <si>
    <t>IT0003540389</t>
  </si>
  <si>
    <t>EH2420956 Govt</t>
  </si>
  <si>
    <t>IT0004288616</t>
  </si>
  <si>
    <t>EK0225194 Govt</t>
  </si>
  <si>
    <t>IT0004976806</t>
  </si>
  <si>
    <t>EC1067627 Govt</t>
  </si>
  <si>
    <t>IT0001312807</t>
  </si>
  <si>
    <t>EC2918364 Govt</t>
  </si>
  <si>
    <t>IT0001464194</t>
  </si>
  <si>
    <t>EK0224833 Govt</t>
  </si>
  <si>
    <t>IT0004976772</t>
  </si>
  <si>
    <t>EC5588826 Govt</t>
  </si>
  <si>
    <t>IT0003268932</t>
  </si>
  <si>
    <t>CP5087970 Govt</t>
  </si>
  <si>
    <t>IT0001247367</t>
  </si>
  <si>
    <t>EJ4855486 Govt</t>
  </si>
  <si>
    <t>IT0004848740</t>
  </si>
  <si>
    <t>CP5088002 Govt</t>
  </si>
  <si>
    <t>IT0001247391</t>
  </si>
  <si>
    <t>EC5588909 Govt</t>
  </si>
  <si>
    <t>IT0003268999</t>
  </si>
  <si>
    <t>EK0223934 Govt</t>
  </si>
  <si>
    <t>IT0004976665</t>
  </si>
  <si>
    <t>EF1312166 Govt</t>
  </si>
  <si>
    <t>IT0004002819</t>
  </si>
  <si>
    <t>AN1976579 Govt</t>
  </si>
  <si>
    <t>IT0005247876</t>
  </si>
  <si>
    <t>EK0221839 Govt</t>
  </si>
  <si>
    <t>IT0004976442</t>
  </si>
  <si>
    <t>EK0223991 Govt</t>
  </si>
  <si>
    <t>IT0004976673</t>
  </si>
  <si>
    <t>EC5588461 Govt</t>
  </si>
  <si>
    <t>IT0003268874</t>
  </si>
  <si>
    <t>CP5087947 Govt</t>
  </si>
  <si>
    <t>IT0001247334</t>
  </si>
  <si>
    <t>EK0222738 Govt</t>
  </si>
  <si>
    <t>IT0004976525</t>
  </si>
  <si>
    <t>ED1656591 Govt</t>
  </si>
  <si>
    <t>IT0003540371</t>
  </si>
  <si>
    <t>EK0221235 Govt</t>
  </si>
  <si>
    <t>IT0004957921</t>
  </si>
  <si>
    <t>AN2027505 Govt</t>
  </si>
  <si>
    <t>IT0005248239</t>
  </si>
  <si>
    <t>AN2029006 Govt</t>
  </si>
  <si>
    <t>IT0005248247</t>
  </si>
  <si>
    <t>CP5087954 Govt</t>
  </si>
  <si>
    <t>IT0001247342</t>
  </si>
  <si>
    <t>CP5087962 Govt</t>
  </si>
  <si>
    <t>IT0001247359</t>
  </si>
  <si>
    <t>EH2420758 Govt</t>
  </si>
  <si>
    <t>IT0004288590</t>
  </si>
  <si>
    <t>EK0223579 Govt</t>
  </si>
  <si>
    <t>IT0004976616</t>
  </si>
  <si>
    <t>EC5589048 Govt</t>
  </si>
  <si>
    <t>IT0003269062</t>
  </si>
  <si>
    <t>EK0224478 Govt</t>
  </si>
  <si>
    <t>IT0004976756</t>
  </si>
  <si>
    <t>AN2017233 Govt</t>
  </si>
  <si>
    <t>IT0005248098</t>
  </si>
  <si>
    <t>AN2025830 Govt</t>
  </si>
  <si>
    <t>IT0005248221</t>
  </si>
  <si>
    <t>EC5469449 Govt</t>
  </si>
  <si>
    <t>IT0003268460</t>
  </si>
  <si>
    <t>EC5587786 Govt</t>
  </si>
  <si>
    <t>IT0003268841</t>
  </si>
  <si>
    <t>AN1978633 Govt</t>
  </si>
  <si>
    <t>IT0005247926</t>
  </si>
  <si>
    <t>AN1980167 Govt</t>
  </si>
  <si>
    <t>IT0005247934</t>
  </si>
  <si>
    <t>AN2010295 Govt</t>
  </si>
  <si>
    <t>IT0005248015</t>
  </si>
  <si>
    <t>EC5588883 Govt</t>
  </si>
  <si>
    <t>IT0003268973</t>
  </si>
  <si>
    <t>EK0662479 Govt</t>
  </si>
  <si>
    <t>IT0004534423</t>
  </si>
  <si>
    <t>AN1980738 Govt</t>
  </si>
  <si>
    <t>IT0005247942</t>
  </si>
  <si>
    <t>EC5587349 Govt</t>
  </si>
  <si>
    <t>IT0003268817</t>
  </si>
  <si>
    <t>EF1312406 Govt</t>
  </si>
  <si>
    <t>IT0004002843</t>
  </si>
  <si>
    <t>EJ8034211 Govt</t>
  </si>
  <si>
    <t>IT0004548290</t>
  </si>
  <si>
    <t>EK0097619 Govt</t>
  </si>
  <si>
    <t>IT0004534688</t>
  </si>
  <si>
    <t>EF1312364 Govt</t>
  </si>
  <si>
    <t>IT0004002827</t>
  </si>
  <si>
    <t>EC5588925 Govt</t>
  </si>
  <si>
    <t>IT0003269013</t>
  </si>
  <si>
    <t>EK0222431 Govt</t>
  </si>
  <si>
    <t>IT0004976491</t>
  </si>
  <si>
    <t>EK0661273 Govt</t>
  </si>
  <si>
    <t>IT0004534282</t>
  </si>
  <si>
    <t>UV3555439 Govt</t>
  </si>
  <si>
    <t>IT0005093304</t>
  </si>
  <si>
    <t>AN2011814 Govt</t>
  </si>
  <si>
    <t>IT0005248031</t>
  </si>
  <si>
    <t>EC5587760 Govt</t>
  </si>
  <si>
    <t>IT0003268833</t>
  </si>
  <si>
    <t>EK0225434 Govt</t>
  </si>
  <si>
    <t>IT0004976822</t>
  </si>
  <si>
    <t>AN1976645 Govt</t>
  </si>
  <si>
    <t>IT0005247892</t>
  </si>
  <si>
    <t>AN2019718 Govt</t>
  </si>
  <si>
    <t>IT0005248130</t>
  </si>
  <si>
    <t>AN2025442 Govt</t>
  </si>
  <si>
    <t>IT0005248213</t>
  </si>
  <si>
    <t>EC1067684 Govt</t>
  </si>
  <si>
    <t>IT0001312781</t>
  </si>
  <si>
    <t>AN1981595 Govt</t>
  </si>
  <si>
    <t>IT0005247959</t>
  </si>
  <si>
    <t>AN2009289 Govt</t>
  </si>
  <si>
    <t>IT0005248007</t>
  </si>
  <si>
    <t>AN2013638 Govt</t>
  </si>
  <si>
    <t>IT0005248056</t>
  </si>
  <si>
    <t>AN2015625 Govt</t>
  </si>
  <si>
    <t>IT0005248072</t>
  </si>
  <si>
    <t>AN2021532 Govt</t>
  </si>
  <si>
    <t>IT0005248163</t>
  </si>
  <si>
    <t>EK0222019 Govt</t>
  </si>
  <si>
    <t>IT0004976475</t>
  </si>
  <si>
    <t>AN1976728 Govt</t>
  </si>
  <si>
    <t>IT0005247918</t>
  </si>
  <si>
    <t>AN2018165 Govt</t>
  </si>
  <si>
    <t>IT0005248106</t>
  </si>
  <si>
    <t>AN2022514 Govt</t>
  </si>
  <si>
    <t>IT0005248171</t>
  </si>
  <si>
    <t>AN2023132 Govt</t>
  </si>
  <si>
    <t>IT0005248189</t>
  </si>
  <si>
    <t>AN1976629 Govt</t>
  </si>
  <si>
    <t>IT0005247884</t>
  </si>
  <si>
    <t>AN1976678 Govt</t>
  </si>
  <si>
    <t>IT0005247900</t>
  </si>
  <si>
    <t>AN2014727 Govt</t>
  </si>
  <si>
    <t>IT0005248064</t>
  </si>
  <si>
    <t>AN2018678 Govt</t>
  </si>
  <si>
    <t>IT0005248114</t>
  </si>
  <si>
    <t>AN2019403 Govt</t>
  </si>
  <si>
    <t>IT0005248122</t>
  </si>
  <si>
    <t>AN2020252 Govt</t>
  </si>
  <si>
    <t>IT0005248148</t>
  </si>
  <si>
    <t>AN2021185 Govt</t>
  </si>
  <si>
    <t>IT0005248155</t>
  </si>
  <si>
    <t>AN2024171 Govt</t>
  </si>
  <si>
    <t>IT0005248197</t>
  </si>
  <si>
    <t>AN2024692 Govt</t>
  </si>
  <si>
    <t>IT0005248205</t>
  </si>
  <si>
    <t>EC0130038 Govt</t>
  </si>
  <si>
    <t>IT0001246807</t>
  </si>
  <si>
    <t>UV3555355 Govt</t>
  </si>
  <si>
    <t>IT0005093288</t>
  </si>
  <si>
    <t>EJ4854737 Govt</t>
  </si>
  <si>
    <t>IT0004848708</t>
  </si>
  <si>
    <t>EK0223397 Govt</t>
  </si>
  <si>
    <t>IT0004976590</t>
  </si>
  <si>
    <t>EK0224890 Govt</t>
  </si>
  <si>
    <t>IT0004976749</t>
  </si>
  <si>
    <t>AN1983476 Govt</t>
  </si>
  <si>
    <t>IT0005247975</t>
  </si>
  <si>
    <t>AN2011285 Govt</t>
  </si>
  <si>
    <t>IT0005248023</t>
  </si>
  <si>
    <t>AN2012648 Govt</t>
  </si>
  <si>
    <t>IT0005248049</t>
  </si>
  <si>
    <t>AN2016490 Govt</t>
  </si>
  <si>
    <t>IT0005248080</t>
  </si>
  <si>
    <t>CP5087996 Govt</t>
  </si>
  <si>
    <t>IT0001247383</t>
  </si>
  <si>
    <t>AN1982643 Govt</t>
  </si>
  <si>
    <t>IT0005247967</t>
  </si>
  <si>
    <t>CP5088036 Govt</t>
  </si>
  <si>
    <t>IT0001246815</t>
  </si>
  <si>
    <t>EC0129931 Govt</t>
  </si>
  <si>
    <t>IT0001246799</t>
  </si>
  <si>
    <t>EC5587323 Govt</t>
  </si>
  <si>
    <t>IT0003268809</t>
  </si>
  <si>
    <t>EF1312208 Govt</t>
  </si>
  <si>
    <t>IT0004002835</t>
  </si>
  <si>
    <t>EK0223819 Govt</t>
  </si>
  <si>
    <t>IT0004976657</t>
  </si>
  <si>
    <t>AN1984300 Govt</t>
  </si>
  <si>
    <t>IT0005247983</t>
  </si>
  <si>
    <t>AN1985315 Govt</t>
  </si>
  <si>
    <t>IT0005247991</t>
  </si>
  <si>
    <t>EC1047439 Govt</t>
  </si>
  <si>
    <t>IT0001312773</t>
  </si>
  <si>
    <t>EC5588446 Govt</t>
  </si>
  <si>
    <t>IT0003268858</t>
  </si>
  <si>
    <t>EF1312489 Govt</t>
  </si>
  <si>
    <t>IT0004002801</t>
  </si>
  <si>
    <t>EH2420832 Govt</t>
  </si>
  <si>
    <t>IT0004288608</t>
  </si>
  <si>
    <t>EJ4855734 Govt</t>
  </si>
  <si>
    <t>IT0004848773</t>
  </si>
  <si>
    <t>CP5087939 Govt</t>
  </si>
  <si>
    <t>IT0001247326</t>
  </si>
  <si>
    <t>CP5088010 Govt</t>
  </si>
  <si>
    <t>IT0001247409</t>
  </si>
  <si>
    <t>EC5588560 Govt</t>
  </si>
  <si>
    <t>IT0003268908</t>
  </si>
  <si>
    <t>EK0224593 Govt</t>
  </si>
  <si>
    <t>IT0004976731</t>
  </si>
  <si>
    <t>EK0225319 Govt</t>
  </si>
  <si>
    <t>IT0004976814</t>
  </si>
  <si>
    <t>EC5587380 Govt</t>
  </si>
  <si>
    <t>IT0003268825</t>
  </si>
  <si>
    <t>ED1666632 Govt</t>
  </si>
  <si>
    <t>IT0003540405</t>
  </si>
  <si>
    <t>EK0097973 Govt</t>
  </si>
  <si>
    <t>IT0004534613</t>
  </si>
  <si>
    <t>EK0660739 Govt</t>
  </si>
  <si>
    <t>IT0004534266</t>
  </si>
  <si>
    <t>EK0662958 Govt</t>
  </si>
  <si>
    <t>IT0004534480</t>
  </si>
  <si>
    <t>EK0663618 Govt</t>
  </si>
  <si>
    <t>IT0004534589</t>
  </si>
  <si>
    <t>LW2048137 Govt</t>
  </si>
  <si>
    <t>IT0005177610</t>
  </si>
  <si>
    <t>EK0660432 Govt</t>
  </si>
  <si>
    <t>IT0004534241</t>
  </si>
  <si>
    <t>EC5588545 Govt</t>
  </si>
  <si>
    <t>IT0003268890</t>
  </si>
  <si>
    <t>EK0222613 Govt</t>
  </si>
  <si>
    <t>IT0004976509</t>
  </si>
  <si>
    <t>EK0222670 Govt</t>
  </si>
  <si>
    <t>IT0004976517</t>
  </si>
  <si>
    <t>EK0222910 Govt</t>
  </si>
  <si>
    <t>IT0004976541</t>
  </si>
  <si>
    <t>EK0223694 Govt</t>
  </si>
  <si>
    <t>IT0004976632</t>
  </si>
  <si>
    <t>EK0661695 Govt</t>
  </si>
  <si>
    <t>IT0004534324</t>
  </si>
  <si>
    <t>EK0661752 Govt</t>
  </si>
  <si>
    <t>IT0004534332</t>
  </si>
  <si>
    <t>EK0661877 Govt</t>
  </si>
  <si>
    <t>IT0004534340</t>
  </si>
  <si>
    <t>EK0661935 Govt</t>
  </si>
  <si>
    <t>IT0004534357</t>
  </si>
  <si>
    <t>EK0661992 Govt</t>
  </si>
  <si>
    <t>IT0004534365</t>
  </si>
  <si>
    <t>EK0662115 Govt</t>
  </si>
  <si>
    <t>IT0004534373</t>
  </si>
  <si>
    <t>JV8619506 Govt</t>
  </si>
  <si>
    <t>IT0005155442</t>
  </si>
  <si>
    <t>UV3555405 Govt</t>
  </si>
  <si>
    <t>IT0005093296</t>
  </si>
  <si>
    <t>EH2421038 Govt</t>
  </si>
  <si>
    <t>IT0004288640</t>
  </si>
  <si>
    <t>EK0222977 Govt</t>
  </si>
  <si>
    <t>IT0004976558</t>
  </si>
  <si>
    <t>EK0223637 Govt</t>
  </si>
  <si>
    <t>IT0004976624</t>
  </si>
  <si>
    <t>EK0225137 Govt</t>
  </si>
  <si>
    <t>IT0004976798</t>
  </si>
  <si>
    <t>EK0324096 Govt</t>
  </si>
  <si>
    <t>IT0004967904</t>
  </si>
  <si>
    <t>EK0662594 Govt</t>
  </si>
  <si>
    <t>IT0004534449</t>
  </si>
  <si>
    <t>EC1044535 Govt</t>
  </si>
  <si>
    <t>IT0001312815</t>
  </si>
  <si>
    <t>EC2918448 Govt</t>
  </si>
  <si>
    <t>IT0001464210</t>
  </si>
  <si>
    <t>EC5587281 Govt</t>
  </si>
  <si>
    <t>IT0003268791</t>
  </si>
  <si>
    <t>EI4719627 Govt</t>
  </si>
  <si>
    <t>DE0001135424</t>
  </si>
  <si>
    <t>EI6505420 Govt</t>
  </si>
  <si>
    <t>DE0001135440</t>
  </si>
  <si>
    <t>EI7852649 Govt</t>
  </si>
  <si>
    <t>DE0001135457</t>
  </si>
  <si>
    <t>EI8792380 Govt</t>
  </si>
  <si>
    <t>DE0001135465</t>
  </si>
  <si>
    <t>EJ1202419 Govt</t>
  </si>
  <si>
    <t>DE0001135473</t>
  </si>
  <si>
    <t>EJ3422718 Govt</t>
  </si>
  <si>
    <t>DE0001135499</t>
  </si>
  <si>
    <t>EJ5066257 Govt</t>
  </si>
  <si>
    <t>DE0001102309</t>
  </si>
  <si>
    <t>EJ6775781 Govt</t>
  </si>
  <si>
    <t>DE0001102317</t>
  </si>
  <si>
    <t>EJ8158960 Govt</t>
  </si>
  <si>
    <t>DE0001102325</t>
  </si>
  <si>
    <t>GG7182429 Govt</t>
  </si>
  <si>
    <t>DE0001134922</t>
  </si>
  <si>
    <t>EK0378027 Govt</t>
  </si>
  <si>
    <t>DE0001102333</t>
  </si>
  <si>
    <t>EK2728906 Govt</t>
  </si>
  <si>
    <t>DE0001102358</t>
  </si>
  <si>
    <t>EK4694379 Govt</t>
  </si>
  <si>
    <t>DE0001102366</t>
  </si>
  <si>
    <t>EK6841549 Govt</t>
  </si>
  <si>
    <t>DE0001102374</t>
  </si>
  <si>
    <t>AF2056345 Govt</t>
  </si>
  <si>
    <t>DE0001102382</t>
  </si>
  <si>
    <t>JV5034238 Govt</t>
  </si>
  <si>
    <t>DE0001102390</t>
  </si>
  <si>
    <t>LW7430652 Govt</t>
  </si>
  <si>
    <t>DE0001102408</t>
  </si>
  <si>
    <t>AL9975494 Govt</t>
  </si>
  <si>
    <t>DE0001102416</t>
  </si>
  <si>
    <t>GG7291790 Govt</t>
  </si>
  <si>
    <t>DE0001135044</t>
  </si>
  <si>
    <t>GG7293994 Govt</t>
  </si>
  <si>
    <t>DE0001135069</t>
  </si>
  <si>
    <t>EC0518513 Govt</t>
  </si>
  <si>
    <t>DE0001135085</t>
  </si>
  <si>
    <t>EC2153012 Govt</t>
  </si>
  <si>
    <t>DE0001135143</t>
  </si>
  <si>
    <t>EC3022802 Govt</t>
  </si>
  <si>
    <t>DE0001135176</t>
  </si>
  <si>
    <t>EC8300625 Govt</t>
  </si>
  <si>
    <t>DE0001135226</t>
  </si>
  <si>
    <t>ED7838094 Govt</t>
  </si>
  <si>
    <t>DE0001135275</t>
  </si>
  <si>
    <t>EG1209048 Govt</t>
  </si>
  <si>
    <t>DE0001135325</t>
  </si>
  <si>
    <t>EH4697106 Govt</t>
  </si>
  <si>
    <t>DE0001135366</t>
  </si>
  <si>
    <t>EI3229347 Govt</t>
  </si>
  <si>
    <t>DE0001135432</t>
  </si>
  <si>
    <t>EJ1358112 Govt</t>
  </si>
  <si>
    <t>DE0001135481</t>
  </si>
  <si>
    <t>EK0809500 Govt</t>
  </si>
  <si>
    <t>DE0001102341</t>
  </si>
  <si>
    <t>3D</t>
  </si>
  <si>
    <t>BB CompYield</t>
  </si>
  <si>
    <t>BB CompYield No Trunc</t>
  </si>
  <si>
    <t>Price to 3 D.P.</t>
  </si>
  <si>
    <t>YAS_MOD_DUR</t>
  </si>
  <si>
    <t>YAS_BOND_YLD</t>
  </si>
  <si>
    <t>CompYield%</t>
  </si>
  <si>
    <t>CompYield% to 3 D.P</t>
  </si>
  <si>
    <t>Difference in bps</t>
  </si>
  <si>
    <t>YLD_CMPD_JPN_ASK_NOTRUNC</t>
  </si>
  <si>
    <t>EI6755942 Govt</t>
  </si>
  <si>
    <t>JP1103141B54</t>
  </si>
  <si>
    <t>JK4133670 Govt</t>
  </si>
  <si>
    <t>JP1051271G37</t>
  </si>
  <si>
    <t>EI5952292 Govt</t>
  </si>
  <si>
    <t>JP1103131B31</t>
  </si>
  <si>
    <t>EC3680336 Govt</t>
  </si>
  <si>
    <t>JP1200501144</t>
  </si>
  <si>
    <t>EC3321972 Govt</t>
  </si>
  <si>
    <t>JP1200491106</t>
  </si>
  <si>
    <t>LW3943617 Govt</t>
  </si>
  <si>
    <t>JP1051281G68</t>
  </si>
  <si>
    <t>EI6972224 Govt</t>
  </si>
  <si>
    <t>JP1103151B69</t>
  </si>
  <si>
    <t>EI7714344 Govt</t>
  </si>
  <si>
    <t>JP1103161B83</t>
  </si>
  <si>
    <t>EC4285754 Govt</t>
  </si>
  <si>
    <t>JP1200511184</t>
  </si>
  <si>
    <t>QZ4977943 Govt</t>
  </si>
  <si>
    <t>JP1051291G90</t>
  </si>
  <si>
    <t>EI8332047 Govt</t>
  </si>
  <si>
    <t>JP1103181BA8</t>
  </si>
  <si>
    <t>EI8014132 Govt</t>
  </si>
  <si>
    <t>JP1103171B99</t>
  </si>
  <si>
    <t>EC4603477 Govt</t>
  </si>
  <si>
    <t>JP12005211A9</t>
  </si>
  <si>
    <t>AL7220364 Govt</t>
  </si>
  <si>
    <t>JP1051301GC9</t>
  </si>
  <si>
    <t>EI9594942 Govt</t>
  </si>
  <si>
    <t>JP1103201C19</t>
  </si>
  <si>
    <t>EI8951218 Govt</t>
  </si>
  <si>
    <t>JP1103191BC3</t>
  </si>
  <si>
    <t>EC5195879 Govt</t>
  </si>
  <si>
    <t>JP1200541223</t>
  </si>
  <si>
    <t>EC4877683 Govt</t>
  </si>
  <si>
    <t>JP12005311C3</t>
  </si>
  <si>
    <t>AM7968010 Govt</t>
  </si>
  <si>
    <t>JP1051311H38</t>
  </si>
  <si>
    <t>EJ0489983 Govt</t>
  </si>
  <si>
    <t>JP1103211C33</t>
  </si>
  <si>
    <t>EJ1749369 Govt</t>
  </si>
  <si>
    <t>JP1103221C56</t>
  </si>
  <si>
    <t>EC5472575 Govt</t>
  </si>
  <si>
    <t>JP1200551248</t>
  </si>
  <si>
    <t>EJ2679425 Govt</t>
  </si>
  <si>
    <t>JP1103241C78</t>
  </si>
  <si>
    <t>EJ2273187 Govt</t>
  </si>
  <si>
    <t>JP1103231C62</t>
  </si>
  <si>
    <t>EC6386048 Govt</t>
  </si>
  <si>
    <t>JP1200571287</t>
  </si>
  <si>
    <t>EC5799480 Govt</t>
  </si>
  <si>
    <t>JP1200561262</t>
  </si>
  <si>
    <t>EJ3490954 Govt</t>
  </si>
  <si>
    <t>JP1103251C91</t>
  </si>
  <si>
    <t>EC7067035 Govt</t>
  </si>
  <si>
    <t>JP12005812A4</t>
  </si>
  <si>
    <t>EJ5046614 Govt</t>
  </si>
  <si>
    <t>JP1103271D13</t>
  </si>
  <si>
    <t>EJ4693028 Govt</t>
  </si>
  <si>
    <t>JP1103261CC2</t>
  </si>
  <si>
    <t>EC7836876 Govt</t>
  </si>
  <si>
    <t>JP12005912C8</t>
  </si>
  <si>
    <t>EC8612631 Govt</t>
  </si>
  <si>
    <t>JP1200601324</t>
  </si>
  <si>
    <t>EJ5801505 Govt</t>
  </si>
  <si>
    <t>JP1103281D37</t>
  </si>
  <si>
    <t>EC9351635 Govt</t>
  </si>
  <si>
    <t>JP1200611349</t>
  </si>
  <si>
    <t>EJ7060233 Govt</t>
  </si>
  <si>
    <t>JP1103291D68</t>
  </si>
  <si>
    <t>ED0114584 Govt</t>
  </si>
  <si>
    <t>JP1200621363</t>
  </si>
  <si>
    <t>ED1010344 Govt</t>
  </si>
  <si>
    <t>JP1200631388</t>
  </si>
  <si>
    <t>EJ8154217 Govt</t>
  </si>
  <si>
    <t>JP1103301D90</t>
  </si>
  <si>
    <t>EJ9223300 Govt</t>
  </si>
  <si>
    <t>JP1103311DB5</t>
  </si>
  <si>
    <t>ED1845145 Govt</t>
  </si>
  <si>
    <t>JP12006413A0</t>
  </si>
  <si>
    <t>EJ9766399 Govt</t>
  </si>
  <si>
    <t>JP1103321DC2</t>
  </si>
  <si>
    <t>ED3268197 Govt</t>
  </si>
  <si>
    <t>JP1200661427</t>
  </si>
  <si>
    <t>ED2593686 Govt</t>
  </si>
  <si>
    <t>JP12006513C3</t>
  </si>
  <si>
    <t>EK1072785 Govt</t>
  </si>
  <si>
    <t>JP1103331E36</t>
  </si>
  <si>
    <t>ED4832348 Govt</t>
  </si>
  <si>
    <t>JP1200691457</t>
  </si>
  <si>
    <t>ED4356637 Govt</t>
  </si>
  <si>
    <t>JP1200681441</t>
  </si>
  <si>
    <t>ED3828602 Govt</t>
  </si>
  <si>
    <t>JP1200671434</t>
  </si>
  <si>
    <t>EK3119055 Govt</t>
  </si>
  <si>
    <t>JP1103341E67</t>
  </si>
  <si>
    <t>ED5111288 Govt</t>
  </si>
  <si>
    <t>JP1200701462</t>
  </si>
  <si>
    <t>ED5910010 Govt</t>
  </si>
  <si>
    <t>JP1200711487</t>
  </si>
  <si>
    <t>EK4690054 Govt</t>
  </si>
  <si>
    <t>JP1103351E98</t>
  </si>
  <si>
    <t>ED6160219 Govt</t>
  </si>
  <si>
    <t>JP1200721494</t>
  </si>
  <si>
    <t>EK6836028 Govt</t>
  </si>
  <si>
    <t>JP1103371F10</t>
  </si>
  <si>
    <t>EK6363973 Govt</t>
  </si>
  <si>
    <t>JP1103361EC6</t>
  </si>
  <si>
    <t>ED8277235 Govt</t>
  </si>
  <si>
    <t>JP1200741526</t>
  </si>
  <si>
    <t>ED7357210 Govt</t>
  </si>
  <si>
    <t>JP12007314C5</t>
  </si>
  <si>
    <t>EK7837587 Govt</t>
  </si>
  <si>
    <t>JP1103381F34</t>
  </si>
  <si>
    <t>ED8660810 Govt</t>
  </si>
  <si>
    <t>JP1200751533</t>
  </si>
  <si>
    <t>ED9108231 Govt</t>
  </si>
  <si>
    <t>JP1200761540</t>
  </si>
  <si>
    <t>ED9517639 Govt</t>
  </si>
  <si>
    <t>JP1200771556</t>
  </si>
  <si>
    <t>EK9515322 Govt</t>
  </si>
  <si>
    <t>JP1103391F65</t>
  </si>
  <si>
    <t>EF0693129 Govt</t>
  </si>
  <si>
    <t>JP1200801585</t>
  </si>
  <si>
    <t>EF0357980 Govt</t>
  </si>
  <si>
    <t>JP1200791570</t>
  </si>
  <si>
    <t>ED9861136 Govt</t>
  </si>
  <si>
    <t>JP1200781563</t>
  </si>
  <si>
    <t>UV7412959 Govt</t>
  </si>
  <si>
    <t>JP1103401F97</t>
  </si>
  <si>
    <t>EF1062381 Govt</t>
  </si>
  <si>
    <t>JP1200811592</t>
  </si>
  <si>
    <t>EF1466236 Govt</t>
  </si>
  <si>
    <t>JP12008215A7</t>
  </si>
  <si>
    <t>AH0082315 Govt</t>
  </si>
  <si>
    <t>JP1103411FC6</t>
  </si>
  <si>
    <t>EF2077933 Govt</t>
  </si>
  <si>
    <t>JP12008315C1</t>
  </si>
  <si>
    <t>EF2594176 Govt</t>
  </si>
  <si>
    <t>JP1200841615</t>
  </si>
  <si>
    <t>JK2982615 Govt</t>
  </si>
  <si>
    <t>JP1103421G35</t>
  </si>
  <si>
    <t>EF3812189 Govt</t>
  </si>
  <si>
    <t>JP1200861647</t>
  </si>
  <si>
    <t>EF4527968 Govt</t>
  </si>
  <si>
    <t>JP1200871653</t>
  </si>
  <si>
    <t>EF3295013 Govt</t>
  </si>
  <si>
    <t>JP1200851630</t>
  </si>
  <si>
    <t>LW3164867 Govt</t>
  </si>
  <si>
    <t>JP1103431G66</t>
  </si>
  <si>
    <t>EF5003670 Govt</t>
  </si>
  <si>
    <t>JP1200881660</t>
  </si>
  <si>
    <t>EF6592994 Govt</t>
  </si>
  <si>
    <t>JP1200891685</t>
  </si>
  <si>
    <t>QZ4138504 Govt</t>
  </si>
  <si>
    <t>JP1103441G98</t>
  </si>
  <si>
    <t>EF7943063 Govt</t>
  </si>
  <si>
    <t>JP12009116A6</t>
  </si>
  <si>
    <t>EF7153796 Govt</t>
  </si>
  <si>
    <t>JP1200901690</t>
  </si>
  <si>
    <t>EG0574590 Govt</t>
  </si>
  <si>
    <t>JP12009216C0</t>
  </si>
  <si>
    <t>AM7131296 Govt</t>
  </si>
  <si>
    <t>JP1103461H35</t>
  </si>
  <si>
    <t>EG3969052 Govt</t>
  </si>
  <si>
    <t>JP1200941746</t>
  </si>
  <si>
    <t>EG2785954 Govt</t>
  </si>
  <si>
    <t>JP1200931739</t>
  </si>
  <si>
    <t>EG5864293 Govt</t>
  </si>
  <si>
    <t>JP1200951760</t>
  </si>
  <si>
    <t>EG7807761 Govt</t>
  </si>
  <si>
    <t>JP1200961785</t>
  </si>
  <si>
    <t>EG8573362 Govt</t>
  </si>
  <si>
    <t>JP1200971792</t>
  </si>
  <si>
    <t>EH0633659 Govt</t>
  </si>
  <si>
    <t>JP12009817B7</t>
  </si>
  <si>
    <t>EH1313798 Govt</t>
  </si>
  <si>
    <t>JP12009917C3</t>
  </si>
  <si>
    <t>EH2690319 Govt</t>
  </si>
  <si>
    <t>JP1201001839</t>
  </si>
  <si>
    <t>EH3854096 Govt</t>
  </si>
  <si>
    <t>JP1201011853</t>
  </si>
  <si>
    <t>EH4237085 Govt</t>
  </si>
  <si>
    <t>JP1201021860</t>
  </si>
  <si>
    <t>EH5285554 Govt</t>
  </si>
  <si>
    <t>JP1201041884</t>
  </si>
  <si>
    <t>EH4829006 Govt</t>
  </si>
  <si>
    <t>JP1201031877</t>
  </si>
  <si>
    <t>EH5622715 Govt</t>
  </si>
  <si>
    <t>JP1201051891</t>
  </si>
  <si>
    <t>EH6066235 Govt</t>
  </si>
  <si>
    <t>JP12010618A8</t>
  </si>
  <si>
    <t>EH7034067 Govt</t>
  </si>
  <si>
    <t>JP1201081914</t>
  </si>
  <si>
    <t>EH6604720 Govt</t>
  </si>
  <si>
    <t>JP12010718C2</t>
  </si>
  <si>
    <t>EH7995887 Govt</t>
  </si>
  <si>
    <t>JP1201101944</t>
  </si>
  <si>
    <t>EH7611252 Govt</t>
  </si>
  <si>
    <t>JP1201091939</t>
  </si>
  <si>
    <t>EH9141712 Govt</t>
  </si>
  <si>
    <t>JP1201121975</t>
  </si>
  <si>
    <t>EH8715490 Govt</t>
  </si>
  <si>
    <t>JP1201111968</t>
  </si>
  <si>
    <t>EH9753441 Govt</t>
  </si>
  <si>
    <t>JP1201131990</t>
  </si>
  <si>
    <t>EC1745347 Govt</t>
  </si>
  <si>
    <t>JP1300011W09</t>
  </si>
  <si>
    <t>EI0835450 Govt</t>
  </si>
  <si>
    <t>JP12011419C6</t>
  </si>
  <si>
    <t>EI1590526 Govt</t>
  </si>
  <si>
    <t>JP1201151A21</t>
  </si>
  <si>
    <t>EC2220316 Govt</t>
  </si>
  <si>
    <t>JP1300021001</t>
  </si>
  <si>
    <t>EI2321434 Govt</t>
  </si>
  <si>
    <t>JP1201171A43</t>
  </si>
  <si>
    <t>EI1908785 Govt</t>
  </si>
  <si>
    <t>JP1201161A37</t>
  </si>
  <si>
    <t>EC2565314 Govt</t>
  </si>
  <si>
    <t>JP1300031000</t>
  </si>
  <si>
    <t>EI3854854 Govt</t>
  </si>
  <si>
    <t>JP1201201A88</t>
  </si>
  <si>
    <t>EI2903413 Govt</t>
  </si>
  <si>
    <t>JP1201181A66</t>
  </si>
  <si>
    <t>EI3325426 Govt</t>
  </si>
  <si>
    <t>JP1201191A72</t>
  </si>
  <si>
    <t>EI4040636 Govt</t>
  </si>
  <si>
    <t>JP1201211A94</t>
  </si>
  <si>
    <t>EI4443103 Govt</t>
  </si>
  <si>
    <t>JP1201221AA5</t>
  </si>
  <si>
    <t>EC3066569 Govt</t>
  </si>
  <si>
    <t>JP1300041009</t>
  </si>
  <si>
    <t>EI5130493 Govt</t>
  </si>
  <si>
    <t>JP1201231AC0</t>
  </si>
  <si>
    <t>EI5876087 Govt</t>
  </si>
  <si>
    <t>JP1201241B22</t>
  </si>
  <si>
    <t>EI6132563 Govt</t>
  </si>
  <si>
    <t>JP1201251B37</t>
  </si>
  <si>
    <t>EI6535294 Govt</t>
  </si>
  <si>
    <t>JP1201261B43</t>
  </si>
  <si>
    <t>EI6924050 Govt</t>
  </si>
  <si>
    <t>JP1201271B58</t>
  </si>
  <si>
    <t>EC3875944 Govt</t>
  </si>
  <si>
    <t>JP1300051156</t>
  </si>
  <si>
    <t>EI7138619 Govt</t>
  </si>
  <si>
    <t>JP1201281B64</t>
  </si>
  <si>
    <t>EI7953108 Govt</t>
  </si>
  <si>
    <t>JP1201291B88</t>
  </si>
  <si>
    <t>EI8131969 Govt</t>
  </si>
  <si>
    <t>JP1201301B94</t>
  </si>
  <si>
    <t>EI8863967 Govt</t>
  </si>
  <si>
    <t>JP1201311BB0</t>
  </si>
  <si>
    <t>EC4745393 Govt</t>
  </si>
  <si>
    <t>JP13000611B1</t>
  </si>
  <si>
    <t>EJ0014849 Govt</t>
  </si>
  <si>
    <t>JP1201331C14</t>
  </si>
  <si>
    <t>EI9104742 Govt</t>
  </si>
  <si>
    <t>JP1201321BC7</t>
  </si>
  <si>
    <t>EJ2136277 Govt</t>
  </si>
  <si>
    <t>JP1201361C58</t>
  </si>
  <si>
    <t>EJ0963383 Govt</t>
  </si>
  <si>
    <t>JP1201341C38</t>
  </si>
  <si>
    <t>EJ1461163 Govt</t>
  </si>
  <si>
    <t>JP1201351C43</t>
  </si>
  <si>
    <t>EC5650865 Govt</t>
  </si>
  <si>
    <t>JP1300071253</t>
  </si>
  <si>
    <t>EJ3365511 Govt</t>
  </si>
  <si>
    <t>JP1201391C86</t>
  </si>
  <si>
    <t>EJ3001454 Govt</t>
  </si>
  <si>
    <t>JP1201381C70</t>
  </si>
  <si>
    <t>EJ2397945 Govt</t>
  </si>
  <si>
    <t>JP1201371C64</t>
  </si>
  <si>
    <t>EJ3633405 Govt</t>
  </si>
  <si>
    <t>JP1201401C92</t>
  </si>
  <si>
    <t>EC7486078 Govt</t>
  </si>
  <si>
    <t>JP13000812B5</t>
  </si>
  <si>
    <t>EJ5659150 Govt</t>
  </si>
  <si>
    <t>JP1201421D22</t>
  </si>
  <si>
    <t>EJ4883454 Govt</t>
  </si>
  <si>
    <t>JP1201411CC4</t>
  </si>
  <si>
    <t>EC8204264 Govt</t>
  </si>
  <si>
    <t>JP1300091319</t>
  </si>
  <si>
    <t>EJ6432110 Govt</t>
  </si>
  <si>
    <t>JP1201441D44</t>
  </si>
  <si>
    <t>EJ5939602 Govt</t>
  </si>
  <si>
    <t>JP1201431D38</t>
  </si>
  <si>
    <t>EC9747782 Govt</t>
  </si>
  <si>
    <t>JP1300101357</t>
  </si>
  <si>
    <t>EJ7248408 Govt</t>
  </si>
  <si>
    <t>JP1201451D66</t>
  </si>
  <si>
    <t>ED0670437 Govt</t>
  </si>
  <si>
    <t>JP1300111372</t>
  </si>
  <si>
    <t>EJ8434395 Govt</t>
  </si>
  <si>
    <t>JP1201461D98</t>
  </si>
  <si>
    <t>ED2161351 Govt</t>
  </si>
  <si>
    <t>JP13001213B5</t>
  </si>
  <si>
    <t>EJ9943964 Govt</t>
  </si>
  <si>
    <t>JP1201471DC6</t>
  </si>
  <si>
    <t>ED3357065 Govt</t>
  </si>
  <si>
    <t>JP1300131420</t>
  </si>
  <si>
    <t>EK1340612 Govt</t>
  </si>
  <si>
    <t>JP1201481E36</t>
  </si>
  <si>
    <t>ED4240013 Govt</t>
  </si>
  <si>
    <t>JP1300141445</t>
  </si>
  <si>
    <t>EK3390219 Govt</t>
  </si>
  <si>
    <t>JP1201491E67</t>
  </si>
  <si>
    <t>ED5806184 Govt</t>
  </si>
  <si>
    <t>JP1300151485</t>
  </si>
  <si>
    <t>EK4996816 Govt</t>
  </si>
  <si>
    <t>JP1201501E99</t>
  </si>
  <si>
    <t>ED6591066 Govt</t>
  </si>
  <si>
    <t>JP13001614A6</t>
  </si>
  <si>
    <t>EK6660931 Govt</t>
  </si>
  <si>
    <t>JP1201511EC7</t>
  </si>
  <si>
    <t>ED8193903 Govt</t>
  </si>
  <si>
    <t>JP1300171525</t>
  </si>
  <si>
    <t>EK8137466 Govt</t>
  </si>
  <si>
    <t>JP1201521F37</t>
  </si>
  <si>
    <t>ED9034742 Govt</t>
  </si>
  <si>
    <t>JP1300181540</t>
  </si>
  <si>
    <t>EK9722886 Govt</t>
  </si>
  <si>
    <t>JP1201531F68</t>
  </si>
  <si>
    <t>EF0212920 Govt</t>
  </si>
  <si>
    <t>JP1300191572</t>
  </si>
  <si>
    <t>UV8902925 Govt</t>
  </si>
  <si>
    <t>JP1201541F90</t>
  </si>
  <si>
    <t>EF1386525 Govt</t>
  </si>
  <si>
    <t>JP13002015A5</t>
  </si>
  <si>
    <t>JV3368661 Govt</t>
  </si>
  <si>
    <t>JP1201551FC0</t>
  </si>
  <si>
    <t>EF2502187 Govt</t>
  </si>
  <si>
    <t>JP1300211610</t>
  </si>
  <si>
    <t>JK5016049 Govt</t>
  </si>
  <si>
    <t>JP1201561G37</t>
  </si>
  <si>
    <t>EF3711449 Govt</t>
  </si>
  <si>
    <t>JP1300221643</t>
  </si>
  <si>
    <t>LW5453029 Govt</t>
  </si>
  <si>
    <t>JP1201571G68</t>
  </si>
  <si>
    <t>EF5597655 Govt</t>
  </si>
  <si>
    <t>JP1300231675</t>
  </si>
  <si>
    <t>QZ5415422 Govt</t>
  </si>
  <si>
    <t>JP1201581G90</t>
  </si>
  <si>
    <t>EF7785084 Govt</t>
  </si>
  <si>
    <t>JP13002416A5</t>
  </si>
  <si>
    <t>AL7975124 Govt</t>
  </si>
  <si>
    <t>JP1201591GC4</t>
  </si>
  <si>
    <t>EG1252618 Govt</t>
  </si>
  <si>
    <t>JP1300251715</t>
  </si>
  <si>
    <t>AM8503287 Govt</t>
  </si>
  <si>
    <t>JP1201601H38</t>
  </si>
  <si>
    <t>EG3757374 Govt</t>
  </si>
  <si>
    <t>JP1300261748</t>
  </si>
  <si>
    <t>EG9384082 Govt</t>
  </si>
  <si>
    <t>JP13002717A6</t>
  </si>
  <si>
    <t>EH3146931 Govt</t>
  </si>
  <si>
    <t>JP1300281845</t>
  </si>
  <si>
    <t>EH5985450 Govt</t>
  </si>
  <si>
    <t>JP13002918A0</t>
  </si>
  <si>
    <t>EH7911181 Govt</t>
  </si>
  <si>
    <t>JP1300301940</t>
  </si>
  <si>
    <t>EI0048054 Govt</t>
  </si>
  <si>
    <t>JP13003119A4</t>
  </si>
  <si>
    <t>EI1819230 Govt</t>
  </si>
  <si>
    <t>JP1300321A34</t>
  </si>
  <si>
    <t>EI3995376 Govt</t>
  </si>
  <si>
    <t>JP1300331A99</t>
  </si>
  <si>
    <t>EI6037572 Govt</t>
  </si>
  <si>
    <t>JP1300341B39</t>
  </si>
  <si>
    <t>EI8055663 Govt</t>
  </si>
  <si>
    <t>JP1300351B93</t>
  </si>
  <si>
    <t>EJ0538250 Govt</t>
  </si>
  <si>
    <t>JP1300361C33</t>
  </si>
  <si>
    <t>QZ3583536 Govt</t>
  </si>
  <si>
    <t>FR0013200813</t>
  </si>
  <si>
    <t>AN0904697 Govt</t>
  </si>
  <si>
    <t>FR0013250560</t>
  </si>
  <si>
    <t>AL2130345 Govt</t>
  </si>
  <si>
    <t>FR0013219177</t>
  </si>
  <si>
    <t>EJ6098374 Govt</t>
  </si>
  <si>
    <t>FR0011461037</t>
  </si>
  <si>
    <t>EI3077506 Govt</t>
  </si>
  <si>
    <t>FR0010916924</t>
  </si>
  <si>
    <t>AM1546788 Govt</t>
  </si>
  <si>
    <t>FR0013232485</t>
  </si>
  <si>
    <t>UV9949289 Govt</t>
  </si>
  <si>
    <t>FR0012993103</t>
  </si>
  <si>
    <t>JK2706329 Govt</t>
  </si>
  <si>
    <t>FR0013131877</t>
  </si>
  <si>
    <t>EJ3468919 Govt</t>
  </si>
  <si>
    <t>FR0011317783</t>
  </si>
  <si>
    <t>JK7597822 Govt</t>
  </si>
  <si>
    <t>FR0013154028</t>
  </si>
  <si>
    <t>EJ0036891 Govt</t>
  </si>
  <si>
    <t>FR0011196856</t>
  </si>
  <si>
    <t>JK7596303 Govt</t>
  </si>
  <si>
    <t>FR0013154044</t>
  </si>
  <si>
    <t>EK7289029 Govt</t>
  </si>
  <si>
    <t>FR0012517027</t>
  </si>
  <si>
    <t>UV7155053 Govt</t>
  </si>
  <si>
    <t>FR0012938116</t>
  </si>
  <si>
    <t>EG3953361 Govt</t>
  </si>
  <si>
    <t>FR0010466938</t>
  </si>
  <si>
    <t>EJ6548493 Govt</t>
  </si>
  <si>
    <t>FR0011486067</t>
  </si>
  <si>
    <t>EJ3845777 Govt</t>
  </si>
  <si>
    <t>FR0011337880</t>
  </si>
  <si>
    <t>EK3074136 Govt</t>
  </si>
  <si>
    <t>FR0011962398</t>
  </si>
  <si>
    <t>JK8202802 Govt</t>
  </si>
  <si>
    <t>FR0013157096</t>
  </si>
  <si>
    <t>EJ9139449 Govt</t>
  </si>
  <si>
    <t>FR0011619436</t>
  </si>
  <si>
    <t>EI6940791 Govt</t>
  </si>
  <si>
    <t>FR0011059088</t>
  </si>
  <si>
    <t>EH8786723 Govt</t>
  </si>
  <si>
    <t>FR0010773192</t>
  </si>
  <si>
    <t>AL9974240 Govt</t>
  </si>
  <si>
    <t>FR0013234333</t>
  </si>
  <si>
    <t>ED9255313 Govt</t>
  </si>
  <si>
    <t>FR0010192997</t>
  </si>
  <si>
    <t>EF6625018 Govt</t>
  </si>
  <si>
    <t>FR0010371401</t>
  </si>
  <si>
    <t>EK2432749 Govt</t>
  </si>
  <si>
    <t>FR0011883966</t>
  </si>
  <si>
    <t>EC3954004 Govt</t>
  </si>
  <si>
    <t>FR0000187635</t>
  </si>
  <si>
    <t>EI1823166 Govt</t>
  </si>
  <si>
    <t>FR0010870956</t>
  </si>
  <si>
    <t>GG7384272 Govt</t>
  </si>
  <si>
    <t>FR0000571218</t>
  </si>
  <si>
    <t>ED3871594 Govt</t>
  </si>
  <si>
    <t>FR0010070060</t>
  </si>
  <si>
    <t>ED8307479 Govt</t>
  </si>
  <si>
    <t>FR0010171975</t>
  </si>
  <si>
    <t>GG7185588 Govt</t>
  </si>
  <si>
    <t>FR0000571150</t>
  </si>
  <si>
    <t>GG7112335 Govt</t>
  </si>
  <si>
    <t>FR0000571085</t>
  </si>
  <si>
    <t>GG7115262 Govt</t>
  </si>
  <si>
    <t>FR0000571044</t>
  </si>
  <si>
    <t>EI1868633 Govt</t>
  </si>
  <si>
    <t>FR0010871079</t>
  </si>
  <si>
    <t>EI0433033 Govt</t>
  </si>
  <si>
    <t>FR0010809665</t>
  </si>
  <si>
    <t>JK8071041 Govt</t>
  </si>
  <si>
    <t>FR0013154358</t>
  </si>
  <si>
    <t>EI0431433 Govt</t>
  </si>
  <si>
    <t>FR0010810101</t>
  </si>
  <si>
    <t>EI0431631 Govt</t>
  </si>
  <si>
    <t>FR0010809715</t>
  </si>
  <si>
    <t>EC3973863 Govt</t>
  </si>
  <si>
    <t>FR0000578536</t>
  </si>
  <si>
    <t>EI0428553 Govt</t>
  </si>
  <si>
    <t>FR0010810168</t>
  </si>
  <si>
    <t>EJ6186948 Govt</t>
  </si>
  <si>
    <t>FR0011461664</t>
  </si>
  <si>
    <t>EI0429510 Govt</t>
  </si>
  <si>
    <t>FR0010809483</t>
  </si>
  <si>
    <t>EI0419131 Govt</t>
  </si>
  <si>
    <t>FR0010810218</t>
  </si>
  <si>
    <t>GG7396508 Govt</t>
  </si>
  <si>
    <t>FR0000571200</t>
  </si>
  <si>
    <t>EI0431912 Govt</t>
  </si>
  <si>
    <t>FR0010809806</t>
  </si>
  <si>
    <t>EI0429155 Govt</t>
  </si>
  <si>
    <t>FR0010809996</t>
  </si>
  <si>
    <t>GG7127275 Govt</t>
  </si>
  <si>
    <t>FR0000571077</t>
  </si>
  <si>
    <t>EI0432472 Govt</t>
  </si>
  <si>
    <t>FR0010809574</t>
  </si>
  <si>
    <t>EJ6186146 Govt</t>
  </si>
  <si>
    <t>FR0011461599</t>
  </si>
  <si>
    <t>EI0432076 Govt</t>
  </si>
  <si>
    <t>FR0010809863</t>
  </si>
  <si>
    <t>ED8324482 Govt</t>
  </si>
  <si>
    <t>FR0010172205</t>
  </si>
  <si>
    <t>EI0432274 Govt</t>
  </si>
  <si>
    <t>FR0010809517</t>
  </si>
  <si>
    <t>EI0432357 Govt</t>
  </si>
  <si>
    <t>FR0010809533</t>
  </si>
  <si>
    <t>EI0430518 Govt</t>
  </si>
  <si>
    <t>FR0010810077</t>
  </si>
  <si>
    <t>ED3871719 Govt</t>
  </si>
  <si>
    <t>FR0010070078</t>
  </si>
  <si>
    <t>EH8794248 Govt</t>
  </si>
  <si>
    <t>FR0010773200</t>
  </si>
  <si>
    <t>EI0418851 Govt</t>
  </si>
  <si>
    <t>FR0010809921</t>
  </si>
  <si>
    <t>EI0432399 Govt</t>
  </si>
  <si>
    <t>FR0010809558</t>
  </si>
  <si>
    <t>EI0432993 Govt</t>
  </si>
  <si>
    <t>FR0010809657</t>
  </si>
  <si>
    <t>EI0431516 Govt</t>
  </si>
  <si>
    <t>FR0010809673</t>
  </si>
  <si>
    <t>EI0432191 Govt</t>
  </si>
  <si>
    <t>FR0010809491</t>
  </si>
  <si>
    <t>EI0418810 Govt</t>
  </si>
  <si>
    <t>FR0010809871</t>
  </si>
  <si>
    <t>EI0431714 Govt</t>
  </si>
  <si>
    <t>FR0010809780</t>
  </si>
  <si>
    <t>ED8390566 Govt</t>
  </si>
  <si>
    <t>FR0010172635</t>
  </si>
  <si>
    <t>EI0428439 Govt</t>
  </si>
  <si>
    <t>FR0010810069</t>
  </si>
  <si>
    <t>GG7190232 Govt</t>
  </si>
  <si>
    <t>FR0000571051</t>
  </si>
  <si>
    <t>EI0419057 Govt</t>
  </si>
  <si>
    <t>FR0010810093</t>
  </si>
  <si>
    <t>EI0418695 Govt</t>
  </si>
  <si>
    <t>FR0010809814</t>
  </si>
  <si>
    <t>EI0428355 Govt</t>
  </si>
  <si>
    <t>FR0010810002</t>
  </si>
  <si>
    <t>EF6781696 Govt</t>
  </si>
  <si>
    <t>FR0010371427</t>
  </si>
  <si>
    <t>EI0428637 Govt</t>
  </si>
  <si>
    <t>FR0010810184</t>
  </si>
  <si>
    <t>EI0429270 Govt</t>
  </si>
  <si>
    <t>FR0010809400</t>
  </si>
  <si>
    <t>ED8389048 Govt</t>
  </si>
  <si>
    <t>FR0010172528</t>
  </si>
  <si>
    <t>EI0432118 Govt</t>
  </si>
  <si>
    <t>FR0010809905</t>
  </si>
  <si>
    <t>EI0428918 Govt</t>
  </si>
  <si>
    <t>FR0010810176</t>
  </si>
  <si>
    <t>GG7127259 Govt</t>
  </si>
  <si>
    <t>FR0000571010</t>
  </si>
  <si>
    <t>ED8389006 Govt</t>
  </si>
  <si>
    <t>FR0010172510</t>
  </si>
  <si>
    <t>ED8324888 Govt</t>
  </si>
  <si>
    <t>FR0010172643</t>
  </si>
  <si>
    <t>EI0431599 Govt</t>
  </si>
  <si>
    <t>FR0010809707</t>
  </si>
  <si>
    <t>GG7127267 Govt</t>
  </si>
  <si>
    <t>FR0000571069</t>
  </si>
  <si>
    <t>JK8069003 Govt</t>
  </si>
  <si>
    <t>FR0013154291</t>
  </si>
  <si>
    <t>EI0418976 Govt</t>
  </si>
  <si>
    <t>FR0010809954</t>
  </si>
  <si>
    <t>GG7190240 Govt</t>
  </si>
  <si>
    <t>FR0000571093</t>
  </si>
  <si>
    <t>EI0429072 Govt</t>
  </si>
  <si>
    <t>FR0010809434</t>
  </si>
  <si>
    <t>EI0429353 Govt</t>
  </si>
  <si>
    <t>FR0010809426</t>
  </si>
  <si>
    <t>GG7190273 Govt</t>
  </si>
  <si>
    <t>FR0000571135</t>
  </si>
  <si>
    <t>EI0431995 Govt</t>
  </si>
  <si>
    <t>FR0010809830</t>
  </si>
  <si>
    <t>EI0430476 Govt</t>
  </si>
  <si>
    <t>FR0010810044</t>
  </si>
  <si>
    <t>EI0432514 Govt</t>
  </si>
  <si>
    <t>FR0010809608</t>
  </si>
  <si>
    <t>EI0428314 Govt</t>
  </si>
  <si>
    <t>FR0010810036</t>
  </si>
  <si>
    <t>EI0428991 Govt</t>
  </si>
  <si>
    <t>FR0010809418</t>
  </si>
  <si>
    <t>EJ6186245 Govt</t>
  </si>
  <si>
    <t>FR0011461607</t>
  </si>
  <si>
    <t>ED8388925 Govt</t>
  </si>
  <si>
    <t>FR0010172494</t>
  </si>
  <si>
    <t>EI1868393 Govt</t>
  </si>
  <si>
    <t>FR0010871046</t>
  </si>
  <si>
    <t>JK8068435 Govt</t>
  </si>
  <si>
    <t>FR0013154218</t>
  </si>
  <si>
    <t>EI0428512 Govt</t>
  </si>
  <si>
    <t>FR0010810127</t>
  </si>
  <si>
    <t>EI0429437 Govt</t>
  </si>
  <si>
    <t>FR0010809475</t>
  </si>
  <si>
    <t>GG7396565 Govt</t>
  </si>
  <si>
    <t>FR0000571192</t>
  </si>
  <si>
    <t>EI0432555 Govt</t>
  </si>
  <si>
    <t>FR0010809624</t>
  </si>
  <si>
    <t>EJ6186849 Govt</t>
  </si>
  <si>
    <t>FR0011461656</t>
  </si>
  <si>
    <t>GG7182585 Govt</t>
  </si>
  <si>
    <t>FR0000571036</t>
  </si>
  <si>
    <t>EF6782736 Govt</t>
  </si>
  <si>
    <t>FR0010372086</t>
  </si>
  <si>
    <t>EI0428876 Govt</t>
  </si>
  <si>
    <t>FR0010810135</t>
  </si>
  <si>
    <t>EC3971255 Govt</t>
  </si>
  <si>
    <t>FR0000578544</t>
  </si>
  <si>
    <t>EI0430393 Govt</t>
  </si>
  <si>
    <t>FR0010810010</t>
  </si>
  <si>
    <t>ED3948798 Govt</t>
  </si>
  <si>
    <t>FR0010070110</t>
  </si>
  <si>
    <t>EI0428835 Govt</t>
  </si>
  <si>
    <t>FR0010809897</t>
  </si>
  <si>
    <t>EI0432951 Govt</t>
  </si>
  <si>
    <t>FR0010809640</t>
  </si>
  <si>
    <t>EJ6185999 Govt</t>
  </si>
  <si>
    <t>FR0011461573</t>
  </si>
  <si>
    <t>ED8389287 Govt</t>
  </si>
  <si>
    <t>FR0010172601</t>
  </si>
  <si>
    <t>EI0429114 Govt</t>
  </si>
  <si>
    <t>FR0010809442</t>
  </si>
  <si>
    <t>GG7190257 Govt</t>
  </si>
  <si>
    <t>FR0000571119</t>
  </si>
  <si>
    <t>JK8068260 Govt</t>
  </si>
  <si>
    <t>FR0013154143</t>
  </si>
  <si>
    <t>EI0432910 Govt</t>
  </si>
  <si>
    <t>FR0010809632</t>
  </si>
  <si>
    <t>ED8388487 Govt</t>
  </si>
  <si>
    <t>FR0010172296</t>
  </si>
  <si>
    <t>EI0428751 Govt</t>
  </si>
  <si>
    <t>FR0010809848</t>
  </si>
  <si>
    <t>EI0431672 Govt</t>
  </si>
  <si>
    <t>FR0010809749</t>
  </si>
  <si>
    <t>EJ6178499 Govt</t>
  </si>
  <si>
    <t>FR0011461433</t>
  </si>
  <si>
    <t>EF6782892 Govt</t>
  </si>
  <si>
    <t>FR0010372094</t>
  </si>
  <si>
    <t>EI0428959 Govt</t>
  </si>
  <si>
    <t>FR0010810200</t>
  </si>
  <si>
    <t>EI0429395 Govt</t>
  </si>
  <si>
    <t>FR0010809459</t>
  </si>
  <si>
    <t>EJ6178093 Govt</t>
  </si>
  <si>
    <t>FR0011461391</t>
  </si>
  <si>
    <t>JK8068518 Govt</t>
  </si>
  <si>
    <t>FR0013154226</t>
  </si>
  <si>
    <t>JK8069441 Govt</t>
  </si>
  <si>
    <t>FR0013154317</t>
  </si>
  <si>
    <t>ED8390525 Govt</t>
  </si>
  <si>
    <t>FR0010172627</t>
  </si>
  <si>
    <t>ED8389402 Govt</t>
  </si>
  <si>
    <t>FR0010172619</t>
  </si>
  <si>
    <t>EJ6186799 Govt</t>
  </si>
  <si>
    <t>FR0011461649</t>
  </si>
  <si>
    <t>GG7127234 Govt</t>
  </si>
  <si>
    <t>FR0000570996</t>
  </si>
  <si>
    <t>AM0114794 Govt</t>
  </si>
  <si>
    <t>FR0013200987</t>
  </si>
  <si>
    <t>EJ6177442 Govt</t>
  </si>
  <si>
    <t>FR0011461375</t>
  </si>
  <si>
    <t>EI1868591 Govt</t>
  </si>
  <si>
    <t>FR0010871061</t>
  </si>
  <si>
    <t>EJ6177897 Govt</t>
  </si>
  <si>
    <t>FR0011461383</t>
  </si>
  <si>
    <t>EK2935907 Govt</t>
  </si>
  <si>
    <t>FR0011942168</t>
  </si>
  <si>
    <t>GG7396516 Govt</t>
  </si>
  <si>
    <t>FR0000571101</t>
  </si>
  <si>
    <t>JK8068112 Govt</t>
  </si>
  <si>
    <t>FR0013154101</t>
  </si>
  <si>
    <t>ED8389121 Govt</t>
  </si>
  <si>
    <t>FR0010172577</t>
  </si>
  <si>
    <t>EJ6185346 Govt</t>
  </si>
  <si>
    <t>FR0011461516</t>
  </si>
  <si>
    <t>JK8068120 Govt</t>
  </si>
  <si>
    <t>FR0013154119</t>
  </si>
  <si>
    <t>JK8070696 Govt</t>
  </si>
  <si>
    <t>FR0013154333</t>
  </si>
  <si>
    <t>JK8070761 Govt</t>
  </si>
  <si>
    <t>FR0013154341</t>
  </si>
  <si>
    <t>ED3948715 Govt</t>
  </si>
  <si>
    <t>FR0010070102</t>
  </si>
  <si>
    <t>EF6782173 Govt</t>
  </si>
  <si>
    <t>FR0010372060</t>
  </si>
  <si>
    <t>EJ6178796 Govt</t>
  </si>
  <si>
    <t>FR0011461482</t>
  </si>
  <si>
    <t>EJ6186641 Govt</t>
  </si>
  <si>
    <t>FR0011461623</t>
  </si>
  <si>
    <t>JK8068229 Govt</t>
  </si>
  <si>
    <t>FR0013154135</t>
  </si>
  <si>
    <t>JK8068294 Govt</t>
  </si>
  <si>
    <t>FR0013154192</t>
  </si>
  <si>
    <t>JK8069276 Govt</t>
  </si>
  <si>
    <t>FR0013154309</t>
  </si>
  <si>
    <t>EJ0529135 Govt</t>
  </si>
  <si>
    <t>FR0011217603</t>
  </si>
  <si>
    <t>EJ5732965 Govt</t>
  </si>
  <si>
    <t>FR0011438449</t>
  </si>
  <si>
    <t>EK3918860 Govt</t>
  </si>
  <si>
    <t>FR0011962547</t>
  </si>
  <si>
    <t>GG7396540 Govt</t>
  </si>
  <si>
    <t>FR0000571176</t>
  </si>
  <si>
    <t>JK8068088 Govt</t>
  </si>
  <si>
    <t>FR0013154093</t>
  </si>
  <si>
    <t>JK8068161 Govt</t>
  </si>
  <si>
    <t>FR0013154127</t>
  </si>
  <si>
    <t>JK8068302 Govt</t>
  </si>
  <si>
    <t>FR0013154200</t>
  </si>
  <si>
    <t>ED8388529 Govt</t>
  </si>
  <si>
    <t>FR0010172304</t>
  </si>
  <si>
    <t>EJ6185791 Govt</t>
  </si>
  <si>
    <t>FR0011461540</t>
  </si>
  <si>
    <t>EJ6186690 Govt</t>
  </si>
  <si>
    <t>FR0011461631</t>
  </si>
  <si>
    <t>JK8068369 Govt</t>
  </si>
  <si>
    <t>FR0013154234</t>
  </si>
  <si>
    <t>ED8389162 Govt</t>
  </si>
  <si>
    <t>FR0010172585</t>
  </si>
  <si>
    <t>ED9336279 Govt</t>
  </si>
  <si>
    <t>FR0010193003</t>
  </si>
  <si>
    <t>EI0430278 Govt</t>
  </si>
  <si>
    <t>FR0010809962</t>
  </si>
  <si>
    <t>EJ6186047 Govt</t>
  </si>
  <si>
    <t>FR0011461581</t>
  </si>
  <si>
    <t>EJ6186344 Govt</t>
  </si>
  <si>
    <t>FR0011461615</t>
  </si>
  <si>
    <t>GG7396524 Govt</t>
  </si>
  <si>
    <t>FR0000571127</t>
  </si>
  <si>
    <t>EI0429239 Govt</t>
  </si>
  <si>
    <t>FR0010809277</t>
  </si>
  <si>
    <t>EJ6178390 Govt</t>
  </si>
  <si>
    <t>FR0011461425</t>
  </si>
  <si>
    <t>EC3971420 Govt</t>
  </si>
  <si>
    <t>FR0000578569</t>
  </si>
  <si>
    <t>ED3948673 Govt</t>
  </si>
  <si>
    <t>FR0010070086</t>
  </si>
  <si>
    <t>ED8388602 Govt</t>
  </si>
  <si>
    <t>FR0010172312</t>
  </si>
  <si>
    <t>ED8389246 Govt</t>
  </si>
  <si>
    <t>FR0010172593</t>
  </si>
  <si>
    <t>EF6782538 Govt</t>
  </si>
  <si>
    <t>FR0010372078</t>
  </si>
  <si>
    <t>EJ6178747 Govt</t>
  </si>
  <si>
    <t>FR0011461466</t>
  </si>
  <si>
    <t>EJ6183499 Govt</t>
  </si>
  <si>
    <t>FR0011461490</t>
  </si>
  <si>
    <t>EK3918563 Govt</t>
  </si>
  <si>
    <t>FR0011962489</t>
  </si>
  <si>
    <t>EK3918746 Govt</t>
  </si>
  <si>
    <t>FR0011962497</t>
  </si>
  <si>
    <t>JK8068674 Govt</t>
  </si>
  <si>
    <t>FR0013154259</t>
  </si>
  <si>
    <t>JK8068849 Govt</t>
  </si>
  <si>
    <t>FR0013154283</t>
  </si>
  <si>
    <t>JK8070480 Govt</t>
  </si>
  <si>
    <t>FR0013154325</t>
  </si>
  <si>
    <t>JV1835729 Govt</t>
  </si>
  <si>
    <t>FR0012938843</t>
  </si>
  <si>
    <t>ED3948871 Govt</t>
  </si>
  <si>
    <t>FR0010070136</t>
  </si>
  <si>
    <t>ED3948913 Govt</t>
  </si>
  <si>
    <t>FR0010070144</t>
  </si>
  <si>
    <t>ED8388727 Govt</t>
  </si>
  <si>
    <t>FR0010172478</t>
  </si>
  <si>
    <t>ED8389089 Govt</t>
  </si>
  <si>
    <t>FR0010172544</t>
  </si>
  <si>
    <t>EG4069639 Govt</t>
  </si>
  <si>
    <t>FR0010466946</t>
  </si>
  <si>
    <t>EI1868476 Govt</t>
  </si>
  <si>
    <t>FR0010871053</t>
  </si>
  <si>
    <t>EK3918381 Govt</t>
  </si>
  <si>
    <t>FR0011962471</t>
  </si>
  <si>
    <t>GG7190224 Govt</t>
  </si>
  <si>
    <t>FR0000571002</t>
  </si>
  <si>
    <t>EI0429551 Govt</t>
  </si>
  <si>
    <t>FR0010809939</t>
  </si>
  <si>
    <t>EI1868237 Govt</t>
  </si>
  <si>
    <t>FR0010871038</t>
  </si>
  <si>
    <t>EC3971347 Govt</t>
  </si>
  <si>
    <t>FR0000578551</t>
  </si>
  <si>
    <t>EC3971461 Govt</t>
  </si>
  <si>
    <t>FR0000578577</t>
  </si>
  <si>
    <t>EC3971487 Govt</t>
  </si>
  <si>
    <t>FR0000578585</t>
  </si>
  <si>
    <t>EC3971503 Govt</t>
  </si>
  <si>
    <t>FR0000578593</t>
  </si>
  <si>
    <t>EC3971529 Govt</t>
  </si>
  <si>
    <t>FR0000578601</t>
  </si>
  <si>
    <t>ED3948830 Govt</t>
  </si>
  <si>
    <t>FR0010070128</t>
  </si>
  <si>
    <t>ED8388123 Govt</t>
  </si>
  <si>
    <t>FR0010172213</t>
  </si>
  <si>
    <t>ED8388289 Govt</t>
  </si>
  <si>
    <t>FR0010172270</t>
  </si>
  <si>
    <t>ED8388446 Govt</t>
  </si>
  <si>
    <t>FR0010172288</t>
  </si>
  <si>
    <t>ED8388685 Govt</t>
  </si>
  <si>
    <t>FR0010172320</t>
  </si>
  <si>
    <t>EF6781894 Govt</t>
  </si>
  <si>
    <t>FR0010372045</t>
  </si>
  <si>
    <t>EF6782090 Govt</t>
  </si>
  <si>
    <t>FR0010372052</t>
  </si>
  <si>
    <t>EJ5733310 Govt</t>
  </si>
  <si>
    <t>FR0011438373</t>
  </si>
  <si>
    <t>EJ6177145 Govt</t>
  </si>
  <si>
    <t>FR0011461367</t>
  </si>
  <si>
    <t>EJ6178242 Govt</t>
  </si>
  <si>
    <t>FR0011461417</t>
  </si>
  <si>
    <t>EJ6178697 Govt</t>
  </si>
  <si>
    <t>FR0011461458</t>
  </si>
  <si>
    <t>EJ6185445 Govt</t>
  </si>
  <si>
    <t>FR0011461524</t>
  </si>
  <si>
    <t>EJ6185841 Govt</t>
  </si>
  <si>
    <t>FR0011461565</t>
  </si>
  <si>
    <t>GG7190265 Govt</t>
  </si>
  <si>
    <t>FR0000571143</t>
  </si>
  <si>
    <t>GG7396532 Govt</t>
  </si>
  <si>
    <t>FR0000571168</t>
  </si>
  <si>
    <t>GG7396557 Govt</t>
  </si>
  <si>
    <t>FR0000571184</t>
  </si>
  <si>
    <t>JK8061976 Govt</t>
  </si>
  <si>
    <t>FR0013154085</t>
  </si>
  <si>
    <t>GERMAN_BUND_TYPE60</t>
  </si>
  <si>
    <t>JAPAN_JGB_TYPE51</t>
  </si>
  <si>
    <t>BloombergYield</t>
  </si>
  <si>
    <t>FRENCH_OAT_TYPE89</t>
  </si>
  <si>
    <t>ITALIAN_BTPS_TYPE523</t>
  </si>
  <si>
    <t>DirtyPrice</t>
  </si>
  <si>
    <t>Yield</t>
  </si>
  <si>
    <t>AUSTRALIAN_GOVT_TYPE23</t>
  </si>
  <si>
    <t>LW0207677 Corp</t>
  </si>
  <si>
    <t>EJ2445694 Corp</t>
  </si>
  <si>
    <t>QZ5429456 Corp</t>
  </si>
  <si>
    <t>JV3198662 Corp</t>
  </si>
  <si>
    <t>EI8492650 Corp</t>
  </si>
  <si>
    <t>EJ6791309 Corp</t>
  </si>
  <si>
    <t>AP3642968 Corp</t>
  </si>
  <si>
    <t>AM1528661 Corp</t>
  </si>
  <si>
    <t>EI2142814 Corp</t>
  </si>
  <si>
    <t>EG8211609 Corp</t>
  </si>
  <si>
    <t>EI6831487 Corp</t>
  </si>
  <si>
    <t>EK1150607 Corp</t>
  </si>
  <si>
    <t>AQ7629332 Corp</t>
  </si>
  <si>
    <t>EJ3938531 Corp</t>
  </si>
  <si>
    <t>EK5446753 Corp</t>
  </si>
  <si>
    <t>AM5647400 Corp</t>
  </si>
  <si>
    <t>EJ9437272 Corp</t>
  </si>
  <si>
    <t>EK8211675 Corp</t>
  </si>
  <si>
    <t>QJ1521823 Corp</t>
  </si>
  <si>
    <t>LW2811898 Corp</t>
  </si>
  <si>
    <t>EC9870790 Corp</t>
  </si>
  <si>
    <t>QZ2551245 Corp</t>
  </si>
  <si>
    <t>EF2711531 Corp</t>
  </si>
  <si>
    <t>AN7790412 Corp</t>
  </si>
  <si>
    <t>AL0875834 Corp</t>
  </si>
  <si>
    <t>AL0690951 Corp</t>
  </si>
  <si>
    <t>EJ8955977 Corp</t>
  </si>
  <si>
    <t>AM6907472 Corp</t>
  </si>
  <si>
    <t>JK8199578 Corp</t>
  </si>
  <si>
    <t>JV9205164 Corp</t>
  </si>
  <si>
    <t>EK8553563 Corp</t>
  </si>
  <si>
    <t>AL4159805 Corp</t>
  </si>
  <si>
    <t>EJ9131404 Corp</t>
  </si>
  <si>
    <t>EI7993450 Corp</t>
  </si>
  <si>
    <t>QZ8542552 Corp</t>
  </si>
  <si>
    <t>QJ1755850 Corp</t>
  </si>
  <si>
    <t>LW0753340 Corp</t>
  </si>
  <si>
    <t>EK1150847 Corp</t>
  </si>
  <si>
    <t>LW1235313 Corp</t>
  </si>
  <si>
    <t>EK1791483 Corp</t>
  </si>
  <si>
    <t>AM1708602 Corp</t>
  </si>
  <si>
    <t>EJ6776680 Corp</t>
  </si>
  <si>
    <t>EJ6935351 Corp</t>
  </si>
  <si>
    <t>AP4429340 Corp</t>
  </si>
  <si>
    <t>AQ7824545 Corp</t>
  </si>
  <si>
    <t>EJ6773588 Corp</t>
  </si>
  <si>
    <t>AM5647731 Corp</t>
  </si>
  <si>
    <t>EJ6195758 Corp</t>
  </si>
  <si>
    <t>EK5450789 Corp</t>
  </si>
  <si>
    <t>EJ9440870 Corp</t>
  </si>
  <si>
    <t>EJ6776938 Corp</t>
  </si>
  <si>
    <t>EJ6777381 Corp</t>
  </si>
  <si>
    <t>EJ6777233 Corp</t>
  </si>
  <si>
    <t>EK2751312 Corp</t>
  </si>
  <si>
    <t>EJ6777035 Corp</t>
  </si>
  <si>
    <t>JV7193115 Corp</t>
  </si>
  <si>
    <t>EK8238157 Corp</t>
  </si>
  <si>
    <t>AU3TB0000135</t>
  </si>
  <si>
    <t>AU000XCLWAW9</t>
  </si>
  <si>
    <t>AU3TB0000101</t>
  </si>
  <si>
    <t>AU000XCLWAX7</t>
  </si>
  <si>
    <t>AU3TB0000150</t>
  </si>
  <si>
    <t>AU3TB0000192</t>
  </si>
  <si>
    <t>AU000XCLWAP3</t>
  </si>
  <si>
    <t>AU3SG0001563</t>
  </si>
  <si>
    <t>AU000WT60370</t>
  </si>
  <si>
    <t>AU3SG0001704</t>
  </si>
  <si>
    <t>AU3SG0001241</t>
  </si>
  <si>
    <t>AU3CB0215796</t>
  </si>
  <si>
    <t>AU000GSBE478</t>
  </si>
  <si>
    <t>AU000GSBK392</t>
  </si>
  <si>
    <t>AU000GSBG267</t>
  </si>
  <si>
    <t>AU3SG0001555</t>
  </si>
  <si>
    <t>AU000GSBW215</t>
  </si>
  <si>
    <t>AU000GSBU227</t>
  </si>
  <si>
    <t>AU000GSBU284</t>
  </si>
  <si>
    <t>AU3CB0207330</t>
  </si>
  <si>
    <t>AU000GSBG374</t>
  </si>
  <si>
    <t>AU000GSBG242</t>
  </si>
  <si>
    <t>AU000GSBG291</t>
  </si>
  <si>
    <t>AU3CB0221208</t>
  </si>
  <si>
    <t>AU000GSBG234</t>
  </si>
  <si>
    <t>AU000GSBU276</t>
  </si>
  <si>
    <t>AU000GSBK350</t>
  </si>
  <si>
    <t>AU000XCLWAR9</t>
  </si>
  <si>
    <t>AU3TB0000143</t>
  </si>
  <si>
    <t>AU000XCLWAS7</t>
  </si>
  <si>
    <t>AU000XCLWAQ1</t>
  </si>
  <si>
    <t>AU3TB0000168</t>
  </si>
  <si>
    <t>AU000XCLWAT5</t>
  </si>
  <si>
    <t>AU3TB0000051</t>
  </si>
  <si>
    <t>AU0000XCLWM5</t>
  </si>
  <si>
    <t>AU000XCLWAI8</t>
  </si>
  <si>
    <t>AU000XCLWAU3</t>
  </si>
  <si>
    <t>AU000XCLWAG2</t>
  </si>
  <si>
    <t>AU000XCLWAM0</t>
  </si>
  <si>
    <t>AU3SG0001589</t>
  </si>
  <si>
    <t>AU300WT60390</t>
  </si>
  <si>
    <t>AU3SG0001639</t>
  </si>
  <si>
    <t>AU3SG0001621</t>
  </si>
  <si>
    <t>AU3SG0001688</t>
  </si>
  <si>
    <t>AU3SG0001522</t>
  </si>
  <si>
    <t>AU3SG0001498</t>
  </si>
  <si>
    <t>AU3SG0001456</t>
  </si>
  <si>
    <t>AU3CB0241107</t>
  </si>
  <si>
    <t>AU3SG0000326</t>
  </si>
  <si>
    <t>AU000GSBI289</t>
  </si>
  <si>
    <t>AU3SG0001357</t>
  </si>
  <si>
    <t>AU000GSBM224</t>
  </si>
  <si>
    <t>AU000GSBG259</t>
  </si>
  <si>
    <t>AU000GSBU292</t>
  </si>
  <si>
    <t>AU000GSBI214</t>
  </si>
  <si>
    <t>AU000GSBG333</t>
  </si>
  <si>
    <t>AU000GSBG275</t>
  </si>
  <si>
    <t>FIXED</t>
  </si>
  <si>
    <t>AUD</t>
  </si>
  <si>
    <t>YIELD-TO-MATURITY</t>
  </si>
  <si>
    <t>RECEIVE</t>
  </si>
  <si>
    <t>START_AND_END</t>
  </si>
  <si>
    <t>Semi-Annual</t>
  </si>
  <si>
    <t>NO_CHANGE</t>
  </si>
  <si>
    <t>SYB</t>
  </si>
  <si>
    <t>0D</t>
  </si>
  <si>
    <t>ACT/ACT</t>
  </si>
  <si>
    <t>TYPE23_AUSTRALIAN_GOVERNMENT_BONDS</t>
  </si>
  <si>
    <t>Name</t>
  </si>
  <si>
    <t>QuoteType</t>
  </si>
  <si>
    <t>CLEAN</t>
  </si>
  <si>
    <t>DIRTY</t>
  </si>
  <si>
    <t>QUOTE_TO_3_DECIMAL_PLACES</t>
  </si>
  <si>
    <t>NOTIONALEXCHANGE</t>
  </si>
  <si>
    <t>BONDTYPE</t>
  </si>
  <si>
    <t>PAYRECEIVE</t>
  </si>
  <si>
    <t>ACCRUALSTARTDATE</t>
  </si>
  <si>
    <t>BONDDESCRIPTION</t>
  </si>
  <si>
    <t>YIELDTYPE</t>
  </si>
  <si>
    <t>CURRENCY</t>
  </si>
  <si>
    <t>ISCLEANPRICE</t>
  </si>
  <si>
    <t>BONDQUOTECONVENTION</t>
  </si>
  <si>
    <t>ACCRUALCALENDAR</t>
  </si>
  <si>
    <t>FACEVALUE</t>
  </si>
  <si>
    <t>FREQUENCY</t>
  </si>
  <si>
    <t>ACCRUALBUSINESSDAYADJUSTMENT</t>
  </si>
  <si>
    <t>PAYMENTBUSINESSDAYADJUSTMENT</t>
  </si>
  <si>
    <t>PAYMENTCALENDAR</t>
  </si>
  <si>
    <t>PAYMENTLAG</t>
  </si>
  <si>
    <t>CALCULATIONTYPE</t>
  </si>
  <si>
    <t>DAYCOUNT</t>
  </si>
  <si>
    <t>ROLLDAY</t>
  </si>
  <si>
    <t>ISSUEDATE</t>
  </si>
  <si>
    <t>COUPON</t>
  </si>
  <si>
    <t>LASTCOUPONDATE</t>
  </si>
  <si>
    <t>FIRSTCOUPONDATE</t>
  </si>
  <si>
    <t>MATURITYDATE</t>
  </si>
  <si>
    <t>QuotePrice</t>
  </si>
  <si>
    <t>QuotePx</t>
  </si>
  <si>
    <t>AUSTRALIA_2.25_21-MAY-2028</t>
  </si>
  <si>
    <t>Quote</t>
  </si>
  <si>
    <t>AccruedInterest</t>
  </si>
  <si>
    <t>SettlementDate</t>
  </si>
  <si>
    <t>AccruedInterestDays</t>
  </si>
  <si>
    <t>ModifiedDuration</t>
  </si>
  <si>
    <t>SettlementLag</t>
  </si>
  <si>
    <t>PRICE RESULTS</t>
  </si>
  <si>
    <t>BOND TEMPLATE</t>
  </si>
  <si>
    <t>CREATE BOND</t>
  </si>
  <si>
    <t>PRICE INPUTS</t>
  </si>
  <si>
    <t>CASHFLOWS</t>
  </si>
  <si>
    <t>UK_GILT_TYPE26</t>
  </si>
  <si>
    <t>QZ032122 Corp</t>
  </si>
  <si>
    <t>AO326331 Corp</t>
  </si>
  <si>
    <t>AM781675 Corp</t>
  </si>
  <si>
    <t>QZ554181 Corp</t>
  </si>
  <si>
    <t>JK030916 Corp</t>
  </si>
  <si>
    <t>AS462336 Corp</t>
  </si>
  <si>
    <t>AL083268 Corp</t>
  </si>
  <si>
    <t>AU379648 Corp</t>
  </si>
  <si>
    <t>EJ237349 Corp</t>
  </si>
  <si>
    <t>AM064544 Corp</t>
  </si>
  <si>
    <t>EK799307 Corp</t>
  </si>
  <si>
    <t>EJ707218 Corp</t>
  </si>
  <si>
    <t>QJ158195 Corp</t>
  </si>
  <si>
    <t>EK109396 Corp</t>
  </si>
  <si>
    <t>SECURITY_DES</t>
  </si>
  <si>
    <t>ID_ISIN</t>
  </si>
  <si>
    <t>CPN</t>
  </si>
  <si>
    <t>MATURITY</t>
  </si>
  <si>
    <t>ISSUE_DT</t>
  </si>
  <si>
    <t>INT_ACC_DT</t>
  </si>
  <si>
    <t>FIRST_CPN_DT</t>
  </si>
  <si>
    <t>PENULTIMATE_CPN_DT</t>
  </si>
  <si>
    <t>EJ407307 Corp</t>
  </si>
  <si>
    <t>EJ712548 Corp</t>
  </si>
  <si>
    <t>EK333934 Corp</t>
  </si>
  <si>
    <t>EI825311 Corp</t>
  </si>
  <si>
    <t>EH728200 Corp</t>
  </si>
  <si>
    <t>EH998789 Corp</t>
  </si>
  <si>
    <t>EF670373 Corp</t>
  </si>
  <si>
    <t>EC256595 Corp</t>
  </si>
  <si>
    <t>ED946246 Corp</t>
  </si>
  <si>
    <t>EC867711 Corp</t>
  </si>
  <si>
    <t>EF396423 Corp</t>
  </si>
  <si>
    <t>EI291005 Corp</t>
  </si>
  <si>
    <t>EH529579 Corp</t>
  </si>
  <si>
    <t>EH736811 Corp</t>
  </si>
  <si>
    <t>EH867755 Corp</t>
  </si>
  <si>
    <t>EG506481 Corp</t>
  </si>
  <si>
    <t>EG872949 Corp</t>
  </si>
  <si>
    <t>ED422520 Corp</t>
  </si>
  <si>
    <t>EC453273 Corp</t>
  </si>
  <si>
    <t>GG737572 Corp</t>
  </si>
  <si>
    <t>UKT 4 03/07/22</t>
  </si>
  <si>
    <t>GB00B3KJDQ49</t>
  </si>
  <si>
    <t>27/02/2009</t>
  </si>
  <si>
    <t>07/09/2009</t>
  </si>
  <si>
    <t>07/09/2021</t>
  </si>
  <si>
    <t>07/03/2022</t>
  </si>
  <si>
    <t>UKT 0 1/2 07/22/22</t>
  </si>
  <si>
    <t>GB00BD0PCK97</t>
  </si>
  <si>
    <t>03/08/2016</t>
  </si>
  <si>
    <t>22/01/2017</t>
  </si>
  <si>
    <t>22/01/2022</t>
  </si>
  <si>
    <t>22/07/2022</t>
  </si>
  <si>
    <t>UKT 1 3/4 09/07/22</t>
  </si>
  <si>
    <t>GB00B7L9SL19</t>
  </si>
  <si>
    <t>22/06/2012</t>
  </si>
  <si>
    <t>07/09/2012</t>
  </si>
  <si>
    <t>07/09/2022</t>
  </si>
  <si>
    <t>UKT 0 3/4 07/22/23</t>
  </si>
  <si>
    <t>GB00BF0HZ991</t>
  </si>
  <si>
    <t>20/07/2017</t>
  </si>
  <si>
    <t>22/01/2018</t>
  </si>
  <si>
    <t>22/01/2023</t>
  </si>
  <si>
    <t>22/07/2023</t>
  </si>
  <si>
    <t>UKT 2 1/4 09/07/23</t>
  </si>
  <si>
    <t>GB00B7Z53659</t>
  </si>
  <si>
    <t>12/06/2013</t>
  </si>
  <si>
    <t>07/09/2013</t>
  </si>
  <si>
    <t>07/03/2023</t>
  </si>
  <si>
    <t>07/09/2023</t>
  </si>
  <si>
    <t>UKT 2 3/4 09/07/24</t>
  </si>
  <si>
    <t>GB00BHBFH458</t>
  </si>
  <si>
    <t>12/03/2014</t>
  </si>
  <si>
    <t>07/09/2014</t>
  </si>
  <si>
    <t>07/03/2024</t>
  </si>
  <si>
    <t>07/09/2024</t>
  </si>
  <si>
    <t>UKT 5 03/07/25</t>
  </si>
  <si>
    <t>GB0030880693</t>
  </si>
  <si>
    <t>27/09/2001</t>
  </si>
  <si>
    <t>07/03/2002</t>
  </si>
  <si>
    <t>07/03/2025</t>
  </si>
  <si>
    <t>UKT 2 09/07/25</t>
  </si>
  <si>
    <t>GB00BTHH2R79</t>
  </si>
  <si>
    <t>20/03/2015</t>
  </si>
  <si>
    <t>07/09/2015</t>
  </si>
  <si>
    <t>07/09/2025</t>
  </si>
  <si>
    <t>UKT 1 1/2 07/22/26</t>
  </si>
  <si>
    <t>GB00BYZW3G56</t>
  </si>
  <si>
    <t>18/02/2016</t>
  </si>
  <si>
    <t>22/07/2016</t>
  </si>
  <si>
    <t>22/01/2026</t>
  </si>
  <si>
    <t>22/07/2026</t>
  </si>
  <si>
    <t>UKT 1 1/4 07/22/27</t>
  </si>
  <si>
    <t>GB00BDRHNP05</t>
  </si>
  <si>
    <t>15/03/2017</t>
  </si>
  <si>
    <t>22/07/2017</t>
  </si>
  <si>
    <t>22/01/2027</t>
  </si>
  <si>
    <t>22/07/2027</t>
  </si>
  <si>
    <t>UKT 4 1/4 12/07/27</t>
  </si>
  <si>
    <t>GB00B16NNR78</t>
  </si>
  <si>
    <t>06/09/2006</t>
  </si>
  <si>
    <t>07/12/2006</t>
  </si>
  <si>
    <t>07/06/2027</t>
  </si>
  <si>
    <t>07/12/2027</t>
  </si>
  <si>
    <t>UKT 6 12/07/28</t>
  </si>
  <si>
    <t>GB0002404191</t>
  </si>
  <si>
    <t>29/01/1998</t>
  </si>
  <si>
    <t>07/06/1998</t>
  </si>
  <si>
    <t>07/06/2028</t>
  </si>
  <si>
    <t>07/12/2028</t>
  </si>
  <si>
    <t>UKT 4 3/4 12/07/30</t>
  </si>
  <si>
    <t>GB00B24FF097</t>
  </si>
  <si>
    <t>03/10/2007</t>
  </si>
  <si>
    <t>07/12/2007</t>
  </si>
  <si>
    <t>07/06/2030</t>
  </si>
  <si>
    <t>07/12/2030</t>
  </si>
  <si>
    <t>UKT 4 1/4 06/07/32</t>
  </si>
  <si>
    <t>GB0004893086</t>
  </si>
  <si>
    <t>25/05/2000</t>
  </si>
  <si>
    <t>07/12/2000</t>
  </si>
  <si>
    <t>07/12/2031</t>
  </si>
  <si>
    <t>07/06/2032</t>
  </si>
  <si>
    <t>UKT 4 1/2 09/07/34</t>
  </si>
  <si>
    <t>GB00B52WS153</t>
  </si>
  <si>
    <t>17/06/2009</t>
  </si>
  <si>
    <t>07/03/2034</t>
  </si>
  <si>
    <t>07/09/2034</t>
  </si>
  <si>
    <t>UKT 4 1/4 03/07/36</t>
  </si>
  <si>
    <t>GB0032452392</t>
  </si>
  <si>
    <t>27/02/2003</t>
  </si>
  <si>
    <t>07/09/2003</t>
  </si>
  <si>
    <t>07/09/2035</t>
  </si>
  <si>
    <t>07/03/2036</t>
  </si>
  <si>
    <t>UKT 1 3/4 09/07/37</t>
  </si>
  <si>
    <t>GB00BZB26Y51</t>
  </si>
  <si>
    <t>09/11/2016</t>
  </si>
  <si>
    <t>07/03/2017</t>
  </si>
  <si>
    <t>07/03/2037</t>
  </si>
  <si>
    <t>07/09/2037</t>
  </si>
  <si>
    <t>UKT 4 3/4 12/07/38</t>
  </si>
  <si>
    <t>GB00B00NY175</t>
  </si>
  <si>
    <t>23/04/2004</t>
  </si>
  <si>
    <t>07/12/2004</t>
  </si>
  <si>
    <t>07/06/2038</t>
  </si>
  <si>
    <t>07/12/2038</t>
  </si>
  <si>
    <t>UKT 4 1/4 09/07/39</t>
  </si>
  <si>
    <t>GB00B3KJDS62</t>
  </si>
  <si>
    <t>05/03/2009</t>
  </si>
  <si>
    <t>07/03/2039</t>
  </si>
  <si>
    <t>07/09/2039</t>
  </si>
  <si>
    <t>UKT 4 1/4 12/07/40</t>
  </si>
  <si>
    <t>GB00B6460505</t>
  </si>
  <si>
    <t>30/06/2010</t>
  </si>
  <si>
    <t>07/12/2010</t>
  </si>
  <si>
    <t>07/06/2040</t>
  </si>
  <si>
    <t>07/12/2040</t>
  </si>
  <si>
    <t>UKT 4 1/2 12/07/42</t>
  </si>
  <si>
    <t>GB00B1VWPJ53</t>
  </si>
  <si>
    <t>06/06/2007</t>
  </si>
  <si>
    <t>07/06/2042</t>
  </si>
  <si>
    <t>07/12/2042</t>
  </si>
  <si>
    <t>UKT 3 1/4 01/22/44</t>
  </si>
  <si>
    <t>GB00B84Z9V04</t>
  </si>
  <si>
    <t>24/10/2012</t>
  </si>
  <si>
    <t>22/01/2013</t>
  </si>
  <si>
    <t>22/07/2043</t>
  </si>
  <si>
    <t>22/01/2044</t>
  </si>
  <si>
    <t>UKT 3 1/2 01/22/45</t>
  </si>
  <si>
    <t>GB00BN65R313</t>
  </si>
  <si>
    <t>25/06/2014</t>
  </si>
  <si>
    <t>22/01/2015</t>
  </si>
  <si>
    <t>22/07/2044</t>
  </si>
  <si>
    <t>22/01/2045</t>
  </si>
  <si>
    <t>UKT 4 1/4 12/07/46</t>
  </si>
  <si>
    <t>GB00B128DP45</t>
  </si>
  <si>
    <t>12/05/2006</t>
  </si>
  <si>
    <t>07/06/2046</t>
  </si>
  <si>
    <t>07/12/2046</t>
  </si>
  <si>
    <t>UKT 1 1/2 07/22/47</t>
  </si>
  <si>
    <t>GB00BDCHBW80</t>
  </si>
  <si>
    <t>21/09/2016</t>
  </si>
  <si>
    <t>22/01/2047</t>
  </si>
  <si>
    <t>22/07/2047</t>
  </si>
  <si>
    <t>UKT 1 3/4 01/22/49</t>
  </si>
  <si>
    <t>GB00BFWFPP71</t>
  </si>
  <si>
    <t>12/09/2018</t>
  </si>
  <si>
    <t>22/01/2019</t>
  </si>
  <si>
    <t>22/07/2048</t>
  </si>
  <si>
    <t>22/01/2049</t>
  </si>
  <si>
    <t>UKT 4 1/4 12/07/49</t>
  </si>
  <si>
    <t>GB00B39R3707</t>
  </si>
  <si>
    <t>03/09/2008</t>
  </si>
  <si>
    <t>07/12/2008</t>
  </si>
  <si>
    <t>07/06/2049</t>
  </si>
  <si>
    <t>07/12/2049</t>
  </si>
  <si>
    <t>UKT 3 3/4 07/22/52</t>
  </si>
  <si>
    <t>GB00B6RNH572</t>
  </si>
  <si>
    <t>28/09/2011</t>
  </si>
  <si>
    <t>22/01/2012</t>
  </si>
  <si>
    <t>22/01/2052</t>
  </si>
  <si>
    <t>22/07/2052</t>
  </si>
  <si>
    <t>UKT 4 1/4 12/07/55</t>
  </si>
  <si>
    <t>GB00B06YGN05</t>
  </si>
  <si>
    <t>27/05/2005</t>
  </si>
  <si>
    <t>07/12/2005</t>
  </si>
  <si>
    <t>07/06/2055</t>
  </si>
  <si>
    <t>07/12/2055</t>
  </si>
  <si>
    <t>UKT 1 3/4 07/22/57</t>
  </si>
  <si>
    <t>GB00BD0XH204</t>
  </si>
  <si>
    <t>25/01/2017</t>
  </si>
  <si>
    <t>22/01/2057</t>
  </si>
  <si>
    <t>22/07/2057</t>
  </si>
  <si>
    <t>UKT 4 01/22/60</t>
  </si>
  <si>
    <t>GB00B54QLM75</t>
  </si>
  <si>
    <t>22/10/2009</t>
  </si>
  <si>
    <t>22/01/2010</t>
  </si>
  <si>
    <t>22/07/2059</t>
  </si>
  <si>
    <t>22/01/2060</t>
  </si>
  <si>
    <t>UKT 2 1/2 07/22/65</t>
  </si>
  <si>
    <t>GB00BYYMZX75</t>
  </si>
  <si>
    <t>21/10/2015</t>
  </si>
  <si>
    <t>22/01/2016</t>
  </si>
  <si>
    <t>22/01/2065</t>
  </si>
  <si>
    <t>22/07/2065</t>
  </si>
  <si>
    <t>UKT 3 1/2 07/22/68</t>
  </si>
  <si>
    <t>GB00BBJNQY21</t>
  </si>
  <si>
    <t>26/06/2013</t>
  </si>
  <si>
    <t>22/01/2014</t>
  </si>
  <si>
    <t>22/01/2068</t>
  </si>
  <si>
    <t>22/07/2068</t>
  </si>
  <si>
    <t>UKT 1 5/8 10/22/71</t>
  </si>
  <si>
    <t>GB00BFMCN652</t>
  </si>
  <si>
    <t>16/05/2018</t>
  </si>
  <si>
    <t>22/10/2018</t>
  </si>
  <si>
    <t>22/04/2071</t>
  </si>
  <si>
    <t>22/10/2071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</si>
</sst>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-* #,##0_-;\-* #,##0_-;_-* &quot;-&quot;_-;_-@_-"/>
    <numFmt numFmtId="165" formatCode="_-* #,##0.00_-;\-* #,##0.00_-;_-* &quot;-&quot;??_-;_-@_-"/>
    <numFmt numFmtId="166" formatCode="#,##0.00000000"/>
    <numFmt numFmtId="167" formatCode="0.000000"/>
    <numFmt numFmtId="168" formatCode="0.000%"/>
    <numFmt numFmtId="169" formatCode="ddd\,\ d\-mmm\-yy"/>
    <numFmt numFmtId="170" formatCode="dd/m/yy"/>
    <numFmt numFmtId="171" formatCode="_(&quot;$&quot;* #,##0_);_(&quot;$&quot;* \(#,##0\);_(&quot;$&quot;* &quot;-&quot;_);_(@_)"/>
    <numFmt numFmtId="172" formatCode="_(&quot;$&quot;* #,##0.00_);_(&quot;$&quot;* \(#,##0.00\);_(&quot;$&quot;* &quot;-&quot;??_);_(@_)"/>
    <numFmt numFmtId="173" formatCode="dd\-mmm\-yy;dd\-mmm\-yy;"/>
    <numFmt numFmtId="174" formatCode="_ * #,##0_ ;_ * \-#,##0_ ;_ * &quot;-&quot;_ ;_ @_ "/>
    <numFmt numFmtId="175" formatCode="#,##0.000"/>
    <numFmt numFmtId="176" formatCode="#,##0.0000"/>
    <numFmt numFmtId="177" formatCode="#,##0.000000"/>
    <numFmt numFmtId="178" formatCode="0.000000000%"/>
    <numFmt numFmtId="179" formatCode="0.0000000000"/>
    <numFmt numFmtId="180" formatCode="0.000000000000"/>
    <numFmt numFmtId="181" formatCode="0.000"/>
    <numFmt numFmtId="182" formatCode="0.000000000000000"/>
    <numFmt numFmtId="183" formatCode="0.00000"/>
    <numFmt numFmtId="184" formatCode="0.0000"/>
    <numFmt numFmtId="185" formatCode="0.0000%"/>
    <numFmt numFmtId="186" formatCode="#,##0.00000"/>
    <numFmt numFmtId="187" formatCode="0.00000%"/>
    <numFmt numFmtId="188" formatCode="0.0000000%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11"/>
      <color indexed="9"/>
      <name val="Calibri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indexed="1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60">
    <xf numFmtId="0" fontId="0" fillId="0" borderId="0"/>
    <xf numFmtId="9" fontId="1" fillId="0" borderId="0" applyFont="0" applyFill="0" applyBorder="0" applyAlignment="0" applyProtection="0"/>
    <xf numFmtId="0" fontId="11" fillId="0" borderId="0">
      <alignment vertical="center"/>
    </xf>
    <xf numFmtId="0" fontId="12" fillId="7" borderId="0" applyNumberFormat="0" applyFont="0" applyBorder="0" applyAlignment="0" applyProtection="0"/>
    <xf numFmtId="0" fontId="13" fillId="8" borderId="0"/>
    <xf numFmtId="168" fontId="14" fillId="9" borderId="0"/>
    <xf numFmtId="38" fontId="15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0" borderId="2" applyNumberFormat="0" applyFont="0" applyBorder="0" applyAlignment="0" applyProtection="0">
      <alignment horizontal="centerContinuous"/>
    </xf>
    <xf numFmtId="0" fontId="19" fillId="11" borderId="0" applyNumberFormat="0" applyBorder="0" applyAlignment="0">
      <alignment horizontal="center"/>
    </xf>
    <xf numFmtId="0" fontId="20" fillId="12" borderId="3">
      <alignment horizontal="center"/>
      <protection locked="0"/>
    </xf>
    <xf numFmtId="0" fontId="21" fillId="13" borderId="4" applyNumberFormat="0" applyFont="0" applyBorder="0" applyAlignment="0">
      <alignment horizontal="centerContinuous"/>
    </xf>
    <xf numFmtId="0" fontId="22" fillId="14" borderId="0" applyNumberFormat="0" applyFont="0" applyBorder="0" applyAlignment="0" applyProtection="0"/>
    <xf numFmtId="2" fontId="17" fillId="15" borderId="5" applyNumberFormat="0" applyBorder="0">
      <alignment horizontal="right" vertical="center"/>
    </xf>
    <xf numFmtId="2" fontId="23" fillId="16" borderId="6" applyBorder="0">
      <alignment horizontal="left" vertical="center"/>
    </xf>
    <xf numFmtId="10" fontId="24" fillId="17" borderId="0" applyBorder="0">
      <alignment horizontal="right"/>
      <protection locked="0"/>
    </xf>
    <xf numFmtId="15" fontId="24" fillId="17" borderId="7" applyBorder="0">
      <alignment horizontal="center"/>
      <protection locked="0"/>
    </xf>
    <xf numFmtId="15" fontId="24" fillId="17" borderId="0" applyBorder="0">
      <alignment horizontal="left"/>
      <protection locked="0"/>
    </xf>
    <xf numFmtId="2" fontId="25" fillId="18" borderId="6" applyNumberFormat="0">
      <alignment horizontal="center" vertical="center"/>
    </xf>
    <xf numFmtId="170" fontId="26" fillId="19" borderId="4" applyBorder="0">
      <alignment horizontal="left"/>
      <protection locked="0"/>
    </xf>
    <xf numFmtId="170" fontId="26" fillId="19" borderId="8" applyBorder="0">
      <alignment horizontal="right"/>
      <protection locked="0"/>
    </xf>
    <xf numFmtId="164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2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172" fontId="17" fillId="0" borderId="0" applyFont="0" applyFill="0" applyBorder="0" applyAlignment="0" applyProtection="0"/>
    <xf numFmtId="0" fontId="17" fillId="0" borderId="0"/>
    <xf numFmtId="0" fontId="17" fillId="0" borderId="0"/>
    <xf numFmtId="0" fontId="15" fillId="0" borderId="0">
      <alignment vertical="center"/>
    </xf>
    <xf numFmtId="0" fontId="16" fillId="0" borderId="0">
      <alignment vertical="center"/>
    </xf>
    <xf numFmtId="0" fontId="17" fillId="0" borderId="0"/>
    <xf numFmtId="0" fontId="27" fillId="20" borderId="0" applyNumberFormat="0" applyFont="0" applyBorder="0" applyAlignment="0" applyProtection="0"/>
    <xf numFmtId="0" fontId="27" fillId="21" borderId="0" applyNumberFormat="0" applyFont="0" applyBorder="0" applyAlignment="0" applyProtection="0"/>
    <xf numFmtId="0" fontId="27" fillId="22" borderId="0" applyNumberFormat="0" applyFont="0" applyBorder="0" applyAlignment="0" applyProtection="0">
      <alignment horizontal="center"/>
    </xf>
    <xf numFmtId="0" fontId="27" fillId="23" borderId="9" applyNumberFormat="0" applyFont="0" applyBorder="0" applyAlignment="0" applyProtection="0"/>
    <xf numFmtId="0" fontId="27" fillId="24" borderId="9" applyNumberFormat="0" applyFont="0" applyBorder="0" applyAlignment="0"/>
    <xf numFmtId="0" fontId="27" fillId="25" borderId="9" applyNumberFormat="0" applyFont="0" applyBorder="0" applyAlignment="0"/>
    <xf numFmtId="0" fontId="12" fillId="26" borderId="0" applyNumberFormat="0" applyFont="0" applyBorder="0" applyAlignment="0" applyProtection="0">
      <alignment horizontal="center"/>
      <protection hidden="1"/>
    </xf>
    <xf numFmtId="0" fontId="17" fillId="7" borderId="0" applyNumberFormat="0" applyFont="0" applyBorder="0" applyAlignment="0" applyProtection="0">
      <protection hidden="1"/>
    </xf>
    <xf numFmtId="0" fontId="17" fillId="27" borderId="0" applyNumberFormat="0" applyFont="0" applyBorder="0" applyAlignment="0" applyProtection="0">
      <protection hidden="1"/>
    </xf>
    <xf numFmtId="0" fontId="17" fillId="28" borderId="0" applyNumberFormat="0" applyFont="0" applyBorder="0" applyAlignment="0" applyProtection="0">
      <protection hidden="1"/>
    </xf>
    <xf numFmtId="0" fontId="17" fillId="29" borderId="0" applyNumberFormat="0" applyFont="0" applyBorder="0" applyAlignment="0" applyProtection="0">
      <protection hidden="1"/>
    </xf>
    <xf numFmtId="0" fontId="17" fillId="30" borderId="0" applyNumberFormat="0" applyFont="0" applyBorder="0" applyAlignment="0" applyProtection="0">
      <protection hidden="1"/>
    </xf>
    <xf numFmtId="0" fontId="17" fillId="31" borderId="0" applyNumberFormat="0" applyFont="0" applyBorder="0" applyAlignment="0" applyProtection="0">
      <protection hidden="1"/>
    </xf>
    <xf numFmtId="9" fontId="17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173" fontId="28" fillId="0" borderId="10" applyBorder="0">
      <alignment horizontal="center"/>
      <protection locked="0"/>
    </xf>
    <xf numFmtId="0" fontId="17" fillId="0" borderId="0">
      <alignment horizontal="left" wrapText="1"/>
    </xf>
    <xf numFmtId="9" fontId="1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174" fontId="17" fillId="0" borderId="0" applyFont="0" applyFill="0" applyBorder="0" applyAlignment="0" applyProtection="0"/>
    <xf numFmtId="0" fontId="15" fillId="0" borderId="0">
      <alignment vertical="center"/>
    </xf>
    <xf numFmtId="0" fontId="29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</cellStyleXfs>
  <cellXfs count="159">
    <xf numFmtId="0" fontId="0" fillId="0" borderId="0" xfId="0"/>
    <xf numFmtId="0" fontId="0" fillId="0" borderId="0" xfId="0" applyFill="1"/>
    <xf numFmtId="166" fontId="0" fillId="0" borderId="0" xfId="1" applyNumberFormat="1" applyFon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5" fontId="4" fillId="0" borderId="0" xfId="0" applyNumberFormat="1" applyFont="1" applyFill="1" applyAlignment="1">
      <alignment horizontal="center" vertical="center"/>
    </xf>
    <xf numFmtId="15" fontId="0" fillId="0" borderId="0" xfId="0" applyNumberFormat="1" applyFill="1" applyAlignment="1">
      <alignment horizontal="center" vertical="center"/>
    </xf>
    <xf numFmtId="167" fontId="2" fillId="0" borderId="0" xfId="0" applyNumberFormat="1" applyFont="1" applyFill="1" applyAlignment="1">
      <alignment horizontal="center" vertical="center"/>
    </xf>
    <xf numFmtId="15" fontId="5" fillId="0" borderId="0" xfId="0" applyNumberFormat="1" applyFont="1" applyFill="1" applyAlignment="1">
      <alignment horizontal="center" vertical="center"/>
    </xf>
    <xf numFmtId="166" fontId="6" fillId="0" borderId="0" xfId="1" applyNumberFormat="1" applyFont="1" applyFill="1" applyAlignment="1">
      <alignment horizontal="center" vertical="center"/>
    </xf>
    <xf numFmtId="167" fontId="6" fillId="0" borderId="0" xfId="0" applyNumberFormat="1" applyFont="1" applyFill="1" applyAlignment="1">
      <alignment horizontal="center" vertical="center"/>
    </xf>
    <xf numFmtId="167" fontId="7" fillId="0" borderId="0" xfId="0" applyNumberFormat="1" applyFont="1" applyFill="1" applyAlignment="1">
      <alignment horizontal="center" vertical="center"/>
    </xf>
    <xf numFmtId="167" fontId="8" fillId="0" borderId="0" xfId="0" applyNumberFormat="1" applyFont="1" applyFill="1" applyAlignment="1">
      <alignment horizontal="center" vertical="center"/>
    </xf>
    <xf numFmtId="0" fontId="2" fillId="0" borderId="0" xfId="0" applyFont="1" applyFill="1"/>
    <xf numFmtId="0" fontId="0" fillId="4" borderId="0" xfId="0" applyFont="1" applyFill="1" applyAlignment="1">
      <alignment horizontal="center" vertical="center"/>
    </xf>
    <xf numFmtId="15" fontId="0" fillId="4" borderId="0" xfId="0" applyNumberFormat="1" applyFont="1" applyFill="1" applyAlignment="1">
      <alignment horizontal="center" vertical="center"/>
    </xf>
    <xf numFmtId="168" fontId="0" fillId="4" borderId="0" xfId="0" applyNumberFormat="1" applyFont="1" applyFill="1" applyAlignment="1">
      <alignment horizontal="center" vertical="center"/>
    </xf>
    <xf numFmtId="1" fontId="0" fillId="4" borderId="0" xfId="0" applyNumberFormat="1" applyFont="1" applyFill="1" applyAlignment="1">
      <alignment horizontal="center" vertical="center"/>
    </xf>
    <xf numFmtId="15" fontId="1" fillId="4" borderId="0" xfId="1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4" fontId="9" fillId="6" borderId="0" xfId="1" applyNumberFormat="1" applyFont="1" applyFill="1" applyAlignment="1">
      <alignment horizontal="center" vertical="center"/>
    </xf>
    <xf numFmtId="4" fontId="9" fillId="6" borderId="0" xfId="0" applyNumberFormat="1" applyFont="1" applyFill="1" applyAlignment="1">
      <alignment horizontal="center" vertical="center"/>
    </xf>
    <xf numFmtId="4" fontId="4" fillId="6" borderId="0" xfId="0" applyNumberFormat="1" applyFont="1" applyFill="1" applyAlignment="1">
      <alignment horizontal="center" vertical="center"/>
    </xf>
    <xf numFmtId="4" fontId="10" fillId="6" borderId="0" xfId="0" applyNumberFormat="1" applyFont="1" applyFill="1" applyAlignment="1">
      <alignment horizontal="center" vertical="center"/>
    </xf>
    <xf numFmtId="14" fontId="0" fillId="0" borderId="0" xfId="0" applyNumberFormat="1" applyFill="1"/>
    <xf numFmtId="0" fontId="0" fillId="0" borderId="0" xfId="0" applyFont="1" applyFill="1"/>
    <xf numFmtId="14" fontId="0" fillId="0" borderId="0" xfId="0" applyNumberFormat="1" applyFill="1" applyAlignment="1">
      <alignment horizontal="center" vertical="center"/>
    </xf>
    <xf numFmtId="15" fontId="0" fillId="0" borderId="0" xfId="0" applyNumberFormat="1" applyFill="1" applyAlignment="1">
      <alignment horizontal="center"/>
    </xf>
    <xf numFmtId="0" fontId="0" fillId="2" borderId="0" xfId="0" applyFill="1"/>
    <xf numFmtId="0" fontId="0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167" fontId="8" fillId="0" borderId="0" xfId="0" quotePrefix="1" applyNumberFormat="1" applyFont="1" applyFill="1" applyAlignment="1">
      <alignment horizontal="center" vertical="center"/>
    </xf>
    <xf numFmtId="175" fontId="10" fillId="6" borderId="0" xfId="0" applyNumberFormat="1" applyFont="1" applyFill="1" applyAlignment="1">
      <alignment horizontal="center" vertical="center"/>
    </xf>
    <xf numFmtId="166" fontId="2" fillId="0" borderId="0" xfId="1" applyNumberFormat="1" applyFont="1" applyFill="1" applyAlignment="1">
      <alignment horizontal="center" vertical="center"/>
    </xf>
    <xf numFmtId="175" fontId="4" fillId="6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3" fontId="2" fillId="0" borderId="0" xfId="0" applyNumberFormat="1" applyFont="1" applyFill="1" applyAlignment="1">
      <alignment horizontal="center" vertical="center"/>
    </xf>
    <xf numFmtId="4" fontId="10" fillId="0" borderId="0" xfId="0" applyNumberFormat="1" applyFont="1" applyFill="1" applyAlignment="1">
      <alignment horizontal="center" vertical="center"/>
    </xf>
    <xf numFmtId="4" fontId="10" fillId="0" borderId="0" xfId="0" quotePrefix="1" applyNumberFormat="1" applyFont="1" applyFill="1" applyAlignment="1">
      <alignment horizontal="center" vertical="center"/>
    </xf>
    <xf numFmtId="15" fontId="4" fillId="6" borderId="1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77" fontId="0" fillId="0" borderId="0" xfId="1" applyNumberFormat="1" applyFont="1" applyFill="1"/>
    <xf numFmtId="167" fontId="0" fillId="0" borderId="0" xfId="0" applyNumberFormat="1" applyFill="1"/>
    <xf numFmtId="0" fontId="2" fillId="0" borderId="0" xfId="0" applyFont="1" applyFill="1" applyAlignment="1">
      <alignment horizontal="center"/>
    </xf>
    <xf numFmtId="10" fontId="0" fillId="4" borderId="0" xfId="0" applyNumberFormat="1" applyFont="1" applyFill="1" applyAlignment="1">
      <alignment horizontal="center" vertical="center"/>
    </xf>
    <xf numFmtId="176" fontId="0" fillId="4" borderId="0" xfId="0" applyNumberFormat="1" applyFont="1" applyFill="1" applyAlignment="1">
      <alignment horizontal="center" vertical="center"/>
    </xf>
    <xf numFmtId="178" fontId="0" fillId="0" borderId="0" xfId="1" applyNumberFormat="1" applyFont="1" applyFill="1"/>
    <xf numFmtId="167" fontId="0" fillId="3" borderId="0" xfId="0" applyNumberFormat="1" applyFill="1"/>
    <xf numFmtId="0" fontId="0" fillId="0" borderId="0" xfId="0" applyNumberFormat="1" applyFill="1"/>
    <xf numFmtId="179" fontId="0" fillId="0" borderId="0" xfId="0" applyNumberFormat="1" applyFill="1"/>
    <xf numFmtId="180" fontId="0" fillId="0" borderId="0" xfId="0" applyNumberFormat="1" applyFill="1"/>
    <xf numFmtId="181" fontId="0" fillId="0" borderId="0" xfId="0" applyNumberFormat="1" applyFill="1"/>
    <xf numFmtId="182" fontId="0" fillId="0" borderId="0" xfId="0" applyNumberFormat="1" applyFill="1"/>
    <xf numFmtId="183" fontId="0" fillId="0" borderId="0" xfId="0" applyNumberFormat="1" applyFill="1"/>
    <xf numFmtId="181" fontId="2" fillId="0" borderId="0" xfId="0" applyNumberFormat="1" applyFont="1" applyFill="1" applyAlignment="1">
      <alignment horizontal="center" vertical="center"/>
    </xf>
    <xf numFmtId="181" fontId="6" fillId="0" borderId="0" xfId="0" applyNumberFormat="1" applyFont="1" applyFill="1" applyAlignment="1">
      <alignment horizontal="center" vertical="center"/>
    </xf>
    <xf numFmtId="181" fontId="7" fillId="0" borderId="0" xfId="0" applyNumberFormat="1" applyFont="1" applyFill="1" applyAlignment="1">
      <alignment horizontal="center" vertical="center"/>
    </xf>
    <xf numFmtId="184" fontId="7" fillId="0" borderId="0" xfId="0" applyNumberFormat="1" applyFont="1" applyFill="1" applyAlignment="1">
      <alignment horizontal="center" vertical="center"/>
    </xf>
    <xf numFmtId="175" fontId="8" fillId="0" borderId="0" xfId="0" applyNumberFormat="1" applyFont="1" applyFill="1" applyAlignment="1">
      <alignment horizontal="center" vertical="center"/>
    </xf>
    <xf numFmtId="181" fontId="9" fillId="6" borderId="0" xfId="0" applyNumberFormat="1" applyFont="1" applyFill="1" applyAlignment="1">
      <alignment horizontal="center" vertical="center"/>
    </xf>
    <xf numFmtId="181" fontId="4" fillId="6" borderId="0" xfId="0" applyNumberFormat="1" applyFont="1" applyFill="1" applyAlignment="1">
      <alignment horizontal="center" vertical="center"/>
    </xf>
    <xf numFmtId="184" fontId="4" fillId="6" borderId="0" xfId="0" applyNumberFormat="1" applyFont="1" applyFill="1" applyAlignment="1">
      <alignment horizontal="center" vertical="center"/>
    </xf>
    <xf numFmtId="15" fontId="0" fillId="0" borderId="0" xfId="0" applyNumberFormat="1" applyFill="1"/>
    <xf numFmtId="177" fontId="0" fillId="0" borderId="0" xfId="1" applyNumberFormat="1" applyFont="1" applyFill="1" applyAlignment="1">
      <alignment horizontal="center" vertical="center"/>
    </xf>
    <xf numFmtId="169" fontId="30" fillId="0" borderId="0" xfId="0" applyNumberFormat="1" applyFont="1" applyFill="1" applyAlignment="1">
      <alignment horizontal="center" vertical="center"/>
    </xf>
    <xf numFmtId="169" fontId="4" fillId="6" borderId="1" xfId="0" applyNumberFormat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center" vertical="center"/>
    </xf>
    <xf numFmtId="3" fontId="2" fillId="0" borderId="0" xfId="1" applyNumberFormat="1" applyFont="1" applyFill="1" applyAlignment="1">
      <alignment horizontal="center" vertical="center"/>
    </xf>
    <xf numFmtId="185" fontId="4" fillId="6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4" fontId="0" fillId="0" borderId="0" xfId="0" applyNumberFormat="1" applyFill="1"/>
    <xf numFmtId="4" fontId="8" fillId="0" borderId="0" xfId="0" applyNumberFormat="1" applyFont="1" applyFill="1" applyAlignment="1">
      <alignment horizontal="center" vertical="center"/>
    </xf>
    <xf numFmtId="0" fontId="9" fillId="0" borderId="0" xfId="0" applyFont="1" applyFill="1"/>
    <xf numFmtId="0" fontId="9" fillId="0" borderId="0" xfId="0" applyFont="1" applyFill="1" applyAlignment="1">
      <alignment horizontal="center" vertical="center"/>
    </xf>
    <xf numFmtId="14" fontId="9" fillId="0" borderId="0" xfId="0" applyNumberFormat="1" applyFont="1" applyFill="1"/>
    <xf numFmtId="0" fontId="30" fillId="0" borderId="0" xfId="0" applyFont="1" applyFill="1"/>
    <xf numFmtId="0" fontId="5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4" fillId="0" borderId="0" xfId="0" applyFont="1" applyFill="1"/>
    <xf numFmtId="0" fontId="4" fillId="6" borderId="0" xfId="0" applyFont="1" applyFill="1" applyAlignment="1">
      <alignment horizontal="center" vertical="center"/>
    </xf>
    <xf numFmtId="14" fontId="4" fillId="0" borderId="0" xfId="0" applyNumberFormat="1" applyFont="1" applyFill="1"/>
    <xf numFmtId="176" fontId="9" fillId="6" borderId="0" xfId="1" applyNumberFormat="1" applyFont="1" applyFill="1" applyAlignment="1">
      <alignment horizontal="center" vertical="center"/>
    </xf>
    <xf numFmtId="177" fontId="9" fillId="6" borderId="0" xfId="1" applyNumberFormat="1" applyFont="1" applyFill="1" applyAlignment="1">
      <alignment horizontal="center" vertical="center"/>
    </xf>
    <xf numFmtId="168" fontId="4" fillId="6" borderId="0" xfId="0" applyNumberFormat="1" applyFont="1" applyFill="1" applyAlignment="1">
      <alignment horizontal="center" vertical="center"/>
    </xf>
    <xf numFmtId="188" fontId="4" fillId="6" borderId="0" xfId="0" applyNumberFormat="1" applyFont="1" applyFill="1" applyAlignment="1">
      <alignment horizontal="center" vertical="center"/>
    </xf>
    <xf numFmtId="176" fontId="4" fillId="6" borderId="0" xfId="0" applyNumberFormat="1" applyFont="1" applyFill="1" applyAlignment="1">
      <alignment horizontal="center" vertical="center"/>
    </xf>
    <xf numFmtId="186" fontId="4" fillId="6" borderId="0" xfId="0" applyNumberFormat="1" applyFont="1" applyFill="1" applyAlignment="1">
      <alignment horizontal="center" vertical="center"/>
    </xf>
    <xf numFmtId="175" fontId="9" fillId="6" borderId="0" xfId="0" applyNumberFormat="1" applyFont="1" applyFill="1" applyAlignment="1">
      <alignment horizontal="center" vertical="center"/>
    </xf>
    <xf numFmtId="176" fontId="9" fillId="6" borderId="0" xfId="0" applyNumberFormat="1" applyFont="1" applyFill="1" applyAlignment="1">
      <alignment horizontal="center" vertical="center"/>
    </xf>
    <xf numFmtId="4" fontId="30" fillId="0" borderId="0" xfId="0" applyNumberFormat="1" applyFont="1" applyFill="1"/>
    <xf numFmtId="4" fontId="5" fillId="0" borderId="0" xfId="0" applyNumberFormat="1" applyFont="1" applyFill="1" applyAlignment="1">
      <alignment horizontal="center" vertical="center"/>
    </xf>
    <xf numFmtId="4" fontId="30" fillId="0" borderId="0" xfId="0" applyNumberFormat="1" applyFont="1" applyFill="1" applyAlignment="1">
      <alignment horizontal="center" vertical="center"/>
    </xf>
    <xf numFmtId="175" fontId="0" fillId="0" borderId="0" xfId="0" applyNumberFormat="1" applyFill="1"/>
    <xf numFmtId="175" fontId="30" fillId="0" borderId="0" xfId="0" applyNumberFormat="1" applyFont="1" applyFill="1"/>
    <xf numFmtId="175" fontId="5" fillId="0" borderId="0" xfId="0" applyNumberFormat="1" applyFont="1" applyFill="1" applyAlignment="1">
      <alignment horizontal="center" vertical="center"/>
    </xf>
    <xf numFmtId="175" fontId="30" fillId="0" borderId="0" xfId="0" applyNumberFormat="1" applyFont="1" applyFill="1" applyAlignment="1">
      <alignment horizontal="center" vertical="center"/>
    </xf>
    <xf numFmtId="176" fontId="0" fillId="0" borderId="0" xfId="0" applyNumberFormat="1" applyFill="1"/>
    <xf numFmtId="176" fontId="30" fillId="0" borderId="0" xfId="0" applyNumberFormat="1" applyFont="1" applyFill="1"/>
    <xf numFmtId="176" fontId="5" fillId="0" borderId="0" xfId="0" applyNumberFormat="1" applyFont="1" applyFill="1" applyAlignment="1">
      <alignment horizontal="center" vertical="center"/>
    </xf>
    <xf numFmtId="176" fontId="6" fillId="0" borderId="0" xfId="1" applyNumberFormat="1" applyFont="1" applyFill="1" applyAlignment="1">
      <alignment horizontal="center" vertical="center"/>
    </xf>
    <xf numFmtId="176" fontId="30" fillId="0" borderId="0" xfId="0" applyNumberFormat="1" applyFont="1" applyFill="1" applyAlignment="1">
      <alignment horizontal="center" vertical="center"/>
    </xf>
    <xf numFmtId="176" fontId="0" fillId="0" borderId="0" xfId="1" applyNumberFormat="1" applyFont="1" applyFill="1"/>
    <xf numFmtId="4" fontId="2" fillId="0" borderId="0" xfId="0" quotePrefix="1" applyNumberFormat="1" applyFont="1" applyFill="1" applyAlignment="1">
      <alignment horizontal="center" vertical="center"/>
    </xf>
    <xf numFmtId="175" fontId="2" fillId="0" borderId="0" xfId="0" quotePrefix="1" applyNumberFormat="1" applyFont="1" applyFill="1" applyAlignment="1">
      <alignment horizontal="center" vertical="center"/>
    </xf>
    <xf numFmtId="175" fontId="10" fillId="0" borderId="0" xfId="0" quotePrefix="1" applyNumberFormat="1" applyFont="1" applyFill="1" applyAlignment="1">
      <alignment horizontal="center" vertical="center"/>
    </xf>
    <xf numFmtId="168" fontId="10" fillId="0" borderId="0" xfId="0" applyNumberFormat="1" applyFont="1" applyFill="1" applyAlignment="1">
      <alignment horizontal="center" vertical="center"/>
    </xf>
    <xf numFmtId="187" fontId="0" fillId="0" borderId="0" xfId="0" applyNumberFormat="1" applyFill="1"/>
    <xf numFmtId="187" fontId="2" fillId="0" borderId="0" xfId="0" quotePrefix="1" applyNumberFormat="1" applyFont="1" applyFill="1" applyAlignment="1">
      <alignment horizontal="center" vertical="center"/>
    </xf>
    <xf numFmtId="187" fontId="5" fillId="0" borderId="0" xfId="0" applyNumberFormat="1" applyFont="1" applyFill="1" applyAlignment="1">
      <alignment horizontal="center" vertical="center"/>
    </xf>
    <xf numFmtId="187" fontId="30" fillId="0" borderId="0" xfId="0" applyNumberFormat="1" applyFont="1" applyFill="1"/>
    <xf numFmtId="187" fontId="30" fillId="0" borderId="0" xfId="0" applyNumberFormat="1" applyFont="1" applyFill="1" applyAlignment="1">
      <alignment horizontal="center" vertical="center"/>
    </xf>
    <xf numFmtId="4" fontId="4" fillId="0" borderId="0" xfId="0" applyNumberFormat="1" applyFont="1" applyFill="1"/>
    <xf numFmtId="0" fontId="0" fillId="0" borderId="12" xfId="0" applyBorder="1" applyAlignment="1">
      <alignment horizontal="center" vertical="center"/>
    </xf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0" borderId="0" xfId="0" applyFont="1"/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3" fontId="4" fillId="0" borderId="13" xfId="0" applyNumberFormat="1" applyFont="1" applyBorder="1" applyAlignment="1">
      <alignment horizontal="center" vertical="center"/>
    </xf>
    <xf numFmtId="168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169" fontId="0" fillId="4" borderId="12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69" fontId="0" fillId="4" borderId="13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168" fontId="0" fillId="4" borderId="13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169" fontId="0" fillId="4" borderId="13" xfId="0" applyNumberFormat="1" applyFont="1" applyFill="1" applyBorder="1" applyAlignment="1">
      <alignment horizontal="center" vertical="center"/>
    </xf>
    <xf numFmtId="168" fontId="9" fillId="4" borderId="14" xfId="0" applyNumberFormat="1" applyFont="1" applyFill="1" applyBorder="1" applyAlignment="1">
      <alignment horizontal="center" vertical="center"/>
    </xf>
    <xf numFmtId="0" fontId="4" fillId="6" borderId="15" xfId="0" applyFont="1" applyFill="1" applyBorder="1"/>
    <xf numFmtId="0" fontId="4" fillId="6" borderId="16" xfId="0" applyFont="1" applyFill="1" applyBorder="1"/>
    <xf numFmtId="0" fontId="4" fillId="6" borderId="17" xfId="0" applyFont="1" applyFill="1" applyBorder="1"/>
    <xf numFmtId="169" fontId="4" fillId="6" borderId="18" xfId="0" applyNumberFormat="1" applyFont="1" applyFill="1" applyBorder="1"/>
    <xf numFmtId="169" fontId="4" fillId="6" borderId="0" xfId="0" applyNumberFormat="1" applyFont="1" applyFill="1" applyBorder="1"/>
    <xf numFmtId="169" fontId="4" fillId="6" borderId="20" xfId="0" applyNumberFormat="1" applyFont="1" applyFill="1" applyBorder="1"/>
    <xf numFmtId="169" fontId="4" fillId="6" borderId="21" xfId="0" applyNumberFormat="1" applyFont="1" applyFill="1" applyBorder="1"/>
    <xf numFmtId="4" fontId="4" fillId="6" borderId="0" xfId="0" applyNumberFormat="1" applyFont="1" applyFill="1" applyBorder="1"/>
    <xf numFmtId="4" fontId="4" fillId="6" borderId="21" xfId="0" applyNumberFormat="1" applyFont="1" applyFill="1" applyBorder="1"/>
    <xf numFmtId="3" fontId="4" fillId="6" borderId="0" xfId="0" applyNumberFormat="1" applyFont="1" applyFill="1" applyBorder="1"/>
    <xf numFmtId="3" fontId="4" fillId="6" borderId="21" xfId="0" applyNumberFormat="1" applyFont="1" applyFill="1" applyBorder="1"/>
    <xf numFmtId="185" fontId="4" fillId="6" borderId="0" xfId="0" applyNumberFormat="1" applyFont="1" applyFill="1" applyBorder="1"/>
    <xf numFmtId="185" fontId="4" fillId="6" borderId="21" xfId="0" applyNumberFormat="1" applyFont="1" applyFill="1" applyBorder="1"/>
    <xf numFmtId="4" fontId="4" fillId="6" borderId="19" xfId="0" applyNumberFormat="1" applyFont="1" applyFill="1" applyBorder="1"/>
    <xf numFmtId="4" fontId="4" fillId="6" borderId="22" xfId="0" applyNumberFormat="1" applyFont="1" applyFill="1" applyBorder="1"/>
    <xf numFmtId="177" fontId="4" fillId="6" borderId="0" xfId="0" applyNumberFormat="1" applyFont="1" applyFill="1" applyBorder="1"/>
    <xf numFmtId="177" fontId="4" fillId="6" borderId="21" xfId="0" applyNumberFormat="1" applyFont="1" applyFill="1" applyBorder="1"/>
    <xf numFmtId="0" fontId="0" fillId="0" borderId="0" xfId="0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4" borderId="0" xfId="0" applyFont="1" applyFill="1" applyAlignment="1">
      <alignment horizontal="left" vertical="center"/>
    </xf>
    <xf numFmtId="0" fontId="6" fillId="0" borderId="0" xfId="0" applyFont="1" applyFill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" fontId="8" fillId="0" borderId="0" xfId="0" quotePrefix="1" applyNumberFormat="1" applyFont="1" applyFill="1" applyAlignment="1">
      <alignment horizontal="center" vertical="center"/>
    </xf>
  </cellXfs>
  <cellStyles count="60">
    <cellStyle name="=C:\WINNT35\SYSTEM32\COMMAND.COM" xfId="2"/>
    <cellStyle name="Background" xfId="3"/>
    <cellStyle name="blp_column_header" xfId="4"/>
    <cellStyle name="calc" xfId="5"/>
    <cellStyle name="Comma [0] 2" xfId="6"/>
    <cellStyle name="Comma [0] 3" xfId="7"/>
    <cellStyle name="Comma 2" xfId="8"/>
    <cellStyle name="Comma 3" xfId="9"/>
    <cellStyle name="Data" xfId="10"/>
    <cellStyle name="Data2" xfId="11"/>
    <cellStyle name="Data5" xfId="12"/>
    <cellStyle name="Header" xfId="13"/>
    <cellStyle name="Hidden" xfId="14"/>
    <cellStyle name="InputDataRow" xfId="15"/>
    <cellStyle name="InputLabelRow" xfId="16"/>
    <cellStyle name="InputPc2Right" xfId="17"/>
    <cellStyle name="InputShortText" xfId="18"/>
    <cellStyle name="InputTextLeft" xfId="19"/>
    <cellStyle name="IntermediateLabelColumn" xfId="20"/>
    <cellStyle name="LabelLeft" xfId="21"/>
    <cellStyle name="LabelRight" xfId="22"/>
    <cellStyle name="Milliers [0]_Open&amp;Close" xfId="23"/>
    <cellStyle name="Milliers_Open&amp;Close" xfId="24"/>
    <cellStyle name="Mon?taire [0]_Open&amp;Close" xfId="25"/>
    <cellStyle name="Mon?taire_Open&amp;Close" xfId="26"/>
    <cellStyle name="Monétaire [0]_Open&amp;Close" xfId="27"/>
    <cellStyle name="Monétaire_Open&amp;Close" xfId="28"/>
    <cellStyle name="Normal" xfId="0" builtinId="0"/>
    <cellStyle name="Normal 2" xfId="29"/>
    <cellStyle name="Normal 2 2" xfId="30"/>
    <cellStyle name="Normal 3" xfId="31"/>
    <cellStyle name="Normal 4" xfId="32"/>
    <cellStyle name="Normal 5" xfId="33"/>
    <cellStyle name="Page 1" xfId="34"/>
    <cellStyle name="Page 2" xfId="35"/>
    <cellStyle name="Page 3" xfId="36"/>
    <cellStyle name="Page 4" xfId="37"/>
    <cellStyle name="Page 5" xfId="38"/>
    <cellStyle name="Page 6" xfId="39"/>
    <cellStyle name="Page 7" xfId="40"/>
    <cellStyle name="Page1" xfId="41"/>
    <cellStyle name="Page2" xfId="42"/>
    <cellStyle name="Page3" xfId="43"/>
    <cellStyle name="Page4" xfId="44"/>
    <cellStyle name="Page5" xfId="45"/>
    <cellStyle name="Page6" xfId="46"/>
    <cellStyle name="Percent" xfId="1" builtinId="5"/>
    <cellStyle name="Percent 2" xfId="47"/>
    <cellStyle name="Percent 3" xfId="48"/>
    <cellStyle name="Percent 4" xfId="49"/>
    <cellStyle name="Percent 5" xfId="50"/>
    <cellStyle name="ResultDateCenter" xfId="51"/>
    <cellStyle name="Style 1" xfId="52"/>
    <cellStyle name="パーセント 2" xfId="53"/>
    <cellStyle name="桁区切り 2" xfId="54"/>
    <cellStyle name="桁区切り_DegitalOption_test" xfId="55"/>
    <cellStyle name="標準 2" xfId="56"/>
    <cellStyle name="標準 3" xfId="57"/>
    <cellStyle name="標準 4" xfId="58"/>
    <cellStyle name="標準_examplePortfolio" xfId="59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7.541562501723412</v>
        <stp/>
        <stp>##V3_BDPV12</stp>
        <stp>GG7293994 Govt</stp>
        <stp>DUR_ADJ_ASK</stp>
        <stp>[BondPricer-0.2.xlsm]GERMAN_BUND_TYPE60!R26C27</stp>
        <stp>YLD_YTM_ASK=0.360555235659435</stp>
        <stp>YAS_YLD_CONV=1</stp>
        <tr r="AA26" s="6"/>
      </tp>
      <tp>
        <v>14.080574940874158</v>
        <stp/>
        <stp>##V3_BDPV12</stp>
        <stp>EC256595 Corp</stp>
        <stp>YAS_RISK</stp>
        <stp>[BondPricer-0.2.xlsm]UK_GILT_TYPE26!R21C24</stp>
        <stp>YLD_YTM_ASK=1.77601028279371</stp>
        <stp>YAS_YLD_CONV=3</stp>
        <tr r="X21" s="13"/>
      </tp>
      <tp>
        <v>6.7390804332774223</v>
        <stp/>
        <stp>##V3_BDPV12</stp>
        <stp>EK799307 Corp</stp>
        <stp>YAS_RISK</stp>
        <stp>[BondPricer-0.2.xlsm]UK_GILT_TYPE26!R15C24</stp>
        <stp>YLD_YTM_ASK=1.30013877426366</stp>
        <stp>YAS_YLD_CONV=3</stp>
        <tr r="X15" s="13"/>
      </tp>
      <tp>
        <v>30.379063187444899</v>
        <stp/>
        <stp>##V3_BDPV12</stp>
        <stp>EH529579 Corp</stp>
        <stp>YAS_RISK</stp>
        <stp>[BondPricer-0.2.xlsm]UK_GILT_TYPE26!R34C24</stp>
        <stp>YLD_YTM_ASK=2.00453470544072</stp>
        <stp>YAS_YLD_CONV=3</stp>
        <tr r="X34" s="13"/>
      </tp>
      <tp>
        <v>95.812499831015074</v>
        <stp/>
        <stp>##V3_BDPV12</stp>
        <stp>912828U5 Govt</stp>
        <stp>YAS_BOND_PX</stp>
        <stp>[BondPricer-0.2.xlsm]US_TREASURY_TYPE1!R66C20</stp>
        <stp>YAS_BOND_YLD=3.0129219</stp>
        <stp>YAS_YLD_CONV=2</stp>
        <tr r="T66" s="4"/>
      </tp>
      <tp>
        <v>36.18103384049931</v>
        <stp/>
        <stp>##V3_BDPV12</stp>
        <stp>ED946246 Corp</stp>
        <stp>YAS_RISK</stp>
        <stp>[BondPricer-0.2.xlsm]UK_GILT_TYPE26!R36C24</stp>
        <stp>YLD_YTM_ASK=1.96132827628212</stp>
        <stp>YAS_YLD_CONV=3</stp>
        <tr r="X36" s="13"/>
      </tp>
      <tp>
        <v>27.506219251893071</v>
        <stp/>
        <stp>##V3_BDPV12</stp>
        <stp>EF396423 Corp</stp>
        <stp>YAS_RISK</stp>
        <stp>[BondPricer-0.2.xlsm]UK_GILT_TYPE26!R31C24</stp>
        <stp>YLD_YTM_ASK=2.02290536535053</stp>
        <stp>YAS_YLD_CONV=3</stp>
        <tr r="X31" s="13"/>
      </tp>
      <tp>
        <v>12.978342624657557</v>
        <stp/>
        <stp>##V3_BDPV12</stp>
        <stp>EG872949 Corp</stp>
        <stp>YAS_RISK</stp>
        <stp>[BondPricer-0.2.xlsm]UK_GILT_TYPE26!R20C24</stp>
        <stp>YLD_YTM_ASK=1.68177699482798</stp>
        <stp>YAS_YLD_CONV=3</stp>
        <tr r="X20" s="13"/>
      </tp>
      <tp>
        <v>115.788</v>
        <stp/>
        <stp>##V3_BDPV12</stp>
        <stp>EJ6432110 Govt</stp>
        <stp>YAS_BOND_PX</stp>
        <stp>[BondPricer-0.2.xlsm]JAPAN_JGB_TYPE51!R148C20</stp>
        <stp>YAS_BOND_SPL_YLD=0.35</stp>
        <stp>YAS_YLD_CONV=2</stp>
        <tr r="T148" s="7"/>
      </tp>
      <tp>
        <v>132.476</v>
        <stp/>
        <stp>##V3_BDPV12</stp>
        <stp>EF3711449 Govt</stp>
        <stp>YAS_BOND_PX</stp>
        <stp>[BondPricer-0.2.xlsm]JAPAN_JGB_TYPE51!R174C20</stp>
        <stp>YAS_BOND_SPL_YLD=0.48</stp>
        <stp>YAS_YLD_CONV=2</stp>
        <tr r="T174" s="7"/>
      </tp>
      <tp>
        <v>129.55799999999999</v>
        <stp/>
        <stp>##V3_BDPV12</stp>
        <stp>EG1252618 Govt</stp>
        <stp>YAS_BOND_PX</stp>
        <stp>[BondPricer-0.2.xlsm]JAPAN_JGB_TYPE51!R180C20</stp>
        <stp>YAS_BOND_SPL_YLD=0.52</stp>
        <stp>YAS_YLD_CONV=2</stp>
        <tr r="T180" s="7"/>
      </tp>
      <tp>
        <v>2.8329306784204409</v>
        <stp/>
        <stp>##V3_BDPV12</stp>
        <stp>EI7852649 Govt</stp>
        <stp>DUR_ADJ_ASK</stp>
        <stp>[BondPricer-0.2.xlsm]GERMAN_BUND_TYPE60!R9C27</stp>
        <stp>YLD_YTM_ASK=-0.476139101995367</stp>
        <stp>YAS_YLD_CONV=1</stp>
        <tr r="AA9" s="6"/>
      </tp>
      <tp>
        <v>124.64062534093341</v>
        <stp/>
        <stp>##V3_BDPV12</stp>
        <stp>912810PU Govt</stp>
        <stp>YAS_BOND_PX</stp>
        <stp>[BondPricer-0.2.xlsm]US_TREASURY_TYPE1!R98C20</stp>
        <stp>YAS_BOND_YLD=3.2263826</stp>
        <stp>YAS_YLD_CONV=2</stp>
        <tr r="T98" s="4"/>
      </tp>
      <tp>
        <v>72.7459999164723</v>
        <stp/>
        <stp>##V3_BDPV12</stp>
        <stp>CP5088010 Govt</stp>
        <stp>PX_ASK</stp>
        <stp>[BondPricer-0.2.xlsm]ITALIAN_BTPS_TYPE523!R68C22</stp>
        <stp>YAS_BOND_YLD=3.58224404350611</stp>
        <stp>YAS_YLD_CONV=1</stp>
        <tr r="V68" s="5"/>
      </tp>
      <tp>
        <v>4.244979441724217</v>
        <stp/>
        <stp>##V3_BDPV12</stp>
        <stp>EK0221235 Govt</stp>
        <stp>DUR_ADJ_ASK</stp>
        <stp>[BondPricer-0.2.xlsm]ITALIAN_BTPS_TYPE523!R8C29</stp>
        <stp>YLD_YTM_ASK=3.01412461465169</stp>
        <stp>YAS_YLD_CONV=1</stp>
        <tr r="AC8" s="5"/>
      </tp>
      <tp>
        <v>0.49099999999999927</v>
        <stp/>
        <stp>##V3_BDPV12</stp>
        <stp>EF5597655 Govt</stp>
        <stp>YLD_YTM_ASK</stp>
        <stp>[BondPricer-0.2.xlsm]JAPAN_JGB_TYPE51!R176C13</stp>
        <tr r="M176" s="7"/>
      </tp>
      <tp>
        <v>99.861000000000047</v>
        <stp/>
        <stp>##V3_BDPV12</stp>
        <stp>GG7127267 Govt</stp>
        <stp>YAS_BOND_PX</stp>
        <stp>[BondPricer-0.2.xlsm]FRENCH_BTAN_TYPE89!R39C20</stp>
        <stp>YAS_BOND_YLD=0.0307746092807371</stp>
        <stp>YAS_YLD_CONV=1</stp>
        <tr r="T39" s="8"/>
      </tp>
      <tp>
        <v>0.25899999999999923</v>
        <stp/>
        <stp>##V3_BDPV12</stp>
        <stp>EI7138619 Govt</stp>
        <stp>YLD_YTM_ASK</stp>
        <stp>[BondPricer-0.2.xlsm]JAPAN_JGB_TYPE51!R129C13</stp>
        <tr r="M129" s="7"/>
      </tp>
      <tp>
        <v>72.391999912636578</v>
        <stp/>
        <stp>##V3_BDPV12</stp>
        <stp>EJ4853036 Govt</stp>
        <stp>PX_ASK</stp>
        <stp>[BondPricer-0.2.xlsm]ITALIAN_BTPS_TYPE523!R66C22</stp>
        <stp>YAS_BOND_YLD=3.63814902327777</stp>
        <stp>YAS_YLD_CONV=1</stp>
        <tr r="V66" s="5"/>
      </tp>
      <tp>
        <v>0.624</v>
        <stp/>
        <stp>##V3_BDPV12</stp>
        <stp>EI0048054 Govt</stp>
        <stp>YLD_YTM_ASK</stp>
        <stp>[BondPricer-0.2.xlsm]JAPAN_JGB_TYPE51!R187C13</stp>
        <tr r="M187" s="7"/>
      </tp>
      <tp>
        <v>15.537606078753246</v>
        <stp/>
        <stp>##V3_BDPV12</stp>
        <stp>EI291005 Corp</stp>
        <stp>DUR_ADJ_ASK</stp>
        <stp>[BondPricer-0.2.xlsm]UK_GILT_TYPE26!R27C28</stp>
        <stp>YLD_YTM_ASK=1.98820271080695</stp>
        <stp>YAS_YLD_CONV=3</stp>
        <tr r="AB27" s="13"/>
      </tp>
      <tp>
        <v>18.284284274796494</v>
        <stp/>
        <stp>##V3_BDPV12</stp>
        <stp>EK333934 Corp</stp>
        <stp>DUR_ADJ_ASK</stp>
        <stp>[BondPricer-0.2.xlsm]UK_GILT_TYPE26!R30C28</stp>
        <stp>YLD_YTM_ASK=2.03534237041425</stp>
        <stp>YAS_YLD_CONV=3</stp>
        <tr r="AB30" s="13"/>
      </tp>
      <tp>
        <v>0.19400000000000134</v>
        <stp/>
        <stp>##V3_BDPV12</stp>
        <stp>EI1908785 Govt</stp>
        <stp>YLD_YTM_ASK</stp>
        <stp>[BondPricer-0.2.xlsm]JAPAN_JGB_TYPE51!R115C13</stp>
        <tr r="M115" s="7"/>
      </tp>
      <tp>
        <v>0.11399999999999968</v>
        <stp/>
        <stp>##V3_BDPV12</stp>
        <stp>EH4829006 Govt</stp>
        <stp>YLD_YTM_ASK</stp>
        <stp>[BondPricer-0.2.xlsm]JAPAN_JGB_TYPE51!R100C13</stp>
        <tr r="M100" s="7"/>
      </tp>
      <tp>
        <v>62.47499999999166</v>
        <stp/>
        <stp>##V3_BDPV12</stp>
        <stp>EJ4853432 Govt</stp>
        <stp>PX_ASK</stp>
        <stp>[BondPricer-0.2.xlsm]ITALIAN_BTPS_TYPE523!R98C22</stp>
        <stp>YAS_BOND_YLD=3.82139234909959</stp>
        <stp>YAS_YLD_CONV=1</stp>
        <tr r="V98" s="5"/>
      </tp>
      <tp>
        <v>77.413999981904126</v>
        <stp/>
        <stp>##V3_BDPV12</stp>
        <stp>EK0222019 Govt</stp>
        <stp>PX_ASK</stp>
        <stp>[BondPricer-0.2.xlsm]ITALIAN_BTPS_TYPE523!R45C22</stp>
        <stp>YAS_BOND_YLD=3.53185643722527</stp>
        <stp>YAS_YLD_CONV=1</stp>
        <tr r="V45" s="5"/>
      </tp>
      <tp>
        <v>62.74999999999136</v>
        <stp/>
        <stp>##V3_BDPV12</stp>
        <stp>EC2918448 Govt</stp>
        <stp>PX_ASK</stp>
        <stp>[BondPricer-0.2.xlsm]ITALIAN_BTPS_TYPE523!R99C22</stp>
        <stp>YAS_BOND_YLD=3.78504563266362</stp>
        <stp>YAS_YLD_CONV=1</stp>
        <tr r="V99" s="5"/>
      </tp>
      <tp>
        <v>106.76599999921014</v>
        <stp/>
        <stp>##V3_BDPV12</stp>
        <stp>EJ7704418 Govt</stp>
        <stp>PX_ASK</stp>
        <stp>[BondPricer-0.2.xlsm]ITALIAN_BTPS_TYPE523!R24C22</stp>
        <stp>YAS_BOND_YLD=3.14600443096933</stp>
        <stp>YAS_YLD_CONV=1</stp>
        <tr r="V24" s="5"/>
      </tp>
      <tp>
        <v>6.621717508285351</v>
        <stp/>
        <stp>##V3_BDPV12</stp>
        <stp>AF2056345 Govt</stp>
        <stp>DUR_ADJ_ASK</stp>
        <stp>[BondPricer-0.2.xlsm]GERMAN_BUND_TYPE60!R21C27</stp>
        <stp>YLD_YTM_ASK=0.126674407037317</stp>
        <stp>YAS_YLD_CONV=1</stp>
        <tr r="AA21" s="6"/>
      </tp>
      <tp>
        <v>7.8072522582931123</v>
        <stp/>
        <stp>##V3_BDPV12</stp>
        <stp>LW7430652 Govt</stp>
        <stp>DUR_ADJ_ASK</stp>
        <stp>[BondPricer-0.2.xlsm]GERMAN_BUND_TYPE60!R23C27</stp>
        <stp>YLD_YTM_ASK=0.258043767402572</stp>
        <stp>YAS_YLD_CONV=1</stp>
        <tr r="AA23" s="6"/>
      </tp>
      <tp>
        <v>162.56400000082294</v>
        <stp/>
        <stp>##V3_BDPV12</stp>
        <stp>EC2153012 Govt</stp>
        <stp>YAS_BOND_PX</stp>
        <stp>[BondPricer-0.2.xlsm]GERMAN_BUND_TYPE60!R28C20</stp>
        <stp>YAS_BOND_YLD=0.50005262511657</stp>
        <stp>YAS_YLD_CONV=1</stp>
        <tr r="T28" s="6"/>
      </tp>
      <tp>
        <v>7.1304039920867979</v>
        <stp/>
        <stp>##V3_BDPV12</stp>
        <stp>ED9861136 Govt</stp>
        <stp>YAS_RISK</stp>
        <stp>[BondPricer-0.2.xlsm]JAPAN_JGB_TYPE51!R70C25</stp>
        <stp>YLD_YTM_ASK=-0.00299999999999979</stp>
        <stp>YAS_YLD_CONV=3</stp>
        <tr r="Y70" s="7"/>
      </tp>
      <tp>
        <v>7.1777320575982628</v>
        <stp/>
        <stp>##V3_BDPV12</stp>
        <stp>EF0693129 Govt</stp>
        <stp>YAS_RISK</stp>
        <stp>[BondPricer-0.2.xlsm]JAPAN_JGB_TYPE51!R68C25</stp>
        <stp>YLD_YTM_ASK=-0.00199999999999926</stp>
        <stp>YAS_YLD_CONV=3</stp>
        <tr r="Y68" s="7"/>
      </tp>
      <tp>
        <v>3.1552357999999998</v>
        <stp/>
        <stp>##V3_BDPV12</stp>
        <stp>912810FJ Govt</stp>
        <stp>YLD_YTM_ASK</stp>
        <stp>[BondPricer-0.2.xlsm]US_TREASURY_TYPE1!R93C13</stp>
        <tr r="M93" s="4"/>
      </tp>
      <tp>
        <v>3.1605192</v>
        <stp/>
        <stp>##V3_BDPV12</stp>
        <stp>912810FM Govt</stp>
        <stp>YLD_YTM_ASK</stp>
        <stp>[BondPricer-0.2.xlsm]US_TREASURY_TYPE1!R94C13</stp>
        <tr r="M94" s="4"/>
      </tp>
      <tp>
        <v>3.1516677999999998</v>
        <stp/>
        <stp>##V3_BDPV12</stp>
        <stp>912810FF Govt</stp>
        <stp>YLD_YTM_ASK</stp>
        <stp>[BondPricer-0.2.xlsm]US_TREASURY_TYPE1!R91C13</stp>
        <tr r="M91" s="4"/>
      </tp>
      <tp>
        <v>3.1463891999999998</v>
        <stp/>
        <stp>##V3_BDPV12</stp>
        <stp>912810FE Govt</stp>
        <stp>YLD_YTM_ASK</stp>
        <stp>[BondPricer-0.2.xlsm]US_TREASURY_TYPE1!R90C13</stp>
        <tr r="M90" s="4"/>
      </tp>
      <tp>
        <v>3.1485979999999998</v>
        <stp/>
        <stp>##V3_BDPV12</stp>
        <stp>912810FG Govt</stp>
        <stp>YLD_YTM_ASK</stp>
        <stp>[BondPricer-0.2.xlsm]US_TREASURY_TYPE1!R92C13</stp>
        <tr r="M92" s="4"/>
      </tp>
      <tp>
        <v>3.2192954999999999</v>
        <stp/>
        <stp>##V3_BDPV12</stp>
        <stp>912810FT Govt</stp>
        <stp>YLD_YTM_ASK</stp>
        <stp>[BondPricer-0.2.xlsm]US_TREASURY_TYPE1!R96C13</stp>
        <tr r="M96" s="4"/>
      </tp>
      <tp>
        <v>3.1697940999999998</v>
        <stp/>
        <stp>##V3_BDPV12</stp>
        <stp>912810FP Govt</stp>
        <stp>YLD_YTM_ASK</stp>
        <stp>[BondPricer-0.2.xlsm]US_TREASURY_TYPE1!R95C13</stp>
        <tr r="M95" s="4"/>
      </tp>
      <tp>
        <v>3.1297245</v>
        <stp/>
        <stp>##V3_BDPV12</stp>
        <stp>912810FB Govt</stp>
        <stp>YLD_YTM_ASK</stp>
        <stp>[BondPricer-0.2.xlsm]US_TREASURY_TYPE1!R89C13</stp>
        <tr r="M89" s="4"/>
      </tp>
      <tp>
        <v>3.1180892999999998</v>
        <stp/>
        <stp>##V3_BDPV12</stp>
        <stp>912810FA Govt</stp>
        <stp>YLD_YTM_ASK</stp>
        <stp>[BondPricer-0.2.xlsm]US_TREASURY_TYPE1!R88C13</stp>
        <tr r="M88" s="4"/>
      </tp>
      <tp>
        <v>3.0780970000000001</v>
        <stp/>
        <stp>##V3_BDPV12</stp>
        <stp>912810EX Govt</stp>
        <stp>YLD_YTM_ASK</stp>
        <stp>[BondPricer-0.2.xlsm]US_TREASURY_TYPE1!R82C13</stp>
        <tr r="M82" s="4"/>
      </tp>
      <tp>
        <v>3.0850092999999998</v>
        <stp/>
        <stp>##V3_BDPV12</stp>
        <stp>912810EZ Govt</stp>
        <stp>YLD_YTM_ASK</stp>
        <stp>[BondPricer-0.2.xlsm]US_TREASURY_TYPE1!R86C13</stp>
        <tr r="M86" s="4"/>
      </tp>
      <tp>
        <v>3.0861418999999999</v>
        <stp/>
        <stp>##V3_BDPV12</stp>
        <stp>912810EY Govt</stp>
        <stp>YLD_YTM_ASK</stp>
        <stp>[BondPricer-0.2.xlsm]US_TREASURY_TYPE1!R84C13</stp>
        <tr r="M84" s="4"/>
      </tp>
      <tp>
        <v>2.9733209999999999</v>
        <stp/>
        <stp>##V3_BDPV12</stp>
        <stp>912810EQ Govt</stp>
        <stp>YLD_YTM_ASK</stp>
        <stp>[BondPricer-0.2.xlsm]US_TREASURY_TYPE1!R60C13</stp>
        <tr r="M60" s="4"/>
      </tp>
      <tp>
        <v>3.0665388999999998</v>
        <stp/>
        <stp>##V3_BDPV12</stp>
        <stp>912810EW Govt</stp>
        <stp>YLD_YTM_ASK</stp>
        <stp>[BondPricer-0.2.xlsm]US_TREASURY_TYPE1!R79C13</stp>
        <tr r="M79" s="4"/>
      </tp>
      <tp>
        <v>3.0612434999999998</v>
        <stp/>
        <stp>##V3_BDPV12</stp>
        <stp>912810EV Govt</stp>
        <stp>YLD_YTM_ASK</stp>
        <stp>[BondPricer-0.2.xlsm]US_TREASURY_TYPE1!R76C13</stp>
        <tr r="M76" s="4"/>
      </tp>
      <tp>
        <v>3.2462300000000002</v>
        <stp/>
        <stp>##V3_BDPV12</stp>
        <stp>912810PW Govt</stp>
        <stp>YLD_YTM_ASK</stp>
        <stp>[BondPricer-0.2.xlsm]US_TREASURY_TYPE1!R99C13</stp>
        <tr r="M99" s="4"/>
      </tp>
      <tp>
        <v>3.2283376000000001</v>
        <stp/>
        <stp>##V3_BDPV12</stp>
        <stp>912810PU Govt</stp>
        <stp>YLD_YTM_ASK</stp>
        <stp>[BondPricer-0.2.xlsm]US_TREASURY_TYPE1!R98C13</stp>
        <tr r="M98" s="4"/>
      </tp>
      <tp>
        <v>3.2275882999999999</v>
        <stp/>
        <stp>##V3_BDPV12</stp>
        <stp>912810PT Govt</stp>
        <stp>YLD_YTM_ASK</stp>
        <stp>[BondPricer-0.2.xlsm]US_TREASURY_TYPE1!R97C13</stp>
        <tr r="M97" s="4"/>
      </tp>
      <tp>
        <v>102.717</v>
        <stp/>
        <stp>##V3_BDPV12</stp>
        <stp>EK9515322 Govt</stp>
        <stp>YAS_BOND_PX</stp>
        <stp>[BondPricer-0.2.xlsm]JAPAN_JGB_TYPE51!R67C20</stp>
        <stp>YAS_BOND_SPL_YLD=-0.00699999999999945</stp>
        <stp>YAS_YLD_CONV=2</stp>
        <tr r="T67" s="7"/>
      </tp>
      <tp>
        <v>31.128676377171871</v>
        <stp/>
        <stp>##V3_BDPV12</stp>
        <stp>EI825311 Corp</stp>
        <stp>YAS_RISK</stp>
        <stp>[BondPricer-0.2.xlsm]UK_GILT_TYPE26!R35C24</stp>
        <stp>YLD_YTM_ASK=1.97787298230267</stp>
        <stp>YAS_YLD_CONV=3</stp>
        <tr r="X35" s="13"/>
      </tp>
      <tp>
        <v>94.710937527633291</v>
        <stp/>
        <stp>##V3_BDPV12</stp>
        <stp>912828VB Govt</stp>
        <stp>YAS_BOND_PX</stp>
        <stp>[BondPricer-0.2.xlsm]US_TREASURY_TYPE1!R56C20</stp>
        <stp>YAS_BOND_YLD=2.9938118</stp>
        <stp>YAS_YLD_CONV=2</stp>
        <tr r="T56" s="4"/>
      </tp>
      <tp>
        <v>116.1249993705225</v>
        <stp/>
        <stp>##V3_BDPV12</stp>
        <stp>912810PW Govt</stp>
        <stp>YAS_BOND_PX</stp>
        <stp>[BondPricer-0.2.xlsm]US_TREASURY_TYPE1!R99C20</stp>
        <stp>YAS_BOND_YLD=3.2452343</stp>
        <stp>YAS_YLD_CONV=2</stp>
        <tr r="T99" s="4"/>
      </tp>
      <tp>
        <v>107.82200000001559</v>
        <stp/>
        <stp>##V3_BDPV12</stp>
        <stp>EI8792380 Govt</stp>
        <stp>YAS_BOND_PX</stp>
        <stp>[BondPricer-0.2.xlsm]GERMAN_BUND_TYPE60!R10C20</stp>
        <stp>YAS_BOND_YLD=-0.410645875972094</stp>
        <stp>YAS_YLD_CONV=1</stp>
        <tr r="T10" s="6"/>
      </tp>
      <tp>
        <v>87.559999999848401</v>
        <stp/>
        <stp>##V3_BDPV12</stp>
        <stp>CP5087921 Govt</stp>
        <stp>PX_ASK</stp>
        <stp>[BondPricer-0.2.xlsm]ITALIAN_BTPS_TYPE523!R13C22</stp>
        <stp>YAS_BOND_YLD=2.96704642830541</stp>
        <stp>YAS_YLD_CONV=1</stp>
        <tr r="V13" s="5"/>
      </tp>
      <tp>
        <v>80.697999994354404</v>
        <stp/>
        <stp>##V3_BDPV12</stp>
        <stp>CP5087962 Govt</stp>
        <stp>PX_ASK</stp>
        <stp>[BondPricer-0.2.xlsm]ITALIAN_BTPS_TYPE523!R37C22</stp>
        <stp>YAS_BOND_YLD=3.33170523342667</stp>
        <stp>YAS_YLD_CONV=1</stp>
        <tr r="V37" s="5"/>
      </tp>
      <tp>
        <v>0.63400000000000023</v>
        <stp/>
        <stp>##V3_BDPV12</stp>
        <stp>EI1819230 Govt</stp>
        <stp>YLD_YTM_ASK</stp>
        <stp>[BondPricer-0.2.xlsm]JAPAN_JGB_TYPE51!R188C13</stp>
        <tr r="M188" s="7"/>
      </tp>
      <tp>
        <v>2.8875264</v>
        <stp/>
        <stp>##V3_BDPV12</stp>
        <stp>912828PX Govt</stp>
        <stp>YLD_YTM_ASK</stp>
        <stp>[BondPricer-0.2.xlsm]US_TREASURY_TYPE1!R9C13</stp>
        <tr r="M9" s="4"/>
      </tp>
      <tp>
        <v>28.973411489718448</v>
        <stp/>
        <stp>##V3_BDPV12</stp>
        <stp>QJ158195 Corp</stp>
        <stp>DUR_ADJ_ASK</stp>
        <stp>[BondPricer-0.2.xlsm]UK_GILT_TYPE26!R39C28</stp>
        <stp>YLD_YTM_ASK=1.92894223126473</stp>
        <stp>YAS_YLD_CONV=3</stp>
        <tr r="AB39" s="13"/>
      </tp>
      <tp>
        <v>0.52800000000000014</v>
        <stp/>
        <stp>##V3_BDPV12</stp>
        <stp>EG3757374 Govt</stp>
        <stp>YLD_YTM_ASK</stp>
        <stp>[BondPricer-0.2.xlsm]JAPAN_JGB_TYPE51!R182C13</stp>
        <tr r="M182" s="7"/>
      </tp>
      <tp>
        <v>7.6965990072955162</v>
        <stp/>
        <stp>##V3_BDPV12</stp>
        <stp>EF670373 Corp</stp>
        <stp>DUR_ADJ_ASK</stp>
        <stp>[BondPricer-0.2.xlsm]UK_GILT_TYPE26!R18C28</stp>
        <stp>YLD_YTM_ASK=1.46173970534642</stp>
        <stp>YAS_YLD_CONV=3</stp>
        <tr r="AB18" s="13"/>
      </tp>
      <tp>
        <v>5.5883069161996062</v>
        <stp/>
        <stp>##V3_BDPV12</stp>
        <stp>EC453273 Corp</stp>
        <stp>DUR_ADJ_ASK</stp>
        <stp>[BondPricer-0.2.xlsm]UK_GILT_TYPE26!R14C28</stp>
        <stp>YLD_YTM_ASK=1.26973173438745</stp>
        <stp>YAS_YLD_CONV=3</stp>
        <tr r="AB14" s="13"/>
      </tp>
      <tp>
        <v>0.45800000000000113</v>
        <stp/>
        <stp>##V3_BDPV12</stp>
        <stp>EF1386525 Govt</stp>
        <stp>YLD_YTM_ASK</stp>
        <stp>[BondPricer-0.2.xlsm]JAPAN_JGB_TYPE51!R170C13</stp>
        <tr r="M170" s="7"/>
      </tp>
      <tp>
        <v>107.80999998883642</v>
        <stp/>
        <stp>##V3_BDPV12</stp>
        <stp>EI4153199 Govt</stp>
        <stp>PX_ASK</stp>
        <stp>[BondPricer-0.2.xlsm]ITALIAN_BTPS_TYPE523!R44C22</stp>
        <stp>YAS_BOND_YLD=3.32352025230087</stp>
        <stp>YAS_YLD_CONV=1</stp>
        <tr r="V44" s="5"/>
      </tp>
      <tp>
        <v>16.366386936047284</v>
        <stp/>
        <stp>##V3_BDPV12</stp>
        <stp>EG506481 Corp</stp>
        <stp>DUR_ADJ_ASK</stp>
        <stp>[BondPricer-0.2.xlsm]UK_GILT_TYPE26!R28C28</stp>
        <stp>YLD_YTM_ASK=2.00385113315829</stp>
        <stp>YAS_YLD_CONV=3</stp>
        <tr r="AB28" s="13"/>
      </tp>
      <tp>
        <v>83.085999998029777</v>
        <stp/>
        <stp>##V3_BDPV12</stp>
        <stp>EK0221839 Govt</stp>
        <stp>PX_ASK</stp>
        <stp>[BondPricer-0.2.xlsm]ITALIAN_BTPS_TYPE523!R30C22</stp>
        <stp>YAS_BOND_YLD=3.20382105815797</stp>
        <stp>YAS_YLD_CONV=1</stp>
        <tr r="V30" s="5"/>
      </tp>
      <tp>
        <v>107.97899999979687</v>
        <stp/>
        <stp>##V3_BDPV12</stp>
        <stp>EH3056924 Govt</stp>
        <stp>PX_ASK</stp>
        <stp>[BondPricer-0.2.xlsm]ITALIAN_BTPS_TYPE523!R14C22</stp>
        <stp>YAS_BOND_YLD=2.97238769829009</stp>
        <stp>YAS_YLD_CONV=1</stp>
        <tr r="V14" s="5"/>
      </tp>
      <tp>
        <v>0.43500000000000028</v>
        <stp/>
        <stp>##V3_BDPV12</stp>
        <stp>ED9034742 Govt</stp>
        <stp>YLD_YTM_ASK</stp>
        <stp>[BondPricer-0.2.xlsm]JAPAN_JGB_TYPE51!R166C13</stp>
        <tr r="M166" s="7"/>
      </tp>
      <tp>
        <v>24.365547346054221</v>
        <stp/>
        <stp>##V3_BDPV12</stp>
        <stp>EH998789 Corp</stp>
        <stp>DUR_ADJ_ASK</stp>
        <stp>[BondPricer-0.2.xlsm]UK_GILT_TYPE26!R38C28</stp>
        <stp>YLD_YTM_ASK=1.94112399410243</stp>
        <stp>YAS_YLD_CONV=3</stp>
        <tr r="AB38" s="13"/>
      </tp>
      <tp>
        <v>17.954239964388726</v>
        <stp/>
        <stp>##V3_BDPV12</stp>
        <stp>EI3229347 Govt</stp>
        <stp>DUR_ADJ_ASK</stp>
        <stp>[BondPricer-0.2.xlsm]GERMAN_BUND_TYPE60!R34C27</stp>
        <stp>YLD_YTM_ASK=0.978813299771482</stp>
        <stp>YAS_YLD_CONV=1</stp>
        <tr r="AA34" s="6"/>
      </tp>
      <tp>
        <v>13.927612044555861</v>
        <stp/>
        <stp>##V3_BDPV12</stp>
        <stp>ED7838094 Govt</stp>
        <stp>DUR_ADJ_ASK</stp>
        <stp>[BondPricer-0.2.xlsm]GERMAN_BUND_TYPE60!R31C27</stp>
        <stp>YLD_YTM_ASK=0.846381334487573</stp>
        <stp>YAS_YLD_CONV=1</stp>
        <tr r="AA31" s="6"/>
      </tp>
      <tp>
        <v>2.9443888</v>
        <stp/>
        <stp>##V3_BDPV12</stp>
        <stp>912828H8 Govt</stp>
        <stp>YLD_YTM_ASK</stp>
        <stp>[BondPricer-0.2.xlsm]US_TREASURY_TYPE1!R34C13</stp>
        <tr r="M34" s="4"/>
      </tp>
      <tp>
        <v>3.1061717999999998</v>
        <stp/>
        <stp>##V3_BDPV12</stp>
        <stp>912828M5 Govt</stp>
        <stp>YLD_YTM_ASK</stp>
        <stp>[BondPricer-0.2.xlsm]US_TREASURY_TYPE1!R78C13</stp>
        <tr r="M78" s="4"/>
      </tp>
      <tp>
        <v>2.9518447000000001</v>
        <stp/>
        <stp>##V3_BDPV12</stp>
        <stp>912828J7 Govt</stp>
        <stp>YLD_YTM_ASK</stp>
        <stp>[BondPricer-0.2.xlsm]US_TREASURY_TYPE1!R39C13</stp>
        <tr r="M39" s="4"/>
      </tp>
      <tp>
        <v>2.9741068999999998</v>
        <stp/>
        <stp>##V3_BDPV12</stp>
        <stp>912828M4 Govt</stp>
        <stp>YLD_YTM_ASK</stp>
        <stp>[BondPricer-0.2.xlsm]US_TREASURY_TYPE1!R48C13</stp>
        <tr r="M48" s="4"/>
      </tp>
      <tp>
        <v>2.9453141</v>
        <stp/>
        <stp>##V3_BDPV12</stp>
        <stp>912828J4 Govt</stp>
        <stp>YLD_YTM_ASK</stp>
        <stp>[BondPricer-0.2.xlsm]US_TREASURY_TYPE1!R37C13</stp>
        <tr r="M37" s="4"/>
      </tp>
      <tp>
        <v>2.9810910000000002</v>
        <stp/>
        <stp>##V3_BDPV12</stp>
        <stp>912828M8 Govt</stp>
        <stp>YLD_YTM_ASK</stp>
        <stp>[BondPricer-0.2.xlsm]US_TREASURY_TYPE1!R50C13</stp>
        <tr r="M50" s="4"/>
      </tp>
      <tp>
        <v>2.9724037999999999</v>
        <stp/>
        <stp>##V3_BDPV12</stp>
        <stp>912828L5 Govt</stp>
        <stp>YLD_YTM_ASK</stp>
        <stp>[BondPricer-0.2.xlsm]US_TREASURY_TYPE1!R47C13</stp>
        <tr r="M47" s="4"/>
      </tp>
      <tp>
        <v>2.9713608000000002</v>
        <stp/>
        <stp>##V3_BDPV12</stp>
        <stp>912828L2 Govt</stp>
        <stp>YLD_YTM_ASK</stp>
        <stp>[BondPricer-0.2.xlsm]US_TREASURY_TYPE1!R46C13</stp>
        <tr r="M46" s="4"/>
      </tp>
      <tp>
        <v>3.0772526999999998</v>
        <stp/>
        <stp>##V3_BDPV12</stp>
        <stp>912828J2 Govt</stp>
        <stp>YLD_YTM_ASK</stp>
        <stp>[BondPricer-0.2.xlsm]US_TREASURY_TYPE1!R74C13</stp>
        <tr r="M74" s="4"/>
      </tp>
      <tp>
        <v>3.0958871000000001</v>
        <stp/>
        <stp>##V3_BDPV12</stp>
        <stp>912828K7 Govt</stp>
        <stp>YLD_YTM_ASK</stp>
        <stp>[BondPricer-0.2.xlsm]US_TREASURY_TYPE1!R77C13</stp>
        <tr r="M77" s="4"/>
      </tp>
      <tp>
        <v>2.8947571000000001</v>
        <stp/>
        <stp>##V3_BDPV12</stp>
        <stp>912828B9 Govt</stp>
        <stp>YLD_YTM_ASK</stp>
        <stp>[BondPricer-0.2.xlsm]US_TREASURY_TYPE1!R11C13</stp>
        <tr r="M11" s="4"/>
      </tp>
      <tp>
        <v>3.0535329</v>
        <stp/>
        <stp>##V3_BDPV12</stp>
        <stp>912828D5 Govt</stp>
        <stp>YLD_YTM_ASK</stp>
        <stp>[BondPricer-0.2.xlsm]US_TREASURY_TYPE1!R72C13</stp>
        <tr r="M72" s="4"/>
      </tp>
      <tp>
        <v>2.8968126999999999</v>
        <stp/>
        <stp>##V3_BDPV12</stp>
        <stp>912828C5 Govt</stp>
        <stp>YLD_YTM_ASK</stp>
        <stp>[BondPricer-0.2.xlsm]US_TREASURY_TYPE1!R13C13</stp>
        <tr r="M13" s="4"/>
      </tp>
      <tp>
        <v>3.0650607999999999</v>
        <stp/>
        <stp>##V3_BDPV12</stp>
        <stp>912828G3 Govt</stp>
        <stp>YLD_YTM_ASK</stp>
        <stp>[BondPricer-0.2.xlsm]US_TREASURY_TYPE1!R73C13</stp>
        <tr r="M73" s="4"/>
      </tp>
      <tp>
        <v>2.9216233000000003</v>
        <stp/>
        <stp>##V3_BDPV12</stp>
        <stp>912828D7 Govt</stp>
        <stp>YLD_YTM_ASK</stp>
        <stp>[BondPricer-0.2.xlsm]US_TREASURY_TYPE1!R24C13</stp>
        <tr r="M24" s="4"/>
      </tp>
      <tp>
        <v>2.9393598999999999</v>
        <stp/>
        <stp>##V3_BDPV12</stp>
        <stp>912828G8 Govt</stp>
        <stp>YLD_YTM_ASK</stp>
        <stp>[BondPricer-0.2.xlsm]US_TREASURY_TYPE1!R32C13</stp>
        <tr r="M32" s="4"/>
      </tp>
      <tp>
        <v>3.0211106999999999</v>
        <stp/>
        <stp>##V3_BDPV12</stp>
        <stp>912828B6 Govt</stp>
        <stp>YLD_YTM_ASK</stp>
        <stp>[BondPricer-0.2.xlsm]US_TREASURY_TYPE1!R69C13</stp>
        <tr r="M69" s="4"/>
      </tp>
      <tp>
        <v>2.9327953999999998</v>
        <stp/>
        <stp>##V3_BDPV12</stp>
        <stp>912828F9 Govt</stp>
        <stp>YLD_YTM_ASK</stp>
        <stp>[BondPricer-0.2.xlsm]US_TREASURY_TYPE1!R28C13</stp>
        <tr r="M28" s="4"/>
      </tp>
      <tp>
        <v>2.9248604999999999</v>
        <stp/>
        <stp>##V3_BDPV12</stp>
        <stp>912828F2 Govt</stp>
        <stp>YLD_YTM_ASK</stp>
        <stp>[BondPricer-0.2.xlsm]US_TREASURY_TYPE1!R26C13</stp>
        <tr r="M26" s="4"/>
      </tp>
      <tp>
        <v>2.9289969</v>
        <stp/>
        <stp>##V3_BDPV12</stp>
        <stp>912828G5 Govt</stp>
        <stp>YLD_YTM_ASK</stp>
        <stp>[BondPricer-0.2.xlsm]US_TREASURY_TYPE1!R31C13</stp>
        <tr r="M31" s="4"/>
      </tp>
      <tp>
        <v>3.1209413000000001</v>
        <stp/>
        <stp>##V3_BDPV12</stp>
        <stp>912828R3 Govt</stp>
        <stp>YLD_YTM_ASK</stp>
        <stp>[BondPricer-0.2.xlsm]US_TREASURY_TYPE1!R81C13</stp>
        <tr r="M81" s="4"/>
      </tp>
      <tp>
        <v>3.1153963</v>
        <stp/>
        <stp>##V3_BDPV12</stp>
        <stp>912828P4 Govt</stp>
        <stp>YLD_YTM_ASK</stp>
        <stp>[BondPricer-0.2.xlsm]US_TREASURY_TYPE1!R80C13</stp>
        <tr r="M80" s="4"/>
      </tp>
      <tp>
        <v>3.0836092000000002</v>
        <stp/>
        <stp>##V3_BDPV12</stp>
        <stp>912828XB Govt</stp>
        <stp>YLD_YTM_ASK</stp>
        <stp>[BondPricer-0.2.xlsm]US_TREASURY_TYPE1!R75C13</stp>
        <tr r="M75" s="4"/>
      </tp>
      <tp>
        <v>3.1381074999999998</v>
        <stp/>
        <stp>##V3_BDPV12</stp>
        <stp>912828V9 Govt</stp>
        <stp>YLD_YTM_ASK</stp>
        <stp>[BondPricer-0.2.xlsm]US_TREASURY_TYPE1!R87C13</stp>
        <tr r="M87" s="4"/>
      </tp>
      <tp>
        <v>3.1347491000000001</v>
        <stp/>
        <stp>##V3_BDPV12</stp>
        <stp>912828U2 Govt</stp>
        <stp>YLD_YTM_ASK</stp>
        <stp>[BondPricer-0.2.xlsm]US_TREASURY_TYPE1!R85C13</stp>
        <tr r="M85" s="4"/>
      </tp>
      <tp>
        <v>2.9577398000000001</v>
        <stp/>
        <stp>##V3_BDPV12</stp>
        <stp>912828XD Govt</stp>
        <stp>YLD_YTM_ASK</stp>
        <stp>[BondPricer-0.2.xlsm]US_TREASURY_TYPE1!R42C13</stp>
        <tr r="M42" s="4"/>
      </tp>
      <tp>
        <v>2.9558179</v>
        <stp/>
        <stp>##V3_BDPV12</stp>
        <stp>912828XG Govt</stp>
        <stp>YLD_YTM_ASK</stp>
        <stp>[BondPricer-0.2.xlsm]US_TREASURY_TYPE1!R43C13</stp>
        <tr r="M43" s="4"/>
      </tp>
      <tp>
        <v>2.9604423999999998</v>
        <stp/>
        <stp>##V3_BDPV12</stp>
        <stp>912828XQ Govt</stp>
        <stp>YLD_YTM_ASK</stp>
        <stp>[BondPricer-0.2.xlsm]US_TREASURY_TYPE1!R44C13</stp>
        <tr r="M44" s="4"/>
      </tp>
      <tp>
        <v>3.0163177000000001</v>
        <stp/>
        <stp>##V3_BDPV12</stp>
        <stp>912828U5 Govt</stp>
        <stp>YLD_YTM_ASK</stp>
        <stp>[BondPricer-0.2.xlsm]US_TREASURY_TYPE1!R66C13</stp>
        <tr r="M66" s="4"/>
      </tp>
      <tp>
        <v>2.9072667999999999</v>
        <stp/>
        <stp>##V3_BDPV12</stp>
        <stp>912828R7 Govt</stp>
        <stp>YLD_YTM_ASK</stp>
        <stp>[BondPricer-0.2.xlsm]US_TREASURY_TYPE1!R16C13</stp>
        <tr r="M16" s="4"/>
      </tp>
      <tp>
        <v>2.9976026</v>
        <stp/>
        <stp>##V3_BDPV12</stp>
        <stp>912828VB Govt</stp>
        <stp>YLD_YTM_ASK</stp>
        <stp>[BondPricer-0.2.xlsm]US_TREASURY_TYPE1!R56C13</stp>
        <tr r="M56" s="4"/>
      </tp>
      <tp>
        <v>2.9550255999999999</v>
        <stp/>
        <stp>##V3_BDPV12</stp>
        <stp>912828WZ Govt</stp>
        <stp>YLD_YTM_ASK</stp>
        <stp>[BondPricer-0.2.xlsm]US_TREASURY_TYPE1!R40C13</stp>
        <tr r="M40" s="4"/>
      </tp>
      <tp>
        <v>2.9079237</v>
        <stp/>
        <stp>##V3_BDPV12</stp>
        <stp>912828S2 Govt</stp>
        <stp>YLD_YTM_ASK</stp>
        <stp>[BondPricer-0.2.xlsm]US_TREASURY_TYPE1!R18C13</stp>
        <tr r="M18" s="4"/>
      </tp>
      <tp>
        <v>3.0126732000000001</v>
        <stp/>
        <stp>##V3_BDPV12</stp>
        <stp>912828T9 Govt</stp>
        <stp>YLD_YTM_ASK</stp>
        <stp>[BondPricer-0.2.xlsm]US_TREASURY_TYPE1!R64C13</stp>
        <tr r="M64" s="4"/>
      </tp>
      <tp>
        <v>3.0118968000000002</v>
        <stp/>
        <stp>##V3_BDPV12</stp>
        <stp>912828T2 Govt</stp>
        <stp>YLD_YTM_ASK</stp>
        <stp>[BondPricer-0.2.xlsm]US_TREASURY_TYPE1!R63C13</stp>
        <tr r="M63" s="4"/>
      </tp>
      <tp>
        <v>2.8947908</v>
        <stp/>
        <stp>##V3_BDPV12</stp>
        <stp>912828P8 Govt</stp>
        <stp>YLD_YTM_ASK</stp>
        <stp>[BondPricer-0.2.xlsm]US_TREASURY_TYPE1!R10C13</stp>
        <tr r="M10" s="4"/>
      </tp>
      <tp>
        <v>2.918104</v>
        <stp/>
        <stp>##V3_BDPV12</stp>
        <stp>912828S7 Govt</stp>
        <stp>YLD_YTM_ASK</stp>
        <stp>[BondPricer-0.2.xlsm]US_TREASURY_TYPE1!R20C13</stp>
        <tr r="M20" s="4"/>
      </tp>
      <tp>
        <v>3.0084659999999999</v>
        <stp/>
        <stp>##V3_BDPV12</stp>
        <stp>912828WE Govt</stp>
        <stp>YLD_YTM_ASK</stp>
        <stp>[BondPricer-0.2.xlsm]US_TREASURY_TYPE1!R65C13</stp>
        <tr r="M65" s="4"/>
      </tp>
      <tp>
        <v>2.9004471999999999</v>
        <stp/>
        <stp>##V3_BDPV12</stp>
        <stp>912828Q7 Govt</stp>
        <stp>YLD_YTM_ASK</stp>
        <stp>[BondPricer-0.2.xlsm]US_TREASURY_TYPE1!R14C13</stp>
        <tr r="M14" s="4"/>
      </tp>
      <tp>
        <v>3.0267919000000001</v>
        <stp/>
        <stp>##V3_BDPV12</stp>
        <stp>912828V8 Govt</stp>
        <stp>YLD_YTM_ASK</stp>
        <stp>[BondPricer-0.2.xlsm]US_TREASURY_TYPE1!R68C13</stp>
        <tr r="M68" s="4"/>
      </tp>
      <tp>
        <v>2.8923489</v>
        <stp/>
        <stp>##V3_BDPV12</stp>
        <stp>912828Q3 Govt</stp>
        <stp>YLD_YTM_ASK</stp>
        <stp>[BondPricer-0.2.xlsm]US_TREASURY_TYPE1!R12C13</stp>
        <tr r="M12" s="4"/>
      </tp>
      <tp>
        <v>3.0273913000000001</v>
        <stp/>
        <stp>##V3_BDPV12</stp>
        <stp>912828W4 Govt</stp>
        <stp>YLD_YTM_ASK</stp>
        <stp>[BondPricer-0.2.xlsm]US_TREASURY_TYPE1!R70C13</stp>
        <tr r="M70" s="4"/>
      </tp>
      <tp>
        <v>3.0186201000000001</v>
        <stp/>
        <stp>##V3_BDPV12</stp>
        <stp>912828V2 Govt</stp>
        <stp>YLD_YTM_ASK</stp>
        <stp>[BondPricer-0.2.xlsm]US_TREASURY_TYPE1!R67C13</stp>
        <tr r="M67" s="4"/>
      </tp>
      <tp>
        <v>2.8935108</v>
        <stp/>
        <stp>##V3_BDPV12</stp>
        <stp>912828QN Govt</stp>
        <stp>YLD_YTM_ASK</stp>
        <stp>[BondPricer-0.2.xlsm]US_TREASURY_TYPE1!R15C13</stp>
        <tr r="M15" s="4"/>
      </tp>
      <tp>
        <v>3.037582</v>
        <stp/>
        <stp>##V3_BDPV12</stp>
        <stp>912828WJ Govt</stp>
        <stp>YLD_YTM_ASK</stp>
        <stp>[BondPricer-0.2.xlsm]US_TREASURY_TYPE1!R71C13</stp>
        <tr r="M71" s="4"/>
      </tp>
      <tp>
        <v>2.9647972</v>
        <stp/>
        <stp>##V3_BDPV12</stp>
        <stp>912828TJ Govt</stp>
        <stp>YLD_YTM_ASK</stp>
        <stp>[BondPricer-0.2.xlsm]US_TREASURY_TYPE1!R45C13</stp>
        <tr r="M45" s="4"/>
      </tp>
      <tp>
        <v>2.9890612000000001</v>
        <stp/>
        <stp>##V3_BDPV12</stp>
        <stp>912828UN Govt</stp>
        <stp>YLD_YTM_ASK</stp>
        <stp>[BondPricer-0.2.xlsm]US_TREASURY_TYPE1!R52C13</stp>
        <tr r="M52" s="4"/>
      </tp>
      <tp>
        <v>2.9415</v>
        <stp/>
        <stp>##V3_BDPV12</stp>
        <stp>912828SF Govt</stp>
        <stp>YLD_YTM_ASK</stp>
        <stp>[BondPricer-0.2.xlsm]US_TREASURY_TYPE1!R36C13</stp>
        <tr r="M36" s="4"/>
      </tp>
      <tp>
        <v>2.9145840999999999</v>
        <stp/>
        <stp>##V3_BDPV12</stp>
        <stp>912828RC Govt</stp>
        <stp>YLD_YTM_ASK</stp>
        <stp>[BondPricer-0.2.xlsm]US_TREASURY_TYPE1!R22C13</stp>
        <tr r="M22" s="4"/>
      </tp>
      <tp>
        <v>2.9260742</v>
        <stp/>
        <stp>##V3_BDPV12</stp>
        <stp>912828RR Govt</stp>
        <stp>YLD_YTM_ASK</stp>
        <stp>[BondPricer-0.2.xlsm]US_TREASURY_TYPE1!R29C13</stp>
        <tr r="M29" s="4"/>
      </tp>
      <tp>
        <v>3.0033121</v>
        <stp/>
        <stp>##V3_BDPV12</stp>
        <stp>912828VS Govt</stp>
        <stp>YLD_YTM_ASK</stp>
        <stp>[BondPricer-0.2.xlsm]US_TREASURY_TYPE1!R61C13</stp>
        <tr r="M61" s="4"/>
      </tp>
      <tp>
        <v>2.9778452</v>
        <stp/>
        <stp>##V3_BDPV12</stp>
        <stp>912828TY Govt</stp>
        <stp>YLD_YTM_ASK</stp>
        <stp>[BondPricer-0.2.xlsm]US_TREASURY_TYPE1!R49C13</stp>
        <tr r="M49" s="4"/>
      </tp>
      <tp>
        <v>2.9988305</v>
        <stp/>
        <stp>##V3_BDPV12</stp>
        <stp>912828R6 Govt</stp>
        <stp>YLD_YTM_ASK</stp>
        <stp>[BondPricer-0.2.xlsm]US_TREASURY_TYPE1!R57C13</stp>
        <tr r="M57" s="4"/>
      </tp>
      <tp>
        <v>2.9961514</v>
        <stp/>
        <stp>##V3_BDPV12</stp>
        <stp>912828R2 Govt</stp>
        <stp>YLD_YTM_ASK</stp>
        <stp>[BondPricer-0.2.xlsm]US_TREASURY_TYPE1!R55C13</stp>
        <tr r="M55" s="4"/>
      </tp>
      <tp>
        <v>2.9558018000000001</v>
        <stp/>
        <stp>##V3_BDPV12</stp>
        <stp>912828SV Govt</stp>
        <stp>YLD_YTM_ASK</stp>
        <stp>[BondPricer-0.2.xlsm]US_TREASURY_TYPE1!R41C13</stp>
        <tr r="M41" s="4"/>
      </tp>
      <tp>
        <v>3.0021884999999999</v>
        <stp/>
        <stp>##V3_BDPV12</stp>
        <stp>912828S3 Govt</stp>
        <stp>YLD_YTM_ASK</stp>
        <stp>[BondPricer-0.2.xlsm]US_TREASURY_TYPE1!R58C13</stp>
        <tr r="M58" s="4"/>
      </tp>
      <tp>
        <v>2.943003</v>
        <stp/>
        <stp>##V3_BDPV12</stp>
        <stp>912828U8 Govt</stp>
        <stp>YLD_YTM_ASK</stp>
        <stp>[BondPricer-0.2.xlsm]US_TREASURY_TYPE1!R33C13</stp>
        <tr r="M33" s="4"/>
      </tp>
      <tp>
        <v>3.0058715</v>
        <stp/>
        <stp>##V3_BDPV12</stp>
        <stp>912828S9 Govt</stp>
        <stp>YLD_YTM_ASK</stp>
        <stp>[BondPricer-0.2.xlsm]US_TREASURY_TYPE1!R59C13</stp>
        <tr r="M59" s="4"/>
      </tp>
      <tp>
        <v>2.9347183000000001</v>
        <stp/>
        <stp>##V3_BDPV12</stp>
        <stp>912828T6 Govt</stp>
        <stp>YLD_YTM_ASK</stp>
        <stp>[BondPricer-0.2.xlsm]US_TREASURY_TYPE1!R27C13</stp>
        <tr r="M27" s="4"/>
      </tp>
      <tp>
        <v>2.9279348999999999</v>
        <stp/>
        <stp>##V3_BDPV12</stp>
        <stp>912828T3 Govt</stp>
        <stp>YLD_YTM_ASK</stp>
        <stp>[BondPricer-0.2.xlsm]US_TREASURY_TYPE1!R25C13</stp>
        <tr r="M25" s="4"/>
      </tp>
      <tp>
        <v>2.9359731999999998</v>
        <stp/>
        <stp>##V3_BDPV12</stp>
        <stp>912828U6 Govt</stp>
        <stp>YLD_YTM_ASK</stp>
        <stp>[BondPricer-0.2.xlsm]US_TREASURY_TYPE1!R30C13</stp>
        <tr r="M30" s="4"/>
      </tp>
      <tp>
        <v>2.9059447999999999</v>
        <stp/>
        <stp>##V3_BDPV12</stp>
        <stp>912828WN Govt</stp>
        <stp>YLD_YTM_ASK</stp>
        <stp>[BondPricer-0.2.xlsm]US_TREASURY_TYPE1!R17C13</stp>
        <tr r="M17" s="4"/>
      </tp>
      <tp>
        <v>2.9071112000000001</v>
        <stp/>
        <stp>##V3_BDPV12</stp>
        <stp>912828WR Govt</stp>
        <stp>YLD_YTM_ASK</stp>
        <stp>[BondPricer-0.2.xlsm]US_TREASURY_TYPE1!R19C13</stp>
        <tr r="M19" s="4"/>
      </tp>
      <tp>
        <v>2.9901612000000002</v>
        <stp/>
        <stp>##V3_BDPV12</stp>
        <stp>912828P3 Govt</stp>
        <stp>YLD_YTM_ASK</stp>
        <stp>[BondPricer-0.2.xlsm]US_TREASURY_TYPE1!R51C13</stp>
        <tr r="M51" s="4"/>
      </tp>
      <tp>
        <v>2.9506760000000001</v>
        <stp/>
        <stp>##V3_BDPV12</stp>
        <stp>912828V7 Govt</stp>
        <stp>YLD_YTM_ASK</stp>
        <stp>[BondPricer-0.2.xlsm]US_TREASURY_TYPE1!R35C13</stp>
        <tr r="M35" s="4"/>
      </tp>
      <tp>
        <v>2.9949761000000001</v>
        <stp/>
        <stp>##V3_BDPV12</stp>
        <stp>912828P7 Govt</stp>
        <stp>YLD_YTM_ASK</stp>
        <stp>[BondPricer-0.2.xlsm]US_TREASURY_TYPE1!R53C13</stp>
        <tr r="M53" s="4"/>
      </tp>
      <tp>
        <v>2.9155446999999999</v>
        <stp/>
        <stp>##V3_BDPV12</stp>
        <stp>912828WY Govt</stp>
        <stp>YLD_YTM_ASK</stp>
        <stp>[BondPricer-0.2.xlsm]US_TREASURY_TYPE1!R21C13</stp>
        <tr r="M21" s="4"/>
      </tp>
      <tp>
        <v>2.9503282999999998</v>
        <stp/>
        <stp>##V3_BDPV12</stp>
        <stp>912828W5 Govt</stp>
        <stp>YLD_YTM_ASK</stp>
        <stp>[BondPricer-0.2.xlsm]US_TREASURY_TYPE1!R38C13</stp>
        <tr r="M38" s="4"/>
      </tp>
      <tp>
        <v>2.9915197999999998</v>
        <stp/>
        <stp>##V3_BDPV12</stp>
        <stp>912828Q2 Govt</stp>
        <stp>YLD_YTM_ASK</stp>
        <stp>[BondPricer-0.2.xlsm]US_TREASURY_TYPE1!R54C13</stp>
        <tr r="M54" s="4"/>
      </tp>
      <tp>
        <v>3.1259268000000002</v>
        <stp/>
        <stp>##V3_BDPV12</stp>
        <stp>9128282A Govt</stp>
        <stp>YLD_YTM_ASK</stp>
        <stp>[BondPricer-0.2.xlsm]US_TREASURY_TYPE1!R83C13</stp>
        <tr r="M83" s="4"/>
      </tp>
      <tp>
        <v>2.9233402000000002</v>
        <stp/>
        <stp>##V3_BDPV12</stp>
        <stp>9128282F Govt</stp>
        <stp>YLD_YTM_ASK</stp>
        <stp>[BondPricer-0.2.xlsm]US_TREASURY_TYPE1!R23C13</stp>
        <tr r="M23" s="4"/>
      </tp>
      <tp>
        <v>3.0080027</v>
        <stp/>
        <stp>##V3_BDPV12</stp>
        <stp>9128282D Govt</stp>
        <stp>YLD_YTM_ASK</stp>
        <stp>[BondPricer-0.2.xlsm]US_TREASURY_TYPE1!R62C13</stp>
        <tr r="M62" s="4"/>
      </tp>
      <tp>
        <v>31.047649145742184</v>
        <stp/>
        <stp>##V3_BDPV12</stp>
        <stp>AS462336 Corp</stp>
        <stp>YAS_RISK</stp>
        <stp>[BondPricer-0.2.xlsm]UK_GILT_TYPE26!R41C24</stp>
        <stp>YLD_YTM_ASK=1.91692272542244</stp>
        <stp>YAS_YLD_CONV=3</stp>
        <tr r="X41" s="13"/>
      </tp>
      <tp>
        <v>96.304687608357156</v>
        <stp/>
        <stp>##V3_BDPV12</stp>
        <stp>912828Q7 Govt</stp>
        <stp>YAS_BOND_PX</stp>
        <stp>[BondPricer-0.2.xlsm]US_TREASURY_TYPE1!R14C20</stp>
        <stp>YAS_BOND_YLD=2.8938758</stp>
        <stp>YAS_YLD_CONV=2</stp>
        <tr r="T14" s="4"/>
      </tp>
      <tp>
        <v>34.224621848973413</v>
        <stp/>
        <stp>##V3_BDPV12</stp>
        <stp>QJ158195 Corp</stp>
        <stp>YAS_RISK</stp>
        <stp>[BondPricer-0.2.xlsm]UK_GILT_TYPE26!R39C24</stp>
        <stp>YLD_YTM_ASK=1.92894223126473</stp>
        <stp>YAS_YLD_CONV=3</stp>
        <tr r="X39" s="13"/>
      </tp>
      <tp>
        <v>20.878844276620612</v>
        <stp/>
        <stp>##V3_BDPV12</stp>
        <stp>EH736811 Corp</stp>
        <stp>YAS_RISK</stp>
        <stp>[BondPricer-0.2.xlsm]UK_GILT_TYPE26!R26C24</stp>
        <stp>YLD_YTM_ASK=1.97686952161677</stp>
        <stp>YAS_YLD_CONV=3</stp>
        <tr r="X26" s="13"/>
      </tp>
      <tp>
        <v>8.0935656979391979</v>
        <stp/>
        <stp>##V3_BDPV12</stp>
        <stp>AM781675 Corp</stp>
        <stp>YAS_RISK</stp>
        <stp>[BondPricer-0.2.xlsm]UK_GILT_TYPE26!R17C24</stp>
        <stp>YLD_YTM_ASK=1.50049311625929</stp>
        <stp>YAS_YLD_CONV=3</stp>
        <tr r="X17" s="13"/>
      </tp>
      <tp>
        <v>23.861161843721845</v>
        <stp/>
        <stp>##V3_BDPV12</stp>
        <stp>EK333934 Corp</stp>
        <stp>YAS_RISK</stp>
        <stp>[BondPricer-0.2.xlsm]UK_GILT_TYPE26!R30C24</stp>
        <stp>YLD_YTM_ASK=2.03534237041425</stp>
        <stp>YAS_YLD_CONV=3</stp>
        <tr r="X30" s="13"/>
      </tp>
      <tp>
        <v>97.614999999999995</v>
        <stp/>
        <stp>##V3_BDPV12</stp>
        <stp>JK5016049 Govt</stp>
        <stp>YAS_BOND_PX</stp>
        <stp>[BondPricer-0.2.xlsm]JAPAN_JGB_TYPE51!R173C20</stp>
        <stp>YAS_BOND_SPL_YLD=0.55</stp>
        <stp>YAS_YLD_CONV=2</stp>
        <tr r="T173" s="7"/>
      </tp>
      <tp>
        <v>82.463999997361668</v>
        <stp/>
        <stp>##V3_BDPV12</stp>
        <stp>CP5087954 Govt</stp>
        <stp>PX_ASK</stp>
        <stp>[BondPricer-0.2.xlsm]ITALIAN_BTPS_TYPE523!R31C22</stp>
        <stp>YAS_BOND_YLD=3.24327305847996</stp>
        <stp>YAS_YLD_CONV=1</stp>
        <tr r="V31" s="5"/>
      </tp>
      <tp>
        <v>77.405999980633894</v>
        <stp/>
        <stp>##V3_BDPV12</stp>
        <stp>CP5087988 Govt</stp>
        <stp>PX_ASK</stp>
        <stp>[BondPricer-0.2.xlsm]ITALIAN_BTPS_TYPE523!R47C22</stp>
        <stp>YAS_BOND_YLD=3.45082511129713</stp>
        <stp>YAS_YLD_CONV=1</stp>
        <tr r="V47" s="5"/>
      </tp>
      <tp>
        <v>4.2519349574973662</v>
        <stp/>
        <stp>##V3_BDPV12</stp>
        <stp>EK0660432 Govt</stp>
        <stp>DUR_ADJ_ASK</stp>
        <stp>[BondPricer-0.2.xlsm]ITALIAN_BTPS_TYPE523!R9C29</stp>
        <stp>YLD_YTM_ASK=2.84560926857329</stp>
        <stp>YAS_YLD_CONV=1</stp>
        <tr r="AC9" s="5"/>
      </tp>
      <tp>
        <v>0.37899999999999973</v>
        <stp/>
        <stp>##V3_BDPV12</stp>
        <stp>ED3357065 Govt</stp>
        <stp>YLD_YTM_ASK</stp>
        <stp>[BondPricer-0.2.xlsm]JAPAN_JGB_TYPE51!R156C13</stp>
        <tr r="M156" s="7"/>
      </tp>
      <tp>
        <v>0.3499999999999997</v>
        <stp/>
        <stp>##V3_BDPV12</stp>
        <stp>EJ5939602 Govt</stp>
        <stp>YLD_YTM_ASK</stp>
        <stp>[BondPricer-0.2.xlsm]JAPAN_JGB_TYPE51!R149C13</stp>
        <tr r="M149" s="7"/>
      </tp>
      <tp>
        <v>9.5945305186378533</v>
        <stp/>
        <stp>##V3_BDPV12</stp>
        <stp>EG872949 Corp</stp>
        <stp>DUR_ADJ_ASK</stp>
        <stp>[BondPricer-0.2.xlsm]UK_GILT_TYPE26!R20C28</stp>
        <stp>YLD_YTM_ASK=1.68177699482798</stp>
        <stp>YAS_YLD_CONV=3</stp>
        <tr r="AB20" s="13"/>
      </tp>
      <tp>
        <v>0.18800000000000108</v>
        <stp/>
        <stp>##V3_BDPV12</stp>
        <stp>EC2220316 Govt</stp>
        <stp>YLD_YTM_ASK</stp>
        <stp>[BondPricer-0.2.xlsm]JAPAN_JGB_TYPE51!R113C13</stp>
        <tr r="M113" s="7"/>
      </tp>
      <tp>
        <v>89.253999987163454</v>
        <stp/>
        <stp>##V3_BDPV12</stp>
        <stp>JK2344014 Govt</stp>
        <stp>PX_ASK</stp>
        <stp>[BondPricer-0.2.xlsm]ITALIAN_BTPS_TYPE523!R48C22</stp>
        <stp>YAS_BOND_YLD=3.22510341520132</stp>
        <stp>YAS_YLD_CONV=1</stp>
        <tr r="V48" s="5"/>
      </tp>
      <tp>
        <v>0.50199999999999989</v>
        <stp/>
        <stp>##V3_BDPV12</stp>
        <stp>EF7785084 Govt</stp>
        <stp>YLD_YTM_ASK</stp>
        <stp>[BondPricer-0.2.xlsm]JAPAN_JGB_TYPE51!R178C13</stp>
        <tr r="M178" s="7"/>
      </tp>
      <tp>
        <v>105.69199999999999</v>
        <stp/>
        <stp>##V3_BDPV12</stp>
        <stp>EC4285754 Govt</stp>
        <stp>YAS_BOND_PX</stp>
        <stp>[BondPricer-0.2.xlsm]JAPAN_JGB_TYPE51!R15C20</stp>
        <stp>YAS_BOND_SPL_YLD=-0.12</stp>
        <stp>YAS_YLD_CONV=2</stp>
        <tr r="T15" s="7"/>
      </tp>
      <tp>
        <v>70.555999845612561</v>
        <stp/>
        <stp>##V3_BDPV12</stp>
        <stp>EC5588560 Govt</stp>
        <stp>PX_ASK</stp>
        <stp>[BondPricer-0.2.xlsm]ITALIAN_BTPS_TYPE523!R73C22</stp>
        <stp>YAS_BOND_YLD=3.62637453875025</stp>
        <stp>YAS_YLD_CONV=1</stp>
        <tr r="V73" s="5"/>
      </tp>
      <tp>
        <v>0.33600000000000041</v>
        <stp/>
        <stp>##V3_BDPV12</stp>
        <stp>EJ5659150 Govt</stp>
        <stp>YLD_YTM_ASK</stp>
        <stp>[BondPricer-0.2.xlsm]JAPAN_JGB_TYPE51!R145C13</stp>
        <tr r="M145" s="7"/>
      </tp>
      <tp>
        <v>115.04899972991717</v>
        <stp/>
        <stp>##V3_BDPV12</stp>
        <stp>EC0659473 Govt</stp>
        <stp>PX_ASK</stp>
        <stp>[BondPricer-0.2.xlsm]ITALIAN_BTPS_TYPE523!R85C22</stp>
        <stp>YAS_BOND_YLD=3.61876815671047</stp>
        <stp>YAS_YLD_CONV=1</stp>
        <tr r="V85" s="5"/>
      </tp>
      <tp>
        <v>0.54699999999999982</v>
        <stp/>
        <stp>##V3_BDPV12</stp>
        <stp>EG9384082 Govt</stp>
        <stp>YLD_YTM_ASK</stp>
        <stp>[BondPricer-0.2.xlsm]JAPAN_JGB_TYPE51!R183C13</stp>
        <tr r="M183" s="7"/>
      </tp>
      <tp>
        <v>64.349999364940928</v>
        <stp/>
        <stp>##V3_BDPV12</stp>
        <stp>EC5588883 Govt</stp>
        <stp>PX_ASK</stp>
        <stp>[BondPricer-0.2.xlsm]ITALIAN_BTPS_TYPE523!R93C22</stp>
        <stp>YAS_BOND_YLD=3.80957497715453</stp>
        <stp>YAS_YLD_CONV=1</stp>
        <tr r="V93" s="5"/>
      </tp>
      <tp>
        <v>0.29700000000000004</v>
        <stp/>
        <stp>##V3_BDPV12</stp>
        <stp>EC5650865 Govt</stp>
        <stp>YLD_YTM_ASK</stp>
        <stp>[BondPricer-0.2.xlsm]JAPAN_JGB_TYPE51!R139C13</stp>
        <tr r="M139" s="7"/>
      </tp>
      <tp>
        <v>21.561084082339189</v>
        <stp/>
        <stp>##V3_BDPV12</stp>
        <stp>EI825311 Corp</stp>
        <stp>DUR_ADJ_ASK</stp>
        <stp>[BondPricer-0.2.xlsm]UK_GILT_TYPE26!R35C28</stp>
        <stp>YLD_YTM_ASK=1.97787298230267</stp>
        <stp>YAS_YLD_CONV=3</stp>
        <tr r="AB35" s="13"/>
      </tp>
      <tp>
        <v>91.968750330907753</v>
        <stp/>
        <stp>##V3_BDPV12</stp>
        <stp>912828U2 Govt</stp>
        <stp>YAS_BOND_PX</stp>
        <stp>[BondPricer-0.2.xlsm]US_TREASURY_TYPE1!R85C20</stp>
        <stp>YAS_BOND_YLD=3.1324393</stp>
        <stp>YAS_YLD_CONV=2</stp>
        <tr r="T85" s="4"/>
      </tp>
      <tp>
        <v>6.8943319092895194</v>
        <stp/>
        <stp>##V3_BDPV12</stp>
        <stp>EC453273 Corp</stp>
        <stp>YAS_RISK</stp>
        <stp>[BondPricer-0.2.xlsm]UK_GILT_TYPE26!R14C24</stp>
        <stp>YLD_YTM_ASK=1.26973173438745</stp>
        <stp>YAS_YLD_CONV=3</stp>
        <tr r="X14" s="13"/>
      </tp>
      <tp>
        <v>97.281250213259256</v>
        <stp/>
        <stp>##V3_BDPV12</stp>
        <stp>912828WJ Govt</stp>
        <stp>YAS_BOND_PX</stp>
        <stp>[BondPricer-0.2.xlsm]US_TREASURY_TYPE1!R71C20</stp>
        <stp>YAS_BOND_YLD=3.0329128</stp>
        <stp>YAS_YLD_CONV=2</stp>
        <tr r="T71" s="4"/>
      </tp>
      <tp>
        <v>97.109374979996062</v>
        <stp/>
        <stp>##V3_BDPV12</stp>
        <stp>912828XG Govt</stp>
        <stp>YAS_BOND_PX</stp>
        <stp>[BondPricer-0.2.xlsm]US_TREASURY_TYPE1!R43C20</stp>
        <stp>YAS_BOND_YLD=2.9535389</stp>
        <stp>YAS_YLD_CONV=2</stp>
        <tr r="T43" s="4"/>
      </tp>
      <tp>
        <v>4.1665877937825568</v>
        <stp/>
        <stp>##V3_BDPV12</stp>
        <stp>EC5587265 Govt</stp>
        <stp>DUR_ADJ_ASK</stp>
        <stp>[BondPricer-0.2.xlsm]ITALIAN_BTPS_TYPE523!R7C29</stp>
        <stp>YLD_YTM_ASK=2.98021561931567</stp>
        <stp>YAS_YLD_CONV=1</stp>
        <tr r="AC7" s="5"/>
      </tp>
      <tp>
        <v>76.075999968957419</v>
        <stp/>
        <stp>##V3_BDPV12</stp>
        <stp>CP5087996 Govt</stp>
        <stp>PX_ASK</stp>
        <stp>[BondPricer-0.2.xlsm]ITALIAN_BTPS_TYPE523!R54C22</stp>
        <stp>YAS_BOND_YLD=3.45791471407746</stp>
        <stp>YAS_YLD_CONV=1</stp>
        <tr r="V54" s="5"/>
      </tp>
      <tp>
        <v>107.54300000002902</v>
        <stp/>
        <stp>##V3_BDPV12</stp>
        <stp>EJ5066257 Govt</stp>
        <stp>YAS_BOND_PX</stp>
        <stp>[BondPricer-0.2.xlsm]GERMAN_BUND_TYPE60!R13C20</stp>
        <stp>YAS_BOND_YLD=-0.230644960395777</stp>
        <stp>YAS_YLD_CONV=1</stp>
        <tr r="T13" s="6"/>
      </tp>
      <tp>
        <v>79.003999989103136</v>
        <stp/>
        <stp>##V3_BDPV12</stp>
        <stp>CP5087970 Govt</stp>
        <stp>PX_ASK</stp>
        <stp>[BondPricer-0.2.xlsm]ITALIAN_BTPS_TYPE523!R41C22</stp>
        <stp>YAS_BOND_YLD=3.40118447074607</stp>
        <stp>YAS_YLD_CONV=1</stp>
        <tr r="V41" s="5"/>
      </tp>
      <tp>
        <v>107.78600000004161</v>
        <stp/>
        <stp>##V3_BDPV12</stp>
        <stp>EJ6775781 Govt</stp>
        <stp>YAS_BOND_PX</stp>
        <stp>[BondPricer-0.2.xlsm]GERMAN_BUND_TYPE60!R14C20</stp>
        <stp>YAS_BOND_YLD=-0.192530850441345</stp>
        <stp>YAS_YLD_CONV=1</stp>
        <tr r="T14" s="6"/>
      </tp>
      <tp>
        <v>0.36000000000000004</v>
        <stp/>
        <stp>##V3_BDPV12</stp>
        <stp>EJ7248408 Govt</stp>
        <stp>YLD_YTM_ASK</stp>
        <stp>[BondPricer-0.2.xlsm]JAPAN_JGB_TYPE51!R151C13</stp>
        <tr r="M151" s="7"/>
      </tp>
      <tp>
        <v>0.69500000000000006</v>
        <stp/>
        <stp>##V3_BDPV12</stp>
        <stp>EJ0538250 Govt</stp>
        <stp>YLD_YTM_ASK</stp>
        <stp>[BondPricer-0.2.xlsm]JAPAN_JGB_TYPE51!R192C13</stp>
        <tr r="M192" s="7"/>
      </tp>
      <tp>
        <v>110.5819998864212</v>
        <stp/>
        <stp>##V3_BDPV12</stp>
        <stp>EJ5142728 Govt</stp>
        <stp>PX_ASK</stp>
        <stp>[BondPricer-0.2.xlsm]ITALIAN_BTPS_TYPE523!R74C22</stp>
        <stp>YAS_BOND_YLD=3.50425553832534</stp>
        <stp>YAS_YLD_CONV=1</stp>
        <tr r="V74" s="5"/>
      </tp>
      <tp>
        <v>4.6550429873549337</v>
        <stp/>
        <stp>##V3_BDPV12</stp>
        <stp>AO326331 Corp</stp>
        <stp>DUR_ADJ_ASK</stp>
        <stp>[BondPricer-0.2.xlsm]UK_GILT_TYPE26!R11C28</stp>
        <stp>YLD_YTM_ASK=1.15910994279218</stp>
        <stp>YAS_YLD_CONV=3</stp>
        <tr r="AB11" s="13"/>
      </tp>
      <tp>
        <v>90.001999995476496</v>
        <stp/>
        <stp>##V3_BDPV12</stp>
        <stp>EK7691190 Govt</stp>
        <stp>PX_ASK</stp>
        <stp>[BondPricer-0.2.xlsm]ITALIAN_BTPS_TYPE523!R38C22</stp>
        <stp>YAS_BOND_YLD=3.21025177581182</stp>
        <stp>YAS_YLD_CONV=1</stp>
        <tr r="V38" s="5"/>
      </tp>
      <tp>
        <v>0.39699999999999985</v>
        <stp/>
        <stp>##V3_BDPV12</stp>
        <stp>ED5806184 Govt</stp>
        <stp>YLD_YTM_ASK</stp>
        <stp>[BondPricer-0.2.xlsm]JAPAN_JGB_TYPE51!R160C13</stp>
        <tr r="M160" s="7"/>
      </tp>
      <tp>
        <v>110.19999999669099</v>
        <stp/>
        <stp>##V3_BDPV12</stp>
        <stp>EH8960682 Govt</stp>
        <stp>PX_ASK</stp>
        <stp>[BondPricer-0.2.xlsm]ITALIAN_BTPS_TYPE523!R34C22</stp>
        <stp>YAS_BOND_YLD=3.23972301112336</stp>
        <stp>YAS_YLD_CONV=1</stp>
        <tr r="V34" s="5"/>
      </tp>
      <tp>
        <v>121.03000000000004</v>
        <stp/>
        <stp>##V3_BDPV12</stp>
        <stp>EG3953361 Govt</stp>
        <stp>YAS_BOND_PX</stp>
        <stp>[BondPricer-0.2.xlsm]FRENCH_BTAN_TYPE89!R44C20</stp>
        <stp>YAS_BOND_YLD=0.0553679312294949</stp>
        <stp>YAS_YLD_CONV=1</stp>
        <tr r="T44" s="8"/>
      </tp>
      <tp>
        <v>18.444559408833985</v>
        <stp/>
        <stp>##V3_BDPV12</stp>
        <stp>EF396423 Corp</stp>
        <stp>DUR_ADJ_ASK</stp>
        <stp>[BondPricer-0.2.xlsm]UK_GILT_TYPE26!R31C28</stp>
        <stp>YLD_YTM_ASK=2.02290536535053</stp>
        <stp>YAS_YLD_CONV=3</stp>
        <tr r="AB31" s="13"/>
      </tp>
      <tp>
        <v>75.672999966234457</v>
        <stp/>
        <stp>##V3_BDPV12</stp>
        <stp>EJ4852988 Govt</stp>
        <stp>PX_ASK</stp>
        <stp>[BondPricer-0.2.xlsm]ITALIAN_BTPS_TYPE523!R52C22</stp>
        <stp>YAS_BOND_YLD=3.52625409214433</stp>
        <stp>YAS_YLD_CONV=1</stp>
        <tr r="V52" s="5"/>
      </tp>
      <tp>
        <v>8.1996582906246545</v>
        <stp/>
        <stp>##V3_BDPV12</stp>
        <stp>EC0518513 Govt</stp>
        <stp>DUR_ADJ_ASK</stp>
        <stp>[BondPricer-0.2.xlsm]GERMAN_BUND_TYPE60!R27C27</stp>
        <stp>YLD_YTM_ASK=0.414403500400325</stp>
        <stp>YAS_YLD_CONV=1</stp>
        <tr r="AA27" s="6"/>
      </tp>
      <tp>
        <v>13.819063420271917</v>
        <stp/>
        <stp>##V3_BDPV12</stp>
        <stp>EK0223579 Govt</stp>
        <stp>DUR_ADJ_ASK</stp>
        <stp>[BondPricer-0.2.xlsm]ITALIAN_BTPS_TYPE523!R111C29</stp>
        <stp>YLD_YTM_ASK=4.0080164145212</stp>
        <stp>YAS_YLD_CONV=1</stp>
        <tr r="AC111" s="5"/>
      </tp>
      <tp>
        <v>11.520764873255018</v>
        <stp/>
        <stp>##V3_BDPV12</stp>
        <stp>GG737572 Corp</stp>
        <stp>YAS_RISK</stp>
        <stp>[BondPricer-0.2.xlsm]UK_GILT_TYPE26!R19C24</stp>
        <stp>YLD_YTM_ASK=1.52788767933086</stp>
        <stp>YAS_YLD_CONV=3</stp>
        <tr r="X19" s="13"/>
      </tp>
      <tp>
        <v>88.452999999929446</v>
        <stp/>
        <stp>##V3_BDPV12</stp>
        <stp>EK0660432 Govt</stp>
        <stp>PX_ASK</stp>
        <stp>[BondPricer-0.2.xlsm]ITALIAN_BTPS_TYPE523!R9C22</stp>
        <stp>YAS_BOND_YLD=2.84560926857329</stp>
        <stp>YAS_YLD_CONV=1</stp>
        <tr r="V9" s="5"/>
      </tp>
      <tp>
        <v>89.984374891294479</v>
        <stp/>
        <stp>##V3_BDPV12</stp>
        <stp>912828R3 Govt</stp>
        <stp>YAS_BOND_PX</stp>
        <stp>[BondPricer-0.2.xlsm]US_TREASURY_TYPE1!R81C20</stp>
        <stp>YAS_BOND_YLD=3.1184696</stp>
        <stp>YAS_YLD_CONV=2</stp>
        <tr r="T81" s="4"/>
      </tp>
      <tp>
        <v>118.676</v>
        <stp/>
        <stp>##V3_BDPV12</stp>
        <stp>EJ7248408 Govt</stp>
        <stp>YAS_BOND_PX</stp>
        <stp>[BondPricer-0.2.xlsm]JAPAN_JGB_TYPE51!R151C20</stp>
        <stp>YAS_BOND_SPL_YLD=0.36</stp>
        <stp>YAS_YLD_CONV=2</stp>
        <tr r="T151" s="7"/>
      </tp>
      <tp>
        <v>117.161</v>
        <stp/>
        <stp>##V3_BDPV12</stp>
        <stp>EJ5939602 Govt</stp>
        <stp>YAS_BOND_PX</stp>
        <stp>[BondPricer-0.2.xlsm]JAPAN_JGB_TYPE51!R149C20</stp>
        <stp>YAS_BOND_SPL_YLD=0.35</stp>
        <stp>YAS_YLD_CONV=2</stp>
        <tr r="T149" s="7"/>
      </tp>
      <tp>
        <v>107.80400000002233</v>
        <stp/>
        <stp>##V3_BDPV12</stp>
        <stp>EJ1202419 Govt</stp>
        <stp>YAS_BOND_PX</stp>
        <stp>[BondPricer-0.2.xlsm]GERMAN_BUND_TYPE60!R11C20</stp>
        <stp>YAS_BOND_YLD=-0.335434324242254</stp>
        <stp>YAS_YLD_CONV=1</stp>
        <tr r="T11" s="6"/>
      </tp>
      <tp>
        <v>0.3639999999999996</v>
        <stp/>
        <stp>##V3_BDPV12</stp>
        <stp>ED2161351 Govt</stp>
        <stp>YLD_YTM_ASK</stp>
        <stp>[BondPricer-0.2.xlsm]JAPAN_JGB_TYPE51!R154C13</stp>
        <tr r="M154" s="7"/>
      </tp>
      <tp>
        <v>0.32800000000000001</v>
        <stp/>
        <stp>##V3_BDPV12</stp>
        <stp>EC7486078 Govt</stp>
        <stp>YLD_YTM_ASK</stp>
        <stp>[BondPricer-0.2.xlsm]JAPAN_JGB_TYPE51!R144C13</stp>
        <tr r="M144" s="7"/>
      </tp>
      <tp>
        <v>0.52000000000000013</v>
        <stp/>
        <stp>##V3_BDPV12</stp>
        <stp>EG1252618 Govt</stp>
        <stp>YLD_YTM_ASK</stp>
        <stp>[BondPricer-0.2.xlsm]JAPAN_JGB_TYPE51!R180C13</stp>
        <tr r="M180" s="7"/>
      </tp>
      <tp>
        <v>72.087999897881716</v>
        <stp/>
        <stp>##V3_BDPV12</stp>
        <stp>EC5588545 Govt</stp>
        <stp>PX_ASK</stp>
        <stp>[BondPricer-0.2.xlsm]ITALIAN_BTPS_TYPE523!R69C22</stp>
        <stp>YAS_BOND_YLD=3.58544821432509</stp>
        <stp>YAS_YLD_CONV=1</stp>
        <tr r="V69" s="5"/>
      </tp>
      <tp>
        <v>0.21899999999999845</v>
        <stp/>
        <stp>##V3_BDPV12</stp>
        <stp>EC3066569 Govt</stp>
        <stp>YLD_YTM_ASK</stp>
        <stp>[BondPricer-0.2.xlsm]JAPAN_JGB_TYPE51!R122C13</stp>
        <tr r="M122" s="7"/>
      </tp>
      <tp>
        <v>0.4080000000000007</v>
        <stp/>
        <stp>##V3_BDPV12</stp>
        <stp>ED6591066 Govt</stp>
        <stp>YLD_YTM_ASK</stp>
        <stp>[BondPricer-0.2.xlsm]JAPAN_JGB_TYPE51!R162C13</stp>
        <tr r="M162" s="7"/>
      </tp>
      <tp>
        <v>108.0050000000692</v>
        <stp/>
        <stp>##V3_BDPV12</stp>
        <stp>EJ6548493 Govt</stp>
        <stp>YAS_BOND_PX</stp>
        <stp>[BondPricer-0.2.xlsm]FRENCH_BTAN_TYPE89!R43C20</stp>
        <stp>YAS_BOND_YLD=0.0103113439977258</stp>
        <stp>YAS_YLD_CONV=1</stp>
        <tr r="T43" s="8"/>
      </tp>
      <tp>
        <v>7.2863760338284358</v>
        <stp/>
        <stp>##V3_BDPV12</stp>
        <stp>JK030916 Corp</stp>
        <stp>DUR_ADJ_ASK</stp>
        <stp>[BondPricer-0.2.xlsm]UK_GILT_TYPE26!R16C28</stp>
        <stp>YLD_YTM_ASK=1.39061028442077</stp>
        <stp>YAS_YLD_CONV=3</stp>
        <tr r="AB16" s="13"/>
      </tp>
      <tp>
        <v>76.422999973617181</v>
        <stp/>
        <stp>##V3_BDPV12</stp>
        <stp>EC5588446 Govt</stp>
        <stp>PX_ASK</stp>
        <stp>[BondPricer-0.2.xlsm]ITALIAN_BTPS_TYPE523!R49C22</stp>
        <stp>YAS_BOND_YLD=3.50911065419948</stp>
        <stp>YAS_YLD_CONV=1</stp>
        <tr r="V49" s="5"/>
      </tp>
      <tp>
        <v>123.06399994039556</v>
        <stp/>
        <stp>##V3_BDPV12</stp>
        <stp>GG7366139 Govt</stp>
        <stp>PX_ASK</stp>
        <stp>[BondPricer-0.2.xlsm]ITALIAN_BTPS_TYPE523!R65C22</stp>
        <stp>YAS_BOND_YLD=3.53154531927609</stp>
        <stp>YAS_YLD_CONV=1</stp>
        <tr r="V65" s="5"/>
      </tp>
      <tp>
        <v>79.826999992038608</v>
        <stp/>
        <stp>##V3_BDPV12</stp>
        <stp>EC5587760 Govt</stp>
        <stp>PX_ASK</stp>
        <stp>[BondPricer-0.2.xlsm]ITALIAN_BTPS_TYPE523!R39C22</stp>
        <stp>YAS_BOND_YLD=3.37352170254781</stp>
        <stp>YAS_YLD_CONV=1</stp>
        <tr r="V39" s="5"/>
      </tp>
      <tp>
        <v>76.993999975865378</v>
        <stp/>
        <stp>##V3_BDPV12</stp>
        <stp>EC0130038 Govt</stp>
        <stp>PX_ASK</stp>
        <stp>[BondPricer-0.2.xlsm]ITALIAN_BTPS_TYPE523!R53C22</stp>
        <stp>YAS_BOND_YLD=3.30375126172222</stp>
        <stp>YAS_YLD_CONV=1</stp>
        <tr r="V53" s="5"/>
      </tp>
      <tp>
        <v>14.998429199322267</v>
        <stp/>
        <stp>##V3_BDPV12</stp>
        <stp>EH736811 Corp</stp>
        <stp>DUR_ADJ_ASK</stp>
        <stp>[BondPricer-0.2.xlsm]UK_GILT_TYPE26!R26C28</stp>
        <stp>YLD_YTM_ASK=1.97686952161677</stp>
        <stp>YAS_YLD_CONV=3</stp>
        <tr r="AB26" s="13"/>
      </tp>
      <tp>
        <v>13.048919319398067</v>
        <stp/>
        <stp>##V3_BDPV12</stp>
        <stp>EG9398371 Govt</stp>
        <stp>DUR_ADJ_ASK</stp>
        <stp>[BondPricer-0.2.xlsm]ITALIAN_BTPS_TYPE523!R141C29</stp>
        <stp>YLD_YTM_ASK=4.0184516541143</stp>
        <stp>YAS_YLD_CONV=1</stp>
        <tr r="AC141" s="5"/>
      </tp>
      <tp>
        <v>132.57299999984747</v>
        <stp/>
        <stp>##V3_BDPV12</stp>
        <stp>EJ1358112 Govt</stp>
        <stp>YAS_BOND_PX</stp>
        <stp>[BondPricer-0.2.xlsm]GERMAN_BUND_TYPE60!R35C20</stp>
        <stp>YAS_BOND_YLD=1.04811086700724</stp>
        <stp>YAS_YLD_CONV=1</stp>
        <tr r="T35" s="6"/>
      </tp>
      <tp>
        <v>18.029777394830298</v>
        <stp/>
        <stp>##V3_BDPV12</stp>
        <stp>EJ407307 Corp</stp>
        <stp>DUR_ADJ_ASK</stp>
        <stp>[BondPricer-0.2.xlsm]UK_GILT_TYPE26!R29C28</stp>
        <stp>YLD_YTM_ASK=2.0324516539276</stp>
        <stp>YAS_YLD_CONV=3</stp>
        <tr r="AB29" s="13"/>
      </tp>
      <tp>
        <v>15.378453381956092</v>
        <stp/>
        <stp>##V3_BDPV12</stp>
        <stp>AL083268 Corp</stp>
        <stp>YAS_RISK</stp>
        <stp>[BondPricer-0.2.xlsm]UK_GILT_TYPE26!R24C24</stp>
        <stp>YLD_YTM_ASK=1.97758969354163</stp>
        <stp>YAS_YLD_CONV=3</stp>
        <tr r="X24" s="13"/>
      </tp>
      <tp>
        <v>4.8838260715648119</v>
        <stp/>
        <stp>##V3_BDPV12</stp>
        <stp>EJ707218 Corp</stp>
        <stp>YAS_RISK</stp>
        <stp>[BondPricer-0.2.xlsm]UK_GILT_TYPE26!R12C24</stp>
        <stp>YLD_YTM_ASK=1.14729525790025</stp>
        <stp>YAS_YLD_CONV=3</stp>
        <tr r="X12" s="13"/>
      </tp>
      <tp>
        <v>88.160999999894372</v>
        <stp/>
        <stp>##V3_BDPV12</stp>
        <stp>EC5587265 Govt</stp>
        <stp>PX_ASK</stp>
        <stp>[BondPricer-0.2.xlsm]ITALIAN_BTPS_TYPE523!R7C22</stp>
        <stp>YAS_BOND_YLD=2.98021561931567</stp>
        <stp>YAS_YLD_CONV=1</stp>
        <tr r="V7" s="5"/>
      </tp>
      <tp>
        <v>9.6437750470279582</v>
        <stp/>
        <stp>##V3_BDPV12</stp>
        <stp>EF670373 Corp</stp>
        <stp>YAS_RISK</stp>
        <stp>[BondPricer-0.2.xlsm]UK_GILT_TYPE26!R18C24</stp>
        <stp>YLD_YTM_ASK=1.46173970534642</stp>
        <stp>YAS_YLD_CONV=3</stp>
        <tr r="X18" s="13"/>
      </tp>
      <tp>
        <v>2.0102954325270441</v>
        <stp/>
        <stp>##V3_BDPV12</stp>
        <stp>QZ554181 Corp</stp>
        <stp>YLD_YTM_ASK</stp>
        <stp>[BondPricer-0.2.xlsm]UK_GILT_TYPE26!R32C13</stp>
        <tr r="M32" s="13"/>
      </tp>
      <tp>
        <v>0.47200000000000031</v>
        <stp/>
        <stp>##V3_BDPV12</stp>
        <stp>EF2502187 Govt</stp>
        <stp>YLD_YTM_ASK</stp>
        <stp>[BondPricer-0.2.xlsm]JAPAN_JGB_TYPE51!R172C13</stp>
        <tr r="M172" s="7"/>
      </tp>
      <tp>
        <v>0.38400000000000079</v>
        <stp/>
        <stp>##V3_BDPV12</stp>
        <stp>ED4240013 Govt</stp>
        <stp>YLD_YTM_ASK</stp>
        <stp>[BondPricer-0.2.xlsm]JAPAN_JGB_TYPE51!R158C13</stp>
        <tr r="M158" s="7"/>
      </tp>
      <tp>
        <v>0.35800000000000037</v>
        <stp/>
        <stp>##V3_BDPV12</stp>
        <stp>ED0670437 Govt</stp>
        <stp>YLD_YTM_ASK</stp>
        <stp>[BondPricer-0.2.xlsm]JAPAN_JGB_TYPE51!R152C13</stp>
        <tr r="M152" s="7"/>
      </tp>
      <tp>
        <v>108.0050000000692</v>
        <stp/>
        <stp>##V3_BDPV12</stp>
        <stp>EJ6548493 Govt</stp>
        <stp>YAS_BOND_PX</stp>
        <stp>[BondPricer-0.2.xlsm]FRENCH_BTAN_TYPE89!R42C20</stp>
        <stp>YAS_BOND_YLD=0.0103113439977258</stp>
        <stp>YAS_YLD_CONV=1</stp>
        <tr r="T42" s="8"/>
      </tp>
      <tp>
        <v>0.44999999999999957</v>
        <stp/>
        <stp>##V3_BDPV12</stp>
        <stp>EF0212920 Govt</stp>
        <stp>YLD_YTM_ASK</stp>
        <stp>[BondPricer-0.2.xlsm]JAPAN_JGB_TYPE51!R168C13</stp>
        <tr r="M168" s="7"/>
      </tp>
      <tp>
        <v>65.933999538639981</v>
        <stp/>
        <stp>##V3_BDPV12</stp>
        <stp>EC5588867 Govt</stp>
        <stp>PX_ASK</stp>
        <stp>[BondPricer-0.2.xlsm]ITALIAN_BTPS_TYPE523!R89C22</stp>
        <stp>YAS_BOND_YLD=3.75788609251195</stp>
        <stp>YAS_YLD_CONV=1</stp>
        <tr r="V89" s="5"/>
      </tp>
      <tp>
        <v>63.094999999991735</v>
        <stp/>
        <stp>##V3_BDPV12</stp>
        <stp>EC2917820 Govt</stp>
        <stp>PX_ASK</stp>
        <stp>[BondPricer-0.2.xlsm]ITALIAN_BTPS_TYPE523!R97C22</stp>
        <stp>YAS_BOND_YLD=3.73968949155028</stp>
        <stp>YAS_YLD_CONV=1</stp>
        <tr r="V97" s="5"/>
      </tp>
      <tp>
        <v>0.3579999999999996</v>
        <stp/>
        <stp>##V3_BDPV12</stp>
        <stp>EC9747782 Govt</stp>
        <stp>YLD_YTM_ASK</stp>
        <stp>[BondPricer-0.2.xlsm]JAPAN_JGB_TYPE51!R150C13</stp>
        <tr r="M150" s="7"/>
      </tp>
      <tp>
        <v>11.866767688737607</v>
        <stp/>
        <stp>##V3_BDPV12</stp>
        <stp>AM2016153 Govt</stp>
        <stp>DUR_ADJ_ASK</stp>
        <stp>[BondPricer-0.2.xlsm]ITALIAN_BTPS_TYPE523!R114C29</stp>
        <stp>YLD_YTM_ASK=3.6400087545595</stp>
        <stp>YAS_YLD_CONV=1</stp>
        <tr r="AC114" s="5"/>
      </tp>
      <tp>
        <v>15.753597643066049</v>
        <stp/>
        <stp>##V3_BDPV12</stp>
        <stp>EK0223819 Govt</stp>
        <stp>DUR_ADJ_ASK</stp>
        <stp>[BondPricer-0.2.xlsm]ITALIAN_BTPS_TYPE523!R122C29</stp>
        <stp>YLD_YTM_ASK=3.9314105351115</stp>
        <stp>YAS_YLD_CONV=1</stp>
        <tr r="AC122" s="5"/>
      </tp>
      <tp>
        <v>7.1819037503628973</v>
        <stp/>
        <stp>##V3_BDPV12</stp>
        <stp>JV5034238 Govt</stp>
        <stp>DUR_ADJ_ASK</stp>
        <stp>[BondPricer-0.2.xlsm]GERMAN_BUND_TYPE60!R22C27</stp>
        <stp>YLD_YTM_ASK=0.191191564726673</stp>
        <stp>YAS_YLD_CONV=1</stp>
        <tr r="AA22" s="6"/>
      </tp>
      <tp>
        <v>93.072999999999922</v>
        <stp/>
        <stp>##V3_BDPV12</stp>
        <stp>GG7396557 Govt</stp>
        <stp>YAS_BOND_PX</stp>
        <stp>[BondPricer-0.2.xlsm]FRENCH_BTAN_TYPE89!R92C20</stp>
        <stp>YAS_BOND_YLD=0.75686162265971</stp>
        <stp>YAS_YLD_CONV=1</stp>
        <tr r="T92" s="8"/>
      </tp>
      <tp>
        <v>13.066376334161497</v>
        <stp/>
        <stp>##V3_BDPV12</stp>
        <stp>EC867711 Corp</stp>
        <stp>DUR_ADJ_ASK</stp>
        <stp>[BondPricer-0.2.xlsm]UK_GILT_TYPE26!R23C28</stp>
        <stp>YLD_YTM_ASK=1.9111945527061</stp>
        <stp>YAS_YLD_CONV=3</stp>
        <tr r="AB23" s="13"/>
      </tp>
      <tp>
        <v>42.321048629780478</v>
        <stp/>
        <stp>##V3_BDPV12</stp>
        <stp>EJ712548 Corp</stp>
        <stp>YAS_RISK</stp>
        <stp>[BondPricer-0.2.xlsm]UK_GILT_TYPE26!R40C24</stp>
        <stp>YLD_YTM_ASK=1.93605070782293</stp>
        <stp>YAS_YLD_CONV=3</stp>
        <tr r="X40" s="13"/>
      </tp>
      <tp>
        <v>87.821999999864005</v>
        <stp/>
        <stp>##V3_BDPV12</stp>
        <stp>EK0221235 Govt</stp>
        <stp>PX_ASK</stp>
        <stp>[BondPricer-0.2.xlsm]ITALIAN_BTPS_TYPE523!R8C22</stp>
        <stp>YAS_BOND_YLD=3.01412461465169</stp>
        <stp>YAS_YLD_CONV=1</stp>
        <tr r="V8" s="5"/>
      </tp>
      <tp>
        <v>26.161524982752837</v>
        <stp/>
        <stp>##V3_BDPV12</stp>
        <stp>AM064544 Corp</stp>
        <stp>YAS_RISK</stp>
        <stp>[BondPricer-0.2.xlsm]UK_GILT_TYPE26!R37C24</stp>
        <stp>YLD_YTM_ASK=1.95302873670346</stp>
        <stp>YAS_YLD_CONV=3</stp>
        <tr r="X37" s="13"/>
      </tp>
      <tp>
        <v>93.929687648896291</v>
        <stp/>
        <stp>##V3_BDPV12</stp>
        <stp>912828P7 Govt</stp>
        <stp>YAS_BOND_PX</stp>
        <stp>[BondPricer-0.2.xlsm]US_TREASURY_TYPE1!R53C20</stp>
        <stp>YAS_BOND_YLD=2.9909979</stp>
        <stp>YAS_YLD_CONV=2</stp>
        <tr r="T53" s="4"/>
      </tp>
      <tp>
        <v>96.32031238492813</v>
        <stp/>
        <stp>##V3_BDPV12</stp>
        <stp>912828XD Govt</stp>
        <stp>YAS_BOND_PX</stp>
        <stp>[BondPricer-0.2.xlsm]US_TREASURY_TYPE1!R42C20</stp>
        <stp>YAS_BOND_YLD=2.9530597</stp>
        <stp>YAS_YLD_CONV=2</stp>
        <tr r="T42" s="4"/>
      </tp>
      <tp>
        <v>129.989</v>
        <stp/>
        <stp>##V3_BDPV12</stp>
        <stp>ED8193903 Govt</stp>
        <stp>YAS_BOND_PX</stp>
        <stp>[BondPricer-0.2.xlsm]JAPAN_JGB_TYPE51!R164C20</stp>
        <stp>YAS_BOND_SPL_YLD=0.42</stp>
        <stp>YAS_YLD_CONV=2</stp>
        <tr r="T164" s="7"/>
      </tp>
      <tp>
        <v>120.96875036384272</v>
        <stp/>
        <stp>##V3_BDPV12</stp>
        <stp>912810PT Govt</stp>
        <stp>YAS_BOND_PX</stp>
        <stp>[BondPricer-0.2.xlsm]US_TREASURY_TYPE1!R97C20</stp>
        <stp>YAS_BOND_YLD=3.2255743</stp>
        <stp>YAS_YLD_CONV=2</stp>
        <tr r="T97" s="4"/>
      </tp>
      <tp>
        <v>0.4200000000000001</v>
        <stp/>
        <stp>##V3_BDPV12</stp>
        <stp>ED8193903 Govt</stp>
        <stp>YLD_YTM_ASK</stp>
        <stp>[BondPricer-0.2.xlsm]JAPAN_JGB_TYPE51!R164C13</stp>
        <tr r="M164" s="7"/>
      </tp>
      <tp>
        <v>0.47999999999999959</v>
        <stp/>
        <stp>##V3_BDPV12</stp>
        <stp>EF3711449 Govt</stp>
        <stp>YLD_YTM_ASK</stp>
        <stp>[BondPricer-0.2.xlsm]JAPAN_JGB_TYPE51!R174C13</stp>
        <tr r="M174" s="7"/>
      </tp>
      <tp>
        <v>70.890999846997516</v>
        <stp/>
        <stp>##V3_BDPV12</stp>
        <stp>EK0222738 Govt</stp>
        <stp>PX_ASK</stp>
        <stp>[BondPricer-0.2.xlsm]ITALIAN_BTPS_TYPE523!R75C22</stp>
        <stp>YAS_BOND_YLD=3.54596742041953</stp>
        <stp>YAS_YLD_CONV=1</stp>
        <tr r="V75" s="5"/>
      </tp>
      <tp>
        <v>92.446999999940431</v>
        <stp/>
        <stp>##V3_BDPV12</stp>
        <stp>JK3942121 Govt</stp>
        <stp>PX_ASK</stp>
        <stp>[BondPricer-0.2.xlsm]ITALIAN_BTPS_TYPE523!R10C22</stp>
        <stp>YAS_BOND_YLD=2.80030944275129</stp>
        <stp>YAS_YLD_CONV=1</stp>
        <tr r="V10" s="5"/>
      </tp>
      <tp>
        <v>87.649999999931211</v>
        <stp/>
        <stp>##V3_BDPV12</stp>
        <stp>EC0129931 Govt</stp>
        <stp>PX_ASK</stp>
        <stp>[BondPricer-0.2.xlsm]ITALIAN_BTPS_TYPE523!R20C22</stp>
        <stp>YAS_BOND_YLD=2.64954564837716</stp>
        <stp>YAS_YLD_CONV=1</stp>
        <tr r="V20" s="5"/>
      </tp>
      <tp>
        <v>0.33700000000000035</v>
        <stp/>
        <stp>##V3_BDPV12</stp>
        <stp>EC8204264 Govt</stp>
        <stp>YLD_YTM_ASK</stp>
        <stp>[BondPricer-0.2.xlsm]JAPAN_JGB_TYPE51!R147C13</stp>
        <tr r="M147" s="7"/>
      </tp>
      <tp>
        <v>127.61099999987869</v>
        <stp/>
        <stp>##V3_BDPV12</stp>
        <stp>GG7302662 Govt</stp>
        <stp>PX_ASK</stp>
        <stp>[BondPricer-0.2.xlsm]ITALIAN_BTPS_TYPE523!R22C22</stp>
        <stp>YAS_BOND_YLD=2.74556264738548</stp>
        <stp>YAS_YLD_CONV=1</stp>
        <tr r="V22" s="5"/>
      </tp>
      <tp>
        <v>7.9997233885825487</v>
        <stp/>
        <stp>##V3_BDPV12</stp>
        <stp>GG737572 Corp</stp>
        <stp>DUR_ADJ_ASK</stp>
        <stp>[BondPricer-0.2.xlsm]UK_GILT_TYPE26!R19C28</stp>
        <stp>YLD_YTM_ASK=1.52788767933086</stp>
        <stp>YAS_YLD_CONV=3</stp>
        <tr r="AB19" s="13"/>
      </tp>
      <tp>
        <v>62.77299999999348</v>
        <stp/>
        <stp>##V3_BDPV12</stp>
        <stp>EC5588909 Govt</stp>
        <stp>PX_ASK</stp>
        <stp>[BondPricer-0.2.xlsm]ITALIAN_BTPS_TYPE523!R95C22</stp>
        <stp>YAS_BOND_YLD=3.85949227920357</stp>
        <stp>YAS_YLD_CONV=1</stp>
        <tr r="V95" s="5"/>
      </tp>
      <tp>
        <v>67.20299966758185</v>
        <stp/>
        <stp>##V3_BDPV12</stp>
        <stp>EC5588826 Govt</stp>
        <stp>PX_ASK</stp>
        <stp>[BondPricer-0.2.xlsm]ITALIAN_BTPS_TYPE523!R82C22</stp>
        <stp>YAS_BOND_YLD=3.75193758260655</stp>
        <stp>YAS_YLD_CONV=1</stp>
        <tr r="V82" s="5"/>
      </tp>
      <tp>
        <v>105.65899993836577</v>
        <stp/>
        <stp>##V3_BDPV12</stp>
        <stp>EH2972345 Govt</stp>
        <stp>PX_ASK</stp>
        <stp>[BondPricer-0.2.xlsm]ITALIAN_BTPS_TYPE523!R59C22</stp>
        <stp>YAS_BOND_YLD=3.69618773459945</stp>
        <stp>YAS_YLD_CONV=1</stp>
        <tr r="V59" s="5"/>
      </tp>
      <tp>
        <v>81.445999995850187</v>
        <stp/>
        <stp>##V3_BDPV12</stp>
        <stp>EK0661273 Govt</stp>
        <stp>PX_ASK</stp>
        <stp>[BondPricer-0.2.xlsm]ITALIAN_BTPS_TYPE523!R36C22</stp>
        <stp>YAS_BOND_YLD=3.26992047922072</stp>
        <stp>YAS_YLD_CONV=1</stp>
        <tr r="V36" s="5"/>
      </tp>
      <tp>
        <v>93.755999999027566</v>
        <stp/>
        <stp>##V3_BDPV12</stp>
        <stp>AM7963128 Govt</stp>
        <stp>PX_ASK</stp>
        <stp>[BondPricer-0.2.xlsm]ITALIAN_BTPS_TYPE523!R27C22</stp>
        <stp>YAS_BOND_YLD=3.10001093869818</stp>
        <stp>YAS_YLD_CONV=1</stp>
        <tr r="V27" s="5"/>
      </tp>
      <tp>
        <v>12.206663126686919</v>
        <stp/>
        <stp>##V3_BDPV12</stp>
        <stp>EC8300625 Govt</stp>
        <stp>DUR_ADJ_ASK</stp>
        <stp>[BondPricer-0.2.xlsm]GERMAN_BUND_TYPE60!R30C27</stp>
        <stp>YLD_YTM_ASK=0.750373189429678</stp>
        <stp>YAS_YLD_CONV=1</stp>
        <tr r="AA30" s="6"/>
      </tp>
      <tp>
        <v>9.5756960072074744</v>
        <stp/>
        <stp>##V3_BDPV12</stp>
        <stp>EC3022802 Govt</stp>
        <stp>DUR_ADJ_ASK</stp>
        <stp>[BondPricer-0.2.xlsm]GERMAN_BUND_TYPE60!R29C27</stp>
        <stp>YLD_YTM_ASK=0.572689312444293</stp>
        <stp>YAS_YLD_CONV=1</stp>
        <tr r="AA29" s="6"/>
      </tp>
      <tp>
        <v>99.561999999999983</v>
        <stp/>
        <stp>##V3_BDPV12</stp>
        <stp>GG7190240 Govt</stp>
        <stp>YAS_BOND_PX</stp>
        <stp>[BondPricer-0.2.xlsm]FRENCH_BTAN_TYPE89!R46C20</stp>
        <stp>YAS_BOND_YLD=0.08744745524083</stp>
        <stp>YAS_YLD_CONV=1</stp>
        <tr r="T46" s="8"/>
      </tp>
      <tp>
        <v>113.37</v>
        <stp/>
        <stp>##V3_BDPV12</stp>
        <stp>EF0357980 Govt</stp>
        <stp>YAS_BOND_PX</stp>
        <stp>[BondPricer-0.2.xlsm]JAPAN_JGB_TYPE51!R69C20</stp>
        <stp>YAS_BOND_SPL_YLD=-0.00300000000000046</stp>
        <stp>YAS_YLD_CONV=2</stp>
        <tr r="T69" s="7"/>
      </tp>
      <tp>
        <v>7.3703546854630986</v>
        <stp/>
        <stp>##V3_BDPV12</stp>
        <stp>JK030916 Corp</stp>
        <stp>YAS_RISK</stp>
        <stp>[BondPricer-0.2.xlsm]UK_GILT_TYPE26!R16C24</stp>
        <stp>YLD_YTM_ASK=1.39061028442077</stp>
        <stp>YAS_YLD_CONV=3</stp>
        <tr r="X16" s="13"/>
      </tp>
      <tp>
        <v>125.666</v>
        <stp/>
        <stp>##V3_BDPV12</stp>
        <stp>EI3995376 Govt</stp>
        <stp>YAS_BOND_PX</stp>
        <stp>[BondPricer-0.2.xlsm]JAPAN_JGB_TYPE51!R189C20</stp>
        <stp>YAS_BOND_SPL_YLD=0.66</stp>
        <stp>YAS_YLD_CONV=2</stp>
        <tr r="T189" s="7"/>
      </tp>
      <tp>
        <v>84.076999998786974</v>
        <stp/>
        <stp>##V3_BDPV12</stp>
        <stp>CP5087947 Govt</stp>
        <stp>PX_ASK</stp>
        <stp>[BondPricer-0.2.xlsm]ITALIAN_BTPS_TYPE523!R26C22</stp>
        <stp>YAS_BOND_YLD=3.17812730039861</stp>
        <stp>YAS_YLD_CONV=1</stp>
        <tr r="V26" s="5"/>
      </tp>
      <tp>
        <v>107.07300000001405</v>
        <stp/>
        <stp>##V3_BDPV12</stp>
        <stp>EJ3422718 Govt</stp>
        <stp>YAS_BOND_PX</stp>
        <stp>[BondPricer-0.2.xlsm]GERMAN_BUND_TYPE60!R12C20</stp>
        <stp>YAS_BOND_YLD=-0.308162373312628</stp>
        <stp>YAS_YLD_CONV=1</stp>
        <tr r="T12" s="6"/>
      </tp>
      <tp>
        <v>0.17399999999999954</v>
        <stp/>
        <stp>##V3_BDPV12</stp>
        <stp>EC1745347 Govt</stp>
        <stp>YLD_YTM_ASK</stp>
        <stp>[BondPricer-0.2.xlsm]JAPAN_JGB_TYPE51!R110C13</stp>
        <tr r="M110" s="7"/>
      </tp>
      <tp>
        <v>0.19899999999999921</v>
        <stp/>
        <stp>##V3_BDPV12</stp>
        <stp>EC2565314 Govt</stp>
        <stp>YLD_YTM_ASK</stp>
        <stp>[BondPricer-0.2.xlsm]JAPAN_JGB_TYPE51!R116C13</stp>
        <tr r="M116" s="7"/>
      </tp>
      <tp>
        <v>0.27399999999999902</v>
        <stp/>
        <stp>##V3_BDPV12</stp>
        <stp>EC4745393 Govt</stp>
        <stp>YLD_YTM_ASK</stp>
        <stp>[BondPricer-0.2.xlsm]JAPAN_JGB_TYPE51!R133C13</stp>
        <tr r="M133" s="7"/>
      </tp>
      <tp>
        <v>78.112999984694397</v>
        <stp/>
        <stp>##V3_BDPV12</stp>
        <stp>EJ4855734 Govt</stp>
        <stp>PX_ASK</stp>
        <stp>[BondPricer-0.2.xlsm]ITALIAN_BTPS_TYPE523!R46C22</stp>
        <stp>YAS_BOND_YLD=3.40575685427642</stp>
        <stp>YAS_YLD_CONV=1</stp>
        <tr r="V46" s="5"/>
      </tp>
      <tp>
        <v>108.0050000000692</v>
        <stp/>
        <stp>##V3_BDPV12</stp>
        <stp>EJ6548493 Govt</stp>
        <stp>YAS_BOND_PX</stp>
        <stp>[BondPricer-0.2.xlsm]FRENCH_BTAN_TYPE89!R40C20</stp>
        <stp>YAS_BOND_YLD=0.0103113439977258</stp>
        <stp>YAS_YLD_CONV=1</stp>
        <tr r="T40" s="8"/>
      </tp>
      <tp>
        <v>63.737999261794144</v>
        <stp/>
        <stp>##V3_BDPV12</stp>
        <stp>EC2918380 Govt</stp>
        <stp>PX_ASK</stp>
        <stp>[BondPricer-0.2.xlsm]ITALIAN_BTPS_TYPE523!R94C22</stp>
        <stp>YAS_BOND_YLD=3.81137687593771</stp>
        <stp>YAS_YLD_CONV=1</stp>
        <tr r="V94" s="5"/>
      </tp>
      <tp>
        <v>0.24900000000000022</v>
        <stp/>
        <stp>##V3_BDPV12</stp>
        <stp>EC3875944 Govt</stp>
        <stp>YLD_YTM_ASK</stp>
        <stp>[BondPricer-0.2.xlsm]JAPAN_JGB_TYPE51!R128C13</stp>
        <tr r="M128" s="7"/>
      </tp>
      <tp>
        <v>84.810999999185199</v>
        <stp/>
        <stp>##V3_BDPV12</stp>
        <stp>EK0660739 Govt</stp>
        <stp>PX_ASK</stp>
        <stp>[BondPricer-0.2.xlsm]ITALIAN_BTPS_TYPE523!R25C22</stp>
        <stp>YAS_BOND_YLD=3.11369611696957</stp>
        <stp>YAS_YLD_CONV=1</stp>
        <tr r="V25" s="5"/>
      </tp>
      <tp>
        <v>66.398999531741012</v>
        <stp/>
        <stp>##V3_BDPV12</stp>
        <stp>EK0222977 Govt</stp>
        <stp>PX_ASK</stp>
        <stp>[BondPricer-0.2.xlsm]ITALIAN_BTPS_TYPE523!R91C22</stp>
        <stp>YAS_BOND_YLD=3.66615692101471</stp>
        <stp>YAS_YLD_CONV=1</stp>
        <tr r="V91" s="5"/>
      </tp>
      <tp>
        <v>7.1962509194208364</v>
        <stp/>
        <stp>##V3_BDPV12</stp>
        <stp>GG7291790 Govt</stp>
        <stp>DUR_ADJ_ASK</stp>
        <stp>[BondPricer-0.2.xlsm]GERMAN_BUND_TYPE60!R25C27</stp>
        <stp>YLD_YTM_ASK=0.296404343897405</stp>
        <stp>YAS_YLD_CONV=1</stp>
        <tr r="AA25" s="6"/>
      </tp>
      <tp>
        <v>19.006748338028043</v>
        <stp/>
        <stp>##V3_BDPV12</stp>
        <stp>EH2420956 Govt</stp>
        <stp>DUR_ADJ_ASK</stp>
        <stp>[BondPricer-0.2.xlsm]ITALIAN_BTPS_TYPE523!R137C29</stp>
        <stp>YLD_YTM_ASK=4.1392861813043</stp>
        <stp>YAS_YLD_CONV=1</stp>
        <tr r="AC137" s="5"/>
      </tp>
      <tp>
        <v>14.229846937481229</v>
        <stp/>
        <stp>##V3_BDPV12</stp>
        <stp>ED1666434 Govt</stp>
        <stp>DUR_ADJ_ASK</stp>
        <stp>[BondPricer-0.2.xlsm]ITALIAN_BTPS_TYPE523!R113C29</stp>
        <stp>YLD_YTM_ASK=3.9418553425713</stp>
        <stp>YAS_YLD_CONV=1</stp>
        <tr r="AC113" s="5"/>
      </tp>
      <tp>
        <v>96.33593739858641</v>
        <stp/>
        <stp>##V3_BDPV12</stp>
        <stp>912828V2 Govt</stp>
        <stp>YAS_BOND_PX</stp>
        <stp>[BondPricer-0.2.xlsm]US_TREASURY_TYPE1!R67C20</stp>
        <stp>YAS_BOND_YLD=3.0152849</stp>
        <stp>YAS_YLD_CONV=2</stp>
        <tr r="T67" s="4"/>
      </tp>
      <tp>
        <v>93.835937570271597</v>
        <stp/>
        <stp>##V3_BDPV12</stp>
        <stp>912828Q2 Govt</stp>
        <stp>YAS_BOND_PX</stp>
        <stp>[BondPricer-0.2.xlsm]US_TREASURY_TYPE1!R54C20</stp>
        <stp>YAS_BOND_YLD=2.9876092</stp>
        <stp>YAS_YLD_CONV=2</stp>
        <tr r="T54" s="4"/>
      </tp>
      <tp>
        <v>92.921875127328022</v>
        <stp/>
        <stp>##V3_BDPV12</stp>
        <stp>912828S3 Govt</stp>
        <stp>YAS_BOND_PX</stp>
        <stp>[BondPricer-0.2.xlsm]US_TREASURY_TYPE1!R58C20</stp>
        <stp>YAS_BOND_YLD=2.9984517</stp>
        <stp>YAS_YLD_CONV=2</stp>
        <tr r="T58" s="4"/>
      </tp>
      <tp>
        <v>100.58593749561484</v>
        <stp/>
        <stp>##V3_BDPV12</stp>
        <stp>912828QN Govt</stp>
        <stp>YAS_BOND_PX</stp>
        <stp>[BondPricer-0.2.xlsm]US_TREASURY_TYPE1!R15C20</stp>
        <stp>YAS_BOND_YLD=2.8872095</stp>
        <stp>YAS_YLD_CONV=2</stp>
        <tr r="T15" s="4"/>
      </tp>
      <tp>
        <v>110.43300000024469</v>
        <stp/>
        <stp>##V3_BDPV12</stp>
        <stp>EJ8158960 Govt</stp>
        <stp>YAS_BOND_PX</stp>
        <stp>[BondPricer-0.2.xlsm]GERMAN_BUND_TYPE60!R15C20</stp>
        <stp>YAS_BOND_YLD=-0.151622720202418</stp>
        <stp>YAS_YLD_CONV=1</stp>
        <tr r="T15" s="6"/>
      </tp>
      <tp>
        <v>86.443999999718571</v>
        <stp/>
        <stp>##V3_BDPV12</stp>
        <stp>CP5087939 Govt</stp>
        <stp>PX_ASK</stp>
        <stp>[BondPricer-0.2.xlsm]ITALIAN_BTPS_TYPE523!R21C22</stp>
        <stp>YAS_BOND_YLD=2.93207160926214</stp>
        <stp>YAS_YLD_CONV=1</stp>
        <tr r="V21" s="5"/>
      </tp>
      <tp>
        <v>0.29800000000000004</v>
        <stp/>
        <stp>##V3_BDPV12</stp>
        <stp>EJ0963383 Govt</stp>
        <stp>YLD_YTM_ASK</stp>
        <stp>[BondPricer-0.2.xlsm]JAPAN_JGB_TYPE51!R137C13</stp>
        <tr r="M137" s="7"/>
      </tp>
      <tp>
        <v>0.22400000000000003</v>
        <stp/>
        <stp>##V3_BDPV12</stp>
        <stp>EI4040636 Govt</stp>
        <stp>YLD_YTM_ASK</stp>
        <stp>[BondPricer-0.2.xlsm]JAPAN_JGB_TYPE51!R120C13</stp>
        <tr r="M120" s="7"/>
      </tp>
      <tp>
        <v>0.47499999999999931</v>
        <stp/>
        <stp>##V3_BDPV12</stp>
        <stp>EK9722886 Govt</stp>
        <stp>YLD_YTM_ASK</stp>
        <stp>[BondPricer-0.2.xlsm]JAPAN_JGB_TYPE51!R167C13</stp>
        <tr r="M167" s="7"/>
      </tp>
      <tp>
        <v>0.23399999999999951</v>
        <stp/>
        <stp>##V3_BDPV12</stp>
        <stp>EI5130493 Govt</stp>
        <stp>YLD_YTM_ASK</stp>
        <stp>[BondPricer-0.2.xlsm]JAPAN_JGB_TYPE51!R123C13</stp>
        <tr r="M123" s="7"/>
      </tp>
      <tp>
        <v>0.3350000000000003</v>
        <stp/>
        <stp>##V3_BDPV12</stp>
        <stp>EJ4883454 Govt</stp>
        <stp>YLD_YTM_ASK</stp>
        <stp>[BondPricer-0.2.xlsm]JAPAN_JGB_TYPE51!R146C13</stp>
        <tr r="M146" s="7"/>
      </tp>
      <tp>
        <v>0.38900000000000001</v>
        <stp/>
        <stp>##V3_BDPV12</stp>
        <stp>EJ9943964 Govt</stp>
        <stp>YLD_YTM_ASK</stp>
        <stp>[BondPricer-0.2.xlsm]JAPAN_JGB_TYPE51!R155C13</stp>
        <tr r="M155" s="7"/>
      </tp>
      <tp>
        <v>0.32499999999999957</v>
        <stp/>
        <stp>##V3_BDPV12</stp>
        <stp>EJ3633405 Govt</stp>
        <stp>YLD_YTM_ASK</stp>
        <stp>[BondPricer-0.2.xlsm]JAPAN_JGB_TYPE51!R143C13</stp>
        <tr r="M143" s="7"/>
      </tp>
      <tp>
        <v>0.58600000000000008</v>
        <stp/>
        <stp>##V3_BDPV12</stp>
        <stp>AL7975124 Govt</stp>
        <stp>YLD_YTM_ASK</stp>
        <stp>[BondPricer-0.2.xlsm]JAPAN_JGB_TYPE51!R179C13</stp>
        <tr r="M179" s="7"/>
      </tp>
      <tp>
        <v>0.60899999999999965</v>
        <stp/>
        <stp>##V3_BDPV12</stp>
        <stp>EH7911181 Govt</stp>
        <stp>YLD_YTM_ASK</stp>
        <stp>[BondPricer-0.2.xlsm]JAPAN_JGB_TYPE51!R186C13</stp>
        <tr r="M186" s="7"/>
      </tp>
      <tp>
        <v>0.14900000000000108</v>
        <stp/>
        <stp>##V3_BDPV12</stp>
        <stp>EH7611252 Govt</stp>
        <stp>YLD_YTM_ASK</stp>
        <stp>[BondPricer-0.2.xlsm]JAPAN_JGB_TYPE51!R106C13</stp>
        <tr r="M106" s="7"/>
      </tp>
      <tp>
        <v>0.18399999999999964</v>
        <stp/>
        <stp>##V3_BDPV12</stp>
        <stp>EI1590526 Govt</stp>
        <stp>YLD_YTM_ASK</stp>
        <stp>[BondPricer-0.2.xlsm]JAPAN_JGB_TYPE51!R112C13</stp>
        <tr r="M112" s="7"/>
      </tp>
      <tp>
        <v>72.995999925282106</v>
        <stp/>
        <stp>##V3_BDPV12</stp>
        <stp>EK0661752 Govt</stp>
        <stp>PX_ASK</stp>
        <stp>[BondPricer-0.2.xlsm]ITALIAN_BTPS_TYPE523!R64C22</stp>
        <stp>YAS_BOND_YLD=3.61115599048569</stp>
        <stp>YAS_YLD_CONV=1</stp>
        <tr r="V64" s="5"/>
      </tp>
      <tp>
        <v>77.977999984540901</v>
        <stp/>
        <stp>##V3_BDPV12</stp>
        <stp>EC5587786 Govt</stp>
        <stp>PX_ASK</stp>
        <stp>[BondPricer-0.2.xlsm]ITALIAN_BTPS_TYPE523!R43C22</stp>
        <stp>YAS_BOND_YLD=3.46929371604199</stp>
        <stp>YAS_YLD_CONV=1</stp>
        <tr r="V43" s="5"/>
      </tp>
      <tp>
        <v>0.15900000000000042</v>
        <stp/>
        <stp>##V3_BDPV12</stp>
        <stp>EH9141712 Govt</stp>
        <stp>YLD_YTM_ASK</stp>
        <stp>[BondPricer-0.2.xlsm]JAPAN_JGB_TYPE51!R107C13</stp>
        <tr r="M107" s="7"/>
      </tp>
      <tp>
        <v>44.140216449233257</v>
        <stp/>
        <stp>##V3_BDPV12</stp>
        <stp>AN2025442 Govt</stp>
        <stp>DUR_ADJ_ASK</stp>
        <stp>[BondPricer-0.2.xlsm]ITALIAN_BTPS_TYPE523!R204C29</stp>
        <stp>YLD_YTM_ASK=3.9258316137059</stp>
        <stp>YAS_YLD_CONV=1</stp>
        <tr r="AC204" s="5"/>
      </tp>
      <tp>
        <v>5.5668170859099488</v>
        <stp/>
        <stp>##V3_BDPV12</stp>
        <stp>912828G3 Govt</stp>
        <stp>DUR_ADJ_ASK</stp>
        <stp>[BondPricer-0.2.xlsm]US_TREASURY_TYPE1!R73C28</stp>
        <stp>YLD_YTM_ASK=3.060696</stp>
        <stp>YAS_YLD_CONV=3</stp>
        <tr r="AB73" s="4"/>
      </tp>
      <tp>
        <v>95.563999999999922</v>
        <stp/>
        <stp>##V3_BDPV12</stp>
        <stp>EI0428876 Govt</stp>
        <stp>YAS_BOND_PX</stp>
        <stp>[BondPricer-0.2.xlsm]FRENCH_BTAN_TYPE89!R78C20</stp>
        <stp>YAS_BOND_YLD=0.56722809578158</stp>
        <stp>YAS_YLD_CONV=1</stp>
        <tr r="T78" s="8"/>
      </tp>
      <tp>
        <v>97.083000000000055</v>
        <stp/>
        <stp>##V3_BDPV12</stp>
        <stp>EI0419057 Govt</stp>
        <stp>YAS_BOND_PX</stp>
        <stp>[BondPricer-0.2.xlsm]FRENCH_BTAN_TYPE89!R66C20</stp>
        <stp>YAS_BOND_YLD=0.42248280067676</stp>
        <stp>YAS_YLD_CONV=1</stp>
        <tr r="T66" s="8"/>
      </tp>
      <tp>
        <v>16.488450600849092</v>
        <stp/>
        <stp>##V3_BDPV12</stp>
        <stp>EH867755 Corp</stp>
        <stp>YAS_RISK</stp>
        <stp>[BondPricer-0.2.xlsm]UK_GILT_TYPE26!R22C24</stp>
        <stp>YLD_YTM_ASK=1.86623668092469</stp>
        <stp>YAS_YLD_CONV=3</stp>
        <tr r="X22" s="13"/>
      </tp>
      <tp>
        <v>96.164062471436026</v>
        <stp/>
        <stp>##V3_BDPV12</stp>
        <stp>912828R7 Govt</stp>
        <stp>YAS_BOND_PX</stp>
        <stp>[BondPricer-0.2.xlsm]US_TREASURY_TYPE1!R16C20</stp>
        <stp>YAS_BOND_YLD=2.9040778</stp>
        <stp>YAS_YLD_CONV=2</stp>
        <tr r="T16" s="4"/>
      </tp>
      <tp>
        <v>95.97656258058619</v>
        <stp/>
        <stp>##V3_BDPV12</stp>
        <stp>912828P8 Govt</stp>
        <stp>YAS_BOND_PX</stp>
        <stp>[BondPricer-0.2.xlsm]US_TREASURY_TYPE1!R10C20</stp>
        <stp>YAS_BOND_YLD=2.8912735</stp>
        <stp>YAS_YLD_CONV=2</stp>
        <tr r="T10" s="4"/>
      </tp>
      <tp>
        <v>96.500000135570545</v>
        <stp/>
        <stp>##V3_BDPV12</stp>
        <stp>912828U6 Govt</stp>
        <stp>YAS_BOND_PX</stp>
        <stp>[BondPricer-0.2.xlsm]US_TREASURY_TYPE1!R30C20</stp>
        <stp>YAS_BOND_YLD=2.9305891</stp>
        <stp>YAS_YLD_CONV=2</stp>
        <tr r="T30" s="4"/>
      </tp>
      <tp>
        <v>4.1249866734887064</v>
        <stp/>
        <stp>##V3_BDPV12</stp>
        <stp>EK3918563 Govt</stp>
        <stp>YAS_RISK</stp>
        <stp>[BondPricer-0.2.xlsm]FRENCH_BTAN_TYPE89!R34C24</stp>
        <stp>YLD_YTM_ASK=-0.0862506728008361</stp>
        <stp>YAS_YLD_CONV=1</stp>
        <tr r="X34" s="8"/>
      </tp>
      <tp>
        <v>95.195312469414745</v>
        <stp/>
        <stp>##V3_BDPV12</stp>
        <stp>912828TJ Govt</stp>
        <stp>YAS_BOND_PX</stp>
        <stp>[BondPricer-0.2.xlsm]US_TREASURY_TYPE1!R45C20</stp>
        <stp>YAS_BOND_YLD=2.9603283</stp>
        <stp>YAS_YLD_CONV=2</stp>
        <tr r="T45" s="4"/>
      </tp>
      <tp>
        <v>2.6373577359800575</v>
        <stp/>
        <stp>##V3_BDPV12</stp>
        <stp>EI6505420 Govt</stp>
        <stp>DUR_ADJ_ASK</stp>
        <stp>[BondPricer-0.2.xlsm]GERMAN_BUND_TYPE60!R8C27</stp>
        <stp>YLD_YTM_ASK=-0.499302132906982</stp>
        <stp>YAS_YLD_CONV=1</stp>
        <tr r="AA8" s="6"/>
      </tp>
      <tp>
        <v>0.27500000000000013</v>
        <stp/>
        <stp>##V3_BDPV12</stp>
        <stp>EI8131969 Govt</stp>
        <stp>YLD_YTM_ASK</stp>
        <stp>[BondPricer-0.2.xlsm]JAPAN_JGB_TYPE51!R131C13</stp>
        <tr r="M131" s="7"/>
      </tp>
      <tp>
        <v>0.34999999999999976</v>
        <stp/>
        <stp>##V3_BDPV12</stp>
        <stp>EJ6432110 Govt</stp>
        <stp>YLD_YTM_ASK</stp>
        <stp>[BondPricer-0.2.xlsm]JAPAN_JGB_TYPE51!R148C13</stp>
        <tr r="M148" s="7"/>
      </tp>
      <tp>
        <v>0.19400000000000089</v>
        <stp/>
        <stp>##V3_BDPV12</stp>
        <stp>EI2321434 Govt</stp>
        <stp>YLD_YTM_ASK</stp>
        <stp>[BondPricer-0.2.xlsm]JAPAN_JGB_TYPE51!R114C13</stp>
        <tr r="M114" s="7"/>
      </tp>
      <tp>
        <v>112.89200000032753</v>
        <stp/>
        <stp>##V3_BDPV12</stp>
        <stp>EJ0529135 Govt</stp>
        <stp>YAS_BOND_PX</stp>
        <stp>[BondPricer-0.2.xlsm]FRENCH_BTAN_TYPE89!R21C20</stp>
        <stp>YAS_BOND_YLD=0.0121608886815106</stp>
        <stp>YAS_YLD_CONV=1</stp>
        <tr r="T21" s="8"/>
      </tp>
      <tp>
        <v>76.4309999725632</v>
        <stp/>
        <stp>##V3_BDPV12</stp>
        <stp>EK0324096 Govt</stp>
        <stp>PX_ASK</stp>
        <stp>[BondPricer-0.2.xlsm]ITALIAN_BTPS_TYPE523!R50C22</stp>
        <stp>YAS_BOND_YLD=3.45567977343488</stp>
        <stp>YAS_YLD_CONV=1</stp>
        <tr r="V50" s="5"/>
      </tp>
      <tp>
        <v>8.2384705451086084</v>
        <stp/>
        <stp>##V3_BDPV12</stp>
        <stp>AM781675 Corp</stp>
        <stp>DUR_ADJ_ASK</stp>
        <stp>[BondPricer-0.2.xlsm]UK_GILT_TYPE26!R17C28</stp>
        <stp>YLD_YTM_ASK=1.50049311625929</stp>
        <stp>YAS_YLD_CONV=3</stp>
        <tr r="AB17" s="13"/>
      </tp>
      <tp>
        <v>67.761999642202724</v>
        <stp/>
        <stp>##V3_BDPV12</stp>
        <stp>EC1047439 Govt</stp>
        <stp>PX_ASK</stp>
        <stp>[BondPricer-0.2.xlsm]ITALIAN_BTPS_TYPE523!R87C22</stp>
        <stp>YAS_BOND_YLD=3.58769389607065</stp>
        <stp>YAS_YLD_CONV=1</stp>
        <tr r="V87" s="5"/>
      </tp>
      <tp>
        <v>99.675000000000026</v>
        <stp/>
        <stp>##V3_BDPV12</stp>
        <stp>EI0418976 Govt</stp>
        <stp>YAS_BOND_PX</stp>
        <stp>[BondPricer-0.2.xlsm]FRENCH_BTAN_TYPE89!R45C20</stp>
        <stp>YAS_BOND_YLD=0.0648427182831313</stp>
        <stp>YAS_YLD_CONV=1</stp>
        <tr r="T45" s="8"/>
      </tp>
      <tp>
        <v>99.021999635927756</v>
        <stp/>
        <stp>##V3_BDPV12</stp>
        <stp>EK2743541 Govt</stp>
        <stp>PX_ASK</stp>
        <stp>[BondPricer-0.2.xlsm]ITALIAN_BTPS_TYPE523!R90C22</stp>
        <stp>YAS_BOND_YLD=3.63764061881273</stp>
        <stp>YAS_YLD_CONV=1</stp>
        <tr r="V90" s="5"/>
      </tp>
      <tp>
        <v>84.758999999141977</v>
        <stp/>
        <stp>##V3_BDPV12</stp>
        <stp>EC5587323 Govt</stp>
        <stp>PX_ASK</stp>
        <stp>[BondPricer-0.2.xlsm]ITALIAN_BTPS_TYPE523!R23C22</stp>
        <stp>YAS_BOND_YLD=3.17476925298399</stp>
        <stp>YAS_YLD_CONV=1</stp>
        <tr r="V23" s="5"/>
      </tp>
      <tp>
        <v>71.945999892130061</v>
        <stp/>
        <stp>##V3_BDPV12</stp>
        <stp>EK0222670 Govt</stp>
        <stp>PX_ASK</stp>
        <stp>[BondPricer-0.2.xlsm]ITALIAN_BTPS_TYPE523!R70C22</stp>
        <stp>YAS_BOND_YLD=3.57525118563313</stp>
        <stp>YAS_YLD_CONV=1</stp>
        <tr r="V70" s="5"/>
      </tp>
      <tp>
        <v>66.674999644352141</v>
        <stp/>
        <stp>##V3_BDPV12</stp>
        <stp>EK0222910 Govt</stp>
        <stp>PX_ASK</stp>
        <stp>[BondPricer-0.2.xlsm]ITALIAN_BTPS_TYPE523!R83C22</stp>
        <stp>YAS_BOND_YLD=3.79637111140565</stp>
        <stp>YAS_YLD_CONV=1</stp>
        <tr r="V83" s="5"/>
      </tp>
      <tp>
        <v>71.436999885310499</v>
        <stp/>
        <stp>##V3_BDPV12</stp>
        <stp>EK0661877 Govt</stp>
        <stp>PX_ASK</stp>
        <stp>[BondPricer-0.2.xlsm]ITALIAN_BTPS_TYPE523!R71C22</stp>
        <stp>YAS_BOND_YLD=3.65373808077492</stp>
        <stp>YAS_YLD_CONV=1</stp>
        <tr r="V71" s="5"/>
      </tp>
      <tp>
        <v>18.535184467976475</v>
        <stp/>
        <stp>##V3_BDPV12</stp>
        <stp>EH2420832 Govt</stp>
        <stp>DUR_ADJ_ASK</stp>
        <stp>[BondPricer-0.2.xlsm]ITALIAN_BTPS_TYPE523!R136C29</stp>
        <stp>YLD_YTM_ASK=4.0765131075795</stp>
        <stp>YAS_YLD_CONV=1</stp>
        <tr r="AC136" s="5"/>
      </tp>
      <tp>
        <v>6.7731185082152479</v>
        <stp/>
        <stp>##V3_BDPV12</stp>
        <stp>EK9515322 Govt</stp>
        <stp>YAS_RISK</stp>
        <stp>[BondPricer-0.2.xlsm]JAPAN_JGB_TYPE51!R67C25</stp>
        <stp>YLD_YTM_ASK=-0.00699999999999945</stp>
        <stp>YAS_YLD_CONV=3</stp>
        <tr r="Y67" s="7"/>
      </tp>
      <tp>
        <v>112.703</v>
        <stp/>
        <stp>##V3_BDPV12</stp>
        <stp>ED9861136 Govt</stp>
        <stp>YAS_BOND_PX</stp>
        <stp>[BondPricer-0.2.xlsm]JAPAN_JGB_TYPE51!R70C20</stp>
        <stp>YAS_BOND_SPL_YLD=-0.00299999999999979</stp>
        <stp>YAS_YLD_CONV=2</stp>
        <tr r="T70" s="7"/>
      </tp>
      <tp>
        <v>114.03</v>
        <stp/>
        <stp>##V3_BDPV12</stp>
        <stp>EF0693129 Govt</stp>
        <stp>YAS_BOND_PX</stp>
        <stp>[BondPricer-0.2.xlsm]JAPAN_JGB_TYPE51!R68C20</stp>
        <stp>YAS_BOND_SPL_YLD=-0.00199999999999926</stp>
        <stp>YAS_YLD_CONV=2</stp>
        <tr r="T68" s="7"/>
      </tp>
      <tp>
        <v>96.664062385657061</v>
        <stp/>
        <stp>##V3_BDPV12</stp>
        <stp>912828V7 Govt</stp>
        <stp>YAS_BOND_PX</stp>
        <stp>[BondPricer-0.2.xlsm]US_TREASURY_TYPE1!R35C20</stp>
        <stp>YAS_BOND_YLD=2.9455587</stp>
        <stp>YAS_YLD_CONV=2</stp>
        <tr r="T35" s="4"/>
      </tp>
      <tp>
        <v>90.312499904065803</v>
        <stp/>
        <stp>##V3_BDPV12</stp>
        <stp>912828P4 Govt</stp>
        <stp>YAS_BOND_PX</stp>
        <stp>[BondPricer-0.2.xlsm]US_TREASURY_TYPE1!R80C20</stp>
        <stp>YAS_BOND_YLD=3.1128555</stp>
        <stp>YAS_YLD_CONV=2</stp>
        <tr r="T80" s="4"/>
      </tp>
      <tp>
        <v>120.702</v>
        <stp/>
        <stp>##V3_BDPV12</stp>
        <stp>EH9753441 Govt</stp>
        <stp>YAS_BOND_PX</stp>
        <stp>[BondPricer-0.2.xlsm]JAPAN_JGB_TYPE51!R109C20</stp>
        <stp>YAS_BOND_SPL_YLD=0.17</stp>
        <stp>YAS_YLD_CONV=2</stp>
        <tr r="T109" s="7"/>
      </tp>
      <tp>
        <v>96.02343751326768</v>
        <stp/>
        <stp>##V3_BDPV12</stp>
        <stp>912828UN Govt</stp>
        <stp>YAS_BOND_PX</stp>
        <stp>[BondPricer-0.2.xlsm]US_TREASURY_TYPE1!R52C20</stp>
        <stp>YAS_BOND_YLD=2.9850979</stp>
        <stp>YAS_YLD_CONV=2</stp>
        <tr r="T52" s="4"/>
      </tp>
      <tp>
        <v>98.804687729443202</v>
        <stp/>
        <stp>##V3_BDPV12</stp>
        <stp>912828WE Govt</stp>
        <stp>YAS_BOND_PX</stp>
        <stp>[BondPricer-0.2.xlsm]US_TREASURY_TYPE1!R65C20</stp>
        <stp>YAS_BOND_YLD=3.0051043</stp>
        <stp>YAS_YLD_CONV=2</stp>
        <tr r="T65" s="4"/>
      </tp>
      <tp>
        <v>97.742187431806229</v>
        <stp/>
        <stp>##V3_BDPV12</stp>
        <stp>912828WN Govt</stp>
        <stp>YAS_BOND_PX</stp>
        <stp>[BondPricer-0.2.xlsm]US_TREASURY_TYPE1!R17C20</stp>
        <stp>YAS_BOND_YLD=2.8996293</stp>
        <stp>YAS_YLD_CONV=2</stp>
        <tr r="T17" s="4"/>
      </tp>
      <tp>
        <v>98.234374928485423</v>
        <stp/>
        <stp>##V3_BDPV12</stp>
        <stp>912828WY Govt</stp>
        <stp>YAS_BOND_PX</stp>
        <stp>[BondPricer-0.2.xlsm]US_TREASURY_TYPE1!R21C20</stp>
        <stp>YAS_BOND_YLD=2.9125788</stp>
        <stp>YAS_YLD_CONV=2</stp>
        <tr r="T21" s="4"/>
      </tp>
      <tp>
        <v>74.181999945846314</v>
        <stp/>
        <stp>##V3_BDPV12</stp>
        <stp>CP5088002 Govt</stp>
        <stp>PX_ASK</stp>
        <stp>[BondPricer-0.2.xlsm]ITALIAN_BTPS_TYPE523!R60C22</stp>
        <stp>YAS_BOND_YLD=3.55629750279667</stp>
        <stp>YAS_YLD_CONV=1</stp>
        <tr r="V60" s="5"/>
      </tp>
      <tp>
        <v>0.24400000000000094</v>
        <stp/>
        <stp>##V3_BDPV12</stp>
        <stp>EI6132563 Govt</stp>
        <stp>YLD_YTM_ASK</stp>
        <stp>[BondPricer-0.2.xlsm]JAPAN_JGB_TYPE51!R125C13</stp>
        <tr r="M125" s="7"/>
      </tp>
      <tp>
        <v>27.565732389495036</v>
        <stp/>
        <stp>##V3_BDPV12</stp>
        <stp>AM064544 Corp</stp>
        <stp>DUR_ADJ_ASK</stp>
        <stp>[BondPricer-0.2.xlsm]UK_GILT_TYPE26!R37C28</stp>
        <stp>YLD_YTM_ASK=1.95302873670346</stp>
        <stp>YAS_YLD_CONV=3</stp>
        <tr r="AB37" s="13"/>
      </tp>
      <tp>
        <v>79.250999990339864</v>
        <stp/>
        <stp>##V3_BDPV12</stp>
        <stp>EK0221953 Govt</stp>
        <stp>PX_ASK</stp>
        <stp>[BondPricer-0.2.xlsm]ITALIAN_BTPS_TYPE523!R40C22</stp>
        <stp>YAS_BOND_YLD=3.44146112327084</stp>
        <stp>YAS_YLD_CONV=1</stp>
        <tr r="V40" s="5"/>
      </tp>
      <tp>
        <v>0.41900000000000082</v>
        <stp/>
        <stp>##V3_BDPV12</stp>
        <stp>EK3390219 Govt</stp>
        <stp>YLD_YTM_ASK</stp>
        <stp>[BondPricer-0.2.xlsm]JAPAN_JGB_TYPE51!R159C13</stp>
        <tr r="M159" s="7"/>
      </tp>
      <tp>
        <v>0.30000000000000016</v>
        <stp/>
        <stp>##V3_BDPV12</stp>
        <stp>EJ1461163 Govt</stp>
        <stp>YLD_YTM_ASK</stp>
        <stp>[BondPricer-0.2.xlsm]JAPAN_JGB_TYPE51!R138C13</stp>
        <tr r="M138" s="7"/>
      </tp>
      <tp>
        <v>0.40400000000000075</v>
        <stp/>
        <stp>##V3_BDPV12</stp>
        <stp>EK1340612 Govt</stp>
        <stp>YLD_YTM_ASK</stp>
        <stp>[BondPricer-0.2.xlsm]JAPAN_JGB_TYPE51!R157C13</stp>
        <tr r="M157" s="7"/>
      </tp>
      <tp>
        <v>0.31500000000000067</v>
        <stp/>
        <stp>##V3_BDPV12</stp>
        <stp>EJ3001454 Govt</stp>
        <stp>YLD_YTM_ASK</stp>
        <stp>[BondPricer-0.2.xlsm]JAPAN_JGB_TYPE51!R141C13</stp>
        <tr r="M141" s="7"/>
      </tp>
      <tp>
        <v>68.036999721801834</v>
        <stp/>
        <stp>##V3_BDPV12</stp>
        <stp>EC1067627 Govt</stp>
        <stp>PX_ASK</stp>
        <stp>[BondPricer-0.2.xlsm]ITALIAN_BTPS_TYPE523!R81C22</stp>
        <stp>YAS_BOND_YLD=3.72020016476546</stp>
        <stp>YAS_YLD_CONV=1</stp>
        <tr r="V81" s="5"/>
      </tp>
      <tp>
        <v>28.095854744879531</v>
        <stp/>
        <stp>##V3_BDPV12</stp>
        <stp>EJ712548 Corp</stp>
        <stp>DUR_ADJ_ASK</stp>
        <stp>[BondPricer-0.2.xlsm]UK_GILT_TYPE26!R40C28</stp>
        <stp>YLD_YTM_ASK=1.93605070782293</stp>
        <stp>YAS_YLD_CONV=3</stp>
        <tr r="AB40" s="13"/>
      </tp>
      <tp>
        <v>74.828999956432867</v>
        <stp/>
        <stp>##V3_BDPV12</stp>
        <stp>EC5588461 Govt</stp>
        <stp>PX_ASK</stp>
        <stp>[BondPricer-0.2.xlsm]ITALIAN_BTPS_TYPE523!R56C22</stp>
        <stp>YAS_BOND_YLD=3.55932334025753</stp>
        <stp>YAS_YLD_CONV=1</stp>
        <tr r="V56" s="5"/>
      </tp>
      <tp>
        <v>0.45099999999999946</v>
        <stp/>
        <stp>##V3_BDPV12</stp>
        <stp>EK6660931 Govt</stp>
        <stp>YLD_YTM_ASK</stp>
        <stp>[BondPricer-0.2.xlsm]JAPAN_JGB_TYPE51!R163C13</stp>
        <tr r="M163" s="7"/>
      </tp>
      <tp>
        <v>0.16999999999999971</v>
        <stp/>
        <stp>##V3_BDPV12</stp>
        <stp>EH9753441 Govt</stp>
        <stp>YLD_YTM_ASK</stp>
        <stp>[BondPricer-0.2.xlsm]JAPAN_JGB_TYPE51!R109C13</stp>
        <tr r="M109" s="7"/>
      </tp>
      <tp>
        <v>8.2161309737936321</v>
        <stp/>
        <stp>##V3_BDPV12</stp>
        <stp>AL9975494 Govt</stp>
        <stp>DUR_ADJ_ASK</stp>
        <stp>[BondPricer-0.2.xlsm]GERMAN_BUND_TYPE60!R24C27</stp>
        <stp>YLD_YTM_ASK=0.314051894246553</stp>
        <stp>YAS_YLD_CONV=1</stp>
        <tr r="AA24" s="6"/>
      </tp>
      <tp>
        <v>9.4186424220817244</v>
        <stp/>
        <stp>##V3_BDPV12</stp>
        <stp>AQ7824545 Corp</stp>
        <stp>DUR_ADJ_ASK</stp>
        <stp>[BondPricer-0.2.xlsm]AUSTRALIAN_GOVT_TYPE23!R53C30</stp>
        <stp>YLD_YTM_ASK=2.6337725105709</stp>
        <stp>YAS_YLD_CONV=3</stp>
        <tr r="AD53" s="9"/>
      </tp>
      <tp>
        <v>122.58499999999985</v>
        <stp/>
        <stp>##V3_BDPV12</stp>
        <stp>EI3077506 Govt</stp>
        <stp>YAS_BOND_PX</stp>
        <stp>[BondPricer-0.2.xlsm]FRENCH_BTAN_TYPE89!R71C20</stp>
        <stp>YAS_BOND_YLD=0.44006387736512</stp>
        <stp>YAS_YLD_CONV=1</stp>
        <tr r="T71" s="8"/>
      </tp>
      <tp>
        <v>22.043384289568735</v>
        <stp/>
        <stp>##V3_BDPV12</stp>
        <stp>EI291005 Corp</stp>
        <stp>YAS_RISK</stp>
        <stp>[BondPricer-0.2.xlsm]UK_GILT_TYPE26!R27C24</stp>
        <stp>YLD_YTM_ASK=1.98820271080695</stp>
        <stp>YAS_YLD_CONV=3</stp>
        <tr r="X27" s="13"/>
      </tp>
      <tp>
        <v>92.531249790639862</v>
        <stp/>
        <stp>##V3_BDPV12</stp>
        <stp>912828T2 Govt</stp>
        <stp>YAS_BOND_PX</stp>
        <stp>[BondPricer-0.2.xlsm]US_TREASURY_TYPE1!R63C20</stp>
        <stp>YAS_BOND_YLD=3.0083262</stp>
        <stp>YAS_YLD_CONV=2</stp>
        <tr r="T63" s="4"/>
      </tp>
      <tp>
        <v>97.148437606824317</v>
        <stp/>
        <stp>##V3_BDPV12</stp>
        <stp>912828U8 Govt</stp>
        <stp>YAS_BOND_PX</stp>
        <stp>[BondPricer-0.2.xlsm]US_TREASURY_TYPE1!R33C20</stp>
        <stp>YAS_BOND_YLD=2.9377734</stp>
        <stp>YAS_YLD_CONV=2</stp>
        <tr r="T33" s="4"/>
      </tp>
      <tp>
        <v>95.23437506689433</v>
        <stp/>
        <stp>##V3_BDPV12</stp>
        <stp>912828S7 Govt</stp>
        <stp>YAS_BOND_PX</stp>
        <stp>[BondPricer-0.2.xlsm]US_TREASURY_TYPE1!R20C20</stp>
        <stp>YAS_BOND_YLD=2.9150823</stp>
        <stp>YAS_YLD_CONV=2</stp>
        <tr r="T20" s="4"/>
      </tp>
      <tp>
        <v>95.570312553925177</v>
        <stp/>
        <stp>##V3_BDPV12</stp>
        <stp>912828W4 Govt</stp>
        <stp>YAS_BOND_PX</stp>
        <stp>[BondPricer-0.2.xlsm]US_TREASURY_TYPE1!R70C20</stp>
        <stp>YAS_BOND_YLD=3.0241361</stp>
        <stp>YAS_YLD_CONV=2</stp>
        <tr r="T70" s="4"/>
      </tp>
      <tp>
        <v>21.050399304779432</v>
        <stp/>
        <stp>##V3_BDPV12</stp>
        <stp>ED422520 Corp</stp>
        <stp>YAS_RISK</stp>
        <stp>[BondPricer-0.2.xlsm]UK_GILT_TYPE26!R25C24</stp>
        <stp>YLD_YTM_ASK=1.94725986094168</stp>
        <stp>YAS_YLD_CONV=3</stp>
        <tr r="X25" s="13"/>
      </tp>
      <tp>
        <v>2.1599298193949998</v>
        <stp/>
        <stp>##V3_BDPV12</stp>
        <stp>EI4719627 Govt</stp>
        <stp>DUR_ADJ_ASK</stp>
        <stp>[BondPricer-0.2.xlsm]GERMAN_BUND_TYPE60!R7C27</stp>
        <stp>YLD_YTM_ASK=-0.583801461678354</stp>
        <stp>YAS_YLD_CONV=1</stp>
        <tr r="AA7" s="6"/>
      </tp>
      <tp>
        <v>95.992187345052301</v>
        <stp/>
        <stp>##V3_BDPV12</stp>
        <stp>912828WZ Govt</stp>
        <stp>YAS_BOND_PX</stp>
        <stp>[BondPricer-0.2.xlsm]US_TREASURY_TYPE1!R40C20</stp>
        <stp>YAS_BOND_YLD=2.9502328</stp>
        <stp>YAS_YLD_CONV=2</stp>
        <tr r="T40" s="4"/>
      </tp>
      <tp>
        <v>0.12400000000000021</v>
        <stp/>
        <stp>##V3_BDPV12</stp>
        <stp>EH5622715 Govt</stp>
        <stp>YLD_YTM_ASK</stp>
        <stp>[BondPricer-0.2.xlsm]JAPAN_JGB_TYPE51!R101C13</stp>
        <tr r="M101" s="7"/>
      </tp>
      <tp>
        <v>91.54899996017879</v>
        <stp/>
        <stp>##V3_BDPV12</stp>
        <stp>AM2936822 Govt</stp>
        <stp>PX_ASK</stp>
        <stp>[BondPricer-0.2.xlsm]ITALIAN_BTPS_TYPE523!R61C22</stp>
        <stp>YAS_BOND_YLD=3.36331912550476</stp>
        <stp>YAS_YLD_CONV=1</stp>
        <tr r="V61" s="5"/>
      </tp>
      <tp>
        <v>105.404</v>
        <stp/>
        <stp>##V3_BDPV12</stp>
        <stp>EC3321972 Govt</stp>
        <stp>YAS_BOND_PX</stp>
        <stp>[BondPricer-0.2.xlsm]JAPAN_JGB_TYPE51!R11C20</stp>
        <stp>YAS_BOND_SPL_YLD=-0.12</stp>
        <stp>YAS_YLD_CONV=2</stp>
        <tr r="T11" s="7"/>
      </tp>
      <tp>
        <v>0.27399999999999974</v>
        <stp/>
        <stp>##V3_BDPV12</stp>
        <stp>EI8863967 Govt</stp>
        <stp>YLD_YTM_ASK</stp>
        <stp>[BondPricer-0.2.xlsm]JAPAN_JGB_TYPE51!R132C13</stp>
        <tr r="M132" s="7"/>
      </tp>
      <tp>
        <v>103.08299999828547</v>
        <stp/>
        <stp>##V3_BDPV12</stp>
        <stp>EK0933524 Govt</stp>
        <stp>PX_ASK</stp>
        <stp>[BondPricer-0.2.xlsm]ITALIAN_BTPS_TYPE523!R29C22</stp>
        <stp>YAS_BOND_YLD=3.19369004003307</stp>
        <stp>YAS_YLD_CONV=1</stp>
        <tr r="V29" s="5"/>
      </tp>
      <tp>
        <v>96.642999997977341</v>
        <stp/>
        <stp>##V3_BDPV12</stp>
        <stp>EK4572963 Govt</stp>
        <stp>PX_ASK</stp>
        <stp>[BondPricer-0.2.xlsm]ITALIAN_BTPS_TYPE523!R32C22</stp>
        <stp>YAS_BOND_YLD=3.12862194652213</stp>
        <stp>YAS_YLD_CONV=1</stp>
        <tr r="V32" s="5"/>
      </tp>
      <tp>
        <v>67.072999618386206</v>
        <stp/>
        <stp>##V3_BDPV12</stp>
        <stp>EJ4853184 Govt</stp>
        <stp>PX_ASK</stp>
        <stp>[BondPricer-0.2.xlsm]ITALIAN_BTPS_TYPE523!R86C22</stp>
        <stp>YAS_BOND_YLD=3.68362524617909</stp>
        <stp>YAS_YLD_CONV=1</stp>
        <tr r="V86" s="5"/>
      </tp>
      <tp>
        <v>69.700999810402564</v>
        <stp/>
        <stp>##V3_BDPV12</stp>
        <stp>EC1067726 Govt</stp>
        <stp>PX_ASK</stp>
        <stp>[BondPricer-0.2.xlsm]ITALIAN_BTPS_TYPE523!R77C22</stp>
        <stp>YAS_BOND_YLD=3.66030002097806</stp>
        <stp>YAS_YLD_CONV=1</stp>
        <tr r="V77" s="5"/>
      </tp>
      <tp>
        <v>0.20900000000000013</v>
        <stp/>
        <stp>##V3_BDPV12</stp>
        <stp>EI2903413 Govt</stp>
        <stp>YLD_YTM_ASK</stp>
        <stp>[BondPricer-0.2.xlsm]JAPAN_JGB_TYPE51!R118C13</stp>
        <tr r="M118" s="7"/>
      </tp>
      <tp>
        <v>0.25899999999999845</v>
        <stp/>
        <stp>##V3_BDPV12</stp>
        <stp>EI7953108 Govt</stp>
        <stp>YLD_YTM_ASK</stp>
        <stp>[BondPricer-0.2.xlsm]JAPAN_JGB_TYPE51!R130C13</stp>
        <tr r="M130" s="7"/>
      </tp>
      <tp>
        <v>4.6303863515072514</v>
        <stp/>
        <stp>##V3_BDPV12</stp>
        <stp>EJ707218 Corp</stp>
        <stp>DUR_ADJ_ASK</stp>
        <stp>[BondPricer-0.2.xlsm]UK_GILT_TYPE26!R12C28</stp>
        <stp>YLD_YTM_ASK=1.14729525790025</stp>
        <stp>YAS_YLD_CONV=3</stp>
        <tr r="AB12" s="13"/>
      </tp>
      <tp>
        <v>69.892999828929646</v>
        <stp/>
        <stp>##V3_BDPV12</stp>
        <stp>EK0661935 Govt</stp>
        <stp>PX_ASK</stp>
        <stp>[BondPricer-0.2.xlsm]ITALIAN_BTPS_TYPE523!R76C22</stp>
        <stp>YAS_BOND_YLD=3.69477107710161</stp>
        <stp>YAS_YLD_CONV=1</stp>
        <tr r="V76" s="5"/>
      </tp>
      <tp>
        <v>0.22399999999999987</v>
        <stp/>
        <stp>##V3_BDPV12</stp>
        <stp>EI4443103 Govt</stp>
        <stp>YLD_YTM_ASK</stp>
        <stp>[BondPricer-0.2.xlsm]JAPAN_JGB_TYPE51!R121C13</stp>
        <tr r="M121" s="7"/>
      </tp>
      <tp>
        <v>12.074249202212705</v>
        <stp/>
        <stp>##V3_BDPV12</stp>
        <stp>EH867755 Corp</stp>
        <stp>DUR_ADJ_ASK</stp>
        <stp>[BondPricer-0.2.xlsm]UK_GILT_TYPE26!R22C28</stp>
        <stp>YLD_YTM_ASK=1.86623668092469</stp>
        <stp>YAS_YLD_CONV=3</stp>
        <tr r="AB22" s="13"/>
      </tp>
      <tp>
        <v>68.387999751671202</v>
        <stp/>
        <stp>##V3_BDPV12</stp>
        <stp>EK0661992 Govt</stp>
        <stp>PX_ASK</stp>
        <stp>[BondPricer-0.2.xlsm]ITALIAN_BTPS_TYPE523!R80C22</stp>
        <stp>YAS_BOND_YLD=3.73103914483739</stp>
        <stp>YAS_YLD_CONV=1</stp>
        <tr r="V80" s="5"/>
      </tp>
      <tp>
        <v>99.960000000000008</v>
        <stp/>
        <stp>##V3_BDPV12</stp>
        <stp>GG7182585 Govt</stp>
        <stp>YAS_BOND_PX</stp>
        <stp>[BondPricer-0.2.xlsm]FRENCH_BTAN_TYPE89!R26C20</stp>
        <stp>YAS_BOND_YLD=0.0113647864268929</stp>
        <stp>YAS_YLD_CONV=1</stp>
        <tr r="T26" s="8"/>
      </tp>
      <tp>
        <v>22.376905767767486</v>
        <stp/>
        <stp>##V3_BDPV12</stp>
        <stp>ED946246 Corp</stp>
        <stp>DUR_ADJ_ASK</stp>
        <stp>[BondPricer-0.2.xlsm]UK_GILT_TYPE26!R36C28</stp>
        <stp>YLD_YTM_ASK=1.96132827628212</stp>
        <stp>YAS_YLD_CONV=3</stp>
        <tr r="AB36" s="13"/>
      </tp>
      <tp>
        <v>126.89099997742944</v>
        <stp/>
        <stp>##V3_BDPV12</stp>
        <stp>GG7302712 Govt</stp>
        <stp>PX_ASK</stp>
        <stp>[BondPricer-0.2.xlsm]ITALIAN_BTPS_TYPE523!R51C22</stp>
        <stp>YAS_BOND_YLD=3.42660160957093</stp>
        <stp>YAS_YLD_CONV=1</stp>
        <tr r="V51" s="5"/>
      </tp>
      <tp>
        <v>3.0514688822316969</v>
        <stp/>
        <stp>##V3_BDPV12</stp>
        <stp>912828G8 Govt</stp>
        <stp>DUR_ADJ_ASK</stp>
        <stp>[BondPricer-0.2.xlsm]US_TREASURY_TYPE1!R32C28</stp>
        <stp>YLD_YTM_ASK=2.934143</stp>
        <stp>YAS_YLD_CONV=3</stp>
        <tr r="AB32" s="4"/>
      </tp>
      <tp>
        <v>3.315221797608888</v>
        <stp/>
        <stp>##V3_BDPV12</stp>
        <stp>912828J7 Govt</stp>
        <stp>DUR_ADJ_ASK</stp>
        <stp>[BondPricer-0.2.xlsm]US_TREASURY_TYPE1!R39C28</stp>
        <stp>YLD_YTM_ASK=2.944493</stp>
        <stp>YAS_YLD_CONV=3</stp>
        <tr r="AB39" s="4"/>
      </tp>
      <tp>
        <v>15.754522753032571</v>
        <stp/>
        <stp>##V3_BDPV12</stp>
        <stp>EH4697106 Govt</stp>
        <stp>DUR_ADJ_ASK</stp>
        <stp>[BondPricer-0.2.xlsm]GERMAN_BUND_TYPE60!R33C27</stp>
        <stp>YLD_YTM_ASK=0.910764986811347</stp>
        <stp>YAS_YLD_CONV=1</stp>
        <tr r="AA33" s="6"/>
      </tp>
      <tp>
        <v>2.6254092371355666</v>
        <stp/>
        <stp>##V3_BDPV12</stp>
        <stp>912828S2 Govt</stp>
        <stp>DUR_ADJ_ASK</stp>
        <stp>[BondPricer-0.2.xlsm]US_TREASURY_TYPE1!R18C28</stp>
        <stp>YLD_YTM_ASK=2.904815</stp>
        <stp>YAS_YLD_CONV=3</stp>
        <tr r="AB18" s="4"/>
      </tp>
      <tp>
        <v>14.348727264879429</v>
        <stp/>
        <stp>##V3_BDPV12</stp>
        <stp>EK0223637 Govt</stp>
        <stp>DUR_ADJ_ASK</stp>
        <stp>[BondPricer-0.2.xlsm]ITALIAN_BTPS_TYPE523!R115C29</stp>
        <stp>YLD_YTM_ASK=3.6533351101858</stp>
        <stp>YAS_YLD_CONV=1</stp>
        <tr r="AC115" s="5"/>
      </tp>
      <tp>
        <v>7.0699441666181286</v>
        <stp/>
        <stp>##V3_BDPV12</stp>
        <stp>912810FB Govt</stp>
        <stp>DUR_ADJ_ASK</stp>
        <stp>[BondPricer-0.2.xlsm]US_TREASURY_TYPE1!R89C28</stp>
        <stp>YLD_YTM_ASK=3.126219</stp>
        <stp>YAS_YLD_CONV=3</stp>
        <tr r="AB89" s="4"/>
      </tp>
      <tp>
        <v>7.1543140442543063</v>
        <stp/>
        <stp>##V3_BDPV12</stp>
        <stp>EF0357980 Govt</stp>
        <stp>YAS_RISK</stp>
        <stp>[BondPricer-0.2.xlsm]JAPAN_JGB_TYPE51!R69C25</stp>
        <stp>YLD_YTM_ASK=-0.00300000000000046</stp>
        <stp>YAS_YLD_CONV=3</stp>
        <tr r="Y69" s="7"/>
      </tp>
      <tp>
        <v>93.546874817522792</v>
        <stp/>
        <stp>##V3_BDPV12</stp>
        <stp>912828V9 Govt</stp>
        <stp>YAS_BOND_PX</stp>
        <stp>[BondPricer-0.2.xlsm]US_TREASURY_TYPE1!R87C20</stp>
        <stp>YAS_BOND_YLD=3.1358795</stp>
        <stp>YAS_YLD_CONV=2</stp>
        <tr r="T87" s="4"/>
      </tp>
      <tp>
        <v>94.851562492403403</v>
        <stp/>
        <stp>##V3_BDPV12</stp>
        <stp>912828TY Govt</stp>
        <stp>YAS_BOND_PX</stp>
        <stp>[BondPricer-0.2.xlsm]US_TREASURY_TYPE1!R49C20</stp>
        <stp>YAS_BOND_YLD=2.9736253</stp>
        <stp>YAS_YLD_CONV=2</stp>
        <tr r="T49" s="4"/>
      </tp>
      <tp>
        <v>97.304687474595227</v>
        <stp/>
        <stp>##V3_BDPV12</stp>
        <stp>912828RR Govt</stp>
        <stp>YAS_BOND_PX</stp>
        <stp>[BondPricer-0.2.xlsm]US_TREASURY_TYPE1!R29C20</stp>
        <stp>YAS_BOND_YLD=2.9206482</stp>
        <stp>YAS_YLD_CONV=2</stp>
        <tr r="T29" s="4"/>
      </tp>
      <tp>
        <v>97.984374928923373</v>
        <stp/>
        <stp>##V3_BDPV12</stp>
        <stp>912828WR Govt</stp>
        <stp>YAS_BOND_PX</stp>
        <stp>[BondPricer-0.2.xlsm]US_TREASURY_TYPE1!R19C20</stp>
        <stp>YAS_BOND_YLD=2.9040522</stp>
        <stp>YAS_YLD_CONV=2</stp>
        <tr r="T19" s="4"/>
      </tp>
      <tp>
        <v>123.13099933680905</v>
        <stp/>
        <stp>##V3_BDPV12</stp>
        <stp>EC2373701 Govt</stp>
        <stp>PX_ASK</stp>
        <stp>[BondPricer-0.2.xlsm]ITALIAN_BTPS_TYPE523!R96C22</stp>
        <stp>YAS_BOND_YLD=3.71322030286234</stp>
        <stp>YAS_YLD_CONV=1</stp>
        <tr r="V96" s="5"/>
      </tp>
      <tp>
        <v>106.74299999988331</v>
        <stp/>
        <stp>##V3_BDPV12</stp>
        <stp>EJ5688621 Govt</stp>
        <stp>PX_ASK</stp>
        <stp>[BondPricer-0.2.xlsm]ITALIAN_BTPS_TYPE523!R12C22</stp>
        <stp>YAS_BOND_YLD=2.92307222529982</stp>
        <stp>YAS_YLD_CONV=1</stp>
        <tr r="V12" s="5"/>
      </tp>
      <tp>
        <v>0.58799999999999941</v>
        <stp/>
        <stp>##V3_BDPV12</stp>
        <stp>EH5985450 Govt</stp>
        <stp>YLD_YTM_ASK</stp>
        <stp>[BondPricer-0.2.xlsm]JAPAN_JGB_TYPE51!R185C13</stp>
        <tr r="M185" s="7"/>
      </tp>
      <tp>
        <v>0.24899999999999997</v>
        <stp/>
        <stp>##V3_BDPV12</stp>
        <stp>EI6924050 Govt</stp>
        <stp>YLD_YTM_ASK</stp>
        <stp>[BondPricer-0.2.xlsm]JAPAN_JGB_TYPE51!R127C13</stp>
        <tr r="M127" s="7"/>
      </tp>
      <tp>
        <v>0.5499999999999996</v>
        <stp/>
        <stp>##V3_BDPV12</stp>
        <stp>JK5016049 Govt</stp>
        <stp>YLD_YTM_ASK</stp>
        <stp>[BondPricer-0.2.xlsm]JAPAN_JGB_TYPE51!R173C13</stp>
        <tr r="M173" s="7"/>
      </tp>
      <tp>
        <v>66.883999646287108</v>
        <stp/>
        <stp>##V3_BDPV12</stp>
        <stp>EK0662115 Govt</stp>
        <stp>PX_ASK</stp>
        <stp>[BondPricer-0.2.xlsm]ITALIAN_BTPS_TYPE523!R84C22</stp>
        <stp>YAS_BOND_YLD=3.76651343261891</stp>
        <stp>YAS_YLD_CONV=1</stp>
        <tr r="V84" s="5"/>
      </tp>
      <tp>
        <v>14.202980838828026</v>
        <stp/>
        <stp>##V3_BDPV12</stp>
        <stp>ED422520 Corp</stp>
        <stp>DUR_ADJ_ASK</stp>
        <stp>[BondPricer-0.2.xlsm]UK_GILT_TYPE26!R25C28</stp>
        <stp>YLD_YTM_ASK=1.94725986094168</stp>
        <stp>YAS_YLD_CONV=3</stp>
        <tr r="AB25" s="13"/>
      </tp>
      <tp>
        <v>0.30999999999999917</v>
        <stp/>
        <stp>##V3_BDPV12</stp>
        <stp>EJ2397945 Govt</stp>
        <stp>YLD_YTM_ASK</stp>
        <stp>[BondPricer-0.2.xlsm]JAPAN_JGB_TYPE51!R142C13</stp>
        <tr r="M142" s="7"/>
      </tp>
      <tp>
        <v>0.2139999999999998</v>
        <stp/>
        <stp>##V3_BDPV12</stp>
        <stp>EI3854854 Govt</stp>
        <stp>YLD_YTM_ASK</stp>
        <stp>[BondPricer-0.2.xlsm]JAPAN_JGB_TYPE51!R117C13</stp>
        <tr r="M117" s="7"/>
      </tp>
      <tp>
        <v>0.14900000000000013</v>
        <stp/>
        <stp>##V3_BDPV12</stp>
        <stp>EH7995887 Govt</stp>
        <stp>YLD_YTM_ASK</stp>
        <stp>[BondPricer-0.2.xlsm]JAPAN_JGB_TYPE51!R105C13</stp>
        <tr r="M105" s="7"/>
      </tp>
      <tp>
        <v>80.764999994675449</v>
        <stp/>
        <stp>##V3_BDPV12</stp>
        <stp>EK0221532 Govt</stp>
        <stp>PX_ASK</stp>
        <stp>[BondPricer-0.2.xlsm]ITALIAN_BTPS_TYPE523!R35C22</stp>
        <stp>YAS_BOND_YLD=3.40595522747755</stp>
        <stp>YAS_YLD_CONV=1</stp>
        <tr r="V35" s="5"/>
      </tp>
      <tp>
        <v>0.28399999999999997</v>
        <stp/>
        <stp>##V3_BDPV12</stp>
        <stp>EI9104742 Govt</stp>
        <stp>YLD_YTM_ASK</stp>
        <stp>[BondPricer-0.2.xlsm]JAPAN_JGB_TYPE51!R135C13</stp>
        <tr r="M135" s="7"/>
      </tp>
      <tp>
        <v>0.43300000000000072</v>
        <stp/>
        <stp>##V3_BDPV12</stp>
        <stp>EK4996816 Govt</stp>
        <stp>YLD_YTM_ASK</stp>
        <stp>[BondPricer-0.2.xlsm]JAPAN_JGB_TYPE51!R161C13</stp>
        <tr r="M161" s="7"/>
      </tp>
      <tp>
        <v>0.15899999999999959</v>
        <stp/>
        <stp>##V3_BDPV12</stp>
        <stp>EH8715490 Govt</stp>
        <stp>YLD_YTM_ASK</stp>
        <stp>[BondPricer-0.2.xlsm]JAPAN_JGB_TYPE51!R108C13</stp>
        <tr r="M108" s="7"/>
      </tp>
      <tp>
        <v>38.324745613887046</v>
        <stp/>
        <stp>##V3_BDPV12</stp>
        <stp>AN2017233 Govt</stp>
        <stp>DUR_ADJ_ASK</stp>
        <stp>[BondPricer-0.2.xlsm]ITALIAN_BTPS_TYPE523!R192C29</stp>
        <stp>YLD_YTM_ASK=4.0471242534204</stp>
        <stp>YAS_YLD_CONV=1</stp>
        <tr r="AC192" s="5"/>
      </tp>
      <tp>
        <v>4.1905418250045834</v>
        <stp/>
        <stp>##V3_BDPV12</stp>
        <stp>912810EQ Govt</stp>
        <stp>DUR_ADJ_ASK</stp>
        <stp>[BondPricer-0.2.xlsm]US_TREASURY_TYPE1!R60C28</stp>
        <stp>YLD_YTM_ASK=2.966876</stp>
        <stp>YAS_YLD_CONV=3</stp>
        <tr r="AB60" s="4"/>
      </tp>
      <tp>
        <v>15.464875790812055</v>
        <stp/>
        <stp>##V3_BDPV12</stp>
        <stp>EG1209048 Govt</stp>
        <stp>DUR_ADJ_ASK</stp>
        <stp>[BondPricer-0.2.xlsm]GERMAN_BUND_TYPE60!R32C27</stp>
        <stp>YLD_YTM_ASK=0.904383246548721</stp>
        <stp>YAS_YLD_CONV=1</stp>
        <tr r="AA32" s="6"/>
      </tp>
      <tp>
        <v>9.9151081998250135</v>
        <stp/>
        <stp>##V3_BDPV12</stp>
        <stp>EC5346845 Govt</stp>
        <stp>DUR_ADJ_ASK</stp>
        <stp>[BondPricer-0.2.xlsm]ITALIAN_BTPS_TYPE523!R107C29</stp>
        <stp>YLD_YTM_ASK=3.8010247032769</stp>
        <stp>YAS_YLD_CONV=1</stp>
        <tr r="AC107" s="5"/>
      </tp>
      <tp>
        <v>92.23437478970672</v>
        <stp/>
        <stp>##V3_BDPV12</stp>
        <stp>912828S9 Govt</stp>
        <stp>YAS_BOND_PX</stp>
        <stp>[BondPricer-0.2.xlsm]US_TREASURY_TYPE1!R59C20</stp>
        <stp>YAS_BOND_YLD=3.0021805</stp>
        <stp>YAS_YLD_CONV=2</stp>
        <tr r="T59" s="4"/>
      </tp>
      <tp>
        <v>95.148437570585116</v>
        <stp/>
        <stp>##V3_BDPV12</stp>
        <stp>912828T6 Govt</stp>
        <stp>YAS_BOND_PX</stp>
        <stp>[BondPricer-0.2.xlsm]US_TREASURY_TYPE1!R27C20</stp>
        <stp>YAS_BOND_YLD=2.9291485</stp>
        <stp>YAS_YLD_CONV=2</stp>
        <tr r="T27" s="4"/>
      </tp>
      <tp>
        <v>94.125000137047181</v>
        <stp/>
        <stp>##V3_BDPV12</stp>
        <stp>912828R6 Govt</stp>
        <stp>YAS_BOND_PX</stp>
        <stp>[BondPricer-0.2.xlsm]US_TREASURY_TYPE1!R57C20</stp>
        <stp>YAS_BOND_YLD=2.9950582</stp>
        <stp>YAS_YLD_CONV=2</stp>
        <tr r="T57" s="4"/>
      </tp>
      <tp>
        <v>5.9351660504695758</v>
        <stp/>
        <stp>##V3_BDPV12</stp>
        <stp>EK109396 Corp</stp>
        <stp>YAS_RISK</stp>
        <stp>[BondPricer-0.2.xlsm]UK_GILT_TYPE26!R13C24</stp>
        <stp>YLD_YTM_ASK=1.23828191602073</stp>
        <stp>YAS_YLD_CONV=3</stp>
        <tr r="X13" s="13"/>
      </tp>
      <tp>
        <v>96.585937523974934</v>
        <stp/>
        <stp>##V3_BDPV12</stp>
        <stp>912828W5 Govt</stp>
        <stp>YAS_BOND_PX</stp>
        <stp>[BondPricer-0.2.xlsm]US_TREASURY_TYPE1!R38C20</stp>
        <stp>YAS_BOND_YLD=2.9453274</stp>
        <stp>YAS_YLD_CONV=2</stp>
        <tr r="T38" s="4"/>
      </tp>
      <tp>
        <v>21.754881053306718</v>
        <stp/>
        <stp>##V3_BDPV12</stp>
        <stp>AU379648 Corp</stp>
        <stp>YAS_RISK</stp>
        <stp>[BondPricer-0.2.xlsm]UK_GILT_TYPE26!R33C24</stp>
        <stp>YLD_YTM_ASK=2.01506738829025</stp>
        <stp>YAS_YLD_CONV=3</stp>
        <tr r="X33" s="13"/>
      </tp>
      <tp>
        <v>97.882812379845788</v>
        <stp/>
        <stp>##V3_BDPV12</stp>
        <stp>912828RC Govt</stp>
        <stp>YAS_BOND_PX</stp>
        <stp>[BondPricer-0.2.xlsm]US_TREASURY_TYPE1!R22C20</stp>
        <stp>YAS_BOND_YLD=2.9087217</stp>
        <stp>YAS_YLD_CONV=2</stp>
        <tr r="T22" s="4"/>
      </tp>
      <tp>
        <v>94.343749827363993</v>
        <stp/>
        <stp>##V3_BDPV12</stp>
        <stp>912828XB Govt</stp>
        <stp>YAS_BOND_PX</stp>
        <stp>[BondPricer-0.2.xlsm]US_TREASURY_TYPE1!R75C20</stp>
        <stp>YAS_BOND_YLD=3.0808799</stp>
        <stp>YAS_YLD_CONV=2</stp>
        <tr r="T75" s="4"/>
      </tp>
      <tp>
        <v>4.5240816174519694</v>
        <stp/>
        <stp>##V3_BDPV12</stp>
        <stp>EI0418851 Govt</stp>
        <stp>YAS_RISK</stp>
        <stp>[BondPricer-0.2.xlsm]FRENCH_BTAN_TYPE89!R38C24</stp>
        <stp>YLD_YTM_ASK=-0.0141520457689004</stp>
        <stp>YAS_YLD_CONV=1</stp>
        <tr r="X38" s="8"/>
      </tp>
      <tp>
        <v>95.945312532762841</v>
        <stp/>
        <stp>##V3_BDPV12</stp>
        <stp>912828SV Govt</stp>
        <stp>YAS_BOND_PX</stp>
        <stp>[BondPricer-0.2.xlsm]US_TREASURY_TYPE1!R41C20</stp>
        <stp>YAS_BOND_YLD=2.9510596</stp>
        <stp>YAS_YLD_CONV=2</stp>
        <tr r="T41" s="4"/>
      </tp>
      <tp>
        <v>97.765625149306445</v>
        <stp/>
        <stp>##V3_BDPV12</stp>
        <stp>912828VS Govt</stp>
        <stp>YAS_BOND_PX</stp>
        <stp>[BondPricer-0.2.xlsm]US_TREASURY_TYPE1!R61C20</stp>
        <stp>YAS_BOND_YLD=2.9997686</stp>
        <stp>YAS_YLD_CONV=2</stp>
        <tr r="T61" s="4"/>
      </tp>
      <tp>
        <v>2.015067388290245</v>
        <stp/>
        <stp>##V3_BDPV12</stp>
        <stp>AU379648 Corp</stp>
        <stp>YLD_YTM_ASK</stp>
        <stp>[BondPricer-0.2.xlsm]UK_GILT_TYPE26!R33C13</stp>
        <tr r="M33" s="13"/>
      </tp>
      <tp>
        <v>88.371999999926103</v>
        <stp/>
        <stp>##V3_BDPV12</stp>
        <stp>LW2048137 Govt</stp>
        <stp>PX_ASK</stp>
        <stp>[BondPricer-0.2.xlsm]ITALIAN_BTPS_TYPE523!R11C22</stp>
        <stp>YAS_BOND_YLD=2.84166988833667</stp>
        <stp>YAS_YLD_CONV=1</stp>
        <tr r="V11" s="5"/>
      </tp>
      <tp>
        <v>0.13799999999999862</v>
        <stp/>
        <stp>##V3_BDPV12</stp>
        <stp>EH6604720 Govt</stp>
        <stp>YLD_YTM_ASK</stp>
        <stp>[BondPricer-0.2.xlsm]JAPAN_JGB_TYPE51!R104C13</stp>
        <tr r="M104" s="7"/>
      </tp>
      <tp>
        <v>0.3000000000000001</v>
        <stp/>
        <stp>##V3_BDPV12</stp>
        <stp>EJ2136277 Govt</stp>
        <stp>YLD_YTM_ASK</stp>
        <stp>[BondPricer-0.2.xlsm]JAPAN_JGB_TYPE51!R136C13</stp>
        <tr r="M136" s="7"/>
      </tp>
      <tp>
        <v>0.66000000000000036</v>
        <stp/>
        <stp>##V3_BDPV12</stp>
        <stp>EI3995376 Govt</stp>
        <stp>YLD_YTM_ASK</stp>
        <stp>[BondPricer-0.2.xlsm]JAPAN_JGB_TYPE51!R189C13</stp>
        <tr r="M189" s="7"/>
      </tp>
      <tp>
        <v>0.13900000000000151</v>
        <stp/>
        <stp>##V3_BDPV12</stp>
        <stp>EH7034067 Govt</stp>
        <stp>YLD_YTM_ASK</stp>
        <stp>[BondPricer-0.2.xlsm]JAPAN_JGB_TYPE51!R103C13</stp>
        <tr r="M103" s="7"/>
      </tp>
      <tp>
        <v>0.20900000000000069</v>
        <stp/>
        <stp>##V3_BDPV12</stp>
        <stp>EI3325426 Govt</stp>
        <stp>YLD_YTM_ASK</stp>
        <stp>[BondPricer-0.2.xlsm]JAPAN_JGB_TYPE51!R119C13</stp>
        <tr r="M119" s="7"/>
      </tp>
      <tp>
        <v>10.717835361496508</v>
        <stp/>
        <stp>##V3_BDPV12</stp>
        <stp>EC256595 Corp</stp>
        <stp>DUR_ADJ_ASK</stp>
        <stp>[BondPricer-0.2.xlsm]UK_GILT_TYPE26!R21C28</stp>
        <stp>YLD_YTM_ASK=1.77601028279371</stp>
        <stp>YAS_YLD_CONV=3</stp>
        <tr r="AB21" s="13"/>
      </tp>
      <tp>
        <v>71.302999873579807</v>
        <stp/>
        <stp>##V3_BDPV12</stp>
        <stp>EC1067684 Govt</stp>
        <stp>PX_ASK</stp>
        <stp>[BondPricer-0.2.xlsm]ITALIAN_BTPS_TYPE523!R72C22</stp>
        <stp>YAS_BOND_YLD=3.60766668082089</stp>
        <stp>YAS_YLD_CONV=1</stp>
        <tr r="V72" s="5"/>
      </tp>
      <tp>
        <v>0.18400000000000047</v>
        <stp/>
        <stp>##V3_BDPV12</stp>
        <stp>EI0835450 Govt</stp>
        <stp>YLD_YTM_ASK</stp>
        <stp>[BondPricer-0.2.xlsm]JAPAN_JGB_TYPE51!R111C13</stp>
        <tr r="M111" s="7"/>
      </tp>
      <tp>
        <v>0.24900000000000072</v>
        <stp/>
        <stp>##V3_BDPV12</stp>
        <stp>EI6535294 Govt</stp>
        <stp>YLD_YTM_ASK</stp>
        <stp>[BondPricer-0.2.xlsm]JAPAN_JGB_TYPE51!R126C13</stp>
        <tr r="M126" s="7"/>
      </tp>
      <tp>
        <v>127.91799999970351</v>
        <stp/>
        <stp>##V3_BDPV12</stp>
        <stp>GG7178740 Govt</stp>
        <stp>PX_ASK</stp>
        <stp>[BondPricer-0.2.xlsm]ITALIAN_BTPS_TYPE523!R18C22</stp>
        <stp>YAS_BOND_YLD=2.99872048729155</stp>
        <stp>YAS_YLD_CONV=1</stp>
        <tr r="V18" s="5"/>
      </tp>
      <tp>
        <v>81.314999995669666</v>
        <stp/>
        <stp>##V3_BDPV12</stp>
        <stp>EC5587380 Govt</stp>
        <stp>PX_ASK</stp>
        <stp>[BondPricer-0.2.xlsm]ITALIAN_BTPS_TYPE523!R33C22</stp>
        <stp>YAS_BOND_YLD=3.33966176787257</stp>
        <stp>YAS_YLD_CONV=1</stp>
        <tr r="V33" s="5"/>
      </tp>
      <tp>
        <v>0.68500000000000028</v>
        <stp/>
        <stp>##V3_BDPV12</stp>
        <stp>EI8055663 Govt</stp>
        <stp>YLD_YTM_ASK</stp>
        <stp>[BondPricer-0.2.xlsm]JAPAN_JGB_TYPE51!R191C13</stp>
        <tr r="M191" s="7"/>
      </tp>
      <tp>
        <v>0.46599999999999941</v>
        <stp/>
        <stp>##V3_BDPV12</stp>
        <stp>EK8137466 Govt</stp>
        <stp>YLD_YTM_ASK</stp>
        <stp>[BondPricer-0.2.xlsm]JAPAN_JGB_TYPE51!R165C13</stp>
        <tr r="M165" s="7"/>
      </tp>
      <tp>
        <v>5.4520956423445828</v>
        <stp/>
        <stp>##V3_BDPV12</stp>
        <stp>EK109396 Corp</stp>
        <stp>DUR_ADJ_ASK</stp>
        <stp>[BondPricer-0.2.xlsm]UK_GILT_TYPE26!R13C28</stp>
        <stp>YLD_YTM_ASK=1.23828191602073</stp>
        <stp>YAS_YLD_CONV=3</stp>
        <tr r="AB13" s="13"/>
      </tp>
      <tp>
        <v>15.917329126843654</v>
        <stp/>
        <stp>##V3_BDPV12</stp>
        <stp>AL083268 Corp</stp>
        <stp>DUR_ADJ_ASK</stp>
        <stp>[BondPricer-0.2.xlsm]UK_GILT_TYPE26!R24C28</stp>
        <stp>YLD_YTM_ASK=1.97758969354163</stp>
        <stp>YAS_YLD_CONV=3</stp>
        <tr r="AB24" s="13"/>
      </tp>
      <tp>
        <v>3.7556295604157794</v>
        <stp/>
        <stp>##V3_BDPV12</stp>
        <stp>EJ237349 Corp</stp>
        <stp>DUR_ADJ_ASK</stp>
        <stp>[BondPricer-0.2.xlsm]UK_GILT_TYPE26!R10C28</stp>
        <stp>YLD_YTM_ASK=1.0283728339151</stp>
        <stp>YAS_YLD_CONV=3</stp>
        <tr r="AB10" s="13"/>
      </tp>
      <tp>
        <v>95.054687425807145</v>
        <stp/>
        <stp>##V3_BDPV12</stp>
        <stp>912828P3 Govt</stp>
        <stp>YAS_BOND_PX</stp>
        <stp>[BondPricer-0.2.xlsm]US_TREASURY_TYPE1!R51C20</stp>
        <stp>YAS_BOND_YLD=2.9861393</stp>
        <stp>YAS_YLD_CONV=2</stp>
        <tr r="T51" s="4"/>
      </tp>
      <tp>
        <v>94.234375202555043</v>
        <stp/>
        <stp>##V3_BDPV12</stp>
        <stp>912828R2 Govt</stp>
        <stp>YAS_BOND_PX</stp>
        <stp>[BondPricer-0.2.xlsm]US_TREASURY_TYPE1!R55C20</stp>
        <stp>YAS_BOND_YLD=2.9923178</stp>
        <stp>YAS_YLD_CONV=2</stp>
        <tr r="T55" s="4"/>
      </tp>
      <tp>
        <v>94.945312379317855</v>
        <stp/>
        <stp>##V3_BDPV12</stp>
        <stp>912828T3 Govt</stp>
        <stp>YAS_BOND_PX</stp>
        <stp>[BondPricer-0.2.xlsm]US_TREASURY_TYPE1!R25C20</stp>
        <stp>YAS_BOND_YLD=2.9222055</stp>
        <stp>YAS_YLD_CONV=2</stp>
        <tr r="T25" s="4"/>
      </tp>
      <tp>
        <v>20.306276793664324</v>
        <stp/>
        <stp>##V3_BDPV12</stp>
        <stp>QZ554181 Corp</stp>
        <stp>YAS_RISK</stp>
        <stp>[BondPricer-0.2.xlsm]UK_GILT_TYPE26!R32C24</stp>
        <stp>YLD_YTM_ASK=2.01029543252704</stp>
        <stp>YAS_YLD_CONV=3</stp>
        <tr r="X32" s="13"/>
      </tp>
      <tp>
        <v>5.6032797198426465</v>
        <stp/>
        <stp>##V3_BDPV12</stp>
        <stp>GG7112335 Govt</stp>
        <stp>YAS_RISK</stp>
        <stp>[BondPricer-0.2.xlsm]FRENCH_BTAN_TYPE89!R36C24</stp>
        <stp>YLD_YTM_ASK=-0.0388283024668626</stp>
        <stp>YAS_YLD_CONV=1</stp>
        <tr r="X36" s="8"/>
      </tp>
      <tp>
        <v>97.046874911617451</v>
        <stp/>
        <stp>##V3_BDPV12</stp>
        <stp>912828SF Govt</stp>
        <stp>YAS_BOND_PX</stp>
        <stp>[BondPricer-0.2.xlsm]US_TREASURY_TYPE1!R36C20</stp>
        <stp>YAS_BOND_YLD=2.9364549</stp>
        <stp>YAS_YLD_CONV=2</stp>
        <tr r="T36" s="4"/>
      </tp>
      <tp>
        <v>128.69300000000001</v>
        <stp/>
        <stp>##V3_BDPV12</stp>
        <stp>EF0212920 Govt</stp>
        <stp>YAS_BOND_PX</stp>
        <stp>[BondPricer-0.2.xlsm]JAPAN_JGB_TYPE51!R168C20</stp>
        <stp>YAS_BOND_SPL_YLD=0.45</stp>
        <stp>YAS_YLD_CONV=2</stp>
        <tr r="T168" s="7"/>
      </tp>
      <tp>
        <v>4.0383463536436182</v>
        <stp/>
        <stp>##V3_BDPV12</stp>
        <stp>GG7190232 Govt</stp>
        <stp>YAS_RISK</stp>
        <stp>[BondPricer-0.2.xlsm]FRENCH_BTAN_TYPE89!R32C24</stp>
        <stp>YLD_YTM_ASK=-0.0811389167108767</stp>
        <stp>YAS_YLD_CONV=1</stp>
        <tr r="X32" s="8"/>
      </tp>
      <tp>
        <v>1.9169227254224361</v>
        <stp/>
        <stp>##V3_BDPV12</stp>
        <stp>AS462336 Corp</stp>
        <stp>YLD_YTM_ASK</stp>
        <stp>[BondPricer-0.2.xlsm]UK_GILT_TYPE26!R41C13</stp>
        <tr r="M41" s="13"/>
      </tp>
      <tp>
        <v>73.153999921689206</v>
        <stp/>
        <stp>##V3_BDPV12</stp>
        <stp>CP5088036 Govt</stp>
        <stp>PX_ASK</stp>
        <stp>[BondPricer-0.2.xlsm]ITALIAN_BTPS_TYPE523!R67C22</stp>
        <stp>YAS_BOND_YLD=3.51818476965398</stp>
        <stp>YAS_YLD_CONV=1</stp>
        <tr r="V67" s="5"/>
      </tp>
      <tp>
        <v>74.596999953063772</v>
        <stp/>
        <stp>##V3_BDPV12</stp>
        <stp>EK0661695 Govt</stp>
        <stp>PX_ASK</stp>
        <stp>[BondPricer-0.2.xlsm]ITALIAN_BTPS_TYPE523!R58C22</stp>
        <stp>YAS_BOND_YLD=3.56218620021618</stp>
        <stp>YAS_YLD_CONV=1</stp>
        <tr r="V58" s="5"/>
      </tp>
      <tp>
        <v>73.10799992917228</v>
        <stp/>
        <stp>##V3_BDPV12</stp>
        <stp>EC5588503 Govt</stp>
        <stp>PX_ASK</stp>
        <stp>[BondPricer-0.2.xlsm]ITALIAN_BTPS_TYPE523!R62C22</stp>
        <stp>YAS_BOND_YLD=3.62630163409552</stp>
        <stp>YAS_YLD_CONV=1</stp>
        <tr r="V62" s="5"/>
      </tp>
      <tp>
        <v>99.861000000000047</v>
        <stp/>
        <stp>##V3_BDPV12</stp>
        <stp>GG7127275 Govt</stp>
        <stp>YAS_BOND_PX</stp>
        <stp>[BondPricer-0.2.xlsm]FRENCH_BTAN_TYPE89!R37C20</stp>
        <stp>YAS_BOND_YLD=0.0307746092807371</stp>
        <stp>YAS_YLD_CONV=1</stp>
        <tr r="T37" s="8"/>
      </tp>
      <tp>
        <v>0.31400000000000006</v>
        <stp/>
        <stp>##V3_BDPV12</stp>
        <stp>EJ3365511 Govt</stp>
        <stp>YLD_YTM_ASK</stp>
        <stp>[BondPricer-0.2.xlsm]JAPAN_JGB_TYPE51!R140C13</stp>
        <tr r="M140" s="7"/>
      </tp>
      <tp>
        <v>0.2340000000000001</v>
        <stp/>
        <stp>##V3_BDPV12</stp>
        <stp>EI5876087 Govt</stp>
        <stp>YLD_YTM_ASK</stp>
        <stp>[BondPricer-0.2.xlsm]JAPAN_JGB_TYPE51!R124C13</stp>
        <tr r="M124" s="7"/>
      </tp>
      <tp>
        <v>2.290212188118149</v>
        <stp/>
        <stp>##V3_BDPV12</stp>
        <stp>912828B9 Govt</stp>
        <stp>DUR_ADJ_ASK</stp>
        <stp>[BondPricer-0.2.xlsm]US_TREASURY_TYPE1!R11C28</stp>
        <stp>YLD_YTM_ASK=2.887811</stp>
        <stp>YAS_YLD_CONV=3</stp>
        <tr r="AB11" s="4"/>
      </tp>
      <tp>
        <v>38.791116683616167</v>
        <stp/>
        <stp>##V3_BDPV12</stp>
        <stp>EH998789 Corp</stp>
        <stp>YAS_RISK</stp>
        <stp>[BondPricer-0.2.xlsm]UK_GILT_TYPE26!R38C24</stp>
        <stp>YLD_YTM_ASK=1.94112399410243</stp>
        <stp>YAS_YLD_CONV=3</stp>
        <tr r="X38" s="13"/>
      </tp>
      <tp>
        <v>96.148437521140195</v>
        <stp/>
        <stp>##V3_BDPV12</stp>
        <stp>912828Q3 Govt</stp>
        <stp>YAS_BOND_PX</stp>
        <stp>[BondPricer-0.2.xlsm]US_TREASURY_TYPE1!R12C20</stp>
        <stp>YAS_BOND_YLD=2.8855524</stp>
        <stp>YAS_YLD_CONV=2</stp>
        <tr r="T12" s="4"/>
      </tp>
      <tp>
        <v>96.242187523550072</v>
        <stp/>
        <stp>##V3_BDPV12</stp>
        <stp>912828V8 Govt</stp>
        <stp>YAS_BOND_PX</stp>
        <stp>[BondPricer-0.2.xlsm]US_TREASURY_TYPE1!R68C20</stp>
        <stp>YAS_BOND_YLD=3.0235032</stp>
        <stp>YAS_YLD_CONV=2</stp>
        <tr r="T68" s="4"/>
      </tp>
      <tp>
        <v>24.418756629137306</v>
        <stp/>
        <stp>##V3_BDPV12</stp>
        <stp>EG506481 Corp</stp>
        <stp>YAS_RISK</stp>
        <stp>[BondPricer-0.2.xlsm]UK_GILT_TYPE26!R28C24</stp>
        <stp>YLD_YTM_ASK=2.00385113315829</stp>
        <stp>YAS_YLD_CONV=3</stp>
        <tr r="X28" s="13"/>
      </tp>
      <tp>
        <v>4.5751285488314863</v>
        <stp/>
        <stp>##V3_BDPV12</stp>
        <stp>AO326331 Corp</stp>
        <stp>YAS_RISK</stp>
        <stp>[BondPricer-0.2.xlsm]UK_GILT_TYPE26!R11C24</stp>
        <stp>YLD_YTM_ASK=1.15910994279218</stp>
        <stp>YAS_YLD_CONV=3</stp>
        <tr r="X11" s="13"/>
      </tp>
      <tp>
        <v>96.593750168540751</v>
        <stp/>
        <stp>##V3_BDPV12</stp>
        <stp>912828XQ Govt</stp>
        <stp>YAS_BOND_PX</stp>
        <stp>[BondPricer-0.2.xlsm]US_TREASURY_TYPE1!R44C20</stp>
        <stp>YAS_BOND_YLD=2.9559662</stp>
        <stp>YAS_YLD_CONV=2</stp>
        <tr r="T44" s="4"/>
      </tp>
      <tp>
        <v>0.66399999999999937</v>
        <stp/>
        <stp>##V3_BDPV12</stp>
        <stp>EI6037572 Govt</stp>
        <stp>YLD_YTM_ASK</stp>
        <stp>[BondPricer-0.2.xlsm]JAPAN_JGB_TYPE51!R190C13</stp>
        <tr r="M190" s="7"/>
      </tp>
      <tp>
        <v>19.810644202566298</v>
        <stp/>
        <stp>##V3_BDPV12</stp>
        <stp>EH529579 Corp</stp>
        <stp>DUR_ADJ_ASK</stp>
        <stp>[BondPricer-0.2.xlsm]UK_GILT_TYPE26!R34C28</stp>
        <stp>YLD_YTM_ASK=2.00453470544072</stp>
        <stp>YAS_YLD_CONV=3</stp>
        <tr r="AB34" s="13"/>
      </tp>
      <tp>
        <v>72.477999921041814</v>
        <stp/>
        <stp>##V3_BDPV12</stp>
        <stp>EK0222613 Govt</stp>
        <stp>PX_ASK</stp>
        <stp>[BondPricer-0.2.xlsm]ITALIAN_BTPS_TYPE523!R63C22</stp>
        <stp>YAS_BOND_YLD=3.69434961880799</stp>
        <stp>YAS_YLD_CONV=1</stp>
        <tr r="V63" s="5"/>
      </tp>
      <tp>
        <v>6.4295325427353465</v>
        <stp/>
        <stp>##V3_BDPV12</stp>
        <stp>EK799307 Corp</stp>
        <stp>DUR_ADJ_ASK</stp>
        <stp>[BondPricer-0.2.xlsm]UK_GILT_TYPE26!R15C28</stp>
        <stp>YLD_YTM_ASK=1.30013877426366</stp>
        <stp>YAS_YLD_CONV=3</stp>
        <tr r="AB15" s="13"/>
      </tp>
      <tp>
        <v>0.12400000000000133</v>
        <stp/>
        <stp>##V3_BDPV12</stp>
        <stp>EH6066235 Govt</stp>
        <stp>YLD_YTM_ASK</stp>
        <stp>[BondPricer-0.2.xlsm]JAPAN_JGB_TYPE51!R102C13</stp>
        <tr r="M102" s="7"/>
      </tp>
      <tp>
        <v>0.37499999999999961</v>
        <stp/>
        <stp>##V3_BDPV12</stp>
        <stp>EJ8434395 Govt</stp>
        <stp>YLD_YTM_ASK</stp>
        <stp>[BondPricer-0.2.xlsm]JAPAN_JGB_TYPE51!R153C13</stp>
        <tr r="M153" s="7"/>
      </tp>
      <tp>
        <v>0.59300000000000019</v>
        <stp/>
        <stp>##V3_BDPV12</stp>
        <stp>AM8503287 Govt</stp>
        <stp>YLD_YTM_ASK</stp>
        <stp>[BondPricer-0.2.xlsm]JAPAN_JGB_TYPE51!R181C13</stp>
        <tr r="M181" s="7"/>
      </tp>
      <tp>
        <v>0.56900000000000039</v>
        <stp/>
        <stp>##V3_BDPV12</stp>
        <stp>EH3146931 Govt</stp>
        <stp>YLD_YTM_ASK</stp>
        <stp>[BondPricer-0.2.xlsm]JAPAN_JGB_TYPE51!R184C13</stp>
        <tr r="M184" s="7"/>
      </tp>
      <tp>
        <v>0.28399999999999959</v>
        <stp/>
        <stp>##V3_BDPV12</stp>
        <stp>EJ0014849 Govt</stp>
        <stp>YLD_YTM_ASK</stp>
        <stp>[BondPricer-0.2.xlsm]JAPAN_JGB_TYPE51!R134C13</stp>
        <tr r="M134" s="7"/>
      </tp>
      <tp>
        <v>87.413999999862781</v>
        <stp/>
        <stp>##V3_BDPV12</stp>
        <stp>EC5587281 Govt</stp>
        <stp>PX_ASK</stp>
        <stp>[BondPricer-0.2.xlsm]ITALIAN_BTPS_TYPE523!R16C22</stp>
        <stp>YAS_BOND_YLD=2.84758486134395</stp>
        <stp>YAS_YLD_CONV=1</stp>
        <tr r="V16" s="5"/>
      </tp>
      <tp>
        <v>65.226999457404574</v>
        <stp/>
        <stp>##V3_BDPV12</stp>
        <stp>EC2918364 Govt</stp>
        <stp>PX_ASK</stp>
        <stp>[BondPricer-0.2.xlsm]ITALIAN_BTPS_TYPE523!R92C22</stp>
        <stp>YAS_BOND_YLD=3.77099215567829</stp>
        <stp>YAS_YLD_CONV=1</stp>
        <tr r="V92" s="5"/>
      </tp>
      <tp t="s">
        <v>#N/A Invalid Override</v>
        <stp/>
        <stp>##V3_BDPV12</stp>
        <stp>EC9747782 Govt</stp>
        <stp>YAS_BOND_YLD</stp>
        <stp>[BondPricer-0.2.xlsm]JAPAN_JGB_TYPE51!R150C31</stp>
        <stp>YAS_BOND_PX=#N/A Requesting Data...</stp>
        <tr r="AE150" s="7"/>
      </tp>
      <tp t="s">
        <v>#N/A Invalid Override</v>
        <stp/>
        <stp>##V3_BDPV12</stp>
        <stp>EI8055663 Govt</stp>
        <stp>YAS_BOND_YLD</stp>
        <stp>[BondPricer-0.2.xlsm]JAPAN_JGB_TYPE51!R191C31</stp>
        <stp>YAS_BOND_PX=#N/A Requesting Data...</stp>
        <tr r="AE191" s="7"/>
      </tp>
      <tp t="s">
        <v>#N/A Invalid Override</v>
        <stp/>
        <stp>##V3_BDPV12</stp>
        <stp>ED9034742 Govt</stp>
        <stp>YAS_BOND_YLD</stp>
        <stp>[BondPricer-0.2.xlsm]JAPAN_JGB_TYPE51!R166C31</stp>
        <stp>YAS_BOND_PX=#N/A Requesting Data...</stp>
        <tr r="AE166" s="7"/>
      </tp>
      <tp t="s">
        <v>#N/A Invalid Override</v>
        <stp/>
        <stp>##V3_BDPV12</stp>
        <stp>EI9104742 Govt</stp>
        <stp>YAS_BOND_YLD</stp>
        <stp>[BondPricer-0.2.xlsm]JAPAN_JGB_TYPE51!R135C31</stp>
        <stp>YAS_BOND_PX=#N/A Requesting Data...</stp>
        <tr r="AE135" s="7"/>
      </tp>
      <tp t="s">
        <v>#N/A Invalid Override</v>
        <stp/>
        <stp>##V3_BDPV12</stp>
        <stp>EH9141712 Govt</stp>
        <stp>YAS_BOND_YLD</stp>
        <stp>[BondPricer-0.2.xlsm]JAPAN_JGB_TYPE51!R107C31</stp>
        <stp>YAS_BOND_PX=#N/A Requesting Data...</stp>
        <tr r="AE107" s="7"/>
      </tp>
      <tp>
        <v>23.209143311510235</v>
        <stp/>
        <stp>##V3_BDPV12</stp>
        <stp>QZ7665156 Govt</stp>
        <stp>DUR_ADJ_ASK</stp>
        <stp>[BondPricer-0.2.xlsm]ITALIAN_BTPS_TYPE523!R209C29</stp>
        <stp>YLD_YTM_ASK=3.7323265755516</stp>
        <stp>YAS_YLD_CONV=1</stp>
        <tr r="AC209" s="5"/>
      </tp>
      <tp>
        <v>5.5150010353315793</v>
        <stp/>
        <stp>##V3_BDPV12</stp>
        <stp>EK0222019 Govt</stp>
        <stp>YAS_RISK</stp>
        <stp>[BondPricer-0.2.xlsm]ITALIAN_BTPS_TYPE523!R45C26</stp>
        <stp>YLD_YTM_ASK=3.53185643722527</stp>
        <stp>YAS_YLD_CONV=33</stp>
        <tr r="Z45" s="5"/>
      </tp>
      <tp>
        <v>5.110199822441075</v>
        <stp/>
        <stp>##V3_BDPV12</stp>
        <stp>CP5087962 Govt</stp>
        <stp>YAS_RISK</stp>
        <stp>[BondPricer-0.2.xlsm]ITALIAN_BTPS_TYPE523!R37C26</stp>
        <stp>YLD_YTM_ASK=3.33170523342667</stp>
        <stp>YAS_YLD_CONV=33</stp>
        <tr r="Z37" s="5"/>
      </tp>
      <tp>
        <v>103.221</v>
        <stp/>
        <stp>##V3_BDPV12</stp>
        <stp>EK6363973 Govt</stp>
        <stp>YAS_BOND_PX</stp>
        <stp>[BondPricer-0.2.xlsm]JAPAN_JGB_TYPE51!R60C20</stp>
        <stp>YAS_BOND_SPL_YLD=-0.0209999999999994</stp>
        <stp>YAS_YLD_CONV=2</stp>
        <tr r="T60" s="7"/>
      </tp>
      <tp>
        <v>104.113</v>
        <stp/>
        <stp>##V3_BDPV12</stp>
        <stp>EJ7060233 Govt</stp>
        <stp>YAS_BOND_PX</stp>
        <stp>[BondPricer-0.2.xlsm]JAPAN_JGB_TYPE51!R41C20</stp>
        <stp>YAS_BOND_SPL_YLD=-0.0769999999999994</stp>
        <stp>YAS_YLD_CONV=2</stp>
        <tr r="T41" s="7"/>
      </tp>
      <tp>
        <v>107.52</v>
        <stp/>
        <stp>##V3_BDPV12</stp>
        <stp>EC7836876 Govt</stp>
        <stp>YAS_BOND_PX</stp>
        <stp>[BondPricer-0.2.xlsm]JAPAN_JGB_TYPE51!R37C20</stp>
        <stp>YAS_BOND_SPL_YLD=-0.0939999999999997</stp>
        <stp>YAS_YLD_CONV=2</stp>
        <tr r="T37" s="7"/>
      </tp>
      <tp>
        <v>4.2333118817758475</v>
        <stp/>
        <stp>##V3_BDPV12</stp>
        <stp>CP5087939 Govt</stp>
        <stp>YAS_RISK</stp>
        <stp>[BondPricer-0.2.xlsm]ITALIAN_BTPS_TYPE523!R21C26</stp>
        <stp>YLD_YTM_ASK=2.93207160926214</stp>
        <stp>YAS_YLD_CONV=33</stp>
        <tr r="Z21" s="5"/>
      </tp>
      <tp>
        <v>7.1422765505253949</v>
        <stp/>
        <stp>##V3_BDPV12</stp>
        <stp>EJ4853184 Govt</stp>
        <stp>YAS_RISK</stp>
        <stp>[BondPricer-0.2.xlsm]ITALIAN_BTPS_TYPE523!R86C26</stp>
        <stp>YLD_YTM_ASK=3.68362524617909</stp>
        <stp>YAS_YLD_CONV=33</stp>
        <tr r="Z86" s="5"/>
      </tp>
      <tp>
        <v>103.02200000000001</v>
        <stp/>
        <stp>##V3_BDPV12</stp>
        <stp>EJ5801505 Govt</stp>
        <stp>YAS_BOND_PX</stp>
        <stp>[BondPricer-0.2.xlsm]JAPAN_JGB_TYPE51!R39C20</stp>
        <stp>YAS_BOND_SPL_YLD=-0.0809999999999985</stp>
        <stp>YAS_YLD_CONV=2</stp>
        <tr r="T39" s="7"/>
      </tp>
      <tp>
        <v>7.2844529314181727</v>
        <stp/>
        <stp>##V3_BDPV12</stp>
        <stp>EK0222977 Govt</stp>
        <stp>YAS_RISK</stp>
        <stp>[BondPricer-0.2.xlsm]ITALIAN_BTPS_TYPE523!R91C26</stp>
        <stp>YLD_YTM_ASK=3.66615692101471</stp>
        <stp>YAS_YLD_CONV=33</stp>
        <tr r="Z91" s="5"/>
      </tp>
      <tp>
        <v>7.5480979910416579</v>
        <stp/>
        <stp>##V3_BDPV12</stp>
        <stp>EJ4853432 Govt</stp>
        <stp>YAS_RISK</stp>
        <stp>[BondPricer-0.2.xlsm]ITALIAN_BTPS_TYPE523!R98C26</stp>
        <stp>YLD_YTM_ASK=3.82139234909959</stp>
        <stp>YAS_YLD_CONV=33</stp>
        <tr r="Z98" s="5"/>
      </tp>
      <tp>
        <v>6.987922719660844</v>
        <stp/>
        <stp>##V3_BDPV12</stp>
        <stp>EK0222910 Govt</stp>
        <stp>YAS_RISK</stp>
        <stp>[BondPricer-0.2.xlsm]ITALIAN_BTPS_TYPE523!R83C26</stp>
        <stp>YLD_YTM_ASK=3.79637111140565</stp>
        <stp>YAS_YLD_CONV=33</stp>
        <tr r="Z83" s="5"/>
      </tp>
      <tp>
        <v>5.3149246606437828</v>
        <stp/>
        <stp>##V3_BDPV12</stp>
        <stp>GG7178740 Govt</stp>
        <stp>YAS_RISK</stp>
        <stp>[BondPricer-0.2.xlsm]ITALIAN_BTPS_TYPE523!R18C26</stp>
        <stp>YLD_YTM_ASK=2.99872048729155</stp>
        <stp>YAS_YLD_CONV=33</stp>
        <tr r="Z18" s="5"/>
      </tp>
      <tp>
        <v>94.624999716375413</v>
        <stp/>
        <stp>##V3_BDPV12</stp>
        <stp>912828M5 Govt</stp>
        <stp>YAS_BOND_PX</stp>
        <stp>[BondPricer-0.2.xlsm]US_TREASURY_TYPE1!R78C20</stp>
        <stp>YAS_BOND_YLD=3.1010653</stp>
        <stp>YAS_YLD_CONV=2</stp>
        <tr r="T78" s="4"/>
      </tp>
      <tp>
        <v>96.203124901066545</v>
        <stp/>
        <stp>##V3_BDPV12</stp>
        <stp>912828J4 Govt</stp>
        <stp>YAS_BOND_PX</stp>
        <stp>[BondPricer-0.2.xlsm]US_TREASURY_TYPE1!R37C20</stp>
        <stp>YAS_BOND_YLD=2.9403021</stp>
        <stp>YAS_YLD_CONV=2</stp>
        <tr r="T37" s="4"/>
      </tp>
      <tp>
        <v>3.9018144854431114</v>
        <stp/>
        <stp>##V3_BDPV12</stp>
        <stp>AP3642968 Corp</stp>
        <stp>YAS_RISK</stp>
        <stp>[BondPricer-0.2.xlsm]AUSTRALIAN_GOVT_TYPE23!R18C26</stp>
        <stp>YLD_YTM_ASK=2.19201187986942</stp>
        <stp>YAS_YLD_CONV=3</stp>
        <tr r="Z18" s="9"/>
      </tp>
      <tp>
        <v>3.4508907539468225</v>
        <stp/>
        <stp>##V3_BDPV12</stp>
        <stp>EJ6195758 Corp</stp>
        <stp>YAS_RISK</stp>
        <stp>[BondPricer-0.2.xlsm]AUSTRALIAN_GOVT_TYPE23!R13C26</stp>
        <stp>YLD_YTM_ASK=2.33698993207162</stp>
        <stp>YAS_YLD_CONV=3</stp>
        <tr r="Z13" s="9"/>
      </tp>
      <tp>
        <v>7.7111603079906388</v>
        <stp/>
        <stp>##V3_BDPV12</stp>
        <stp>AM6907472 Corp</stp>
        <stp>YAS_RISK</stp>
        <stp>[BondPricer-0.2.xlsm]AUSTRALIAN_GOVT_TYPE23!R42C26</stp>
        <stp>YLD_YTM_ASK=3.09997233719218</stp>
        <stp>YAS_YLD_CONV=3</stp>
        <tr r="Z42" s="9"/>
      </tp>
      <tp>
        <v>4.9517846981586899</v>
        <stp/>
        <stp>##V3_BDPV12</stp>
        <stp>EK1791483 Corp</stp>
        <stp>YAS_RISK</stp>
        <stp>[BondPricer-0.2.xlsm]AUSTRALIAN_GOVT_TYPE23!R24C26</stp>
        <stp>YLD_YTM_ASK=2.60601043331407</stp>
        <stp>YAS_YLD_CONV=3</stp>
        <tr r="Z24" s="9"/>
      </tp>
      <tp>
        <v>1.6817769948279782</v>
        <stp/>
        <stp>##V3_BDPV12</stp>
        <stp>EG872949 Corp</stp>
        <stp>YLD_YTM_ASK</stp>
        <stp>[BondPricer-0.2.xlsm]UK_GILT_TYPE26!R20C13</stp>
        <tr r="M20" s="13"/>
      </tp>
      <tp>
        <v>6.2694808695894721</v>
        <stp/>
        <stp>##V3_BDPV12</stp>
        <stp>GG7182429 Govt</stp>
        <stp>YAS_RISK</stp>
        <stp>[BondPricer-0.2.xlsm]GERMAN_BUND_TYPE60!R16C24</stp>
        <stp>YLD_YTM_ASK=-0.0918482412053952</stp>
        <stp>YAS_YLD_CONV=1</stp>
        <tr r="X16" s="6"/>
      </tp>
      <tp>
        <v>1.9775896935416328</v>
        <stp/>
        <stp>##V3_BDPV12</stp>
        <stp>AL083268 Corp</stp>
        <stp>YLD_YTM_ASK</stp>
        <stp>[BondPricer-0.2.xlsm]UK_GILT_TYPE26!R24C13</stp>
        <tr r="M24" s="13"/>
      </tp>
      <tp>
        <v>107.93100000001246</v>
        <stp/>
        <stp>##V3_BDPV12</stp>
        <stp>EI7852649 Govt</stp>
        <stp>YAS_BOND_PX</stp>
        <stp>[BondPricer-0.2.xlsm]GERMAN_BUND_TYPE60!R9C20</stp>
        <stp>YAS_BOND_YLD=-0.476139101995367</stp>
        <stp>YAS_YLD_CONV=1</stp>
        <tr r="T9" s="6"/>
      </tp>
      <tp>
        <v>18.80050309894585</v>
        <stp/>
        <stp>##V3_BDPV12</stp>
        <stp>912810RS Govt</stp>
        <stp>DUR_ADJ_ASK</stp>
        <stp>[BondPricer-0.2.xlsm]US_TREASURY_TYPE1!R130C28</stp>
        <stp>YLD_YTM_ASK=3.3331266</stp>
        <stp>YAS_YLD_CONV=3</stp>
        <tr r="AB130" s="4"/>
      </tp>
      <tp>
        <v>100.88999999999993</v>
        <stp/>
        <stp>##V3_BDPV12</stp>
        <stp>EK3918381 Govt</stp>
        <stp>YAS_BOND_PX</stp>
        <stp>[BondPricer-0.2.xlsm]FRENCH_BTAN_TYPE89!R20C20</stp>
        <stp>YAS_BOND_YLD=-0.284790295013626</stp>
        <stp>YAS_YLD_CONV=1</stp>
        <tr r="T20" s="8"/>
      </tp>
      <tp t="s">
        <v>#N/A Invalid Override</v>
        <stp/>
        <stp>##V3_BDPV12</stp>
        <stp>EK6660931 Govt</stp>
        <stp>YAS_BOND_YLD</stp>
        <stp>[BondPricer-0.2.xlsm]JAPAN_JGB_TYPE51!R163C31</stp>
        <stp>YAS_BOND_PX=#N/A Requesting Data...</stp>
        <tr r="AE163" s="7"/>
      </tp>
      <tp t="s">
        <v>#N/A Invalid Override</v>
        <stp/>
        <stp>##V3_BDPV12</stp>
        <stp>EH7995887 Govt</stp>
        <stp>YAS_BOND_YLD</stp>
        <stp>[BondPricer-0.2.xlsm]JAPAN_JGB_TYPE51!R105C31</stp>
        <stp>YAS_BOND_PX=#N/A Requesting Data...</stp>
        <tr r="AE105" s="7"/>
      </tp>
      <tp>
        <v>7.0118441220053285</v>
        <stp/>
        <stp>##V3_BDPV12</stp>
        <stp>EK0662115 Govt</stp>
        <stp>YAS_RISK</stp>
        <stp>[BondPricer-0.2.xlsm]ITALIAN_BTPS_TYPE523!R84C26</stp>
        <stp>YLD_YTM_ASK=3.76651343261891</stp>
        <stp>YAS_YLD_CONV=33</stp>
        <tr r="Z84" s="5"/>
      </tp>
      <tp>
        <v>6.7513909716275577</v>
        <stp/>
        <stp>##V3_BDPV12</stp>
        <stp>EC1067726 Govt</stp>
        <stp>YAS_RISK</stp>
        <stp>[BondPricer-0.2.xlsm]ITALIAN_BTPS_TYPE523!R77C26</stp>
        <stp>YLD_YTM_ASK=3.66030002097806</stp>
        <stp>YAS_YLD_CONV=33</stp>
        <tr r="Z77" s="5"/>
      </tp>
      <tp>
        <v>103.518</v>
        <stp/>
        <stp>##V3_BDPV12</stp>
        <stp>EJ3490954 Govt</stp>
        <stp>YAS_BOND_PX</stp>
        <stp>[BondPricer-0.2.xlsm]JAPAN_JGB_TYPE51!R33C20</stp>
        <stp>YAS_BOND_SPL_YLD=-0.0930000000000036</stp>
        <stp>YAS_YLD_CONV=2</stp>
        <tr r="T33" s="7"/>
      </tp>
      <tp>
        <v>6.5106751308903199</v>
        <stp/>
        <stp>##V3_BDPV12</stp>
        <stp>EK0222670 Govt</stp>
        <stp>YAS_RISK</stp>
        <stp>[BondPricer-0.2.xlsm]ITALIAN_BTPS_TYPE523!R70C26</stp>
        <stp>YLD_YTM_ASK=3.57525118563313</stp>
        <stp>YAS_YLD_CONV=33</stp>
        <tr r="Z70" s="5"/>
      </tp>
      <tp>
        <v>4.5502122546174917</v>
        <stp/>
        <stp>##V3_BDPV12</stp>
        <stp>EC9351635 Govt</stp>
        <stp>YAS_RISK</stp>
        <stp>[BondPricer-0.2.xlsm]JAPAN_JGB_TYPE51!R40C25</stp>
        <stp>YLD_YTM_ASK=-0.0859999999999996</stp>
        <stp>YAS_YLD_CONV=3</stp>
        <tr r="Y40" s="7"/>
      </tp>
      <tp>
        <v>5.2656496162036603</v>
        <stp/>
        <stp>##V3_BDPV12</stp>
        <stp>EK0221953 Govt</stp>
        <stp>YAS_RISK</stp>
        <stp>[BondPricer-0.2.xlsm]ITALIAN_BTPS_TYPE523!R40C26</stp>
        <stp>YLD_YTM_ASK=3.44146112327084</stp>
        <stp>YAS_YLD_CONV=33</stp>
        <tr r="Z40" s="5"/>
      </tp>
      <tp>
        <v>4.3041858310168379</v>
        <stp/>
        <stp>##V3_BDPV12</stp>
        <stp>EC0129931 Govt</stp>
        <stp>YAS_RISK</stp>
        <stp>[BondPricer-0.2.xlsm]ITALIAN_BTPS_TYPE523!R20C26</stp>
        <stp>YLD_YTM_ASK=2.64954564837716</stp>
        <stp>YAS_YLD_CONV=33</stp>
        <tr r="Z20" s="5"/>
      </tp>
      <tp>
        <v>6.96279568811633</v>
        <stp/>
        <stp>##V3_BDPV12</stp>
        <stp>AM2936822 Govt</stp>
        <stp>YAS_RISK</stp>
        <stp>[BondPricer-0.2.xlsm]ITALIAN_BTPS_TYPE523!R61C26</stp>
        <stp>YLD_YTM_ASK=3.36331912550476</stp>
        <stp>YAS_YLD_CONV=33</stp>
        <tr r="Z61" s="5"/>
      </tp>
      <tp>
        <v>5.8839336781765894</v>
        <stp/>
        <stp>##V3_BDPV12</stp>
        <stp>EK8553563 Corp</stp>
        <stp>YAS_RISK</stp>
        <stp>[BondPricer-0.2.xlsm]AUSTRALIAN_GOVT_TYPE23!R30C26</stp>
        <stp>YLD_YTM_ASK=2.82298654169903</stp>
        <stp>YAS_YLD_CONV=3</stp>
        <tr r="Z30" s="9"/>
      </tp>
      <tp>
        <v>124.99999994016126</v>
        <stp/>
        <stp>##V3_BDPV12</stp>
        <stp>912810FA Govt</stp>
        <stp>YAS_BOND_PX</stp>
        <stp>[BondPricer-0.2.xlsm]US_TREASURY_TYPE1!R88C20</stp>
        <stp>YAS_BOND_YLD=3.1145257</stp>
        <stp>YAS_YLD_CONV=2</stp>
        <tr r="T88" s="4"/>
      </tp>
      <tp>
        <v>123.3593749527821</v>
        <stp/>
        <stp>##V3_BDPV12</stp>
        <stp>912810EV Govt</stp>
        <stp>YAS_BOND_PX</stp>
        <stp>[BondPricer-0.2.xlsm]US_TREASURY_TYPE1!R76C20</stp>
        <stp>YAS_BOND_YLD=3.0589924</stp>
        <stp>YAS_YLD_CONV=2</stp>
        <tr r="T76" s="4"/>
      </tp>
      <tp>
        <v>1.8662366809246902</v>
        <stp/>
        <stp>##V3_BDPV12</stp>
        <stp>EH867755 Corp</stp>
        <stp>YLD_YTM_ASK</stp>
        <stp>[BondPricer-0.2.xlsm]UK_GILT_TYPE26!R22C13</stp>
        <tr r="M22" s="13"/>
      </tp>
      <tp>
        <v>1.941123994102433</v>
        <stp/>
        <stp>##V3_BDPV12</stp>
        <stp>EH998789 Corp</stp>
        <stp>YLD_YTM_ASK</stp>
        <stp>[BondPricer-0.2.xlsm]UK_GILT_TYPE26!R38C13</stp>
        <tr r="M38" s="13"/>
      </tp>
      <tp>
        <v>1.9360507078229254</v>
        <stp/>
        <stp>##V3_BDPV12</stp>
        <stp>EJ712548 Corp</stp>
        <stp>YLD_YTM_ASK</stp>
        <stp>[BondPricer-0.2.xlsm]UK_GILT_TYPE26!R40C13</stp>
        <tr r="M40" s="13"/>
      </tp>
      <tp>
        <v>122.37499997837988</v>
        <stp/>
        <stp>##V3_BDPV12</stp>
        <stp>912810FP Govt</stp>
        <stp>YAS_BOND_PX</stp>
        <stp>[BondPricer-0.2.xlsm]US_TREASURY_TYPE1!R95C20</stp>
        <stp>YAS_BOND_YLD=3.1684317</stp>
        <stp>YAS_YLD_CONV=2</stp>
        <tr r="T95" s="4"/>
      </tp>
      <tp>
        <v>14.10271503269078</v>
        <stp/>
        <stp>##V3_BDPV12</stp>
        <stp>912810QD Govt</stp>
        <stp>DUR_ADJ_ASK</stp>
        <stp>[BondPricer-0.2.xlsm]US_TREASURY_TYPE1!R104C28</stp>
        <stp>YLD_YTM_ASK=3.2803081</stp>
        <stp>YAS_YLD_CONV=3</stp>
        <tr r="AB104" s="4"/>
      </tp>
      <tp>
        <v>14.624841846032499</v>
        <stp/>
        <stp>##V3_BDPV12</stp>
        <stp>912810QL Govt</stp>
        <stp>DUR_ADJ_ASK</stp>
        <stp>[BondPricer-0.2.xlsm]US_TREASURY_TYPE1!R108C28</stp>
        <stp>YLD_YTM_ASK=3.2953508</stp>
        <stp>YAS_YLD_CONV=3</stp>
        <tr r="AB108" s="4"/>
      </tp>
      <tp>
        <v>17.367020571209256</v>
        <stp/>
        <stp>##V3_BDPV12</stp>
        <stp>912810RH Govt</stp>
        <stp>DUR_ADJ_ASK</stp>
        <stp>[BondPricer-0.2.xlsm]US_TREASURY_TYPE1!R123C28</stp>
        <stp>YLD_YTM_ASK=3.3260106</stp>
        <stp>YAS_YLD_CONV=3</stp>
        <tr r="AB123" s="4"/>
      </tp>
      <tp>
        <v>19.457102056944091</v>
        <stp/>
        <stp>##V3_BDPV12</stp>
        <stp>912810RT Govt</stp>
        <stp>DUR_ADJ_ASK</stp>
        <stp>[BondPricer-0.2.xlsm]US_TREASURY_TYPE1!R131C28</stp>
        <stp>YLD_YTM_ASK=3.3330628</stp>
        <stp>YAS_YLD_CONV=3</stp>
        <tr r="AB131" s="4"/>
      </tp>
      <tp>
        <v>16.259604289578657</v>
        <stp/>
        <stp>##V3_BDPV12</stp>
        <stp>912810QU Govt</stp>
        <stp>DUR_ADJ_ASK</stp>
        <stp>[BondPricer-0.2.xlsm]US_TREASURY_TYPE1!R113C28</stp>
        <stp>YLD_YTM_ASK=3.3123711</stp>
        <stp>YAS_YLD_CONV=3</stp>
        <tr r="AB113" s="4"/>
      </tp>
      <tp>
        <v>16.89147876869718</v>
        <stp/>
        <stp>##V3_BDPV12</stp>
        <stp>912810QY Govt</stp>
        <stp>DUR_ADJ_ASK</stp>
        <stp>[BondPricer-0.2.xlsm]US_TREASURY_TYPE1!R116C28</stp>
        <stp>YLD_YTM_ASK=3.3233507</stp>
        <stp>YAS_YLD_CONV=3</stp>
        <tr r="AB116" s="4"/>
      </tp>
      <tp>
        <v>16.902980999715549</v>
        <stp/>
        <stp>##V3_BDPV12</stp>
        <stp>912810QX Govt</stp>
        <stp>DUR_ADJ_ASK</stp>
        <stp>[BondPricer-0.2.xlsm]US_TREASURY_TYPE1!R115C28</stp>
        <stp>YLD_YTM_ASK=3.3203753</stp>
        <stp>YAS_YLD_CONV=3</stp>
        <tr r="AB115" s="4"/>
      </tp>
      <tp t="s">
        <v>#N/A Invalid Override</v>
        <stp/>
        <stp>##V3_BDPV12</stp>
        <stp>EH8715490 Govt</stp>
        <stp>YAS_BOND_YLD</stp>
        <stp>[BondPricer-0.2.xlsm]JAPAN_JGB_TYPE51!R108C31</stp>
        <stp>YAS_BOND_PX=#N/A Requesting Data...</stp>
        <tr r="AE108" s="7"/>
      </tp>
      <tp t="s">
        <v>#N/A Invalid Override</v>
        <stp/>
        <stp>##V3_BDPV12</stp>
        <stp>EK4996816 Govt</stp>
        <stp>YAS_BOND_YLD</stp>
        <stp>[BondPricer-0.2.xlsm]JAPAN_JGB_TYPE51!R161C31</stp>
        <stp>YAS_BOND_PX=#N/A Requesting Data...</stp>
        <tr r="AE161" s="7"/>
      </tp>
      <tp t="s">
        <v>#N/A Invalid Override</v>
        <stp/>
        <stp>##V3_BDPV12</stp>
        <stp>EK8137466 Govt</stp>
        <stp>YAS_BOND_YLD</stp>
        <stp>[BondPricer-0.2.xlsm]JAPAN_JGB_TYPE51!R165C31</stp>
        <stp>YAS_BOND_PX=#N/A Requesting Data...</stp>
        <tr r="AE165" s="7"/>
      </tp>
      <tp>
        <v>6.6163548579197595</v>
        <stp/>
        <stp>##V3_BDPV12</stp>
        <stp>ED8277235 Govt</stp>
        <stp>YAS_RISK</stp>
        <stp>[BondPricer-0.2.xlsm]JAPAN_JGB_TYPE51!R61C25</stp>
        <stp>YLD_YTM_ASK=-0.0179999999999995</stp>
        <stp>YAS_YLD_CONV=3</stp>
        <tr r="Y61" s="7"/>
      </tp>
      <tp>
        <v>7.431915504135489</v>
        <stp/>
        <stp>##V3_BDPV12</stp>
        <stp>EC5588909 Govt</stp>
        <stp>YAS_RISK</stp>
        <stp>[BondPricer-0.2.xlsm]ITALIAN_BTPS_TYPE523!R95C26</stp>
        <stp>YLD_YTM_ASK=3.85949227920357</stp>
        <stp>YAS_YLD_CONV=33</stp>
        <tr r="Z95" s="5"/>
      </tp>
      <tp>
        <v>5.7560994968120838</v>
        <stp/>
        <stp>##V3_BDPV12</stp>
        <stp>EC5588446 Govt</stp>
        <stp>YAS_RISK</stp>
        <stp>[BondPricer-0.2.xlsm]ITALIAN_BTPS_TYPE523!R49C26</stp>
        <stp>YLD_YTM_ASK=3.50911065419948</stp>
        <stp>YAS_YLD_CONV=33</stp>
        <tr r="Z49" s="5"/>
      </tp>
      <tp>
        <v>5.7766488056813614</v>
        <stp/>
        <stp>##V3_BDPV12</stp>
        <stp>ED4832348 Govt</stp>
        <stp>YAS_RISK</stp>
        <stp>[BondPricer-0.2.xlsm]JAPAN_JGB_TYPE51!R51C25</stp>
        <stp>YLD_YTM_ASK=-0.0500000000000009</stp>
        <stp>YAS_YLD_CONV=3</stp>
        <tr r="Y51" s="7"/>
      </tp>
      <tp>
        <v>5.7447642745557914</v>
        <stp/>
        <stp>##V3_BDPV12</stp>
        <stp>ED3828602 Govt</stp>
        <stp>YAS_RISK</stp>
        <stp>[BondPricer-0.2.xlsm]JAPAN_JGB_TYPE51!R53C25</stp>
        <stp>YLD_YTM_ASK=-0.0509999999999988</stp>
        <stp>YAS_YLD_CONV=3</stp>
        <tr r="Y53" s="7"/>
      </tp>
      <tp>
        <v>5.3837373699018087</v>
        <stp/>
        <stp>##V3_BDPV12</stp>
        <stp>CP5087970 Govt</stp>
        <stp>YAS_RISK</stp>
        <stp>[BondPricer-0.2.xlsm]ITALIAN_BTPS_TYPE523!R41C26</stp>
        <stp>YLD_YTM_ASK=3.40118447074607</stp>
        <stp>YAS_YLD_CONV=33</stp>
        <tr r="Z41" s="5"/>
      </tp>
      <tp>
        <v>102.777</v>
        <stp/>
        <stp>##V3_BDPV12</stp>
        <stp>UV7412959 Govt</stp>
        <stp>YAS_BOND_PX</stp>
        <stp>[BondPricer-0.2.xlsm]JAPAN_JGB_TYPE51!R71C20</stp>
        <stp>YAS_BOND_SPL_YLD=-0.00100000000000009</stp>
        <stp>YAS_YLD_CONV=2</stp>
        <tr r="T71" s="7"/>
      </tp>
      <tp>
        <v>5.0304309068032182</v>
        <stp/>
        <stp>##V3_BDPV12</stp>
        <stp>EK0661273 Govt</stp>
        <stp>YAS_RISK</stp>
        <stp>[BondPricer-0.2.xlsm]ITALIAN_BTPS_TYPE523!R36C26</stp>
        <stp>YLD_YTM_ASK=3.26992047922072</stp>
        <stp>YAS_YLD_CONV=33</stp>
        <tr r="Z36" s="5"/>
      </tp>
      <tp>
        <v>8.0593336755143241</v>
        <stp/>
        <stp>##V3_BDPV12</stp>
        <stp>JV7193115 Corp</stp>
        <stp>YAS_RISK</stp>
        <stp>[BondPricer-0.2.xlsm]AUSTRALIAN_GOVT_TYPE23!R45C26</stp>
        <stp>YLD_YTM_ASK=2.66755110308787</stp>
        <stp>YAS_YLD_CONV=3</stp>
        <tr r="Z45" s="9"/>
      </tp>
      <tp>
        <v>5.1987513341060776</v>
        <stp/>
        <stp>##V3_BDPV12</stp>
        <stp>EJ2445694 Corp</stp>
        <stp>YAS_RISK</stp>
        <stp>[BondPricer-0.2.xlsm]AUSTRALIAN_GOVT_TYPE23!R25C26</stp>
        <stp>YLD_YTM_ASK=2.35604450630056</stp>
        <stp>YAS_YLD_CONV=3</stp>
        <tr r="Z25" s="9"/>
      </tp>
      <tp>
        <v>6.8831184852925276</v>
        <stp/>
        <stp>##V3_BDPV12</stp>
        <stp>JV9205164 Corp</stp>
        <stp>YAS_RISK</stp>
        <stp>[BondPricer-0.2.xlsm]AUSTRALIAN_GOVT_TYPE23!R37C26</stp>
        <stp>YLD_YTM_ASK=2.98804566984636</stp>
        <stp>YAS_YLD_CONV=3</stp>
        <tr r="Z37" s="9"/>
      </tp>
      <tp>
        <v>8.8169820624258932</v>
        <stp/>
        <stp>##V3_BDPV12</stp>
        <stp>AM5647400 Corp</stp>
        <stp>YAS_RISK</stp>
        <stp>[BondPricer-0.2.xlsm]AUSTRALIAN_GOVT_TYPE23!R48C26</stp>
        <stp>YLD_YTM_ASK=2.68902273356955</stp>
        <stp>YAS_YLD_CONV=3</stp>
        <tr r="Z48" s="9"/>
      </tp>
      <tp>
        <v>3.0712445222704332</v>
        <stp/>
        <stp>##V3_BDPV12</stp>
        <stp>AM1708602 Corp</stp>
        <stp>YAS_RISK</stp>
        <stp>[BondPricer-0.2.xlsm]AUSTRALIAN_GOVT_TYPE23!R12C26</stp>
        <stp>YLD_YTM_ASK=1.93893753447242</stp>
        <stp>YAS_YLD_CONV=3</stp>
        <tr r="Z12" s="9"/>
      </tp>
      <tp>
        <v>7.464280379433319</v>
        <stp/>
        <stp>##V3_BDPV12</stp>
        <stp>EF1466236 Govt</stp>
        <stp>YAS_RISK</stp>
        <stp>[BondPricer-0.2.xlsm]JAPAN_JGB_TYPE51!R73C25</stp>
        <stp>YLD_YTM_ASK=0.00299999999999944</stp>
        <stp>YAS_YLD_CONV=3</stp>
        <tr r="Y73" s="7"/>
      </tp>
      <tp>
        <v>6.5797823835971769</v>
        <stp/>
        <stp>##V3_BDPV12</stp>
        <stp>EJ8955977 Corp</stp>
        <stp>YAS_RISK</stp>
        <stp>[BondPricer-0.2.xlsm]AUSTRALIAN_GOVT_TYPE23!R33C26</stp>
        <stp>YLD_YTM_ASK=2.83497810335585</stp>
        <stp>YAS_YLD_CONV=3</stp>
        <tr r="Z33" s="9"/>
      </tp>
      <tp>
        <v>127.07812476144906</v>
        <stp/>
        <stp>##V3_BDPV12</stp>
        <stp>912810FJ Govt</stp>
        <stp>YAS_BOND_PX</stp>
        <stp>[BondPricer-0.2.xlsm]US_TREASURY_TYPE1!R93C20</stp>
        <stp>YAS_BOND_YLD=3.1537541</stp>
        <stp>YAS_YLD_CONV=2</stp>
        <tr r="T93" s="4"/>
      </tp>
      <tp>
        <v>129.7968753206805</v>
        <stp/>
        <stp>##V3_BDPV12</stp>
        <stp>912810FM Govt</stp>
        <stp>YAS_BOND_PX</stp>
        <stp>[BondPricer-0.2.xlsm]US_TREASURY_TYPE1!R94C20</stp>
        <stp>YAS_BOND_YLD=3.1577552</stp>
        <stp>YAS_YLD_CONV=2</stp>
        <tr r="T94" s="4"/>
      </tp>
      <tp>
        <v>119.7812503278243</v>
        <stp/>
        <stp>##V3_BDPV12</stp>
        <stp>912810FE Govt</stp>
        <stp>YAS_BOND_PX</stp>
        <stp>[BondPricer-0.2.xlsm]US_TREASURY_TYPE1!R90C20</stp>
        <stp>YAS_BOND_YLD=3.1447197</stp>
        <stp>YAS_YLD_CONV=2</stp>
        <tr r="T90" s="4"/>
      </tp>
      <tp>
        <v>1.1591099427921754</v>
        <stp/>
        <stp>##V3_BDPV12</stp>
        <stp>AO326331 Corp</stp>
        <stp>YLD_YTM_ASK</stp>
        <stp>[BondPricer-0.2.xlsm]UK_GILT_TYPE26!R11C13</stp>
        <tr r="M11" s="13"/>
      </tp>
      <tp>
        <v>5.6519540813489755</v>
        <stp/>
        <stp>##V3_BDPV12</stp>
        <stp>EK0378027 Govt</stp>
        <stp>YAS_RISK</stp>
        <stp>[BondPricer-0.2.xlsm]GERMAN_BUND_TYPE60!R17C24</stp>
        <stp>YLD_YTM_ASK=-0.0655741869147272</stp>
        <stp>YAS_YLD_CONV=1</stp>
        <tr r="X17" s="6"/>
      </tp>
      <tp>
        <v>92.244999991763066</v>
        <stp/>
        <stp>##V3_BDPV12</stp>
        <stp>UV6569569 Govt</stp>
        <stp>PX_ASK</stp>
        <stp>[BondPricer-0.2.xlsm]ITALIAN_BTPS_TYPE523!R42C22</stp>
        <stp>YAS_BOND_YLD=3.25305805022247</stp>
        <stp>YAS_YLD_CONV=1</stp>
        <tr r="V42" s="5"/>
      </tp>
      <tp>
        <v>16.282783472972241</v>
        <stp/>
        <stp>##V3_BDPV12</stp>
        <stp>912810RD Govt</stp>
        <stp>DUR_ADJ_ASK</stp>
        <stp>[BondPricer-0.2.xlsm]US_TREASURY_TYPE1!R120C28</stp>
        <stp>YLD_YTM_ASK=3.3233832</stp>
        <stp>YAS_YLD_CONV=3</stp>
        <tr r="AB120" s="4"/>
      </tp>
      <tp>
        <v>18.46722970979781</v>
        <stp/>
        <stp>##V3_BDPV12</stp>
        <stp>912810RU Govt</stp>
        <stp>DUR_ADJ_ASK</stp>
        <stp>[BondPricer-0.2.xlsm]US_TREASURY_TYPE1!R132C28</stp>
        <stp>YLD_YTM_ASK=3.3303112</stp>
        <stp>YAS_YLD_CONV=3</stp>
        <tr r="AB132" s="4"/>
      </tp>
      <tp>
        <v>134.46699998782367</v>
        <stp/>
        <stp>##V3_BDPV12</stp>
        <stp>EC867711 Corp</stp>
        <stp>YAS_BOND_PX</stp>
        <stp>[BondPricer-0.2.xlsm]UK_GILT_TYPE26!R23C20</stp>
        <stp>YAS_BOND_YLD=1.9111945527061</stp>
        <stp>YAS_YLD_CONV=2</stp>
        <tr r="T23" s="13"/>
      </tp>
      <tp>
        <v>13.348704191750985</v>
        <stp/>
        <stp>##V3_BDPV12</stp>
        <stp>912810PX Govt</stp>
        <stp>DUR_ADJ_ASK</stp>
        <stp>[BondPricer-0.2.xlsm]US_TREASURY_TYPE1!R100C28</stp>
        <stp>YLD_YTM_ASK=3.2471366</stp>
        <stp>YAS_YLD_CONV=3</stp>
        <tr r="AB100" s="4"/>
      </tp>
      <tp>
        <v>101.06599999999976</v>
        <stp/>
        <stp>##V3_BDPV12</stp>
        <stp>EI0418695 Govt</stp>
        <stp>YAS_BOND_PX</stp>
        <stp>[BondPricer-0.2.xlsm]FRENCH_BTAN_TYPE89!R10C20</stp>
        <stp>YAS_BOND_YLD=-0.419801978922485</stp>
        <stp>YAS_YLD_CONV=1</stp>
        <tr r="T10" s="8"/>
      </tp>
      <tp t="s">
        <v>#N/A Invalid Override</v>
        <stp/>
        <stp>##V3_BDPV12</stp>
        <stp>EH9753441 Govt</stp>
        <stp>YAS_BOND_YLD</stp>
        <stp>[BondPricer-0.2.xlsm]JAPAN_JGB_TYPE51!R109C31</stp>
        <stp>YAS_BOND_PX=#N/A Requesting Data...</stp>
        <tr r="AE109" s="7"/>
      </tp>
      <tp t="s">
        <v>#N/A Invalid Override</v>
        <stp/>
        <stp>##V3_BDPV12</stp>
        <stp>EC5650865 Govt</stp>
        <stp>YAS_BOND_YLD</stp>
        <stp>[BondPricer-0.2.xlsm]JAPAN_JGB_TYPE51!R139C31</stp>
        <stp>YAS_BOND_PX=#N/A Requesting Data...</stp>
        <tr r="AE139" s="7"/>
      </tp>
      <tp>
        <v>3.750896772953638</v>
        <stp/>
        <stp>##V3_BDPV12</stp>
        <stp>EJ2679425 Govt</stp>
        <stp>YAS_RISK</stp>
        <stp>[BondPricer-0.2.xlsm]JAPAN_JGB_TYPE51!R29C25</stp>
        <stp>YLD_YTM_ASK=-0.0990000000000008</stp>
        <stp>YAS_YLD_CONV=3</stp>
        <tr r="Y29" s="7"/>
      </tp>
      <tp>
        <v>110.18</v>
        <stp/>
        <stp>##V3_BDPV12</stp>
        <stp>ED2593686 Govt</stp>
        <stp>YAS_BOND_PX</stp>
        <stp>[BondPricer-0.2.xlsm]JAPAN_JGB_TYPE51!R49C20</stp>
        <stp>YAS_BOND_SPL_YLD=-0.0610000000000012</stp>
        <stp>YAS_YLD_CONV=2</stp>
        <tr r="T49" s="7"/>
      </tp>
      <tp>
        <v>4.8345142796982543</v>
        <stp/>
        <stp>##V3_BDPV12</stp>
        <stp>AM7963128 Govt</stp>
        <stp>YAS_RISK</stp>
        <stp>[BondPricer-0.2.xlsm]ITALIAN_BTPS_TYPE523!R27C26</stp>
        <stp>YLD_YTM_ASK=3.10001093869818</stp>
        <stp>YAS_YLD_CONV=33</stp>
        <tr r="Z27" s="5"/>
      </tp>
      <tp>
        <v>17.686698012851565</v>
        <stp/>
        <stp>##V3_BDPV12</stp>
        <stp>QZ8542552 Corp</stp>
        <stp>YAS_RISK</stp>
        <stp>[BondPricer-0.2.xlsm]AUSTRALIAN_GOVT_TYPE23!R63C26</stp>
        <stp>YLD_YTM_ASK=3.30012463828751</stp>
        <stp>YAS_YLD_CONV=3</stp>
        <tr r="Z63" s="9"/>
      </tp>
      <tp>
        <v>5.3508224394001047</v>
        <stp/>
        <stp>##V3_BDPV12</stp>
        <stp>EK4572963 Govt</stp>
        <stp>YAS_RISK</stp>
        <stp>[BondPricer-0.2.xlsm]ITALIAN_BTPS_TYPE523!R32C26</stp>
        <stp>YLD_YTM_ASK=3.12862194652213</stp>
        <stp>YAS_YLD_CONV=33</stp>
        <tr r="Z32" s="5"/>
      </tp>
      <tp>
        <v>6.8950435099218055</v>
        <stp/>
        <stp>##V3_BDPV12</stp>
        <stp>ED8660810 Govt</stp>
        <stp>YAS_RISK</stp>
        <stp>[BondPricer-0.2.xlsm]JAPAN_JGB_TYPE51!R64C25</stp>
        <stp>YLD_YTM_ASK=-0.0129999999999988</stp>
        <stp>YAS_YLD_CONV=3</stp>
        <tr r="Y64" s="7"/>
      </tp>
      <tp>
        <v>113.58</v>
        <stp/>
        <stp>##V3_BDPV12</stp>
        <stp>ED8660810 Govt</stp>
        <stp>YAS_BOND_PX</stp>
        <stp>[BondPricer-0.2.xlsm]JAPAN_JGB_TYPE51!R64C20</stp>
        <stp>YAS_BOND_SPL_YLD=-0.0129999999999988</stp>
        <stp>YAS_YLD_CONV=2</stp>
        <tr r="T64" s="7"/>
      </tp>
      <tp>
        <v>6.2463898020304498</v>
        <stp/>
        <stp>##V3_BDPV12</stp>
        <stp>EK6836028 Govt</stp>
        <stp>YAS_RISK</stp>
        <stp>[BondPricer-0.2.xlsm]JAPAN_JGB_TYPE51!R59C25</stp>
        <stp>YLD_YTM_ASK=-0.0219999999999985</stp>
        <stp>YAS_YLD_CONV=3</stp>
        <tr r="Y59" s="7"/>
      </tp>
      <tp>
        <v>7.174830102985652</v>
        <stp/>
        <stp>##V3_BDPV12</stp>
        <stp>EC5588867 Govt</stp>
        <stp>YAS_RISK</stp>
        <stp>[BondPricer-0.2.xlsm]ITALIAN_BTPS_TYPE523!R89C26</stp>
        <stp>YLD_YTM_ASK=3.75788609251195</stp>
        <stp>YAS_YLD_CONV=33</stp>
        <tr r="Z89" s="5"/>
      </tp>
      <tp>
        <v>4.360805918014421</v>
        <stp/>
        <stp>##V3_BDPV12</stp>
        <stp>EC7836876 Govt</stp>
        <stp>YAS_RISK</stp>
        <stp>[BondPricer-0.2.xlsm]JAPAN_JGB_TYPE51!R37C25</stp>
        <stp>YLD_YTM_ASK=-0.0939999999999997</stp>
        <stp>YAS_YLD_CONV=3</stp>
        <tr r="Y37" s="7"/>
      </tp>
      <tp>
        <v>2.8449731744302653</v>
        <stp/>
        <stp>##V3_BDPV12</stp>
        <stp>EC9870790 Corp</stp>
        <stp>YAS_RISK</stp>
        <stp>[BondPricer-0.2.xlsm]AUSTRALIAN_GOVT_TYPE23!R10C26</stp>
        <stp>YLD_YTM_ASK=2.29883169740607</stp>
        <stp>YAS_YLD_CONV=3</stp>
        <tr r="Z10" s="9"/>
      </tp>
      <tp>
        <v>8.0656534753714482</v>
        <stp/>
        <stp>##V3_BDPV12</stp>
        <stp>JV3198662 Corp</stp>
        <stp>YAS_RISK</stp>
        <stp>[BondPricer-0.2.xlsm]AUSTRALIAN_GOVT_TYPE23!R44C26</stp>
        <stp>YLD_YTM_ASK=2.65899293319141</stp>
        <stp>YAS_YLD_CONV=3</stp>
        <tr r="Z44" s="9"/>
      </tp>
      <tp>
        <v>95.515625044693806</v>
        <stp/>
        <stp>##V3_BDPV12</stp>
        <stp>912828H8 Govt</stp>
        <stp>YAS_BOND_PX</stp>
        <stp>[BondPricer-0.2.xlsm]US_TREASURY_TYPE1!R34C20</stp>
        <stp>YAS_BOND_YLD=2.9392362</stp>
        <stp>YAS_YLD_CONV=2</stp>
        <tr r="T34" s="4"/>
      </tp>
      <tp>
        <v>93.859375200859787</v>
        <stp/>
        <stp>##V3_BDPV12</stp>
        <stp>912828J2 Govt</stp>
        <stp>YAS_BOND_PX</stp>
        <stp>[BondPricer-0.2.xlsm]US_TREASURY_TYPE1!R74C20</stp>
        <stp>YAS_BOND_YLD=3.0744186</stp>
        <stp>YAS_YLD_CONV=2</stp>
        <tr r="T74" s="4"/>
      </tp>
      <tp>
        <v>2.004534705440725</v>
        <stp/>
        <stp>##V3_BDPV12</stp>
        <stp>EH529579 Corp</stp>
        <stp>YLD_YTM_ASK</stp>
        <stp>[BondPricer-0.2.xlsm]UK_GILT_TYPE26!R34C13</stp>
        <tr r="M34" s="13"/>
      </tp>
      <tp>
        <v>13.961289896614261</v>
        <stp/>
        <stp>##V3_BDPV12</stp>
        <stp>912810QB Govt</stp>
        <stp>DUR_ADJ_ASK</stp>
        <stp>[BondPricer-0.2.xlsm]US_TREASURY_TYPE1!R102C28</stp>
        <stp>YLD_YTM_ASK=3.2681039</stp>
        <stp>YAS_YLD_CONV=3</stp>
        <tr r="AB102" s="4"/>
      </tp>
      <tp>
        <v>116.99999987172427</v>
        <stp/>
        <stp>##V3_BDPV12</stp>
        <stp>912810QQ Govt</stp>
        <stp>YAS_BOND_PX</stp>
        <stp>[BondPricer-0.2.xlsm]US_TREASURY_TYPE1!R110C20</stp>
        <stp>YAS_BOND_YLD=3.300976</stp>
        <stp>YAS_YLD_CONV=2</stp>
        <tr r="T110" s="4"/>
      </tp>
      <tp>
        <v>121.88500000000001</v>
        <stp/>
        <stp>##V3_BDPV12</stp>
        <stp>EH4237085 Govt</stp>
        <stp>YAS_BOND_PX</stp>
        <stp>[BondPricer-0.2.xlsm]JAPAN_JGB_TYPE51!R98C20</stp>
        <stp>YAS_BOND_SPL_YLD=0.113</stp>
        <stp>YAS_YLD_CONV=2</stp>
        <tr r="T98" s="7"/>
      </tp>
      <tp>
        <v>18.387584394581651</v>
        <stp/>
        <stp>##V3_BDPV12</stp>
        <stp>912810RK Govt</stp>
        <stp>DUR_ADJ_ASK</stp>
        <stp>[BondPricer-0.2.xlsm]US_TREASURY_TYPE1!R125C28</stp>
        <stp>YLD_YTM_ASK=3.3302184</stp>
        <stp>YAS_YLD_CONV=3</stp>
        <tr r="AB125" s="4"/>
      </tp>
      <tp>
        <v>101.02099999999996</v>
        <stp/>
        <stp>##V3_BDPV12</stp>
        <stp>JK8202802 Govt</stp>
        <stp>YAS_BOND_PX</stp>
        <stp>[BondPricer-0.2.xlsm]FRENCH_BTAN_TYPE89!R13C20</stp>
        <stp>YAS_BOND_YLD=-0.389529249626808</stp>
        <stp>YAS_YLD_CONV=1</stp>
        <tr r="T13" s="8"/>
      </tp>
      <tp>
        <v>17.899451529831339</v>
        <stp/>
        <stp>##V3_BDPV12</stp>
        <stp>912810RP Govt</stp>
        <stp>DUR_ADJ_ASK</stp>
        <stp>[BondPricer-0.2.xlsm]US_TREASURY_TYPE1!R128C28</stp>
        <stp>YLD_YTM_ASK=3.3272266</stp>
        <stp>YAS_YLD_CONV=3</stp>
        <tr r="AB128" s="4"/>
      </tp>
      <tp t="s">
        <v>#N/A Invalid Override</v>
        <stp/>
        <stp>##V3_BDPV12</stp>
        <stp>EC3875944 Govt</stp>
        <stp>YAS_BOND_YLD</stp>
        <stp>[BondPricer-0.2.xlsm]JAPAN_JGB_TYPE51!R128C31</stp>
        <stp>YAS_BOND_PX=#N/A Requesting Data...</stp>
        <tr r="AE128" s="7"/>
      </tp>
      <tp t="s">
        <v>#N/A Invalid Override</v>
        <stp/>
        <stp>##V3_BDPV12</stp>
        <stp>AM8503287 Govt</stp>
        <stp>YAS_BOND_YLD</stp>
        <stp>[BondPricer-0.2.xlsm]JAPAN_JGB_TYPE51!R181C31</stp>
        <stp>YAS_BOND_PX=#N/A Requesting Data...</stp>
        <tr r="AE181" s="7"/>
      </tp>
      <tp t="s">
        <v>#N/A Invalid Override</v>
        <stp/>
        <stp>##V3_BDPV12</stp>
        <stp>EC8204264 Govt</stp>
        <stp>YAS_BOND_YLD</stp>
        <stp>[BondPricer-0.2.xlsm]JAPAN_JGB_TYPE51!R147C31</stp>
        <stp>YAS_BOND_PX=#N/A Requesting Data...</stp>
        <tr r="AE147" s="7"/>
      </tp>
      <tp t="s">
        <v>#N/A Invalid Override</v>
        <stp/>
        <stp>##V3_BDPV12</stp>
        <stp>EH3146931 Govt</stp>
        <stp>YAS_BOND_YLD</stp>
        <stp>[BondPricer-0.2.xlsm]JAPAN_JGB_TYPE51!R184C31</stp>
        <stp>YAS_BOND_PX=#N/A Requesting Data...</stp>
        <tr r="AE184" s="7"/>
      </tp>
      <tp>
        <v>93.570312513892929</v>
        <stp/>
        <stp>##V3_BDPV12</stp>
        <stp>912828T9 Govt</stp>
        <stp>YAS_BOND_PX</stp>
        <stp>[BondPricer-0.2.xlsm]US_TREASURY_TYPE1!R64C20</stp>
        <stp>YAS_BOND_YLD=3.00918</stp>
        <stp>YAS_YLD_CONV=2</stp>
        <tr r="T64" s="4"/>
      </tp>
      <tp>
        <v>2.4694576981573846</v>
        <stp/>
        <stp>##V3_BDPV12</stp>
        <stp>EI6755942 Govt</stp>
        <stp>YAS_RISK</stp>
        <stp>[BondPricer-0.2.xlsm]JAPAN_JGB_TYPE51!R7C25</stp>
        <stp>YLD_YTM_ASK=-0.118999999999993</stp>
        <stp>YAS_YLD_CONV=3</stp>
        <tr r="Y7" s="7"/>
      </tp>
      <tp>
        <v>112.938</v>
        <stp/>
        <stp>##V3_BDPV12</stp>
        <stp>ED9517639 Govt</stp>
        <stp>YAS_BOND_PX</stp>
        <stp>[BondPricer-0.2.xlsm]JAPAN_JGB_TYPE51!R66C20</stp>
        <stp>YAS_BOND_SPL_YLD=-0.0130000000000006</stp>
        <stp>YAS_YLD_CONV=2</stp>
        <tr r="T66" s="7"/>
      </tp>
      <tp>
        <v>6.2511451160290221</v>
        <stp/>
        <stp>##V3_BDPV12</stp>
        <stp>EK0661752 Govt</stp>
        <stp>YAS_RISK</stp>
        <stp>[BondPricer-0.2.xlsm]ITALIAN_BTPS_TYPE523!R64C26</stp>
        <stp>YLD_YTM_ASK=3.61115599048569</stp>
        <stp>YAS_YLD_CONV=33</stp>
        <tr r="Z64" s="5"/>
      </tp>
      <tp>
        <v>109.661</v>
        <stp/>
        <stp>##V3_BDPV12</stp>
        <stp>ED3268197 Govt</stp>
        <stp>YAS_BOND_PX</stp>
        <stp>[BondPricer-0.2.xlsm]JAPAN_JGB_TYPE51!R48C20</stp>
        <stp>YAS_BOND_SPL_YLD=-0.0609999999999986</stp>
        <stp>YAS_YLD_CONV=2</stp>
        <tr r="T48" s="7"/>
      </tp>
      <tp>
        <v>7.4107333268919717</v>
        <stp/>
        <stp>##V3_BDPV12</stp>
        <stp>EH2972345 Govt</stp>
        <stp>YAS_RISK</stp>
        <stp>[BondPricer-0.2.xlsm]ITALIAN_BTPS_TYPE523!R59C26</stp>
        <stp>YLD_YTM_ASK=3.69618773459945</stp>
        <stp>YAS_YLD_CONV=33</stp>
        <tr r="Z59" s="5"/>
      </tp>
      <tp>
        <v>7.2223271327779059</v>
        <stp/>
        <stp>##V3_BDPV12</stp>
        <stp>EC1047439 Govt</stp>
        <stp>YAS_RISK</stp>
        <stp>[BondPricer-0.2.xlsm]ITALIAN_BTPS_TYPE523!R87C26</stp>
        <stp>YLD_YTM_ASK=3.58769389607065</stp>
        <stp>YAS_YLD_CONV=33</stp>
        <tr r="Z87" s="5"/>
      </tp>
      <tp>
        <v>6.8386855778229005</v>
        <stp/>
        <stp>##V3_BDPV12</stp>
        <stp>EK0661992 Govt</stp>
        <stp>YAS_RISK</stp>
        <stp>[BondPricer-0.2.xlsm]ITALIAN_BTPS_TYPE523!R80C26</stp>
        <stp>YLD_YTM_ASK=3.73103914483739</stp>
        <stp>YAS_YLD_CONV=33</stp>
        <tr r="Z80" s="5"/>
      </tp>
      <tp>
        <v>6.2872584973625578</v>
        <stp/>
        <stp>##V3_BDPV12</stp>
        <stp>EK6363973 Govt</stp>
        <stp>YAS_RISK</stp>
        <stp>[BondPricer-0.2.xlsm]JAPAN_JGB_TYPE51!R60C25</stp>
        <stp>YLD_YTM_ASK=-0.0209999999999994</stp>
        <stp>YAS_YLD_CONV=3</stp>
        <tr r="Y60" s="7"/>
      </tp>
      <tp>
        <v>6.1087851154567829</v>
        <stp/>
        <stp>##V3_BDPV12</stp>
        <stp>ED5111288 Govt</stp>
        <stp>YAS_RISK</stp>
        <stp>[BondPricer-0.2.xlsm]JAPAN_JGB_TYPE51!R55C25</stp>
        <stp>YLD_YTM_ASK=-0.0370000000000008</stp>
        <stp>YAS_YLD_CONV=3</stp>
        <tr r="Y55" s="7"/>
      </tp>
      <tp>
        <v>109.73699999999999</v>
        <stp/>
        <stp>##V3_BDPV12</stp>
        <stp>ED1845145 Govt</stp>
        <stp>YAS_BOND_PX</stp>
        <stp>[BondPricer-0.2.xlsm]JAPAN_JGB_TYPE51!R46C20</stp>
        <stp>YAS_BOND_SPL_YLD=-0.0699999999999997</stp>
        <stp>YAS_YLD_CONV=2</stp>
        <tr r="T46" s="7"/>
      </tp>
      <tp>
        <v>6.9894758733028084</v>
        <stp/>
        <stp>##V3_BDPV12</stp>
        <stp>EC5588826 Govt</stp>
        <stp>YAS_RISK</stp>
        <stp>[BondPricer-0.2.xlsm]ITALIAN_BTPS_TYPE523!R82C26</stp>
        <stp>YLD_YTM_ASK=3.75193758260655</stp>
        <stp>YAS_YLD_CONV=33</stp>
        <tr r="Z82" s="5"/>
      </tp>
      <tp>
        <v>97.492187423826422</v>
        <stp/>
        <stp>##V3_BDPV12</stp>
        <stp>912828D7 Govt</stp>
        <stp>YAS_BOND_PX</stp>
        <stp>[BondPricer-0.2.xlsm]US_TREASURY_TYPE1!R24C20</stp>
        <stp>YAS_BOND_YLD=2.9158273</stp>
        <stp>YAS_YLD_CONV=2</stp>
        <tr r="T24" s="4"/>
      </tp>
      <tp>
        <v>4.9598270024112878</v>
        <stp/>
        <stp>##V3_BDPV12</stp>
        <stp>EJ9131404 Corp</stp>
        <stp>YAS_RISK</stp>
        <stp>[BondPricer-0.2.xlsm]AUSTRALIAN_GOVT_TYPE23!R23C26</stp>
        <stp>YLD_YTM_ASK=3.10802983598692</stp>
        <stp>YAS_YLD_CONV=3</stp>
        <tr r="Z23" s="9"/>
      </tp>
      <tp>
        <v>7.0576103512053123</v>
        <stp/>
        <stp>##V3_BDPV12</stp>
        <stp>AN7790412 Corp</stp>
        <stp>YAS_RISK</stp>
        <stp>[BondPricer-0.2.xlsm]AUSTRALIAN_GOVT_TYPE23!R38C26</stp>
        <stp>YLD_YTM_ASK=3.02893666511293</stp>
        <stp>YAS_YLD_CONV=3</stp>
        <tr r="Z38" s="9"/>
      </tp>
      <tp>
        <v>93.312500111066285</v>
        <stp/>
        <stp>##V3_BDPV12</stp>
        <stp>912828K7 Govt</stp>
        <stp>YAS_BOND_PX</stp>
        <stp>[BondPricer-0.2.xlsm]US_TREASURY_TYPE1!R77C20</stp>
        <stp>YAS_BOND_YLD=3.0932307</stp>
        <stp>YAS_YLD_CONV=2</stp>
        <tr r="T77" s="4"/>
      </tp>
      <tp>
        <v>3.0542080010341977</v>
        <stp/>
        <stp>##V3_BDPV12</stp>
        <stp>AM1528661 Corp</stp>
        <stp>YAS_RISK</stp>
        <stp>[BondPricer-0.2.xlsm]AUSTRALIAN_GOVT_TYPE23!R11C26</stp>
        <stp>YLD_YTM_ASK=2.09304888100036</stp>
        <stp>YAS_YLD_CONV=3</stp>
        <tr r="Z11" s="9"/>
      </tp>
      <tp>
        <v>1.9778729823026653</v>
        <stp/>
        <stp>##V3_BDPV12</stp>
        <stp>EI825311 Corp</stp>
        <stp>YLD_YTM_ASK</stp>
        <stp>[BondPricer-0.2.xlsm]UK_GILT_TYPE26!R35C13</stp>
        <tr r="M35" s="13"/>
      </tp>
      <tp>
        <v>17.692012149342403</v>
        <stp/>
        <stp>##V3_BDPV12</stp>
        <stp>912810RM Govt</stp>
        <stp>DUR_ADJ_ASK</stp>
        <stp>[BondPricer-0.2.xlsm]US_TREASURY_TYPE1!R126C28</stp>
        <stp>YLD_YTM_ASK=3.3265649</stp>
        <stp>YAS_YLD_CONV=3</stp>
        <tr r="AB126" s="4"/>
      </tp>
      <tp>
        <v>121.502</v>
        <stp/>
        <stp>##V3_BDPV12</stp>
        <stp>EH3854096 Govt</stp>
        <stp>YAS_BOND_PX</stp>
        <stp>[BondPricer-0.2.xlsm]JAPAN_JGB_TYPE51!R97C20</stp>
        <stp>YAS_BOND_SPL_YLD=0.097</stp>
        <stp>YAS_YLD_CONV=2</stp>
        <tr r="T97" s="7"/>
      </tp>
      <tp>
        <v>102.74600008272785</v>
        <stp/>
        <stp>##V3_BDPV12</stp>
        <stp>EJ237349 Corp</stp>
        <stp>YAS_BOND_PX</stp>
        <stp>[BondPricer-0.2.xlsm]UK_GILT_TYPE26!R10C20</stp>
        <stp>YAS_BOND_YLD=1.0283728339151</stp>
        <stp>YAS_YLD_CONV=2</stp>
        <tr r="T10" s="13"/>
      </tp>
      <tp>
        <v>100.66199999999989</v>
        <stp/>
        <stp>##V3_BDPV12</stp>
        <stp>EJ6177442 Govt</stp>
        <stp>YAS_BOND_PX</stp>
        <stp>[BondPricer-0.2.xlsm]FRENCH_BTAN_TYPE89!R28C20</stp>
        <stp>YAS_BOND_YLD=-0.182975905656535</stp>
        <stp>YAS_YLD_CONV=1</stp>
        <tr r="T28" s="8"/>
      </tp>
      <tp>
        <v>111.37400000017219</v>
        <stp/>
        <stp>##V3_BDPV12</stp>
        <stp>EJ0036891 Govt</stp>
        <stp>YAS_BOND_PX</stp>
        <stp>[BondPricer-0.2.xlsm]FRENCH_BTAN_TYPE89!R22C20</stp>
        <stp>YAS_BOND_YLD=-0.214844890045923</stp>
        <stp>YAS_YLD_CONV=1</stp>
        <tr r="T22" s="8"/>
      </tp>
      <tp>
        <v>15.463363532082212</v>
        <stp/>
        <stp>##V3_BDPV12</stp>
        <stp>912810QS Govt</stp>
        <stp>DUR_ADJ_ASK</stp>
        <stp>[BondPricer-0.2.xlsm]US_TREASURY_TYPE1!R111C28</stp>
        <stp>YLD_YTM_ASK=3.3066975</stp>
        <stp>YAS_YLD_CONV=3</stp>
        <tr r="AB111" s="4"/>
      </tp>
      <tp>
        <v>116.70312501192474</v>
        <stp/>
        <stp>##V3_BDPV12</stp>
        <stp>912810QH Govt</stp>
        <stp>YAS_BOND_PX</stp>
        <stp>[BondPricer-0.2.xlsm]US_TREASURY_TYPE1!R106C20</stp>
        <stp>YAS_BOND_YLD=3.287994</stp>
        <stp>YAS_YLD_CONV=2</stp>
        <tr r="T106" s="4"/>
      </tp>
      <tp t="s">
        <v>#N/A Invalid Override</v>
        <stp/>
        <stp>##V3_BDPV12</stp>
        <stp>EI3854854 Govt</stp>
        <stp>YAS_BOND_YLD</stp>
        <stp>[BondPricer-0.2.xlsm]JAPAN_JGB_TYPE51!R117C31</stp>
        <stp>YAS_BOND_PX=#N/A Requesting Data...</stp>
        <tr r="AE117" s="7"/>
      </tp>
      <tp t="s">
        <v>#N/A Invalid Override</v>
        <stp/>
        <stp>##V3_BDPV12</stp>
        <stp>EJ8434395 Govt</stp>
        <stp>YAS_BOND_YLD</stp>
        <stp>[BondPricer-0.2.xlsm]JAPAN_JGB_TYPE51!R153C31</stp>
        <stp>YAS_BOND_PX=#N/A Requesting Data...</stp>
        <tr r="AE153" s="7"/>
      </tp>
      <tp t="s">
        <v>#N/A Invalid Override</v>
        <stp/>
        <stp>##V3_BDPV12</stp>
        <stp>EJ2397945 Govt</stp>
        <stp>YAS_BOND_YLD</stp>
        <stp>[BondPricer-0.2.xlsm]JAPAN_JGB_TYPE51!R142C31</stp>
        <stp>YAS_BOND_PX=#N/A Requesting Data...</stp>
        <tr r="AE142" s="7"/>
      </tp>
      <tp>
        <v>110.607</v>
        <stp/>
        <stp>##V3_BDPV12</stp>
        <stp>ED3828602 Govt</stp>
        <stp>YAS_BOND_PX</stp>
        <stp>[BondPricer-0.2.xlsm]JAPAN_JGB_TYPE51!R53C20</stp>
        <stp>YAS_BOND_SPL_YLD=-0.0509999999999988</stp>
        <stp>YAS_YLD_CONV=2</stp>
        <tr r="T53" s="7"/>
      </tp>
      <tp>
        <v>106.244</v>
        <stp/>
        <stp>##V3_BDPV12</stp>
        <stp>EC8612631 Govt</stp>
        <stp>YAS_BOND_PX</stp>
        <stp>[BondPricer-0.2.xlsm]JAPAN_JGB_TYPE51!R38C20</stp>
        <stp>YAS_BOND_SPL_YLD=-0.0899999999999986</stp>
        <stp>YAS_YLD_CONV=2</stp>
        <tr r="T38" s="7"/>
      </tp>
      <tp>
        <v>3.7908965523016036</v>
        <stp/>
        <stp>##V3_BDPV12</stp>
        <stp>LW2048137 Govt</stp>
        <stp>YAS_RISK</stp>
        <stp>[BondPricer-0.2.xlsm]ITALIAN_BTPS_TYPE523!R11C26</stp>
        <stp>YLD_YTM_ASK=2.84166988833667</stp>
        <stp>YAS_YLD_CONV=33</stp>
        <tr r="Z11" s="5"/>
      </tp>
      <tp>
        <v>3.8636339781049855</v>
        <stp/>
        <stp>##V3_BDPV12</stp>
        <stp>CP5087921 Govt</stp>
        <stp>YAS_RISK</stp>
        <stp>[BondPricer-0.2.xlsm]ITALIAN_BTPS_TYPE523!R13C26</stp>
        <stp>YLD_YTM_ASK=2.96704642830541</stp>
        <stp>YAS_YLD_CONV=33</stp>
        <tr r="Z13" s="5"/>
      </tp>
      <tp>
        <v>5.9652082306300258</v>
        <stp/>
        <stp>##V3_BDPV12</stp>
        <stp>EH8960682 Govt</stp>
        <stp>YAS_RISK</stp>
        <stp>[BondPricer-0.2.xlsm]ITALIAN_BTPS_TYPE523!R34C26</stp>
        <stp>YLD_YTM_ASK=3.23972301112336</stp>
        <stp>YAS_YLD_CONV=33</stp>
        <tr r="Z34" s="5"/>
      </tp>
      <tp>
        <v>104.82</v>
        <stp/>
        <stp>##V3_BDPV12</stp>
        <stp>EC9351635 Govt</stp>
        <stp>YAS_BOND_PX</stp>
        <stp>[BondPricer-0.2.xlsm]JAPAN_JGB_TYPE51!R40C20</stp>
        <stp>YAS_BOND_SPL_YLD=-0.0859999999999996</stp>
        <stp>YAS_YLD_CONV=2</stp>
        <tr r="T40" s="7"/>
      </tp>
      <tp>
        <v>113.85599999999999</v>
        <stp/>
        <stp>##V3_BDPV12</stp>
        <stp>ED5111288 Govt</stp>
        <stp>YAS_BOND_PX</stp>
        <stp>[BondPricer-0.2.xlsm]JAPAN_JGB_TYPE51!R55C20</stp>
        <stp>YAS_BOND_SPL_YLD=-0.0370000000000008</stp>
        <stp>YAS_YLD_CONV=2</stp>
        <tr r="T55" s="7"/>
      </tp>
      <tp>
        <v>7.3089178286544154</v>
        <stp/>
        <stp>##V3_BDPV12</stp>
        <stp>EC5588883 Govt</stp>
        <stp>YAS_RISK</stp>
        <stp>[BondPricer-0.2.xlsm]ITALIAN_BTPS_TYPE523!R93C26</stp>
        <stp>YLD_YTM_ASK=3.80957497715453</stp>
        <stp>YAS_YLD_CONV=33</stp>
        <tr r="Z93" s="5"/>
      </tp>
      <tp>
        <v>4.7899446975769422</v>
        <stp/>
        <stp>##V3_BDPV12</stp>
        <stp>EJ7060233 Govt</stp>
        <stp>YAS_RISK</stp>
        <stp>[BondPricer-0.2.xlsm]JAPAN_JGB_TYPE51!R41C25</stp>
        <stp>YLD_YTM_ASK=-0.0769999999999994</stp>
        <stp>YAS_YLD_CONV=3</stp>
        <tr r="Y41" s="7"/>
      </tp>
      <tp>
        <v>13.173196232511231</v>
        <stp/>
        <stp>##V3_BDPV12</stp>
        <stp>EJ9437272 Corp</stp>
        <stp>YAS_RISK</stp>
        <stp>[BondPricer-0.2.xlsm]AUSTRALIAN_GOVT_TYPE23!R54C26</stp>
        <stp>YLD_YTM_ASK=2.84496798207182</stp>
        <stp>YAS_YLD_CONV=3</stp>
        <tr r="Z54" s="9"/>
      </tp>
      <tp>
        <v>7.2533935030925534</v>
        <stp/>
        <stp>##V3_BDPV12</stp>
        <stp>AH0082315 Govt</stp>
        <stp>YAS_RISK</stp>
        <stp>[BondPricer-0.2.xlsm]JAPAN_JGB_TYPE51!R74C25</stp>
        <stp>YLD_YTM_ASK=0.00800000000000228</stp>
        <stp>YAS_YLD_CONV=3</stp>
        <tr r="Y74" s="7"/>
      </tp>
      <tp>
        <v>114.52</v>
        <stp/>
        <stp>##V3_BDPV12</stp>
        <stp>EF1466236 Govt</stp>
        <stp>YAS_BOND_PX</stp>
        <stp>[BondPricer-0.2.xlsm]JAPAN_JGB_TYPE51!R73C20</stp>
        <stp>YAS_BOND_SPL_YLD=0.00299999999999944</stp>
        <stp>YAS_YLD_CONV=2</stp>
        <tr r="T73" s="7"/>
      </tp>
      <tp>
        <v>102.093</v>
        <stp/>
        <stp>##V3_BDPV12</stp>
        <stp>AH0082315 Govt</stp>
        <stp>YAS_BOND_PX</stp>
        <stp>[BondPricer-0.2.xlsm]JAPAN_JGB_TYPE51!R74C20</stp>
        <stp>YAS_BOND_SPL_YLD=0.00800000000000228</stp>
        <stp>YAS_YLD_CONV=2</stp>
        <tr r="T74" s="7"/>
      </tp>
      <tp>
        <v>7.2444504773358176</v>
        <stp/>
        <stp>##V3_BDPV12</stp>
        <stp>EK1150607 Corp</stp>
        <stp>YAS_RISK</stp>
        <stp>[BondPricer-0.2.xlsm]AUSTRALIAN_GOVT_TYPE23!R34C26</stp>
        <stp>YLD_YTM_ASK=2.54094684100301</stp>
        <stp>YAS_YLD_CONV=3</stp>
        <tr r="Z34" s="9"/>
      </tp>
      <tp>
        <v>118.01562525021102</v>
        <stp/>
        <stp>##V3_BDPV12</stp>
        <stp>912810FF Govt</stp>
        <stp>YAS_BOND_PX</stp>
        <stp>[BondPricer-0.2.xlsm]US_TREASURY_TYPE1!R91C20</stp>
        <stp>YAS_BOND_YLD=3.1500182</stp>
        <stp>YAS_YLD_CONV=2</stp>
        <tr r="T91" s="4"/>
      </tp>
      <tp>
        <v>1.9289422312647304</v>
        <stp/>
        <stp>##V3_BDPV12</stp>
        <stp>QJ158195 Corp</stp>
        <stp>YLD_YTM_ASK</stp>
        <stp>[BondPricer-0.2.xlsm]UK_GILT_TYPE26!R39C13</stp>
        <tr r="M39" s="13"/>
      </tp>
      <tp>
        <v>124.26562516778974</v>
        <stp/>
        <stp>##V3_BDPV12</stp>
        <stp>912810EY Govt</stp>
        <stp>YAS_BOND_PX</stp>
        <stp>[BondPricer-0.2.xlsm]US_TREASURY_TYPE1!R84C20</stp>
        <stp>YAS_BOND_YLD=3.0842108</stp>
        <stp>YAS_YLD_CONV=2</stp>
        <tr r="T84" s="4"/>
      </tp>
      <tp>
        <v>1.50049311625929</v>
        <stp/>
        <stp>##V3_BDPV12</stp>
        <stp>AM781675 Corp</stp>
        <stp>YLD_YTM_ASK</stp>
        <stp>[BondPricer-0.2.xlsm]UK_GILT_TYPE26!R17C13</stp>
        <tr r="M17" s="13"/>
      </tp>
      <tp>
        <v>14.19095283465079</v>
        <stp/>
        <stp>##V3_BDPV12</stp>
        <stp>912810QE Govt</stp>
        <stp>DUR_ADJ_ASK</stp>
        <stp>[BondPricer-0.2.xlsm]US_TREASURY_TYPE1!R105C28</stp>
        <stp>YLD_YTM_ASK=3.2827628</stp>
        <stp>YAS_YLD_CONV=3</stp>
        <tr r="AB105" s="4"/>
      </tp>
      <tp>
        <v>101.02099999999996</v>
        <stp/>
        <stp>##V3_BDPV12</stp>
        <stp>JK8202802 Govt</stp>
        <stp>YAS_BOND_PX</stp>
        <stp>[BondPricer-0.2.xlsm]FRENCH_BTAN_TYPE89!R15C20</stp>
        <stp>YAS_BOND_YLD=-0.389529249626808</stp>
        <stp>YAS_YLD_CONV=1</stp>
        <tr r="T15" s="8"/>
      </tp>
      <tp>
        <v>100.67599999999968</v>
        <stp/>
        <stp>##V3_BDPV12</stp>
        <stp>AL2130345 Govt</stp>
        <stp>YAS_BOND_PX</stp>
        <stp>[BondPricer-0.2.xlsm]FRENCH_BTAN_TYPE89!R29C20</stp>
        <stp>YAS_BOND_YLD=-0.186828875671485</stp>
        <stp>YAS_YLD_CONV=1</stp>
        <tr r="T29" s="8"/>
      </tp>
      <tp>
        <v>0.4920000000000001</v>
        <stp/>
        <stp>##V3_BDPV12</stp>
        <stp>UV8902925 Govt</stp>
        <stp>YLD_YTM_ASK</stp>
        <stp>[BondPricer-0.2.xlsm]JAPAN_JGB_TYPE51!R169C13</stp>
        <tr r="M169" s="7"/>
      </tp>
      <tp>
        <v>8.6293421490765354</v>
        <stp/>
        <stp>##V3_BDPV12</stp>
        <stp>EF7153796 Govt</stp>
        <stp>YAS_RISK</stp>
        <stp>[BondPricer-0.2.xlsm]JAPAN_JGB_TYPE51!R86C25</stp>
        <stp>YLD_YTM_ASK=0.040999999999999</stp>
        <stp>YAS_YLD_CONV=3</stp>
        <tr r="Y86" s="7"/>
      </tp>
      <tp>
        <v>18.830345559392686</v>
        <stp/>
        <stp>##V3_BDPV12</stp>
        <stp>912810RQ Govt</stp>
        <stp>DUR_ADJ_ASK</stp>
        <stp>[BondPricer-0.2.xlsm]US_TREASURY_TYPE1!R129C28</stp>
        <stp>YLD_YTM_ASK=3.3324254</stp>
        <stp>YAS_YLD_CONV=3</stp>
        <tr r="AB129" s="4"/>
      </tp>
      <tp>
        <v>0.57600000000000018</v>
        <stp/>
        <stp>##V3_BDPV12</stp>
        <stp>LW5453029 Govt</stp>
        <stp>YLD_YTM_ASK</stp>
        <stp>[BondPricer-0.2.xlsm]JAPAN_JGB_TYPE51!R175C13</stp>
        <tr r="M175" s="7"/>
      </tp>
      <tp>
        <v>130.07599999999968</v>
        <stp/>
        <stp>##V3_BDPV12</stp>
        <stp>GG7115262 Govt</stp>
        <stp>YAS_BOND_PX</stp>
        <stp>[BondPricer-0.2.xlsm]FRENCH_BTAN_TYPE89!R23C20</stp>
        <stp>YAS_BOND_YLD=-0.245012928888669</stp>
        <stp>YAS_YLD_CONV=1</stp>
        <tr r="T23" s="8"/>
      </tp>
      <tp>
        <v>34.38911586490017</v>
        <stp/>
        <stp>##V3_BDPV12</stp>
        <stp>AS462336 Corp</stp>
        <stp>DUR_ADJ_ASK</stp>
        <stp>[BondPricer-0.2.xlsm]UK_GILT_TYPE26!R41C28</stp>
        <stp>YLD_YTM_ASK=1.91692272542244</stp>
        <stp>YAS_YLD_CONV=3</stp>
        <tr r="AB41" s="13"/>
      </tp>
      <tp t="s">
        <v>#N/A Invalid Override</v>
        <stp/>
        <stp>##V3_BDPV12</stp>
        <stp>EJ0014849 Govt</stp>
        <stp>YAS_BOND_YLD</stp>
        <stp>[BondPricer-0.2.xlsm]JAPAN_JGB_TYPE51!R134C31</stp>
        <stp>YAS_BOND_PX=#N/A Requesting Data...</stp>
        <tr r="AE134" s="7"/>
      </tp>
      <tp>
        <v>6.6546142724519086</v>
        <stp/>
        <stp>##V3_BDPV12</stp>
        <stp>EK0661935 Govt</stp>
        <stp>YAS_RISK</stp>
        <stp>[BondPricer-0.2.xlsm]ITALIAN_BTPS_TYPE523!R76C26</stp>
        <stp>YLD_YTM_ASK=3.69477107710161</stp>
        <stp>YAS_YLD_CONV=33</stp>
        <tr r="Z76" s="5"/>
      </tp>
      <tp>
        <v>4.330295763121228</v>
        <stp/>
        <stp>##V3_BDPV12</stp>
        <stp>EJ5688621 Govt</stp>
        <stp>YAS_RISK</stp>
        <stp>[BondPricer-0.2.xlsm]ITALIAN_BTPS_TYPE523!R12C26</stp>
        <stp>YLD_YTM_ASK=2.92307222529982</stp>
        <stp>YAS_YLD_CONV=33</stp>
        <tr r="Z12" s="5"/>
      </tp>
      <tp>
        <v>6.3406057892620993</v>
        <stp/>
        <stp>##V3_BDPV12</stp>
        <stp>ED6160219 Govt</stp>
        <stp>YAS_RISK</stp>
        <stp>[BondPricer-0.2.xlsm]JAPAN_JGB_TYPE51!R58C25</stp>
        <stp>YLD_YTM_ASK=-0.0349999999999993</stp>
        <stp>YAS_YLD_CONV=3</stp>
        <tr r="Y58" s="7"/>
      </tp>
      <tp>
        <v>5.2001676088941906</v>
        <stp/>
        <stp>##V3_BDPV12</stp>
        <stp>ED1845145 Govt</stp>
        <stp>YAS_RISK</stp>
        <stp>[BondPricer-0.2.xlsm]JAPAN_JGB_TYPE51!R46C25</stp>
        <stp>YLD_YTM_ASK=-0.0699999999999997</stp>
        <stp>YAS_YLD_CONV=3</stp>
        <tr r="Y46" s="7"/>
      </tp>
      <tp>
        <v>4.0121574192561127</v>
        <stp/>
        <stp>##V3_BDPV12</stp>
        <stp>EJ3490954 Govt</stp>
        <stp>YAS_RISK</stp>
        <stp>[BondPricer-0.2.xlsm]JAPAN_JGB_TYPE51!R33C25</stp>
        <stp>YLD_YTM_ASK=-0.0930000000000036</stp>
        <stp>YAS_YLD_CONV=3</stp>
        <tr r="Y33" s="7"/>
      </tp>
      <tp>
        <v>6.8728361444065911</v>
        <stp/>
        <stp>##V3_BDPV12</stp>
        <stp>ED9517639 Govt</stp>
        <stp>YAS_RISK</stp>
        <stp>[BondPricer-0.2.xlsm]JAPAN_JGB_TYPE51!R66C25</stp>
        <stp>YLD_YTM_ASK=-0.0130000000000006</stp>
        <stp>YAS_YLD_CONV=3</stp>
        <tr r="Y66" s="7"/>
      </tp>
      <tp>
        <v>5.0248762114094347</v>
        <stp/>
        <stp>##V3_BDPV12</stp>
        <stp>EJ9223300 Govt</stp>
        <stp>YAS_RISK</stp>
        <stp>[BondPricer-0.2.xlsm]JAPAN_JGB_TYPE51!R45C25</stp>
        <stp>YLD_YTM_ASK=-0.0679999999999998</stp>
        <stp>YAS_YLD_CONV=3</stp>
        <tr r="Y45" s="7"/>
      </tp>
      <tp>
        <v>6.1432241187745262</v>
        <stp/>
        <stp>##V3_BDPV12</stp>
        <stp>EJ6791309 Corp</stp>
        <stp>YAS_RISK</stp>
        <stp>[BondPricer-0.2.xlsm]AUSTRALIAN_GOVT_TYPE23!R31C26</stp>
        <stp>YLD_YTM_ASK=2.45703786432855</stp>
        <stp>YAS_YLD_CONV=3</stp>
        <tr r="Z31" s="9"/>
      </tp>
      <tp>
        <v>98.687500138648943</v>
        <stp/>
        <stp>##V3_BDPV12</stp>
        <stp>912828B6 Govt</stp>
        <stp>YAS_BOND_PX</stp>
        <stp>[BondPricer-0.2.xlsm]US_TREASURY_TYPE1!R69C20</stp>
        <stp>YAS_BOND_YLD=3.0178919</stp>
        <stp>YAS_YLD_CONV=2</stp>
        <tr r="T69" s="4"/>
      </tp>
      <tp>
        <v>5.3899754379948206</v>
        <stp/>
        <stp>##V3_BDPV12</stp>
        <stp>EK2751312 Corp</stp>
        <stp>YAS_RISK</stp>
        <stp>[BondPricer-0.2.xlsm]AUSTRALIAN_GOVT_TYPE23!R27C26</stp>
        <stp>YLD_YTM_ASK=2.60803432057903</stp>
        <stp>YAS_YLD_CONV=3</stp>
        <tr r="Z27" s="9"/>
      </tp>
      <tp>
        <v>118.43749992082881</v>
        <stp/>
        <stp>##V3_BDPV12</stp>
        <stp>912810FG Govt</stp>
        <stp>YAS_BOND_PX</stp>
        <stp>[BondPricer-0.2.xlsm]US_TREASURY_TYPE1!R92C20</stp>
        <stp>YAS_BOND_YLD=3.1453749</stp>
        <stp>YAS_YLD_CONV=2</stp>
        <tr r="T92" s="4"/>
      </tp>
      <tp>
        <v>125.8437503425686</v>
        <stp/>
        <stp>##V3_BDPV12</stp>
        <stp>912810EZ Govt</stp>
        <stp>YAS_BOND_PX</stp>
        <stp>[BondPricer-0.2.xlsm]US_TREASURY_TYPE1!R86C20</stp>
        <stp>YAS_BOND_YLD=3.0831444</stp>
        <stp>YAS_YLD_CONV=2</stp>
        <tr r="T86" s="4"/>
      </tp>
      <tp>
        <v>125.39062482704726</v>
        <stp/>
        <stp>##V3_BDPV12</stp>
        <stp>912810EX Govt</stp>
        <stp>YAS_BOND_PX</stp>
        <stp>[BondPricer-0.2.xlsm]US_TREASURY_TYPE1!R82C20</stp>
        <stp>YAS_BOND_YLD=3.0761234</stp>
        <stp>YAS_YLD_CONV=2</stp>
        <tr r="T82" s="4"/>
      </tp>
      <tp>
        <v>1.2382819160207301</v>
        <stp/>
        <stp>##V3_BDPV12</stp>
        <stp>EK109396 Corp</stp>
        <stp>YLD_YTM_ASK</stp>
        <stp>[BondPricer-0.2.xlsm]UK_GILT_TYPE26!R13C13</stp>
        <tr r="M13" s="13"/>
      </tp>
      <tp>
        <v>1.9530287367034573</v>
        <stp/>
        <stp>##V3_BDPV12</stp>
        <stp>AM064544 Corp</stp>
        <stp>YLD_YTM_ASK</stp>
        <stp>[BondPricer-0.2.xlsm]UK_GILT_TYPE26!R37C13</stp>
        <tr r="M37" s="13"/>
      </tp>
      <tp>
        <v>1.3001387742636581</v>
        <stp/>
        <stp>##V3_BDPV12</stp>
        <stp>EK799307 Corp</stp>
        <stp>YLD_YTM_ASK</stp>
        <stp>[BondPricer-0.2.xlsm]UK_GILT_TYPE26!R15C13</stp>
        <tr r="M15" s="13"/>
      </tp>
      <tp>
        <v>1.1472952579002547</v>
        <stp/>
        <stp>##V3_BDPV12</stp>
        <stp>EJ707218 Corp</stp>
        <stp>YLD_YTM_ASK</stp>
        <stp>[BondPricer-0.2.xlsm]UK_GILT_TYPE26!R12C13</stp>
        <tr r="M12" s="13"/>
      </tp>
      <tp>
        <v>16.432717063198165</v>
        <stp/>
        <stp>##V3_BDPV12</stp>
        <stp>912810RC Govt</stp>
        <stp>DUR_ADJ_ASK</stp>
        <stp>[BondPricer-0.2.xlsm]US_TREASURY_TYPE1!R119C28</stp>
        <stp>YLD_YTM_ASK=3.3237542</stp>
        <stp>YAS_YLD_CONV=3</stp>
        <tr r="AB119" s="4"/>
      </tp>
      <tp>
        <v>14.918489785521475</v>
        <stp/>
        <stp>##V3_BDPV12</stp>
        <stp>912810QK Govt</stp>
        <stp>DUR_ADJ_ASK</stp>
        <stp>[BondPricer-0.2.xlsm]US_TREASURY_TYPE1!R107C28</stp>
        <stp>YLD_YTM_ASK=3.2934648</stp>
        <stp>YAS_YLD_CONV=3</stp>
        <tr r="AB107" s="4"/>
      </tp>
      <tp>
        <v>101.02099999999996</v>
        <stp/>
        <stp>##V3_BDPV12</stp>
        <stp>JK8202802 Govt</stp>
        <stp>YAS_BOND_PX</stp>
        <stp>[BondPricer-0.2.xlsm]FRENCH_BTAN_TYPE89!R16C20</stp>
        <stp>YAS_BOND_YLD=-0.389529249626808</stp>
        <stp>YAS_YLD_CONV=1</stp>
        <tr r="T16" s="8"/>
      </tp>
      <tp>
        <v>123.96399973599775</v>
        <stp/>
        <stp>##V3_BDPV12</stp>
        <stp>EJ407307 Corp</stp>
        <stp>YAS_BOND_PX</stp>
        <stp>[BondPricer-0.2.xlsm]UK_GILT_TYPE26!R29C20</stp>
        <stp>YAS_BOND_YLD=2.0324516539276</stp>
        <stp>YAS_YLD_CONV=2</stp>
        <tr r="T29" s="13"/>
      </tp>
      <tp>
        <v>16.709849317151861</v>
        <stp/>
        <stp>##V3_BDPV12</stp>
        <stp>912810QZ Govt</stp>
        <stp>DUR_ADJ_ASK</stp>
        <stp>[BondPricer-0.2.xlsm]US_TREASURY_TYPE1!R117C28</stp>
        <stp>YLD_YTM_ASK=3.3234789</stp>
        <stp>YAS_YLD_CONV=3</stp>
        <tr r="AB117" s="4"/>
      </tp>
      <tp>
        <v>106.90100000000258</v>
        <stp/>
        <stp>##V3_BDPV12</stp>
        <stp>EI4719627 Govt</stp>
        <stp>YAS_BOND_PX</stp>
        <stp>[BondPricer-0.2.xlsm]GERMAN_BUND_TYPE60!R7C20</stp>
        <stp>YAS_BOND_YLD=-0.583801461678354</stp>
        <stp>YAS_YLD_CONV=1</stp>
        <tr r="T7" s="6"/>
      </tp>
      <tp>
        <v>103.449</v>
        <stp/>
        <stp>##V3_BDPV12</stp>
        <stp>EI5952292 Govt</stp>
        <stp>YAS_BOND_PX</stp>
        <stp>[BondPricer-0.2.xlsm]JAPAN_JGB_TYPE51!R9C20</stp>
        <stp>YAS_BOND_SPL_YLD=-0.12</stp>
        <stp>YAS_YLD_CONV=2</stp>
        <tr r="T9" s="7"/>
      </tp>
      <tp t="s">
        <v>#N/A Invalid Override</v>
        <stp/>
        <stp>##V3_BDPV12</stp>
        <stp>EG9384082 Govt</stp>
        <stp>YAS_BOND_YLD</stp>
        <stp>[BondPricer-0.2.xlsm]JAPAN_JGB_TYPE51!R183C31</stp>
        <stp>YAS_BOND_PX=#N/A Requesting Data...</stp>
        <tr r="AE183" s="7"/>
      </tp>
      <tp t="s">
        <v>#N/A Invalid Override</v>
        <stp/>
        <stp>##V3_BDPV12</stp>
        <stp>EF0212920 Govt</stp>
        <stp>YAS_BOND_YLD</stp>
        <stp>[BondPricer-0.2.xlsm]JAPAN_JGB_TYPE51!R168C31</stp>
        <stp>YAS_BOND_PX=#N/A Requesting Data...</stp>
        <tr r="AE168" s="7"/>
      </tp>
      <tp>
        <v>111.688</v>
        <stp/>
        <stp>##V3_BDPV12</stp>
        <stp>ED4832348 Govt</stp>
        <stp>YAS_BOND_PX</stp>
        <stp>[BondPricer-0.2.xlsm]JAPAN_JGB_TYPE51!R51C20</stp>
        <stp>YAS_BOND_SPL_YLD=-0.0500000000000009</stp>
        <stp>YAS_YLD_CONV=2</stp>
        <tr r="T51" s="7"/>
      </tp>
      <tp>
        <v>4.9818072164953264</v>
        <stp/>
        <stp>##V3_BDPV12</stp>
        <stp>EK0221532 Govt</stp>
        <stp>YAS_RISK</stp>
        <stp>[BondPricer-0.2.xlsm]ITALIAN_BTPS_TYPE523!R35C26</stp>
        <stp>YLD_YTM_ASK=3.40595522747755</stp>
        <stp>YAS_YLD_CONV=33</stp>
        <tr r="Z35" s="5"/>
      </tp>
      <tp>
        <v>5.0249418848089533</v>
        <stp/>
        <stp>##V3_BDPV12</stp>
        <stp>EJ7704418 Govt</stp>
        <stp>YAS_RISK</stp>
        <stp>[BondPricer-0.2.xlsm]ITALIAN_BTPS_TYPE523!R24C26</stp>
        <stp>YLD_YTM_ASK=3.14600443096933</stp>
        <stp>YAS_YLD_CONV=33</stp>
        <tr r="Z24" s="5"/>
      </tp>
      <tp>
        <v>6.5678417271932688</v>
        <stp/>
        <stp>##V3_BDPV12</stp>
        <stp>EC1067684 Govt</stp>
        <stp>YAS_RISK</stp>
        <stp>[BondPricer-0.2.xlsm]ITALIAN_BTPS_TYPE523!R72C26</stp>
        <stp>YLD_YTM_ASK=3.60766668082089</stp>
        <stp>YAS_YLD_CONV=33</stp>
        <tr r="Z72" s="5"/>
      </tp>
      <tp>
        <v>103.301</v>
        <stp/>
        <stp>##V3_BDPV12</stp>
        <stp>EJ9223300 Govt</stp>
        <stp>YAS_BOND_PX</stp>
        <stp>[BondPricer-0.2.xlsm]JAPAN_JGB_TYPE51!R45C20</stp>
        <stp>YAS_BOND_SPL_YLD=-0.0679999999999998</stp>
        <stp>YAS_YLD_CONV=2</stp>
        <tr r="T45" s="7"/>
      </tp>
      <tp>
        <v>113.093</v>
        <stp/>
        <stp>##V3_BDPV12</stp>
        <stp>ED8277235 Govt</stp>
        <stp>YAS_BOND_PX</stp>
        <stp>[BondPricer-0.2.xlsm]JAPAN_JGB_TYPE51!R61C20</stp>
        <stp>YAS_BOND_SPL_YLD=-0.0179999999999995</stp>
        <stp>YAS_YLD_CONV=2</stp>
        <tr r="T61" s="7"/>
      </tp>
      <tp>
        <v>4.4192329662848806</v>
        <stp/>
        <stp>##V3_BDPV12</stp>
        <stp>EK0660739 Govt</stp>
        <stp>YAS_RISK</stp>
        <stp>[BondPricer-0.2.xlsm]ITALIAN_BTPS_TYPE523!R25C26</stp>
        <stp>YLD_YTM_ASK=3.11369611696957</stp>
        <stp>YAS_YLD_CONV=33</stp>
        <tr r="Z25" s="5"/>
      </tp>
      <tp>
        <v>5.2554954373846385</v>
        <stp/>
        <stp>##V3_BDPV12</stp>
        <stp>AL0875834 Corp</stp>
        <stp>YAS_RISK</stp>
        <stp>[BondPricer-0.2.xlsm]AUSTRALIAN_GOVT_TYPE23!R28C26</stp>
        <stp>YLD_YTM_ASK=2.76301220941696</stp>
        <stp>YAS_YLD_CONV=3</stp>
        <tr r="Z28" s="9"/>
      </tp>
      <tp>
        <v>116.92187567065075</v>
        <stp/>
        <stp>##V3_BDPV12</stp>
        <stp>912810FT Govt</stp>
        <stp>YAS_BOND_PX</stp>
        <stp>[BondPricer-0.2.xlsm]US_TREASURY_TYPE1!R96C20</stp>
        <stp>YAS_BOND_YLD=3.2182222</stp>
        <stp>YAS_YLD_CONV=2</stp>
        <tr r="T96" s="4"/>
      </tp>
      <tp>
        <v>1.9882027108069533</v>
        <stp/>
        <stp>##V3_BDPV12</stp>
        <stp>EI291005 Corp</stp>
        <stp>YLD_YTM_ASK</stp>
        <stp>[BondPricer-0.2.xlsm]UK_GILT_TYPE26!R27C13</stp>
        <tr r="M27" s="13"/>
      </tp>
      <tp>
        <v>2.0324516539275974</v>
        <stp/>
        <stp>##V3_BDPV12</stp>
        <stp>EJ407307 Corp</stp>
        <stp>YLD_YTM_ASK</stp>
        <stp>[BondPricer-0.2.xlsm]UK_GILT_TYPE26!R29C13</stp>
        <tr r="M29" s="13"/>
      </tp>
      <tp>
        <v>1.0283728339150962</v>
        <stp/>
        <stp>##V3_BDPV12</stp>
        <stp>EJ237349 Corp</stp>
        <stp>YLD_YTM_ASK</stp>
        <stp>[BondPricer-0.2.xlsm]UK_GILT_TYPE26!R10C13</stp>
        <tr r="M10" s="13"/>
      </tp>
      <tp>
        <v>14.54515580191274</v>
        <stp/>
        <stp>##V3_BDPV12</stp>
        <stp>912810QN Govt</stp>
        <stp>DUR_ADJ_ASK</stp>
        <stp>[BondPricer-0.2.xlsm]US_TREASURY_TYPE1!R109C28</stp>
        <stp>YLD_YTM_ASK=3.2955782</stp>
        <stp>YAS_YLD_CONV=3</stp>
        <tr r="AB109" s="4"/>
      </tp>
      <tp>
        <v>100.91699999999967</v>
        <stp/>
        <stp>##V3_BDPV12</stp>
        <stp>GG7127259 Govt</stp>
        <stp>YAS_BOND_PX</stp>
        <stp>[BondPricer-0.2.xlsm]FRENCH_BTAN_TYPE89!R25C20</stp>
        <stp>YAS_BOND_YLD=-0.258947959340994</stp>
        <stp>YAS_YLD_CONV=1</stp>
        <tr r="T25" s="8"/>
      </tp>
      <tp t="s">
        <v>#N/A Invalid Override</v>
        <stp/>
        <stp>##V3_BDPV12</stp>
        <stp>EI6924050 Govt</stp>
        <stp>YAS_BOND_YLD</stp>
        <stp>[BondPricer-0.2.xlsm]JAPAN_JGB_TYPE51!R127C31</stp>
        <stp>YAS_BOND_PX=#N/A Requesting Data...</stp>
        <tr r="AE127" s="7"/>
      </tp>
      <tp t="s">
        <v>#N/A Invalid Override</v>
        <stp/>
        <stp>##V3_BDPV12</stp>
        <stp>AL7975124 Govt</stp>
        <stp>YAS_BOND_YLD</stp>
        <stp>[BondPricer-0.2.xlsm]JAPAN_JGB_TYPE51!R179C31</stp>
        <stp>YAS_BOND_PX=#N/A Requesting Data...</stp>
        <tr r="AE179" s="7"/>
      </tp>
      <tp t="s">
        <v>#N/A Invalid Override</v>
        <stp/>
        <stp>##V3_BDPV12</stp>
        <stp>EI2903413 Govt</stp>
        <stp>YAS_BOND_YLD</stp>
        <stp>[BondPricer-0.2.xlsm]JAPAN_JGB_TYPE51!R118C31</stp>
        <stp>YAS_BOND_PX=#N/A Requesting Data...</stp>
        <tr r="AE118" s="7"/>
      </tp>
      <tp t="s">
        <v>#N/A Invalid Override</v>
        <stp/>
        <stp>##V3_BDPV12</stp>
        <stp>EI7953108 Govt</stp>
        <stp>YAS_BOND_YLD</stp>
        <stp>[BondPricer-0.2.xlsm]JAPAN_JGB_TYPE51!R130C31</stp>
        <stp>YAS_BOND_PX=#N/A Requesting Data...</stp>
        <tr r="AE130" s="7"/>
      </tp>
      <tp t="s">
        <v>#N/A Invalid Override</v>
        <stp/>
        <stp>##V3_BDPV12</stp>
        <stp>EC3066569 Govt</stp>
        <stp>YAS_BOND_YLD</stp>
        <stp>[BondPricer-0.2.xlsm]JAPAN_JGB_TYPE51!R122C31</stp>
        <stp>YAS_BOND_PX=#N/A Requesting Data...</stp>
        <tr r="AE122" s="7"/>
      </tp>
      <tp t="s">
        <v>#N/A Invalid Override</v>
        <stp/>
        <stp>##V3_BDPV12</stp>
        <stp>EJ3365511 Govt</stp>
        <stp>YAS_BOND_YLD</stp>
        <stp>[BondPricer-0.2.xlsm]JAPAN_JGB_TYPE51!R140C31</stp>
        <stp>YAS_BOND_PX=#N/A Requesting Data...</stp>
        <tr r="AE140" s="7"/>
      </tp>
      <tp t="s">
        <v>#N/A Invalid Override</v>
        <stp/>
        <stp>##V3_BDPV12</stp>
        <stp>ED6591066 Govt</stp>
        <stp>YAS_BOND_YLD</stp>
        <stp>[BondPricer-0.2.xlsm]JAPAN_JGB_TYPE51!R162C31</stp>
        <stp>YAS_BOND_PX=#N/A Requesting Data...</stp>
        <tr r="AE162" s="7"/>
      </tp>
      <tp t="s">
        <v>#N/A Invalid Override</v>
        <stp/>
        <stp>##V3_BDPV12</stp>
        <stp>EI2321434 Govt</stp>
        <stp>YAS_BOND_YLD</stp>
        <stp>[BondPricer-0.2.xlsm]JAPAN_JGB_TYPE51!R114C31</stp>
        <stp>YAS_BOND_PX=#N/A Requesting Data...</stp>
        <tr r="AE114" s="7"/>
      </tp>
      <tp t="s">
        <v>#N/A Invalid Override</v>
        <stp/>
        <stp>##V3_BDPV12</stp>
        <stp>EH7911181 Govt</stp>
        <stp>YAS_BOND_YLD</stp>
        <stp>[BondPricer-0.2.xlsm]JAPAN_JGB_TYPE51!R186C31</stp>
        <stp>YAS_BOND_PX=#N/A Requesting Data...</stp>
        <tr r="AE186" s="7"/>
      </tp>
      <tp t="s">
        <v>#N/A Invalid Override</v>
        <stp/>
        <stp>##V3_BDPV12</stp>
        <stp>EI1908785 Govt</stp>
        <stp>YAS_BOND_YLD</stp>
        <stp>[BondPricer-0.2.xlsm]JAPAN_JGB_TYPE51!R115C31</stp>
        <stp>YAS_BOND_PX=#N/A Requesting Data...</stp>
        <tr r="AE115" s="7"/>
      </tp>
      <tp>
        <v>103.152</v>
        <stp/>
        <stp>##V3_BDPV12</stp>
        <stp>EK4690054 Govt</stp>
        <stp>YAS_BOND_PX</stp>
        <stp>[BondPricer-0.2.xlsm]JAPAN_JGB_TYPE51!R57C20</stp>
        <stp>YAS_BOND_SPL_YLD=-0.0309999999999996</stp>
        <stp>YAS_YLD_CONV=2</stp>
        <tr r="T57" s="7"/>
      </tp>
      <tp>
        <v>103.621</v>
        <stp/>
        <stp>##V3_BDPV12</stp>
        <stp>EK3119055 Govt</stp>
        <stp>YAS_BOND_PX</stp>
        <stp>[BondPricer-0.2.xlsm]JAPAN_JGB_TYPE51!R54C20</stp>
        <stp>YAS_BOND_SPL_YLD=-0.0370000000000024</stp>
        <stp>YAS_YLD_CONV=2</stp>
        <tr r="T54" s="7"/>
      </tp>
      <tp>
        <v>7.9350251621718826</v>
        <stp/>
        <stp>##V3_BDPV12</stp>
        <stp>GG7302712 Govt</stp>
        <stp>YAS_RISK</stp>
        <stp>[BondPricer-0.2.xlsm]ITALIAN_BTPS_TYPE523!R51C26</stp>
        <stp>YLD_YTM_ASK=3.42660160957093</stp>
        <stp>YAS_YLD_CONV=33</stp>
        <tr r="Z51" s="5"/>
      </tp>
      <tp>
        <v>7.5839779802638674</v>
        <stp/>
        <stp>##V3_BDPV12</stp>
        <stp>EC2918448 Govt</stp>
        <stp>YAS_RISK</stp>
        <stp>[BondPricer-0.2.xlsm]ITALIAN_BTPS_TYPE523!R99C26</stp>
        <stp>YLD_YTM_ASK=3.78504563266362</stp>
        <stp>YAS_YLD_CONV=33</stp>
        <tr r="Z99" s="5"/>
      </tp>
      <tp>
        <v>5.459032748132131</v>
        <stp/>
        <stp>##V3_BDPV12</stp>
        <stp>ED3268197 Govt</stp>
        <stp>YAS_RISK</stp>
        <stp>[BondPricer-0.2.xlsm]JAPAN_JGB_TYPE51!R48C25</stp>
        <stp>YLD_YTM_ASK=-0.0609999999999986</stp>
        <stp>YAS_YLD_CONV=3</stp>
        <tr r="Y48" s="7"/>
      </tp>
      <tp>
        <v>9.6790831531137655</v>
        <stp/>
        <stp>##V3_BDPV12</stp>
        <stp>EC0659473 Govt</stp>
        <stp>YAS_RISK</stp>
        <stp>[BondPricer-0.2.xlsm]ITALIAN_BTPS_TYPE523!R85C26</stp>
        <stp>YLD_YTM_ASK=3.61876815671047</stp>
        <stp>YAS_YLD_CONV=33</stp>
        <tr r="Z85" s="5"/>
      </tp>
      <tp>
        <v>5.7923730221048686</v>
        <stp/>
        <stp>##V3_BDPV12</stp>
        <stp>EK3119055 Govt</stp>
        <stp>YAS_RISK</stp>
        <stp>[BondPricer-0.2.xlsm]JAPAN_JGB_TYPE51!R54C25</stp>
        <stp>YLD_YTM_ASK=-0.0370000000000024</stp>
        <stp>YAS_YLD_CONV=3</stp>
        <tr r="Y54" s="7"/>
      </tp>
      <tp>
        <v>3.7586229293822271</v>
        <stp/>
        <stp>##V3_BDPV12</stp>
        <stp>EJ2273187 Govt</stp>
        <stp>YAS_RISK</stp>
        <stp>[BondPricer-0.2.xlsm]JAPAN_JGB_TYPE51!R30C25</stp>
        <stp>YLD_YTM_ASK=-0.0990000000000008</stp>
        <stp>YAS_YLD_CONV=3</stp>
        <tr r="Y30" s="7"/>
      </tp>
      <tp>
        <v>5.7931446087764016</v>
        <stp/>
        <stp>##V3_BDPV12</stp>
        <stp>ED4356637 Govt</stp>
        <stp>YAS_RISK</stp>
        <stp>[BondPricer-0.2.xlsm]JAPAN_JGB_TYPE51!R52C25</stp>
        <stp>YLD_YTM_ASK=-0.0510000000000002</stp>
        <stp>YAS_YLD_CONV=3</stp>
        <tr r="Y52" s="7"/>
      </tp>
      <tp>
        <v>102.68</v>
        <stp/>
        <stp>##V3_BDPV12</stp>
        <stp>EK7837587 Govt</stp>
        <stp>YAS_BOND_PX</stp>
        <stp>[BondPricer-0.2.xlsm]JAPAN_JGB_TYPE51!R63C20</stp>
        <stp>YAS_BOND_SPL_YLD=-0.0170000000000009</stp>
        <stp>YAS_YLD_CONV=2</stp>
        <tr r="T63" s="7"/>
      </tp>
      <tp>
        <v>8.6592678858487204</v>
        <stp/>
        <stp>##V3_BDPV12</stp>
        <stp>EJ5142728 Govt</stp>
        <stp>YAS_RISK</stp>
        <stp>[BondPricer-0.2.xlsm]ITALIAN_BTPS_TYPE523!R74C26</stp>
        <stp>YLD_YTM_ASK=3.50425553832534</stp>
        <stp>YAS_YLD_CONV=33</stp>
        <tr r="Z74" s="5"/>
      </tp>
      <tp>
        <v>3.6463801584417865</v>
        <stp/>
        <stp>##V3_BDPV12</stp>
        <stp>QZ2551245 Corp</stp>
        <stp>YAS_RISK</stp>
        <stp>[BondPricer-0.2.xlsm]AUSTRALIAN_GOVT_TYPE23!R16C26</stp>
        <stp>YLD_YTM_ASK=2.47095815704508</stp>
        <stp>YAS_YLD_CONV=3</stp>
        <tr r="Z16" s="9"/>
      </tp>
      <tp>
        <v>6.9161723952426257</v>
        <stp/>
        <stp>##V3_BDPV12</stp>
        <stp>EC1067627 Govt</stp>
        <stp>YAS_RISK</stp>
        <stp>[BondPricer-0.2.xlsm]ITALIAN_BTPS_TYPE523!R81C26</stp>
        <stp>YLD_YTM_ASK=3.72020016476546</stp>
        <stp>YAS_YLD_CONV=33</stp>
        <tr r="Z81" s="5"/>
      </tp>
      <tp>
        <v>7.2975385525083425</v>
        <stp/>
        <stp>##V3_BDPV12</stp>
        <stp>EK1150847 Corp</stp>
        <stp>YAS_RISK</stp>
        <stp>[BondPricer-0.2.xlsm]AUSTRALIAN_GOVT_TYPE23!R35C26</stp>
        <stp>YLD_YTM_ASK=2.44426105325754</stp>
        <stp>YAS_YLD_CONV=3</stp>
        <tr r="Z35" s="9"/>
      </tp>
      <tp>
        <v>7.1058817817743147</v>
        <stp/>
        <stp>##V3_BDPV12</stp>
        <stp>AL4159805 Corp</stp>
        <stp>YAS_RISK</stp>
        <stp>[BondPricer-0.2.xlsm]AUSTRALIAN_GOVT_TYPE23!R39C26</stp>
        <stp>YLD_YTM_ASK=3.59500377166565</stp>
        <stp>YAS_YLD_CONV=3</stp>
        <tr r="Z39" s="9"/>
      </tp>
      <tp>
        <v>9.3654266820081489</v>
        <stp/>
        <stp>##V3_BDPV12</stp>
        <stp>EJ6777381 Corp</stp>
        <stp>YAS_RISK</stp>
        <stp>[BondPricer-0.2.xlsm]AUSTRALIAN_GOVT_TYPE23!R51C26</stp>
        <stp>YLD_YTM_ASK=2.69195323978796</stp>
        <stp>YAS_YLD_CONV=3</stp>
        <tr r="Z51" s="9"/>
      </tp>
      <tp>
        <v>3.0130516906804683</v>
        <stp/>
        <stp>##V3_BDPV12</stp>
        <stp>EK0221235 Govt</stp>
        <stp>YLD_YTM_ASK</stp>
        <stp>[BondPricer-0.2.xlsm]ITALIAN_BTPS_TYPE523!R8C15</stp>
        <tr r="O8" s="5"/>
      </tp>
      <tp>
        <v>1.7760102827937105</v>
        <stp/>
        <stp>##V3_BDPV12</stp>
        <stp>EC256595 Corp</stp>
        <stp>YLD_YTM_ASK</stp>
        <stp>[BondPricer-0.2.xlsm]UK_GILT_TYPE26!R21C13</stp>
        <tr r="M21" s="13"/>
      </tp>
      <tp>
        <v>1.9613282762821207</v>
        <stp/>
        <stp>##V3_BDPV12</stp>
        <stp>ED946246 Corp</stp>
        <stp>YLD_YTM_ASK</stp>
        <stp>[BondPricer-0.2.xlsm]UK_GILT_TYPE26!R36C13</stp>
        <tr r="M36" s="13"/>
      </tp>
      <tp>
        <v>16.642978754589677</v>
        <stp/>
        <stp>##V3_BDPV12</stp>
        <stp>912810RE Govt</stp>
        <stp>DUR_ADJ_ASK</stp>
        <stp>[BondPricer-0.2.xlsm]US_TREASURY_TYPE1!R121C28</stp>
        <stp>YLD_YTM_ASK=3.3239161</stp>
        <stp>YAS_YLD_CONV=3</stp>
        <tr r="AB121" s="4"/>
      </tp>
      <tp>
        <v>17.480962865767431</v>
        <stp/>
        <stp>##V3_BDPV12</stp>
        <stp>912810RJ Govt</stp>
        <stp>DUR_ADJ_ASK</stp>
        <stp>[BondPricer-0.2.xlsm]US_TREASURY_TYPE1!R124C28</stp>
        <stp>YLD_YTM_ASK=3.3259549</stp>
        <stp>YAS_YLD_CONV=3</stp>
        <tr r="AB124" s="4"/>
      </tp>
      <tp>
        <v>18.092788182998337</v>
        <stp/>
        <stp>##V3_BDPV12</stp>
        <stp>912810RN Govt</stp>
        <stp>DUR_ADJ_ASK</stp>
        <stp>[BondPricer-0.2.xlsm]US_TREASURY_TYPE1!R127C28</stp>
        <stp>YLD_YTM_ASK=3.3289308</stp>
        <stp>YAS_YLD_CONV=3</stp>
        <tr r="AB127" s="4"/>
      </tp>
      <tp>
        <v>101.06199999999981</v>
        <stp/>
        <stp>##V3_BDPV12</stp>
        <stp>GG7190224 Govt</stp>
        <stp>YAS_BOND_PX</stp>
        <stp>[BondPricer-0.2.xlsm]FRENCH_BTAN_TYPE89!R19C20</stp>
        <stp>YAS_BOND_YLD=-0.348969140675159</stp>
        <stp>YAS_YLD_CONV=1</stp>
        <tr r="T19" s="8"/>
      </tp>
      <tp>
        <v>22.753776914874496</v>
        <stp/>
        <stp>##V3_BDPV12</stp>
        <stp>QZ554181 Corp</stp>
        <stp>DUR_ADJ_ASK</stp>
        <stp>[BondPricer-0.2.xlsm]UK_GILT_TYPE26!R32C28</stp>
        <stp>YLD_YTM_ASK=2.01029543252704</stp>
        <stp>YAS_YLD_CONV=3</stp>
        <tr r="AB32" s="13"/>
      </tp>
      <tp t="s">
        <v>#N/A Invalid Override</v>
        <stp/>
        <stp>##V3_BDPV12</stp>
        <stp>EC4745393 Govt</stp>
        <stp>YAS_BOND_YLD</stp>
        <stp>[BondPricer-0.2.xlsm]JAPAN_JGB_TYPE51!R133C31</stp>
        <stp>YAS_BOND_PX=#N/A Requesting Data...</stp>
        <tr r="AE133" s="7"/>
      </tp>
      <tp t="s">
        <v>#N/A Invalid Override</v>
        <stp/>
        <stp>##V3_BDPV12</stp>
        <stp>EF7785084 Govt</stp>
        <stp>YAS_BOND_YLD</stp>
        <stp>[BondPricer-0.2.xlsm]JAPAN_JGB_TYPE51!R178C31</stp>
        <stp>YAS_BOND_PX=#N/A Requesting Data...</stp>
        <tr r="AE178" s="7"/>
      </tp>
      <tp t="s">
        <v>#N/A Invalid Override</v>
        <stp/>
        <stp>##V3_BDPV12</stp>
        <stp>EH7034067 Govt</stp>
        <stp>YAS_BOND_YLD</stp>
        <stp>[BondPricer-0.2.xlsm]JAPAN_JGB_TYPE51!R103C31</stp>
        <stp>YAS_BOND_PX=#N/A Requesting Data...</stp>
        <tr r="AE103" s="7"/>
      </tp>
      <tp t="s">
        <v>#N/A Invalid Override</v>
        <stp/>
        <stp>##V3_BDPV12</stp>
        <stp>EJ3633405 Govt</stp>
        <stp>YAS_BOND_YLD</stp>
        <stp>[BondPricer-0.2.xlsm]JAPAN_JGB_TYPE51!R143C31</stp>
        <stp>YAS_BOND_PX=#N/A Requesting Data...</stp>
        <tr r="AE143" s="7"/>
      </tp>
      <tp t="s">
        <v>#N/A Invalid Override</v>
        <stp/>
        <stp>##V3_BDPV12</stp>
        <stp>EJ6432110 Govt</stp>
        <stp>YAS_BOND_YLD</stp>
        <stp>[BondPricer-0.2.xlsm]JAPAN_JGB_TYPE51!R148C31</stp>
        <stp>YAS_BOND_PX=#N/A Requesting Data...</stp>
        <tr r="AE148" s="7"/>
      </tp>
      <tp t="s">
        <v>#N/A Invalid Override</v>
        <stp/>
        <stp>##V3_BDPV12</stp>
        <stp>EJ3001454 Govt</stp>
        <stp>YAS_BOND_YLD</stp>
        <stp>[BondPricer-0.2.xlsm]JAPAN_JGB_TYPE51!R141C31</stp>
        <stp>YAS_BOND_PX=#N/A Requesting Data...</stp>
        <tr r="AE141" s="7"/>
      </tp>
      <tp t="s">
        <v>#N/A Invalid Override</v>
        <stp/>
        <stp>##V3_BDPV12</stp>
        <stp>EK1340612 Govt</stp>
        <stp>YAS_BOND_YLD</stp>
        <stp>[BondPricer-0.2.xlsm]JAPAN_JGB_TYPE51!R157C31</stp>
        <stp>YAS_BOND_PX=#N/A Requesting Data...</stp>
        <tr r="AE157" s="7"/>
      </tp>
      <tp t="s">
        <v>#N/A Invalid Override</v>
        <stp/>
        <stp>##V3_BDPV12</stp>
        <stp>EF3711449 Govt</stp>
        <stp>YAS_BOND_YLD</stp>
        <stp>[BondPricer-0.2.xlsm]JAPAN_JGB_TYPE51!R174C31</stp>
        <stp>YAS_BOND_PX=#N/A Requesting Data...</stp>
        <tr r="AE174" s="7"/>
      </tp>
      <tp t="s">
        <v>#N/A Invalid Override</v>
        <stp/>
        <stp>##V3_BDPV12</stp>
        <stp>EG1252618 Govt</stp>
        <stp>YAS_BOND_YLD</stp>
        <stp>[BondPricer-0.2.xlsm]JAPAN_JGB_TYPE51!R180C31</stp>
        <stp>YAS_BOND_PX=#N/A Requesting Data...</stp>
        <tr r="AE180" s="7"/>
      </tp>
      <tp t="s">
        <v>#N/A Invalid Override</v>
        <stp/>
        <stp>##V3_BDPV12</stp>
        <stp>EC7486078 Govt</stp>
        <stp>YAS_BOND_YLD</stp>
        <stp>[BondPricer-0.2.xlsm]JAPAN_JGB_TYPE51!R144C31</stp>
        <stp>YAS_BOND_PX=#N/A Requesting Data...</stp>
        <tr r="AE144" s="7"/>
      </tp>
      <tp t="s">
        <v>#N/A Invalid Override</v>
        <stp/>
        <stp>##V3_BDPV12</stp>
        <stp>EI3325426 Govt</stp>
        <stp>YAS_BOND_YLD</stp>
        <stp>[BondPricer-0.2.xlsm]JAPAN_JGB_TYPE51!R119C31</stp>
        <stp>YAS_BOND_PX=#N/A Requesting Data...</stp>
        <tr r="AE119" s="7"/>
      </tp>
      <tp>
        <v>7.0293810440276161</v>
        <stp/>
        <stp>##V3_BDPV12</stp>
        <stp>UV7412959 Govt</stp>
        <stp>YAS_RISK</stp>
        <stp>[BondPricer-0.2.xlsm]JAPAN_JGB_TYPE51!R71C25</stp>
        <stp>YLD_YTM_ASK=-0.00100000000000009</stp>
        <stp>YAS_YLD_CONV=3</stp>
        <tr r="Y71" s="7"/>
      </tp>
      <tp>
        <v>112.47499999999999</v>
        <stp/>
        <stp>##V3_BDPV12</stp>
        <stp>ED7357210 Govt</stp>
        <stp>YAS_BOND_PX</stp>
        <stp>[BondPricer-0.2.xlsm]JAPAN_JGB_TYPE51!R62C20</stp>
        <stp>YAS_BOND_SPL_YLD=-0.0180000000000007</stp>
        <stp>YAS_YLD_CONV=2</stp>
        <tr r="T62" s="7"/>
      </tp>
      <tp>
        <v>15.474386310270916</v>
        <stp/>
        <stp>##V3_BDPV12</stp>
        <stp>QJ1755850 Corp</stp>
        <stp>YAS_RISK</stp>
        <stp>[BondPricer-0.2.xlsm]AUSTRALIAN_GOVT_TYPE23!R61C26</stp>
        <stp>YLD_YTM_ASK=3.07274041660228</stp>
        <stp>YAS_YLD_CONV=3</stp>
        <tr r="Z61" s="9"/>
      </tp>
      <tp>
        <v>4.0718466764445793</v>
        <stp/>
        <stp>##V3_BDPV12</stp>
        <stp>EC5587281 Govt</stp>
        <stp>YAS_RISK</stp>
        <stp>[BondPricer-0.2.xlsm]ITALIAN_BTPS_TYPE523!R16C26</stp>
        <stp>YLD_YTM_ASK=2.84758486134395</stp>
        <stp>YAS_YLD_CONV=33</stp>
        <tr r="Z16" s="5"/>
      </tp>
      <tp>
        <v>2.4342746810411597</v>
        <stp/>
        <stp>##V3_BDPV12</stp>
        <stp>JK4133670 Govt</stp>
        <stp>YAS_RISK</stp>
        <stp>[BondPricer-0.2.xlsm]JAPAN_JGB_TYPE51!R8C25</stp>
        <stp>YLD_YTM_ASK=-0.123999999999995</stp>
        <stp>YAS_YLD_CONV=3</stp>
        <tr r="Y8" s="7"/>
      </tp>
      <tp>
        <v>104.133</v>
        <stp/>
        <stp>##V3_BDPV12</stp>
        <stp>ED0114584 Govt</stp>
        <stp>YAS_BOND_PX</stp>
        <stp>[BondPricer-0.2.xlsm]JAPAN_JGB_TYPE51!R42C20</stp>
        <stp>YAS_BOND_SPL_YLD=-0.0810000000000001</stp>
        <stp>YAS_YLD_CONV=2</stp>
        <tr r="T42" s="7"/>
      </tp>
      <tp>
        <v>4.330472607113478</v>
        <stp/>
        <stp>##V3_BDPV12</stp>
        <stp>EC8612631 Govt</stp>
        <stp>YAS_RISK</stp>
        <stp>[BondPricer-0.2.xlsm]JAPAN_JGB_TYPE51!R38C25</stp>
        <stp>YLD_YTM_ASK=-0.0899999999999986</stp>
        <stp>YAS_YLD_CONV=3</stp>
        <tr r="Y38" s="7"/>
      </tp>
      <tp>
        <v>5.280340394538996</v>
        <stp/>
        <stp>##V3_BDPV12</stp>
        <stp>EJ9766399 Govt</stp>
        <stp>YAS_RISK</stp>
        <stp>[BondPricer-0.2.xlsm]JAPAN_JGB_TYPE51!R47C25</stp>
        <stp>YLD_YTM_ASK=-0.0559999999999995</stp>
        <stp>YAS_YLD_CONV=3</stp>
        <tr r="Y47" s="7"/>
      </tp>
      <tp>
        <v>4.3464079055539173</v>
        <stp/>
        <stp>##V3_BDPV12</stp>
        <stp>EC5587323 Govt</stp>
        <stp>YAS_RISK</stp>
        <stp>[BondPricer-0.2.xlsm]ITALIAN_BTPS_TYPE523!R23C26</stp>
        <stp>YLD_YTM_ASK=3.17476925298399</stp>
        <stp>YAS_YLD_CONV=33</stp>
        <tr r="Z23" s="5"/>
      </tp>
      <tp>
        <v>108.825</v>
        <stp/>
        <stp>##V3_BDPV12</stp>
        <stp>ED1010344 Govt</stp>
        <stp>YAS_BOND_PX</stp>
        <stp>[BondPricer-0.2.xlsm]JAPAN_JGB_TYPE51!R43C20</stp>
        <stp>YAS_BOND_SPL_YLD=-0.0810000000000007</stp>
        <stp>YAS_YLD_CONV=2</stp>
        <tr r="T43" s="7"/>
      </tp>
      <tp>
        <v>5.5715841174070135</v>
        <stp/>
        <stp>##V3_BDPV12</stp>
        <stp>EJ4855734 Govt</stp>
        <stp>YAS_RISK</stp>
        <stp>[BondPricer-0.2.xlsm]ITALIAN_BTPS_TYPE523!R46C26</stp>
        <stp>YLD_YTM_ASK=3.40575685427642</stp>
        <stp>YAS_YLD_CONV=33</stp>
        <tr r="Z46" s="5"/>
      </tp>
      <tp>
        <v>15.053753064727715</v>
        <stp/>
        <stp>##V3_BDPV12</stp>
        <stp>EK5446753 Corp</stp>
        <stp>YAS_RISK</stp>
        <stp>[BondPricer-0.2.xlsm]AUSTRALIAN_GOVT_TYPE23!R58C26</stp>
        <stp>YLD_YTM_ASK=2.99002331927359</stp>
        <stp>YAS_YLD_CONV=3</stp>
        <tr r="Z58" s="9"/>
      </tp>
      <tp>
        <v>98.492187468264262</v>
        <stp/>
        <stp>##V3_BDPV12</stp>
        <stp>912828C5 Govt</stp>
        <stp>YAS_BOND_PX</stp>
        <stp>[BondPricer-0.2.xlsm]US_TREASURY_TYPE1!R13C20</stp>
        <stp>YAS_BOND_YLD=2.8901147</stp>
        <stp>YAS_YLD_CONV=2</stp>
        <tr r="T13" s="4"/>
      </tp>
      <tp>
        <v>6.2779458523650078</v>
        <stp/>
        <stp>##V3_BDPV12</stp>
        <stp>EJ6935351 Corp</stp>
        <stp>YAS_RISK</stp>
        <stp>[BondPricer-0.2.xlsm]AUSTRALIAN_GOVT_TYPE23!R32C26</stp>
        <stp>YLD_YTM_ASK=2.13386523578523</stp>
        <stp>YAS_YLD_CONV=3</stp>
        <tr r="Z32" s="9"/>
      </tp>
      <tp>
        <v>15.184477612273639</v>
        <stp/>
        <stp>##V3_BDPV12</stp>
        <stp>EK5450789 Corp</stp>
        <stp>YAS_RISK</stp>
        <stp>[BondPricer-0.2.xlsm]AUSTRALIAN_GOVT_TYPE23!R59C26</stp>
        <stp>YLD_YTM_ASK=2.93849876226276</stp>
        <stp>YAS_YLD_CONV=3</stp>
        <tr r="Z59" s="9"/>
      </tp>
      <tp>
        <v>6.0243053613831421</v>
        <stp/>
        <stp>##V3_BDPV12</stp>
        <stp>EK4694379 Govt</stp>
        <stp>YAS_RISK</stp>
        <stp>[BondPricer-0.2.xlsm]GERMAN_BUND_TYPE60!R19C24</stp>
        <stp>YLD_YTM_ASK=0.00670419076857581</stp>
        <stp>YAS_YLD_CONV=1</stp>
        <tr r="X19" s="6"/>
      </tp>
      <tp>
        <v>16.852449447952928</v>
        <stp/>
        <stp>##V3_BDPV12</stp>
        <stp>912810RG Govt</stp>
        <stp>DUR_ADJ_ASK</stp>
        <stp>[BondPricer-0.2.xlsm]US_TREASURY_TYPE1!R122C28</stp>
        <stp>YLD_YTM_ASK=3.3238394</stp>
        <stp>YAS_YLD_CONV=3</stp>
        <tr r="AB122" s="4"/>
      </tp>
      <tp>
        <v>16.9707865007205</v>
        <stp/>
        <stp>##V3_BDPV12</stp>
        <stp>912810RB Govt</stp>
        <stp>DUR_ADJ_ASK</stp>
        <stp>[BondPricer-0.2.xlsm]US_TREASURY_TYPE1!R118C28</stp>
        <stp>YLD_YTM_ASK=3.3248175</stp>
        <stp>YAS_YLD_CONV=3</stp>
        <tr r="AB118" s="4"/>
      </tp>
      <tp>
        <v>102.68100000000038</v>
        <stp/>
        <stp>##V3_BDPV12</stp>
        <stp>EK6841549 Govt</stp>
        <stp>YAS_BOND_PX</stp>
        <stp>[BondPricer-0.2.xlsm]GERMAN_BUND_TYPE60!R20C20</stp>
        <stp>YAS_BOND_YLD=0.0753845649068273</stp>
        <stp>YAS_YLD_CONV=1</stp>
        <tr r="T20" s="6"/>
      </tp>
      <tp>
        <v>23.099825722078414</v>
        <stp/>
        <stp>##V3_BDPV12</stp>
        <stp>AU379648 Corp</stp>
        <stp>DUR_ADJ_ASK</stp>
        <stp>[BondPricer-0.2.xlsm]UK_GILT_TYPE26!R33C28</stp>
        <stp>YLD_YTM_ASK=2.01506738829025</stp>
        <stp>YAS_YLD_CONV=3</stp>
        <tr r="AB33" s="13"/>
      </tp>
      <tp t="s">
        <v>#N/A Invalid Override</v>
        <stp/>
        <stp>##V3_BDPV12</stp>
        <stp>EI6535294 Govt</stp>
        <stp>YAS_BOND_YLD</stp>
        <stp>[BondPricer-0.2.xlsm]JAPAN_JGB_TYPE51!R126C31</stp>
        <stp>YAS_BOND_PX=#N/A Requesting Data...</stp>
        <tr r="AE126" s="7"/>
      </tp>
      <tp t="s">
        <v>#N/A Invalid Override</v>
        <stp/>
        <stp>##V3_BDPV12</stp>
        <stp>EI0835450 Govt</stp>
        <stp>YAS_BOND_YLD</stp>
        <stp>[BondPricer-0.2.xlsm]JAPAN_JGB_TYPE51!R111C31</stp>
        <stp>YAS_BOND_PX=#N/A Requesting Data...</stp>
        <tr r="AE111" s="7"/>
      </tp>
      <tp t="s">
        <v>#N/A Invalid Override</v>
        <stp/>
        <stp>##V3_BDPV12</stp>
        <stp>EH4829006 Govt</stp>
        <stp>YAS_BOND_YLD</stp>
        <stp>[BondPricer-0.2.xlsm]JAPAN_JGB_TYPE51!R100C31</stp>
        <stp>YAS_BOND_PX=#N/A Requesting Data...</stp>
        <tr r="AE100" s="7"/>
      </tp>
      <tp t="s">
        <v>#N/A Invalid Override</v>
        <stp/>
        <stp>##V3_BDPV12</stp>
        <stp>EI1590526 Govt</stp>
        <stp>YAS_BOND_YLD</stp>
        <stp>[BondPricer-0.2.xlsm]JAPAN_JGB_TYPE51!R112C31</stp>
        <stp>YAS_BOND_PX=#N/A Requesting Data...</stp>
        <tr r="AE112" s="7"/>
      </tp>
      <tp t="s">
        <v>#N/A Invalid Override</v>
        <stp/>
        <stp>##V3_BDPV12</stp>
        <stp>ED0670437 Govt</stp>
        <stp>YAS_BOND_YLD</stp>
        <stp>[BondPricer-0.2.xlsm]JAPAN_JGB_TYPE51!R152C31</stp>
        <stp>YAS_BOND_PX=#N/A Requesting Data...</stp>
        <tr r="AE152" s="7"/>
      </tp>
      <tp t="s">
        <v>#N/A Invalid Override</v>
        <stp/>
        <stp>##V3_BDPV12</stp>
        <stp>EJ5659150 Govt</stp>
        <stp>YAS_BOND_YLD</stp>
        <stp>[BondPricer-0.2.xlsm]JAPAN_JGB_TYPE51!R145C31</stp>
        <stp>YAS_BOND_PX=#N/A Requesting Data...</stp>
        <tr r="AE145" s="7"/>
      </tp>
      <tp t="s">
        <v>#N/A Invalid Override</v>
        <stp/>
        <stp>##V3_BDPV12</stp>
        <stp>EH6066235 Govt</stp>
        <stp>YAS_BOND_YLD</stp>
        <stp>[BondPricer-0.2.xlsm]JAPAN_JGB_TYPE51!R102C31</stp>
        <stp>YAS_BOND_PX=#N/A Requesting Data...</stp>
        <tr r="AE102" s="7"/>
      </tp>
      <tp t="s">
        <v>#N/A Invalid Override</v>
        <stp/>
        <stp>##V3_BDPV12</stp>
        <stp>ED4240013 Govt</stp>
        <stp>YAS_BOND_YLD</stp>
        <stp>[BondPricer-0.2.xlsm]JAPAN_JGB_TYPE51!R158C31</stp>
        <stp>YAS_BOND_PX=#N/A Requesting Data...</stp>
        <tr r="AE158" s="7"/>
      </tp>
      <tp t="s">
        <v>#N/A Invalid Override</v>
        <stp/>
        <stp>##V3_BDPV12</stp>
        <stp>ED5806184 Govt</stp>
        <stp>YAS_BOND_YLD</stp>
        <stp>[BondPricer-0.2.xlsm]JAPAN_JGB_TYPE51!R160C31</stp>
        <stp>YAS_BOND_PX=#N/A Requesting Data...</stp>
        <tr r="AE160" s="7"/>
      </tp>
      <tp t="s">
        <v>#N/A Invalid Override</v>
        <stp/>
        <stp>##V3_BDPV12</stp>
        <stp>EF1386525 Govt</stp>
        <stp>YAS_BOND_YLD</stp>
        <stp>[BondPricer-0.2.xlsm]JAPAN_JGB_TYPE51!R170C31</stp>
        <stp>YAS_BOND_PX=#N/A Requesting Data...</stp>
        <tr r="AE170" s="7"/>
      </tp>
      <tp>
        <v>103.404</v>
        <stp/>
        <stp>##V3_BDPV12</stp>
        <stp>EJ9766399 Govt</stp>
        <stp>YAS_BOND_PX</stp>
        <stp>[BondPricer-0.2.xlsm]JAPAN_JGB_TYPE51!R47C20</stp>
        <stp>YAS_BOND_SPL_YLD=-0.0559999999999995</stp>
        <stp>YAS_YLD_CONV=2</stp>
        <tr r="T47" s="7"/>
      </tp>
      <tp>
        <v>3.8912751121436884</v>
        <stp/>
        <stp>##V3_BDPV12</stp>
        <stp>JK3942121 Govt</stp>
        <stp>YAS_RISK</stp>
        <stp>[BondPricer-0.2.xlsm]ITALIAN_BTPS_TYPE523!R10C26</stp>
        <stp>YLD_YTM_ASK=2.80030944275129</stp>
        <stp>YAS_YLD_CONV=33</stp>
        <tr r="Z10" s="5"/>
      </tp>
      <tp>
        <v>15.525633440183384</v>
        <stp/>
        <stp>##V3_BDPV12</stp>
        <stp>QJ1521823 Corp</stp>
        <stp>YAS_RISK</stp>
        <stp>[BondPricer-0.2.xlsm]AUSTRALIAN_GOVT_TYPE23!R60C26</stp>
        <stp>YLD_YTM_ASK=3.05499848360431</stp>
        <stp>YAS_YLD_CONV=3</stp>
        <tr r="Z60" s="9"/>
      </tp>
      <tp>
        <v>5.3332670144754957</v>
        <stp/>
        <stp>##V3_BDPV12</stp>
        <stp>EK0933524 Govt</stp>
        <stp>YAS_RISK</stp>
        <stp>[BondPricer-0.2.xlsm]ITALIAN_BTPS_TYPE523!R29C26</stp>
        <stp>YLD_YTM_ASK=3.19369004003307</stp>
        <stp>YAS_YLD_CONV=33</stp>
        <tr r="Z29" s="5"/>
      </tp>
      <tp>
        <v>5.5337349379854572</v>
        <stp/>
        <stp>##V3_BDPV12</stp>
        <stp>EK1072785 Govt</stp>
        <stp>YAS_RISK</stp>
        <stp>[BondPricer-0.2.xlsm]JAPAN_JGB_TYPE51!R50C25</stp>
        <stp>YLD_YTM_ASK=-0.0470000000000012</stp>
        <stp>YAS_YLD_CONV=3</stp>
        <tr r="Y50" s="7"/>
      </tp>
      <tp>
        <v>5.9426100235853596</v>
        <stp/>
        <stp>##V3_BDPV12</stp>
        <stp>UV6569569 Govt</stp>
        <stp>YAS_RISK</stp>
        <stp>[BondPricer-0.2.xlsm]ITALIAN_BTPS_TYPE523!R42C26</stp>
        <stp>YLD_YTM_ASK=3.25305805022247</stp>
        <stp>YAS_YLD_CONV=33</stp>
        <tr r="Z42" s="5"/>
      </tp>
      <tp>
        <v>4.9543661533526517</v>
        <stp/>
        <stp>##V3_BDPV12</stp>
        <stp>EC5587380 Govt</stp>
        <stp>YAS_RISK</stp>
        <stp>[BondPricer-0.2.xlsm]ITALIAN_BTPS_TYPE523!R33C26</stp>
        <stp>YLD_YTM_ASK=3.33966176787257</stp>
        <stp>YAS_YLD_CONV=33</stp>
        <tr r="Z33" s="5"/>
      </tp>
      <tp>
        <v>8.5726777610176441</v>
        <stp/>
        <stp>##V3_BDPV12</stp>
        <stp>GG7366139 Govt</stp>
        <stp>YAS_RISK</stp>
        <stp>[BondPricer-0.2.xlsm]ITALIAN_BTPS_TYPE523!R65C26</stp>
        <stp>YLD_YTM_ASK=3.53154531927609</stp>
        <stp>YAS_YLD_CONV=33</stp>
        <tr r="Z65" s="5"/>
      </tp>
      <tp>
        <v>112.678</v>
        <stp/>
        <stp>##V3_BDPV12</stp>
        <stp>ED6160219 Govt</stp>
        <stp>YAS_BOND_PX</stp>
        <stp>[BondPricer-0.2.xlsm]JAPAN_JGB_TYPE51!R58C20</stp>
        <stp>YAS_BOND_SPL_YLD=-0.0349999999999993</stp>
        <stp>YAS_YLD_CONV=2</stp>
        <tr r="T58" s="7"/>
      </tp>
      <tp>
        <v>8.2855848606392613</v>
        <stp/>
        <stp>##V3_BDPV12</stp>
        <stp>EI8492650 Corp</stp>
        <stp>YAS_RISK</stp>
        <stp>[BondPricer-0.2.xlsm]AUSTRALIAN_GOVT_TYPE23!R40C26</stp>
        <stp>YLD_YTM_ASK=2.60895093986867</stp>
        <stp>YAS_YLD_CONV=3</stp>
        <tr r="Z40" s="9"/>
      </tp>
      <tp>
        <v>7.7493805167378582</v>
        <stp/>
        <stp>##V3_BDPV12</stp>
        <stp>LW2811898 Corp</stp>
        <stp>YAS_RISK</stp>
        <stp>[BondPricer-0.2.xlsm]AUSTRALIAN_GOVT_TYPE23!R43C26</stp>
        <stp>YLD_YTM_ASK=3.13601204250855</stp>
        <stp>YAS_YLD_CONV=3</stp>
        <tr r="Z43" s="9"/>
      </tp>
      <tp>
        <v>2.9783100719044331</v>
        <stp/>
        <stp>##V3_BDPV12</stp>
        <stp>EC5587265 Govt</stp>
        <stp>YLD_YTM_ASK</stp>
        <stp>[BondPricer-0.2.xlsm]ITALIAN_BTPS_TYPE523!R7C15</stp>
        <tr r="O7" s="5"/>
      </tp>
      <tp>
        <v>1.9111945527060972</v>
        <stp/>
        <stp>##V3_BDPV12</stp>
        <stp>EC867711 Corp</stp>
        <stp>YLD_YTM_ASK</stp>
        <stp>[BondPricer-0.2.xlsm]UK_GILT_TYPE26!R23C13</stp>
        <tr r="M23" s="13"/>
      </tp>
      <tp>
        <v>5.8644786636989465</v>
        <stp/>
        <stp>##V3_BDPV12</stp>
        <stp>EK2728906 Govt</stp>
        <stp>YAS_RISK</stp>
        <stp>[BondPricer-0.2.xlsm]GERMAN_BUND_TYPE60!R18C24</stp>
        <stp>YLD_YTM_ASK=-0.0324302885161033</stp>
        <stp>YAS_YLD_CONV=1</stp>
        <tr r="X18" s="6"/>
      </tp>
      <tp>
        <v>86.430999981350766</v>
        <stp/>
        <stp>##V3_BDPV12</stp>
        <stp>QZ0167556 Govt</stp>
        <stp>PX_ASK</stp>
        <stp>[BondPricer-0.2.xlsm]ITALIAN_BTPS_TYPE523!R55C22</stp>
        <stp>YAS_BOND_YLD=3.18155535490707</stp>
        <stp>YAS_YLD_CONV=1</stp>
        <tr r="V55" s="5"/>
      </tp>
      <tp>
        <v>14.505506526307748</v>
        <stp/>
        <stp>##V3_BDPV12</stp>
        <stp>912810QA Govt</stp>
        <stp>DUR_ADJ_ASK</stp>
        <stp>[BondPricer-0.2.xlsm]US_TREASURY_TYPE1!R101C28</stp>
        <stp>YLD_YTM_ASK=3.2618854</stp>
        <stp>YAS_YLD_CONV=3</stp>
        <tr r="AB101" s="4"/>
      </tp>
      <tp>
        <v>101.02599999999978</v>
        <stp/>
        <stp>##V3_BDPV12</stp>
        <stp>EJ6177145 Govt</stp>
        <stp>YAS_BOND_PX</stp>
        <stp>[BondPricer-0.2.xlsm]FRENCH_BTAN_TYPE89!R14C20</stp>
        <stp>YAS_BOND_YLD=-0.391423414228176</stp>
        <stp>YAS_YLD_CONV=1</stp>
        <tr r="T14" s="8"/>
      </tp>
      <tp>
        <v>16.374985403729731</v>
        <stp/>
        <stp>##V3_BDPV12</stp>
        <stp>912810QW Govt</stp>
        <stp>DUR_ADJ_ASK</stp>
        <stp>[BondPricer-0.2.xlsm]US_TREASURY_TYPE1!R114C28</stp>
        <stp>YLD_YTM_ASK=3.3168191</stp>
        <stp>YAS_YLD_CONV=3</stp>
        <tr r="AB114" s="4"/>
      </tp>
      <tp>
        <v>16.016181350105651</v>
        <stp/>
        <stp>##V3_BDPV12</stp>
        <stp>912810QT Govt</stp>
        <stp>DUR_ADJ_ASK</stp>
        <stp>[BondPricer-0.2.xlsm]US_TREASURY_TYPE1!R112C28</stp>
        <stp>YLD_YTM_ASK=3.3088568</stp>
        <stp>YAS_YLD_CONV=3</stp>
        <tr r="AB112" s="4"/>
      </tp>
      <tp>
        <v>100.95999999999974</v>
        <stp/>
        <stp>##V3_BDPV12</stp>
        <stp>GG7127234 Govt</stp>
        <stp>YAS_BOND_PX</stp>
        <stp>[BondPricer-0.2.xlsm]FRENCH_BTAN_TYPE89!R11C20</stp>
        <stp>YAS_BOND_YLD=-0.378335508956096</stp>
        <stp>YAS_YLD_CONV=1</stp>
        <tr r="T11" s="8"/>
      </tp>
      <tp>
        <v>5.3944688086439179</v>
        <stp/>
        <stp>##V3_BDPV12</stp>
        <stp>AL0690951 Corp</stp>
        <stp>DUR_ADJ_ASK</stp>
        <stp>[BondPricer-0.2.xlsm]AUSTRALIAN_GOVT_TYPE23!R29C30</stp>
        <stp>YLD_YTM_ASK=2.7529533001374</stp>
        <stp>YAS_YLD_CONV=3</stp>
        <tr r="AD29" s="9"/>
      </tp>
      <tp t="s">
        <v>#N/A Invalid Override</v>
        <stp/>
        <stp>##V3_BDPV12</stp>
        <stp>LW5453029 Govt</stp>
        <stp>YAS_BOND_YLD</stp>
        <stp>[BondPricer-0.2.xlsm]JAPAN_JGB_TYPE51!R175C31</stp>
        <stp>YAS_BOND_PX=#N/A Requesting Data...</stp>
        <tr r="AE175" s="7"/>
      </tp>
      <tp t="s">
        <v>#N/A Invalid Override</v>
        <stp/>
        <stp>##V3_BDPV12</stp>
        <stp>EI4443103 Govt</stp>
        <stp>YAS_BOND_YLD</stp>
        <stp>[BondPricer-0.2.xlsm]JAPAN_JGB_TYPE51!R121C31</stp>
        <stp>YAS_BOND_PX=#N/A Requesting Data...</stp>
        <tr r="AE121" s="7"/>
      </tp>
      <tp t="s">
        <v>#N/A Invalid Override</v>
        <stp/>
        <stp>##V3_BDPV12</stp>
        <stp>JK5016049 Govt</stp>
        <stp>YAS_BOND_YLD</stp>
        <stp>[BondPricer-0.2.xlsm]JAPAN_JGB_TYPE51!R173C31</stp>
        <stp>YAS_BOND_PX=#N/A Requesting Data...</stp>
        <tr r="AE173" s="7"/>
      </tp>
      <tp t="s">
        <v>#N/A Invalid Override</v>
        <stp/>
        <stp>##V3_BDPV12</stp>
        <stp>JV3368661 Govt</stp>
        <stp>YAS_BOND_YLD</stp>
        <stp>[BondPricer-0.2.xlsm]JAPAN_JGB_TYPE51!R171C31</stp>
        <stp>YAS_BOND_PX=#N/A Requesting Data...</stp>
        <tr r="AE171" s="7"/>
      </tp>
      <tp t="s">
        <v>#N/A Invalid Override</v>
        <stp/>
        <stp>##V3_BDPV12</stp>
        <stp>EH7611252 Govt</stp>
        <stp>YAS_BOND_YLD</stp>
        <stp>[BondPricer-0.2.xlsm]JAPAN_JGB_TYPE51!R106C31</stp>
        <stp>YAS_BOND_PX=#N/A Requesting Data...</stp>
        <tr r="AE106" s="7"/>
      </tp>
      <tp t="s">
        <v>#N/A Invalid Override</v>
        <stp/>
        <stp>##V3_BDPV12</stp>
        <stp>EI5876087 Govt</stp>
        <stp>YAS_BOND_YLD</stp>
        <stp>[BondPricer-0.2.xlsm]JAPAN_JGB_TYPE51!R124C31</stp>
        <stp>YAS_BOND_PX=#N/A Requesting Data...</stp>
        <tr r="AE124" s="7"/>
      </tp>
      <tp>
        <v>4.5172273420376996</v>
        <stp/>
        <stp>##V3_BDPV12</stp>
        <stp>CP5087947 Govt</stp>
        <stp>YAS_RISK</stp>
        <stp>[BondPricer-0.2.xlsm]ITALIAN_BTPS_TYPE523!R26C26</stp>
        <stp>YLD_YTM_ASK=3.17812730039861</stp>
        <stp>YAS_YLD_CONV=33</stp>
        <tr r="Z26" s="5"/>
      </tp>
      <tp>
        <v>6.759335067250305</v>
        <stp/>
        <stp>##V3_BDPV12</stp>
        <stp>EK0222738 Govt</stp>
        <stp>YAS_RISK</stp>
        <stp>[BondPricer-0.2.xlsm]ITALIAN_BTPS_TYPE523!R75C26</stp>
        <stp>YLD_YTM_ASK=3.54596742041953</stp>
        <stp>YAS_YLD_CONV=33</stp>
        <tr r="Z75" s="5"/>
      </tp>
      <tp>
        <v>5.844935266399176</v>
        <stp/>
        <stp>##V3_BDPV12</stp>
        <stp>EK0324096 Govt</stp>
        <stp>YAS_RISK</stp>
        <stp>[BondPricer-0.2.xlsm]ITALIAN_BTPS_TYPE523!R50C26</stp>
        <stp>YLD_YTM_ASK=3.45567977343488</stp>
        <stp>YAS_YLD_CONV=33</stp>
        <tr r="Z50" s="5"/>
      </tp>
      <tp>
        <v>6.6825101899269157</v>
        <stp/>
        <stp>##V3_BDPV12</stp>
        <stp>EI4153199 Govt</stp>
        <stp>YAS_RISK</stp>
        <stp>[BondPricer-0.2.xlsm]ITALIAN_BTPS_TYPE523!R44C26</stp>
        <stp>YLD_YTM_ASK=3.32352025230087</stp>
        <stp>YAS_YLD_CONV=33</stp>
        <tr r="Z44" s="5"/>
      </tp>
      <tp>
        <v>6.3493440207928131</v>
        <stp/>
        <stp>##V3_BDPV12</stp>
        <stp>CP5088010 Govt</stp>
        <stp>YAS_RISK</stp>
        <stp>[BondPricer-0.2.xlsm]ITALIAN_BTPS_TYPE523!R68C26</stp>
        <stp>YLD_YTM_ASK=3.58224404350611</stp>
        <stp>YAS_YLD_CONV=33</stp>
        <tr r="Z68" s="5"/>
      </tp>
      <tp>
        <v>6.2037697255583168</v>
        <stp/>
        <stp>##V3_BDPV12</stp>
        <stp>EC5588503 Govt</stp>
        <stp>YAS_RISK</stp>
        <stp>[BondPricer-0.2.xlsm]ITALIAN_BTPS_TYPE523!R62C26</stp>
        <stp>YLD_YTM_ASK=3.62630163409552</stp>
        <stp>YAS_YLD_CONV=33</stp>
        <tr r="Z62" s="5"/>
      </tp>
      <tp>
        <v>5.4841424776057579</v>
        <stp/>
        <stp>##V3_BDPV12</stp>
        <stp>GG7302662 Govt</stp>
        <stp>YAS_RISK</stp>
        <stp>[BondPricer-0.2.xlsm]ITALIAN_BTPS_TYPE523!R22C26</stp>
        <stp>YLD_YTM_ASK=2.74556264738548</stp>
        <stp>YAS_YLD_CONV=33</stp>
        <tr r="Z22" s="5"/>
      </tp>
      <tp>
        <v>6.0333211070741299</v>
        <stp/>
        <stp>##V3_BDPV12</stp>
        <stp>EK4690054 Govt</stp>
        <stp>YAS_RISK</stp>
        <stp>[BondPricer-0.2.xlsm]JAPAN_JGB_TYPE51!R57C25</stp>
        <stp>YLD_YTM_ASK=-0.0309999999999996</stp>
        <stp>YAS_YLD_CONV=3</stp>
        <tr r="Y57" s="7"/>
      </tp>
      <tp>
        <v>7.6290087831122122</v>
        <stp/>
        <stp>##V3_BDPV12</stp>
        <stp>EC2917820 Govt</stp>
        <stp>YAS_RISK</stp>
        <stp>[BondPricer-0.2.xlsm]ITALIAN_BTPS_TYPE523!R97C26</stp>
        <stp>YLD_YTM_ASK=3.73968949155028</stp>
        <stp>YAS_YLD_CONV=33</stp>
        <tr r="Z97" s="5"/>
      </tp>
      <tp>
        <v>11.145006913592681</v>
        <stp/>
        <stp>##V3_BDPV12</stp>
        <stp>EC2373701 Govt</stp>
        <stp>YAS_RISK</stp>
        <stp>[BondPricer-0.2.xlsm]ITALIAN_BTPS_TYPE523!R96C26</stp>
        <stp>YLD_YTM_ASK=3.71322030286234</stp>
        <stp>YAS_YLD_CONV=33</stp>
        <tr r="Z96" s="5"/>
      </tp>
      <tp>
        <v>7.2558489206443255</v>
        <stp/>
        <stp>##V3_BDPV12</stp>
        <stp>EC2918364 Govt</stp>
        <stp>YAS_RISK</stp>
        <stp>[BondPricer-0.2.xlsm]ITALIAN_BTPS_TYPE523!R92C26</stp>
        <stp>YLD_YTM_ASK=3.77099215567829</stp>
        <stp>YAS_YLD_CONV=33</stp>
        <tr r="Z92" s="5"/>
      </tp>
      <tp>
        <v>96.031250073433583</v>
        <stp/>
        <stp>##V3_BDPV12</stp>
        <stp>912828L2 Govt</stp>
        <stp>YAS_BOND_PX</stp>
        <stp>[BondPricer-0.2.xlsm]US_TREASURY_TYPE1!R46C20</stp>
        <stp>YAS_BOND_YLD=2.9669586</stp>
        <stp>YAS_YLD_CONV=2</stp>
        <tr r="T46" s="4"/>
      </tp>
      <tp>
        <v>95.49218759006969</v>
        <stp/>
        <stp>##V3_BDPV12</stp>
        <stp>912828L5 Govt</stp>
        <stp>YAS_BOND_PX</stp>
        <stp>[BondPricer-0.2.xlsm]US_TREASURY_TYPE1!R47C20</stp>
        <stp>YAS_BOND_YLD=2.9659102</stp>
        <stp>YAS_YLD_CONV=2</stp>
        <tr r="T47" s="4"/>
      </tp>
      <tp>
        <v>3.8512215377366488</v>
        <stp/>
        <stp>##V3_BDPV12</stp>
        <stp>EI2142814 Corp</stp>
        <stp>YAS_RISK</stp>
        <stp>[BondPricer-0.2.xlsm]AUSTRALIAN_GOVT_TYPE23!R14C26</stp>
        <stp>YLD_YTM_ASK=2.13300831107669</stp>
        <stp>YAS_YLD_CONV=3</stp>
        <tr r="Z14" s="9"/>
      </tp>
      <tp>
        <v>12.860208741545165</v>
        <stp/>
        <stp>##V3_BDPV12</stp>
        <stp>EK8238157 Corp</stp>
        <stp>YAS_RISK</stp>
        <stp>[BondPricer-0.2.xlsm]AUSTRALIAN_GOVT_TYPE23!R57C26</stp>
        <stp>YLD_YTM_ASK=2.96698417617188</stp>
        <stp>YAS_YLD_CONV=3</stp>
        <tr r="Z57" s="9"/>
      </tp>
      <tp>
        <v>95.859374857873235</v>
        <stp/>
        <stp>##V3_BDPV12</stp>
        <stp>912828M4 Govt</stp>
        <stp>YAS_BOND_PX</stp>
        <stp>[BondPricer-0.2.xlsm]US_TREASURY_TYPE1!R48C20</stp>
        <stp>YAS_BOND_YLD=2.9698727</stp>
        <stp>YAS_YLD_CONV=2</stp>
        <tr r="T48" s="4"/>
      </tp>
      <tp>
        <v>3.9207868577875615</v>
        <stp/>
        <stp>##V3_BDPV12</stp>
        <stp>AP4429340 Corp</stp>
        <stp>YAS_RISK</stp>
        <stp>[BondPricer-0.2.xlsm]AUSTRALIAN_GOVT_TYPE23!R19C26</stp>
        <stp>YLD_YTM_ASK=2.08386346800016</stp>
        <stp>YAS_YLD_CONV=3</stp>
        <tr r="Z19" s="9"/>
      </tp>
      <tp>
        <v>113.836</v>
        <stp/>
        <stp>##V3_BDPV12</stp>
        <stp>EF1062381 Govt</stp>
        <stp>YAS_BOND_PX</stp>
        <stp>[BondPricer-0.2.xlsm]JAPAN_JGB_TYPE51!R72C20</stp>
        <stp>YAS_BOND_SPL_YLD=0.00200000000000054</stp>
        <stp>YAS_YLD_CONV=2</stp>
        <tr r="T72" s="7"/>
      </tp>
      <tp>
        <v>96.234374973858181</v>
        <stp/>
        <stp>##V3_BDPV12</stp>
        <stp>912828M8 Govt</stp>
        <stp>YAS_BOND_PX</stp>
        <stp>[BondPricer-0.2.xlsm]US_TREASURY_TYPE1!R50C20</stp>
        <stp>YAS_BOND_YLD=2.9769453</stp>
        <stp>YAS_YLD_CONV=2</stp>
        <tr r="T50" s="4"/>
      </tp>
      <tp>
        <v>119.14062464721964</v>
        <stp/>
        <stp>##V3_BDPV12</stp>
        <stp>912810EW Govt</stp>
        <stp>YAS_BOND_PX</stp>
        <stp>[BondPricer-0.2.xlsm]US_TREASURY_TYPE1!R79C20</stp>
        <stp>YAS_BOND_YLD=3.0643795</stp>
        <stp>YAS_YLD_CONV=2</stp>
        <tr r="T79" s="4"/>
      </tp>
      <tp>
        <v>1.4617397053464236</v>
        <stp/>
        <stp>##V3_BDPV12</stp>
        <stp>EF670373 Corp</stp>
        <stp>YLD_YTM_ASK</stp>
        <stp>[BondPricer-0.2.xlsm]UK_GILT_TYPE26!R18C13</stp>
        <tr r="M18" s="13"/>
      </tp>
      <tp>
        <v>14.046010566099035</v>
        <stp/>
        <stp>##V3_BDPV12</stp>
        <stp>912810QC Govt</stp>
        <stp>DUR_ADJ_ASK</stp>
        <stp>[BondPricer-0.2.xlsm]US_TREASURY_TYPE1!R103C28</stp>
        <stp>YLD_YTM_ASK=3.2739213</stp>
        <stp>YAS_YLD_CONV=3</stp>
        <tr r="AB103" s="4"/>
      </tp>
      <tp>
        <v>100.80399999999993</v>
        <stp/>
        <stp>##V3_BDPV12</stp>
        <stp>AM1546788 Govt</stp>
        <stp>YAS_BOND_PX</stp>
        <stp>[BondPricer-0.2.xlsm]FRENCH_BTAN_TYPE89!R7C20</stp>
        <stp>YAS_BOND_YLD=-0.587554558999759</stp>
        <stp>YAS_YLD_CONV=1</stp>
        <tr r="T7" s="8"/>
      </tp>
      <tp>
        <v>100.67599999999968</v>
        <stp/>
        <stp>##V3_BDPV12</stp>
        <stp>AL2130345 Govt</stp>
        <stp>YAS_BOND_PX</stp>
        <stp>[BondPricer-0.2.xlsm]FRENCH_BTAN_TYPE89!R27C20</stp>
        <stp>YAS_BOND_YLD=-0.186828875671485</stp>
        <stp>YAS_YLD_CONV=1</stp>
        <tr r="T27" s="8"/>
      </tp>
      <tp t="s">
        <v>#N/A Invalid Override</v>
        <stp/>
        <stp>##V3_BDPV12</stp>
        <stp>EH5622715 Govt</stp>
        <stp>YAS_BOND_YLD</stp>
        <stp>[BondPricer-0.2.xlsm]JAPAN_JGB_TYPE51!R101C31</stp>
        <stp>YAS_BOND_PX=#N/A Requesting Data...</stp>
        <tr r="AE101" s="7"/>
      </tp>
      <tp t="s">
        <v>#N/A Invalid Override</v>
        <stp/>
        <stp>##V3_BDPV12</stp>
        <stp>EI4040636 Govt</stp>
        <stp>YAS_BOND_YLD</stp>
        <stp>[BondPricer-0.2.xlsm]JAPAN_JGB_TYPE51!R120C31</stp>
        <stp>YAS_BOND_PX=#N/A Requesting Data...</stp>
        <tr r="AE120" s="7"/>
      </tp>
      <tp t="s">
        <v>#N/A Invalid Override</v>
        <stp/>
        <stp>##V3_BDPV12</stp>
        <stp>EC1745347 Govt</stp>
        <stp>YAS_BOND_YLD</stp>
        <stp>[BondPricer-0.2.xlsm]JAPAN_JGB_TYPE51!R110C31</stp>
        <stp>YAS_BOND_PX=#N/A Requesting Data...</stp>
        <tr r="AE110" s="7"/>
      </tp>
      <tp t="s">
        <v>#N/A Invalid Override</v>
        <stp/>
        <stp>##V3_BDPV12</stp>
        <stp>EJ0538250 Govt</stp>
        <stp>YAS_BOND_YLD</stp>
        <stp>[BondPricer-0.2.xlsm]JAPAN_JGB_TYPE51!R192C31</stp>
        <stp>YAS_BOND_PX=#N/A Requesting Data...</stp>
        <tr r="AE192" s="7"/>
      </tp>
      <tp>
        <v>103.68300000000001</v>
        <stp/>
        <stp>##V3_BDPV12</stp>
        <stp>EJ2273187 Govt</stp>
        <stp>YAS_BOND_PX</stp>
        <stp>[BondPricer-0.2.xlsm]JAPAN_JGB_TYPE51!R30C20</stp>
        <stp>YAS_BOND_SPL_YLD=-0.0990000000000008</stp>
        <stp>YAS_YLD_CONV=2</stp>
        <tr r="T30" s="7"/>
      </tp>
      <tp>
        <v>4.8249666409482472</v>
        <stp/>
        <stp>##V3_BDPV12</stp>
        <stp>CP5087954 Govt</stp>
        <stp>YAS_RISK</stp>
        <stp>[BondPricer-0.2.xlsm]ITALIAN_BTPS_TYPE523!R31C26</stp>
        <stp>YLD_YTM_ASK=3.24327305847996</stp>
        <stp>YAS_YLD_CONV=33</stp>
        <tr r="Z31" s="5"/>
      </tp>
      <tp>
        <v>4.7303255458004401</v>
        <stp/>
        <stp>##V3_BDPV12</stp>
        <stp>EK0221839 Govt</stp>
        <stp>YAS_RISK</stp>
        <stp>[BondPricer-0.2.xlsm]ITALIAN_BTPS_TYPE523!R30C26</stp>
        <stp>YLD_YTM_ASK=3.20382105815797</stp>
        <stp>YAS_YLD_CONV=33</stp>
        <tr r="Z30" s="5"/>
      </tp>
      <tp>
        <v>6.4614297995127856</v>
        <stp/>
        <stp>##V3_BDPV12</stp>
        <stp>QZ0167556 Govt</stp>
        <stp>YAS_RISK</stp>
        <stp>[BondPricer-0.2.xlsm]ITALIAN_BTPS_TYPE523!R55C26</stp>
        <stp>YLD_YTM_ASK=3.18155535490707</stp>
        <stp>YAS_YLD_CONV=33</stp>
        <tr r="Z55" s="5"/>
      </tp>
      <tp>
        <v>103.717</v>
        <stp/>
        <stp>##V3_BDPV12</stp>
        <stp>EJ5046614 Govt</stp>
        <stp>YAS_BOND_PX</stp>
        <stp>[BondPricer-0.2.xlsm]JAPAN_JGB_TYPE51!R35C20</stp>
        <stp>YAS_BOND_SPL_YLD=-0.0870000000000017</stp>
        <stp>YAS_YLD_CONV=2</stp>
        <tr r="T35" s="7"/>
      </tp>
      <tp>
        <v>5.504441712750463</v>
        <stp/>
        <stp>##V3_BDPV12</stp>
        <stp>EK7691190 Govt</stp>
        <stp>YAS_RISK</stp>
        <stp>[BondPricer-0.2.xlsm]ITALIAN_BTPS_TYPE523!R38C26</stp>
        <stp>YLD_YTM_ASK=3.21025177581182</stp>
        <stp>YAS_YLD_CONV=33</stp>
        <tr r="Z38" s="5"/>
      </tp>
      <tp>
        <v>9.0474081829270858</v>
        <stp/>
        <stp>##V3_BDPV12</stp>
        <stp>EK2743541 Govt</stp>
        <stp>YAS_RISK</stp>
        <stp>[BondPricer-0.2.xlsm]ITALIAN_BTPS_TYPE523!R90C26</stp>
        <stp>YLD_YTM_ASK=3.63764061881273</stp>
        <stp>YAS_YLD_CONV=33</stp>
        <tr r="Z90" s="5"/>
      </tp>
      <tp>
        <v>6.8505608309450849</v>
        <stp/>
        <stp>##V3_BDPV12</stp>
        <stp>ED9108231 Govt</stp>
        <stp>YAS_RISK</stp>
        <stp>[BondPricer-0.2.xlsm]JAPAN_JGB_TYPE51!R65C25</stp>
        <stp>YLD_YTM_ASK=-0.0130000000000002</stp>
        <stp>YAS_YLD_CONV=3</stp>
        <tr r="Y65" s="7"/>
      </tp>
      <tp>
        <v>5.8794518303884047</v>
        <stp/>
        <stp>##V3_BDPV12</stp>
        <stp>EJ4852988 Govt</stp>
        <stp>YAS_RISK</stp>
        <stp>[BondPricer-0.2.xlsm]ITALIAN_BTPS_TYPE523!R52C26</stp>
        <stp>YLD_YTM_ASK=3.52625409214433</stp>
        <stp>YAS_YLD_CONV=33</stp>
        <tr r="Z52" s="5"/>
      </tp>
      <tp>
        <v>7.3927756109803511</v>
        <stp/>
        <stp>##V3_BDPV12</stp>
        <stp>EC2918380 Govt</stp>
        <stp>YAS_RISK</stp>
        <stp>[BondPricer-0.2.xlsm]ITALIAN_BTPS_TYPE523!R94C26</stp>
        <stp>YLD_YTM_ASK=3.81137687593771</stp>
        <stp>YAS_YLD_CONV=33</stp>
        <tr r="Z94" s="5"/>
      </tp>
      <tp>
        <v>5.6483960991926097</v>
        <stp/>
        <stp>##V3_BDPV12</stp>
        <stp>CP5087988 Govt</stp>
        <stp>YAS_RISK</stp>
        <stp>[BondPricer-0.2.xlsm]ITALIAN_BTPS_TYPE523!R47C26</stp>
        <stp>YLD_YTM_ASK=3.45082511129713</stp>
        <stp>YAS_YLD_CONV=33</stp>
        <tr r="Z47" s="5"/>
      </tp>
      <tp>
        <v>5.0830710221674735</v>
        <stp/>
        <stp>##V3_BDPV12</stp>
        <stp>EF2711531 Corp</stp>
        <stp>YAS_RISK</stp>
        <stp>[BondPricer-0.2.xlsm]AUSTRALIAN_GOVT_TYPE23!R22C26</stp>
        <stp>YLD_YTM_ASK=2.58609607942536</stp>
        <stp>YAS_YLD_CONV=3</stp>
        <tr r="Z22" s="9"/>
      </tp>
      <tp>
        <v>12.898527156458073</v>
        <stp/>
        <stp>##V3_BDPV12</stp>
        <stp>EK8211675 Corp</stp>
        <stp>YAS_RISK</stp>
        <stp>[BondPricer-0.2.xlsm]AUSTRALIAN_GOVT_TYPE23!R56C26</stp>
        <stp>YLD_YTM_ASK=2.94796152507814</stp>
        <stp>YAS_YLD_CONV=3</stp>
        <tr r="Z56" s="9"/>
      </tp>
      <tp>
        <v>97.32031237164513</v>
        <stp/>
        <stp>##V3_BDPV12</stp>
        <stp>912828F9 Govt</stp>
        <stp>YAS_BOND_PX</stp>
        <stp>[BondPricer-0.2.xlsm]US_TREASURY_TYPE1!R28C20</stp>
        <stp>YAS_BOND_YLD=2.9272994</stp>
        <stp>YAS_YLD_CONV=2</stp>
        <tr r="T28" s="4"/>
      </tp>
      <tp>
        <v>96.41406270377702</v>
        <stp/>
        <stp>##V3_BDPV12</stp>
        <stp>912828D5 Govt</stp>
        <stp>YAS_BOND_PX</stp>
        <stp>[BondPricer-0.2.xlsm]US_TREASURY_TYPE1!R72C20</stp>
        <stp>YAS_BOND_YLD=3.0505262</stp>
        <stp>YAS_YLD_CONV=2</stp>
        <tr r="T72" s="4"/>
      </tp>
      <tp>
        <v>2.8456092685732903</v>
        <stp/>
        <stp>##V3_BDPV12</stp>
        <stp>EK0660432 Govt</stp>
        <stp>YLD_YTM_ASK</stp>
        <stp>[BondPricer-0.2.xlsm]ITALIAN_BTPS_TYPE523!R9C15</stp>
        <tr r="O9" s="5"/>
      </tp>
      <tp>
        <v>2.0229053653505336</v>
        <stp/>
        <stp>##V3_BDPV12</stp>
        <stp>EF396423 Corp</stp>
        <stp>YLD_YTM_ASK</stp>
        <stp>[BondPricer-0.2.xlsm]UK_GILT_TYPE26!R31C13</stp>
        <tr r="M31" s="13"/>
      </tp>
      <tp>
        <v>1.3906102844207702</v>
        <stp/>
        <stp>##V3_BDPV12</stp>
        <stp>JK030916 Corp</stp>
        <stp>YLD_YTM_ASK</stp>
        <stp>[BondPricer-0.2.xlsm]UK_GILT_TYPE26!R16C13</stp>
        <tr r="M16" s="13"/>
      </tp>
      <tp>
        <v>1.5278876793308582</v>
        <stp/>
        <stp>##V3_BDPV12</stp>
        <stp>GG737572 Corp</stp>
        <stp>YLD_YTM_ASK</stp>
        <stp>[BondPricer-0.2.xlsm]UK_GILT_TYPE26!R19C13</stp>
        <tr r="M19" s="13"/>
      </tp>
      <tp>
        <v>2.0353423704142459</v>
        <stp/>
        <stp>##V3_BDPV12</stp>
        <stp>EK333934 Corp</stp>
        <stp>YLD_YTM_ASK</stp>
        <stp>[BondPricer-0.2.xlsm]UK_GILT_TYPE26!R30C13</stp>
        <tr r="M30" s="13"/>
      </tp>
      <tp>
        <v>100.67599999999968</v>
        <stp/>
        <stp>##V3_BDPV12</stp>
        <stp>AL2130345 Govt</stp>
        <stp>YAS_BOND_PX</stp>
        <stp>[BondPricer-0.2.xlsm]FRENCH_BTAN_TYPE89!R30C20</stp>
        <stp>YAS_BOND_YLD=-0.186828875671485</stp>
        <stp>YAS_YLD_CONV=1</stp>
        <tr r="T30" s="8"/>
      </tp>
      <tp>
        <v>10.577721077370228</v>
        <stp/>
        <stp>##V3_BDPV12</stp>
        <stp>EH5285554 Govt</stp>
        <stp>YAS_RISK</stp>
        <stp>[BondPricer-0.2.xlsm]JAPAN_JGB_TYPE51!R99C25</stp>
        <stp>YLD_YTM_ASK=0.114000000000001</stp>
        <stp>YAS_YLD_CONV=3</stp>
        <tr r="Y99" s="7"/>
      </tp>
      <tp>
        <v>110.8660000000871</v>
        <stp/>
        <stp>##V3_BDPV12</stp>
        <stp>EI6940791 Govt</stp>
        <stp>YAS_BOND_PX</stp>
        <stp>[BondPricer-0.2.xlsm]FRENCH_BTAN_TYPE89!R17C20</stp>
        <stp>YAS_BOND_YLD=-0.322405516119847</stp>
        <stp>YAS_YLD_CONV=1</stp>
        <tr r="T17" s="8"/>
      </tp>
      <tp t="s">
        <v>#N/A Invalid Override</v>
        <stp/>
        <stp>##V3_BDPV12</stp>
        <stp>EF2502187 Govt</stp>
        <stp>YAS_BOND_YLD</stp>
        <stp>[BondPricer-0.2.xlsm]JAPAN_JGB_TYPE51!R172C31</stp>
        <stp>YAS_BOND_PX=#N/A Requesting Data...</stp>
        <tr r="AE172" s="7"/>
      </tp>
      <tp t="s">
        <v>#N/A Invalid Override</v>
        <stp/>
        <stp>##V3_BDPV12</stp>
        <stp>EI1819230 Govt</stp>
        <stp>YAS_BOND_YLD</stp>
        <stp>[BondPricer-0.2.xlsm]JAPAN_JGB_TYPE51!R188C31</stp>
        <stp>YAS_BOND_PX=#N/A Requesting Data...</stp>
        <tr r="AE188" s="7"/>
      </tp>
      <tp t="s">
        <v>#N/A Invalid Override</v>
        <stp/>
        <stp>##V3_BDPV12</stp>
        <stp>EJ5939602 Govt</stp>
        <stp>YAS_BOND_YLD</stp>
        <stp>[BondPricer-0.2.xlsm]JAPAN_JGB_TYPE51!R149C31</stp>
        <stp>YAS_BOND_PX=#N/A Requesting Data...</stp>
        <tr r="AE149" s="7"/>
      </tp>
      <tp t="s">
        <v>#N/A Invalid Override</v>
        <stp/>
        <stp>##V3_BDPV12</stp>
        <stp>EI6037572 Govt</stp>
        <stp>YAS_BOND_YLD</stp>
        <stp>[BondPricer-0.2.xlsm]JAPAN_JGB_TYPE51!R190C31</stp>
        <stp>YAS_BOND_PX=#N/A Requesting Data...</stp>
        <tr r="AE190" s="7"/>
      </tp>
      <tp t="s">
        <v>#N/A Invalid Override</v>
        <stp/>
        <stp>##V3_BDPV12</stp>
        <stp>EI6132563 Govt</stp>
        <stp>YAS_BOND_YLD</stp>
        <stp>[BondPricer-0.2.xlsm]JAPAN_JGB_TYPE51!R125C31</stp>
        <stp>YAS_BOND_PX=#N/A Requesting Data...</stp>
        <tr r="AE125" s="7"/>
      </tp>
      <tp t="s">
        <v>#N/A Invalid Override</v>
        <stp/>
        <stp>##V3_BDPV12</stp>
        <stp>ED3357065 Govt</stp>
        <stp>YAS_BOND_YLD</stp>
        <stp>[BondPricer-0.2.xlsm]JAPAN_JGB_TYPE51!R156C31</stp>
        <stp>YAS_BOND_PX=#N/A Requesting Data...</stp>
        <tr r="AE156" s="7"/>
      </tp>
      <tp t="s">
        <v>#N/A Invalid Override</v>
        <stp/>
        <stp>##V3_BDPV12</stp>
        <stp>EJ7248408 Govt</stp>
        <stp>YAS_BOND_YLD</stp>
        <stp>[BondPricer-0.2.xlsm]JAPAN_JGB_TYPE51!R151C31</stp>
        <stp>YAS_BOND_PX=#N/A Requesting Data...</stp>
        <tr r="AE151" s="7"/>
      </tp>
      <tp t="s">
        <v>#N/A Invalid Override</v>
        <stp/>
        <stp>##V3_BDPV12</stp>
        <stp>EF5597655 Govt</stp>
        <stp>YAS_BOND_YLD</stp>
        <stp>[BondPricer-0.2.xlsm]JAPAN_JGB_TYPE51!R176C31</stp>
        <stp>YAS_BOND_PX=#N/A Requesting Data...</stp>
        <tr r="AE176" s="7"/>
      </tp>
      <tp t="s">
        <v>#N/A Invalid Override</v>
        <stp/>
        <stp>##V3_BDPV12</stp>
        <stp>EJ0963383 Govt</stp>
        <stp>YAS_BOND_YLD</stp>
        <stp>[BondPricer-0.2.xlsm]JAPAN_JGB_TYPE51!R137C31</stp>
        <stp>YAS_BOND_PX=#N/A Requesting Data...</stp>
        <tr r="AE137" s="7"/>
      </tp>
      <tp>
        <v>6.2051338073082718</v>
        <stp/>
        <stp>##V3_BDPV12</stp>
        <stp>JK2344014 Govt</stp>
        <stp>YAS_RISK</stp>
        <stp>[BondPricer-0.2.xlsm]ITALIAN_BTPS_TYPE523!R48C26</stp>
        <stp>YLD_YTM_ASK=3.22510341520132</stp>
        <stp>YAS_YLD_CONV=33</stp>
        <tr r="Z48" s="5"/>
      </tp>
      <tp>
        <v>5.9949722335765898</v>
        <stp/>
        <stp>##V3_BDPV12</stp>
        <stp>EC0130038 Govt</stp>
        <stp>YAS_RISK</stp>
        <stp>[BondPricer-0.2.xlsm]ITALIAN_BTPS_TYPE523!R53C26</stp>
        <stp>YLD_YTM_ASK=3.30375126172222</stp>
        <stp>YAS_YLD_CONV=33</stp>
        <tr r="Z53" s="5"/>
      </tp>
      <tp>
        <v>4.5052990247548053</v>
        <stp/>
        <stp>##V3_BDPV12</stp>
        <stp>EJ5801505 Govt</stp>
        <stp>YAS_RISK</stp>
        <stp>[BondPricer-0.2.xlsm]JAPAN_JGB_TYPE51!R39C25</stp>
        <stp>YLD_YTM_ASK=-0.0809999999999985</stp>
        <stp>YAS_YLD_CONV=3</stp>
        <tr r="Y39" s="7"/>
      </tp>
      <tp>
        <v>103.297</v>
        <stp/>
        <stp>##V3_BDPV12</stp>
        <stp>EJ4693028 Govt</stp>
        <stp>YAS_BOND_PX</stp>
        <stp>[BondPricer-0.2.xlsm]JAPAN_JGB_TYPE51!R36C20</stp>
        <stp>YAS_BOND_SPL_YLD=-0.0870000000000025</stp>
        <stp>YAS_YLD_CONV=2</stp>
        <tr r="T36" s="7"/>
      </tp>
      <tp>
        <v>6.2018055591899213</v>
        <stp/>
        <stp>##V3_BDPV12</stp>
        <stp>EK0222613 Govt</stp>
        <stp>YAS_RISK</stp>
        <stp>[BondPricer-0.2.xlsm]ITALIAN_BTPS_TYPE523!R63C26</stp>
        <stp>YLD_YTM_ASK=3.69434961880799</stp>
        <stp>YAS_YLD_CONV=33</stp>
        <tr r="Z63" s="5"/>
      </tp>
      <tp>
        <v>112.72499999999999</v>
        <stp/>
        <stp>##V3_BDPV12</stp>
        <stp>ED5910010 Govt</stp>
        <stp>YAS_BOND_PX</stp>
        <stp>[BondPricer-0.2.xlsm]JAPAN_JGB_TYPE51!R56C20</stp>
        <stp>YAS_BOND_SPL_YLD=-0.0380000000000002</stp>
        <stp>YAS_YLD_CONV=2</stp>
        <tr r="T56" s="7"/>
      </tp>
      <tp>
        <v>6.459718702208761</v>
        <stp/>
        <stp>##V3_BDPV12</stp>
        <stp>EK0661877 Govt</stp>
        <stp>YAS_RISK</stp>
        <stp>[BondPricer-0.2.xlsm]ITALIAN_BTPS_TYPE523!R71C26</stp>
        <stp>YLD_YTM_ASK=3.65373808077492</stp>
        <stp>YAS_YLD_CONV=33</stp>
        <tr r="Z71" s="5"/>
      </tp>
      <tp>
        <v>18.326151710751049</v>
        <stp/>
        <stp>##V3_BDPV12</stp>
        <stp>QZ5429456 Corp</stp>
        <stp>YAS_RISK</stp>
        <stp>[BondPricer-0.2.xlsm]AUSTRALIAN_GOVT_TYPE23!R62C26</stp>
        <stp>YLD_YTM_ASK=3.15499244391522</stp>
        <stp>YAS_YLD_CONV=3</stp>
        <tr r="Z62" s="9"/>
      </tp>
      <tp>
        <v>5.9146674888502559</v>
        <stp/>
        <stp>##V3_BDPV12</stp>
        <stp>CP5087996 Govt</stp>
        <stp>YAS_RISK</stp>
        <stp>[BondPricer-0.2.xlsm]ITALIAN_BTPS_TYPE523!R54C26</stp>
        <stp>YLD_YTM_ASK=3.45791471407746</stp>
        <stp>YAS_YLD_CONV=33</stp>
        <tr r="Z54" s="5"/>
      </tp>
      <tp>
        <v>112.295</v>
        <stp/>
        <stp>##V3_BDPV12</stp>
        <stp>ED9108231 Govt</stp>
        <stp>YAS_BOND_PX</stp>
        <stp>[BondPricer-0.2.xlsm]JAPAN_JGB_TYPE51!R65C20</stp>
        <stp>YAS_BOND_SPL_YLD=-0.0130000000000002</stp>
        <stp>YAS_YLD_CONV=2</stp>
        <tr r="T65" s="7"/>
      </tp>
      <tp>
        <v>4.2709597155976553</v>
        <stp/>
        <stp>##V3_BDPV12</stp>
        <stp>EJ5046614 Govt</stp>
        <stp>YAS_RISK</stp>
        <stp>[BondPricer-0.2.xlsm]JAPAN_JGB_TYPE51!R35C25</stp>
        <stp>YLD_YTM_ASK=-0.0870000000000017</stp>
        <stp>YAS_YLD_CONV=3</stp>
        <tr r="Y35" s="7"/>
      </tp>
      <tp>
        <v>7.4391883445343865</v>
        <stp/>
        <stp>##V3_BDPV12</stp>
        <stp>EF1062381 Govt</stp>
        <stp>YAS_RISK</stp>
        <stp>[BondPricer-0.2.xlsm]JAPAN_JGB_TYPE51!R72C25</stp>
        <stp>YLD_YTM_ASK=0.00200000000000054</stp>
        <stp>YAS_YLD_CONV=3</stp>
        <tr r="Y72" s="7"/>
      </tp>
      <tp>
        <v>8.1967289843923652</v>
        <stp/>
        <stp>##V3_BDPV12</stp>
        <stp>LW0753340 Corp</stp>
        <stp>YAS_RISK</stp>
        <stp>[BondPricer-0.2.xlsm]AUSTRALIAN_GOVT_TYPE23!R47C26</stp>
        <stp>YLD_YTM_ASK=2.73341459524215</stp>
        <stp>YAS_YLD_CONV=3</stp>
        <tr r="Z47" s="9"/>
      </tp>
      <tp>
        <v>9.3577538351688361</v>
        <stp/>
        <stp>##V3_BDPV12</stp>
        <stp>EJ3938531 Corp</stp>
        <stp>YAS_RISK</stp>
        <stp>[BondPricer-0.2.xlsm]AUSTRALIAN_GOVT_TYPE23!R50C26</stp>
        <stp>YLD_YTM_ASK=2.69996472235818</stp>
        <stp>YAS_YLD_CONV=3</stp>
        <tr r="Z50" s="9"/>
      </tp>
      <tp>
        <v>8.5005669062617528</v>
        <stp/>
        <stp>##V3_BDPV12</stp>
        <stp>EJ6777233 Corp</stp>
        <stp>YAS_RISK</stp>
        <stp>[BondPricer-0.2.xlsm]AUSTRALIAN_GOVT_TYPE23!R41C26</stp>
        <stp>YLD_YTM_ASK=2.30368101716303</stp>
        <stp>YAS_YLD_CONV=3</stp>
        <tr r="Z41" s="9"/>
      </tp>
      <tp>
        <v>96.882812415347743</v>
        <stp/>
        <stp>##V3_BDPV12</stp>
        <stp>912828G5 Govt</stp>
        <stp>YAS_BOND_PX</stp>
        <stp>[BondPricer-0.2.xlsm]US_TREASURY_TYPE1!R31C20</stp>
        <stp>YAS_BOND_YLD=2.9263115</stp>
        <stp>YAS_YLD_CONV=2</stp>
        <tr r="T31" s="4"/>
      </tp>
      <tp>
        <v>6.675352647839361</v>
        <stp/>
        <stp>##V3_BDPV12</stp>
        <stp>LW1235313 Corp</stp>
        <stp>YAS_RISK</stp>
        <stp>[BondPricer-0.2.xlsm]AUSTRALIAN_GOVT_TYPE23!R36C26</stp>
        <stp>YLD_YTM_ASK=2.88795317324307</stp>
        <stp>YAS_YLD_CONV=3</stp>
        <tr r="Z36" s="9"/>
      </tp>
      <tp>
        <v>9.5516934798254738</v>
        <stp/>
        <stp>##V3_BDPV12</stp>
        <stp>AQ7629332 Corp</stp>
        <stp>YAS_RISK</stp>
        <stp>[BondPricer-0.2.xlsm]AUSTRALIAN_GOVT_TYPE23!R52C26</stp>
        <stp>YLD_YTM_ASK=2.70697511793726</stp>
        <stp>YAS_YLD_CONV=3</stp>
        <tr r="Z52" s="9"/>
      </tp>
      <tp>
        <v>8.90426058751288</v>
        <stp/>
        <stp>##V3_BDPV12</stp>
        <stp>AM5647731 Corp</stp>
        <stp>YAS_RISK</stp>
        <stp>[BondPricer-0.2.xlsm]AUSTRALIAN_GOVT_TYPE23!R49C26</stp>
        <stp>YLD_YTM_ASK=2.59049578903437</stp>
        <stp>YAS_YLD_CONV=3</stp>
        <tr r="Z49" s="9"/>
      </tp>
      <tp>
        <v>3.8147174351600199</v>
        <stp/>
        <stp>##V3_BDPV12</stp>
        <stp>JK8199578 Corp</stp>
        <stp>YAS_RISK</stp>
        <stp>[BondPricer-0.2.xlsm]AUSTRALIAN_GOVT_TYPE23!R17C26</stp>
        <stp>YLD_YTM_ASK=2.48491129621638</stp>
        <stp>YAS_YLD_CONV=3</stp>
        <tr r="Z17" s="9"/>
      </tp>
      <tp>
        <v>8.2349975860445568</v>
        <stp/>
        <stp>##V3_BDPV12</stp>
        <stp>LW0207677 Corp</stp>
        <stp>YAS_RISK</stp>
        <stp>[BondPricer-0.2.xlsm]AUSTRALIAN_GOVT_TYPE23!R46C26</stp>
        <stp>YLD_YTM_ASK=2.68497162186878</stp>
        <stp>YAS_YLD_CONV=3</stp>
        <tr r="Z46" s="9"/>
      </tp>
      <tp>
        <v>2.0038511331582898</v>
        <stp/>
        <stp>##V3_BDPV12</stp>
        <stp>EG506481 Corp</stp>
        <stp>YLD_YTM_ASK</stp>
        <stp>[BondPricer-0.2.xlsm]UK_GILT_TYPE26!R28C13</stp>
        <tr r="M28" s="13"/>
      </tp>
      <tp>
        <v>106.23800000000286</v>
        <stp/>
        <stp>##V3_BDPV12</stp>
        <stp>EJ5732965 Govt</stp>
        <stp>YAS_BOND_PX</stp>
        <stp>[BondPricer-0.2.xlsm]FRENCH_BTAN_TYPE89!R8C20</stp>
        <stp>YAS_BOND_YLD=-0.244490595163313</stp>
        <stp>YAS_YLD_CONV=1</stp>
        <tr r="T8" s="8"/>
      </tp>
      <tp>
        <v>110.56000000004504</v>
        <stp/>
        <stp>##V3_BDPV12</stp>
        <stp>ED9255313 Govt</stp>
        <stp>YAS_BOND_PX</stp>
        <stp>[BondPricer-0.2.xlsm]FRENCH_BTAN_TYPE89!R9C20</stp>
        <stp>YAS_BOND_YLD=-0.408700806848562</stp>
        <stp>YAS_YLD_CONV=1</stp>
        <tr r="T9" s="8"/>
      </tp>
      <tp>
        <v>100.80899999999987</v>
        <stp/>
        <stp>##V3_BDPV12</stp>
        <stp>EI0418810 Govt</stp>
        <stp>YAS_BOND_PX</stp>
        <stp>[BondPricer-0.2.xlsm]FRENCH_BTAN_TYPE89!R24C20</stp>
        <stp>YAS_BOND_YLD=-0.228607535513037</stp>
        <stp>YAS_YLD_CONV=1</stp>
        <tr r="T24" s="8"/>
      </tp>
      <tp t="s">
        <v>#N/A Invalid Override</v>
        <stp/>
        <stp>##V3_BDPV12</stp>
        <stp>EI3995376 Govt</stp>
        <stp>YAS_BOND_YLD</stp>
        <stp>[BondPricer-0.2.xlsm]JAPAN_JGB_TYPE51!R189C31</stp>
        <stp>YAS_BOND_PX=#N/A Requesting Data...</stp>
        <tr r="AE189" s="7"/>
      </tp>
      <tp t="s">
        <v>#N/A Invalid Override</v>
        <stp/>
        <stp>##V3_BDPV12</stp>
        <stp>EJ9943964 Govt</stp>
        <stp>YAS_BOND_YLD</stp>
        <stp>[BondPricer-0.2.xlsm]JAPAN_JGB_TYPE51!R155C31</stp>
        <stp>YAS_BOND_PX=#N/A Requesting Data...</stp>
        <tr r="AE155" s="7"/>
      </tp>
      <tp t="s">
        <v>#N/A Invalid Override</v>
        <stp/>
        <stp>##V3_BDPV12</stp>
        <stp>EJ4883454 Govt</stp>
        <stp>YAS_BOND_YLD</stp>
        <stp>[BondPricer-0.2.xlsm]JAPAN_JGB_TYPE51!R146C31</stp>
        <stp>YAS_BOND_PX=#N/A Requesting Data...</stp>
        <tr r="AE146" s="7"/>
      </tp>
      <tp t="s">
        <v>#N/A Invalid Override</v>
        <stp/>
        <stp>##V3_BDPV12</stp>
        <stp>EJ2136277 Govt</stp>
        <stp>YAS_BOND_YLD</stp>
        <stp>[BondPricer-0.2.xlsm]JAPAN_JGB_TYPE51!R136C31</stp>
        <stp>YAS_BOND_PX=#N/A Requesting Data...</stp>
        <tr r="AE136" s="7"/>
      </tp>
      <tp t="s">
        <v>#N/A Invalid Override</v>
        <stp/>
        <stp>##V3_BDPV12</stp>
        <stp>EI0048054 Govt</stp>
        <stp>YAS_BOND_YLD</stp>
        <stp>[BondPricer-0.2.xlsm]JAPAN_JGB_TYPE51!R187C31</stp>
        <stp>YAS_BOND_PX=#N/A Requesting Data...</stp>
        <tr r="AE187" s="7"/>
      </tp>
      <tp t="s">
        <v>#N/A Invalid Override</v>
        <stp/>
        <stp>##V3_BDPV12</stp>
        <stp>EJ1461163 Govt</stp>
        <stp>YAS_BOND_YLD</stp>
        <stp>[BondPricer-0.2.xlsm]JAPAN_JGB_TYPE51!R138C31</stp>
        <stp>YAS_BOND_PX=#N/A Requesting Data...</stp>
        <tr r="AE138" s="7"/>
      </tp>
      <tp t="s">
        <v>#N/A Invalid Override</v>
        <stp/>
        <stp>##V3_BDPV12</stp>
        <stp>EG3757374 Govt</stp>
        <stp>YAS_BOND_YLD</stp>
        <stp>[BondPricer-0.2.xlsm]JAPAN_JGB_TYPE51!R182C31</stp>
        <stp>YAS_BOND_PX=#N/A Requesting Data...</stp>
        <tr r="AE182" s="7"/>
      </tp>
      <tp>
        <v>6.4657005398572664</v>
        <stp/>
        <stp>##V3_BDPV12</stp>
        <stp>EC5588545 Govt</stp>
        <stp>YAS_RISK</stp>
        <stp>[BondPricer-0.2.xlsm]ITALIAN_BTPS_TYPE523!R69C26</stp>
        <stp>YLD_YTM_ASK=3.58544821432509</stp>
        <stp>YAS_YLD_CONV=33</stp>
        <tr r="Z69" s="5"/>
      </tp>
      <tp>
        <v>5.0520529450459151</v>
        <stp/>
        <stp>##V3_BDPV12</stp>
        <stp>EJ8154217 Govt</stp>
        <stp>YAS_RISK</stp>
        <stp>[BondPricer-0.2.xlsm]JAPAN_JGB_TYPE51!R44C25</stp>
        <stp>YLD_YTM_ASK=-0.0690000000000005</stp>
        <stp>YAS_YLD_CONV=3</stp>
        <tr r="Y44" s="7"/>
      </tp>
      <tp>
        <v>101.991</v>
        <stp/>
        <stp>##V3_BDPV12</stp>
        <stp>EK6836028 Govt</stp>
        <stp>YAS_BOND_PX</stp>
        <stp>[BondPricer-0.2.xlsm]JAPAN_JGB_TYPE51!R59C20</stp>
        <stp>YAS_BOND_SPL_YLD=-0.0219999999999985</stp>
        <stp>YAS_YLD_CONV=2</stp>
        <tr r="T59" s="7"/>
      </tp>
      <tp>
        <v>4.912678578779861</v>
        <stp/>
        <stp>##V3_BDPV12</stp>
        <stp>ED1010344 Govt</stp>
        <stp>YAS_RISK</stp>
        <stp>[BondPricer-0.2.xlsm]JAPAN_JGB_TYPE51!R43C25</stp>
        <stp>YLD_YTM_ASK=-0.0810000000000007</stp>
        <stp>YAS_YLD_CONV=3</stp>
        <tr r="Y43" s="7"/>
      </tp>
      <tp>
        <v>112.238</v>
        <stp/>
        <stp>##V3_BDPV12</stp>
        <stp>ED4356637 Govt</stp>
        <stp>YAS_BOND_PX</stp>
        <stp>[BondPricer-0.2.xlsm]JAPAN_JGB_TYPE51!R52C20</stp>
        <stp>YAS_BOND_SPL_YLD=-0.0510000000000002</stp>
        <stp>YAS_YLD_CONV=2</stp>
        <tr r="T52" s="7"/>
      </tp>
      <tp>
        <v>104.295</v>
        <stp/>
        <stp>##V3_BDPV12</stp>
        <stp>EJ8154217 Govt</stp>
        <stp>YAS_BOND_PX</stp>
        <stp>[BondPricer-0.2.xlsm]JAPAN_JGB_TYPE51!R44C20</stp>
        <stp>YAS_BOND_SPL_YLD=-0.0690000000000005</stp>
        <stp>YAS_YLD_CONV=2</stp>
        <tr r="T44" s="7"/>
      </tp>
      <tp>
        <v>4.5751587874747202</v>
        <stp/>
        <stp>##V3_BDPV12</stp>
        <stp>EH3056924 Govt</stp>
        <stp>YAS_RISK</stp>
        <stp>[BondPricer-0.2.xlsm]ITALIAN_BTPS_TYPE523!R14C26</stp>
        <stp>YLD_YTM_ASK=2.97238769829009</stp>
        <stp>YAS_YLD_CONV=33</stp>
        <tr r="Z14" s="5"/>
      </tp>
      <tp>
        <v>5.4966493681561701</v>
        <stp/>
        <stp>##V3_BDPV12</stp>
        <stp>EC5587786 Govt</stp>
        <stp>YAS_RISK</stp>
        <stp>[BondPricer-0.2.xlsm]ITALIAN_BTPS_TYPE523!R43C26</stp>
        <stp>YLD_YTM_ASK=3.46929371604199</stp>
        <stp>YAS_YLD_CONV=33</stp>
        <tr r="Z43" s="5"/>
      </tp>
      <tp>
        <v>5.2439552875270579</v>
        <stp/>
        <stp>##V3_BDPV12</stp>
        <stp>EC5587760 Govt</stp>
        <stp>YAS_RISK</stp>
        <stp>[BondPricer-0.2.xlsm]ITALIAN_BTPS_TYPE523!R39C26</stp>
        <stp>YLD_YTM_ASK=3.37352170254781</stp>
        <stp>YAS_YLD_CONV=33</stp>
        <tr r="Z39" s="5"/>
      </tp>
      <tp>
        <v>6.3150382166533348</v>
        <stp/>
        <stp>##V3_BDPV12</stp>
        <stp>EJ4853036 Govt</stp>
        <stp>YAS_RISK</stp>
        <stp>[BondPricer-0.2.xlsm]ITALIAN_BTPS_TYPE523!R66C26</stp>
        <stp>YLD_YTM_ASK=3.63814902327777</stp>
        <stp>YAS_YLD_CONV=33</stp>
        <tr r="Z66" s="5"/>
      </tp>
      <tp>
        <v>5.4737869260030436</v>
        <stp/>
        <stp>##V3_BDPV12</stp>
        <stp>ED2593686 Govt</stp>
        <stp>YAS_RISK</stp>
        <stp>[BondPricer-0.2.xlsm]JAPAN_JGB_TYPE51!R49C25</stp>
        <stp>YLD_YTM_ASK=-0.0610000000000012</stp>
        <stp>YAS_YLD_CONV=3</stp>
        <tr r="Y49" s="7"/>
      </tp>
      <tp>
        <v>103.31399999999999</v>
        <stp/>
        <stp>##V3_BDPV12</stp>
        <stp>EJ2679425 Govt</stp>
        <stp>YAS_BOND_PX</stp>
        <stp>[BondPricer-0.2.xlsm]JAPAN_JGB_TYPE51!R29C20</stp>
        <stp>YAS_BOND_SPL_YLD=-0.0990000000000008</stp>
        <stp>YAS_YLD_CONV=2</stp>
        <tr r="T29" s="7"/>
      </tp>
      <tp>
        <v>103.51600000000001</v>
        <stp/>
        <stp>##V3_BDPV12</stp>
        <stp>EK1072785 Govt</stp>
        <stp>YAS_BOND_PX</stp>
        <stp>[BondPricer-0.2.xlsm]JAPAN_JGB_TYPE51!R50C20</stp>
        <stp>YAS_BOND_SPL_YLD=-0.0470000000000012</stp>
        <stp>YAS_YLD_CONV=2</stp>
        <tr r="T50" s="7"/>
      </tp>
      <tp>
        <v>6.6662281704054749</v>
        <stp/>
        <stp>##V3_BDPV12</stp>
        <stp>EC5588560 Govt</stp>
        <stp>YAS_RISK</stp>
        <stp>[BondPricer-0.2.xlsm]ITALIAN_BTPS_TYPE523!R73C26</stp>
        <stp>YLD_YTM_ASK=3.62637453875025</stp>
        <stp>YAS_YLD_CONV=33</stp>
        <tr r="Z73" s="5"/>
      </tp>
      <tp>
        <v>97.757812408993104</v>
        <stp/>
        <stp>##V3_BDPV12</stp>
        <stp>912828F2 Govt</stp>
        <stp>YAS_BOND_PX</stp>
        <stp>[BondPricer-0.2.xlsm]US_TREASURY_TYPE1!R26C20</stp>
        <stp>YAS_BOND_YLD=2.9220449</stp>
        <stp>YAS_YLD_CONV=2</stp>
        <tr r="T26" s="4"/>
      </tp>
      <tp>
        <v>5.2338397518894908</v>
        <stp/>
        <stp>##V3_BDPV12</stp>
        <stp>EJ6776938 Corp</stp>
        <stp>YAS_RISK</stp>
        <stp>[BondPricer-0.2.xlsm]AUSTRALIAN_GOVT_TYPE23!R26C26</stp>
        <stp>YLD_YTM_ASK=2.24025307096385</stp>
        <stp>YAS_YLD_CONV=3</stp>
        <tr r="Z26" s="9"/>
      </tp>
      <tp>
        <v>13.694303865671742</v>
        <stp/>
        <stp>##V3_BDPV12</stp>
        <stp>EJ9440870 Corp</stp>
        <stp>YAS_RISK</stp>
        <stp>[BondPricer-0.2.xlsm]AUSTRALIAN_GOVT_TYPE23!R55C26</stp>
        <stp>YLD_YTM_ASK=2.55632749053041</stp>
        <stp>YAS_YLD_CONV=3</stp>
        <tr r="Z55" s="9"/>
      </tp>
      <tp>
        <v>1.9768695216167678</v>
        <stp/>
        <stp>##V3_BDPV12</stp>
        <stp>EH736811 Corp</stp>
        <stp>YLD_YTM_ASK</stp>
        <stp>[BondPricer-0.2.xlsm]UK_GILT_TYPE26!R26C13</stp>
        <tr r="M26" s="13"/>
      </tp>
      <tp>
        <v>0.57600000000000073</v>
        <stp/>
        <stp>##V3_BDPV12</stp>
        <stp>QZ5415422 Govt</stp>
        <stp>YLD_YTM_ASK</stp>
        <stp>[BondPricer-0.2.xlsm]JAPAN_JGB_TYPE51!R177C13</stp>
        <tr r="M177" s="7"/>
      </tp>
      <tp t="s">
        <v>#N/A Invalid Override</v>
        <stp/>
        <stp>##V3_BDPV12</stp>
        <stp>EI8863967 Govt</stp>
        <stp>YAS_BOND_YLD</stp>
        <stp>[BondPricer-0.2.xlsm]JAPAN_JGB_TYPE51!R132C31</stp>
        <stp>YAS_BOND_PX=#N/A Requesting Data...</stp>
        <tr r="AE132" s="7"/>
      </tp>
      <tp t="s">
        <v>#N/A Invalid Override</v>
        <stp/>
        <stp>##V3_BDPV12</stp>
        <stp>EK9722886 Govt</stp>
        <stp>YAS_BOND_YLD</stp>
        <stp>[BondPricer-0.2.xlsm]JAPAN_JGB_TYPE51!R167C31</stp>
        <stp>YAS_BOND_PX=#N/A Requesting Data...</stp>
        <tr r="AE167" s="7"/>
      </tp>
      <tp t="s">
        <v>#N/A Invalid Override</v>
        <stp/>
        <stp>##V3_BDPV12</stp>
        <stp>EH5985450 Govt</stp>
        <stp>YAS_BOND_YLD</stp>
        <stp>[BondPricer-0.2.xlsm]JAPAN_JGB_TYPE51!R185C31</stp>
        <stp>YAS_BOND_PX=#N/A Requesting Data...</stp>
        <tr r="AE185" s="7"/>
      </tp>
      <tp t="s">
        <v>#N/A Invalid Override</v>
        <stp/>
        <stp>##V3_BDPV12</stp>
        <stp>UV8902925 Govt</stp>
        <stp>YAS_BOND_YLD</stp>
        <stp>[BondPricer-0.2.xlsm]JAPAN_JGB_TYPE51!R169C31</stp>
        <stp>YAS_BOND_PX=#N/A Requesting Data...</stp>
        <tr r="AE169" s="7"/>
      </tp>
      <tp t="s">
        <v>#N/A Invalid Override</v>
        <stp/>
        <stp>##V3_BDPV12</stp>
        <stp>EI5130493 Govt</stp>
        <stp>YAS_BOND_YLD</stp>
        <stp>[BondPricer-0.2.xlsm]JAPAN_JGB_TYPE51!R123C31</stp>
        <stp>YAS_BOND_PX=#N/A Requesting Data...</stp>
        <tr r="AE123" s="7"/>
      </tp>
      <tp t="s">
        <v>#N/A Invalid Override</v>
        <stp/>
        <stp>##V3_BDPV12</stp>
        <stp>QZ5415422 Govt</stp>
        <stp>YAS_BOND_YLD</stp>
        <stp>[BondPricer-0.2.xlsm]JAPAN_JGB_TYPE51!R177C31</stp>
        <stp>YAS_BOND_PX=#N/A Requesting Data...</stp>
        <tr r="AE177" s="7"/>
      </tp>
      <tp t="s">
        <v>#N/A Invalid Override</v>
        <stp/>
        <stp>##V3_BDPV12</stp>
        <stp>EI8131969 Govt</stp>
        <stp>YAS_BOND_YLD</stp>
        <stp>[BondPricer-0.2.xlsm]JAPAN_JGB_TYPE51!R131C31</stp>
        <stp>YAS_BOND_PX=#N/A Requesting Data...</stp>
        <tr r="AE131" s="7"/>
      </tp>
      <tp t="s">
        <v>#N/A Invalid Override</v>
        <stp/>
        <stp>##V3_BDPV12</stp>
        <stp>EH6604720 Govt</stp>
        <stp>YAS_BOND_YLD</stp>
        <stp>[BondPricer-0.2.xlsm]JAPAN_JGB_TYPE51!R104C31</stp>
        <stp>YAS_BOND_PX=#N/A Requesting Data...</stp>
        <tr r="AE104" s="7"/>
      </tp>
      <tp t="s">
        <v>#N/A Invalid Override</v>
        <stp/>
        <stp>##V3_BDPV12</stp>
        <stp>EC2565314 Govt</stp>
        <stp>YAS_BOND_YLD</stp>
        <stp>[BondPricer-0.2.xlsm]JAPAN_JGB_TYPE51!R116C31</stp>
        <stp>YAS_BOND_PX=#N/A Requesting Data...</stp>
        <tr r="AE116" s="7"/>
      </tp>
      <tp t="s">
        <v>#N/A Invalid Override</v>
        <stp/>
        <stp>##V3_BDPV12</stp>
        <stp>ED2161351 Govt</stp>
        <stp>YAS_BOND_YLD</stp>
        <stp>[BondPricer-0.2.xlsm]JAPAN_JGB_TYPE51!R154C31</stp>
        <stp>YAS_BOND_PX=#N/A Requesting Data...</stp>
        <tr r="AE154" s="7"/>
      </tp>
      <tp t="s">
        <v>#N/A Invalid Override</v>
        <stp/>
        <stp>##V3_BDPV12</stp>
        <stp>EK3390219 Govt</stp>
        <stp>YAS_BOND_YLD</stp>
        <stp>[BondPricer-0.2.xlsm]JAPAN_JGB_TYPE51!R159C31</stp>
        <stp>YAS_BOND_PX=#N/A Requesting Data...</stp>
        <tr r="AE159" s="7"/>
      </tp>
      <tp t="s">
        <v>#N/A Invalid Override</v>
        <stp/>
        <stp>##V3_BDPV12</stp>
        <stp>EC2220316 Govt</stp>
        <stp>YAS_BOND_YLD</stp>
        <stp>[BondPricer-0.2.xlsm]JAPAN_JGB_TYPE51!R113C31</stp>
        <stp>YAS_BOND_PX=#N/A Requesting Data...</stp>
        <tr r="AE113" s="7"/>
      </tp>
      <tp t="s">
        <v>#N/A Invalid Override</v>
        <stp/>
        <stp>##V3_BDPV12</stp>
        <stp>EI7138619 Govt</stp>
        <stp>YAS_BOND_YLD</stp>
        <stp>[BondPricer-0.2.xlsm]JAPAN_JGB_TYPE51!R129C31</stp>
        <stp>YAS_BOND_PX=#N/A Requesting Data...</stp>
        <tr r="AE129" s="7"/>
      </tp>
      <tp t="s">
        <v>#N/A Invalid Override</v>
        <stp/>
        <stp>##V3_BDPV12</stp>
        <stp>ED8193903 Govt</stp>
        <stp>YAS_BOND_YLD</stp>
        <stp>[BondPricer-0.2.xlsm]JAPAN_JGB_TYPE51!R164C31</stp>
        <stp>YAS_BOND_PX=#N/A Requesting Data...</stp>
        <tr r="AE164" s="7"/>
      </tp>
      <tp>
        <v>4.7909742736500505</v>
        <stp/>
        <stp>##V3_BDPV12</stp>
        <stp>ED0114584 Govt</stp>
        <stp>YAS_RISK</stp>
        <stp>[BondPricer-0.2.xlsm]JAPAN_JGB_TYPE51!R42C25</stp>
        <stp>YLD_YTM_ASK=-0.0810000000000001</stp>
        <stp>YAS_YLD_CONV=3</stp>
        <tr r="Y42" s="7"/>
      </tp>
      <tp>
        <v>6.0311146341611277</v>
        <stp/>
        <stp>##V3_BDPV12</stp>
        <stp>EK0661695 Govt</stp>
        <stp>YAS_RISK</stp>
        <stp>[BondPricer-0.2.xlsm]ITALIAN_BTPS_TYPE523!R58C26</stp>
        <stp>YLD_YTM_ASK=3.56218620021618</stp>
        <stp>YAS_YLD_CONV=33</stp>
        <tr r="Z58" s="5"/>
      </tp>
      <tp>
        <v>4.1094432758704613</v>
        <stp/>
        <stp>##V3_BDPV12</stp>
        <stp>EC7067035 Govt</stp>
        <stp>YAS_RISK</stp>
        <stp>[BondPricer-0.2.xlsm]JAPAN_JGB_TYPE51!R34C25</stp>
        <stp>YLD_YTM_ASK=-0.0990000000000013</stp>
        <stp>YAS_YLD_CONV=3</stp>
        <tr r="Y34" s="7"/>
      </tp>
      <tp>
        <v>6.518492129177389</v>
        <stp/>
        <stp>##V3_BDPV12</stp>
        <stp>EK7837587 Govt</stp>
        <stp>YAS_RISK</stp>
        <stp>[BondPricer-0.2.xlsm]JAPAN_JGB_TYPE51!R63C25</stp>
        <stp>YLD_YTM_ASK=-0.0170000000000009</stp>
        <stp>YAS_YLD_CONV=3</stp>
        <tr r="Y63" s="7"/>
      </tp>
      <tp>
        <v>5.9906671510745468</v>
        <stp/>
        <stp>##V3_BDPV12</stp>
        <stp>EC5588461 Govt</stp>
        <stp>YAS_RISK</stp>
        <stp>[BondPricer-0.2.xlsm]ITALIAN_BTPS_TYPE523!R56C26</stp>
        <stp>YLD_YTM_ASK=3.55932334025753</stp>
        <stp>YAS_YLD_CONV=33</stp>
        <tr r="Z56" s="5"/>
      </tp>
      <tp>
        <v>6.5957199530892296</v>
        <stp/>
        <stp>##V3_BDPV12</stp>
        <stp>ED7357210 Govt</stp>
        <stp>YAS_RISK</stp>
        <stp>[BondPricer-0.2.xlsm]JAPAN_JGB_TYPE51!R62C25</stp>
        <stp>YLD_YTM_ASK=-0.0180000000000007</stp>
        <stp>YAS_YLD_CONV=3</stp>
        <tr r="Y62" s="7"/>
      </tp>
      <tp>
        <v>4.2610947130128807</v>
        <stp/>
        <stp>##V3_BDPV12</stp>
        <stp>EJ4693028 Govt</stp>
        <stp>YAS_RISK</stp>
        <stp>[BondPricer-0.2.xlsm]JAPAN_JGB_TYPE51!R36C25</stp>
        <stp>YLD_YTM_ASK=-0.0870000000000025</stp>
        <stp>YAS_YLD_CONV=3</stp>
        <tr r="Y36" s="7"/>
      </tp>
      <tp>
        <v>6.3889058203784543</v>
        <stp/>
        <stp>##V3_BDPV12</stp>
        <stp>CP5088036 Govt</stp>
        <stp>YAS_RISK</stp>
        <stp>[BondPricer-0.2.xlsm]ITALIAN_BTPS_TYPE523!R67C26</stp>
        <stp>YLD_YTM_ASK=3.51818476965398</stp>
        <stp>YAS_YLD_CONV=33</stp>
        <tr r="Z67" s="5"/>
      </tp>
      <tp>
        <v>6.074006460369219</v>
        <stp/>
        <stp>##V3_BDPV12</stp>
        <stp>ED5910010 Govt</stp>
        <stp>YAS_RISK</stp>
        <stp>[BondPricer-0.2.xlsm]JAPAN_JGB_TYPE51!R56C25</stp>
        <stp>YLD_YTM_ASK=-0.0380000000000002</stp>
        <stp>YAS_YLD_CONV=3</stp>
        <tr r="Y56" s="7"/>
      </tp>
      <tp>
        <v>6.1220225073057577</v>
        <stp/>
        <stp>##V3_BDPV12</stp>
        <stp>CP5088002 Govt</stp>
        <stp>YAS_RISK</stp>
        <stp>[BondPricer-0.2.xlsm]ITALIAN_BTPS_TYPE523!R60C26</stp>
        <stp>YLD_YTM_ASK=3.55629750279667</stp>
        <stp>YAS_YLD_CONV=33</stp>
        <tr r="Z60" s="5"/>
      </tp>
      <tp>
        <v>4.2916299104319933</v>
        <stp/>
        <stp>##V3_BDPV12</stp>
        <stp>QZ5107748 Govt</stp>
        <stp>YAS_RISK</stp>
        <stp>[BondPricer-0.2.xlsm]ITALIAN_BTPS_TYPE523!R17C26</stp>
        <stp>YLD_YTM_ASK=2.88722706779774</stp>
        <stp>YAS_YLD_CONV=33</stp>
        <tr r="Z17" s="5"/>
      </tp>
      <tp>
        <v>107.878</v>
        <stp/>
        <stp>##V3_BDPV12</stp>
        <stp>EC7067035 Govt</stp>
        <stp>YAS_BOND_PX</stp>
        <stp>[BondPricer-0.2.xlsm]JAPAN_JGB_TYPE51!R34C20</stp>
        <stp>YAS_BOND_SPL_YLD=-0.0990000000000013</stp>
        <stp>YAS_YLD_CONV=2</stp>
        <tr r="T34" s="7"/>
      </tp>
      <tp>
        <v>3.8723599730786873</v>
        <stp/>
        <stp>##V3_BDPV12</stp>
        <stp>EJ6776680 Corp</stp>
        <stp>YAS_RISK</stp>
        <stp>[BondPricer-0.2.xlsm]AUSTRALIAN_GOVT_TYPE23!R15C26</stp>
        <stp>YLD_YTM_ASK=1.99887344163833</stp>
        <stp>YAS_YLD_CONV=3</stp>
        <tr r="Z15" s="9"/>
      </tp>
      <tp>
        <v>4.6280038638727206</v>
        <stp/>
        <stp>##V3_BDPV12</stp>
        <stp>EJ6777035 Corp</stp>
        <stp>YAS_RISK</stp>
        <stp>[BondPricer-0.2.xlsm]AUSTRALIAN_GOVT_TYPE23!R21C26</stp>
        <stp>YLD_YTM_ASK=2.14631460667196</stp>
        <stp>YAS_YLD_CONV=3</stp>
        <tr r="Z21" s="9"/>
      </tp>
      <tp>
        <v>4.6103742731830266</v>
        <stp/>
        <stp>##V3_BDPV12</stp>
        <stp>EI6831487 Corp</stp>
        <stp>YAS_RISK</stp>
        <stp>[BondPricer-0.2.xlsm]AUSTRALIAN_GOVT_TYPE23!R20C26</stp>
        <stp>YLD_YTM_ASK=2.22598233655487</stp>
        <stp>YAS_YLD_CONV=3</stp>
        <tr r="Z20" s="9"/>
      </tp>
      <tp>
        <v>1.2697317343874472</v>
        <stp/>
        <stp>##V3_BDPV12</stp>
        <stp>EC453273 Corp</stp>
        <stp>YLD_YTM_ASK</stp>
        <stp>[BondPricer-0.2.xlsm]UK_GILT_TYPE26!R14C13</stp>
        <tr r="M14" s="13"/>
      </tp>
      <tp>
        <v>1.9472598609416847</v>
        <stp/>
        <stp>##V3_BDPV12</stp>
        <stp>ED422520 Corp</stp>
        <stp>YLD_YTM_ASK</stp>
        <stp>[BondPricer-0.2.xlsm]UK_GILT_TYPE26!R25C13</stp>
        <tr r="M25" s="13"/>
      </tp>
      <tp>
        <v>89.745999999782811</v>
        <stp/>
        <stp>##V3_BDPV12</stp>
        <stp>QZ5107748 Govt</stp>
        <stp>PX_ASK</stp>
        <stp>[BondPricer-0.2.xlsm]ITALIAN_BTPS_TYPE523!R17C22</stp>
        <stp>YAS_BOND_YLD=2.88722706779774</stp>
        <stp>YAS_YLD_CONV=1</stp>
        <tr r="V17" s="5"/>
      </tp>
      <tp>
        <v>0.51199999999999957</v>
        <stp/>
        <stp>##V3_BDPV12</stp>
        <stp>JV3368661 Govt</stp>
        <stp>YLD_YTM_ASK</stp>
        <stp>[BondPricer-0.2.xlsm]JAPAN_JGB_TYPE51!R171C13</stp>
        <tr r="M171" s="7"/>
      </tp>
      <tp>
        <v>110.26600000004433</v>
        <stp/>
        <stp>##V3_BDPV12</stp>
        <stp>EI6505420 Govt</stp>
        <stp>YAS_BOND_PX</stp>
        <stp>[BondPricer-0.2.xlsm]GERMAN_BUND_TYPE60!R8C20</stp>
        <stp>YAS_BOND_YLD=-0.499302132906982</stp>
        <stp>YAS_YLD_CONV=1</stp>
        <tr r="T8" s="6"/>
      </tp>
      <tp>
        <v>12.873343247649645</v>
        <stp/>
        <stp>##V3_BDPV12</stp>
        <stp>EK0662479 Govt</stp>
        <stp>DUR_ADJ_ASK</stp>
        <stp>[BondPricer-0.2.xlsm]ITALIAN_BTPS_TYPE523!R103C29</stp>
        <stp>YLD_YTM_ASK=3.88080612106565</stp>
        <stp>YAS_YLD_CONV=1</stp>
        <tr r="AC103" s="5"/>
      </tp>
      <tp>
        <v>12.653869668673284</v>
        <stp/>
        <stp>##V3_BDPV12</stp>
        <stp>EF1307950 Govt</stp>
        <stp>DUR_ADJ_ASK</stp>
        <stp>[BondPricer-0.2.xlsm]ITALIAN_BTPS_TYPE523!R131C29</stp>
        <stp>YLD_YTM_ASK=3.78853431124244</stp>
        <stp>YAS_YLD_CONV=1</stp>
        <tr r="AC131" s="5"/>
      </tp>
      <tp>
        <v>20.026051142494143</v>
        <stp/>
        <stp>##V3_BDPV12</stp>
        <stp>EK0663618 Govt</stp>
        <stp>DUR_ADJ_ASK</stp>
        <stp>[BondPricer-0.2.xlsm]ITALIAN_BTPS_TYPE523!R146C29</stp>
        <stp>YLD_YTM_ASK=4.22895681751123</stp>
        <stp>YAS_YLD_CONV=1</stp>
        <tr r="AC146" s="5"/>
      </tp>
      <tp>
        <v>15.751750758265327</v>
        <stp/>
        <stp>##V3_BDPV12</stp>
        <stp>EK0662958 Govt</stp>
        <stp>DUR_ADJ_ASK</stp>
        <stp>[BondPricer-0.2.xlsm]ITALIAN_BTPS_TYPE523!R123C29</stp>
        <stp>YLD_YTM_ASK=3.94359642840185</stp>
        <stp>YAS_YLD_CONV=1</stp>
        <tr r="AC123" s="5"/>
      </tp>
      <tp>
        <v>21.016690763158586</v>
        <stp/>
        <stp>##V3_BDPV12</stp>
        <stp>EK0097619 Govt</stp>
        <stp>DUR_ADJ_ASK</stp>
        <stp>[BondPricer-0.2.xlsm]ITALIAN_BTPS_TYPE523!R151C29</stp>
        <stp>YLD_YTM_ASK=4.10045837906641</stp>
        <stp>YAS_YLD_CONV=1</stp>
        <tr r="AC151" s="5"/>
      </tp>
      <tp>
        <v>33.476165405490455</v>
        <stp/>
        <stp>##V3_BDPV12</stp>
        <stp>AN1985315 Govt</stp>
        <stp>DUR_ADJ_ASK</stp>
        <stp>[BondPricer-0.2.xlsm]ITALIAN_BTPS_TYPE523!R182C29</stp>
        <stp>YLD_YTM_ASK=4.17262124732438</stp>
        <stp>YAS_YLD_CONV=1</stp>
        <tr r="AC182" s="5"/>
      </tp>
      <tp>
        <v>71.869000000000085</v>
        <stp/>
        <stp>##V3_BDPV12</stp>
        <stp>EH8794248 Govt</stp>
        <stp>YAS_BOND_PX</stp>
        <stp>[BondPricer-0.2.xlsm]FRENCH_BTAN_TYPE89!R171C20</stp>
        <stp>YAS_BOND_YLD=1.47758223542538</stp>
        <stp>YAS_YLD_CONV=1</stp>
        <tr r="T171" s="8"/>
      </tp>
      <tp>
        <v>61.053000000000203</v>
        <stp/>
        <stp>##V3_BDPV12</stp>
        <stp>ED8389162 Govt</stp>
        <stp>YAS_BOND_PX</stp>
        <stp>[BondPricer-0.2.xlsm]FRENCH_BTAN_TYPE89!R201C20</stp>
        <stp>YAS_BOND_YLD=1.62984645912811</stp>
        <stp>YAS_YLD_CONV=1</stp>
        <tr r="T201" s="8"/>
      </tp>
      <tp>
        <v>95.138999999996713</v>
        <stp/>
        <stp>##V3_BDPV12</stp>
        <stp>JK7597822 Govt</stp>
        <stp>YAS_BOND_PX</stp>
        <stp>[BondPricer-0.2.xlsm]FRENCH_BTAN_TYPE89!R242C20</stp>
        <stp>YAS_BOND_YLD=1.90613629695897</stp>
        <stp>YAS_YLD_CONV=1</stp>
        <tr r="T242" s="8"/>
      </tp>
      <tp>
        <v>95.138999999996713</v>
        <stp/>
        <stp>##V3_BDPV12</stp>
        <stp>JK7597822 Govt</stp>
        <stp>YAS_BOND_PX</stp>
        <stp>[BondPricer-0.2.xlsm]FRENCH_BTAN_TYPE89!R241C20</stp>
        <stp>YAS_BOND_YLD=1.90613629695897</stp>
        <stp>YAS_YLD_CONV=1</stp>
        <tr r="T241" s="8"/>
      </tp>
      <tp>
        <v>43.459999999999965</v>
        <stp/>
        <stp>##V3_BDPV12</stp>
        <stp>EI1868591 Govt</stp>
        <stp>YAS_BOND_PX</stp>
        <stp>[BondPricer-0.2.xlsm]FRENCH_BTAN_TYPE89!R229C20</stp>
        <stp>YAS_BOND_YLD=2.07785248442984</stp>
        <stp>YAS_YLD_CONV=1</stp>
        <tr r="T229" s="8"/>
      </tp>
      <tp>
        <v>160.77300000113905</v>
        <stp/>
        <stp>##V3_BDPV12</stp>
        <stp>EC3954004 Govt</stp>
        <stp>YAS_BOND_PX</stp>
        <stp>[BondPricer-0.2.xlsm]FRENCH_BTAN_TYPE89!R121C20</stp>
        <stp>YAS_BOND_YLD=1.06212239426063</stp>
        <stp>YAS_YLD_CONV=1</stp>
        <tr r="T121" s="8"/>
      </tp>
    </main>
    <main first="bloomberg.rtd">
      <tp>
        <v>95.138999999996713</v>
        <stp/>
        <stp>##V3_BDPV12</stp>
        <stp>JK7597822 Govt</stp>
        <stp>YAS_BOND_PX</stp>
        <stp>[BondPricer-0.2.xlsm]FRENCH_BTAN_TYPE89!R239C20</stp>
        <stp>YAS_BOND_YLD=1.90613629695897</stp>
        <stp>YAS_YLD_CONV=1</stp>
        <tr r="T239" s="8"/>
      </tp>
      <tp>
        <v>2.1563838514417455</v>
        <stp/>
        <stp>##V3_BDPV12</stp>
        <stp>912828N8 Govt</stp>
        <stp>YAS_RISK</stp>
        <stp>[BondPricer-0.2.xlsm]US_TREASURY_TYPE1!R7C24</stp>
        <stp>YLD_YTM_ASK=2.8863167</stp>
        <stp>YAS_YLD_CONV=3</stp>
        <tr r="X7" s="4"/>
      </tp>
      <tp>
        <v>62.894000000000155</v>
        <stp/>
        <stp>##V3_BDPV12</stp>
        <stp>EI0432191 Govt</stp>
        <stp>YAS_BOND_PX</stp>
        <stp>[BondPricer-0.2.xlsm]FRENCH_BTAN_TYPE89!R185C20</stp>
        <stp>YAS_BOND_YLD=1.76390504427886</stp>
        <stp>YAS_YLD_CONV=1</stp>
        <tr r="T185" s="8"/>
      </tp>
      <tp>
        <v>3.0573642906820564</v>
        <stp/>
        <stp>##V3_BDPV12</stp>
        <stp>912828U8 Govt</stp>
        <stp>DUR_ADJ_ASK</stp>
        <stp>[BondPricer-0.2.xlsm]US_TREASURY_TYPE1!R33C28</stp>
        <stp>YLD_YTM_ASK=2.9377734</stp>
        <stp>YAS_YLD_CONV=3</stp>
        <tr r="AB33" s="4"/>
      </tp>
      <tp>
        <v>2.7132391108204814</v>
        <stp/>
        <stp>##V3_BDPV12</stp>
        <stp>912828RC Govt</stp>
        <stp>DUR_ADJ_ASK</stp>
        <stp>[BondPricer-0.2.xlsm]US_TREASURY_TYPE1!R22C28</stp>
        <stp>YLD_YTM_ASK=2.9087217</stp>
        <stp>YAS_YLD_CONV=3</stp>
        <tr r="AB22" s="4"/>
      </tp>
      <tp>
        <v>4.4914184579496403</v>
        <stp/>
        <stp>##V3_BDPV12</stp>
        <stp>912828VS Govt</stp>
        <stp>DUR_ADJ_ASK</stp>
        <stp>[BondPricer-0.2.xlsm]US_TREASURY_TYPE1!R61C28</stp>
        <stp>YLD_YTM_ASK=2.9997686</stp>
        <stp>YAS_YLD_CONV=3</stp>
        <tr r="AB61" s="4"/>
      </tp>
      <tp>
        <v>3.8001225712749109</v>
        <stp/>
        <stp>##V3_BDPV12</stp>
        <stp>EC5346845 Govt</stp>
        <stp>YLD_YTM_ASK</stp>
        <stp>[BondPricer-0.2.xlsm]ITALIAN_BTPS_TYPE523!R107C15</stp>
        <tr r="O107" s="5"/>
      </tp>
      <tp>
        <v>11.716710570324551</v>
        <stp/>
        <stp>##V3_BDPV12</stp>
        <stp>EI0429155 Govt</stp>
        <stp>YAS_RISK</stp>
        <stp>[BondPricer-0.2.xlsm]FRENCH_BTAN_TYPE89!R123C24</stp>
        <stp>YLD_YTM_ASK=1.20280233475396</stp>
        <stp>YAS_YLD_CONV=1</stp>
        <tr r="X123" s="8"/>
      </tp>
      <tp>
        <v>12.024542701959717</v>
        <stp/>
        <stp>##V3_BDPV12</stp>
        <stp>EI0429395 Govt</stp>
        <stp>YAS_RISK</stp>
        <stp>[BondPricer-0.2.xlsm]FRENCH_BTAN_TYPE89!R125C24</stp>
        <stp>YLD_YTM_ASK=1.22267667360945</stp>
        <stp>YAS_YLD_CONV=1</stp>
        <tr r="X125" s="8"/>
      </tp>
      <tp>
        <v>17.134936517847521</v>
        <stp/>
        <stp>##V3_BDPV12</stp>
        <stp>EI0432910 Govt</stp>
        <stp>YAS_RISK</stp>
        <stp>[BondPricer-0.2.xlsm]FRENCH_BTAN_TYPE89!R209C24</stp>
        <stp>YLD_YTM_ASK=1.96290555217893</stp>
        <stp>YAS_YLD_CONV=1</stp>
        <tr r="X209" s="8"/>
      </tp>
      <tp>
        <v>17.133349125394304</v>
        <stp/>
        <stp>##V3_BDPV12</stp>
        <stp>JK8068112 Govt</stp>
        <stp>YAS_RISK</stp>
        <stp>[BondPricer-0.2.xlsm]FRENCH_BTAN_TYPE89!R199C24</stp>
        <stp>YLD_YTM_ASK=1.80296493203664</stp>
        <stp>YAS_YLD_CONV=1</stp>
        <tr r="X199" s="8"/>
      </tp>
      <tp>
        <v>19.430235034199583</v>
        <stp/>
        <stp>##V3_BDPV12</stp>
        <stp>ED8390525 Govt</stp>
        <stp>YAS_RISK</stp>
        <stp>[BondPricer-0.2.xlsm]FRENCH_BTAN_TYPE89!R213C24</stp>
        <stp>YLD_YTM_ASK=1.63117196807097</stp>
        <stp>YAS_YLD_CONV=1</stp>
        <tr r="X213" s="8"/>
      </tp>
      <tp>
        <v>16.930363061586817</v>
        <stp/>
        <stp>##V3_BDPV12</stp>
        <stp>JK8068294 Govt</stp>
        <stp>YAS_RISK</stp>
        <stp>[BondPricer-0.2.xlsm]FRENCH_BTAN_TYPE89!R214C24</stp>
        <stp>YLD_YTM_ASK=2.02807611964391</stp>
        <stp>YAS_YLD_CONV=1</stp>
        <tr r="X214" s="8"/>
      </tp>
      <tp>
        <v>14.056374314626652</v>
        <stp/>
        <stp>##V3_BDPV12</stp>
        <stp>EI0431599 Govt</stp>
        <stp>YAS_RISK</stp>
        <stp>[BondPricer-0.2.xlsm]FRENCH_BTAN_TYPE89!R150C24</stp>
        <stp>YLD_YTM_ASK=1.42292685053389</stp>
        <stp>YAS_YLD_CONV=1</stp>
        <tr r="X150" s="8"/>
      </tp>
      <tp>
        <v>4.2053755406441695</v>
        <stp/>
        <stp>##V3_BDPV12</stp>
        <stp>JK3942121 Govt</stp>
        <stp>DUR_ADJ_ASK</stp>
        <stp>[BondPricer-0.2.xlsm]ITALIAN_BTPS_TYPE523!R10C29</stp>
        <stp>YLD_YTM_ASK=2.80030944275129</stp>
        <stp>YAS_YLD_CONV=1</stp>
        <tr r="AC10" s="5"/>
      </tp>
      <tp>
        <v>4.9106512618637685</v>
        <stp/>
        <stp>##V3_BDPV12</stp>
        <stp>EC0129931 Govt</stp>
        <stp>DUR_ADJ_ASK</stp>
        <stp>[BondPricer-0.2.xlsm]ITALIAN_BTPS_TYPE523!R20C29</stp>
        <stp>YLD_YTM_ASK=2.64954564837716</stp>
        <stp>YAS_YLD_CONV=1</stp>
        <tr r="AC20" s="5"/>
      </tp>
      <tp>
        <v>10.400541556849237</v>
        <stp/>
        <stp>##V3_BDPV12</stp>
        <stp>EC5588826 Govt</stp>
        <stp>DUR_ADJ_ASK</stp>
        <stp>[BondPricer-0.2.xlsm]ITALIAN_BTPS_TYPE523!R82C29</stp>
        <stp>YLD_YTM_ASK=3.75193758260655</stp>
        <stp>YAS_YLD_CONV=1</stp>
        <tr r="AC82" s="5"/>
      </tp>
      <tp>
        <v>11.839350523532499</v>
        <stp/>
        <stp>##V3_BDPV12</stp>
        <stp>EC5588909 Govt</stp>
        <stp>DUR_ADJ_ASK</stp>
        <stp>[BondPricer-0.2.xlsm]ITALIAN_BTPS_TYPE523!R95C29</stp>
        <stp>YLD_YTM_ASK=3.85949227920357</stp>
        <stp>YAS_YLD_CONV=1</stp>
        <tr r="AC95" s="5"/>
      </tp>
      <tp>
        <v>9.5348282524260686</v>
        <stp/>
        <stp>##V3_BDPV12</stp>
        <stp>EK0222738 Govt</stp>
        <stp>DUR_ADJ_ASK</stp>
        <stp>[BondPricer-0.2.xlsm]ITALIAN_BTPS_TYPE523!R75C29</stp>
        <stp>YLD_YTM_ASK=3.54596742041953</stp>
        <stp>YAS_YLD_CONV=1</stp>
        <tr r="AC75" s="5"/>
      </tp>
      <tp>
        <v>6.1764002005203809</v>
        <stp/>
        <stp>##V3_BDPV12</stp>
        <stp>EK0661273 Govt</stp>
        <stp>DUR_ADJ_ASK</stp>
        <stp>[BondPricer-0.2.xlsm]ITALIAN_BTPS_TYPE523!R36C29</stp>
        <stp>YLD_YTM_ASK=3.26992047922072</stp>
        <stp>YAS_YLD_CONV=1</stp>
        <tr r="AC36" s="5"/>
      </tp>
      <tp>
        <v>5.1139825888585078</v>
        <stp/>
        <stp>##V3_BDPV12</stp>
        <stp>AM7963128 Govt</stp>
        <stp>DUR_ADJ_ASK</stp>
        <stp>[BondPricer-0.2.xlsm]ITALIAN_BTPS_TYPE523!R27C29</stp>
        <stp>YLD_YTM_ASK=3.10001093869818</stp>
        <stp>YAS_YLD_CONV=1</stp>
        <tr r="AC27" s="5"/>
      </tp>
      <tp>
        <v>6.8581218478174231</v>
        <stp/>
        <stp>##V3_BDPV12</stp>
        <stp>EH2972345 Govt</stp>
        <stp>DUR_ADJ_ASK</stp>
        <stp>[BondPricer-0.2.xlsm]ITALIAN_BTPS_TYPE523!R59C29</stp>
        <stp>YLD_YTM_ASK=3.69618773459945</stp>
        <stp>YAS_YLD_CONV=1</stp>
        <tr r="AC59" s="5"/>
      </tp>
      <tp>
        <v>4.207947263718852</v>
        <stp/>
        <stp>##V3_BDPV12</stp>
        <stp>GG7302662 Govt</stp>
        <stp>DUR_ADJ_ASK</stp>
        <stp>[BondPricer-0.2.xlsm]ITALIAN_BTPS_TYPE523!R22C29</stp>
        <stp>YLD_YTM_ASK=2.74556264738548</stp>
        <stp>YAS_YLD_CONV=1</stp>
        <tr r="AC22" s="5"/>
      </tp>
      <tp>
        <v>14.91607752840673</v>
        <stp/>
        <stp>##V3_BDPV12</stp>
        <stp>QJ1755850 Corp</stp>
        <stp>DUR_ADJ_ASK</stp>
        <stp>[BondPricer-0.2.xlsm]AUSTRALIAN_GOVT_TYPE23!R61C30</stp>
        <stp>YLD_YTM_ASK=3.07274041660228</stp>
        <stp>YAS_YLD_CONV=3</stp>
        <tr r="AD61" s="9"/>
      </tp>
      <tp>
        <v>8.9157178662911249</v>
        <stp/>
        <stp>##V3_BDPV12</stp>
        <stp>EJ6777381 Corp</stp>
        <stp>DUR_ADJ_ASK</stp>
        <stp>[BondPricer-0.2.xlsm]AUSTRALIAN_GOVT_TYPE23!R51C30</stp>
        <stp>YLD_YTM_ASK=2.69195323978796</stp>
        <stp>YAS_YLD_CONV=3</stp>
        <tr r="AD51" s="9"/>
      </tp>
      <tp>
        <v>3.0459328202134608</v>
        <stp/>
        <stp>##V3_BDPV12</stp>
        <stp>AM1708602 Corp</stp>
        <stp>DUR_ADJ_ASK</stp>
        <stp>[BondPricer-0.2.xlsm]AUSTRALIAN_GOVT_TYPE23!R12C30</stp>
        <stp>YLD_YTM_ASK=1.93893753447242</stp>
        <stp>YAS_YLD_CONV=3</stp>
        <tr r="AD12" s="9"/>
      </tp>
      <tp>
        <v>5.8826325294560888</v>
        <stp/>
        <stp>##V3_BDPV12</stp>
        <stp>912828K7 Govt</stp>
        <stp>YAS_RISK</stp>
        <stp>[BondPricer-0.2.xlsm]US_TREASURY_TYPE1!R77C24</stp>
        <stp>YLD_YTM_ASK=3.0932307</stp>
        <stp>YAS_YLD_CONV=3</stp>
        <tr r="X77" s="4"/>
      </tp>
      <tp>
        <v>12.929360453629462</v>
        <stp/>
        <stp>##V3_BDPV12</stp>
        <stp>EK0223397 Govt</stp>
        <stp>DUR_ADJ_ASK</stp>
        <stp>[BondPricer-0.2.xlsm]ITALIAN_BTPS_TYPE523!R104C29</stp>
        <stp>YLD_YTM_ASK=3.43073679570274</stp>
        <stp>YAS_YLD_CONV=1</stp>
        <tr r="AC104" s="5"/>
      </tp>
      <tp>
        <v>36.383368139911546</v>
        <stp/>
        <stp>##V3_BDPV12</stp>
        <stp>AN2013638 Govt</stp>
        <stp>DUR_ADJ_ASK</stp>
        <stp>[BondPricer-0.2.xlsm]ITALIAN_BTPS_TYPE523!R188C29</stp>
        <stp>YLD_YTM_ASK=4.09431673066587</stp>
        <stp>YAS_YLD_CONV=1</stp>
        <tr r="AC188" s="5"/>
      </tp>
      <tp>
        <v>3.1178091462344071</v>
        <stp/>
        <stp>##V3_BDPV12</stp>
        <stp>912828J4 Govt</stp>
        <stp>YAS_RISK</stp>
        <stp>[BondPricer-0.2.xlsm]US_TREASURY_TYPE1!R37C24</stp>
        <stp>YLD_YTM_ASK=2.9403021</stp>
        <stp>YAS_YLD_CONV=3</stp>
        <tr r="X37" s="4"/>
      </tp>
      <tp>
        <v>19.990987244354983</v>
        <stp/>
        <stp>##V3_BDPV12</stp>
        <stp>EK0224890 Govt</stp>
        <stp>DUR_ADJ_ASK</stp>
        <stp>[BondPricer-0.2.xlsm]ITALIAN_BTPS_TYPE523!R145C29</stp>
        <stp>YLD_YTM_ASK=4.41177259723506</stp>
        <stp>YAS_YLD_CONV=1</stp>
        <tr r="AC145" s="5"/>
      </tp>
      <tp>
        <v>37.837579729901101</v>
        <stp/>
        <stp>##V3_BDPV12</stp>
        <stp>AN2016490 Govt</stp>
        <stp>DUR_ADJ_ASK</stp>
        <stp>[BondPricer-0.2.xlsm]ITALIAN_BTPS_TYPE523!R191C29</stp>
        <stp>YLD_YTM_ASK=4.05800182320273</stp>
        <stp>YAS_YLD_CONV=1</stp>
        <tr r="AC191" s="5"/>
      </tp>
      <tp>
        <v>65.718000000000089</v>
        <stp/>
        <stp>##V3_BDPV12</stp>
        <stp>EJ6186799 Govt</stp>
        <stp>YAS_BOND_PX</stp>
        <stp>[BondPricer-0.2.xlsm]FRENCH_BTAN_TYPE89!R181C20</stp>
        <stp>YAS_BOND_YLD=1.72094366440338</stp>
        <stp>YAS_YLD_CONV=1</stp>
        <tr r="T181" s="8"/>
      </tp>
      <tp>
        <v>118.18599999999995</v>
        <stp/>
        <stp>##V3_BDPV12</stp>
        <stp>EK2935907 Govt</stp>
        <stp>YAS_BOND_PX</stp>
        <stp>[BondPricer-0.2.xlsm]FRENCH_BTAN_TYPE89!R101C20</stp>
        <stp>YAS_BOND_YLD=1.01855930198374</stp>
        <stp>YAS_YLD_CONV=1</stp>
        <tr r="T101" s="8"/>
      </tp>
      <tp>
        <v>85.469999999999928</v>
        <stp/>
        <stp>##V3_BDPV12</stp>
        <stp>EI0429353 Govt</stp>
        <stp>YAS_BOND_PX</stp>
        <stp>[BondPricer-0.2.xlsm]FRENCH_BTAN_TYPE89!R118C20</stp>
        <stp>YAS_BOND_YLD=1.16799912200549</stp>
        <stp>YAS_YLD_CONV=1</stp>
        <tr r="T118" s="8"/>
      </tp>
      <tp>
        <v>44.575000000000131</v>
        <stp/>
        <stp>##V3_BDPV12</stp>
        <stp>EI1868476 Govt</stp>
        <stp>YAS_BOND_PX</stp>
        <stp>[BondPricer-0.2.xlsm]FRENCH_BTAN_TYPE89!R227C20</stp>
        <stp>YAS_BOND_YLD=2.06554156587564</stp>
        <stp>YAS_YLD_CONV=1</stp>
        <tr r="T227" s="8"/>
      </tp>
      <tp>
        <v>65.933000000000177</v>
        <stp/>
        <stp>##V3_BDPV12</stp>
        <stp>ED8389048 Govt</stp>
        <stp>YAS_BOND_PX</stp>
        <stp>[BondPricer-0.2.xlsm]FRENCH_BTAN_TYPE89!R192C20</stp>
        <stp>YAS_BOND_YLD=1.52503951607073</stp>
        <stp>YAS_YLD_CONV=1</stp>
        <tr r="T192" s="8"/>
      </tp>
      <tp>
        <v>48.227999999999987</v>
        <stp/>
        <stp>##V3_BDPV12</stp>
        <stp>EI0433033 Govt</stp>
        <stp>YAS_BOND_PX</stp>
        <stp>[BondPricer-0.2.xlsm]FRENCH_BTAN_TYPE89!R219C20</stp>
        <stp>YAS_BOND_YLD=2.01683622313509</stp>
        <stp>YAS_YLD_CONV=1</stp>
        <tr r="T219" s="8"/>
      </tp>
      <tp>
        <v>3.9254096253040993</v>
        <stp/>
        <stp>##V3_BDPV12</stp>
        <stp>EF1312166 Govt</stp>
        <stp>YLD_YTM_ASK</stp>
        <stp>[BondPricer-0.2.xlsm]ITALIAN_BTPS_TYPE523!R121C15</stp>
        <tr r="O121" s="5"/>
      </tp>
      <tp>
        <v>3.876273794345662</v>
        <stp/>
        <stp>##V3_BDPV12</stp>
        <stp>912828TY Govt</stp>
        <stp>DUR_ADJ_ASK</stp>
        <stp>[BondPricer-0.2.xlsm]US_TREASURY_TYPE1!R49C28</stp>
        <stp>YLD_YTM_ASK=2.9736253</stp>
        <stp>YAS_YLD_CONV=3</stp>
        <tr r="AB49" s="4"/>
      </tp>
      <tp>
        <v>3.9168716707136397</v>
        <stp/>
        <stp>##V3_BDPV12</stp>
        <stp>EF1312364 Govt</stp>
        <stp>YLD_YTM_ASK</stp>
        <stp>[BondPricer-0.2.xlsm]ITALIAN_BTPS_TYPE523!R124C15</stp>
        <tr r="O124" s="5"/>
      </tp>
      <tp>
        <v>3.9068176095491847</v>
        <stp/>
        <stp>##V3_BDPV12</stp>
        <stp>EF1312208 Govt</stp>
        <stp>YLD_YTM_ASK</stp>
        <stp>[BondPricer-0.2.xlsm]ITALIAN_BTPS_TYPE523!R126C15</stp>
        <tr r="O126" s="5"/>
      </tp>
      <tp>
        <v>2.9344574754030135</v>
        <stp/>
        <stp>##V3_BDPV12</stp>
        <stp>912828RR Govt</stp>
        <stp>DUR_ADJ_ASK</stp>
        <stp>[BondPricer-0.2.xlsm]US_TREASURY_TYPE1!R29C28</stp>
        <stp>YLD_YTM_ASK=2.9206482</stp>
        <stp>YAS_YLD_CONV=3</stp>
        <tr r="AB29" s="4"/>
      </tp>
      <tp>
        <v>4.2554058346413504</v>
        <stp/>
        <stp>##V3_BDPV12</stp>
        <stp>912828Q2 Govt</stp>
        <stp>DUR_ADJ_ASK</stp>
        <stp>[BondPricer-0.2.xlsm]US_TREASURY_TYPE1!R54C28</stp>
        <stp>YLD_YTM_ASK=2.9876092</stp>
        <stp>YAS_YLD_CONV=3</stp>
        <tr r="AB54" s="4"/>
      </tp>
      <tp>
        <v>2.5120847095916283</v>
        <stp/>
        <stp>##V3_BDPV12</stp>
        <stp>912828WN Govt</stp>
        <stp>DUR_ADJ_ASK</stp>
        <stp>[BondPricer-0.2.xlsm]US_TREASURY_TYPE1!R17C28</stp>
        <stp>YLD_YTM_ASK=2.8996293</stp>
        <stp>YAS_YLD_CONV=3</stp>
        <tr r="AB17" s="4"/>
      </tp>
      <tp>
        <v>3.9634024813878233</v>
        <stp/>
        <stp>##V3_BDPV12</stp>
        <stp>EF1312489 Govt</stp>
        <stp>YLD_YTM_ASK</stp>
        <stp>[BondPricer-0.2.xlsm]ITALIAN_BTPS_TYPE523!R133C15</stp>
        <tr r="O133" s="5"/>
      </tp>
      <tp>
        <v>3.8644362010708866</v>
        <stp/>
        <stp>##V3_BDPV12</stp>
        <stp>EF1312406 Govt</stp>
        <stp>YLD_YTM_ASK</stp>
        <stp>[BondPricer-0.2.xlsm]ITALIAN_BTPS_TYPE523!R128C15</stp>
        <tr r="O128" s="5"/>
      </tp>
      <tp>
        <v>100.51399999999984</v>
        <stp/>
        <stp>##V3_BDPV12</stp>
        <stp>EI0428835 Govt</stp>
        <stp>YAS_BOND_PX</stp>
        <stp>[BondPricer-0.2.xlsm]FRENCH_BTAN_TYPE89!R33C20</stp>
        <stp>YAS_BOND_YLD=-0.12739119181534</stp>
        <stp>YAS_YLD_CONV=1</stp>
        <tr r="T33" s="8"/>
      </tp>
      <tp>
        <v>16.922170162959205</v>
        <stp/>
        <stp>##V3_BDPV12</stp>
        <stp>EI0432399 Govt</stp>
        <stp>YAS_RISK</stp>
        <stp>[BondPricer-0.2.xlsm]FRENCH_BTAN_TYPE89!R197C24</stp>
        <stp>YLD_YTM_ASK=1.83996470796834</stp>
        <stp>YAS_YLD_CONV=1</stp>
        <tr r="X197" s="8"/>
      </tp>
      <tp>
        <v>16.803656827417157</v>
        <stp/>
        <stp>##V3_BDPV12</stp>
        <stp>EI0432357 Govt</stp>
        <stp>YAS_RISK</stp>
        <stp>[BondPricer-0.2.xlsm]FRENCH_BTAN_TYPE89!R194C24</stp>
        <stp>YLD_YTM_ASK=1.80822683126691</stp>
        <stp>YAS_YLD_CONV=1</stp>
        <tr r="X194" s="8"/>
      </tp>
      <tp>
        <v>14.473561238845889</v>
        <stp/>
        <stp>##V3_BDPV12</stp>
        <stp>EI0431631 Govt</stp>
        <stp>YAS_RISK</stp>
        <stp>[BondPricer-0.2.xlsm]FRENCH_BTAN_TYPE89!R155C24</stp>
        <stp>YLD_YTM_ASK=1.46845891921141</stp>
        <stp>YAS_YLD_CONV=1</stp>
        <tr r="X155" s="8"/>
      </tp>
      <tp>
        <v>14.659281413783276</v>
        <stp/>
        <stp>##V3_BDPV12</stp>
        <stp>EI0431433 Govt</stp>
        <stp>YAS_RISK</stp>
        <stp>[BondPricer-0.2.xlsm]FRENCH_BTAN_TYPE89!R159C24</stp>
        <stp>YLD_YTM_ASK=1.49404904306365</stp>
        <stp>YAS_YLD_CONV=1</stp>
        <tr r="X159" s="8"/>
      </tp>
      <tp>
        <v>17.126605668392259</v>
        <stp/>
        <stp>##V3_BDPV12</stp>
        <stp>EI0432555 Govt</stp>
        <stp>YAS_RISK</stp>
        <stp>[BondPricer-0.2.xlsm]FRENCH_BTAN_TYPE89!R206C24</stp>
        <stp>YLD_YTM_ASK=1.93139308865151</stp>
        <stp>YAS_YLD_CONV=1</stp>
        <tr r="X206" s="8"/>
      </tp>
      <tp>
        <v>14.707338111198709</v>
        <stp/>
        <stp>##V3_BDPV12</stp>
        <stp>EF6782892 Govt</stp>
        <stp>YAS_RISK</stp>
        <stp>[BondPricer-0.2.xlsm]FRENCH_BTAN_TYPE89!R161C24</stp>
        <stp>YLD_YTM_ASK=1.47824876407352</stp>
        <stp>YAS_YLD_CONV=1</stp>
        <tr r="X161" s="8"/>
      </tp>
      <tp>
        <v>10.970727020227788</v>
        <stp/>
        <stp>##V3_BDPV12</stp>
        <stp>EK0222977 Govt</stp>
        <stp>DUR_ADJ_ASK</stp>
        <stp>[BondPricer-0.2.xlsm]ITALIAN_BTPS_TYPE523!R91C29</stp>
        <stp>YLD_YTM_ASK=3.66615692101471</stp>
        <stp>YAS_YLD_CONV=1</stp>
        <tr r="AC91" s="5"/>
      </tp>
      <tp>
        <v>7.1327232593683974</v>
        <stp/>
        <stp>##V3_BDPV12</stp>
        <stp>EJ4855734 Govt</stp>
        <stp>DUR_ADJ_ASK</stp>
        <stp>[BondPricer-0.2.xlsm]ITALIAN_BTPS_TYPE523!R46C29</stp>
        <stp>YLD_YTM_ASK=3.40575685427642</stp>
        <stp>YAS_YLD_CONV=1</stp>
        <tr r="AC46" s="5"/>
      </tp>
      <tp>
        <v>11.598694314576578</v>
        <stp/>
        <stp>##V3_BDPV12</stp>
        <stp>EC2918380 Govt</stp>
        <stp>DUR_ADJ_ASK</stp>
        <stp>[BondPricer-0.2.xlsm]ITALIAN_BTPS_TYPE523!R94C29</stp>
        <stp>YLD_YTM_ASK=3.81137687593771</stp>
        <stp>YAS_YLD_CONV=1</stp>
        <tr r="AC94" s="5"/>
      </tp>
      <tp>
        <v>5.2106837159917792</v>
        <stp/>
        <stp>##V3_BDPV12</stp>
        <stp>EK0660739 Govt</stp>
        <stp>DUR_ADJ_ASK</stp>
        <stp>[BondPricer-0.2.xlsm]ITALIAN_BTPS_TYPE523!R25C29</stp>
        <stp>YLD_YTM_ASK=3.11369611696957</stp>
        <stp>YAS_YLD_CONV=1</stp>
        <tr r="AC25" s="5"/>
      </tp>
      <tp>
        <v>5.3727265984371986</v>
        <stp/>
        <stp>##V3_BDPV12</stp>
        <stp>CP5087947 Govt</stp>
        <stp>DUR_ADJ_ASK</stp>
        <stp>[BondPricer-0.2.xlsm]ITALIAN_BTPS_TYPE523!R26C29</stp>
        <stp>YLD_YTM_ASK=3.17812730039861</stp>
        <stp>YAS_YLD_CONV=1</stp>
        <tr r="AC26" s="5"/>
      </tp>
      <tp>
        <v>6.493040026931082</v>
        <stp/>
        <stp>##V3_BDPV12</stp>
        <stp>EK1150607 Corp</stp>
        <stp>DUR_ADJ_ASK</stp>
        <stp>[BondPricer-0.2.xlsm]AUSTRALIAN_GOVT_TYPE23!R34C30</stp>
        <stp>YLD_YTM_ASK=2.54094684100301</stp>
        <stp>YAS_YLD_CONV=3</stp>
        <tr r="AD34" s="9"/>
      </tp>
      <tp>
        <v>13.764374201926522</v>
        <stp/>
        <stp>##V3_BDPV12</stp>
        <stp>EC5469449 Govt</stp>
        <stp>DUR_ADJ_ASK</stp>
        <stp>[BondPricer-0.2.xlsm]ITALIAN_BTPS_TYPE523!R110C29</stp>
        <stp>YLD_YTM_ASK=3.82430878355231</stp>
        <stp>YAS_YLD_CONV=1</stp>
        <tr r="AC110" s="5"/>
      </tp>
      <tp>
        <v>13.831938651155717</v>
        <stp/>
        <stp>##V3_BDPV12</stp>
        <stp>EK0662594 Govt</stp>
        <stp>DUR_ADJ_ASK</stp>
        <stp>[BondPricer-0.2.xlsm]ITALIAN_BTPS_TYPE523!R112C29</stp>
        <stp>YLD_YTM_ASK=3.91120235107965</stp>
        <stp>YAS_YLD_CONV=1</stp>
        <tr r="AC112" s="5"/>
      </tp>
      <tp>
        <v>4.8906365761851029</v>
        <stp/>
        <stp>##V3_BDPV12</stp>
        <stp>EJ4852830 Govt</stp>
        <stp>DUR_ADJ_ASK</stp>
        <stp>[BondPricer-0.2.xlsm]ITALIAN_BTPS_TYPE523!R19C29</stp>
        <stp>YLD_YTM_ASK=3.0696337254406</stp>
        <stp>YAS_YLD_CONV=1</stp>
        <tr r="AC19" s="5"/>
      </tp>
      <tp>
        <v>19.928370032776723</v>
        <stp/>
        <stp>##V3_BDPV12</stp>
        <stp>EH2421038 Govt</stp>
        <stp>DUR_ADJ_ASK</stp>
        <stp>[BondPricer-0.2.xlsm]ITALIAN_BTPS_TYPE523!R144C29</stp>
        <stp>YLD_YTM_ASK=4.32753228737348</stp>
        <stp>YAS_YLD_CONV=1</stp>
        <tr r="AC144" s="5"/>
      </tp>
      <tp>
        <v>3.0327228885333568</v>
        <stp/>
        <stp>##V3_BDPV12</stp>
        <stp>912828H8 Govt</stp>
        <stp>YAS_RISK</stp>
        <stp>[BondPricer-0.2.xlsm]US_TREASURY_TYPE1!R34C24</stp>
        <stp>YLD_YTM_ASK=2.9392362</stp>
        <stp>YAS_YLD_CONV=3</stp>
        <tr r="X34" s="4"/>
      </tp>
      <tp>
        <v>44.629313012608769</v>
        <stp/>
        <stp>##V3_BDPV12</stp>
        <stp>AN2025830 Govt</stp>
        <stp>DUR_ADJ_ASK</stp>
        <stp>[BondPricer-0.2.xlsm]ITALIAN_BTPS_TYPE523!R205C29</stp>
        <stp>YLD_YTM_ASK=3.91333966102361</stp>
        <stp>YAS_YLD_CONV=1</stp>
        <tr r="AC205" s="5"/>
      </tp>
      <tp>
        <v>35.898961377800902</v>
        <stp/>
        <stp>##V3_BDPV12</stp>
        <stp>AN2012648 Govt</stp>
        <stp>DUR_ADJ_ASK</stp>
        <stp>[BondPricer-0.2.xlsm]ITALIAN_BTPS_TYPE523!R187C29</stp>
        <stp>YLD_YTM_ASK=4.10611776426362</stp>
        <stp>YAS_YLD_CONV=1</stp>
        <tr r="AC187" s="5"/>
      </tp>
      <tp>
        <v>27.737429632663719</v>
        <stp/>
        <stp>##V3_BDPV12</stp>
        <stp>AN1976579 Govt</stp>
        <stp>DUR_ADJ_ASK</stp>
        <stp>[BondPricer-0.2.xlsm]ITALIAN_BTPS_TYPE523!R170C29</stp>
        <stp>YLD_YTM_ASK=4.10379321732393</stp>
        <stp>YAS_YLD_CONV=1</stp>
        <tr r="AC170" s="5"/>
      </tp>
      <tp>
        <v>8.0841263699323775</v>
        <stp/>
        <stp>##V3_BDPV12</stp>
        <stp>EK0222431 Govt</stp>
        <stp>DUR_ADJ_ASK</stp>
        <stp>[BondPricer-0.2.xlsm]ITALIAN_BTPS_TYPE523!R57C29</stp>
        <stp>YLD_YTM_ASK=3.5724710103729</stp>
        <stp>YAS_YLD_CONV=1</stp>
        <tr r="AC57" s="5"/>
      </tp>
      <tp>
        <v>43.173122844815616</v>
        <stp/>
        <stp>##V3_BDPV12</stp>
        <stp>AN2024171 Govt</stp>
        <stp>DUR_ADJ_ASK</stp>
        <stp>[BondPricer-0.2.xlsm]ITALIAN_BTPS_TYPE523!R202C29</stp>
        <stp>YLD_YTM_ASK=3.95025561880005</stp>
        <stp>YAS_YLD_CONV=1</stp>
        <tr r="AC202" s="5"/>
      </tp>
      <tp>
        <v>17.256085256128173</v>
        <stp/>
        <stp>##V3_BDPV12</stp>
        <stp>EK6994165 Govt</stp>
        <stp>DUR_ADJ_ASK</stp>
        <stp>[BondPricer-0.2.xlsm]ITALIAN_BTPS_TYPE523!R166C29</stp>
        <stp>YLD_YTM_ASK=3.84766914295087</stp>
        <stp>YAS_YLD_CONV=1</stp>
        <tr r="AC166" s="5"/>
      </tp>
      <tp>
        <v>4.8548121915004572</v>
        <stp/>
        <stp>##V3_BDPV12</stp>
        <stp>912828B6 Govt</stp>
        <stp>YAS_RISK</stp>
        <stp>[BondPricer-0.2.xlsm]US_TREASURY_TYPE1!R69C24</stp>
        <stp>YLD_YTM_ASK=3.0178919</stp>
        <stp>YAS_YLD_CONV=3</stp>
        <tr r="X69" s="4"/>
      </tp>
      <tp>
        <v>23.814497374465216</v>
        <stp/>
        <stp>##V3_BDPV12</stp>
        <stp>EK0225434 Govt</stp>
        <stp>DUR_ADJ_ASK</stp>
        <stp>[BondPricer-0.2.xlsm]ITALIAN_BTPS_TYPE523!R159C29</stp>
        <stp>YLD_YTM_ASK=4.44459191168793</stp>
        <stp>YAS_YLD_CONV=1</stp>
        <tr r="AC159" s="5"/>
      </tp>
      <tp>
        <v>146.07400000000015</v>
        <stp/>
        <stp>##V3_BDPV12</stp>
        <stp>EF6625018 Govt</stp>
        <stp>YAS_BOND_PX</stp>
        <stp>[BondPricer-0.2.xlsm]FRENCH_BTAN_TYPE89!R158C20</stp>
        <stp>YAS_BOND_YLD=1.35664699211091</stp>
        <stp>YAS_YLD_CONV=1</stp>
        <tr r="T158" s="8"/>
      </tp>
      <tp>
        <v>41.815000000000161</v>
        <stp/>
        <stp>##V3_BDPV12</stp>
        <stp>JK8069003 Govt</stp>
        <stp>YAS_BOND_PX</stp>
        <stp>[BondPricer-0.2.xlsm]FRENCH_BTAN_TYPE89!R233C20</stp>
        <stp>YAS_BOND_YLD=2.11792800139392</stp>
        <stp>YAS_YLD_CONV=1</stp>
        <tr r="T233" s="8"/>
      </tp>
      <tp>
        <v>85.212000000000003</v>
        <stp/>
        <stp>##V3_BDPV12</stp>
        <stp>EJ6185346 Govt</stp>
        <stp>YAS_BOND_PX</stp>
        <stp>[BondPricer-0.2.xlsm]FRENCH_BTAN_TYPE89!R120C20</stp>
        <stp>YAS_BOND_YLD=1.18338612488103</stp>
        <stp>YAS_YLD_CONV=1</stp>
        <tr r="T120" s="8"/>
      </tp>
      <tp>
        <v>88.844000000000008</v>
        <stp/>
        <stp>##V3_BDPV12</stp>
        <stp>ED3948673 Govt</stp>
        <stp>YAS_BOND_PX</stp>
        <stp>[BondPricer-0.2.xlsm]FRENCH_BTAN_TYPE89!R105C20</stp>
        <stp>YAS_BOND_YLD=1.03204738332889</stp>
        <stp>YAS_YLD_CONV=1</stp>
        <tr r="T105" s="8"/>
      </tp>
      <tp>
        <v>51.332000000000143</v>
        <stp/>
        <stp>##V3_BDPV12</stp>
        <stp>JK8068260 Govt</stp>
        <stp>YAS_BOND_PX</stp>
        <stp>[BondPricer-0.2.xlsm]FRENCH_BTAN_TYPE89!R211C20</stp>
        <stp>YAS_BOND_YLD=2.00435087491979</stp>
        <stp>YAS_YLD_CONV=1</stp>
        <tr r="T211" s="8"/>
      </tp>
      <tp>
        <v>69.448999999999913</v>
        <stp/>
        <stp>##V3_BDPV12</stp>
        <stp>EI0431912 Govt</stp>
        <stp>YAS_BOND_PX</stp>
        <stp>[BondPricer-0.2.xlsm]FRENCH_BTAN_TYPE89!R170C20</stp>
        <stp>YAS_BOND_YLD=1.63204073230225</stp>
        <stp>YAS_YLD_CONV=1</stp>
        <tr r="T170" s="8"/>
      </tp>
      <tp>
        <v>40.089999999999982</v>
        <stp/>
        <stp>##V3_BDPV12</stp>
        <stp>JK8069441 Govt</stp>
        <stp>YAS_BOND_PX</stp>
        <stp>[BondPricer-0.2.xlsm]FRENCH_BTAN_TYPE89!R235C20</stp>
        <stp>YAS_BOND_YLD=2.11842443200774</stp>
        <stp>YAS_YLD_CONV=1</stp>
        <tr r="T235" s="8"/>
      </tp>
      <tp>
        <v>85.259000000000114</v>
        <stp/>
        <stp>##V3_BDPV12</stp>
        <stp>ED3948798 Govt</stp>
        <stp>YAS_BOND_PX</stp>
        <stp>[BondPricer-0.2.xlsm]FRENCH_BTAN_TYPE89!R119C20</stp>
        <stp>YAS_BOND_YLD=1.18649580876917</stp>
        <stp>YAS_YLD_CONV=1</stp>
        <tr r="T119" s="8"/>
      </tp>
      <tp>
        <v>2.1790720714975009</v>
        <stp/>
        <stp>##V3_BDPV12</stp>
        <stp>912828B5 Govt</stp>
        <stp>YAS_RISK</stp>
        <stp>[BondPricer-0.2.xlsm]US_TREASURY_TYPE1!R8C24</stp>
        <stp>YLD_YTM_ASK=2.8871961</stp>
        <stp>YAS_YLD_CONV=3</stp>
        <tr r="X8" s="4"/>
      </tp>
      <tp>
        <v>49.244999999999997</v>
        <stp/>
        <stp>##V3_BDPV12</stp>
        <stp>EI0432993 Govt</stp>
        <stp>YAS_BOND_PX</stp>
        <stp>[BondPricer-0.2.xlsm]FRENCH_BTAN_TYPE89!R215C20</stp>
        <stp>YAS_BOND_YLD=2.01425026182998</stp>
        <stp>YAS_YLD_CONV=1</stp>
        <tr r="T215" s="8"/>
      </tp>
      <tp>
        <v>3.1462568359851364</v>
        <stp/>
        <stp>##V3_BDPV12</stp>
        <stp>912828V7 Govt</stp>
        <stp>DUR_ADJ_ASK</stp>
        <stp>[BondPricer-0.2.xlsm]US_TREASURY_TYPE1!R35C28</stp>
        <stp>YLD_YTM_ASK=2.9455587</stp>
        <stp>YAS_YLD_CONV=3</stp>
        <tr r="AB35" s="4"/>
      </tp>
      <tp>
        <v>4.1604003020951907</v>
        <stp/>
        <stp>##V3_BDPV12</stp>
        <stp>AN2009289 Govt</stp>
        <stp>YLD_YTM_ASK</stp>
        <stp>[BondPricer-0.2.xlsm]ITALIAN_BTPS_TYPE523!R183C15</stp>
        <tr r="O183" s="5"/>
      </tp>
      <tp>
        <v>3.8889772581919946</v>
        <stp/>
        <stp>##V3_BDPV12</stp>
        <stp>AN2029006 Govt</stp>
        <stp>YLD_YTM_ASK</stp>
        <stp>[BondPricer-0.2.xlsm]ITALIAN_BTPS_TYPE523!R207C15</stp>
        <tr r="O207" s="5"/>
      </tp>
      <tp>
        <v>2.6687351780675561</v>
        <stp/>
        <stp>##V3_BDPV12</stp>
        <stp>912828WY Govt</stp>
        <stp>DUR_ADJ_ASK</stp>
        <stp>[BondPricer-0.2.xlsm]US_TREASURY_TYPE1!R21C28</stp>
        <stp>YLD_YTM_ASK=2.9125788</stp>
        <stp>YAS_YLD_CONV=3</stp>
        <tr r="AB21" s="4"/>
      </tp>
      <tp>
        <v>2.3899534608517845</v>
        <stp/>
        <stp>##V3_BDPV12</stp>
        <stp>912828Q3 Govt</stp>
        <stp>DUR_ADJ_ASK</stp>
        <stp>[BondPricer-0.2.xlsm]US_TREASURY_TYPE1!R12C28</stp>
        <stp>YLD_YTM_ASK=2.8855524</stp>
        <stp>YAS_YLD_CONV=3</stp>
        <tr r="AB12" s="4"/>
      </tp>
      <tp>
        <v>4.0253763695879963</v>
        <stp/>
        <stp>##V3_BDPV12</stp>
        <stp>AN2019718 Govt</stp>
        <stp>YLD_YTM_ASK</stp>
        <stp>[BondPricer-0.2.xlsm]ITALIAN_BTPS_TYPE523!R196C15</stp>
        <tr r="O196" s="5"/>
      </tp>
      <tp>
        <v>4.0382484715800082</v>
        <stp/>
        <stp>##V3_BDPV12</stp>
        <stp>AN2019403 Govt</stp>
        <stp>YLD_YTM_ASK</stp>
        <stp>[BondPricer-0.2.xlsm]ITALIAN_BTPS_TYPE523!R195C15</stp>
        <tr r="O195" s="5"/>
      </tp>
      <tp>
        <v>4.913130284804792</v>
        <stp/>
        <stp>##V3_BDPV12</stp>
        <stp>912828V8 Govt</stp>
        <stp>DUR_ADJ_ASK</stp>
        <stp>[BondPricer-0.2.xlsm]US_TREASURY_TYPE1!R68C28</stp>
        <stp>YLD_YTM_ASK=3.0235032</stp>
        <stp>YAS_YLD_CONV=3</stp>
        <tr r="AB68" s="4"/>
      </tp>
      <tp>
        <v>2.987192070520718</v>
        <stp/>
        <stp>##V3_BDPV12</stp>
        <stp>912828U6 Govt</stp>
        <stp>DUR_ADJ_ASK</stp>
        <stp>[BondPricer-0.2.xlsm]US_TREASURY_TYPE1!R30C28</stp>
        <stp>YLD_YTM_ASK=2.9305891</stp>
        <stp>YAS_YLD_CONV=3</stp>
        <tr r="AB30" s="4"/>
      </tp>
      <tp>
        <v>3.5077626935788282</v>
        <stp/>
        <stp>##V3_BDPV12</stp>
        <stp>912828XG Govt</stp>
        <stp>DUR_ADJ_ASK</stp>
        <stp>[BondPricer-0.2.xlsm]US_TREASURY_TYPE1!R43C28</stp>
        <stp>YLD_YTM_ASK=2.9535389</stp>
        <stp>YAS_YLD_CONV=3</stp>
        <tr r="AB43" s="4"/>
      </tp>
      <tp>
        <v>5.3683186698112673</v>
        <stp/>
        <stp>##V3_BDPV12</stp>
        <stp>912828D5 Govt</stp>
        <stp>DUR_ADJ_ASK</stp>
        <stp>[BondPricer-0.2.xlsm]US_TREASURY_TYPE1!R72C28</stp>
        <stp>YLD_YTM_ASK=3.0505262</stp>
        <stp>YAS_YLD_CONV=3</stp>
        <tr r="AB72" s="4"/>
      </tp>
      <tp>
        <v>7.2522530345832257</v>
        <stp/>
        <stp>##V3_BDPV12</stp>
        <stp>9128282A Govt</stp>
        <stp>DUR_ADJ_ASK</stp>
        <stp>[BondPricer-0.2.xlsm]US_TREASURY_TYPE1!R83C28</stp>
        <stp>YLD_YTM_ASK=3.1235071</stp>
        <stp>YAS_YLD_CONV=3</stp>
        <tr r="AB83" s="4"/>
      </tp>
      <tp>
        <v>11.975330009174456</v>
        <stp/>
        <stp>##V3_BDPV12</stp>
        <stp>ED3948830 Govt</stp>
        <stp>YAS_RISK</stp>
        <stp>[BondPricer-0.2.xlsm]FRENCH_BTAN_TYPE89!R126C24</stp>
        <stp>YLD_YTM_ASK=1.24942686654639</stp>
        <stp>YAS_YLD_CONV=1</stp>
        <tr r="X126" s="8"/>
      </tp>
      <tp>
        <v>15.345675979776985</v>
        <stp/>
        <stp>##V3_BDPV12</stp>
        <stp>EJ6186641 Govt</stp>
        <stp>YAS_RISK</stp>
        <stp>[BondPricer-0.2.xlsm]FRENCH_BTAN_TYPE89!R175C24</stp>
        <stp>YLD_YTM_ASK=1.65418245528737</stp>
        <stp>YAS_YLD_CONV=1</stp>
        <tr r="X175" s="8"/>
      </tp>
      <tp>
        <v>13.146844547554082</v>
        <stp/>
        <stp>##V3_BDPV12</stp>
        <stp>EI0429510 Govt</stp>
        <stp>YAS_RISK</stp>
        <stp>[BondPricer-0.2.xlsm]FRENCH_BTAN_TYPE89!R136C24</stp>
        <stp>YLD_YTM_ASK=1.31228326023574</stp>
        <stp>YAS_YLD_CONV=1</stp>
        <tr r="X136" s="8"/>
      </tp>
      <tp>
        <v>10.230107644754582</v>
        <stp/>
        <stp>##V3_BDPV12</stp>
        <stp>EJ6178796 Govt</stp>
        <stp>YAS_RISK</stp>
        <stp>[BondPricer-0.2.xlsm]FRENCH_BTAN_TYPE89!R107C24</stp>
        <stp>YLD_YTM_ASK=1.00404722716183</stp>
        <stp>YAS_YLD_CONV=1</stp>
        <tr r="X107" s="8"/>
      </tp>
      <tp>
        <v>14.81095483734336</v>
        <stp/>
        <stp>##V3_BDPV12</stp>
        <stp>EJ6186245 Govt</stp>
        <stp>YAS_RISK</stp>
        <stp>[BondPricer-0.2.xlsm]FRENCH_BTAN_TYPE89!R164C24</stp>
        <stp>YLD_YTM_ASK=1.53958268453345</stp>
        <stp>YAS_YLD_CONV=1</stp>
        <tr r="X164" s="8"/>
      </tp>
      <tp>
        <v>16.772122204918816</v>
        <stp/>
        <stp>##V3_BDPV12</stp>
        <stp>JK8068161 Govt</stp>
        <stp>YAS_RISK</stp>
        <stp>[BondPricer-0.2.xlsm]FRENCH_BTAN_TYPE89!R205C24</stp>
        <stp>YLD_YTM_ASK=1.96217493462034</stp>
        <stp>YAS_YLD_CONV=1</stp>
        <tr r="X205" s="8"/>
      </tp>
      <tp>
        <v>13.184720679704753</v>
        <stp/>
        <stp>##V3_BDPV12</stp>
        <stp>ED3871719 Govt</stp>
        <stp>YAS_RISK</stp>
        <stp>[BondPricer-0.2.xlsm]FRENCH_BTAN_TYPE89!R137C24</stp>
        <stp>YLD_YTM_ASK=1.29564921108722</stp>
        <stp>YAS_YLD_CONV=1</stp>
        <tr r="X137" s="8"/>
      </tp>
      <tp>
        <v>8.9691773362773226</v>
        <stp/>
        <stp>##V3_BDPV12</stp>
        <stp>EC5588545 Govt</stp>
        <stp>DUR_ADJ_ASK</stp>
        <stp>[BondPricer-0.2.xlsm]ITALIAN_BTPS_TYPE523!R69C29</stp>
        <stp>YLD_YTM_ASK=3.58544821432509</stp>
        <stp>YAS_YLD_CONV=1</stp>
        <tr r="AC69" s="5"/>
      </tp>
      <tp>
        <v>6.5691498973693694</v>
        <stp/>
        <stp>##V3_BDPV12</stp>
        <stp>EC5587760 Govt</stp>
        <stp>DUR_ADJ_ASK</stp>
        <stp>[BondPricer-0.2.xlsm]ITALIAN_BTPS_TYPE523!R39C29</stp>
        <stp>YLD_YTM_ASK=3.37352170254781</stp>
        <stp>YAS_YLD_CONV=1</stp>
        <tr r="AC39" s="5"/>
      </tp>
      <tp>
        <v>7.5318941951851439</v>
        <stp/>
        <stp>##V3_BDPV12</stp>
        <stp>EC5588446 Govt</stp>
        <stp>DUR_ADJ_ASK</stp>
        <stp>[BondPricer-0.2.xlsm]ITALIAN_BTPS_TYPE523!R49C29</stp>
        <stp>YLD_YTM_ASK=3.50911065419948</stp>
        <stp>YAS_YLD_CONV=1</stp>
        <tr r="AC49" s="5"/>
      </tp>
      <tp>
        <v>6.801064723158678</v>
        <stp/>
        <stp>##V3_BDPV12</stp>
        <stp>GG7366139 Govt</stp>
        <stp>DUR_ADJ_ASK</stp>
        <stp>[BondPricer-0.2.xlsm]ITALIAN_BTPS_TYPE523!R65C29</stp>
        <stp>YLD_YTM_ASK=3.53154531927609</stp>
        <stp>YAS_YLD_CONV=1</stp>
        <tr r="AC65" s="5"/>
      </tp>
      <tp>
        <v>16.786300033631896</v>
        <stp/>
        <stp>##V3_BDPV12</stp>
        <stp>JK5016049 Govt</stp>
        <stp>YAS_MOD_DUR</stp>
        <stp>[BondPricer-0.2.xlsm]JAPAN_JGB_TYPE51!R173C28</stp>
        <stp>YLD_YTM_ASK=0.55</stp>
        <stp>YAS_YLD_CONV=3</stp>
        <tr r="AB173" s="7"/>
      </tp>
      <tp>
        <v>7.7862849538006698</v>
        <stp/>
        <stp>##V3_BDPV12</stp>
        <stp>EC0130038 Govt</stp>
        <stp>DUR_ADJ_ASK</stp>
        <stp>[BondPricer-0.2.xlsm]ITALIAN_BTPS_TYPE523!R53C29</stp>
        <stp>YLD_YTM_ASK=3.30375126172222</stp>
        <stp>YAS_YLD_CONV=1</stp>
        <tr r="AC53" s="5"/>
      </tp>
      <tp>
        <v>28.565315723594153</v>
        <stp/>
        <stp>##V3_BDPV12</stp>
        <stp>EK0809500 Govt</stp>
        <stp>YAS_RISK</stp>
        <stp>[BondPricer-0.2.xlsm]GERMAN_BUND_TYPE60!R36C24</stp>
        <stp>YLD_YTM_ASK=1.0763534112302</stp>
        <stp>YAS_YLD_CONV=1</stp>
        <tr r="X36" s="6"/>
      </tp>
      <tp>
        <v>5.8828534158865429</v>
        <stp/>
        <stp>##V3_BDPV12</stp>
        <stp>EJ6935351 Corp</stp>
        <stp>DUR_ADJ_ASK</stp>
        <stp>[BondPricer-0.2.xlsm]AUSTRALIAN_GOVT_TYPE23!R32C30</stp>
        <stp>YLD_YTM_ASK=2.13386523578523</stp>
        <stp>YAS_YLD_CONV=3</stp>
        <tr r="AD32" s="9"/>
      </tp>
      <tp>
        <v>3.0432884160513067</v>
        <stp/>
        <stp>##V3_BDPV12</stp>
        <stp>AM1528661 Corp</stp>
        <stp>DUR_ADJ_ASK</stp>
        <stp>[BondPricer-0.2.xlsm]AUSTRALIAN_GOVT_TYPE23!R11C30</stp>
        <stp>YLD_YTM_ASK=2.09304888100036</stp>
        <stp>YAS_YLD_CONV=3</stp>
        <tr r="AD11" s="9"/>
      </tp>
      <tp>
        <v>3.3692031606873325</v>
        <stp/>
        <stp>##V3_BDPV12</stp>
        <stp>EJ6776680 Corp</stp>
        <stp>DUR_ADJ_ASK</stp>
        <stp>[BondPricer-0.2.xlsm]AUSTRALIAN_GOVT_TYPE23!R15C30</stp>
        <stp>YLD_YTM_ASK=1.99887344163833</stp>
        <stp>YAS_YLD_CONV=3</stp>
        <tr r="AD15" s="9"/>
      </tp>
      <tp>
        <v>2.2632385421474055</v>
        <stp/>
        <stp>##V3_BDPV12</stp>
        <stp>912828PX Govt</stp>
        <stp>YAS_RISK</stp>
        <stp>[BondPricer-0.2.xlsm]US_TREASURY_TYPE1!R9C24</stp>
        <stp>YLD_YTM_ASK=2.8840743</stp>
        <stp>YAS_YLD_CONV=3</stp>
        <tr r="X9" s="4"/>
      </tp>
      <tp>
        <v>28.648244545665762</v>
        <stp/>
        <stp>##V3_BDPV12</stp>
        <stp>AN1976645 Govt</stp>
        <stp>DUR_ADJ_ASK</stp>
        <stp>[BondPricer-0.2.xlsm]ITALIAN_BTPS_TYPE523!R172C29</stp>
        <stp>YLD_YTM_ASK=4.27505665761545</stp>
        <stp>YAS_YLD_CONV=1</stp>
        <tr r="AC172" s="5"/>
      </tp>
      <tp>
        <v>87.976000000000084</v>
        <stp/>
        <stp>##V3_BDPV12</stp>
        <stp>EC3971487 Govt</stp>
        <stp>YAS_BOND_PX</stp>
        <stp>[BondPricer-0.2.xlsm]FRENCH_BTAN_TYPE89!R109C20</stp>
        <stp>YAS_BOND_YLD=1.07130261182984</stp>
        <stp>YAS_YLD_CONV=1</stp>
        <tr r="T109" s="8"/>
      </tp>
      <tp>
        <v>37.937000000000019</v>
        <stp/>
        <stp>##V3_BDPV12</stp>
        <stp>JK8070761 Govt</stp>
        <stp>YAS_BOND_PX</stp>
        <stp>[BondPricer-0.2.xlsm]FRENCH_BTAN_TYPE89!R238C20</stp>
        <stp>YAS_BOND_YLD=2.10157750128581</stp>
        <stp>YAS_YLD_CONV=1</stp>
        <tr r="T238" s="8"/>
      </tp>
      <tp>
        <v>68.27200000000019</v>
        <stp/>
        <stp>##V3_BDPV12</stp>
        <stp>ED8388925 Govt</stp>
        <stp>YAS_BOND_PX</stp>
        <stp>[BondPricer-0.2.xlsm]FRENCH_BTAN_TYPE89!R183C20</stp>
        <stp>YAS_BOND_YLD=1.50678097517467</stp>
        <stp>YAS_YLD_CONV=1</stp>
        <tr r="T183" s="8"/>
      </tp>
      <tp>
        <v>43.021999999999998</v>
        <stp/>
        <stp>##V3_BDPV12</stp>
        <stp>EI1868633 Govt</stp>
        <stp>YAS_BOND_PX</stp>
        <stp>[BondPricer-0.2.xlsm]FRENCH_BTAN_TYPE89!R232C20</stp>
        <stp>YAS_BOND_YLD=2.05219833221391</stp>
        <stp>YAS_YLD_CONV=1</stp>
        <tr r="T232" s="8"/>
      </tp>
      <tp>
        <v>44.96199999999989</v>
        <stp/>
        <stp>##V3_BDPV12</stp>
        <stp>JK8068369 Govt</stp>
        <stp>YAS_BOND_PX</stp>
        <stp>[BondPricer-0.2.xlsm]FRENCH_BTAN_TYPE89!R226C20</stp>
        <stp>YAS_BOND_YLD=2.09230246083716</stp>
        <stp>YAS_YLD_CONV=1</stp>
        <tr r="T226" s="8"/>
      </tp>
      <tp>
        <v>79.692999999999927</v>
        <stp/>
        <stp>##V3_BDPV12</stp>
        <stp>ED3948913 Govt</stp>
        <stp>YAS_BOND_PX</stp>
        <stp>[BondPricer-0.2.xlsm]FRENCH_BTAN_TYPE89!R138C20</stp>
        <stp>YAS_BOND_YLD=1.38345885619977</stp>
        <stp>YAS_YLD_CONV=1</stp>
        <tr r="T138" s="8"/>
      </tp>
      <tp>
        <v>4.4809315784728403</v>
        <stp/>
        <stp>##V3_BDPV12</stp>
        <stp>912828S3 Govt</stp>
        <stp>DUR_ADJ_ASK</stp>
        <stp>[BondPricer-0.2.xlsm]US_TREASURY_TYPE1!R58C28</stp>
        <stp>YLD_YTM_ASK=2.9984517</stp>
        <stp>YAS_YLD_CONV=3</stp>
        <tr r="AB58" s="4"/>
      </tp>
      <tp>
        <v>4.0626603443205678</v>
        <stp/>
        <stp>##V3_BDPV12</stp>
        <stp>AN2018165 Govt</stp>
        <stp>YLD_YTM_ASK</stp>
        <stp>[BondPricer-0.2.xlsm]ITALIAN_BTPS_TYPE523!R193C15</stp>
        <tr r="O193" s="5"/>
      </tp>
      <tp>
        <v>6.9730326970210692</v>
        <stp/>
        <stp>##V3_BDPV12</stp>
        <stp>912828R3 Govt</stp>
        <stp>DUR_ADJ_ASK</stp>
        <stp>[BondPricer-0.2.xlsm]US_TREASURY_TYPE1!R81C28</stp>
        <stp>YLD_YTM_ASK=3.1184696</stp>
        <stp>YAS_YLD_CONV=3</stp>
        <tr r="AB81" s="4"/>
      </tp>
      <tp>
        <v>4.0629697330694103</v>
        <stp/>
        <stp>##V3_BDPV12</stp>
        <stp>AN2018678 Govt</stp>
        <stp>YLD_YTM_ASK</stp>
        <stp>[BondPricer-0.2.xlsm]ITALIAN_BTPS_TYPE523!R194C15</stp>
        <tr r="O194" s="5"/>
      </tp>
      <tp>
        <v>3.1805782095750486</v>
        <stp/>
        <stp>##V3_BDPV12</stp>
        <stp>912828SF Govt</stp>
        <stp>DUR_ADJ_ASK</stp>
        <stp>[BondPricer-0.2.xlsm]US_TREASURY_TYPE1!R36C28</stp>
        <stp>YLD_YTM_ASK=2.9364549</stp>
        <stp>YAS_YLD_CONV=3</stp>
        <tr r="AB36" s="4"/>
      </tp>
      <tp>
        <v>7.2899157571049491</v>
        <stp/>
        <stp>##V3_BDPV12</stp>
        <stp>912828U2 Govt</stp>
        <stp>DUR_ADJ_ASK</stp>
        <stp>[BondPricer-0.2.xlsm]US_TREASURY_TYPE1!R85C28</stp>
        <stp>YLD_YTM_ASK=3.1324393</stp>
        <stp>YAS_YLD_CONV=3</stp>
        <tr r="AB85" s="4"/>
      </tp>
      <tp>
        <v>4.2380939416570618</v>
        <stp/>
        <stp>##V3_BDPV12</stp>
        <stp>AN1978633 Govt</stp>
        <stp>YLD_YTM_ASK</stp>
        <stp>[BondPricer-0.2.xlsm]ITALIAN_BTPS_TYPE523!R175C15</stp>
        <tr r="O175" s="5"/>
      </tp>
      <tp>
        <v>5.8535918485969267</v>
        <stp/>
        <stp>##V3_BDPV12</stp>
        <stp>912828J2 Govt</stp>
        <stp>DUR_ADJ_ASK</stp>
        <stp>[BondPricer-0.2.xlsm]US_TREASURY_TYPE1!R74C28</stp>
        <stp>YLD_YTM_ASK=3.0744186</stp>
        <stp>YAS_YLD_CONV=3</stp>
        <tr r="AB74" s="4"/>
      </tp>
      <tp>
        <v>2.789250079795754</v>
        <stp/>
        <stp>##V3_BDPV12</stp>
        <stp>9128282F Govt</stp>
        <stp>DUR_ADJ_ASK</stp>
        <stp>[BondPricer-0.2.xlsm]US_TREASURY_TYPE1!R23C28</stp>
        <stp>YLD_YTM_ASK=2.9174576</stp>
        <stp>YAS_YLD_CONV=3</stp>
        <tr r="AB23" s="4"/>
      </tp>
      <tp>
        <v>18.604000000685307</v>
        <stp/>
        <stp>##V3_BDPV12</stp>
        <stp>AN2021185 Govt</stp>
        <stp>PX_ASK</stp>
        <stp>[BondPricer-0.2.xlsm]ITALIAN_BTPS_TYPE523!R198C22</stp>
        <stp>YAS_BOND_YLD=4.000695608621</stp>
        <stp>YAS_YLD_CONV=1</stp>
        <tr r="V198" s="5"/>
      </tp>
      <tp>
        <v>15.121487451152404</v>
        <stp/>
        <stp>##V3_BDPV12</stp>
        <stp>EI0431714 Govt</stp>
        <stp>YAS_RISK</stp>
        <stp>[BondPricer-0.2.xlsm]FRENCH_BTAN_TYPE89!R166C24</stp>
        <stp>YLD_YTM_ASK=1.57932073539011</stp>
        <stp>YAS_YLD_CONV=1</stp>
        <tr r="X166" s="8"/>
      </tp>
      <tp>
        <v>16.59434796161996</v>
        <stp/>
        <stp>##V3_BDPV12</stp>
        <stp>EI0432274 Govt</stp>
        <stp>YAS_RISK</stp>
        <stp>[BondPricer-0.2.xlsm]FRENCH_BTAN_TYPE89!R191C24</stp>
        <stp>YLD_YTM_ASK=1.78953477289194</stp>
        <stp>YAS_YLD_CONV=1</stp>
        <tr r="X191" s="8"/>
      </tp>
      <tp>
        <v>17.117846037625739</v>
        <stp/>
        <stp>##V3_BDPV12</stp>
        <stp>EI0432514 Govt</stp>
        <stp>YAS_RISK</stp>
        <stp>[BondPricer-0.2.xlsm]FRENCH_BTAN_TYPE89!R203C24</stp>
        <stp>YLD_YTM_ASK=1.89506842526015</stp>
        <stp>YAS_YLD_CONV=1</stp>
        <tr r="X203" s="8"/>
      </tp>
      <tp>
        <v>12.091304830991692</v>
        <stp/>
        <stp>##V3_BDPV12</stp>
        <stp>EC2917820 Govt</stp>
        <stp>DUR_ADJ_ASK</stp>
        <stp>[BondPricer-0.2.xlsm]ITALIAN_BTPS_TYPE523!R97C29</stp>
        <stp>YLD_YTM_ASK=3.73968949155028</stp>
        <stp>YAS_YLD_CONV=1</stp>
        <tr r="AC97" s="5"/>
      </tp>
      <tp>
        <v>10.88183669031843</v>
        <stp/>
        <stp>##V3_BDPV12</stp>
        <stp>EC5588867 Govt</stp>
        <stp>DUR_ADJ_ASK</stp>
        <stp>[BondPricer-0.2.xlsm]ITALIAN_BTPS_TYPE523!R89C29</stp>
        <stp>YLD_YTM_ASK=3.75788609251195</stp>
        <stp>YAS_YLD_CONV=1</stp>
        <tr r="AC89" s="5"/>
      </tp>
      <tp>
        <v>18.295178086794419</v>
        <stp/>
        <stp>##V3_BDPV12</stp>
        <stp>EI3995376 Govt</stp>
        <stp>YAS_MOD_DUR</stp>
        <stp>[BondPricer-0.2.xlsm]JAPAN_JGB_TYPE51!R189C28</stp>
        <stp>YLD_YTM_ASK=0.66</stp>
        <stp>YAS_YLD_CONV=3</stp>
        <tr r="AB189" s="7"/>
      </tp>
      <tp>
        <v>14.370739903007745</v>
        <stp/>
        <stp>##V3_BDPV12</stp>
        <stp>EJ1461163 Govt</stp>
        <stp>YAS_RISK</stp>
        <stp>[BondPricer-0.2.xlsm]JAPAN_JGB_TYPE51!R138C25</stp>
        <stp>YLD_YTM_ASK=0.3</stp>
        <stp>YAS_YLD_CONV=3</stp>
        <tr r="Y138" s="7"/>
      </tp>
      <tp>
        <v>3.3659889800456413</v>
        <stp/>
        <stp>##V3_BDPV12</stp>
        <stp>EI2142814 Corp</stp>
        <stp>DUR_ADJ_ASK</stp>
        <stp>[BondPricer-0.2.xlsm]AUSTRALIAN_GOVT_TYPE23!R14C30</stp>
        <stp>YLD_YTM_ASK=2.13300831107669</stp>
        <stp>YAS_YLD_CONV=3</stp>
        <tr r="AD14" s="9"/>
      </tp>
      <tp>
        <v>7.9196584456637726</v>
        <stp/>
        <stp>##V3_BDPV12</stp>
        <stp>JV3198662 Corp</stp>
        <stp>DUR_ADJ_ASK</stp>
        <stp>[BondPricer-0.2.xlsm]AUSTRALIAN_GOVT_TYPE23!R44C30</stp>
        <stp>YLD_YTM_ASK=2.65899293319141</stp>
        <stp>YAS_YLD_CONV=3</stp>
        <tr r="AD44" s="9"/>
      </tp>
      <tp>
        <v>7.8350003733093523</v>
        <stp/>
        <stp>##V3_BDPV12</stp>
        <stp>LW2811898 Corp</stp>
        <stp>DUR_ADJ_ASK</stp>
        <stp>[BondPricer-0.2.xlsm]AUSTRALIAN_GOVT_TYPE23!R43C30</stp>
        <stp>YLD_YTM_ASK=3.13601204250855</stp>
        <stp>YAS_YLD_CONV=3</stp>
        <tr r="AD43" s="9"/>
      </tp>
      <tp>
        <v>4.9534435339607308</v>
        <stp/>
        <stp>##V3_BDPV12</stp>
        <stp>EK2751312 Corp</stp>
        <stp>DUR_ADJ_ASK</stp>
        <stp>[BondPricer-0.2.xlsm]AUSTRALIAN_GOVT_TYPE23!R27C30</stp>
        <stp>YLD_YTM_ASK=2.60803432057903</stp>
        <stp>YAS_YLD_CONV=3</stp>
        <tr r="AD27" s="9"/>
      </tp>
      <tp>
        <v>7.0743615047134014</v>
        <stp/>
        <stp>##V3_BDPV12</stp>
        <stp>AN7790412 Corp</stp>
        <stp>DUR_ADJ_ASK</stp>
        <stp>[BondPricer-0.2.xlsm]AUSTRALIAN_GOVT_TYPE23!R38C30</stp>
        <stp>YLD_YTM_ASK=3.02893666511293</stp>
        <stp>YAS_YLD_CONV=3</stp>
        <tr r="AD38" s="9"/>
      </tp>
      <tp>
        <v>8.9147376453501064</v>
        <stp/>
        <stp>##V3_BDPV12</stp>
        <stp>EJ3938531 Corp</stp>
        <stp>DUR_ADJ_ASK</stp>
        <stp>[BondPricer-0.2.xlsm]AUSTRALIAN_GOVT_TYPE23!R50C30</stp>
        <stp>YLD_YTM_ASK=2.69996472235818</stp>
        <stp>YAS_YLD_CONV=3</stp>
        <tr r="AD50" s="9"/>
      </tp>
      <tp>
        <v>98.320312597142888</v>
        <stp/>
        <stp>##V3_BDPV12</stp>
        <stp>912828B5 Govt</stp>
        <stp>YAS_BOND_PX</stp>
        <stp>[BondPricer-0.2.xlsm]US_TREASURY_TYPE1!R8C20</stp>
        <stp>YAS_BOND_YLD=2.8871961</stp>
        <stp>YAS_YLD_CONV=2</stp>
        <tr r="T8" s="4"/>
      </tp>
      <tp>
        <v>16.73979510777038</v>
        <stp/>
        <stp>##V3_BDPV12</stp>
        <stp>EK0223991 Govt</stp>
        <stp>DUR_ADJ_ASK</stp>
        <stp>[BondPricer-0.2.xlsm]ITALIAN_BTPS_TYPE523!R127C29</stp>
        <stp>YLD_YTM_ASK=3.81472663580718</stp>
        <stp>YAS_YLD_CONV=1</stp>
        <tr r="AC127" s="5"/>
      </tp>
      <tp>
        <v>41.709758713610661</v>
        <stp/>
        <stp>##V3_BDPV12</stp>
        <stp>AN2021532 Govt</stp>
        <stp>DUR_ADJ_ASK</stp>
        <stp>[BondPricer-0.2.xlsm]ITALIAN_BTPS_TYPE523!R199C29</stp>
        <stp>YLD_YTM_ASK=3.98780550687541</stp>
        <stp>YAS_YLD_CONV=1</stp>
        <tr r="AC199" s="5"/>
      </tp>
      <tp>
        <v>12.796586539256344</v>
        <stp/>
        <stp>##V3_BDPV12</stp>
        <stp>EC5588966 Govt</stp>
        <stp>DUR_ADJ_ASK</stp>
        <stp>[BondPricer-0.2.xlsm]ITALIAN_BTPS_TYPE523!R101C29</stp>
        <stp>YLD_YTM_ASK=3.88327050657591</stp>
        <stp>YAS_YLD_CONV=1</stp>
        <tr r="AC101" s="5"/>
      </tp>
      <tp>
        <v>22.843879017495937</v>
        <stp/>
        <stp>##V3_BDPV12</stp>
        <stp>EK0225194 Govt</stp>
        <stp>DUR_ADJ_ASK</stp>
        <stp>[BondPricer-0.2.xlsm]ITALIAN_BTPS_TYPE523!R157C29</stp>
        <stp>YLD_YTM_ASK=4.50480675230747</stp>
        <stp>YAS_YLD_CONV=1</stp>
        <tr r="AC157" s="5"/>
      </tp>
      <tp>
        <v>30.580639510195343</v>
        <stp/>
        <stp>##V3_BDPV12</stp>
        <stp>AN1980167 Govt</stp>
        <stp>DUR_ADJ_ASK</stp>
        <stp>[BondPricer-0.2.xlsm]ITALIAN_BTPS_TYPE523!R176C29</stp>
        <stp>YLD_YTM_ASK=4.22601728277454</stp>
        <stp>YAS_YLD_CONV=1</stp>
        <tr r="AC176" s="5"/>
      </tp>
      <tp>
        <v>20.935915488338054</v>
        <stp/>
        <stp>##V3_BDPV12</stp>
        <stp>EK0224775 Govt</stp>
        <stp>DUR_ADJ_ASK</stp>
        <stp>[BondPricer-0.2.xlsm]ITALIAN_BTPS_TYPE523!R149C29</stp>
        <stp>YLD_YTM_ASK=4.50209971387934</stp>
        <stp>YAS_YLD_CONV=1</stp>
        <tr r="AC149" s="5"/>
      </tp>
      <tp>
        <v>19.535718202344373</v>
        <stp/>
        <stp>##V3_BDPV12</stp>
        <stp>EK0224593 Govt</stp>
        <stp>DUR_ADJ_ASK</stp>
        <stp>[BondPricer-0.2.xlsm]ITALIAN_BTPS_TYPE523!R140C29</stp>
        <stp>YLD_YTM_ASK=4.28561107967513</stp>
        <stp>YAS_YLD_CONV=1</stp>
        <tr r="AC140" s="5"/>
      </tp>
      <tp>
        <v>33.962733743637848</v>
        <stp/>
        <stp>##V3_BDPV12</stp>
        <stp>AN2009289 Govt</stp>
        <stp>DUR_ADJ_ASK</stp>
        <stp>[BondPricer-0.2.xlsm]ITALIAN_BTPS_TYPE523!R183C29</stp>
        <stp>YLD_YTM_ASK=4.16040030209519</stp>
        <stp>YAS_YLD_CONV=1</stp>
        <tr r="AC183" s="5"/>
      </tp>
      <tp>
        <v>2.6960869304367918</v>
        <stp/>
        <stp>##V3_BDPV12</stp>
        <stp>912828D7 Govt</stp>
        <stp>YAS_RISK</stp>
        <stp>[BondPricer-0.2.xlsm]US_TREASURY_TYPE1!R24C24</stp>
        <stp>YLD_YTM_ASK=2.9158273</stp>
        <stp>YAS_YLD_CONV=3</stp>
        <tr r="X24" s="4"/>
      </tp>
      <tp>
        <v>11.435616780143144</v>
        <stp/>
        <stp>##V3_BDPV12</stp>
        <stp>EK8086077 Govt</stp>
        <stp>DUR_ADJ_ASK</stp>
        <stp>[BondPricer-0.2.xlsm]ITALIAN_BTPS_TYPE523!R102C29</stp>
        <stp>YLD_YTM_ASK=3.48745402340873</stp>
        <stp>YAS_YLD_CONV=1</stp>
        <tr r="AC102" s="5"/>
      </tp>
      <tp>
        <v>29.13109803208355</v>
        <stp/>
        <stp>##V3_BDPV12</stp>
        <stp>AN1976678 Govt</stp>
        <stp>DUR_ADJ_ASK</stp>
        <stp>[BondPricer-0.2.xlsm]ITALIAN_BTPS_TYPE523!R173C29</stp>
        <stp>YLD_YTM_ASK=4.26306428394907</stp>
        <stp>YAS_YLD_CONV=1</stp>
        <tr r="AC173" s="5"/>
      </tp>
      <tp>
        <v>32.511510553986412</v>
        <stp/>
        <stp>##V3_BDPV12</stp>
        <stp>AN1983476 Govt</stp>
        <stp>DUR_ADJ_ASK</stp>
        <stp>[BondPricer-0.2.xlsm]ITALIAN_BTPS_TYPE523!R180C29</stp>
        <stp>YLD_YTM_ASK=4.19619107326565</stp>
        <stp>YAS_YLD_CONV=1</stp>
        <tr r="AC180" s="5"/>
      </tp>
      <tp>
        <v>17.618731830945404</v>
        <stp/>
        <stp>##V3_BDPV12</stp>
        <stp>EJ4854232 Govt</stp>
        <stp>DUR_ADJ_ASK</stp>
        <stp>[BondPricer-0.2.xlsm]ITALIAN_BTPS_TYPE523!R132C29</stp>
        <stp>YLD_YTM_ASK=3.83002902304301</stp>
        <stp>YAS_YLD_CONV=1</stp>
        <tr r="AC132" s="5"/>
      </tp>
      <tp>
        <v>23.362263865753423</v>
        <stp/>
        <stp>##V3_BDPV12</stp>
        <stp>EK0225319 Govt</stp>
        <stp>DUR_ADJ_ASK</stp>
        <stp>[BondPricer-0.2.xlsm]ITALIAN_BTPS_TYPE523!R158C29</stp>
        <stp>YLD_YTM_ASK=4.33779313965055</stp>
        <stp>YAS_YLD_CONV=1</stp>
        <tr r="AC158" s="5"/>
      </tp>
      <tp>
        <v>31.058555961180605</v>
        <stp/>
        <stp>##V3_BDPV12</stp>
        <stp>AN1980738 Govt</stp>
        <stp>DUR_ADJ_ASK</stp>
        <stp>[BondPricer-0.2.xlsm]ITALIAN_BTPS_TYPE523!R177C29</stp>
        <stp>YLD_YTM_ASK=4.23210009431922</stp>
        <stp>YAS_YLD_CONV=1</stp>
        <tr r="AC177" s="5"/>
      </tp>
      <tp>
        <v>75.233999999999952</v>
        <stp/>
        <stp>##V3_BDPV12</stp>
        <stp>EI0431631 Govt</stp>
        <stp>YAS_BOND_PX</stp>
        <stp>[BondPricer-0.2.xlsm]FRENCH_BTAN_TYPE89!R155C20</stp>
        <stp>YAS_BOND_YLD=1.46845891921141</stp>
        <stp>YAS_YLD_CONV=1</stp>
        <tr r="T155" s="8"/>
      </tp>
      <tp>
        <v>74.30999999999996</v>
        <stp/>
        <stp>##V3_BDPV12</stp>
        <stp>EI0431433 Govt</stp>
        <stp>YAS_BOND_PX</stp>
        <stp>[BondPricer-0.2.xlsm]FRENCH_BTAN_TYPE89!R159C20</stp>
        <stp>YAS_BOND_YLD=1.49404904306365</stp>
        <stp>YAS_YLD_CONV=1</stp>
        <tr r="T159" s="8"/>
      </tp>
      <tp>
        <v>54.113000000000063</v>
        <stp/>
        <stp>##V3_BDPV12</stp>
        <stp>JK8068161 Govt</stp>
        <stp>YAS_BOND_PX</stp>
        <stp>[BondPricer-0.2.xlsm]FRENCH_BTAN_TYPE89!R205C20</stp>
        <stp>YAS_BOND_YLD=1.96217493462034</stp>
        <stp>YAS_YLD_CONV=1</stp>
        <tr r="T205" s="8"/>
      </tp>
      <tp>
        <v>58.378000000000014</v>
        <stp/>
        <stp>##V3_BDPV12</stp>
        <stp>EI0432399 Govt</stp>
        <stp>YAS_BOND_PX</stp>
        <stp>[BondPricer-0.2.xlsm]FRENCH_BTAN_TYPE89!R197C20</stp>
        <stp>YAS_BOND_YLD=1.83996470796834</stp>
        <stp>YAS_YLD_CONV=1</stp>
        <tr r="T197" s="8"/>
      </tp>
      <tp>
        <v>59.983000000000182</v>
        <stp/>
        <stp>##V3_BDPV12</stp>
        <stp>EI0432357 Govt</stp>
        <stp>YAS_BOND_PX</stp>
        <stp>[BondPricer-0.2.xlsm]FRENCH_BTAN_TYPE89!R194C20</stp>
        <stp>YAS_BOND_YLD=1.80822683126691</stp>
        <stp>YAS_YLD_CONV=1</stp>
        <tr r="T194" s="8"/>
      </tp>
      <tp>
        <v>74.542000000000002</v>
        <stp/>
        <stp>##V3_BDPV12</stp>
        <stp>EF6782892 Govt</stp>
        <stp>YAS_BOND_PX</stp>
        <stp>[BondPricer-0.2.xlsm]FRENCH_BTAN_TYPE89!R161C20</stp>
        <stp>YAS_BOND_YLD=1.47824876407352</stp>
        <stp>YAS_YLD_CONV=1</stp>
        <tr r="T161" s="8"/>
      </tp>
      <tp>
        <v>3.6626946066497807</v>
        <stp/>
        <stp>##V3_BDPV12</stp>
        <stp>912828TJ Govt</stp>
        <stp>DUR_ADJ_ASK</stp>
        <stp>[BondPricer-0.2.xlsm]US_TREASURY_TYPE1!R45C28</stp>
        <stp>YLD_YTM_ASK=2.9603283</stp>
        <stp>YAS_YLD_CONV=3</stp>
        <tr r="AB45" s="4"/>
      </tp>
      <tp>
        <v>4.2916755510225686</v>
        <stp/>
        <stp>##V3_BDPV12</stp>
        <stp>912828R2 Govt</stp>
        <stp>DUR_ADJ_ASK</stp>
        <stp>[BondPricer-0.2.xlsm]US_TREASURY_TYPE1!R55C28</stp>
        <stp>YLD_YTM_ASK=2.9923178</stp>
        <stp>YAS_YLD_CONV=3</stp>
        <tr r="AB55" s="4"/>
      </tp>
      <tp>
        <v>3.2272357074950908</v>
        <stp/>
        <stp>##V3_BDPV12</stp>
        <stp>912828W5 Govt</stp>
        <stp>DUR_ADJ_ASK</stp>
        <stp>[BondPricer-0.2.xlsm]US_TREASURY_TYPE1!R38C28</stp>
        <stp>YLD_YTM_ASK=2.9453274</stp>
        <stp>YAS_YLD_CONV=3</stp>
        <tr r="AB38" s="4"/>
      </tp>
      <tp>
        <v>3.7864084173024892</v>
        <stp/>
        <stp>##V3_BDPV12</stp>
        <stp>EF1307950 Govt</stp>
        <stp>YLD_YTM_ASK</stp>
        <stp>[BondPricer-0.2.xlsm]ITALIAN_BTPS_TYPE523!R131C15</stp>
        <tr r="O131" s="5"/>
      </tp>
      <tp>
        <v>4.7264920410080853</v>
        <stp/>
        <stp>##V3_BDPV12</stp>
        <stp>912828T2 Govt</stp>
        <stp>DUR_ADJ_ASK</stp>
        <stp>[BondPricer-0.2.xlsm]US_TREASURY_TYPE1!R63C28</stp>
        <stp>YLD_YTM_ASK=3.0083262</stp>
        <stp>YAS_YLD_CONV=3</stp>
        <tr r="AB63" s="4"/>
      </tp>
      <tp>
        <v>2.9812033578242469</v>
        <stp/>
        <stp>##V3_BDPV12</stp>
        <stp>912828G5 Govt</stp>
        <stp>DUR_ADJ_ASK</stp>
        <stp>[BondPricer-0.2.xlsm]US_TREASURY_TYPE1!R31C28</stp>
        <stp>YLD_YTM_ASK=2.9263115</stp>
        <stp>YAS_YLD_CONV=3</stp>
        <tr r="AB31" s="4"/>
      </tp>
      <tp>
        <v>3.2333865285669159</v>
        <stp/>
        <stp>##V3_BDPV12</stp>
        <stp>912828J4 Govt</stp>
        <stp>DUR_ADJ_ASK</stp>
        <stp>[BondPricer-0.2.xlsm]US_TREASURY_TYPE1!R37C28</stp>
        <stp>YLD_YTM_ASK=2.9403021</stp>
        <stp>YAS_YLD_CONV=3</stp>
        <tr r="AB37" s="4"/>
      </tp>
      <tp>
        <v>111.64299999383451</v>
        <stp/>
        <stp>##V3_BDPV12</stp>
        <stp>EJ6794667 Govt</stp>
        <stp>PX_ASK</stp>
        <stp>[BondPricer-0.2.xlsm]ITALIAN_BTPS_TYPE523!R161C22</stp>
        <stp>YAS_BOND_YLD=4.061817037819</stp>
        <stp>YAS_YLD_CONV=1</stp>
        <tr r="V161" s="5"/>
      </tp>
      <tp>
        <v>4.6447167166469479</v>
        <stp/>
        <stp>##V3_BDPV12</stp>
        <stp>9128282D Govt</stp>
        <stp>DUR_ADJ_ASK</stp>
        <stp>[BondPricer-0.2.xlsm]US_TREASURY_TYPE1!R62C28</stp>
        <stp>YLD_YTM_ASK=3.0043788</stp>
        <stp>YAS_YLD_CONV=3</stp>
        <tr r="AB62" s="4"/>
      </tp>
      <tp>
        <v>11.051878297921292</v>
        <stp/>
        <stp>##V3_BDPV12</stp>
        <stp>EK2935907 Govt</stp>
        <stp>YAS_RISK</stp>
        <stp>[BondPricer-0.2.xlsm]FRENCH_BTAN_TYPE89!R101C24</stp>
        <stp>YLD_YTM_ASK=1.01855930198374</stp>
        <stp>YAS_YLD_CONV=1</stp>
        <tr r="X101" s="8"/>
      </tp>
      <tp>
        <v>17.035438932764535</v>
        <stp/>
        <stp>##V3_BDPV12</stp>
        <stp>JK8069003 Govt</stp>
        <stp>YAS_RISK</stp>
        <stp>[BondPricer-0.2.xlsm]FRENCH_BTAN_TYPE89!R233C24</stp>
        <stp>YLD_YTM_ASK=2.11792800139392</stp>
        <stp>YAS_YLD_CONV=1</stp>
        <tr r="X233" s="8"/>
      </tp>
      <tp>
        <v>17.872583616734516</v>
        <stp/>
        <stp>##V3_BDPV12</stp>
        <stp>ED8389048 Govt</stp>
        <stp>YAS_RISK</stp>
        <stp>[BondPricer-0.2.xlsm]FRENCH_BTAN_TYPE89!R192C24</stp>
        <stp>YLD_YTM_ASK=1.52503951607073</stp>
        <stp>YAS_YLD_CONV=1</stp>
        <tr r="X192" s="8"/>
      </tp>
      <tp>
        <v>16.910055548177283</v>
        <stp/>
        <stp>##V3_BDPV12</stp>
        <stp>JK8068260 Govt</stp>
        <stp>YAS_RISK</stp>
        <stp>[BondPricer-0.2.xlsm]FRENCH_BTAN_TYPE89!R211C24</stp>
        <stp>YLD_YTM_ASK=2.00435087491979</stp>
        <stp>YAS_YLD_CONV=1</stp>
        <tr r="X211" s="8"/>
      </tp>
      <tp>
        <v>11.422600693876461</v>
        <stp/>
        <stp>##V3_BDPV12</stp>
        <stp>EI0429353 Govt</stp>
        <stp>YAS_RISK</stp>
        <stp>[BondPricer-0.2.xlsm]FRENCH_BTAN_TYPE89!R118C24</stp>
        <stp>YLD_YTM_ASK=1.16799912200549</stp>
        <stp>YAS_YLD_CONV=1</stp>
        <tr r="X118" s="8"/>
      </tp>
      <tp>
        <v>15.894903889861922</v>
        <stp/>
        <stp>##V3_BDPV12</stp>
        <stp>EJ6186799 Govt</stp>
        <stp>YAS_RISK</stp>
        <stp>[BondPricer-0.2.xlsm]FRENCH_BTAN_TYPE89!R181C24</stp>
        <stp>YLD_YTM_ASK=1.72094366440338</stp>
        <stp>YAS_YLD_CONV=1</stp>
        <tr r="X181" s="8"/>
      </tp>
      <tp>
        <v>17.117768197947925</v>
        <stp/>
        <stp>##V3_BDPV12</stp>
        <stp>JK8069441 Govt</stp>
        <stp>YAS_RISK</stp>
        <stp>[BondPricer-0.2.xlsm]FRENCH_BTAN_TYPE89!R235C24</stp>
        <stp>YLD_YTM_ASK=2.11842443200774</stp>
        <stp>YAS_YLD_CONV=1</stp>
        <tr r="X235" s="8"/>
      </tp>
      <tp>
        <v>17.14675369074925</v>
        <stp/>
        <stp>##V3_BDPV12</stp>
        <stp>EI0432993 Govt</stp>
        <stp>YAS_RISK</stp>
        <stp>[BondPricer-0.2.xlsm]FRENCH_BTAN_TYPE89!R215C24</stp>
        <stp>YLD_YTM_ASK=2.01425026182998</stp>
        <stp>YAS_YLD_CONV=1</stp>
        <tr r="X215" s="8"/>
      </tp>
      <tp>
        <v>6.9055438798566371</v>
        <stp/>
        <stp>##V3_BDPV12</stp>
        <stp>JK2344014 Govt</stp>
        <stp>DUR_ADJ_ASK</stp>
        <stp>[BondPricer-0.2.xlsm]ITALIAN_BTPS_TYPE523!R48C29</stp>
        <stp>YLD_YTM_ASK=3.22510341520132</stp>
        <stp>YAS_YLD_CONV=1</stp>
        <tr r="AC48" s="5"/>
      </tp>
      <tp>
        <v>11.358069887980307</v>
        <stp/>
        <stp>##V3_BDPV12</stp>
        <stp>EC5588883 Govt</stp>
        <stp>DUR_ADJ_ASK</stp>
        <stp>[BondPricer-0.2.xlsm]ITALIAN_BTPS_TYPE523!R93C29</stp>
        <stp>YLD_YTM_ASK=3.80957497715453</stp>
        <stp>YAS_YLD_CONV=1</stp>
        <tr r="AC93" s="5"/>
      </tp>
      <tp>
        <v>9.4481379323926209</v>
        <stp/>
        <stp>##V3_BDPV12</stp>
        <stp>EC5588560 Govt</stp>
        <stp>DUR_ADJ_ASK</stp>
        <stp>[BondPricer-0.2.xlsm]ITALIAN_BTPS_TYPE523!R73C29</stp>
        <stp>YLD_YTM_ASK=3.62637453875025</stp>
        <stp>YAS_YLD_CONV=1</stp>
        <tr r="AC73" s="5"/>
      </tp>
      <tp>
        <v>0.93694748531639638</v>
        <stp/>
        <stp>##V3_BDPV12</stp>
        <stp>EH728200 Corp</stp>
        <stp>YLD_YTM_ASK</stp>
        <stp>[BondPricer-0.2.xlsm]UK_GILT_TYPE26!R8C13</stp>
        <tr r="M8" s="13"/>
      </tp>
      <tp>
        <v>9.9200571203070567</v>
        <stp/>
        <stp>##V3_BDPV12</stp>
        <stp>EH9753441 Govt</stp>
        <stp>YAS_MOD_DUR</stp>
        <stp>[BondPricer-0.2.xlsm]JAPAN_JGB_TYPE51!R109C28</stp>
        <stp>YLD_YTM_ASK=0.17</stp>
        <stp>YAS_YLD_CONV=3</stp>
        <tr r="AB109" s="7"/>
      </tp>
      <tp>
        <v>8.2403224500098524</v>
        <stp/>
        <stp>##V3_BDPV12</stp>
        <stp>EC0659473 Govt</stp>
        <stp>DUR_ADJ_ASK</stp>
        <stp>[BondPricer-0.2.xlsm]ITALIAN_BTPS_TYPE523!R85C29</stp>
        <stp>YLD_YTM_ASK=3.61876815671047</stp>
        <stp>YAS_YLD_CONV=1</stp>
        <tr r="AC85" s="5"/>
      </tp>
      <tp>
        <v>6.9414351322599543</v>
        <stp/>
        <stp>##V3_BDPV12</stp>
        <stp>912810EV Govt</stp>
        <stp>YAS_RISK</stp>
        <stp>[BondPricer-0.2.xlsm]US_TREASURY_TYPE1!R76C24</stp>
        <stp>YLD_YTM_ASK=3.0589924</stp>
        <stp>YAS_YLD_CONV=3</stp>
        <tr r="X76" s="4"/>
      </tp>
      <tp>
        <v>3.7775666156776513</v>
        <stp/>
        <stp>##V3_BDPV12</stp>
        <stp>JK8199578 Corp</stp>
        <stp>DUR_ADJ_ASK</stp>
        <stp>[BondPricer-0.2.xlsm]AUSTRALIAN_GOVT_TYPE23!R17C30</stp>
        <stp>YLD_YTM_ASK=2.48491129621638</stp>
        <stp>YAS_YLD_CONV=3</stp>
        <tr r="AD17" s="9"/>
      </tp>
      <tp>
        <v>5.8509975762235609</v>
        <stp/>
        <stp>##V3_BDPV12</stp>
        <stp>CP5087954 Govt</stp>
        <stp>DUR_ADJ_ASK</stp>
        <stp>[BondPricer-0.2.xlsm]ITALIAN_BTPS_TYPE523!R31C29</stp>
        <stp>YLD_YTM_ASK=3.24327305847996</stp>
        <stp>YAS_YLD_CONV=1</stp>
        <tr r="AC31" s="5"/>
      </tp>
      <tp>
        <v>7.2971037154987357</v>
        <stp/>
        <stp>##V3_BDPV12</stp>
        <stp>CP5087988 Govt</stp>
        <stp>DUR_ADJ_ASK</stp>
        <stp>[BondPricer-0.2.xlsm]ITALIAN_BTPS_TYPE523!R47C29</stp>
        <stp>YLD_YTM_ASK=3.45082511129713</stp>
        <stp>YAS_YLD_CONV=1</stp>
        <tr r="AC47" s="5"/>
      </tp>
      <tp>
        <v>19.11570680697336</v>
        <stp/>
        <stp>##V3_BDPV12</stp>
        <stp>EK0224411 Govt</stp>
        <stp>DUR_ADJ_ASK</stp>
        <stp>[BondPricer-0.2.xlsm]ITALIAN_BTPS_TYPE523!R138C29</stp>
        <stp>YLD_YTM_ASK=3.96132546221823</stp>
        <stp>YAS_YLD_CONV=1</stp>
        <tr r="AC138" s="5"/>
      </tp>
      <tp>
        <v>6.1207717634808034</v>
        <stp/>
        <stp>##V3_BDPV12</stp>
        <stp>912828M5 Govt</stp>
        <stp>YAS_RISK</stp>
        <stp>[BondPricer-0.2.xlsm]US_TREASURY_TYPE1!R78C24</stp>
        <stp>YLD_YTM_ASK=3.1010653</stp>
        <stp>YAS_YLD_CONV=3</stp>
        <tr r="X78" s="4"/>
      </tp>
      <tp>
        <v>24.832169788992982</v>
        <stp/>
        <stp>##V3_BDPV12</stp>
        <stp>EK0225855 Govt</stp>
        <stp>DUR_ADJ_ASK</stp>
        <stp>[BondPricer-0.2.xlsm]ITALIAN_BTPS_TYPE523!R162C29</stp>
        <stp>YLD_YTM_ASK=4.19128956056747</stp>
        <stp>YAS_YLD_CONV=1</stp>
        <tr r="AC162" s="5"/>
      </tp>
      <tp>
        <v>3.760964027949143</v>
        <stp/>
        <stp>##V3_BDPV12</stp>
        <stp>EK0660432 Govt</stp>
        <stp>YAS_RISK</stp>
        <stp>[BondPricer-0.2.xlsm]ITALIAN_BTPS_TYPE523!R9C26</stp>
        <stp>YLD_YTM_ASK=2.84560926857329</stp>
        <stp>YAS_YLD_CONV=33</stp>
        <tr r="Z9" s="5"/>
      </tp>
      <tp>
        <v>17.596128934376715</v>
        <stp/>
        <stp>##V3_BDPV12</stp>
        <stp>EF1312489 Govt</stp>
        <stp>DUR_ADJ_ASK</stp>
        <stp>[BondPricer-0.2.xlsm]ITALIAN_BTPS_TYPE523!R133C29</stp>
        <stp>YLD_YTM_ASK=3.96340248138782</stp>
        <stp>YAS_YLD_CONV=1</stp>
        <tr r="AC133" s="5"/>
      </tp>
      <tp>
        <v>35.414488499360878</v>
        <stp/>
        <stp>##V3_BDPV12</stp>
        <stp>AN2011814 Govt</stp>
        <stp>DUR_ADJ_ASK</stp>
        <stp>[BondPricer-0.2.xlsm]ITALIAN_BTPS_TYPE523!R186C29</stp>
        <stp>YLD_YTM_ASK=4.11843626439896</stp>
        <stp>YAS_YLD_CONV=1</stp>
        <tr r="AC186" s="5"/>
      </tp>
      <tp>
        <v>15.202003527610087</v>
        <stp/>
        <stp>##V3_BDPV12</stp>
        <stp>EJ4853937 Govt</stp>
        <stp>DUR_ADJ_ASK</stp>
        <stp>[BondPricer-0.2.xlsm]ITALIAN_BTPS_TYPE523!R118C29</stp>
        <stp>YLD_YTM_ASK=3.87294100590416</stp>
        <stp>YAS_YLD_CONV=1</stp>
        <tr r="AC118" s="5"/>
      </tp>
      <tp>
        <v>46.862858345826389</v>
        <stp/>
        <stp>##V3_BDPV12</stp>
        <stp>AN2032562 Govt</stp>
        <stp>DUR_ADJ_ASK</stp>
        <stp>[BondPricer-0.2.xlsm]ITALIAN_BTPS_TYPE523!R210C29</stp>
        <stp>YLD_YTM_ASK=3.22271852470675</stp>
        <stp>YAS_YLD_CONV=1</stp>
        <tr r="AC210" s="5"/>
      </tp>
      <tp>
        <v>32.025360655451543</v>
        <stp/>
        <stp>##V3_BDPV12</stp>
        <stp>AN1982643 Govt</stp>
        <stp>DUR_ADJ_ASK</stp>
        <stp>[BondPricer-0.2.xlsm]ITALIAN_BTPS_TYPE523!R179C29</stp>
        <stp>YLD_YTM_ASK=4.20800814609426</stp>
        <stp>YAS_YLD_CONV=1</stp>
        <tr r="AC179" s="5"/>
      </tp>
      <tp>
        <v>55.336000000000027</v>
        <stp/>
        <stp>##V3_BDPV12</stp>
        <stp>EI0432514 Govt</stp>
        <stp>YAS_BOND_PX</stp>
        <stp>[BondPricer-0.2.xlsm]FRENCH_BTAN_TYPE89!R203C20</stp>
        <stp>YAS_BOND_YLD=1.89506842526015</stp>
        <stp>YAS_YLD_CONV=1</stp>
        <tr r="T203" s="8"/>
      </tp>
      <tp>
        <v>83.82300000000005</v>
        <stp/>
        <stp>##V3_BDPV12</stp>
        <stp>EI0429395 Govt</stp>
        <stp>YAS_BOND_PX</stp>
        <stp>[BondPricer-0.2.xlsm]FRENCH_BTAN_TYPE89!R125C20</stp>
        <stp>YAS_BOND_YLD=1.22267667360945</stp>
        <stp>YAS_YLD_CONV=1</stp>
        <tr r="T125" s="8"/>
      </tp>
      <tp>
        <v>84.564999999999969</v>
        <stp/>
        <stp>##V3_BDPV12</stp>
        <stp>EI0429155 Govt</stp>
        <stp>YAS_BOND_PX</stp>
        <stp>[BondPricer-0.2.xlsm]FRENCH_BTAN_TYPE89!R123C20</stp>
        <stp>YAS_BOND_YLD=1.20280233475396</stp>
        <stp>YAS_YLD_CONV=1</stp>
        <tr r="T123" s="8"/>
      </tp>
      <tp>
        <v>76.976000000000013</v>
        <stp/>
        <stp>##V3_BDPV12</stp>
        <stp>EI0431599 Govt</stp>
        <stp>YAS_BOND_PX</stp>
        <stp>[BondPricer-0.2.xlsm]FRENCH_BTAN_TYPE89!R150C20</stp>
        <stp>YAS_BOND_YLD=1.42292685053389</stp>
        <stp>YAS_YLD_CONV=1</stp>
        <tr r="T150" s="8"/>
      </tp>
      <tp>
        <v>101.65625006599456</v>
        <stp/>
        <stp>##V3_BDPV12</stp>
        <stp>912828PX Govt</stp>
        <stp>YAS_BOND_PX</stp>
        <stp>[BondPricer-0.2.xlsm]US_TREASURY_TYPE1!R9C20</stp>
        <stp>YAS_BOND_YLD=2.8840743</stp>
        <stp>YAS_YLD_CONV=2</stp>
        <tr r="T9" s="4"/>
      </tp>
      <tp>
        <v>58.920999999999978</v>
        <stp/>
        <stp>##V3_BDPV12</stp>
        <stp>JK8068112 Govt</stp>
        <stp>YAS_BOND_PX</stp>
        <stp>[BondPricer-0.2.xlsm]FRENCH_BTAN_TYPE89!R199C20</stp>
        <stp>YAS_BOND_YLD=1.80296493203664</stp>
        <stp>YAS_YLD_CONV=1</stp>
        <tr r="T199" s="8"/>
      </tp>
      <tp>
        <v>3.368279896646571</v>
        <stp/>
        <stp>##V3_BDPV12</stp>
        <stp>912828WZ Govt</stp>
        <stp>DUR_ADJ_ASK</stp>
        <stp>[BondPricer-0.2.xlsm]US_TREASURY_TYPE1!R40C28</stp>
        <stp>YLD_YTM_ASK=2.9502328</stp>
        <stp>YAS_YLD_CONV=3</stp>
        <tr r="AB40" s="4"/>
      </tp>
      <tp>
        <v>2.433800203782206</v>
        <stp/>
        <stp>##V3_BDPV12</stp>
        <stp>912828QN Govt</stp>
        <stp>DUR_ADJ_ASK</stp>
        <stp>[BondPricer-0.2.xlsm]US_TREASURY_TYPE1!R15C28</stp>
        <stp>YLD_YTM_ASK=2.8872095</stp>
        <stp>YAS_YLD_CONV=3</stp>
        <tr r="AB15" s="4"/>
      </tp>
      <tp>
        <v>4.8304196034463107</v>
        <stp/>
        <stp>##V3_BDPV12</stp>
        <stp>912828V2 Govt</stp>
        <stp>DUR_ADJ_ASK</stp>
        <stp>[BondPricer-0.2.xlsm]US_TREASURY_TYPE1!R67C28</stp>
        <stp>YLD_YTM_ASK=3.0152849</stp>
        <stp>YAS_YLD_CONV=3</stp>
        <tr r="AB67" s="4"/>
      </tp>
      <tp>
        <v>2.8711001106941425</v>
        <stp/>
        <stp>##V3_BDPV12</stp>
        <stp>912828T3 Govt</stp>
        <stp>DUR_ADJ_ASK</stp>
        <stp>[BondPricer-0.2.xlsm]US_TREASURY_TYPE1!R25C28</stp>
        <stp>YLD_YTM_ASK=2.9222055</stp>
        <stp>YAS_YLD_CONV=3</stp>
        <tr r="AB25" s="4"/>
      </tp>
      <tp>
        <v>3.793171227080161</v>
        <stp/>
        <stp>##V3_BDPV12</stp>
        <stp>ED1544706 Govt</stp>
        <stp>YLD_YTM_ASK</stp>
        <stp>[BondPricer-0.2.xlsm]ITALIAN_BTPS_TYPE523!R117C15</stp>
        <tr r="O117" s="5"/>
      </tp>
      <tp>
        <v>2.3109805516002604</v>
        <stp/>
        <stp>##V3_BDPV12</stp>
        <stp>912828P8 Govt</stp>
        <stp>DUR_ADJ_ASK</stp>
        <stp>[BondPricer-0.2.xlsm]US_TREASURY_TYPE1!R10C28</stp>
        <stp>YLD_YTM_ASK=2.8912735</stp>
        <stp>YAS_YLD_CONV=3</stp>
        <tr r="AB10" s="4"/>
      </tp>
      <tp>
        <v>6.2815447531335717</v>
        <stp/>
        <stp>##V3_BDPV12</stp>
        <stp>912828K7 Govt</stp>
        <stp>DUR_ADJ_ASK</stp>
        <stp>[BondPricer-0.2.xlsm]US_TREASURY_TYPE1!R77C28</stp>
        <stp>YLD_YTM_ASK=3.0932307</stp>
        <stp>YAS_YLD_CONV=3</stp>
        <tr r="AB77" s="4"/>
      </tp>
      <tp>
        <v>3.1647075306704648</v>
        <stp/>
        <stp>##V3_BDPV12</stp>
        <stp>912828H8 Govt</stp>
        <stp>DUR_ADJ_ASK</stp>
        <stp>[BondPricer-0.2.xlsm]US_TREASURY_TYPE1!R34C28</stp>
        <stp>YLD_YTM_ASK=2.9392362</stp>
        <stp>YAS_YLD_CONV=3</stp>
        <tr r="AB34" s="4"/>
      </tp>
      <tp>
        <v>2.8941744180099684</v>
        <stp/>
        <stp>##V3_BDPV12</stp>
        <stp>912828F9 Govt</stp>
        <stp>DUR_ADJ_ASK</stp>
        <stp>[BondPricer-0.2.xlsm]US_TREASURY_TYPE1!R28C28</stp>
        <stp>YLD_YTM_ASK=2.9272994</stp>
        <stp>YAS_YLD_CONV=3</stp>
        <tr r="AB28" s="4"/>
      </tp>
      <tp>
        <v>2.8804710520149213</v>
        <stp/>
        <stp>##V3_BDPV12</stp>
        <stp>QZ5107748 Govt</stp>
        <stp>YLD_YTM_ASK</stp>
        <stp>[BondPricer-0.2.xlsm]ITALIAN_BTPS_TYPE523!R17C15</stp>
        <tr r="O17" s="5"/>
      </tp>
      <tp>
        <v>17.315840948378991</v>
        <stp/>
        <stp>##V3_BDPV12</stp>
        <stp>JK8070761 Govt</stp>
        <stp>YAS_RISK</stp>
        <stp>[BondPricer-0.2.xlsm]FRENCH_BTAN_TYPE89!R238C24</stp>
        <stp>YLD_YTM_ASK=2.10157750128581</stp>
        <stp>YAS_YLD_CONV=1</stp>
        <tr r="X238" s="8"/>
      </tp>
      <tp>
        <v>16.390737450148762</v>
        <stp/>
        <stp>##V3_BDPV12</stp>
        <stp>EI0432191 Govt</stp>
        <stp>YAS_RISK</stp>
        <stp>[BondPricer-0.2.xlsm]FRENCH_BTAN_TYPE89!R185C24</stp>
        <stp>YLD_YTM_ASK=1.76390504427886</stp>
        <stp>YAS_YLD_CONV=1</stp>
        <tr r="X185" s="8"/>
      </tp>
      <tp>
        <v>17.377800669643761</v>
        <stp/>
        <stp>##V3_BDPV12</stp>
        <stp>EC3954004 Govt</stp>
        <stp>YAS_RISK</stp>
        <stp>[BondPricer-0.2.xlsm]FRENCH_BTAN_TYPE89!R121C24</stp>
        <stp>YLD_YTM_ASK=1.06212239426063</stp>
        <stp>YAS_YLD_CONV=1</stp>
        <tr r="X121" s="8"/>
      </tp>
      <tp>
        <v>15.949638682939593</v>
        <stp/>
        <stp>##V3_BDPV12</stp>
        <stp>EH8794248 Govt</stp>
        <stp>YAS_RISK</stp>
        <stp>[BondPricer-0.2.xlsm]FRENCH_BTAN_TYPE89!R171C24</stp>
        <stp>YLD_YTM_ASK=1.47758223542538</stp>
        <stp>YAS_YLD_CONV=1</stp>
        <tr r="X171" s="8"/>
      </tp>
      <tp>
        <v>17.000898251142615</v>
        <stp/>
        <stp>##V3_BDPV12</stp>
        <stp>JK8068369 Govt</stp>
        <stp>YAS_RISK</stp>
        <stp>[BondPricer-0.2.xlsm]FRENCH_BTAN_TYPE89!R226C24</stp>
        <stp>YLD_YTM_ASK=2.09230246083716</stp>
        <stp>YAS_YLD_CONV=1</stp>
        <tr r="X226" s="8"/>
      </tp>
      <tp>
        <v>17.503810136753728</v>
        <stp/>
        <stp>##V3_BDPV12</stp>
        <stp>EI1868633 Govt</stp>
        <stp>YAS_RISK</stp>
        <stp>[BondPricer-0.2.xlsm]FRENCH_BTAN_TYPE89!R232C24</stp>
        <stp>YLD_YTM_ASK=2.05219833221391</stp>
        <stp>YAS_YLD_CONV=1</stp>
        <tr r="X232" s="8"/>
      </tp>
      <tp>
        <v>6.0777179780140367</v>
        <stp/>
        <stp>##V3_BDPV12</stp>
        <stp>EK7691190 Govt</stp>
        <stp>DUR_ADJ_ASK</stp>
        <stp>[BondPricer-0.2.xlsm]ITALIAN_BTPS_TYPE523!R38C29</stp>
        <stp>YLD_YTM_ASK=3.21025177581182</stp>
        <stp>YAS_YLD_CONV=1</stp>
        <tr r="AC38" s="5"/>
      </tp>
      <tp>
        <v>7.7881205767587529</v>
        <stp/>
        <stp>##V3_BDPV12</stp>
        <stp>EJ5142728 Govt</stp>
        <stp>DUR_ADJ_ASK</stp>
        <stp>[BondPricer-0.2.xlsm]ITALIAN_BTPS_TYPE523!R74C29</stp>
        <stp>YLD_YTM_ASK=3.50425553832534</stp>
        <stp>YAS_YLD_CONV=1</stp>
        <tr r="AC74" s="5"/>
      </tp>
      <tp>
        <v>5.3820443931993482</v>
        <stp/>
        <stp>##V3_BDPV12</stp>
        <stp>EH8960682 Govt</stp>
        <stp>DUR_ADJ_ASK</stp>
        <stp>[BondPricer-0.2.xlsm]ITALIAN_BTPS_TYPE523!R34C29</stp>
        <stp>YLD_YTM_ASK=3.23972301112336</stp>
        <stp>YAS_YLD_CONV=1</stp>
        <tr r="AC34" s="5"/>
      </tp>
      <tp>
        <v>7.7695503490482034</v>
        <stp/>
        <stp>##V3_BDPV12</stp>
        <stp>EJ4852988 Govt</stp>
        <stp>DUR_ADJ_ASK</stp>
        <stp>[BondPricer-0.2.xlsm]ITALIAN_BTPS_TYPE523!R52C29</stp>
        <stp>YLD_YTM_ASK=3.52625409214433</stp>
        <stp>YAS_YLD_CONV=1</stp>
        <tr r="AC52" s="5"/>
      </tp>
      <tp>
        <v>13.122847564501903</v>
        <stp/>
        <stp>##V3_BDPV12</stp>
        <stp>EK8211675 Corp</stp>
        <stp>DUR_ADJ_ASK</stp>
        <stp>[BondPricer-0.2.xlsm]AUSTRALIAN_GOVT_TYPE23!R56C30</stp>
        <stp>YLD_YTM_ASK=2.94796152507814</stp>
        <stp>YAS_YLD_CONV=3</stp>
        <tr r="AD56" s="9"/>
      </tp>
      <tp>
        <v>7.7746825459766269</v>
        <stp/>
        <stp>##V3_BDPV12</stp>
        <stp>CP5087996 Govt</stp>
        <stp>DUR_ADJ_ASK</stp>
        <stp>[BondPricer-0.2.xlsm]ITALIAN_BTPS_TYPE523!R54C29</stp>
        <stp>YLD_YTM_ASK=3.45791471407746</stp>
        <stp>YAS_YLD_CONV=1</stp>
        <tr r="AC54" s="5"/>
      </tp>
      <tp>
        <v>6.8145123935331577</v>
        <stp/>
        <stp>##V3_BDPV12</stp>
        <stp>CP5087970 Govt</stp>
        <stp>DUR_ADJ_ASK</stp>
        <stp>[BondPricer-0.2.xlsm]ITALIAN_BTPS_TYPE523!R41C29</stp>
        <stp>YLD_YTM_ASK=3.40118447074607</stp>
        <stp>YAS_YLD_CONV=1</stp>
        <tr r="AC41" s="5"/>
      </tp>
      <tp>
        <v>13.620564407096289</v>
        <stp/>
        <stp>##V3_BDPV12</stp>
        <stp>EK5450789 Corp</stp>
        <stp>DUR_ADJ_ASK</stp>
        <stp>[BondPricer-0.2.xlsm]AUSTRALIAN_GOVT_TYPE23!R59C30</stp>
        <stp>YLD_YTM_ASK=2.93849876226276</stp>
        <stp>YAS_YLD_CONV=3</stp>
        <tr r="AD59" s="9"/>
      </tp>
      <tp>
        <v>20.984453221489897</v>
        <stp/>
        <stp>##V3_BDPV12</stp>
        <stp>EK0097973 Govt</stp>
        <stp>DUR_ADJ_ASK</stp>
        <stp>[BondPricer-0.2.xlsm]ITALIAN_BTPS_TYPE523!R152C29</stp>
        <stp>YLD_YTM_ASK=4.26038331030303</stp>
        <stp>YAS_YLD_CONV=1</stp>
        <tr r="AC152" s="5"/>
      </tp>
      <tp>
        <v>3.7280258452994985</v>
        <stp/>
        <stp>##V3_BDPV12</stp>
        <stp>EK0221235 Govt</stp>
        <stp>YAS_RISK</stp>
        <stp>[BondPricer-0.2.xlsm]ITALIAN_BTPS_TYPE523!R8C26</stp>
        <stp>YLD_YTM_ASK=3.01412461465169</stp>
        <stp>YAS_YLD_CONV=33</stp>
        <tr r="Z8" s="5"/>
      </tp>
      <tp>
        <v>5.5138687953913745</v>
        <stp/>
        <stp>##V3_BDPV12</stp>
        <stp>912828J2 Govt</stp>
        <stp>YAS_RISK</stp>
        <stp>[BondPricer-0.2.xlsm]US_TREASURY_TYPE1!R74C24</stp>
        <stp>YLD_YTM_ASK=3.0744186</stp>
        <stp>YAS_YLD_CONV=3</stp>
        <tr r="X74" s="4"/>
      </tp>
      <tp>
        <v>21.402013047225498</v>
        <stp/>
        <stp>##V3_BDPV12</stp>
        <stp>EK0224833 Govt</stp>
        <stp>DUR_ADJ_ASK</stp>
        <stp>[BondPricer-0.2.xlsm]ITALIAN_BTPS_TYPE523!R153C29</stp>
        <stp>YLD_YTM_ASK=4.53665066730584</stp>
        <stp>YAS_YLD_CONV=1</stp>
        <tr r="AC153" s="5"/>
      </tp>
      <tp>
        <v>31.541851867538128</v>
        <stp/>
        <stp>##V3_BDPV12</stp>
        <stp>AN1981595 Govt</stp>
        <stp>DUR_ADJ_ASK</stp>
        <stp>[BondPricer-0.2.xlsm]ITALIAN_BTPS_TYPE523!R178C29</stp>
        <stp>YLD_YTM_ASK=4.22022108110065</stp>
        <stp>YAS_YLD_CONV=1</stp>
        <tr r="AC178" s="5"/>
      </tp>
      <tp>
        <v>20.453345571828628</v>
        <stp/>
        <stp>##V3_BDPV12</stp>
        <stp>EK0224478 Govt</stp>
        <stp>DUR_ADJ_ASK</stp>
        <stp>[BondPricer-0.2.xlsm]ITALIAN_BTPS_TYPE523!R147C29</stp>
        <stp>YLD_YTM_ASK=4.49608432285853</stp>
        <stp>YAS_YLD_CONV=1</stp>
        <tr r="AC147" s="5"/>
      </tp>
      <tp>
        <v>96.671874947145469</v>
        <stp/>
        <stp>##V3_BDPV12</stp>
        <stp>912828N8 Govt</stp>
        <stp>YAS_BOND_PX</stp>
        <stp>[BondPricer-0.2.xlsm]US_TREASURY_TYPE1!R7C20</stp>
        <stp>YAS_BOND_YLD=2.8863167</stp>
        <stp>YAS_YLD_CONV=2</stp>
        <tr r="T7" s="4"/>
      </tp>
      <tp>
        <v>13.751332492964679</v>
        <stp/>
        <stp>##V3_BDPV12</stp>
        <stp>EJ4853739 Govt</stp>
        <stp>DUR_ADJ_ASK</stp>
        <stp>[BondPricer-0.2.xlsm]ITALIAN_BTPS_TYPE523!R108C29</stp>
        <stp>YLD_YTM_ASK=3.92277526891167</stp>
        <stp>YAS_YLD_CONV=1</stp>
        <tr r="AC108" s="5"/>
      </tp>
      <tp>
        <v>24.295908573271685</v>
        <stp/>
        <stp>##V3_BDPV12</stp>
        <stp>EK0225558 Govt</stp>
        <stp>DUR_ADJ_ASK</stp>
        <stp>[BondPricer-0.2.xlsm]ITALIAN_BTPS_TYPE523!R160C29</stp>
        <stp>YLD_YTM_ASK=4.43304102592348</stp>
        <stp>YAS_YLD_CONV=1</stp>
        <tr r="AC160" s="5"/>
      </tp>
      <tp>
        <v>40.732783231844742</v>
        <stp/>
        <stp>##V3_BDPV12</stp>
        <stp>AN2020252 Govt</stp>
        <stp>DUR_ADJ_ASK</stp>
        <stp>[BondPricer-0.2.xlsm]ITALIAN_BTPS_TYPE523!R197C29</stp>
        <stp>YLD_YTM_ASK=4.02690514356885</stp>
        <stp>YAS_YLD_CONV=1</stp>
        <tr r="AC197" s="5"/>
      </tp>
      <tp>
        <v>52.120999999999903</v>
        <stp/>
        <stp>##V3_BDPV12</stp>
        <stp>EI0432910 Govt</stp>
        <stp>YAS_BOND_PX</stp>
        <stp>[BondPricer-0.2.xlsm]FRENCH_BTAN_TYPE89!R209C20</stp>
        <stp>YAS_BOND_YLD=1.96290555217893</stp>
        <stp>YAS_YLD_CONV=1</stp>
        <tr r="T209" s="8"/>
      </tp>
      <tp>
        <v>71.374999999999986</v>
        <stp/>
        <stp>##V3_BDPV12</stp>
        <stp>EI0431714 Govt</stp>
        <stp>YAS_BOND_PX</stp>
        <stp>[BondPricer-0.2.xlsm]FRENCH_BTAN_TYPE89!R166C20</stp>
        <stp>YAS_BOND_YLD=1.57932073539011</stp>
        <stp>YAS_YLD_CONV=1</stp>
        <tr r="T166" s="8"/>
      </tp>
      <tp>
        <v>61.377000000000052</v>
        <stp/>
        <stp>##V3_BDPV12</stp>
        <stp>EI0432274 Govt</stp>
        <stp>YAS_BOND_PX</stp>
        <stp>[BondPricer-0.2.xlsm]FRENCH_BTAN_TYPE89!R191C20</stp>
        <stp>YAS_BOND_YLD=1.78953477289194</stp>
        <stp>YAS_YLD_CONV=1</stp>
        <tr r="T191" s="8"/>
      </tp>
      <tp>
        <v>49.920000000000009</v>
        <stp/>
        <stp>##V3_BDPV12</stp>
        <stp>JK8068294 Govt</stp>
        <stp>YAS_BOND_PX</stp>
        <stp>[BondPricer-0.2.xlsm]FRENCH_BTAN_TYPE89!R214C20</stp>
        <stp>YAS_BOND_YLD=2.02807611964391</stp>
        <stp>YAS_YLD_CONV=1</stp>
        <tr r="T214" s="8"/>
      </tp>
      <tp>
        <v>57.204000000000136</v>
        <stp/>
        <stp>##V3_BDPV12</stp>
        <stp>ED8390525 Govt</stp>
        <stp>YAS_BOND_PX</stp>
        <stp>[BondPricer-0.2.xlsm]FRENCH_BTAN_TYPE89!R213C20</stp>
        <stp>YAS_BOND_YLD=1.63117196807097</stp>
        <stp>YAS_YLD_CONV=1</stp>
        <tr r="T213" s="8"/>
      </tp>
      <tp>
        <v>2.93098196229999</v>
        <stp/>
        <stp>##V3_BDPV12</stp>
        <stp>912828T6 Govt</stp>
        <stp>DUR_ADJ_ASK</stp>
        <stp>[BondPricer-0.2.xlsm]US_TREASURY_TYPE1!R27C28</stp>
        <stp>YLD_YTM_ASK=2.9291485</stp>
        <stp>YAS_YLD_CONV=3</stp>
        <tr r="AB27" s="4"/>
      </tp>
      <tp>
        <v>4.0718190914808545</v>
        <stp/>
        <stp>##V3_BDPV12</stp>
        <stp>912828P3 Govt</stp>
        <stp>DUR_ADJ_ASK</stp>
        <stp>[BondPricer-0.2.xlsm]US_TREASURY_TYPE1!R51C28</stp>
        <stp>YLD_YTM_ASK=2.9861393</stp>
        <stp>YAS_YLD_CONV=3</stp>
        <tr r="AB51" s="4"/>
      </tp>
      <tp>
        <v>4.5771250709678686</v>
        <stp/>
        <stp>##V3_BDPV12</stp>
        <stp>912828S9 Govt</stp>
        <stp>DUR_ADJ_ASK</stp>
        <stp>[BondPricer-0.2.xlsm]US_TREASURY_TYPE1!R59C28</stp>
        <stp>YLD_YTM_ASK=3.0021805</stp>
        <stp>YAS_YLD_CONV=3</stp>
        <tr r="AB59" s="4"/>
      </tp>
      <tp>
        <v>4.650543459287662</v>
        <stp/>
        <stp>##V3_BDPV12</stp>
        <stp>912828WE Govt</stp>
        <stp>DUR_ADJ_ASK</stp>
        <stp>[BondPricer-0.2.xlsm]US_TREASURY_TYPE1!R65C28</stp>
        <stp>YLD_YTM_ASK=3.0051043</stp>
        <stp>YAS_YLD_CONV=3</stp>
        <tr r="AB65" s="4"/>
      </tp>
      <tp>
        <v>5.0087953230721025</v>
        <stp/>
        <stp>##V3_BDPV12</stp>
        <stp>912828W4 Govt</stp>
        <stp>DUR_ADJ_ASK</stp>
        <stp>[BondPricer-0.2.xlsm]US_TREASURY_TYPE1!R70C28</stp>
        <stp>YLD_YTM_ASK=3.0241361</stp>
        <stp>YAS_YLD_CONV=3</stp>
        <tr r="AB70" s="4"/>
      </tp>
      <tp>
        <v>5.5746590204382676</v>
        <stp/>
        <stp>##V3_BDPV12</stp>
        <stp>912810EV Govt</stp>
        <stp>DUR_ADJ_ASK</stp>
        <stp>[BondPricer-0.2.xlsm]US_TREASURY_TYPE1!R76C28</stp>
        <stp>YLD_YTM_ASK=3.0589924</stp>
        <stp>YAS_YLD_CONV=3</stp>
        <tr r="AB76" s="4"/>
      </tp>
      <tp>
        <v>2.366333470653907</v>
        <stp/>
        <stp>##V3_BDPV12</stp>
        <stp>912828C5 Govt</stp>
        <stp>DUR_ADJ_ASK</stp>
        <stp>[BondPricer-0.2.xlsm]US_TREASURY_TYPE1!R13C28</stp>
        <stp>YLD_YTM_ASK=2.8901147</stp>
        <stp>YAS_YLD_CONV=3</stp>
        <tr r="AB13" s="4"/>
      </tp>
      <tp>
        <v>101.02599999999975</v>
        <stp/>
        <stp>##V3_BDPV12</stp>
        <stp>EI0428751 Govt</stp>
        <stp>YAS_BOND_PX</stp>
        <stp>[BondPricer-0.2.xlsm]FRENCH_BTAN_TYPE89!R18C20</stp>
        <stp>YAS_BOND_YLD=-0.33721971266758</stp>
        <stp>YAS_YLD_CONV=1</stp>
        <tr r="T18" s="8"/>
      </tp>
      <tp>
        <v>103.96200000001781</v>
        <stp/>
        <stp>##V3_BDPV12</stp>
        <stp>UV7155053 Govt</stp>
        <stp>YAS_BOND_PX</stp>
        <stp>[BondPricer-0.2.xlsm]FRENCH_BTAN_TYPE89!R69C20</stp>
        <stp>YAS_BOND_YLD=0.432660143758812</stp>
        <stp>YAS_YLD_CONV=1</stp>
        <tr r="T69" s="8"/>
      </tp>
      <tp>
        <v>3.2505341517470532</v>
        <stp/>
        <stp>##V3_BDPV12</stp>
        <stp>UV6569569 Govt</stp>
        <stp>YLD_YTM_ASK</stp>
        <stp>[BondPricer-0.2.xlsm]ITALIAN_BTPS_TYPE523!R42C15</stp>
        <tr r="O42" s="5"/>
      </tp>
      <tp>
        <v>17.164773521144383</v>
        <stp/>
        <stp>##V3_BDPV12</stp>
        <stp>ED8388925 Govt</stp>
        <stp>YAS_RISK</stp>
        <stp>[BondPricer-0.2.xlsm]FRENCH_BTAN_TYPE89!R183C24</stp>
        <stp>YLD_YTM_ASK=1.50678097517467</stp>
        <stp>YAS_YLD_CONV=1</stp>
        <tr r="X183" s="8"/>
      </tp>
      <tp>
        <v>10.46430122932378</v>
        <stp/>
        <stp>##V3_BDPV12</stp>
        <stp>EC3971487 Govt</stp>
        <stp>YAS_RISK</stp>
        <stp>[BondPricer-0.2.xlsm]FRENCH_BTAN_TYPE89!R109C24</stp>
        <stp>YLD_YTM_ASK=1.07130261182984</stp>
        <stp>YAS_YLD_CONV=1</stp>
        <tr r="X109" s="8"/>
      </tp>
      <tp>
        <v>17.25181264863771</v>
        <stp/>
        <stp>##V3_BDPV12</stp>
        <stp>EI1868591 Govt</stp>
        <stp>YAS_RISK</stp>
        <stp>[BondPricer-0.2.xlsm]FRENCH_BTAN_TYPE89!R229C24</stp>
        <stp>YLD_YTM_ASK=2.07785248442984</stp>
        <stp>YAS_YLD_CONV=1</stp>
        <tr r="X229" s="8"/>
      </tp>
      <tp>
        <v>18.334910076082167</v>
        <stp/>
        <stp>##V3_BDPV12</stp>
        <stp>ED8389162 Govt</stp>
        <stp>YAS_RISK</stp>
        <stp>[BondPricer-0.2.xlsm]FRENCH_BTAN_TYPE89!R201C24</stp>
        <stp>YLD_YTM_ASK=1.62984645912811</stp>
        <stp>YAS_YLD_CONV=1</stp>
        <tr r="X201" s="8"/>
      </tp>
      <tp>
        <v>30.119252416454145</v>
        <stp/>
        <stp>##V3_BDPV12</stp>
        <stp>JK7597822 Govt</stp>
        <stp>YAS_RISK</stp>
        <stp>[BondPricer-0.2.xlsm]FRENCH_BTAN_TYPE89!R239C24</stp>
        <stp>YLD_YTM_ASK=1.90613629695897</stp>
        <stp>YAS_YLD_CONV=1</stp>
        <tr r="X239" s="8"/>
      </tp>
      <tp>
        <v>30.119252416454145</v>
        <stp/>
        <stp>##V3_BDPV12</stp>
        <stp>JK7597822 Govt</stp>
        <stp>YAS_RISK</stp>
        <stp>[BondPricer-0.2.xlsm]FRENCH_BTAN_TYPE89!R242C24</stp>
        <stp>YLD_YTM_ASK=1.90613629695897</stp>
        <stp>YAS_YLD_CONV=1</stp>
        <tr r="X242" s="8"/>
      </tp>
      <tp>
        <v>30.119252416454145</v>
        <stp/>
        <stp>##V3_BDPV12</stp>
        <stp>JK7597822 Govt</stp>
        <stp>YAS_RISK</stp>
        <stp>[BondPricer-0.2.xlsm]FRENCH_BTAN_TYPE89!R241C24</stp>
        <stp>YLD_YTM_ASK=1.90613629695897</stp>
        <stp>YAS_YLD_CONV=1</stp>
        <tr r="X241" s="8"/>
      </tp>
      <tp>
        <v>12.986070262105898</v>
        <stp/>
        <stp>##V3_BDPV12</stp>
        <stp>ED3948913 Govt</stp>
        <stp>YAS_RISK</stp>
        <stp>[BondPricer-0.2.xlsm]FRENCH_BTAN_TYPE89!R138C24</stp>
        <stp>YLD_YTM_ASK=1.38345885619977</stp>
        <stp>YAS_YLD_CONV=1</stp>
        <tr r="X138" s="8"/>
      </tp>
      <tp>
        <v>8.7233924078564264</v>
        <stp/>
        <stp>##V3_BDPV12</stp>
        <stp>EJ4853036 Govt</stp>
        <stp>DUR_ADJ_ASK</stp>
        <stp>[BondPricer-0.2.xlsm]ITALIAN_BTPS_TYPE523!R66C29</stp>
        <stp>YLD_YTM_ASK=3.63814902327777</stp>
        <stp>YAS_YLD_CONV=1</stp>
        <tr r="AC66" s="5"/>
      </tp>
      <tp>
        <v>12.086020685682724</v>
        <stp/>
        <stp>##V3_BDPV12</stp>
        <stp>EC2918448 Govt</stp>
        <stp>DUR_ADJ_ASK</stp>
        <stp>[BondPricer-0.2.xlsm]ITALIAN_BTPS_TYPE523!R99C29</stp>
        <stp>YLD_YTM_ASK=3.78504563266362</stp>
        <stp>YAS_YLD_CONV=1</stp>
        <tr r="AC99" s="5"/>
      </tp>
      <tp>
        <v>7.1240357531065293</v>
        <stp/>
        <stp>##V3_BDPV12</stp>
        <stp>EK0222019 Govt</stp>
        <stp>DUR_ADJ_ASK</stp>
        <stp>[BondPricer-0.2.xlsm]ITALIAN_BTPS_TYPE523!R45C29</stp>
        <stp>YLD_YTM_ASK=3.53185643722527</stp>
        <stp>YAS_YLD_CONV=1</stp>
        <tr r="AC45" s="5"/>
      </tp>
      <tp>
        <v>12.08178950147051</v>
        <stp/>
        <stp>##V3_BDPV12</stp>
        <stp>EJ4853432 Govt</stp>
        <stp>DUR_ADJ_ASK</stp>
        <stp>[BondPricer-0.2.xlsm]ITALIAN_BTPS_TYPE523!R98C29</stp>
        <stp>YLD_YTM_ASK=3.82139234909959</stp>
        <stp>YAS_YLD_CONV=1</stp>
        <tr r="AC98" s="5"/>
      </tp>
      <tp>
        <v>4.681427044885325</v>
        <stp/>
        <stp>##V3_BDPV12</stp>
        <stp>EJ7704418 Govt</stp>
        <stp>DUR_ADJ_ASK</stp>
        <stp>[BondPricer-0.2.xlsm]ITALIAN_BTPS_TYPE523!R24C29</stp>
        <stp>YLD_YTM_ASK=3.14600443096933</stp>
        <stp>YAS_YLD_CONV=1</stp>
        <tr r="AC24" s="5"/>
      </tp>
      <tp>
        <v>6.4996424245972744</v>
        <stp/>
        <stp>##V3_BDPV12</stp>
        <stp>EK1150847 Corp</stp>
        <stp>DUR_ADJ_ASK</stp>
        <stp>[BondPricer-0.2.xlsm]AUSTRALIAN_GOVT_TYPE23!R35C30</stp>
        <stp>YLD_YTM_ASK=2.44426105325754</stp>
        <stp>YAS_YLD_CONV=3</stp>
        <tr r="AD35" s="9"/>
      </tp>
      <tp>
        <v>7.9188531814548204</v>
        <stp/>
        <stp>##V3_BDPV12</stp>
        <stp>JV7193115 Corp</stp>
        <stp>DUR_ADJ_ASK</stp>
        <stp>[BondPricer-0.2.xlsm]AUSTRALIAN_GOVT_TYPE23!R45C30</stp>
        <stp>YLD_YTM_ASK=2.66755110308787</stp>
        <stp>YAS_YLD_CONV=3</stp>
        <tr r="AD45" s="9"/>
      </tp>
      <tp>
        <v>14.925936975555873</v>
        <stp/>
        <stp>##V3_BDPV12</stp>
        <stp>QJ1521823 Corp</stp>
        <stp>DUR_ADJ_ASK</stp>
        <stp>[BondPricer-0.2.xlsm]AUSTRALIAN_GOVT_TYPE23!R60C30</stp>
        <stp>YLD_YTM_ASK=3.05499848360431</stp>
        <stp>YAS_YLD_CONV=3</stp>
        <tr r="AD60" s="9"/>
      </tp>
      <tp>
        <v>8.7281005627437604</v>
        <stp/>
        <stp>##V3_BDPV12</stp>
        <stp>CP5088010 Govt</stp>
        <stp>DUR_ADJ_ASK</stp>
        <stp>[BondPricer-0.2.xlsm]ITALIAN_BTPS_TYPE523!R68C29</stp>
        <stp>YLD_YTM_ASK=3.58224404350611</stp>
        <stp>YAS_YLD_CONV=1</stp>
        <tr r="AC68" s="5"/>
      </tp>
      <tp>
        <v>5.2984532228091261</v>
        <stp/>
        <stp>##V3_BDPV12</stp>
        <stp>AL0875834 Corp</stp>
        <stp>DUR_ADJ_ASK</stp>
        <stp>[BondPricer-0.2.xlsm]AUSTRALIAN_GOVT_TYPE23!R28C30</stp>
        <stp>YLD_YTM_ASK=2.76301220941696</stp>
        <stp>YAS_YLD_CONV=3</stp>
        <tr r="AD28" s="9"/>
      </tp>
      <tp>
        <v>5.866922524107367</v>
        <stp/>
        <stp>##V3_BDPV12</stp>
        <stp>EJ6791309 Corp</stp>
        <stp>DUR_ADJ_ASK</stp>
        <stp>[BondPricer-0.2.xlsm]AUSTRALIAN_GOVT_TYPE23!R31C30</stp>
        <stp>YLD_YTM_ASK=2.45703786432855</stp>
        <stp>YAS_YLD_CONV=3</stp>
        <tr r="AD31" s="9"/>
      </tp>
      <tp>
        <v>4.6516265708467444</v>
        <stp/>
        <stp>##V3_BDPV12</stp>
        <stp>EJ4854737 Govt</stp>
        <stp>DUR_ADJ_ASK</stp>
        <stp>[BondPricer-0.2.xlsm]ITALIAN_BTPS_TYPE523!R15C29</stp>
        <stp>YLD_YTM_ASK=2.9910955364945</stp>
        <stp>YAS_YLD_CONV=1</stp>
        <tr r="AC15" s="5"/>
      </tp>
      <tp>
        <v>34.93028385982722</v>
        <stp/>
        <stp>##V3_BDPV12</stp>
        <stp>AN2011285 Govt</stp>
        <stp>DUR_ADJ_ASK</stp>
        <stp>[BondPricer-0.2.xlsm]ITALIAN_BTPS_TYPE523!R185C29</stp>
        <stp>YLD_YTM_ASK=4.13029708191053</stp>
        <stp>YAS_YLD_CONV=1</stp>
        <tr r="AC185" s="5"/>
      </tp>
      <tp>
        <v>13.865346999071159</v>
        <stp/>
        <stp>##V3_BDPV12</stp>
        <stp>JK8403186 Govt</stp>
        <stp>DUR_ADJ_ASK</stp>
        <stp>[BondPricer-0.2.xlsm]ITALIAN_BTPS_TYPE523!R129C29</stp>
        <stp>YLD_YTM_ASK=3.65153064006325</stp>
        <stp>YAS_YLD_CONV=1</stp>
        <tr r="AC129" s="5"/>
      </tp>
      <tp>
        <v>21.885949829948576</v>
        <stp/>
        <stp>##V3_BDPV12</stp>
        <stp>EK0224957 Govt</stp>
        <stp>DUR_ADJ_ASK</stp>
        <stp>[BondPricer-0.2.xlsm]ITALIAN_BTPS_TYPE523!R154C29</stp>
        <stp>YLD_YTM_ASK=4.52236029231174</stp>
        <stp>YAS_YLD_CONV=1</stp>
        <tr r="AC154" s="5"/>
      </tp>
      <tp>
        <v>17.249312865277695</v>
        <stp/>
        <stp>##V3_BDPV12</stp>
        <stp>EK0224056 Govt</stp>
        <stp>DUR_ADJ_ASK</stp>
        <stp>[BondPricer-0.2.xlsm]ITALIAN_BTPS_TYPE523!R130C29</stp>
        <stp>YLD_YTM_ASK=3.61536556676045</stp>
        <stp>YAS_YLD_CONV=1</stp>
        <tr r="AC130" s="5"/>
      </tp>
      <tp>
        <v>69.01600000000002</v>
        <stp/>
        <stp>##V3_BDPV12</stp>
        <stp>EJ6186641 Govt</stp>
        <stp>YAS_BOND_PX</stp>
        <stp>[BondPricer-0.2.xlsm]FRENCH_BTAN_TYPE89!R175C20</stp>
        <stp>YAS_BOND_YLD=1.65418245528737</stp>
        <stp>YAS_YLD_CONV=1</stp>
        <tr r="T175" s="8"/>
      </tp>
      <tp>
        <v>83.501999999999981</v>
        <stp/>
        <stp>##V3_BDPV12</stp>
        <stp>ED3948830 Govt</stp>
        <stp>YAS_BOND_PX</stp>
        <stp>[BondPricer-0.2.xlsm]FRENCH_BTAN_TYPE89!R126C20</stp>
        <stp>YAS_BOND_YLD=1.24942686654639</stp>
        <stp>YAS_YLD_CONV=1</stp>
        <tr r="T126" s="8"/>
      </tp>
      <tp>
        <v>89.055000000000106</v>
        <stp/>
        <stp>##V3_BDPV12</stp>
        <stp>EJ6178796 Govt</stp>
        <stp>YAS_BOND_PX</stp>
        <stp>[BondPricer-0.2.xlsm]FRENCH_BTAN_TYPE89!R107C20</stp>
        <stp>YAS_BOND_YLD=1.00404722716183</stp>
        <stp>YAS_YLD_CONV=1</stp>
        <tr r="T107" s="8"/>
      </tp>
      <tp>
        <v>53.681000000000054</v>
        <stp/>
        <stp>##V3_BDPV12</stp>
        <stp>EI0432555 Govt</stp>
        <stp>YAS_BOND_PX</stp>
        <stp>[BondPricer-0.2.xlsm]FRENCH_BTAN_TYPE89!R206C20</stp>
        <stp>YAS_BOND_YLD=1.93139308865151</stp>
        <stp>YAS_YLD_CONV=1</stp>
        <tr r="T206" s="8"/>
      </tp>
      <tp>
        <v>80.622999999999905</v>
        <stp/>
        <stp>##V3_BDPV12</stp>
        <stp>EI0429510 Govt</stp>
        <stp>YAS_BOND_PX</stp>
        <stp>[BondPricer-0.2.xlsm]FRENCH_BTAN_TYPE89!R136C20</stp>
        <stp>YAS_BOND_YLD=1.31228326023574</stp>
        <stp>YAS_YLD_CONV=1</stp>
        <tr r="T136" s="8"/>
      </tp>
      <tp>
        <v>72.99500000000009</v>
        <stp/>
        <stp>##V3_BDPV12</stp>
        <stp>EJ6186245 Govt</stp>
        <stp>YAS_BOND_PX</stp>
        <stp>[BondPricer-0.2.xlsm]FRENCH_BTAN_TYPE89!R164C20</stp>
        <stp>YAS_BOND_YLD=1.53958268453345</stp>
        <stp>YAS_YLD_CONV=1</stp>
        <tr r="T164" s="8"/>
      </tp>
      <tp>
        <v>80.841999999999885</v>
        <stp/>
        <stp>##V3_BDPV12</stp>
        <stp>ED3871719 Govt</stp>
        <stp>YAS_BOND_PX</stp>
        <stp>[BondPricer-0.2.xlsm]FRENCH_BTAN_TYPE89!R137C20</stp>
        <stp>YAS_BOND_YLD=1.29564921108722</stp>
        <stp>YAS_YLD_CONV=1</stp>
        <tr r="T137" s="8"/>
      </tp>
      <tp>
        <v>3.4084319885205647</v>
        <stp/>
        <stp>##V3_BDPV12</stp>
        <stp>912828SV Govt</stp>
        <stp>DUR_ADJ_ASK</stp>
        <stp>[BondPricer-0.2.xlsm]US_TREASURY_TYPE1!R41C28</stp>
        <stp>YLD_YTM_ASK=2.9510596</stp>
        <stp>YAS_YLD_CONV=3</stp>
        <tr r="AB41" s="4"/>
      </tp>
      <tp>
        <v>4.372580073513241</v>
        <stp/>
        <stp>##V3_BDPV12</stp>
        <stp>912828R6 Govt</stp>
        <stp>DUR_ADJ_ASK</stp>
        <stp>[BondPricer-0.2.xlsm]US_TREASURY_TYPE1!R57C28</stp>
        <stp>YLD_YTM_ASK=2.9950582</stp>
        <stp>YAS_YLD_CONV=3</stp>
        <tr r="AB57" s="4"/>
      </tp>
      <tp>
        <v>2.5900969142133712</v>
        <stp/>
        <stp>##V3_BDPV12</stp>
        <stp>912828WR Govt</stp>
        <stp>DUR_ADJ_ASK</stp>
        <stp>[BondPricer-0.2.xlsm]US_TREASURY_TYPE1!R19C28</stp>
        <stp>YLD_YTM_ASK=2.9040522</stp>
        <stp>YAS_YLD_CONV=3</stp>
        <tr r="AB19" s="4"/>
      </tp>
      <tp>
        <v>2.534016234823139</v>
        <stp/>
        <stp>##V3_BDPV12</stp>
        <stp>912828R7 Govt</stp>
        <stp>DUR_ADJ_ASK</stp>
        <stp>[BondPricer-0.2.xlsm]US_TREASURY_TYPE1!R16C28</stp>
        <stp>YLD_YTM_ASK=2.9040778</stp>
        <stp>YAS_YLD_CONV=3</stp>
        <tr r="AB16" s="4"/>
      </tp>
      <tp>
        <v>3.8807370132414309</v>
        <stp/>
        <stp>##V3_BDPV12</stp>
        <stp>ED1656591 Govt</stp>
        <stp>YLD_YTM_ASK</stp>
        <stp>[BondPricer-0.2.xlsm]ITALIAN_BTPS_TYPE523!R119C15</stp>
        <tr r="O119" s="5"/>
      </tp>
      <tp>
        <v>3.941232908772907</v>
        <stp/>
        <stp>##V3_BDPV12</stp>
        <stp>ED1666434 Govt</stp>
        <stp>YLD_YTM_ASK</stp>
        <stp>[BondPricer-0.2.xlsm]ITALIAN_BTPS_TYPE523!R113C15</stp>
        <tr r="O113" s="5"/>
      </tp>
      <tp>
        <v>3.9420065415648464</v>
        <stp/>
        <stp>##V3_BDPV12</stp>
        <stp>ED1666632 Govt</stp>
        <stp>YLD_YTM_ASK</stp>
        <stp>[BondPricer-0.2.xlsm]ITALIAN_BTPS_TYPE523!R120C15</stp>
        <tr r="O120" s="5"/>
      </tp>
      <tp>
        <v>3.4412077448393203</v>
        <stp/>
        <stp>##V3_BDPV12</stp>
        <stp>912828XD Govt</stp>
        <stp>DUR_ADJ_ASK</stp>
        <stp>[BondPricer-0.2.xlsm]US_TREASURY_TYPE1!R42C28</stp>
        <stp>YLD_YTM_ASK=2.9530597</stp>
        <stp>YAS_YLD_CONV=3</stp>
        <tr r="AB42" s="4"/>
      </tp>
      <tp>
        <v>4.0916878711351927</v>
        <stp/>
        <stp>##V3_BDPV12</stp>
        <stp>912828UN Govt</stp>
        <stp>DUR_ADJ_ASK</stp>
        <stp>[BondPricer-0.2.xlsm]US_TREASURY_TYPE1!R52C28</stp>
        <stp>YLD_YTM_ASK=2.9850979</stp>
        <stp>YAS_YLD_CONV=3</stp>
        <tr r="AB52" s="4"/>
      </tp>
      <tp>
        <v>2.7082976233221459</v>
        <stp/>
        <stp>##V3_BDPV12</stp>
        <stp>912828S7 Govt</stp>
        <stp>DUR_ADJ_ASK</stp>
        <stp>[BondPricer-0.2.xlsm]US_TREASURY_TYPE1!R20C28</stp>
        <stp>YLD_YTM_ASK=2.9150823</stp>
        <stp>YAS_YLD_CONV=3</stp>
        <tr r="AB20" s="4"/>
      </tp>
      <tp>
        <v>2.8357720766609065</v>
        <stp/>
        <stp>##V3_BDPV12</stp>
        <stp>912828F2 Govt</stp>
        <stp>DUR_ADJ_ASK</stp>
        <stp>[BondPricer-0.2.xlsm]US_TREASURY_TYPE1!R26C28</stp>
        <stp>YLD_YTM_ASK=2.9220449</stp>
        <stp>YAS_YLD_CONV=3</stp>
        <tr r="AB26" s="4"/>
      </tp>
      <tp>
        <v>6.4047201775617042</v>
        <stp/>
        <stp>##V3_BDPV12</stp>
        <stp>912828M5 Govt</stp>
        <stp>DUR_ADJ_ASK</stp>
        <stp>[BondPricer-0.2.xlsm]US_TREASURY_TYPE1!R78C28</stp>
        <stp>YLD_YTM_ASK=3.1010653</stp>
        <stp>YAS_YLD_CONV=3</stp>
        <tr r="AB78" s="4"/>
      </tp>
      <tp>
        <v>100.01399999999985</v>
        <stp/>
        <stp>##V3_BDPV12</stp>
        <stp>EJ6177897 Govt</stp>
        <stp>YAS_BOND_PX</stp>
        <stp>[BondPricer-0.2.xlsm]FRENCH_BTAN_TYPE89!R41C20</stp>
        <stp>YAS_BOND_YLD=-0.00304140751813398</stp>
        <stp>YAS_YLD_CONV=1</stp>
        <tr r="T41" s="8"/>
      </tp>
      <tp>
        <v>15.389152657665761</v>
        <stp/>
        <stp>##V3_BDPV12</stp>
        <stp>EI0431912 Govt</stp>
        <stp>YAS_RISK</stp>
        <stp>[BondPricer-0.2.xlsm]FRENCH_BTAN_TYPE89!R170C24</stp>
        <stp>YLD_YTM_ASK=1.63204073230225</stp>
        <stp>YAS_YLD_CONV=1</stp>
        <tr r="X170" s="8"/>
      </tp>
      <tp>
        <v>10.130764159128347</v>
        <stp/>
        <stp>##V3_BDPV12</stp>
        <stp>ED3948673 Govt</stp>
        <stp>YAS_RISK</stp>
        <stp>[BondPricer-0.2.xlsm]FRENCH_BTAN_TYPE89!R105C24</stp>
        <stp>YLD_YTM_ASK=1.03204738332889</stp>
        <stp>YAS_YLD_CONV=1</stp>
        <tr r="X105" s="8"/>
      </tp>
      <tp>
        <v>22.004976519909292</v>
        <stp/>
        <stp>##V3_BDPV12</stp>
        <stp>EF6625018 Govt</stp>
        <stp>YAS_RISK</stp>
        <stp>[BondPricer-0.2.xlsm]FRENCH_BTAN_TYPE89!R158C24</stp>
        <stp>YLD_YTM_ASK=1.35664699211091</stp>
        <stp>YAS_YLD_CONV=1</stp>
        <tr r="X158" s="8"/>
      </tp>
      <tp>
        <v>11.455606813044739</v>
        <stp/>
        <stp>##V3_BDPV12</stp>
        <stp>EJ6185346 Govt</stp>
        <stp>YAS_RISK</stp>
        <stp>[BondPricer-0.2.xlsm]FRENCH_BTAN_TYPE89!R120C24</stp>
        <stp>YLD_YTM_ASK=1.18338612488103</stp>
        <stp>YAS_YLD_CONV=1</stp>
        <tr r="X120" s="8"/>
      </tp>
      <tp>
        <v>11.392318816233171</v>
        <stp/>
        <stp>##V3_BDPV12</stp>
        <stp>ED3948798 Govt</stp>
        <stp>YAS_RISK</stp>
        <stp>[BondPricer-0.2.xlsm]FRENCH_BTAN_TYPE89!R119C24</stp>
        <stp>YLD_YTM_ASK=1.18649580876917</stp>
        <stp>YAS_YLD_CONV=1</stp>
        <tr r="X119" s="8"/>
      </tp>
      <tp>
        <v>17.25982284945502</v>
        <stp/>
        <stp>##V3_BDPV12</stp>
        <stp>EI1868476 Govt</stp>
        <stp>YAS_RISK</stp>
        <stp>[BondPricer-0.2.xlsm]FRENCH_BTAN_TYPE89!R227C24</stp>
        <stp>YLD_YTM_ASK=2.06554156587564</stp>
        <stp>YAS_YLD_CONV=1</stp>
        <tr r="X227" s="8"/>
      </tp>
      <tp>
        <v>17.264964570160757</v>
        <stp/>
        <stp>##V3_BDPV12</stp>
        <stp>EI0433033 Govt</stp>
        <stp>YAS_RISK</stp>
        <stp>[BondPricer-0.2.xlsm]FRENCH_BTAN_TYPE89!R219C24</stp>
        <stp>YLD_YTM_ASK=2.01683622313509</stp>
        <stp>YAS_YLD_CONV=1</stp>
        <tr r="X219" s="8"/>
      </tp>
      <tp>
        <v>119.002</v>
        <stp/>
        <stp>##V3_BDPV12</stp>
        <stp>EH5285554 Govt</stp>
        <stp>YAS_BOND_PX</stp>
        <stp>[BondPricer-0.2.xlsm]JAPAN_JGB_TYPE51!R99C20</stp>
        <stp>YAS_BOND_SPL_YLD=0.114000000000001</stp>
        <stp>YAS_YLD_CONV=2</stp>
        <tr r="T99" s="7"/>
      </tp>
      <tp>
        <v>6.1657111808311322</v>
        <stp/>
        <stp>##V3_BDPV12</stp>
        <stp>EI4153199 Govt</stp>
        <stp>DUR_ADJ_ASK</stp>
        <stp>[BondPricer-0.2.xlsm]ITALIAN_BTPS_TYPE523!R44C29</stp>
        <stp>YLD_YTM_ASK=3.32352025230087</stp>
        <stp>YAS_YLD_CONV=1</stp>
        <tr r="AC44" s="5"/>
      </tp>
      <tp>
        <v>4.1984377590660467</v>
        <stp/>
        <stp>##V3_BDPV12</stp>
        <stp>EH3056924 Govt</stp>
        <stp>DUR_ADJ_ASK</stp>
        <stp>[BondPricer-0.2.xlsm]ITALIAN_BTPS_TYPE523!R14C29</stp>
        <stp>YLD_YTM_ASK=2.97238769829009</stp>
        <stp>YAS_YLD_CONV=1</stp>
        <tr r="AC14" s="5"/>
      </tp>
      <tp>
        <v>13.108144519082652</v>
        <stp/>
        <stp>##V3_BDPV12</stp>
        <stp>EJ6432110 Govt</stp>
        <stp>YAS_MOD_DUR</stp>
        <stp>[BondPricer-0.2.xlsm]JAPAN_JGB_TYPE51!R148C28</stp>
        <stp>YLD_YTM_ASK=0.35</stp>
        <stp>YAS_YLD_CONV=3</stp>
        <tr r="AB148" s="7"/>
      </tp>
      <tp>
        <v>5.6932883350080381</v>
        <stp/>
        <stp>##V3_BDPV12</stp>
        <stp>EK0221839 Govt</stp>
        <stp>DUR_ADJ_ASK</stp>
        <stp>[BondPricer-0.2.xlsm]ITALIAN_BTPS_TYPE523!R30C29</stp>
        <stp>YLD_YTM_ASK=3.20382105815797</stp>
        <stp>YAS_YLD_CONV=1</stp>
        <tr r="AC30" s="5"/>
      </tp>
      <tp>
        <v>5.1012580550274453</v>
        <stp/>
        <stp>##V3_BDPV12</stp>
        <stp>EJ6776938 Corp</stp>
        <stp>DUR_ADJ_ASK</stp>
        <stp>[BondPricer-0.2.xlsm]AUSTRALIAN_GOVT_TYPE23!R26C30</stp>
        <stp>YLD_YTM_ASK=2.24025307096385</stp>
        <stp>YAS_YLD_CONV=3</stp>
        <tr r="AD26" s="9"/>
      </tp>
      <tp>
        <v>6.810562397819111</v>
        <stp/>
        <stp>##V3_BDPV12</stp>
        <stp>AL4159805 Corp</stp>
        <stp>DUR_ADJ_ASK</stp>
        <stp>[BondPricer-0.2.xlsm]AUSTRALIAN_GOVT_TYPE23!R39C30</stp>
        <stp>YLD_YTM_ASK=3.59500377166565</stp>
        <stp>YAS_YLD_CONV=3</stp>
        <tr r="AD39" s="9"/>
      </tp>
      <tp>
        <v>7.1307531529775749</v>
        <stp/>
        <stp>##V3_BDPV12</stp>
        <stp>EI8492650 Corp</stp>
        <stp>DUR_ADJ_ASK</stp>
        <stp>[BondPricer-0.2.xlsm]AUSTRALIAN_GOVT_TYPE23!R40C30</stp>
        <stp>YLD_YTM_ASK=2.60895093986867</stp>
        <stp>YAS_YLD_CONV=3</stp>
        <tr r="AD40" s="9"/>
      </tp>
      <tp>
        <v>3.2422806362716132</v>
        <stp/>
        <stp>##V3_BDPV12</stp>
        <stp>EJ6195758 Corp</stp>
        <stp>DUR_ADJ_ASK</stp>
        <stp>[BondPricer-0.2.xlsm]AUSTRALIAN_GOVT_TYPE23!R13C30</stp>
        <stp>YLD_YTM_ASK=2.33698993207162</stp>
        <stp>YAS_YLD_CONV=3</stp>
        <tr r="AD13" s="9"/>
      </tp>
      <tp>
        <v>8.6739954894914142</v>
        <stp/>
        <stp>##V3_BDPV12</stp>
        <stp>AM5647400 Corp</stp>
        <stp>DUR_ADJ_ASK</stp>
        <stp>[BondPricer-0.2.xlsm]AUSTRALIAN_GOVT_TYPE23!R48C30</stp>
        <stp>YLD_YTM_ASK=2.68902273356955</stp>
        <stp>YAS_YLD_CONV=3</stp>
        <tr r="AD48" s="9"/>
      </tp>
      <tp>
        <v>6.3324987275472662</v>
        <stp/>
        <stp>##V3_BDPV12</stp>
        <stp>CP5087962 Govt</stp>
        <stp>DUR_ADJ_ASK</stp>
        <stp>[BondPricer-0.2.xlsm]ITALIAN_BTPS_TYPE523!R37C29</stp>
        <stp>YLD_YTM_ASK=3.33170523342667</stp>
        <stp>YAS_YLD_CONV=1</stp>
        <tr r="AC37" s="5"/>
      </tp>
      <tp>
        <v>4.4125559366358704</v>
        <stp/>
        <stp>##V3_BDPV12</stp>
        <stp>CP5087921 Govt</stp>
        <stp>DUR_ADJ_ASK</stp>
        <stp>[BondPricer-0.2.xlsm]ITALIAN_BTPS_TYPE523!R13C29</stp>
        <stp>YLD_YTM_ASK=2.96704642830541</stp>
        <stp>YAS_YLD_CONV=1</stp>
        <tr r="AC13" s="5"/>
      </tp>
      <tp>
        <v>13.116505231593818</v>
        <stp/>
        <stp>##V3_BDPV12</stp>
        <stp>EK8238157 Corp</stp>
        <stp>DUR_ADJ_ASK</stp>
        <stp>[BondPricer-0.2.xlsm]AUSTRALIAN_GOVT_TYPE23!R57C30</stp>
        <stp>YLD_YTM_ASK=2.96698417617188</stp>
        <stp>YAS_YLD_CONV=3</stp>
        <tr r="AD57" s="9"/>
      </tp>
      <tp>
        <v>16.15783084584297</v>
        <stp/>
        <stp>##V3_BDPV12</stp>
        <stp>EF1312364 Govt</stp>
        <stp>DUR_ADJ_ASK</stp>
        <stp>[BondPricer-0.2.xlsm]ITALIAN_BTPS_TYPE523!R124C29</stp>
        <stp>YLD_YTM_ASK=3.91722560433023</stp>
        <stp>YAS_YLD_CONV=1</stp>
        <tr r="AC124" s="5"/>
      </tp>
      <tp>
        <v>15.200862651616495</v>
        <stp/>
        <stp>##V3_BDPV12</stp>
        <stp>ED1656591 Govt</stp>
        <stp>DUR_ADJ_ASK</stp>
        <stp>[BondPricer-0.2.xlsm]ITALIAN_BTPS_TYPE523!R119C29</stp>
        <stp>YLD_YTM_ASK=3.88073701324143</stp>
        <stp>YAS_YLD_CONV=1</stp>
        <tr r="AC119" s="5"/>
      </tp>
      <tp>
        <v>21.030982653341994</v>
        <stp/>
        <stp>##V3_BDPV12</stp>
        <stp>EJ4855486 Govt</stp>
        <stp>DUR_ADJ_ASK</stp>
        <stp>[BondPricer-0.2.xlsm]ITALIAN_BTPS_TYPE523!R150C29</stp>
        <stp>YLD_YTM_ASK=4.02971561641501</stp>
        <stp>YAS_YLD_CONV=1</stp>
        <tr r="AC150" s="5"/>
      </tp>
      <tp>
        <v>5.6079108484057061</v>
        <stp/>
        <stp>##V3_BDPV12</stp>
        <stp>EC5587349 Govt</stp>
        <stp>DUR_ADJ_ASK</stp>
        <stp>[BondPricer-0.2.xlsm]ITALIAN_BTPS_TYPE523!R28C29</stp>
        <stp>YLD_YTM_ASK=3.2605814347286</stp>
        <stp>YAS_YLD_CONV=1</stp>
        <tr r="AC28" s="5"/>
      </tp>
      <tp>
        <v>10.936919905845205</v>
        <stp/>
        <stp>##V3_BDPV12</stp>
        <stp>ED1544706 Govt</stp>
        <stp>DUR_ADJ_ASK</stp>
        <stp>[BondPricer-0.2.xlsm]ITALIAN_BTPS_TYPE523!R117C29</stp>
        <stp>YLD_YTM_ASK=3.79182819786326</stp>
        <stp>YAS_YLD_CONV=1</stp>
        <tr r="AC117" s="5"/>
      </tp>
      <tp>
        <v>32.997803456805293</v>
        <stp/>
        <stp>##V3_BDPV12</stp>
        <stp>AN1984300 Govt</stp>
        <stp>DUR_ADJ_ASK</stp>
        <stp>[BondPricer-0.2.xlsm]ITALIAN_BTPS_TYPE523!R181C29</stp>
        <stp>YLD_YTM_ASK=4.18399795001831</stp>
        <stp>YAS_YLD_CONV=1</stp>
        <tr r="AC181" s="5"/>
      </tp>
      <tp>
        <v>77.488999999999891</v>
        <stp/>
        <stp>##V3_BDPV12</stp>
        <stp>EF6782538 Govt</stp>
        <stp>YAS_BOND_PX</stp>
        <stp>[BondPricer-0.2.xlsm]FRENCH_BTAN_TYPE89!R149C20</stp>
        <stp>YAS_BOND_YLD=1.42519390822839</stp>
        <stp>YAS_YLD_CONV=1</stp>
        <tr r="T149" s="8"/>
      </tp>
      <tp>
        <v>153.08300000007748</v>
        <stp/>
        <stp>##V3_BDPV12</stp>
        <stp>ED3871594 Govt</stp>
        <stp>YAS_BOND_PX</stp>
        <stp>[BondPricer-0.2.xlsm]FRENCH_BTAN_TYPE89!R135C20</stp>
        <stp>YAS_BOND_YLD=1.19090393874773</stp>
        <stp>YAS_YLD_CONV=1</stp>
        <tr r="T135" s="8"/>
      </tp>
      <tp>
        <v>73.317999999999941</v>
        <stp/>
        <stp>##V3_BDPV12</stp>
        <stp>EI0431672 Govt</stp>
        <stp>YAS_BOND_PX</stp>
        <stp>[BondPricer-0.2.xlsm]FRENCH_BTAN_TYPE89!R163C20</stp>
        <stp>YAS_BOND_YLD=1.52395042108506</stp>
        <stp>YAS_YLD_CONV=1</stp>
        <tr r="T163" s="8"/>
      </tp>
      <tp>
        <v>78.976000000000141</v>
        <stp/>
        <stp>##V3_BDPV12</stp>
        <stp>EF6782173 Govt</stp>
        <stp>YAS_BOND_PX</stp>
        <stp>[BondPricer-0.2.xlsm]FRENCH_BTAN_TYPE89!R141C20</stp>
        <stp>YAS_BOND_YLD=1.39625946237658</stp>
        <stp>YAS_YLD_CONV=1</stp>
        <tr r="T141" s="8"/>
      </tp>
      <tp>
        <v>63.417999999999999</v>
        <stp/>
        <stp>##V3_BDPV12</stp>
        <stp>EJ6186948 Govt</stp>
        <stp>YAS_BOND_PX</stp>
        <stp>[BondPricer-0.2.xlsm]FRENCH_BTAN_TYPE89!R188C20</stp>
        <stp>YAS_BOND_YLD=1.72667580170791</stp>
        <stp>YAS_YLD_CONV=1</stp>
        <tr r="T188" s="8"/>
      </tp>
      <tp>
        <v>81.846999999999881</v>
        <stp/>
        <stp>##V3_BDPV12</stp>
        <stp>ED3948871 Govt</stp>
        <stp>YAS_BOND_PX</stp>
        <stp>[BondPricer-0.2.xlsm]FRENCH_BTAN_TYPE89!R131C20</stp>
        <stp>YAS_BOND_YLD=1.29903169524308</stp>
        <stp>YAS_YLD_CONV=1</stp>
        <tr r="T131" s="8"/>
      </tp>
      <tp>
        <v>39.131000000000178</v>
        <stp/>
        <stp>##V3_BDPV12</stp>
        <stp>JK8071041 Govt</stp>
        <stp>YAS_BOND_PX</stp>
        <stp>[BondPricer-0.2.xlsm]FRENCH_BTAN_TYPE89!R240C20</stp>
        <stp>YAS_BOND_YLD=1.99056358221761</stp>
        <stp>YAS_YLD_CONV=1</stp>
        <tr r="T240" s="8"/>
      </tp>
      <tp>
        <v>64.985999999999905</v>
        <stp/>
        <stp>##V3_BDPV12</stp>
        <stp>ED8389089 Govt</stp>
        <stp>YAS_BOND_PX</stp>
        <stp>[BondPricer-0.2.xlsm]FRENCH_BTAN_TYPE89!R195C20</stp>
        <stp>YAS_BOND_YLD=1.52266142609685</stp>
        <stp>YAS_YLD_CONV=1</stp>
        <tr r="T195" s="8"/>
      </tp>
      <tp>
        <v>3.9638348523131306</v>
        <stp/>
        <stp>##V3_BDPV12</stp>
        <stp>AN2023132 Govt</stp>
        <stp>YLD_YTM_ASK</stp>
        <stp>[BondPricer-0.2.xlsm]ITALIAN_BTPS_TYPE523!R201C15</stp>
        <tr r="O201" s="5"/>
      </tp>
      <tp>
        <v>4.0943167306658701</v>
        <stp/>
        <stp>##V3_BDPV12</stp>
        <stp>AN2013638 Govt</stp>
        <stp>YLD_YTM_ASK</stp>
        <stp>[BondPricer-0.2.xlsm]ITALIAN_BTPS_TYPE523!R188C15</stp>
        <tr r="O188" s="5"/>
      </tp>
      <tp>
        <v>4.1961910732656538</v>
        <stp/>
        <stp>##V3_BDPV12</stp>
        <stp>AN1983476 Govt</stp>
        <stp>YLD_YTM_ASK</stp>
        <stp>[BondPricer-0.2.xlsm]ITALIAN_BTPS_TYPE523!R180C15</stp>
        <tr r="O180" s="5"/>
      </tp>
      <tp>
        <v>3.4872380666387093</v>
        <stp/>
        <stp>##V3_BDPV12</stp>
        <stp>EK8086077 Govt</stp>
        <stp>YLD_YTM_ASK</stp>
        <stp>[BondPricer-0.2.xlsm]ITALIAN_BTPS_TYPE523!R102C15</stp>
        <tr r="O102" s="5"/>
      </tp>
      <tp>
        <v>8.2322158840041535</v>
        <stp/>
        <stp>##V3_BDPV12</stp>
        <stp>912810FJ Govt</stp>
        <stp>DUR_ADJ_ASK</stp>
        <stp>[BondPricer-0.2.xlsm]US_TREASURY_TYPE1!R93C28</stp>
        <stp>YLD_YTM_ASK=3.1537541</stp>
        <stp>YAS_YLD_CONV=3</stp>
        <tr r="AB93" s="4"/>
      </tp>
      <tp>
        <v>8.5399843278051009</v>
        <stp/>
        <stp>##V3_BDPV12</stp>
        <stp>912810FM Govt</stp>
        <stp>DUR_ADJ_ASK</stp>
        <stp>[BondPricer-0.2.xlsm]US_TREASURY_TYPE1!R94C28</stp>
        <stp>YLD_YTM_ASK=3.1577552</stp>
        <stp>YAS_YLD_CONV=3</stp>
        <tr r="AB94" s="4"/>
      </tp>
      <tp>
        <v>7.7540484890035737</v>
        <stp/>
        <stp>##V3_BDPV12</stp>
        <stp>912810FE Govt</stp>
        <stp>DUR_ADJ_ASK</stp>
        <stp>[BondPricer-0.2.xlsm]US_TREASURY_TYPE1!R90C28</stp>
        <stp>YLD_YTM_ASK=3.1447197</stp>
        <stp>YAS_YLD_CONV=3</stp>
        <tr r="AB90" s="4"/>
      </tp>
      <tp>
        <v>97.352999999999867</v>
        <stp/>
        <stp>##V3_BDPV12</stp>
        <stp>QZ3583536 Govt</stp>
        <stp>YAS_BOND_PX</stp>
        <stp>[BondPricer-0.2.xlsm]FRENCH_BTAN_TYPE89!R80C20</stp>
        <stp>YAS_BOND_YLD=0.585266836557533</stp>
        <stp>YAS_YLD_CONV=1</stp>
        <tr r="T80" s="8"/>
      </tp>
      <tp>
        <v>10.723961910858293</v>
        <stp/>
        <stp>##V3_BDPV12</stp>
        <stp>EH4237085 Govt</stp>
        <stp>YAS_RISK</stp>
        <stp>[BondPricer-0.2.xlsm]JAPAN_JGB_TYPE51!R98C25</stp>
        <stp>YLD_YTM_ASK=0.113</stp>
        <stp>YAS_YLD_CONV=3</stp>
        <tr r="Y98" s="7"/>
      </tp>
      <tp>
        <v>17.167943359875437</v>
        <stp/>
        <stp>##V3_BDPV12</stp>
        <stp>JK8070480 Govt</stp>
        <stp>YAS_RISK</stp>
        <stp>[BondPricer-0.2.xlsm]FRENCH_BTAN_TYPE89!R236C24</stp>
        <stp>YLD_YTM_ASK=2.11570501495524</stp>
        <stp>YAS_YLD_CONV=1</stp>
        <tr r="X236" s="8"/>
      </tp>
      <tp>
        <v>10.165468331735639</v>
        <stp/>
        <stp>##V3_BDPV12</stp>
        <stp>EI0429239 Govt</stp>
        <stp>YAS_RISK</stp>
        <stp>[BondPricer-0.2.xlsm]FRENCH_BTAN_TYPE89!R104C24</stp>
        <stp>YLD_YTM_ASK=1.00445601904839</stp>
        <stp>YAS_YLD_CONV=1</stp>
        <tr r="X104" s="8"/>
      </tp>
      <tp>
        <v>15.288693360734129</v>
        <stp/>
        <stp>##V3_BDPV12</stp>
        <stp>ED8388529 Govt</stp>
        <stp>YAS_RISK</stp>
        <stp>[BondPricer-0.2.xlsm]FRENCH_BTAN_TYPE89!R167C24</stp>
        <stp>YLD_YTM_ASK=1.52973151486417</stp>
        <stp>YAS_YLD_CONV=1</stp>
        <tr r="X167" s="8"/>
      </tp>
      <tp>
        <v>36.343150526727186</v>
        <stp/>
        <stp>##V3_BDPV12</stp>
        <stp>ED8307479 Govt</stp>
        <stp>YAS_RISK</stp>
        <stp>[BondPricer-0.2.xlsm]FRENCH_BTAN_TYPE89!R218C24</stp>
        <stp>YLD_YTM_ASK=1.79200696249732</stp>
        <stp>YAS_YLD_CONV=1</stp>
        <tr r="X218" s="8"/>
      </tp>
      <tp>
        <v>14.418046393743111</v>
        <stp/>
        <stp>##V3_BDPV12</stp>
        <stp>EJ6186146 Govt</stp>
        <stp>YAS_RISK</stp>
        <stp>[BondPricer-0.2.xlsm]FRENCH_BTAN_TYPE89!R157C24</stp>
        <stp>YLD_YTM_ASK=1.50218349363653</stp>
        <stp>YAS_YLD_CONV=1</stp>
        <tr r="X157" s="8"/>
      </tp>
      <tp>
        <v>13.103141411883001</v>
        <stp/>
        <stp>##V3_BDPV12</stp>
        <stp>EJ6185841 Govt</stp>
        <stp>YAS_RISK</stp>
        <stp>[BondPricer-0.2.xlsm]FRENCH_BTAN_TYPE89!R139C24</stp>
        <stp>YLD_YTM_ASK=1.35385206571657</stp>
        <stp>YAS_YLD_CONV=1</stp>
        <tr r="X139" s="8"/>
      </tp>
      <tp>
        <v>8.4857604333025822</v>
        <stp/>
        <stp>##V3_BDPV12</stp>
        <stp>EC5588503 Govt</stp>
        <stp>DUR_ADJ_ASK</stp>
        <stp>[BondPricer-0.2.xlsm]ITALIAN_BTPS_TYPE523!R62C29</stp>
        <stp>YLD_YTM_ASK=3.62630163409552</stp>
        <stp>YAS_YLD_CONV=1</stp>
        <tr r="AC62" s="5"/>
      </tp>
      <tp>
        <v>8.0849292086151348</v>
        <stp/>
        <stp>##V3_BDPV12</stp>
        <stp>EK0661695 Govt</stp>
        <stp>DUR_ADJ_ASK</stp>
        <stp>[BondPricer-0.2.xlsm]ITALIAN_BTPS_TYPE523!R58C29</stp>
        <stp>YLD_YTM_ASK=3.56218620021618</stp>
        <stp>YAS_YLD_CONV=1</stp>
        <tr r="AC58" s="5"/>
      </tp>
      <tp>
        <v>13.779186647583021</v>
        <stp/>
        <stp>##V3_BDPV12</stp>
        <stp>ED8193903 Govt</stp>
        <stp>YAS_MOD_DUR</stp>
        <stp>[BondPricer-0.2.xlsm]JAPAN_JGB_TYPE51!R164C28</stp>
        <stp>YLD_YTM_ASK=0.42</stp>
        <stp>YAS_YLD_CONV=3</stp>
        <tr r="AB164" s="7"/>
      </tp>
      <tp>
        <v>14.667903360223837</v>
        <stp/>
        <stp>##V3_BDPV12</stp>
        <stp>EF3711449 Govt</stp>
        <stp>YAS_MOD_DUR</stp>
        <stp>[BondPricer-0.2.xlsm]JAPAN_JGB_TYPE51!R174C28</stp>
        <stp>YLD_YTM_ASK=0.48</stp>
        <stp>YAS_YLD_CONV=3</stp>
        <tr r="AB174" s="7"/>
      </tp>
      <tp>
        <v>8.7335017006000992</v>
        <stp/>
        <stp>##V3_BDPV12</stp>
        <stp>CP5088036 Govt</stp>
        <stp>DUR_ADJ_ASK</stp>
        <stp>[BondPricer-0.2.xlsm]ITALIAN_BTPS_TYPE523!R67C29</stp>
        <stp>YLD_YTM_ASK=3.51818476965398</stp>
        <stp>YAS_YLD_CONV=1</stp>
        <tr r="AC67" s="5"/>
      </tp>
      <tp>
        <v>13.598322390116998</v>
        <stp/>
        <stp>##V3_BDPV12</stp>
        <stp>EK5446753 Corp</stp>
        <stp>DUR_ADJ_ASK</stp>
        <stp>[BondPricer-0.2.xlsm]AUSTRALIAN_GOVT_TYPE23!R58C30</stp>
        <stp>YLD_YTM_ASK=2.99002331927359</stp>
        <stp>YAS_YLD_CONV=3</stp>
        <tr r="AD58" s="9"/>
      </tp>
      <tp>
        <v>3.8579875379122686</v>
        <stp/>
        <stp>##V3_BDPV12</stp>
        <stp>AP3642968 Corp</stp>
        <stp>DUR_ADJ_ASK</stp>
        <stp>[BondPricer-0.2.xlsm]AUSTRALIAN_GOVT_TYPE23!R18C30</stp>
        <stp>YLD_YTM_ASK=2.19201187986942</stp>
        <stp>YAS_YLD_CONV=3</stp>
        <tr r="AD18" s="9"/>
      </tp>
      <tp>
        <v>8.6853040096378766</v>
        <stp/>
        <stp>##V3_BDPV12</stp>
        <stp>AM5647731 Corp</stp>
        <stp>DUR_ADJ_ASK</stp>
        <stp>[BondPricer-0.2.xlsm]AUSTRALIAN_GOVT_TYPE23!R49C30</stp>
        <stp>YLD_YTM_ASK=2.59049578903437</stp>
        <stp>YAS_YLD_CONV=3</stp>
        <tr r="AD49" s="9"/>
      </tp>
      <tp>
        <v>4.5212142314513901</v>
        <stp/>
        <stp>##V3_BDPV12</stp>
        <stp>EK1791483 Corp</stp>
        <stp>DUR_ADJ_ASK</stp>
        <stp>[BondPricer-0.2.xlsm]AUSTRALIAN_GOVT_TYPE23!R24C30</stp>
        <stp>YLD_YTM_ASK=2.60601043331407</stp>
        <stp>YAS_YLD_CONV=3</stp>
        <tr r="AD24" s="9"/>
      </tp>
      <tp>
        <v>18.074799499532411</v>
        <stp/>
        <stp>##V3_BDPV12</stp>
        <stp>EH2420758 Govt</stp>
        <stp>DUR_ADJ_ASK</stp>
        <stp>[BondPricer-0.2.xlsm]ITALIAN_BTPS_TYPE523!R134C29</stp>
        <stp>YLD_YTM_ASK=3.99123696237973</stp>
        <stp>YAS_YLD_CONV=1</stp>
        <tr r="AC134" s="5"/>
      </tp>
      <tp>
        <v>102.96</v>
        <stp/>
        <stp>##V3_BDPV12</stp>
        <stp>EI6755942 Govt</stp>
        <stp>YAS_BOND_PX</stp>
        <stp>[BondPricer-0.2.xlsm]JAPAN_JGB_TYPE51!R7C20</stp>
        <stp>YAS_BOND_SPL_YLD=-0.118999999999993</stp>
        <stp>YAS_YLD_CONV=2</stp>
        <tr r="T7" s="7"/>
      </tp>
      <tp>
        <v>42.681257580808577</v>
        <stp/>
        <stp>##V3_BDPV12</stp>
        <stp>AN2023132 Govt</stp>
        <stp>DUR_ADJ_ASK</stp>
        <stp>[BondPricer-0.2.xlsm]ITALIAN_BTPS_TYPE523!R201C29</stp>
        <stp>YLD_YTM_ASK=3.96383485231313</stp>
        <stp>YAS_YLD_CONV=1</stp>
        <tr r="AC201" s="5"/>
      </tp>
      <tp>
        <v>5.1972946970408884</v>
        <stp/>
        <stp>##V3_BDPV12</stp>
        <stp>912828D5 Govt</stp>
        <stp>YAS_RISK</stp>
        <stp>[BondPricer-0.2.xlsm]US_TREASURY_TYPE1!R72C24</stp>
        <stp>YLD_YTM_ASK=3.0505262</stp>
        <stp>YAS_YLD_CONV=3</stp>
        <tr r="X72" s="4"/>
      </tp>
      <tp>
        <v>16.640501055190725</v>
        <stp/>
        <stp>##V3_BDPV12</stp>
        <stp>EF1312208 Govt</stp>
        <stp>DUR_ADJ_ASK</stp>
        <stp>[BondPricer-0.2.xlsm]ITALIAN_BTPS_TYPE523!R126C29</stp>
        <stp>YLD_YTM_ASK=3.90775031337431</stp>
        <stp>YAS_YLD_CONV=1</stp>
        <tr r="AC126" s="5"/>
      </tp>
      <tp>
        <v>22.00881948311179</v>
        <stp/>
        <stp>##V3_BDPV12</stp>
        <stp>EJ8034211 Govt</stp>
        <stp>DUR_ADJ_ASK</stp>
        <stp>[BondPricer-0.2.xlsm]ITALIAN_BTPS_TYPE523!R155C29</stp>
        <stp>YLD_YTM_ASK=4.11456030049939</stp>
        <stp>YAS_YLD_CONV=1</stp>
        <tr r="AC155" s="5"/>
      </tp>
      <tp>
        <v>80.57600000000005</v>
        <stp/>
        <stp>##V3_BDPV12</stp>
        <stp>EF6782090 Govt</stp>
        <stp>YAS_BOND_PX</stp>
        <stp>[BondPricer-0.2.xlsm]FRENCH_BTAN_TYPE89!R134C20</stp>
        <stp>YAS_BOND_YLD=1.35708786428919</stp>
        <stp>YAS_YLD_CONV=1</stp>
        <tr r="T134" s="8"/>
      </tp>
      <tp>
        <v>68.427000000000135</v>
        <stp/>
        <stp>##V3_BDPV12</stp>
        <stp>ED8388685 Govt</stp>
        <stp>YAS_BOND_PX</stp>
        <stp>[BondPricer-0.2.xlsm]FRENCH_BTAN_TYPE89!R177C20</stp>
        <stp>YAS_BOND_YLD=1.62614934487435</stp>
        <stp>YAS_YLD_CONV=1</stp>
        <tr r="T177" s="8"/>
      </tp>
      <tp>
        <v>64.764000000000109</v>
        <stp/>
        <stp>##V3_BDPV12</stp>
        <stp>ED8389006 Govt</stp>
        <stp>YAS_BOND_PX</stp>
        <stp>[BondPricer-0.2.xlsm]FRENCH_BTAN_TYPE89!R186C20</stp>
        <stp>YAS_BOND_YLD=1.65154134523926</stp>
        <stp>YAS_YLD_CONV=1</stp>
        <tr r="T186" s="8"/>
      </tp>
      <tp>
        <v>79.641999999999967</v>
        <stp/>
        <stp>##V3_BDPV12</stp>
        <stp>EI0430393 Govt</stp>
        <stp>YAS_BOND_PX</stp>
        <stp>[BondPricer-0.2.xlsm]FRENCH_BTAN_TYPE89!R140C20</stp>
        <stp>YAS_BOND_YLD=1.34624902769116</stp>
        <stp>YAS_YLD_CONV=1</stp>
        <tr r="T140" s="8"/>
      </tp>
      <tp>
        <v>83.528000000000006</v>
        <stp/>
        <stp>##V3_BDPV12</stp>
        <stp>EJ6185445 Govt</stp>
        <stp>YAS_BOND_PX</stp>
        <stp>[BondPricer-0.2.xlsm]FRENCH_BTAN_TYPE89!R127C20</stp>
        <stp>YAS_BOND_YLD=1.24019254087731</stp>
        <stp>YAS_YLD_CONV=1</stp>
        <tr r="T127" s="8"/>
      </tp>
      <tp>
        <v>70.968000000000004</v>
        <stp/>
        <stp>##V3_BDPV12</stp>
        <stp>EJ6186344 Govt</stp>
        <stp>YAS_BOND_PX</stp>
        <stp>[BondPricer-0.2.xlsm]FRENCH_BTAN_TYPE89!R168C20</stp>
        <stp>YAS_BOND_YLD=1.60015654006136</stp>
        <stp>YAS_YLD_CONV=1</stp>
        <tr r="T168" s="8"/>
      </tp>
      <tp>
        <v>78.199999999999875</v>
        <stp/>
        <stp>##V3_BDPV12</stp>
        <stp>ED8388123 Govt</stp>
        <stp>YAS_BOND_PX</stp>
        <stp>[BondPricer-0.2.xlsm]FRENCH_BTAN_TYPE89!R143C20</stp>
        <stp>YAS_BOND_YLD=1.41339326325385</stp>
        <stp>YAS_YLD_CONV=1</stp>
        <tr r="T143" s="8"/>
      </tp>
      <tp>
        <v>64.350000000000023</v>
        <stp/>
        <stp>##V3_BDPV12</stp>
        <stp>EI0432118 Govt</stp>
        <stp>YAS_BOND_PX</stp>
        <stp>[BondPricer-0.2.xlsm]FRENCH_BTAN_TYPE89!R182C20</stp>
        <stp>YAS_BOND_YLD=1.74237117557634</stp>
        <stp>YAS_YLD_CONV=1</stp>
        <tr r="T182" s="8"/>
      </tp>
      <tp>
        <v>67.44599999999997</v>
        <stp/>
        <stp>##V3_BDPV12</stp>
        <stp>EJ6186690 Govt</stp>
        <stp>YAS_BOND_PX</stp>
        <stp>[BondPricer-0.2.xlsm]FRENCH_BTAN_TYPE89!R178C20</stp>
        <stp>YAS_BOND_YLD=1.68263159540551</stp>
        <stp>YAS_YLD_CONV=1</stp>
        <tr r="T178" s="8"/>
      </tp>
      <tp>
        <v>52.55999999999986</v>
        <stp/>
        <stp>##V3_BDPV12</stp>
        <stp>JK8068229 Govt</stp>
        <stp>YAS_BOND_PX</stp>
        <stp>[BondPricer-0.2.xlsm]FRENCH_BTAN_TYPE89!R208C20</stp>
        <stp>YAS_BOND_YLD=1.99247577599082</stp>
        <stp>YAS_YLD_CONV=1</stp>
        <tr r="T208" s="8"/>
      </tp>
      <tp>
        <v>74.970000000000013</v>
        <stp/>
        <stp>##V3_BDPV12</stp>
        <stp>EF6781696 Govt</stp>
        <stp>YAS_BOND_PX</stp>
        <stp>[BondPricer-0.2.xlsm]FRENCH_BTAN_TYPE89!R160C20</stp>
        <stp>YAS_BOND_YLD=1.44923499851912</stp>
        <stp>YAS_YLD_CONV=1</stp>
        <tr r="T160" s="8"/>
      </tp>
      <tp>
        <v>56.052999999999848</v>
        <stp/>
        <stp>##V3_BDPV12</stp>
        <stp>ED8390566 Govt</stp>
        <stp>YAS_BOND_PX</stp>
        <stp>[BondPricer-0.2.xlsm]FRENCH_BTAN_TYPE89!R216C20</stp>
        <stp>YAS_BOND_YLD=1.64303528862995</stp>
        <stp>YAS_YLD_CONV=1</stp>
        <tr r="T216" s="8"/>
      </tp>
      <tp>
        <v>84.830999999999932</v>
        <stp/>
        <stp>##V3_BDPV12</stp>
        <stp>EC3973863 Govt</stp>
        <stp>YAS_BOND_PX</stp>
        <stp>[BondPricer-0.2.xlsm]FRENCH_BTAN_TYPE89!R122C20</stp>
        <stp>YAS_BOND_YLD=1.18013787743398</stp>
        <stp>YAS_YLD_CONV=1</stp>
        <tr r="T122" s="8"/>
      </tp>
      <tp>
        <v>78.791999999999945</v>
        <stp/>
        <stp>##V3_BDPV12</stp>
        <stp>EJ6185999 Govt</stp>
        <stp>YAS_BOND_PX</stp>
        <stp>[BondPricer-0.2.xlsm]FRENCH_BTAN_TYPE89!R145C20</stp>
        <stp>YAS_BOND_YLD=1.36330956198927</stp>
        <stp>YAS_YLD_CONV=1</stp>
        <tr r="T145" s="8"/>
      </tp>
      <tp>
        <v>4.1061177642636171</v>
        <stp/>
        <stp>##V3_BDPV12</stp>
        <stp>AN2012648 Govt</stp>
        <stp>YLD_YTM_ASK</stp>
        <stp>[BondPricer-0.2.xlsm]ITALIAN_BTPS_TYPE523!R187C15</stp>
        <tr r="O187" s="5"/>
      </tp>
      <tp>
        <v>3.2227185247067469</v>
        <stp/>
        <stp>##V3_BDPV12</stp>
        <stp>AN2032562 Govt</stp>
        <stp>YLD_YTM_ASK</stp>
        <stp>[BondPricer-0.2.xlsm]ITALIAN_BTPS_TYPE523!R210C15</stp>
        <tr r="O210" s="5"/>
      </tp>
      <tp>
        <v>3.9755670167864521</v>
        <stp/>
        <stp>##V3_BDPV12</stp>
        <stp>AN2022514 Govt</stp>
        <stp>YLD_YTM_ASK</stp>
        <stp>[BondPricer-0.2.xlsm]ITALIAN_BTPS_TYPE523!R200C15</stp>
        <tr r="O200" s="5"/>
      </tp>
      <tp>
        <v>4.1004583790664073</v>
        <stp/>
        <stp>##V3_BDPV12</stp>
        <stp>EK0097619 Govt</stp>
        <stp>YLD_YTM_ASK</stp>
        <stp>[BondPricer-0.2.xlsm]ITALIAN_BTPS_TYPE523!R151C15</stp>
        <tr r="O151" s="5"/>
      </tp>
      <tp>
        <v>4.2080081460942553</v>
        <stp/>
        <stp>##V3_BDPV12</stp>
        <stp>AN1982643 Govt</stp>
        <stp>YLD_YTM_ASK</stp>
        <stp>[BondPricer-0.2.xlsm]ITALIAN_BTPS_TYPE523!R179C15</stp>
        <tr r="O179" s="5"/>
      </tp>
      <tp>
        <v>4.2603833103030286</v>
        <stp/>
        <stp>##V3_BDPV12</stp>
        <stp>EK0097973 Govt</stp>
        <stp>YLD_YTM_ASK</stp>
        <stp>[BondPricer-0.2.xlsm]ITALIAN_BTPS_TYPE523!R152C15</stp>
        <tr r="O152" s="5"/>
      </tp>
      <tp>
        <v>18.57281976941394</v>
        <stp/>
        <stp>##V3_BDPV12</stp>
        <stp>ED8389246 Govt</stp>
        <stp>YAS_RISK</stp>
        <stp>[BondPricer-0.2.xlsm]FRENCH_BTAN_TYPE89!R204C24</stp>
        <stp>YLD_YTM_ASK=1.63978541089178</stp>
        <stp>YAS_YLD_CONV=1</stp>
        <tr r="X204" s="8"/>
      </tp>
      <tp>
        <v>12.64009418576606</v>
        <stp/>
        <stp>##V3_BDPV12</stp>
        <stp>EJ6185791 Govt</stp>
        <stp>YAS_RISK</stp>
        <stp>[BondPricer-0.2.xlsm]FRENCH_BTAN_TYPE89!R132C24</stp>
        <stp>YLD_YTM_ASK=1.27638075112275</stp>
        <stp>YAS_YLD_CONV=1</stp>
        <tr r="X132" s="8"/>
      </tp>
      <tp>
        <v>13.594511990216773</v>
        <stp/>
        <stp>##V3_BDPV12</stp>
        <stp>EI0431516 Govt</stp>
        <stp>YAS_RISK</stp>
        <stp>[BondPricer-0.2.xlsm]FRENCH_BTAN_TYPE89!R142C24</stp>
        <stp>YLD_YTM_ASK=1.37930301966704</stp>
        <stp>YAS_YLD_CONV=1</stp>
        <tr r="X142" s="8"/>
      </tp>
      <tp>
        <v>16.390537701825991</v>
        <stp/>
        <stp>##V3_BDPV12</stp>
        <stp>JK8061976 Govt</stp>
        <stp>YAS_RISK</stp>
        <stp>[BondPricer-0.2.xlsm]FRENCH_BTAN_TYPE89!R193C24</stp>
        <stp>YLD_YTM_ASK=1.83894990754128</stp>
        <stp>YAS_YLD_CONV=1</stp>
        <tr r="X193" s="8"/>
      </tp>
      <tp>
        <v>17.031205967494145</v>
        <stp/>
        <stp>##V3_BDPV12</stp>
        <stp>JK8068849 Govt</stp>
        <stp>YAS_RISK</stp>
        <stp>[BondPricer-0.2.xlsm]FRENCH_BTAN_TYPE89!R230C24</stp>
        <stp>YLD_YTM_ASK=2.11026016208151</stp>
        <stp>YAS_YLD_CONV=1</stp>
        <tr r="X230" s="8"/>
      </tp>
      <tp>
        <v>11.123996261304267</v>
        <stp/>
        <stp>##V3_BDPV12</stp>
        <stp>EC2918364 Govt</stp>
        <stp>DUR_ADJ_ASK</stp>
        <stp>[BondPricer-0.2.xlsm]ITALIAN_BTPS_TYPE523!R92C29</stp>
        <stp>YLD_YTM_ASK=3.77099215567829</stp>
        <stp>YAS_YLD_CONV=1</stp>
        <tr r="AC92" s="5"/>
      </tp>
      <tp>
        <v>8.556811132623066</v>
        <stp/>
        <stp>##V3_BDPV12</stp>
        <stp>EK0222613 Govt</stp>
        <stp>DUR_ADJ_ASK</stp>
        <stp>[BondPricer-0.2.xlsm]ITALIAN_BTPS_TYPE523!R63C29</stp>
        <stp>YLD_YTM_ASK=3.69434961880799</stp>
        <stp>YAS_YLD_CONV=1</stp>
        <tr r="AC63" s="5"/>
      </tp>
      <tp>
        <v>4.6581173226912957</v>
        <stp/>
        <stp>##V3_BDPV12</stp>
        <stp>EC5587281 Govt</stp>
        <stp>DUR_ADJ_ASK</stp>
        <stp>[BondPricer-0.2.xlsm]ITALIAN_BTPS_TYPE523!R16C29</stp>
        <stp>YLD_YTM_ASK=2.84758486134395</stp>
        <stp>YAS_YLD_CONV=1</stp>
        <tr r="AC16" s="5"/>
      </tp>
      <tp>
        <v>10.546296223390073</v>
        <stp/>
        <stp>##V3_BDPV12</stp>
        <stp>912810FJ Govt</stp>
        <stp>YAS_RISK</stp>
        <stp>[BondPricer-0.2.xlsm]US_TREASURY_TYPE1!R93C24</stp>
        <stp>YLD_YTM_ASK=3.1537541</stp>
        <stp>YAS_YLD_CONV=3</stp>
        <tr r="X93" s="4"/>
      </tp>
      <tp>
        <v>11.307995172201402</v>
        <stp/>
        <stp>##V3_BDPV12</stp>
        <stp>912810FM Govt</stp>
        <stp>YAS_RISK</stp>
        <stp>[BondPricer-0.2.xlsm]US_TREASURY_TYPE1!R94C24</stp>
        <stp>YLD_YTM_ASK=3.1577552</stp>
        <stp>YAS_YLD_CONV=3</stp>
        <tr r="X94" s="4"/>
      </tp>
      <tp>
        <v>5.0970676203523171</v>
        <stp/>
        <stp>##V3_BDPV12</stp>
        <stp>EJ2445694 Corp</stp>
        <stp>DUR_ADJ_ASK</stp>
        <stp>[BondPricer-0.2.xlsm]AUSTRALIAN_GOVT_TYPE23!R25C30</stp>
        <stp>YLD_YTM_ASK=2.35604450630056</stp>
        <stp>YAS_YLD_CONV=3</stp>
        <tr r="AD25" s="9"/>
      </tp>
      <tp>
        <v>9.3597476043811412</v>
        <stp/>
        <stp>##V3_BDPV12</stp>
        <stp>912810FE Govt</stp>
        <stp>YAS_RISK</stp>
        <stp>[BondPricer-0.2.xlsm]US_TREASURY_TYPE1!R90C24</stp>
        <stp>YLD_YTM_ASK=3.1447197</stp>
        <stp>YAS_YLD_CONV=3</stp>
        <tr r="X90" s="4"/>
      </tp>
      <tp>
        <v>12.313597381119022</v>
        <stp/>
        <stp>##V3_BDPV12</stp>
        <stp>EC5588925 Govt</stp>
        <stp>DUR_ADJ_ASK</stp>
        <stp>[BondPricer-0.2.xlsm]ITALIAN_BTPS_TYPE523!R100C29</stp>
        <stp>YLD_YTM_ASK=3.87512685082307</stp>
        <stp>YAS_YLD_CONV=1</stp>
        <tr r="AC100" s="5"/>
      </tp>
      <tp>
        <v>45.59973939774283</v>
        <stp/>
        <stp>##V3_BDPV12</stp>
        <stp>AN2029006 Govt</stp>
        <stp>DUR_ADJ_ASK</stp>
        <stp>[BondPricer-0.2.xlsm]ITALIAN_BTPS_TYPE523!R207C29</stp>
        <stp>YLD_YTM_ASK=3.88897725819199</stp>
        <stp>YAS_YLD_CONV=1</stp>
        <tr r="AC207" s="5"/>
      </tp>
      <tp>
        <v>43.659031140086604</v>
        <stp/>
        <stp>##V3_BDPV12</stp>
        <stp>AN2024692 Govt</stp>
        <stp>DUR_ADJ_ASK</stp>
        <stp>[BondPricer-0.2.xlsm]ITALIAN_BTPS_TYPE523!R203C29</stp>
        <stp>YLD_YTM_ASK=3.93844206916862</stp>
        <stp>YAS_YLD_CONV=1</stp>
        <tr r="AC203" s="5"/>
      </tp>
      <tp>
        <v>19.953201130879837</v>
        <stp/>
        <stp>##V3_BDPV12</stp>
        <stp>EJ4854638 Govt</stp>
        <stp>DUR_ADJ_ASK</stp>
        <stp>[BondPricer-0.2.xlsm]ITALIAN_BTPS_TYPE523!R142C29</stp>
        <stp>YLD_YTM_ASK=4.19770032549958</stp>
        <stp>YAS_YLD_CONV=1</stp>
        <tr r="AC142" s="5"/>
      </tp>
      <tp>
        <v>2.3329939278468714</v>
        <stp/>
        <stp>##V3_BDPV12</stp>
        <stp>912828C5 Govt</stp>
        <stp>YAS_RISK</stp>
        <stp>[BondPricer-0.2.xlsm]US_TREASURY_TYPE1!R13C24</stp>
        <stp>YLD_YTM_ASK=2.8901147</stp>
        <stp>YAS_YLD_CONV=3</stp>
        <tr r="X13" s="4"/>
      </tp>
      <tp>
        <v>39.767148972319831</v>
        <stp/>
        <stp>##V3_BDPV12</stp>
        <stp>AN2019403 Govt</stp>
        <stp>DUR_ADJ_ASK</stp>
        <stp>[BondPricer-0.2.xlsm]ITALIAN_BTPS_TYPE523!R195C29</stp>
        <stp>YLD_YTM_ASK=4.03824847158001</stp>
        <stp>YAS_YLD_CONV=1</stp>
        <tr r="AC195" s="5"/>
      </tp>
      <tp>
        <v>19.97538455644872</v>
        <stp/>
        <stp>##V3_BDPV12</stp>
        <stp>EH2420238 Govt</stp>
        <stp>DUR_ADJ_ASK</stp>
        <stp>[BondPricer-0.2.xlsm]ITALIAN_BTPS_TYPE523!R143C29</stp>
        <stp>YLD_YTM_ASK=4.08198498583461</stp>
        <stp>YAS_YLD_CONV=1</stp>
        <tr r="AC143" s="5"/>
      </tp>
      <tp>
        <v>15.675461470955625</v>
        <stp/>
        <stp>##V3_BDPV12</stp>
        <stp>EF1312166 Govt</stp>
        <stp>DUR_ADJ_ASK</stp>
        <stp>[BondPricer-0.2.xlsm]ITALIAN_BTPS_TYPE523!R121C29</stp>
        <stp>YLD_YTM_ASK=3.92529017534391</stp>
        <stp>YAS_YLD_CONV=1</stp>
        <tr r="AC121" s="5"/>
      </tp>
      <tp>
        <v>70.504999999999995</v>
        <stp/>
        <stp>##V3_BDPV12</stp>
        <stp>ED8388602 Govt</stp>
        <stp>YAS_BOND_PX</stp>
        <stp>[BondPricer-0.2.xlsm]FRENCH_BTAN_TYPE89!R172C20</stp>
        <stp>YAS_BOND_YLD=1.56396018604312</stp>
        <stp>YAS_YLD_CONV=1</stp>
        <tr r="T172" s="8"/>
      </tp>
      <tp>
        <v>116.84500000000001</v>
        <stp/>
        <stp>##V3_BDPV12</stp>
        <stp>EK2432749 Govt</stp>
        <stp>YAS_BOND_PX</stp>
        <stp>[BondPricer-0.2.xlsm]FRENCH_BTAN_TYPE89!R106C20</stp>
        <stp>YAS_BOND_YLD=0.95873864379304</stp>
        <stp>YAS_YLD_CONV=1</stp>
        <tr r="T106" s="8"/>
      </tp>
      <tp>
        <v>45.713000000000136</v>
        <stp/>
        <stp>##V3_BDPV12</stp>
        <stp>EI1868393 Govt</stp>
        <stp>YAS_BOND_PX</stp>
        <stp>[BondPricer-0.2.xlsm]FRENCH_BTAN_TYPE89!R225C20</stp>
        <stp>YAS_BOND_YLD=2.05291795062144</stp>
        <stp>YAS_YLD_CONV=1</stp>
        <tr r="T225" s="8"/>
      </tp>
      <tp>
        <v>58.36600000000012</v>
        <stp/>
        <stp>##V3_BDPV12</stp>
        <stp>ED8389402 Govt</stp>
        <stp>YAS_BOND_PX</stp>
        <stp>[BondPricer-0.2.xlsm]FRENCH_BTAN_TYPE89!R210C20</stp>
        <stp>YAS_BOND_YLD=1.61925851729146</stp>
        <stp>YAS_YLD_CONV=1</stp>
        <tr r="T210" s="8"/>
      </tp>
      <tp>
        <v>82.163000000000139</v>
        <stp/>
        <stp>##V3_BDPV12</stp>
        <stp>EI0429437 Govt</stp>
        <stp>YAS_BOND_PX</stp>
        <stp>[BondPricer-0.2.xlsm]FRENCH_BTAN_TYPE89!R130C20</stp>
        <stp>YAS_BOND_YLD=1.27388438039093</stp>
        <stp>YAS_YLD_CONV=1</stp>
        <tr r="T130" s="8"/>
      </tp>
      <tp>
        <v>67.735999999999919</v>
        <stp/>
        <stp>##V3_BDPV12</stp>
        <stp>EI0431995 Govt</stp>
        <stp>YAS_BOND_PX</stp>
        <stp>[BondPricer-0.2.xlsm]FRENCH_BTAN_TYPE89!R176C20</stp>
        <stp>YAS_BOND_YLD=1.67001295803872</stp>
        <stp>YAS_YLD_CONV=1</stp>
        <tr r="T176" s="8"/>
      </tp>
      <tp>
        <v>46.052000000000113</v>
        <stp/>
        <stp>##V3_BDPV12</stp>
        <stp>JK8068518 Govt</stp>
        <stp>YAS_BOND_PX</stp>
        <stp>[BondPricer-0.2.xlsm]FRENCH_BTAN_TYPE89!R224C20</stp>
        <stp>YAS_BOND_YLD=2.08348889916907</stp>
        <stp>YAS_YLD_CONV=1</stp>
        <tr r="T224" s="8"/>
      </tp>
      <tp>
        <v>4.0297156164150083</v>
        <stp/>
        <stp>##V3_BDPV12</stp>
        <stp>EJ4855486 Govt</stp>
        <stp>YLD_YTM_ASK</stp>
        <stp>[BondPricer-0.2.xlsm]ITALIAN_BTPS_TYPE523!R150C15</stp>
        <tr r="O150" s="5"/>
      </tp>
      <tp>
        <v>3.6153655667604534</v>
        <stp/>
        <stp>##V3_BDPV12</stp>
        <stp>EK0224056 Govt</stp>
        <stp>YLD_YTM_ASK</stp>
        <stp>[BondPricer-0.2.xlsm]ITALIAN_BTPS_TYPE523!R130C15</stp>
        <tr r="O130" s="5"/>
      </tp>
      <tp>
        <v>4.1302970819105278</v>
        <stp/>
        <stp>##V3_BDPV12</stp>
        <stp>AN2011285 Govt</stp>
        <stp>YLD_YTM_ASK</stp>
        <stp>[BondPricer-0.2.xlsm]ITALIAN_BTPS_TYPE523!R185C15</stp>
        <tr r="O185" s="5"/>
      </tp>
      <tp>
        <v>3.9712435243886457</v>
        <stp/>
        <stp>##V3_BDPV12</stp>
        <stp>EK0224239 Govt</stp>
        <stp>YLD_YTM_ASK</stp>
        <stp>[BondPricer-0.2.xlsm]ITALIAN_BTPS_TYPE523!R135C15</stp>
        <tr r="O135" s="5"/>
      </tp>
      <tp>
        <v>4.0006956086209966</v>
        <stp/>
        <stp>##V3_BDPV12</stp>
        <stp>AN2021185 Govt</stp>
        <stp>YLD_YTM_ASK</stp>
        <stp>[BondPricer-0.2.xlsm]ITALIAN_BTPS_TYPE523!R198C15</stp>
        <tr r="O198" s="5"/>
      </tp>
      <tp>
        <v>4.2202210811006502</v>
        <stp/>
        <stp>##V3_BDPV12</stp>
        <stp>AN1981595 Govt</stp>
        <stp>YLD_YTM_ASK</stp>
        <stp>[BondPricer-0.2.xlsm]ITALIAN_BTPS_TYPE523!R178C15</stp>
        <tr r="O178" s="5"/>
      </tp>
      <tp>
        <v>4.496084322858529</v>
        <stp/>
        <stp>##V3_BDPV12</stp>
        <stp>EK0224478 Govt</stp>
        <stp>YLD_YTM_ASK</stp>
        <stp>[BondPricer-0.2.xlsm]ITALIAN_BTPS_TYPE523!R147C15</stp>
        <tr r="O147" s="5"/>
      </tp>
      <tp>
        <v>3.9613254622182348</v>
        <stp/>
        <stp>##V3_BDPV12</stp>
        <stp>EK0224411 Govt</stp>
        <stp>YLD_YTM_ASK</stp>
        <stp>[BondPricer-0.2.xlsm]ITALIAN_BTPS_TYPE523!R138C15</stp>
        <tr r="O138" s="5"/>
      </tp>
      <tp>
        <v>12.744567558222405</v>
        <stp/>
        <stp>##V3_BDPV12</stp>
        <stp>912810PT Govt</stp>
        <stp>DUR_ADJ_ASK</stp>
        <stp>[BondPricer-0.2.xlsm]US_TREASURY_TYPE1!R97C28</stp>
        <stp>YLD_YTM_ASK=3.2255743</stp>
        <stp>YAS_YLD_CONV=3</stp>
        <tr r="AB97" s="4"/>
      </tp>
      <tp>
        <v>4.2856110796751334</v>
        <stp/>
        <stp>##V3_BDPV12</stp>
        <stp>EK0224593 Govt</stp>
        <stp>YLD_YTM_ASK</stp>
        <stp>[BondPricer-0.2.xlsm]ITALIAN_BTPS_TYPE523!R140C15</stp>
        <tr r="O140" s="5"/>
      </tp>
      <tp>
        <v>3.9878055068754081</v>
        <stp/>
        <stp>##V3_BDPV12</stp>
        <stp>AN2021532 Govt</stp>
        <stp>YLD_YTM_ASK</stp>
        <stp>[BondPricer-0.2.xlsm]ITALIAN_BTPS_TYPE523!R199C15</stp>
        <tr r="O199" s="5"/>
      </tp>
      <tp>
        <v>3.8461379205723567</v>
        <stp/>
        <stp>##V3_BDPV12</stp>
        <stp>EK6994165 Govt</stp>
        <stp>YLD_YTM_ASK</stp>
        <stp>[BondPricer-0.2.xlsm]ITALIAN_BTPS_TYPE523!R166C15</stp>
        <tr r="O166" s="5"/>
      </tp>
      <tp>
        <v>4.5020997138793373</v>
        <stp/>
        <stp>##V3_BDPV12</stp>
        <stp>EK0224775 Govt</stp>
        <stp>YLD_YTM_ASK</stp>
        <stp>[BondPricer-0.2.xlsm]ITALIAN_BTPS_TYPE523!R149C15</stp>
        <tr r="O149" s="5"/>
      </tp>
      <tp>
        <v>4.4117725972350641</v>
        <stp/>
        <stp>##V3_BDPV12</stp>
        <stp>EK0224890 Govt</stp>
        <stp>YLD_YTM_ASK</stp>
        <stp>[BondPricer-0.2.xlsm]ITALIAN_BTPS_TYPE523!R145C15</stp>
        <tr r="O145" s="5"/>
      </tp>
      <tp>
        <v>4.5366506673058415</v>
        <stp/>
        <stp>##V3_BDPV12</stp>
        <stp>EK0224833 Govt</stp>
        <stp>YLD_YTM_ASK</stp>
        <stp>[BondPricer-0.2.xlsm]ITALIAN_BTPS_TYPE523!R153C15</stp>
        <tr r="O153" s="5"/>
      </tp>
      <tp>
        <v>4.5223602923117445</v>
        <stp/>
        <stp>##V3_BDPV12</stp>
        <stp>EK0224957 Govt</stp>
        <stp>YLD_YTM_ASK</stp>
        <stp>[BondPricer-0.2.xlsm]ITALIAN_BTPS_TYPE523!R154C15</stp>
        <tr r="O154" s="5"/>
      </tp>
      <tp>
        <v>4.1184362643989614</v>
        <stp/>
        <stp>##V3_BDPV12</stp>
        <stp>AN2011814 Govt</stp>
        <stp>YLD_YTM_ASK</stp>
        <stp>[BondPricer-0.2.xlsm]ITALIAN_BTPS_TYPE523!R186C15</stp>
        <tr r="O186" s="5"/>
      </tp>
      <tp>
        <v>4.0159284412542462</v>
        <stp/>
        <stp>##V3_BDPV12</stp>
        <stp>EG9398371 Govt</stp>
        <stp>YLD_YTM_ASK</stp>
        <stp>[BondPricer-0.2.xlsm]ITALIAN_BTPS_TYPE523!R141C15</stp>
        <tr r="O141" s="5"/>
      </tp>
      <tp>
        <v>109.52800000010693</v>
        <stp/>
        <stp>##V3_BDPV12</stp>
        <stp>EJ3845777 Govt</stp>
        <stp>YAS_BOND_PX</stp>
        <stp>[BondPricer-0.2.xlsm]FRENCH_BTAN_TYPE89!R31C20</stp>
        <stp>YAS_BOND_YLD=-0.11233393413629</stp>
        <stp>YAS_YLD_CONV=1</stp>
        <tr r="T31" s="8"/>
      </tp>
      <tp>
        <v>6.9567059981186672</v>
        <stp/>
        <stp>##V3_BDPV12</stp>
        <stp>912810FA Govt</stp>
        <stp>DUR_ADJ_ASK</stp>
        <stp>[BondPricer-0.2.xlsm]US_TREASURY_TYPE1!R88C28</stp>
        <stp>YLD_YTM_ASK=3.1145257</stp>
        <stp>YAS_YLD_CONV=3</stp>
        <tr r="AB88" s="4"/>
      </tp>
      <tp>
        <v>10.786567421511961</v>
        <stp/>
        <stp>##V3_BDPV12</stp>
        <stp>ED3948715 Govt</stp>
        <stp>YAS_RISK</stp>
        <stp>[BondPricer-0.2.xlsm]FRENCH_BTAN_TYPE89!R111C24</stp>
        <stp>YLD_YTM_ASK=1.10864334993608</stp>
        <stp>YAS_YLD_CONV=1</stp>
        <tr r="X111" s="8"/>
      </tp>
      <tp>
        <v>15.933981594829305</v>
        <stp/>
        <stp>##V3_BDPV12</stp>
        <stp>EI0432076 Govt</stp>
        <stp>YAS_RISK</stp>
        <stp>[BondPricer-0.2.xlsm]FRENCH_BTAN_TYPE89!R179C24</stp>
        <stp>YLD_YTM_ASK=1.70340983537483</stp>
        <stp>YAS_YLD_CONV=1</stp>
        <tr r="X179" s="8"/>
      </tp>
      <tp>
        <v>16.511105057982789</v>
        <stp/>
        <stp>##V3_BDPV12</stp>
        <stp>JK8068088 Govt</stp>
        <stp>YAS_RISK</stp>
        <stp>[BondPricer-0.2.xlsm]FRENCH_BTAN_TYPE89!R196C24</stp>
        <stp>YLD_YTM_ASK=1.87348189493797</stp>
        <stp>YAS_YLD_CONV=1</stp>
        <tr r="X196" s="8"/>
      </tp>
      <tp>
        <v>14.476392554793449</v>
        <stp/>
        <stp>##V3_BDPV12</stp>
        <stp>ED8388446 Govt</stp>
        <stp>YAS_RISK</stp>
        <stp>[BondPricer-0.2.xlsm]FRENCH_BTAN_TYPE89!R156C24</stp>
        <stp>YLD_YTM_ASK=1.46749173217167</stp>
        <stp>YAS_YLD_CONV=1</stp>
        <tr r="X156" s="8"/>
      </tp>
      <tp>
        <v>16.915460662696091</v>
        <stp/>
        <stp>##V3_BDPV12</stp>
        <stp>JK8068435 Govt</stp>
        <stp>YAS_RISK</stp>
        <stp>[BondPricer-0.2.xlsm]FRENCH_BTAN_TYPE89!R222C24</stp>
        <stp>YLD_YTM_ASK=2.07398320127232</stp>
        <stp>YAS_YLD_CONV=1</stp>
        <tr r="X222" s="8"/>
      </tp>
      <tp>
        <v>40.333307008202723</v>
        <stp/>
        <stp>##V3_BDPV12</stp>
        <stp>EI1823166 Govt</stp>
        <stp>YAS_RISK</stp>
        <stp>[BondPricer-0.2.xlsm]FRENCH_BTAN_TYPE89!R231C24</stp>
        <stp>YLD_YTM_ASK=1.83648186793735</stp>
        <stp>YAS_YLD_CONV=1</stp>
        <tr r="X231" s="8"/>
      </tp>
      <tp>
        <v>16.930360665304178</v>
        <stp/>
        <stp>##V3_BDPV12</stp>
        <stp>JK8068302 Govt</stp>
        <stp>YAS_RISK</stp>
        <stp>[BondPricer-0.2.xlsm]FRENCH_BTAN_TYPE89!R217C24</stp>
        <stp>YLD_YTM_ASK=2.05152719201172</stp>
        <stp>YAS_YLD_CONV=1</stp>
        <tr r="X217" s="8"/>
      </tp>
      <tp>
        <v>16.825244478815193</v>
        <stp/>
        <stp>##V3_BDPV12</stp>
        <stp>ED8388727 Govt</stp>
        <stp>YAS_RISK</stp>
        <stp>[BondPricer-0.2.xlsm]FRENCH_BTAN_TYPE89!R180C24</stp>
        <stp>YLD_YTM_ASK=1.48674330083594</stp>
        <stp>YAS_YLD_CONV=1</stp>
        <tr r="X180" s="8"/>
      </tp>
      <tp>
        <v>20.52688630939663</v>
        <stp/>
        <stp>##V3_BDPV12</stp>
        <stp>ED8324482 Govt</stp>
        <stp>YAS_RISK</stp>
        <stp>[BondPricer-0.2.xlsm]FRENCH_BTAN_TYPE89!R220C24</stp>
        <stp>YLD_YTM_ASK=1.54738679669968</stp>
        <stp>YAS_YLD_CONV=1</stp>
        <tr r="X220" s="8"/>
      </tp>
      <tp>
        <v>14.279788973878738</v>
        <stp/>
        <stp>##V3_BDPV12</stp>
        <stp>EI0430518 Govt</stp>
        <stp>YAS_RISK</stp>
        <stp>[BondPricer-0.2.xlsm]FRENCH_BTAN_TYPE89!R153C24</stp>
        <stp>YLD_YTM_ASK=1.44247208270549</stp>
        <stp>YAS_YLD_CONV=1</stp>
        <tr r="X153" s="8"/>
      </tp>
      <tp>
        <v>12.88077927032063</v>
        <stp/>
        <stp>##V3_BDPV12</stp>
        <stp>EI0430278 Govt</stp>
        <stp>YAS_RISK</stp>
        <stp>[BondPricer-0.2.xlsm]FRENCH_BTAN_TYPE89!R133C24</stp>
        <stp>YLD_YTM_ASK=1.29025843516934</stp>
        <stp>YAS_YLD_CONV=1</stp>
        <tr r="X133" s="8"/>
      </tp>
      <tp>
        <v>15.45408648885811</v>
        <stp/>
        <stp>##V3_BDPV12</stp>
        <stp>JK7596303 Govt</stp>
        <stp>YAS_RISK</stp>
        <stp>[BondPricer-0.2.xlsm]FRENCH_BTAN_TYPE89!R144C24</stp>
        <stp>YLD_YTM_ASK=1.34427289010383</stp>
        <stp>YAS_YLD_CONV=1</stp>
        <tr r="X144" s="8"/>
      </tp>
      <tp>
        <v>15.45408648885811</v>
        <stp/>
        <stp>##V3_BDPV12</stp>
        <stp>JK7596303 Govt</stp>
        <stp>YAS_RISK</stp>
        <stp>[BondPricer-0.2.xlsm]FRENCH_BTAN_TYPE89!R146C24</stp>
        <stp>YLD_YTM_ASK=1.34427289010383</stp>
        <stp>YAS_YLD_CONV=1</stp>
        <tr r="X146" s="8"/>
      </tp>
      <tp>
        <v>15.45408648885811</v>
        <stp/>
        <stp>##V3_BDPV12</stp>
        <stp>JK7596303 Govt</stp>
        <stp>YAS_RISK</stp>
        <stp>[BondPricer-0.2.xlsm]FRENCH_BTAN_TYPE89!R147C24</stp>
        <stp>YLD_YTM_ASK=1.34427289010383</stp>
        <stp>YAS_YLD_CONV=1</stp>
        <tr r="X147" s="8"/>
      </tp>
      <tp>
        <v>19.026139731291281</v>
        <stp/>
        <stp>##V3_BDPV12</stp>
        <stp>ED8389287 Govt</stp>
        <stp>YAS_RISK</stp>
        <stp>[BondPricer-0.2.xlsm]FRENCH_BTAN_TYPE89!R207C24</stp>
        <stp>YLD_YTM_ASK=1.61205439857071</stp>
        <stp>YAS_YLD_CONV=1</stp>
        <tr r="X207" s="8"/>
      </tp>
      <tp>
        <v>3.9797009774855745</v>
        <stp/>
        <stp>##V3_BDPV12</stp>
        <stp>EJ5688621 Govt</stp>
        <stp>DUR_ADJ_ASK</stp>
        <stp>[BondPricer-0.2.xlsm]ITALIAN_BTPS_TYPE523!R12C29</stp>
        <stp>YLD_YTM_ASK=2.92307222529982</stp>
        <stp>YAS_YLD_CONV=1</stp>
        <tr r="AC12" s="5"/>
      </tp>
      <tp>
        <v>6.1682748927780233</v>
        <stp/>
        <stp>##V3_BDPV12</stp>
        <stp>EK0221532 Govt</stp>
        <stp>DUR_ADJ_ASK</stp>
        <stp>[BondPricer-0.2.xlsm]ITALIAN_BTPS_TYPE523!R35C29</stp>
        <stp>YLD_YTM_ASK=3.40595522747755</stp>
        <stp>YAS_YLD_CONV=1</stp>
        <tr r="AC35" s="5"/>
      </tp>
      <tp>
        <v>10.483589791533046</v>
        <stp/>
        <stp>##V3_BDPV12</stp>
        <stp>EK0662115 Govt</stp>
        <stp>DUR_ADJ_ASK</stp>
        <stp>[BondPricer-0.2.xlsm]ITALIAN_BTPS_TYPE523!R84C29</stp>
        <stp>YLD_YTM_ASK=3.76651343261891</stp>
        <stp>YAS_YLD_CONV=1</stp>
        <tr r="AC84" s="5"/>
      </tp>
      <tp>
        <v>15.29116263553254</v>
        <stp/>
        <stp>##V3_BDPV12</stp>
        <stp>EG1252618 Govt</stp>
        <stp>YAS_MOD_DUR</stp>
        <stp>[BondPricer-0.2.xlsm]JAPAN_JGB_TYPE51!R180C28</stp>
        <stp>YLD_YTM_ASK=0.52</stp>
        <stp>YAS_YLD_CONV=3</stp>
        <tr r="AB180" s="7"/>
      </tp>
      <tp>
        <v>11.469832909001809</v>
        <stp/>
        <stp>##V3_BDPV12</stp>
        <stp>912810FP Govt</stp>
        <stp>YAS_RISK</stp>
        <stp>[BondPricer-0.2.xlsm]US_TREASURY_TYPE1!R95C24</stp>
        <stp>YLD_YTM_ASK=3.1684317</stp>
        <stp>YAS_YLD_CONV=3</stp>
        <tr r="X95" s="4"/>
      </tp>
      <tp>
        <v>8.8532231850606848</v>
        <stp/>
        <stp>##V3_BDPV12</stp>
        <stp>EC2373701 Govt</stp>
        <stp>DUR_ADJ_ASK</stp>
        <stp>[BondPricer-0.2.xlsm]ITALIAN_BTPS_TYPE523!R96C29</stp>
        <stp>YLD_YTM_ASK=3.71322030286234</stp>
        <stp>YAS_YLD_CONV=1</stp>
        <tr r="AC96" s="5"/>
      </tp>
      <tp>
        <v>14.28318312389365</v>
        <stp/>
        <stp>##V3_BDPV12</stp>
        <stp>EJ2136277 Govt</stp>
        <stp>YAS_RISK</stp>
        <stp>[BondPricer-0.2.xlsm]JAPAN_JGB_TYPE51!R136C25</stp>
        <stp>YLD_YTM_ASK=0.3</stp>
        <stp>YAS_YLD_CONV=3</stp>
        <tr r="Y136" s="7"/>
      </tp>
      <tp>
        <v>4.3702201692168865</v>
        <stp/>
        <stp>##V3_BDPV12</stp>
        <stp>EJ9131404 Corp</stp>
        <stp>DUR_ADJ_ASK</stp>
        <stp>[BondPricer-0.2.xlsm]AUSTRALIAN_GOVT_TYPE23!R23C30</stp>
        <stp>YLD_YTM_ASK=3.10802983598692</stp>
        <stp>YAS_YLD_CONV=3</stp>
        <tr r="AD23" s="9"/>
      </tp>
      <tp>
        <v>10.652860316235776</v>
        <stp/>
        <stp>##V3_BDPV12</stp>
        <stp>EC1044535 Govt</stp>
        <stp>DUR_ADJ_ASK</stp>
        <stp>[BondPricer-0.2.xlsm]ITALIAN_BTPS_TYPE523!R88C29</stp>
        <stp>YLD_YTM_ASK=3.6413059610005</stp>
        <stp>YAS_YLD_CONV=1</stp>
        <tr r="AC88" s="5"/>
      </tp>
      <tp>
        <v>100.544</v>
        <stp/>
        <stp>##V3_BDPV12</stp>
        <stp>JK4133670 Govt</stp>
        <stp>YAS_BOND_PX</stp>
        <stp>[BondPricer-0.2.xlsm]JAPAN_JGB_TYPE51!R8C20</stp>
        <stp>YAS_BOND_SPL_YLD=-0.123999999999995</stp>
        <stp>YAS_YLD_CONV=2</stp>
        <tr r="T8" s="7"/>
      </tp>
      <tp>
        <v>17.128838071831368</v>
        <stp/>
        <stp>##V3_BDPV12</stp>
        <stp>EF1312406 Govt</stp>
        <stp>DUR_ADJ_ASK</stp>
        <stp>[BondPricer-0.2.xlsm]ITALIAN_BTPS_TYPE523!R128C29</stp>
        <stp>YLD_YTM_ASK=3.86443620107089</stp>
        <stp>YAS_YLD_CONV=1</stp>
        <tr r="AC128" s="5"/>
      </tp>
      <tp>
        <v>30.097423097060087</v>
        <stp/>
        <stp>##V3_BDPV12</stp>
        <stp>AN1978633 Govt</stp>
        <stp>DUR_ADJ_ASK</stp>
        <stp>[BondPricer-0.2.xlsm]ITALIAN_BTPS_TYPE523!R175C29</stp>
        <stp>YLD_YTM_ASK=4.23809394165706</stp>
        <stp>YAS_YLD_CONV=1</stp>
        <tr r="AC175" s="5"/>
      </tp>
      <tp>
        <v>29.614244787564264</v>
        <stp/>
        <stp>##V3_BDPV12</stp>
        <stp>AN1976728 Govt</stp>
        <stp>DUR_ADJ_ASK</stp>
        <stp>[BondPricer-0.2.xlsm]ITALIAN_BTPS_TYPE523!R174C29</stp>
        <stp>YLD_YTM_ASK=4.25043082962779</stp>
        <stp>YAS_YLD_CONV=1</stp>
        <tr r="AC174" s="5"/>
      </tp>
      <tp>
        <v>50.661999999999871</v>
        <stp/>
        <stp>##V3_BDPV12</stp>
        <stp>EI0432951 Govt</stp>
        <stp>YAS_BOND_PX</stp>
        <stp>[BondPricer-0.2.xlsm]FRENCH_BTAN_TYPE89!R212C20</stp>
        <stp>YAS_BOND_YLD=1.98935312524224</stp>
        <stp>YAS_YLD_CONV=1</stp>
        <tr r="T212" s="8"/>
      </tp>
      <tp>
        <v>84.295999999999992</v>
        <stp/>
        <stp>##V3_BDPV12</stp>
        <stp>EC3971529 Govt</stp>
        <stp>YAS_BOND_PX</stp>
        <stp>[BondPricer-0.2.xlsm]FRENCH_BTAN_TYPE89!R124C20</stp>
        <stp>YAS_BOND_YLD=1.22580021184187</stp>
        <stp>YAS_YLD_CONV=1</stp>
        <tr r="T124" s="8"/>
      </tp>
      <tp>
        <v>55.137999999999806</v>
        <stp/>
        <stp>##V3_BDPV12</stp>
        <stp>ED8324888 Govt</stp>
        <stp>YAS_BOND_PX</stp>
        <stp>[BondPricer-0.2.xlsm]FRENCH_BTAN_TYPE89!R221C20</stp>
        <stp>YAS_BOND_YLD=1.64348533704841</stp>
        <stp>YAS_YLD_CONV=1</stp>
        <tr r="T221" s="8"/>
      </tp>
      <tp>
        <v>61.779000000000103</v>
        <stp/>
        <stp>##V3_BDPV12</stp>
        <stp>ED8389121 Govt</stp>
        <stp>YAS_BOND_PX</stp>
        <stp>[BondPricer-0.2.xlsm]FRENCH_BTAN_TYPE89!R198C20</stp>
        <stp>YAS_BOND_YLD=1.64480914091587</stp>
        <stp>YAS_YLD_CONV=1</stp>
        <tr r="T198" s="8"/>
      </tp>
      <tp>
        <v>76.388000000000119</v>
        <stp/>
        <stp>##V3_BDPV12</stp>
        <stp>EJ6186047 Govt</stp>
        <stp>YAS_BOND_PX</stp>
        <stp>[BondPricer-0.2.xlsm]FRENCH_BTAN_TYPE89!R152C20</stp>
        <stp>YAS_BOND_YLD=1.45840831229183</stp>
        <stp>YAS_YLD_CONV=1</stp>
        <tr r="T152" s="8"/>
      </tp>
      <tp>
        <v>64.075000000000031</v>
        <stp/>
        <stp>##V3_BDPV12</stp>
        <stp>EJ6186849 Govt</stp>
        <stp>YAS_BOND_PX</stp>
        <stp>[BondPricer-0.2.xlsm]FRENCH_BTAN_TYPE89!R184C20</stp>
        <stp>YAS_BOND_YLD=1.75374868579732</stp>
        <stp>YAS_YLD_CONV=1</stp>
        <tr r="T184" s="8"/>
      </tp>
      <tp>
        <v>86.286999999999921</v>
        <stp/>
        <stp>##V3_BDPV12</stp>
        <stp>EC3971503 Govt</stp>
        <stp>YAS_BOND_PX</stp>
        <stp>[BondPricer-0.2.xlsm]FRENCH_BTAN_TYPE89!R117C20</stp>
        <stp>YAS_BOND_YLD=1.13907699609563</stp>
        <stp>YAS_YLD_CONV=1</stp>
        <tr r="T117" s="8"/>
      </tp>
      <tp>
        <v>87.352000000000018</v>
        <stp/>
        <stp>##V3_BDPV12</stp>
        <stp>EI0429270 Govt</stp>
        <stp>YAS_BOND_PX</stp>
        <stp>[BondPricer-0.2.xlsm]FRENCH_BTAN_TYPE89!R110C20</stp>
        <stp>YAS_BOND_YLD=1.08587190763878</stp>
        <stp>YAS_YLD_CONV=1</stp>
        <tr r="T110" s="8"/>
      </tp>
      <tp>
        <v>40.965999999999852</v>
        <stp/>
        <stp>##V3_BDPV12</stp>
        <stp>JK8069276 Govt</stp>
        <stp>YAS_BOND_PX</stp>
        <stp>[BondPricer-0.2.xlsm]FRENCH_BTAN_TYPE89!R234C20</stp>
        <stp>YAS_BOND_YLD=2.11686028676217</stp>
        <stp>YAS_YLD_CONV=1</stp>
        <tr r="T234" s="8"/>
      </tp>
      <tp>
        <v>76.752000000000137</v>
        <stp/>
        <stp>##V3_BDPV12</stp>
        <stp>ED8388289 Govt</stp>
        <stp>YAS_BOND_PX</stp>
        <stp>[BondPricer-0.2.xlsm]FRENCH_BTAN_TYPE89!R151C20</stp>
        <stp>YAS_BOND_YLD=1.43888717885379</stp>
        <stp>YAS_YLD_CONV=1</stp>
        <tr r="T151" s="8"/>
      </tp>
      <tp>
        <v>86.471000000000117</v>
        <stp/>
        <stp>##V3_BDPV12</stp>
        <stp>EI0429114 Govt</stp>
        <stp>YAS_BOND_PX</stp>
        <stp>[BondPricer-0.2.xlsm]FRENCH_BTAN_TYPE89!R116C20</stp>
        <stp>YAS_BOND_YLD=1.12253384141432</stp>
        <stp>YAS_YLD_CONV=1</stp>
        <tr r="T116" s="8"/>
      </tp>
      <tp>
        <v>46.729000000000028</v>
        <stp/>
        <stp>##V3_BDPV12</stp>
        <stp>EI1868237 Govt</stp>
        <stp>YAS_BOND_PX</stp>
        <stp>[BondPricer-0.2.xlsm]FRENCH_BTAN_TYPE89!R223C20</stp>
        <stp>YAS_BOND_YLD=2.04840042700116</stp>
        <stp>YAS_YLD_CONV=1</stp>
        <tr r="T223" s="8"/>
      </tp>
      <tp>
        <v>77.824000000000069</v>
        <stp/>
        <stp>##V3_BDPV12</stp>
        <stp>EI0430476 Govt</stp>
        <stp>YAS_BOND_PX</stp>
        <stp>[BondPricer-0.2.xlsm]FRENCH_BTAN_TYPE89!R148C20</stp>
        <stp>YAS_BOND_YLD=1.40091883590356</stp>
        <stp>YAS_YLD_CONV=1</stp>
        <tr r="T148" s="8"/>
      </tp>
      <tp>
        <v>4.0269051435688485</v>
        <stp/>
        <stp>##V3_BDPV12</stp>
        <stp>AN2020252 Govt</stp>
        <stp>YLD_YTM_ASK</stp>
        <stp>[BondPricer-0.2.xlsm]ITALIAN_BTPS_TYPE523!R197C15</stp>
        <tr r="O197" s="5"/>
      </tp>
      <tp>
        <v>4.2260172827745413</v>
        <stp/>
        <stp>##V3_BDPV12</stp>
        <stp>AN1980167 Govt</stp>
        <stp>YLD_YTM_ASK</stp>
        <stp>[BondPricer-0.2.xlsm]ITALIAN_BTPS_TYPE523!R176C15</stp>
        <tr r="O176" s="5"/>
      </tp>
      <tp>
        <v>4.0612848030229687</v>
        <stp/>
        <stp>##V3_BDPV12</stp>
        <stp>EJ6794667 Govt</stp>
        <stp>YLD_YTM_ASK</stp>
        <stp>[BondPricer-0.2.xlsm]ITALIAN_BTPS_TYPE523!R161C15</stp>
        <tr r="O161" s="5"/>
      </tp>
      <tp>
        <v>4.143100188585791</v>
        <stp/>
        <stp>##V3_BDPV12</stp>
        <stp>AN2010295 Govt</stp>
        <stp>YLD_YTM_ASK</stp>
        <stp>[BondPricer-0.2.xlsm]ITALIAN_BTPS_TYPE523!R184C15</stp>
        <tr r="O184" s="5"/>
      </tp>
      <tp>
        <v>4.5048067523074664</v>
        <stp/>
        <stp>##V3_BDPV12</stp>
        <stp>EK0225194 Govt</stp>
        <stp>YLD_YTM_ASK</stp>
        <stp>[BondPricer-0.2.xlsm]ITALIAN_BTPS_TYPE523!R157C15</stp>
        <tr r="O157" s="5"/>
      </tp>
      <tp>
        <v>4.4884934898538065</v>
        <stp/>
        <stp>##V3_BDPV12</stp>
        <stp>EK0225137 Govt</stp>
        <stp>YLD_YTM_ASK</stp>
        <stp>[BondPricer-0.2.xlsm]ITALIAN_BTPS_TYPE523!R156C15</stp>
        <tr r="O156" s="5"/>
      </tp>
      <tp>
        <v>4.1961687241418577</v>
        <stp/>
        <stp>##V3_BDPV12</stp>
        <stp>EJ4854638 Govt</stp>
        <stp>YLD_YTM_ASK</stp>
        <stp>[BondPricer-0.2.xlsm]ITALIAN_BTPS_TYPE523!R142C15</stp>
        <tr r="O142" s="5"/>
      </tp>
      <tp>
        <v>4.3377931396505476</v>
        <stp/>
        <stp>##V3_BDPV12</stp>
        <stp>EK0225319 Govt</stp>
        <stp>YLD_YTM_ASK</stp>
        <stp>[BondPricer-0.2.xlsm]ITALIAN_BTPS_TYPE523!R158C15</stp>
        <tr r="O158" s="5"/>
      </tp>
      <tp>
        <v>4.444591911687934</v>
        <stp/>
        <stp>##V3_BDPV12</stp>
        <stp>EK0225434 Govt</stp>
        <stp>YLD_YTM_ASK</stp>
        <stp>[BondPricer-0.2.xlsm]ITALIAN_BTPS_TYPE523!R159C15</stp>
        <tr r="O159" s="5"/>
      </tp>
      <tp>
        <v>4.4330410259234787</v>
        <stp/>
        <stp>##V3_BDPV12</stp>
        <stp>EK0225558 Govt</stp>
        <stp>YLD_YTM_ASK</stp>
        <stp>[BondPricer-0.2.xlsm]ITALIAN_BTPS_TYPE523!R160C15</stp>
        <tr r="O160" s="5"/>
      </tp>
      <tp>
        <v>4.2321000943192244</v>
        <stp/>
        <stp>##V3_BDPV12</stp>
        <stp>AN1980738 Govt</stp>
        <stp>YLD_YTM_ASK</stp>
        <stp>[BondPricer-0.2.xlsm]ITALIAN_BTPS_TYPE523!R177C15</stp>
        <tr r="O177" s="5"/>
      </tp>
      <tp>
        <v>3.8289003067245586</v>
        <stp/>
        <stp>##V3_BDPV12</stp>
        <stp>EJ4854232 Govt</stp>
        <stp>YLD_YTM_ASK</stp>
        <stp>[BondPricer-0.2.xlsm]ITALIAN_BTPS_TYPE523!R132C15</stp>
        <tr r="O132" s="5"/>
      </tp>
      <tp>
        <v>3.8767401700942283</v>
        <stp/>
        <stp>##V3_BDPV12</stp>
        <stp>AN2030939 Govt</stp>
        <stp>YLD_YTM_ASK</stp>
        <stp>[BondPricer-0.2.xlsm]ITALIAN_BTPS_TYPE523!R208C15</stp>
        <tr r="O208" s="5"/>
      </tp>
      <tp>
        <v>4.1912895605674683</v>
        <stp/>
        <stp>##V3_BDPV12</stp>
        <stp>EK0225855 Govt</stp>
        <stp>YLD_YTM_ASK</stp>
        <stp>[BondPricer-0.2.xlsm]ITALIAN_BTPS_TYPE523!R162C15</stp>
        <tr r="O162" s="5"/>
      </tp>
      <tp>
        <v>4.1145603004993925</v>
        <stp/>
        <stp>##V3_BDPV12</stp>
        <stp>EJ8034211 Govt</stp>
        <stp>YLD_YTM_ASK</stp>
        <stp>[BondPricer-0.2.xlsm]ITALIAN_BTPS_TYPE523!R155C15</stp>
        <tr r="O155" s="5"/>
      </tp>
      <tp>
        <v>9.3038447586153179</v>
        <stp/>
        <stp>##V3_BDPV12</stp>
        <stp>912810FP Govt</stp>
        <stp>DUR_ADJ_ASK</stp>
        <stp>[BondPricer-0.2.xlsm]US_TREASURY_TYPE1!R95C28</stp>
        <stp>YLD_YTM_ASK=3.1684317</stp>
        <stp>YAS_YLD_CONV=3</stp>
        <tr r="AB95" s="4"/>
      </tp>
      <tp>
        <v>19.157000000416257</v>
        <stp/>
        <stp>##V3_BDPV12</stp>
        <stp>AN2019718 Govt</stp>
        <stp>PX_ASK</stp>
        <stp>[BondPricer-0.2.xlsm]ITALIAN_BTPS_TYPE523!R196C22</stp>
        <stp>YAS_BOND_YLD=4.025376369588</stp>
        <stp>YAS_YLD_CONV=1</stp>
        <tr r="V196" s="5"/>
      </tp>
      <tp>
        <v>17.229502423882082</v>
        <stp/>
        <stp>##V3_BDPV12</stp>
        <stp>JK8070696 Govt</stp>
        <stp>YAS_RISK</stp>
        <stp>[BondPricer-0.2.xlsm]FRENCH_BTAN_TYPE89!R237C24</stp>
        <stp>YLD_YTM_ASK=2.11057123377727</stp>
        <stp>YAS_YLD_CONV=1</stp>
        <tr r="X237" s="8"/>
      </tp>
      <tp>
        <v>17.022402537510573</v>
        <stp/>
        <stp>##V3_BDPV12</stp>
        <stp>JK8068674 Govt</stp>
        <stp>YAS_RISK</stp>
        <stp>[BondPricer-0.2.xlsm]FRENCH_BTAN_TYPE89!R228C24</stp>
        <stp>YLD_YTM_ASK=2.10136468561848</stp>
        <stp>YAS_YLD_CONV=1</stp>
        <tr r="X228" s="8"/>
      </tp>
      <tp>
        <v>14.213232138302608</v>
        <stp/>
        <stp>##V3_BDPV12</stp>
        <stp>EF0212920 Govt</stp>
        <stp>YAS_MOD_DUR</stp>
        <stp>[BondPricer-0.2.xlsm]JAPAN_JGB_TYPE51!R168C28</stp>
        <stp>YLD_YTM_ASK=0.45</stp>
        <stp>YAS_YLD_CONV=3</stp>
        <tr r="AB168" s="7"/>
      </tp>
      <tp>
        <v>9.2111716905078662</v>
        <stp/>
        <stp>##V3_BDPV12</stp>
        <stp>EC1067684 Govt</stp>
        <stp>DUR_ADJ_ASK</stp>
        <stp>[BondPricer-0.2.xlsm]ITALIAN_BTPS_TYPE523!R72C29</stp>
        <stp>YLD_YTM_ASK=3.60766668082089</stp>
        <stp>YAS_YLD_CONV=1</stp>
        <tr r="AC72" s="5"/>
      </tp>
      <tp>
        <v>6.0928071744208641</v>
        <stp/>
        <stp>##V3_BDPV12</stp>
        <stp>EC5587380 Govt</stp>
        <stp>DUR_ADJ_ASK</stp>
        <stp>[BondPricer-0.2.xlsm]ITALIAN_BTPS_TYPE523!R33C29</stp>
        <stp>YLD_YTM_ASK=3.33966176787257</stp>
        <stp>YAS_YLD_CONV=1</stp>
        <tr r="AC33" s="5"/>
      </tp>
      <tp>
        <v>4.0248983618619363</v>
        <stp/>
        <stp>##V3_BDPV12</stp>
        <stp>GG7178740 Govt</stp>
        <stp>DUR_ADJ_ASK</stp>
        <stp>[BondPricer-0.2.xlsm]ITALIAN_BTPS_TYPE523!R18C29</stp>
        <stp>YLD_YTM_ASK=2.99872048729155</stp>
        <stp>YAS_YLD_CONV=1</stp>
        <tr r="AC18" s="5"/>
      </tp>
      <tp>
        <v>4.2897032457203013</v>
        <stp/>
        <stp>##V3_BDPV12</stp>
        <stp>LW2048137 Govt</stp>
        <stp>DUR_ADJ_ASK</stp>
        <stp>[BondPricer-0.2.xlsm]ITALIAN_BTPS_TYPE523!R11C29</stp>
        <stp>YLD_YTM_ASK=2.84166988833667</stp>
        <stp>YAS_YLD_CONV=1</stp>
        <tr r="AC11" s="5"/>
      </tp>
      <tp>
        <v>8.7706009186419465</v>
        <stp/>
        <stp>##V3_BDPV12</stp>
        <stp>912810FA Govt</stp>
        <stp>YAS_RISK</stp>
        <stp>[BondPricer-0.2.xlsm]US_TREASURY_TYPE1!R88C24</stp>
        <stp>YLD_YTM_ASK=3.1145257</stp>
        <stp>YAS_YLD_CONV=3</stp>
        <tr r="X88" s="4"/>
      </tp>
      <tp>
        <v>3.7791574089161526</v>
        <stp/>
        <stp>##V3_BDPV12</stp>
        <stp>QZ2551245 Corp</stp>
        <stp>DUR_ADJ_ASK</stp>
        <stp>[BondPricer-0.2.xlsm]AUSTRALIAN_GOVT_TYPE23!R16C30</stp>
        <stp>YLD_YTM_ASK=2.47095815704508</stp>
        <stp>YAS_YLD_CONV=3</stp>
        <tr r="AD16" s="9"/>
      </tp>
      <tp>
        <v>3.7693389062241067</v>
        <stp/>
        <stp>##V3_BDPV12</stp>
        <stp>912828M8 Govt</stp>
        <stp>YAS_RISK</stp>
        <stp>[BondPricer-0.2.xlsm]US_TREASURY_TYPE1!R50C24</stp>
        <stp>YLD_YTM_ASK=2.9769453</stp>
        <stp>YAS_YLD_CONV=3</stp>
        <tr r="X50" s="4"/>
      </tp>
      <tp>
        <v>38.802075403857224</v>
        <stp/>
        <stp>##V3_BDPV12</stp>
        <stp>AN2018165 Govt</stp>
        <stp>DUR_ADJ_ASK</stp>
        <stp>[BondPricer-0.2.xlsm]ITALIAN_BTPS_TYPE523!R193C29</stp>
        <stp>YLD_YTM_ASK=4.06266034432057</stp>
        <stp>YAS_YLD_CONV=1</stp>
        <tr r="AC193" s="5"/>
      </tp>
      <tp>
        <v>2.9093497871770069</v>
        <stp/>
        <stp>##V3_BDPV12</stp>
        <stp>912828G5 Govt</stp>
        <stp>YAS_RISK</stp>
        <stp>[BondPricer-0.2.xlsm]US_TREASURY_TYPE1!R31C24</stp>
        <stp>YLD_YTM_ASK=2.9263115</stp>
        <stp>YAS_YLD_CONV=3</stp>
        <tr r="X31" s="4"/>
      </tp>
      <tp>
        <v>2.8432019470486125</v>
        <stp/>
        <stp>##V3_BDPV12</stp>
        <stp>912828F9 Govt</stp>
        <stp>YAS_RISK</stp>
        <stp>[BondPricer-0.2.xlsm]US_TREASURY_TYPE1!R28C24</stp>
        <stp>YLD_YTM_ASK=2.9272994</stp>
        <stp>YAS_YLD_CONV=3</stp>
        <tr r="X28" s="4"/>
      </tp>
      <tp>
        <v>39.277219563830897</v>
        <stp/>
        <stp>##V3_BDPV12</stp>
        <stp>AN2018678 Govt</stp>
        <stp>DUR_ADJ_ASK</stp>
        <stp>[BondPricer-0.2.xlsm]ITALIAN_BTPS_TYPE523!R194C29</stp>
        <stp>YLD_YTM_ASK=4.06296973306941</stp>
        <stp>YAS_YLD_CONV=1</stp>
        <tr r="AC194" s="5"/>
      </tp>
      <tp>
        <v>9.9989584174351016</v>
        <stp/>
        <stp>##V3_BDPV12</stp>
        <stp>EK0222795 Govt</stp>
        <stp>DUR_ADJ_ASK</stp>
        <stp>[BondPricer-0.2.xlsm]ITALIAN_BTPS_TYPE523!R79C29</stp>
        <stp>YLD_YTM_ASK=3.7401097252338</stp>
        <stp>YAS_YLD_CONV=1</stp>
        <tr r="AC79" s="5"/>
      </tp>
      <tp>
        <v>13.486163356619924</v>
        <stp/>
        <stp>##V3_BDPV12</stp>
        <stp>EH9691161 Govt</stp>
        <stp>DUR_ADJ_ASK</stp>
        <stp>[BondPricer-0.2.xlsm]ITALIAN_BTPS_TYPE523!R148C29</stp>
        <stp>YLD_YTM_ASK=4.06839144390871</stp>
        <stp>YAS_YLD_CONV=1</stp>
        <tr r="AC148" s="5"/>
      </tp>
      <tp>
        <v>78.662000000000106</v>
        <stp/>
        <stp>##V3_BDPV12</stp>
        <stp>EI0431516 Govt</stp>
        <stp>YAS_BOND_PX</stp>
        <stp>[BondPricer-0.2.xlsm]FRENCH_BTAN_TYPE89!R142C20</stp>
        <stp>YAS_BOND_YLD=1.37930301966704</stp>
        <stp>YAS_YLD_CONV=1</stp>
        <tr r="T142" s="8"/>
      </tp>
      <tp>
        <v>82.046000000000049</v>
        <stp/>
        <stp>##V3_BDPV12</stp>
        <stp>EJ6185791 Govt</stp>
        <stp>YAS_BOND_PX</stp>
        <stp>[BondPricer-0.2.xlsm]FRENCH_BTAN_TYPE89!R132C20</stp>
        <stp>YAS_BOND_YLD=1.27638075112275</stp>
        <stp>YAS_YLD_CONV=1</stp>
        <tr r="T132" s="8"/>
      </tp>
      <tp>
        <v>60.471999999999852</v>
        <stp/>
        <stp>##V3_BDPV12</stp>
        <stp>JK8061976 Govt</stp>
        <stp>YAS_BOND_PX</stp>
        <stp>[BondPricer-0.2.xlsm]FRENCH_BTAN_TYPE89!R193C20</stp>
        <stp>YAS_BOND_YLD=1.83894990754128</stp>
        <stp>YAS_YLD_CONV=1</stp>
        <tr r="T193" s="8"/>
      </tp>
      <tp>
        <v>47.172000000000025</v>
        <stp/>
        <stp>##V3_BDPV12</stp>
        <stp>JK8068435 Govt</stp>
        <stp>YAS_BOND_PX</stp>
        <stp>[BondPricer-0.2.xlsm]FRENCH_BTAN_TYPE89!R222C20</stp>
        <stp>YAS_BOND_YLD=2.07398320127232</stp>
        <stp>YAS_YLD_CONV=1</stp>
        <tr r="T222" s="8"/>
      </tp>
      <tp>
        <v>162.46100000029989</v>
        <stp/>
        <stp>##V3_BDPV12</stp>
        <stp>EI1823166 Govt</stp>
        <stp>YAS_BOND_PX</stp>
        <stp>[BondPricer-0.2.xlsm]FRENCH_BTAN_TYPE89!R231C20</stp>
        <stp>YAS_BOND_YLD=1.83648186793735</stp>
        <stp>YAS_YLD_CONV=1</stp>
        <tr r="T231" s="8"/>
      </tp>
      <tp>
        <v>48.529000000000117</v>
        <stp/>
        <stp>##V3_BDPV12</stp>
        <stp>JK8068302 Govt</stp>
        <stp>YAS_BOND_PX</stp>
        <stp>[BondPricer-0.2.xlsm]FRENCH_BTAN_TYPE89!R217C20</stp>
        <stp>YAS_BOND_YLD=2.05152719201172</stp>
        <stp>YAS_YLD_CONV=1</stp>
        <tr r="T217" s="8"/>
      </tp>
      <tp>
        <v>57.075999999999816</v>
        <stp/>
        <stp>##V3_BDPV12</stp>
        <stp>ED8324482 Govt</stp>
        <stp>YAS_BOND_PX</stp>
        <stp>[BondPricer-0.2.xlsm]FRENCH_BTAN_TYPE89!R220C20</stp>
        <stp>YAS_BOND_YLD=1.54738679669968</stp>
        <stp>YAS_YLD_CONV=1</stp>
        <tr r="T220" s="8"/>
      </tp>
      <tp>
        <v>59.448000000000015</v>
        <stp/>
        <stp>##V3_BDPV12</stp>
        <stp>ED8389287 Govt</stp>
        <stp>YAS_BOND_PX</stp>
        <stp>[BondPricer-0.2.xlsm]FRENCH_BTAN_TYPE89!R207C20</stp>
        <stp>YAS_BOND_YLD=1.61205439857071</stp>
        <stp>YAS_YLD_CONV=1</stp>
        <tr r="T207" s="8"/>
      </tp>
      <tp>
        <v>4.0471242534203311</v>
        <stp/>
        <stp>##V3_BDPV12</stp>
        <stp>AN2017233 Govt</stp>
        <stp>YLD_YTM_ASK</stp>
        <stp>[BondPricer-0.2.xlsm]ITALIAN_BTPS_TYPE523!R192C15</stp>
        <tr r="O192" s="5"/>
      </tp>
      <tp>
        <v>4.3275322873734812</v>
        <stp/>
        <stp>##V3_BDPV12</stp>
        <stp>EH2421038 Govt</stp>
        <stp>YLD_YTM_ASK</stp>
        <stp>[BondPricer-0.2.xlsm]ITALIAN_BTPS_TYPE523!R144C15</stp>
        <tr r="O144" s="5"/>
      </tp>
      <tp>
        <v>3.9213891103434539</v>
        <stp/>
        <stp>##V3_BDPV12</stp>
        <stp>EJ4853739 Govt</stp>
        <stp>YLD_YTM_ASK</stp>
        <stp>[BondPricer-0.2.xlsm]ITALIAN_BTPS_TYPE523!R108C15</stp>
        <tr r="O108" s="5"/>
      </tp>
      <tp>
        <v>3.8808061210656497</v>
        <stp/>
        <stp>##V3_BDPV12</stp>
        <stp>EK0662479 Govt</stp>
        <stp>YLD_YTM_ASK</stp>
        <stp>[BondPricer-0.2.xlsm]ITALIAN_BTPS_TYPE523!R103C15</stp>
        <tr r="O103" s="5"/>
      </tp>
      <tp>
        <v>3.9010720719841574</v>
        <stp/>
        <stp>##V3_BDPV12</stp>
        <stp>AN2027505 Govt</stp>
        <stp>YLD_YTM_ASK</stp>
        <stp>[BondPricer-0.2.xlsm]ITALIAN_BTPS_TYPE523!R206C15</stp>
        <tr r="O206" s="5"/>
      </tp>
      <tp>
        <v>3.9112023510796456</v>
        <stp/>
        <stp>##V3_BDPV12</stp>
        <stp>EK0662594 Govt</stp>
        <stp>YLD_YTM_ASK</stp>
        <stp>[BondPricer-0.2.xlsm]ITALIAN_BTPS_TYPE523!R112C15</stp>
        <tr r="O112" s="5"/>
      </tp>
      <tp>
        <v>4.0681327839539927</v>
        <stp/>
        <stp>##V3_BDPV12</stp>
        <stp>EH9691161 Govt</stp>
        <stp>YLD_YTM_ASK</stp>
        <stp>[BondPricer-0.2.xlsm]ITALIAN_BTPS_TYPE523!R148C15</stp>
        <tr r="O148" s="5"/>
      </tp>
      <tp>
        <v>3.9435964284018521</v>
        <stp/>
        <stp>##V3_BDPV12</stp>
        <stp>EK0662958 Govt</stp>
        <stp>YLD_YTM_ASK</stp>
        <stp>[BondPricer-0.2.xlsm]ITALIAN_BTPS_TYPE523!R123C15</stp>
        <tr r="O123" s="5"/>
      </tp>
      <tp>
        <v>12.614881860168651</v>
        <stp/>
        <stp>##V3_BDPV12</stp>
        <stp>912810PU Govt</stp>
        <stp>DUR_ADJ_ASK</stp>
        <stp>[BondPricer-0.2.xlsm]US_TREASURY_TYPE1!R98C28</stp>
        <stp>YLD_YTM_ASK=3.2263826</stp>
        <stp>YAS_YLD_CONV=3</stp>
        <tr r="AB98" s="4"/>
      </tp>
      <tp>
        <v>3.8731807366183313</v>
        <stp/>
        <stp>##V3_BDPV12</stp>
        <stp>EJ4853937 Govt</stp>
        <stp>YLD_YTM_ASK</stp>
        <stp>[BondPricer-0.2.xlsm]ITALIAN_BTPS_TYPE523!R118C15</stp>
        <tr r="O118" s="5"/>
      </tp>
      <tp>
        <v>8.1269150163021084</v>
        <stp/>
        <stp>##V3_BDPV12</stp>
        <stp>912810FG Govt</stp>
        <stp>DUR_ADJ_ASK</stp>
        <stp>[BondPricer-0.2.xlsm]US_TREASURY_TYPE1!R92C28</stp>
        <stp>YLD_YTM_ASK=3.1453749</stp>
        <stp>YAS_YLD_CONV=3</stp>
        <tr r="AB92" s="4"/>
      </tp>
      <tp>
        <v>6.0226904943788409</v>
        <stp/>
        <stp>##V3_BDPV12</stp>
        <stp>912810EW Govt</stp>
        <stp>DUR_ADJ_ASK</stp>
        <stp>[BondPricer-0.2.xlsm]US_TREASURY_TYPE1!R79C28</stp>
        <stp>YLD_YTM_ASK=3.0643795</stp>
        <stp>YAS_YLD_CONV=3</stp>
        <tr r="AB79" s="4"/>
      </tp>
      <tp>
        <v>15.089588497066586</v>
        <stp/>
        <stp>##V3_BDPV12</stp>
        <stp>EJ6186344 Govt</stp>
        <stp>YAS_RISK</stp>
        <stp>[BondPricer-0.2.xlsm]FRENCH_BTAN_TYPE89!R168C24</stp>
        <stp>YLD_YTM_ASK=1.60015654006136</stp>
        <stp>YAS_YLD_CONV=1</stp>
        <tr r="X168" s="8"/>
      </tp>
      <tp>
        <v>13.37652202431272</v>
        <stp/>
        <stp>##V3_BDPV12</stp>
        <stp>EI0430393 Govt</stp>
        <stp>YAS_RISK</stp>
        <stp>[BondPricer-0.2.xlsm]FRENCH_BTAN_TYPE89!R140C24</stp>
        <stp>YLD_YTM_ASK=1.34624902769116</stp>
        <stp>YAS_YLD_CONV=1</stp>
        <tr r="X140" s="8"/>
      </tp>
      <tp>
        <v>16.14125138963729</v>
        <stp/>
        <stp>##V3_BDPV12</stp>
        <stp>EI0432118 Govt</stp>
        <stp>YAS_RISK</stp>
        <stp>[BondPricer-0.2.xlsm]FRENCH_BTAN_TYPE89!R182C24</stp>
        <stp>YLD_YTM_ASK=1.74237117557634</stp>
        <stp>YAS_YLD_CONV=1</stp>
        <tr r="X182" s="8"/>
      </tp>
      <tp>
        <v>13.510125319128008</v>
        <stp/>
        <stp>##V3_BDPV12</stp>
        <stp>ED8388123 Govt</stp>
        <stp>YAS_RISK</stp>
        <stp>[BondPricer-0.2.xlsm]FRENCH_BTAN_TYPE89!R143C24</stp>
        <stp>YLD_YTM_ASK=1.41339326325385</stp>
        <stp>YAS_YLD_CONV=1</stp>
        <tr r="X143" s="8"/>
      </tp>
      <tp>
        <v>12.736974976424875</v>
        <stp/>
        <stp>##V3_BDPV12</stp>
        <stp>EF6782090 Govt</stp>
        <stp>YAS_RISK</stp>
        <stp>[BondPricer-0.2.xlsm]FRENCH_BTAN_TYPE89!R134C24</stp>
        <stp>YLD_YTM_ASK=1.35708786428919</stp>
        <stp>YAS_YLD_CONV=1</stp>
        <tr r="X134" s="8"/>
      </tp>
      <tp>
        <v>19.252887708758237</v>
        <stp/>
        <stp>##V3_BDPV12</stp>
        <stp>ED8389402 Govt</stp>
        <stp>YAS_RISK</stp>
        <stp>[BondPricer-0.2.xlsm]FRENCH_BTAN_TYPE89!R210C24</stp>
        <stp>YLD_YTM_ASK=1.61925851729146</stp>
        <stp>YAS_YLD_CONV=1</stp>
        <tr r="X210" s="8"/>
      </tp>
      <tp>
        <v>12.047963630038083</v>
        <stp/>
        <stp>##V3_BDPV12</stp>
        <stp>EJ6185445 Govt</stp>
        <stp>YAS_RISK</stp>
        <stp>[BondPricer-0.2.xlsm]FRENCH_BTAN_TYPE89!R127C24</stp>
        <stp>YLD_YTM_ASK=1.24019254087731</stp>
        <stp>YAS_YLD_CONV=1</stp>
        <tr r="X127" s="8"/>
      </tp>
      <tp>
        <v>15.836890110664115</v>
        <stp/>
        <stp>##V3_BDPV12</stp>
        <stp>ED8388685 Govt</stp>
        <stp>YAS_RISK</stp>
        <stp>[BondPricer-0.2.xlsm]FRENCH_BTAN_TYPE89!R177C24</stp>
        <stp>YLD_YTM_ASK=1.62614934487435</stp>
        <stp>YAS_YLD_CONV=1</stp>
        <tr r="X177" s="8"/>
      </tp>
      <tp>
        <v>17.254718005127856</v>
        <stp/>
        <stp>##V3_BDPV12</stp>
        <stp>EI1868393 Govt</stp>
        <stp>YAS_RISK</stp>
        <stp>[BondPricer-0.2.xlsm]FRENCH_BTAN_TYPE89!R225C24</stp>
        <stp>YLD_YTM_ASK=2.05291795062144</stp>
        <stp>YAS_YLD_CONV=1</stp>
        <tr r="X225" s="8"/>
      </tp>
      <tp>
        <v>13.683017009997656</v>
        <stp/>
        <stp>##V3_BDPV12</stp>
        <stp>EJ6185999 Govt</stp>
        <stp>YAS_RISK</stp>
        <stp>[BondPricer-0.2.xlsm]FRENCH_BTAN_TYPE89!R145C24</stp>
        <stp>YLD_YTM_ASK=1.36330956198927</stp>
        <stp>YAS_YLD_CONV=1</stp>
        <tr r="X145" s="8"/>
      </tp>
      <tp>
        <v>16.963424962477802</v>
        <stp/>
        <stp>##V3_BDPV12</stp>
        <stp>JK8068518 Govt</stp>
        <stp>YAS_RISK</stp>
        <stp>[BondPricer-0.2.xlsm]FRENCH_BTAN_TYPE89!R224C24</stp>
        <stp>YLD_YTM_ASK=2.08348889916907</stp>
        <stp>YAS_YLD_CONV=1</stp>
        <tr r="X224" s="8"/>
      </tp>
      <tp>
        <v>14.796014020345183</v>
        <stp/>
        <stp>##V3_BDPV12</stp>
        <stp>EF6781696 Govt</stp>
        <stp>YAS_RISK</stp>
        <stp>[BondPricer-0.2.xlsm]FRENCH_BTAN_TYPE89!R160C24</stp>
        <stp>YLD_YTM_ASK=1.44923499851912</stp>
        <stp>YAS_YLD_CONV=1</stp>
        <tr r="X160" s="8"/>
      </tp>
      <tp>
        <v>16.896732886254284</v>
        <stp/>
        <stp>##V3_BDPV12</stp>
        <stp>ED8389006 Govt</stp>
        <stp>YAS_RISK</stp>
        <stp>[BondPricer-0.2.xlsm]FRENCH_BTAN_TYPE89!R186C24</stp>
        <stp>YLD_YTM_ASK=1.65154134523926</stp>
        <stp>YAS_YLD_CONV=1</stp>
        <tr r="X186" s="8"/>
      </tp>
      <tp>
        <v>11.756198406345675</v>
        <stp/>
        <stp>##V3_BDPV12</stp>
        <stp>EC3973863 Govt</stp>
        <stp>YAS_RISK</stp>
        <stp>[BondPricer-0.2.xlsm]FRENCH_BTAN_TYPE89!R122C24</stp>
        <stp>YLD_YTM_ASK=1.18013787743398</stp>
        <stp>YAS_YLD_CONV=1</stp>
        <tr r="X122" s="8"/>
      </tp>
      <tp>
        <v>15.655692373081109</v>
        <stp/>
        <stp>##V3_BDPV12</stp>
        <stp>EJ6186690 Govt</stp>
        <stp>YAS_RISK</stp>
        <stp>[BondPricer-0.2.xlsm]FRENCH_BTAN_TYPE89!R178C24</stp>
        <stp>YLD_YTM_ASK=1.68263159540551</stp>
        <stp>YAS_YLD_CONV=1</stp>
        <tr r="X178" s="8"/>
      </tp>
      <tp>
        <v>8.3793616030696683</v>
        <stp/>
        <stp>##V3_BDPV12</stp>
        <stp>912810EZ Govt</stp>
        <stp>YAS_RISK</stp>
        <stp>[BondPricer-0.2.xlsm]US_TREASURY_TYPE1!R86C24</stp>
        <stp>YLD_YTM_ASK=3.0831444</stp>
        <stp>YAS_YLD_CONV=3</stp>
        <tr r="X86" s="4"/>
      </tp>
      <tp>
        <v>6.6442689902807031</v>
        <stp/>
        <stp>##V3_BDPV12</stp>
        <stp>EK0221953 Govt</stp>
        <stp>DUR_ADJ_ASK</stp>
        <stp>[BondPricer-0.2.xlsm]ITALIAN_BTPS_TYPE523!R40C29</stp>
        <stp>YLD_YTM_ASK=3.44146112327084</stp>
        <stp>YAS_YLD_CONV=1</stp>
        <tr r="AC40" s="5"/>
      </tp>
      <tp>
        <v>8.0058094562941093</v>
        <stp/>
        <stp>##V3_BDPV12</stp>
        <stp>EC5588461 Govt</stp>
        <stp>DUR_ADJ_ASK</stp>
        <stp>[BondPricer-0.2.xlsm]ITALIAN_BTPS_TYPE523!R56C29</stp>
        <stp>YLD_YTM_ASK=3.55932334025753</stp>
        <stp>YAS_YLD_CONV=1</stp>
        <tr r="AC56" s="5"/>
      </tp>
      <tp>
        <v>7.9176438133742977</v>
        <stp/>
        <stp>##V3_BDPV12</stp>
        <stp>912810EX Govt</stp>
        <stp>YAS_RISK</stp>
        <stp>[BondPricer-0.2.xlsm]US_TREASURY_TYPE1!R82C24</stp>
        <stp>YLD_YTM_ASK=3.0761234</stp>
        <stp>YAS_YLD_CONV=3</stp>
        <tr r="X82" s="4"/>
      </tp>
      <tp>
        <v>13.03851376184981</v>
        <stp/>
        <stp>##V3_BDPV12</stp>
        <stp>EJ5939602 Govt</stp>
        <stp>YAS_MOD_DUR</stp>
        <stp>[BondPricer-0.2.xlsm]JAPAN_JGB_TYPE51!R149C28</stp>
        <stp>YLD_YTM_ASK=0.35</stp>
        <stp>YAS_YLD_CONV=3</stp>
        <tr r="AB149" s="7"/>
      </tp>
      <tp>
        <v>14.559082314872995</v>
        <stp/>
        <stp>##V3_BDPV12</stp>
        <stp>912810FT Govt</stp>
        <stp>YAS_RISK</stp>
        <stp>[BondPricer-0.2.xlsm]US_TREASURY_TYPE1!R96C24</stp>
        <stp>YLD_YTM_ASK=3.2182222</stp>
        <stp>YAS_YLD_CONV=3</stp>
        <tr r="X96" s="4"/>
      </tp>
      <tp>
        <v>10.165310715936954</v>
        <stp/>
        <stp>##V3_BDPV12</stp>
        <stp>EC1067627 Govt</stp>
        <stp>DUR_ADJ_ASK</stp>
        <stp>[BondPricer-0.2.xlsm]ITALIAN_BTPS_TYPE523!R81C29</stp>
        <stp>YLD_YTM_ASK=3.72020016476546</stp>
        <stp>YAS_YLD_CONV=1</stp>
        <tr r="AC81" s="5"/>
      </tp>
      <tp>
        <v>8.4676892269597079</v>
        <stp/>
        <stp>##V3_BDPV12</stp>
        <stp>LW0207677 Corp</stp>
        <stp>DUR_ADJ_ASK</stp>
        <stp>[BondPricer-0.2.xlsm]AUSTRALIAN_GOVT_TYPE23!R46C30</stp>
        <stp>YLD_YTM_ASK=2.68497162186878</stp>
        <stp>YAS_YLD_CONV=3</stp>
        <tr r="AD46" s="9"/>
      </tp>
      <tp>
        <v>8.2527062039902432</v>
        <stp/>
        <stp>##V3_BDPV12</stp>
        <stp>CP5088002 Govt</stp>
        <stp>DUR_ADJ_ASK</stp>
        <stp>[BondPricer-0.2.xlsm]ITALIAN_BTPS_TYPE523!R60C29</stp>
        <stp>YLD_YTM_ASK=3.55629750279667</stp>
        <stp>YAS_YLD_CONV=1</stp>
        <tr r="AC60" s="5"/>
      </tp>
      <tp>
        <v>6.8281827866394691</v>
        <stp/>
        <stp>##V3_BDPV12</stp>
        <stp>JV9205164 Corp</stp>
        <stp>DUR_ADJ_ASK</stp>
        <stp>[BondPricer-0.2.xlsm]AUSTRALIAN_GOVT_TYPE23!R37C30</stp>
        <stp>YLD_YTM_ASK=2.98804566984636</stp>
        <stp>YAS_YLD_CONV=3</stp>
        <tr r="AD37" s="9"/>
      </tp>
      <tp>
        <v>18.675372218164529</v>
        <stp/>
        <stp>##V3_BDPV12</stp>
        <stp>QZ8542552 Corp</stp>
        <stp>DUR_ADJ_ASK</stp>
        <stp>[BondPricer-0.2.xlsm]AUSTRALIAN_GOVT_TYPE23!R63C30</stp>
        <stp>YLD_YTM_ASK=3.30012463828751</stp>
        <stp>YAS_YLD_CONV=3</stp>
        <tr r="AD63" s="9"/>
      </tp>
      <tp>
        <v>13.752699044196872</v>
        <stp/>
        <stp>##V3_BDPV12</stp>
        <stp>EC5589048 Govt</stp>
        <stp>DUR_ADJ_ASK</stp>
        <stp>[BondPricer-0.2.xlsm]ITALIAN_BTPS_TYPE523!R109C29</stp>
        <stp>YLD_YTM_ASK=3.91244888213074</stp>
        <stp>YAS_YLD_CONV=1</stp>
        <tr r="AC109" s="5"/>
      </tp>
      <tp>
        <v>18.152077061897156</v>
        <stp/>
        <stp>##V3_BDPV12</stp>
        <stp>EK0224239 Govt</stp>
        <stp>DUR_ADJ_ASK</stp>
        <stp>[BondPricer-0.2.xlsm]ITALIAN_BTPS_TYPE523!R135C29</stp>
        <stp>YLD_YTM_ASK=3.97124352438865</stp>
        <stp>YAS_YLD_CONV=1</stp>
        <tr r="AC135" s="5"/>
      </tp>
      <tp>
        <v>34.44587792589877</v>
        <stp/>
        <stp>##V3_BDPV12</stp>
        <stp>AN2010295 Govt</stp>
        <stp>DUR_ADJ_ASK</stp>
        <stp>[BondPricer-0.2.xlsm]ITALIAN_BTPS_TYPE523!R184C29</stp>
        <stp>YLD_YTM_ASK=4.14310018858579</stp>
        <stp>YAS_YLD_CONV=1</stp>
        <tr r="AC184" s="5"/>
      </tp>
      <tp>
        <v>37.358141085646032</v>
        <stp/>
        <stp>##V3_BDPV12</stp>
        <stp>AN2015625 Govt</stp>
        <stp>DUR_ADJ_ASK</stp>
        <stp>[BondPricer-0.2.xlsm]ITALIAN_BTPS_TYPE523!R190C29</stp>
        <stp>YLD_YTM_ASK=4.06982103356308</stp>
        <stp>YAS_YLD_CONV=1</stp>
        <tr r="AC190" s="5"/>
      </tp>
      <tp>
        <v>16.248288373507656</v>
        <stp/>
        <stp>##V3_BDPV12</stp>
        <stp>EK0223934 Govt</stp>
        <stp>DUR_ADJ_ASK</stp>
        <stp>[BondPricer-0.2.xlsm]ITALIAN_BTPS_TYPE523!R125C29</stp>
        <stp>YLD_YTM_ASK=3.87821223461939</stp>
        <stp>YAS_YLD_CONV=1</stp>
        <tr r="AC125" s="5"/>
      </tp>
      <tp>
        <v>3.6905228965899539</v>
        <stp/>
        <stp>##V3_BDPV12</stp>
        <stp>912828M4 Govt</stp>
        <stp>YAS_RISK</stp>
        <stp>[BondPricer-0.2.xlsm]US_TREASURY_TYPE1!R48C24</stp>
        <stp>YLD_YTM_ASK=2.9698727</stp>
        <stp>YAS_YLD_CONV=3</stp>
        <tr r="X48" s="4"/>
      </tp>
      <tp>
        <v>28.27103010924343</v>
        <stp/>
        <stp>##V3_BDPV12</stp>
        <stp>AN1976629 Govt</stp>
        <stp>DUR_ADJ_ASK</stp>
        <stp>[BondPricer-0.2.xlsm]ITALIAN_BTPS_TYPE523!R171C29</stp>
        <stp>YLD_YTM_ASK=3.90738741178625</stp>
        <stp>YAS_YLD_CONV=1</stp>
        <tr r="AC171" s="5"/>
      </tp>
      <tp>
        <v>14.799019134889242</v>
        <stp/>
        <stp>##V3_BDPV12</stp>
        <stp>EK0223694 Govt</stp>
        <stp>DUR_ADJ_ASK</stp>
        <stp>[BondPricer-0.2.xlsm]ITALIAN_BTPS_TYPE523!R116C29</stp>
        <stp>YLD_YTM_ASK=3.87806644897635</stp>
        <stp>YAS_YLD_CONV=1</stp>
        <tr r="AC116" s="5"/>
      </tp>
      <tp>
        <v>36.868200111636931</v>
        <stp/>
        <stp>##V3_BDPV12</stp>
        <stp>AN2014727 Govt</stp>
        <stp>DUR_ADJ_ASK</stp>
        <stp>[BondPricer-0.2.xlsm]ITALIAN_BTPS_TYPE523!R189C29</stp>
        <stp>YLD_YTM_ASK=4.08162564529277</stp>
        <stp>YAS_YLD_CONV=1</stp>
        <tr r="AC189" s="5"/>
      </tp>
      <tp>
        <v>3.549700447183568</v>
        <stp/>
        <stp>##V3_BDPV12</stp>
        <stp>912828L2 Govt</stp>
        <stp>YAS_RISK</stp>
        <stp>[BondPricer-0.2.xlsm]US_TREASURY_TYPE1!R46C24</stp>
        <stp>YLD_YTM_ASK=2.9669586</stp>
        <stp>YAS_YLD_CONV=3</stp>
        <tr r="X46" s="4"/>
      </tp>
      <tp>
        <v>3.6098264352744991</v>
        <stp/>
        <stp>##V3_BDPV12</stp>
        <stp>912828L5 Govt</stp>
        <stp>YAS_RISK</stp>
        <stp>[BondPricer-0.2.xlsm]US_TREASURY_TYPE1!R47C24</stp>
        <stp>YLD_YTM_ASK=2.9659102</stp>
        <stp>YAS_YLD_CONV=3</stp>
        <tr r="X47" s="4"/>
      </tp>
      <tp>
        <v>15.19190236139799</v>
        <stp/>
        <stp>##V3_BDPV12</stp>
        <stp>ED1666632 Govt</stp>
        <stp>DUR_ADJ_ASK</stp>
        <stp>[BondPricer-0.2.xlsm]ITALIAN_BTPS_TYPE523!R120C29</stp>
        <stp>YLD_YTM_ASK=3.94200654156485</stp>
        <stp>YAS_YLD_CONV=1</stp>
        <tr r="AC120" s="5"/>
      </tp>
      <tp>
        <v>38.579000000000043</v>
        <stp/>
        <stp>##V3_BDPV12</stp>
        <stp>JK8070696 Govt</stp>
        <stp>YAS_BOND_PX</stp>
        <stp>[BondPricer-0.2.xlsm]FRENCH_BTAN_TYPE89!R237C20</stp>
        <stp>YAS_BOND_YLD=2.11057123377727</stp>
        <stp>YAS_YLD_CONV=1</stp>
        <tr r="T237" s="8"/>
      </tp>
      <tp>
        <v>72.129000000000033</v>
        <stp/>
        <stp>##V3_BDPV12</stp>
        <stp>ED8388529 Govt</stp>
        <stp>YAS_BOND_PX</stp>
        <stp>[BondPricer-0.2.xlsm]FRENCH_BTAN_TYPE89!R167C20</stp>
        <stp>YAS_BOND_YLD=1.52973151486417</stp>
        <stp>YAS_YLD_CONV=1</stp>
        <tr r="T167" s="8"/>
      </tp>
      <tp>
        <v>89.124000000000066</v>
        <stp/>
        <stp>##V3_BDPV12</stp>
        <stp>EI0429239 Govt</stp>
        <stp>YAS_BOND_PX</stp>
        <stp>[BondPricer-0.2.xlsm]FRENCH_BTAN_TYPE89!R104C20</stp>
        <stp>YAS_BOND_YLD=1.00445601904839</stp>
        <stp>YAS_YLD_CONV=1</stp>
        <tr r="T104" s="8"/>
      </tp>
      <tp>
        <v>43.886000000000188</v>
        <stp/>
        <stp>##V3_BDPV12</stp>
        <stp>JK8068674 Govt</stp>
        <stp>YAS_BOND_PX</stp>
        <stp>[BondPricer-0.2.xlsm]FRENCH_BTAN_TYPE89!R228C20</stp>
        <stp>YAS_BOND_YLD=2.10136468561848</stp>
        <stp>YAS_YLD_CONV=1</stp>
        <tr r="T228" s="8"/>
      </tp>
      <tp>
        <v>79.989999999999867</v>
        <stp/>
        <stp>##V3_BDPV12</stp>
        <stp>EJ6185841 Govt</stp>
        <stp>YAS_BOND_PX</stp>
        <stp>[BondPricer-0.2.xlsm]FRENCH_BTAN_TYPE89!R139C20</stp>
        <stp>YAS_BOND_YLD=1.35385206571657</stp>
        <stp>YAS_YLD_CONV=1</stp>
        <tr r="T139" s="8"/>
      </tp>
      <tp>
        <v>74.656000000000034</v>
        <stp/>
        <stp>##V3_BDPV12</stp>
        <stp>EJ6186146 Govt</stp>
        <stp>YAS_BOND_PX</stp>
        <stp>[BondPricer-0.2.xlsm]FRENCH_BTAN_TYPE89!R157C20</stp>
        <stp>YAS_BOND_YLD=1.50218349363653</stp>
        <stp>YAS_YLD_CONV=1</stp>
        <tr r="T157" s="8"/>
      </tp>
      <tp>
        <v>4.081984985834608</v>
        <stp/>
        <stp>##V3_BDPV12</stp>
        <stp>EH2420238 Govt</stp>
        <stp>YLD_YTM_ASK</stp>
        <stp>[BondPricer-0.2.xlsm]ITALIAN_BTPS_TYPE523!R143C15</stp>
        <tr r="O143" s="5"/>
      </tp>
      <tp>
        <v>13.428936247683067</v>
        <stp/>
        <stp>##V3_BDPV12</stp>
        <stp>912810PW Govt</stp>
        <stp>DUR_ADJ_ASK</stp>
        <stp>[BondPricer-0.2.xlsm]US_TREASURY_TYPE1!R99C28</stp>
        <stp>YLD_YTM_ASK=3.2452343</stp>
        <stp>YAS_YLD_CONV=3</stp>
        <tr r="AB99" s="4"/>
      </tp>
      <tp>
        <v>3.4296439950777691</v>
        <stp/>
        <stp>##V3_BDPV12</stp>
        <stp>EK0223397 Govt</stp>
        <stp>YLD_YTM_ASK</stp>
        <stp>[BondPricer-0.2.xlsm]ITALIAN_BTPS_TYPE523!R104C15</stp>
        <tr r="O104" s="5"/>
      </tp>
      <tp>
        <v>4.1037932173239255</v>
        <stp/>
        <stp>##V3_BDPV12</stp>
        <stp>AN1976579 Govt</stp>
        <stp>YLD_YTM_ASK</stp>
        <stp>[BondPricer-0.2.xlsm]ITALIAN_BTPS_TYPE523!R170C15</stp>
        <tr r="O170" s="5"/>
      </tp>
      <tp>
        <v>4.0080164145211983</v>
        <stp/>
        <stp>##V3_BDPV12</stp>
        <stp>EK0223579 Govt</stp>
        <stp>YLD_YTM_ASK</stp>
        <stp>[BondPricer-0.2.xlsm]ITALIAN_BTPS_TYPE523!R111C15</stp>
        <tr r="O111" s="5"/>
      </tp>
      <tp>
        <v>3.9912369623797295</v>
        <stp/>
        <stp>##V3_BDPV12</stp>
        <stp>EH2420758 Govt</stp>
        <stp>YLD_YTM_ASK</stp>
        <stp>[BondPricer-0.2.xlsm]ITALIAN_BTPS_TYPE523!R134C15</stp>
        <tr r="O134" s="5"/>
      </tp>
      <tp>
        <v>4.2504308296277937</v>
        <stp/>
        <stp>##V3_BDPV12</stp>
        <stp>AN1976728 Govt</stp>
        <stp>YLD_YTM_ASK</stp>
        <stp>[BondPricer-0.2.xlsm]ITALIAN_BTPS_TYPE523!R174C15</stp>
        <tr r="O174" s="5"/>
      </tp>
      <tp>
        <v>3.8780664489763472</v>
        <stp/>
        <stp>##V3_BDPV12</stp>
        <stp>EK0223694 Govt</stp>
        <stp>YLD_YTM_ASK</stp>
        <stp>[BondPricer-0.2.xlsm]ITALIAN_BTPS_TYPE523!R116C15</stp>
        <tr r="O116" s="5"/>
      </tp>
      <tp>
        <v>4.2289568175112313</v>
        <stp/>
        <stp>##V3_BDPV12</stp>
        <stp>EK0663618 Govt</stp>
        <stp>YLD_YTM_ASK</stp>
        <stp>[BondPricer-0.2.xlsm]ITALIAN_BTPS_TYPE523!R146C15</stp>
        <tr r="O146" s="5"/>
      </tp>
      <tp>
        <v>3.6533351101857958</v>
        <stp/>
        <stp>##V3_BDPV12</stp>
        <stp>EK0223637 Govt</stp>
        <stp>YLD_YTM_ASK</stp>
        <stp>[BondPricer-0.2.xlsm]ITALIAN_BTPS_TYPE523!R115C15</stp>
        <tr r="O115" s="5"/>
      </tp>
      <tp>
        <v>4.0580018232027282</v>
        <stp/>
        <stp>##V3_BDPV12</stp>
        <stp>AN2016490 Govt</stp>
        <stp>YLD_YTM_ASK</stp>
        <stp>[BondPricer-0.2.xlsm]ITALIAN_BTPS_TYPE523!R191C15</stp>
        <tr r="O191" s="5"/>
      </tp>
      <tp>
        <v>3.907387411786245</v>
        <stp/>
        <stp>##V3_BDPV12</stp>
        <stp>AN1976629 Govt</stp>
        <stp>YLD_YTM_ASK</stp>
        <stp>[BondPricer-0.2.xlsm]ITALIAN_BTPS_TYPE523!R171C15</stp>
        <tr r="O171" s="5"/>
      </tp>
      <tp>
        <v>4.2750566576154503</v>
        <stp/>
        <stp>##V3_BDPV12</stp>
        <stp>AN1976645 Govt</stp>
        <stp>YLD_YTM_ASK</stp>
        <stp>[BondPricer-0.2.xlsm]ITALIAN_BTPS_TYPE523!R172C15</stp>
        <tr r="O172" s="5"/>
      </tp>
      <tp>
        <v>4.2630642839490696</v>
        <stp/>
        <stp>##V3_BDPV12</stp>
        <stp>AN1976678 Govt</stp>
        <stp>YLD_YTM_ASK</stp>
        <stp>[BondPricer-0.2.xlsm]ITALIAN_BTPS_TYPE523!R173C15</stp>
        <tr r="O173" s="5"/>
      </tp>
      <tp>
        <v>3.9314105351115014</v>
        <stp/>
        <stp>##V3_BDPV12</stp>
        <stp>EK0223819 Govt</stp>
        <stp>YLD_YTM_ASK</stp>
        <stp>[BondPricer-0.2.xlsm]ITALIAN_BTPS_TYPE523!R122C15</stp>
        <tr r="O122" s="5"/>
      </tp>
      <tp>
        <v>3.6491673923750634</v>
        <stp/>
        <stp>##V3_BDPV12</stp>
        <stp>JK8403186 Govt</stp>
        <stp>YLD_YTM_ASK</stp>
        <stp>[BondPricer-0.2.xlsm]ITALIAN_BTPS_TYPE523!R129C15</stp>
        <tr r="O129" s="5"/>
      </tp>
      <tp>
        <v>3.8147266358071752</v>
        <stp/>
        <stp>##V3_BDPV12</stp>
        <stp>EK0223991 Govt</stp>
        <stp>YLD_YTM_ASK</stp>
        <stp>[BondPricer-0.2.xlsm]ITALIAN_BTPS_TYPE523!R127C15</stp>
        <tr r="O127" s="5"/>
      </tp>
      <tp>
        <v>3.8782122346193937</v>
        <stp/>
        <stp>##V3_BDPV12</stp>
        <stp>EK0223934 Govt</stp>
        <stp>YLD_YTM_ASK</stp>
        <stp>[BondPricer-0.2.xlsm]ITALIAN_BTPS_TYPE523!R125C15</stp>
        <tr r="O125" s="5"/>
      </tp>
      <tp>
        <v>4.0760466726623923</v>
        <stp/>
        <stp>##V3_BDPV12</stp>
        <stp>EH2420832 Govt</stp>
        <stp>YLD_YTM_ASK</stp>
        <stp>[BondPricer-0.2.xlsm]ITALIAN_BTPS_TYPE523!R136C15</stp>
        <tr r="O136" s="5"/>
      </tp>
      <tp>
        <v>4.2388580143929877</v>
        <stp/>
        <stp>##V3_BDPV12</stp>
        <stp>EH2420998 Govt</stp>
        <stp>YLD_YTM_ASK</stp>
        <stp>[BondPricer-0.2.xlsm]ITALIAN_BTPS_TYPE523!R139C15</stp>
        <tr r="O139" s="5"/>
      </tp>
      <tp>
        <v>4.1381121066727422</v>
        <stp/>
        <stp>##V3_BDPV12</stp>
        <stp>EH2420956 Govt</stp>
        <stp>YLD_YTM_ASK</stp>
        <stp>[BondPricer-0.2.xlsm]ITALIAN_BTPS_TYPE523!R137C15</stp>
        <tr r="O137" s="5"/>
      </tp>
      <tp>
        <v>6.3723231868487087</v>
        <stp/>
        <stp>##V3_BDPV12</stp>
        <stp>912810EY Govt</stp>
        <stp>DUR_ADJ_ASK</stp>
        <stp>[BondPricer-0.2.xlsm]US_TREASURY_TYPE1!R84C28</stp>
        <stp>YLD_YTM_ASK=3.0842108</stp>
        <stp>YAS_YLD_CONV=3</stp>
        <tr r="AB84" s="4"/>
      </tp>
      <tp>
        <v>12.371752948684891</v>
        <stp/>
        <stp>##V3_BDPV12</stp>
        <stp>912810FT Govt</stp>
        <stp>DUR_ADJ_ASK</stp>
        <stp>[BondPricer-0.2.xlsm]US_TREASURY_TYPE1!R96C28</stp>
        <stp>YLD_YTM_ASK=3.2182222</stp>
        <stp>YAS_YLD_CONV=3</stp>
        <tr r="AB96" s="4"/>
      </tp>
      <tp>
        <v>100.94499999999977</v>
        <stp/>
        <stp>##V3_BDPV12</stp>
        <stp>ED9336279 Govt</stp>
        <stp>YAS_BOND_PX</stp>
        <stp>[BondPricer-0.2.xlsm]FRENCH_BTAN_TYPE89!R12C20</stp>
        <stp>YAS_BOND_YLD=-0.37246270081509</stp>
        <stp>YAS_YLD_CONV=1</stp>
        <tr r="T12" s="8"/>
      </tp>
      <tp>
        <v>6.2250413888678287</v>
        <stp/>
        <stp>##V3_BDPV12</stp>
        <stp>EK6841549 Govt</stp>
        <stp>DUR_ADJ_ASK</stp>
        <stp>[BondPricer-0.2.xlsm]GERMAN_BUND_TYPE60!R20C27</stp>
        <stp>YLD_YTM_ASK=0.0753845649068273</stp>
        <stp>YAS_YLD_CONV=1</stp>
        <tr r="AA20" s="6"/>
      </tp>
      <tp>
        <v>3.1814005914154508</v>
        <stp/>
        <stp>##V3_BDPV12</stp>
        <stp>QZ0167556 Govt</stp>
        <stp>YLD_YTM_ASK</stp>
        <stp>[BondPricer-0.2.xlsm]ITALIAN_BTPS_TYPE523!R55C15</stp>
        <tr r="O55" s="5"/>
      </tp>
      <tp>
        <v>19.378014992479109</v>
        <stp/>
        <stp>##V3_BDPV12</stp>
        <stp>ED3871594 Govt</stp>
        <stp>YAS_RISK</stp>
        <stp>[BondPricer-0.2.xlsm]FRENCH_BTAN_TYPE89!R135C24</stp>
        <stp>YLD_YTM_ASK=1.19090393874773</stp>
        <stp>YAS_YLD_CONV=1</stp>
        <tr r="X135" s="8"/>
      </tp>
      <tp>
        <v>17.147707888213759</v>
        <stp/>
        <stp>##V3_BDPV12</stp>
        <stp>EI0432951 Govt</stp>
        <stp>YAS_RISK</stp>
        <stp>[BondPricer-0.2.xlsm]FRENCH_BTAN_TYPE89!R212C24</stp>
        <stp>YLD_YTM_ASK=1.98935312524224</stp>
        <stp>YAS_YLD_CONV=1</stp>
        <tr r="X212" s="8"/>
      </tp>
      <tp>
        <v>19.811153277279203</v>
        <stp/>
        <stp>##V3_BDPV12</stp>
        <stp>ED8324888 Govt</stp>
        <stp>YAS_RISK</stp>
        <stp>[BondPricer-0.2.xlsm]FRENCH_BTAN_TYPE89!R221C24</stp>
        <stp>YLD_YTM_ASK=1.64348533704841</stp>
        <stp>YAS_YLD_CONV=1</stp>
        <tr r="X221" s="8"/>
      </tp>
      <tp>
        <v>16.584584917370293</v>
        <stp/>
        <stp>##V3_BDPV12</stp>
        <stp>EJ6186948 Govt</stp>
        <stp>YAS_RISK</stp>
        <stp>[BondPricer-0.2.xlsm]FRENCH_BTAN_TYPE89!R188C24</stp>
        <stp>YLD_YTM_ASK=1.72667580170791</stp>
        <stp>YAS_YLD_CONV=1</stp>
        <tr r="X188" s="8"/>
      </tp>
      <tp>
        <v>13.768780683906812</v>
        <stp/>
        <stp>##V3_BDPV12</stp>
        <stp>EF6782538 Govt</stp>
        <stp>YAS_RISK</stp>
        <stp>[BondPricer-0.2.xlsm]FRENCH_BTAN_TYPE89!R149C24</stp>
        <stp>YLD_YTM_ASK=1.42519390822839</stp>
        <stp>YAS_YLD_CONV=1</stp>
        <tr r="X149" s="8"/>
      </tp>
      <tp>
        <v>18.256407023466181</v>
        <stp/>
        <stp>##V3_BDPV12</stp>
        <stp>ED8389089 Govt</stp>
        <stp>YAS_RISK</stp>
        <stp>[BondPricer-0.2.xlsm]FRENCH_BTAN_TYPE89!R195C24</stp>
        <stp>YLD_YTM_ASK=1.52266142609685</stp>
        <stp>YAS_YLD_CONV=1</stp>
        <tr r="X195" s="8"/>
      </tp>
      <tp>
        <v>17.090902086121318</v>
        <stp/>
        <stp>##V3_BDPV12</stp>
        <stp>JK8069276 Govt</stp>
        <stp>YAS_RISK</stp>
        <stp>[BondPricer-0.2.xlsm]FRENCH_BTAN_TYPE89!R234C24</stp>
        <stp>YLD_YTM_ASK=2.11686028676217</stp>
        <stp>YAS_YLD_CONV=1</stp>
        <tr r="X234" s="8"/>
      </tp>
      <tp>
        <v>17.181082205738818</v>
        <stp/>
        <stp>##V3_BDPV12</stp>
        <stp>EI1868237 Govt</stp>
        <stp>YAS_RISK</stp>
        <stp>[BondPricer-0.2.xlsm]FRENCH_BTAN_TYPE89!R223C24</stp>
        <stp>YLD_YTM_ASK=2.04840042700116</stp>
        <stp>YAS_YLD_CONV=1</stp>
        <tr r="X223" s="8"/>
      </tp>
      <tp>
        <v>12.540207577634277</v>
        <stp/>
        <stp>##V3_BDPV12</stp>
        <stp>ED3948871 Govt</stp>
        <stp>YAS_RISK</stp>
        <stp>[BondPricer-0.2.xlsm]FRENCH_BTAN_TYPE89!R131C24</stp>
        <stp>YLD_YTM_ASK=1.29903169524308</stp>
        <stp>YAS_YLD_CONV=1</stp>
        <tr r="X131" s="8"/>
      </tp>
      <tp>
        <v>13.258119530484436</v>
        <stp/>
        <stp>##V3_BDPV12</stp>
        <stp>EF6782173 Govt</stp>
        <stp>YAS_RISK</stp>
        <stp>[BondPricer-0.2.xlsm]FRENCH_BTAN_TYPE89!R141C24</stp>
        <stp>YLD_YTM_ASK=1.39625946237658</stp>
        <stp>YAS_YLD_CONV=1</stp>
        <tr r="X141" s="8"/>
      </tp>
      <tp>
        <v>14.819426421915693</v>
        <stp/>
        <stp>##V3_BDPV12</stp>
        <stp>EI0431672 Govt</stp>
        <stp>YAS_RISK</stp>
        <stp>[BondPricer-0.2.xlsm]FRENCH_BTAN_TYPE89!R163C24</stp>
        <stp>YLD_YTM_ASK=1.52395042108506</stp>
        <stp>YAS_YLD_CONV=1</stp>
        <tr r="X163" s="8"/>
      </tp>
      <tp>
        <v>7.5372463033195993</v>
        <stp/>
        <stp>##V3_BDPV12</stp>
        <stp>AM2936822 Govt</stp>
        <stp>DUR_ADJ_ASK</stp>
        <stp>[BondPricer-0.2.xlsm]ITALIAN_BTPS_TYPE523!R61C29</stp>
        <stp>YLD_YTM_ASK=3.36331912550476</stp>
        <stp>YAS_YLD_CONV=1</stp>
        <tr r="AC61" s="5"/>
      </tp>
      <tp>
        <v>9.686218287194162</v>
        <stp/>
        <stp>##V3_BDPV12</stp>
        <stp>EC1067726 Govt</stp>
        <stp>DUR_ADJ_ASK</stp>
        <stp>[BondPricer-0.2.xlsm]ITALIAN_BTPS_TYPE523!R77C29</stp>
        <stp>YLD_YTM_ASK=3.66030002097806</stp>
        <stp>YAS_YLD_CONV=1</stp>
        <tr r="AC77" s="5"/>
      </tp>
      <tp>
        <v>9.5211456154802487</v>
        <stp/>
        <stp>##V3_BDPV12</stp>
        <stp>EK0661935 Govt</stp>
        <stp>DUR_ADJ_ASK</stp>
        <stp>[BondPricer-0.2.xlsm]ITALIAN_BTPS_TYPE523!R76C29</stp>
        <stp>YLD_YTM_ASK=3.69477107710161</stp>
        <stp>YAS_YLD_CONV=1</stp>
        <tr r="AC76" s="5"/>
      </tp>
      <tp>
        <v>5.4832077490744453</v>
        <stp/>
        <stp>##V3_BDPV12</stp>
        <stp>EK4572963 Govt</stp>
        <stp>DUR_ADJ_ASK</stp>
        <stp>[BondPricer-0.2.xlsm]ITALIAN_BTPS_TYPE523!R32C29</stp>
        <stp>YLD_YTM_ASK=3.12862194652213</stp>
        <stp>YAS_YLD_CONV=1</stp>
        <tr r="AC32" s="5"/>
      </tp>
      <tp>
        <v>5.1499534265854301</v>
        <stp/>
        <stp>##V3_BDPV12</stp>
        <stp>EK0933524 Govt</stp>
        <stp>DUR_ADJ_ASK</stp>
        <stp>[BondPricer-0.2.xlsm]ITALIAN_BTPS_TYPE523!R29C29</stp>
        <stp>YLD_YTM_ASK=3.19369004003307</stp>
        <stp>YAS_YLD_CONV=1</stp>
        <tr r="AC29" s="5"/>
      </tp>
      <tp>
        <v>9.9998327593844962</v>
        <stp/>
        <stp>##V3_BDPV12</stp>
        <stp>EK0661992 Govt</stp>
        <stp>DUR_ADJ_ASK</stp>
        <stp>[BondPricer-0.2.xlsm]ITALIAN_BTPS_TYPE523!R80C29</stp>
        <stp>YLD_YTM_ASK=3.73103914483739</stp>
        <stp>YAS_YLD_CONV=1</stp>
        <tr r="AC80" s="5"/>
      </tp>
      <tp>
        <v>13.126208781984737</v>
        <stp/>
        <stp>##V3_BDPV12</stp>
        <stp>EJ7248408 Govt</stp>
        <stp>YAS_MOD_DUR</stp>
        <stp>[BondPricer-0.2.xlsm]JAPAN_JGB_TYPE51!R151C28</stp>
        <stp>YLD_YTM_ASK=0.36</stp>
        <stp>YAS_YLD_CONV=3</stp>
        <tr r="AB151" s="7"/>
      </tp>
      <tp>
        <v>10.64851226544828</v>
        <stp/>
        <stp>##V3_BDPV12</stp>
        <stp>EJ4853184 Govt</stp>
        <stp>DUR_ADJ_ASK</stp>
        <stp>[BondPricer-0.2.xlsm]ITALIAN_BTPS_TYPE523!R86C29</stp>
        <stp>YLD_YTM_ASK=3.68362524617909</stp>
        <stp>YAS_YLD_CONV=1</stp>
        <tr r="AC86" s="5"/>
      </tp>
      <tp>
        <v>6.0935307101669931</v>
        <stp/>
        <stp>##V3_BDPV12</stp>
        <stp>GG7302712 Govt</stp>
        <stp>DUR_ADJ_ASK</stp>
        <stp>[BondPricer-0.2.xlsm]ITALIAN_BTPS_TYPE523!R51C29</stp>
        <stp>YLD_YTM_ASK=3.42660160957093</stp>
        <stp>YAS_YLD_CONV=1</stp>
        <tr r="AC51" s="5"/>
      </tp>
      <tp>
        <v>4.3848122989806555</v>
        <stp/>
        <stp>##V3_BDPV12</stp>
        <stp>EF2711531 Corp</stp>
        <stp>DUR_ADJ_ASK</stp>
        <stp>[BondPricer-0.2.xlsm]AUSTRALIAN_GOVT_TYPE23!R22C30</stp>
        <stp>YLD_YTM_ASK=2.58609607942536</stp>
        <stp>YAS_YLD_CONV=3</stp>
        <tr r="AD22" s="9"/>
      </tp>
      <tp>
        <v>5.9089548459933487</v>
        <stp/>
        <stp>##V3_BDPV12</stp>
        <stp>EK8553563 Corp</stp>
        <stp>DUR_ADJ_ASK</stp>
        <stp>[BondPricer-0.2.xlsm]AUSTRALIAN_GOVT_TYPE23!R30C30</stp>
        <stp>YLD_YTM_ASK=2.82298654169903</stp>
        <stp>YAS_YLD_CONV=3</stp>
        <tr r="AD30" s="9"/>
      </tp>
      <tp>
        <v>9.6971984126781763</v>
        <stp/>
        <stp>##V3_BDPV12</stp>
        <stp>912810FG Govt</stp>
        <stp>YAS_RISK</stp>
        <stp>[BondPricer-0.2.xlsm]US_TREASURY_TYPE1!R92C24</stp>
        <stp>YLD_YTM_ASK=3.1453749</stp>
        <stp>YAS_YLD_CONV=3</stp>
        <tr r="X92" s="4"/>
      </tp>
      <tp>
        <v>9.9253445055475265</v>
        <stp/>
        <stp>##V3_BDPV12</stp>
        <stp>EC5588628 Govt</stp>
        <stp>DUR_ADJ_ASK</stp>
        <stp>[BondPricer-0.2.xlsm]ITALIAN_BTPS_TYPE523!R78C29</stp>
        <stp>YLD_YTM_ASK=3.6816714479927</stp>
        <stp>YAS_YLD_CONV=1</stp>
        <tr r="AC78" s="5"/>
      </tp>
      <tp>
        <v>46.086456248466199</v>
        <stp/>
        <stp>##V3_BDPV12</stp>
        <stp>AN2030939 Govt</stp>
        <stp>DUR_ADJ_ASK</stp>
        <stp>[BondPricer-0.2.xlsm]ITALIAN_BTPS_TYPE523!R208C29</stp>
        <stp>YLD_YTM_ASK=3.87674017009423</stp>
        <stp>YAS_YLD_CONV=1</stp>
        <tr r="AC208" s="5"/>
      </tp>
      <tp>
        <v>22.374123942495242</v>
        <stp/>
        <stp>##V3_BDPV12</stp>
        <stp>EK0225137 Govt</stp>
        <stp>DUR_ADJ_ASK</stp>
        <stp>[BondPricer-0.2.xlsm]ITALIAN_BTPS_TYPE523!R156C29</stp>
        <stp>YLD_YTM_ASK=4.48849348985381</stp>
        <stp>YAS_YLD_CONV=1</stp>
        <tr r="AC156" s="5"/>
      </tp>
      <tp>
        <v>2.7748375451423613</v>
        <stp/>
        <stp>##V3_BDPV12</stp>
        <stp>912828F2 Govt</stp>
        <stp>YAS_RISK</stp>
        <stp>[BondPricer-0.2.xlsm]US_TREASURY_TYPE1!R26C24</stp>
        <stp>YLD_YTM_ASK=2.9220449</stp>
        <stp>YAS_YLD_CONV=3</stp>
        <tr r="X26" s="4"/>
      </tp>
      <tp>
        <v>45.113199079737413</v>
        <stp/>
        <stp>##V3_BDPV12</stp>
        <stp>AN2027505 Govt</stp>
        <stp>DUR_ADJ_ASK</stp>
        <stp>[BondPricer-0.2.xlsm]ITALIAN_BTPS_TYPE523!R206C29</stp>
        <stp>YLD_YTM_ASK=3.90107207198416</stp>
        <stp>YAS_YLD_CONV=1</stp>
        <tr r="AC206" s="5"/>
      </tp>
      <tp>
        <v>39.305000000000113</v>
        <stp/>
        <stp>##V3_BDPV12</stp>
        <stp>JK8070480 Govt</stp>
        <stp>YAS_BOND_PX</stp>
        <stp>[BondPricer-0.2.xlsm]FRENCH_BTAN_TYPE89!R236C20</stp>
        <stp>YAS_BOND_YLD=2.11570501495524</stp>
        <stp>YAS_YLD_CONV=1</stp>
        <tr r="T236" s="8"/>
      </tp>
      <tp>
        <v>158.79500000008193</v>
        <stp/>
        <stp>##V3_BDPV12</stp>
        <stp>ED8307479 Govt</stp>
        <stp>YAS_BOND_PX</stp>
        <stp>[BondPricer-0.2.xlsm]FRENCH_BTAN_TYPE89!R218C20</stp>
        <stp>YAS_BOND_YLD=1.79200696249732</stp>
        <stp>YAS_YLD_CONV=1</stp>
        <tr r="T218" s="8"/>
      </tp>
      <tp>
        <v>4.1726212473243818</v>
        <stp/>
        <stp>##V3_BDPV12</stp>
        <stp>AN1985315 Govt</stp>
        <stp>YLD_YTM_ASK</stp>
        <stp>[BondPricer-0.2.xlsm]ITALIAN_BTPS_TYPE523!R182C15</stp>
        <tr r="O182" s="5"/>
      </tp>
      <tp>
        <v>3.6392345808824222</v>
        <stp/>
        <stp>##V3_BDPV12</stp>
        <stp>AM2016153 Govt</stp>
        <stp>YLD_YTM_ASK</stp>
        <stp>[BondPricer-0.2.xlsm]ITALIAN_BTPS_TYPE523!R114C15</stp>
        <tr r="O114" s="5"/>
      </tp>
      <tp>
        <v>4.0698210335630813</v>
        <stp/>
        <stp>##V3_BDPV12</stp>
        <stp>AN2015625 Govt</stp>
        <stp>YLD_YTM_ASK</stp>
        <stp>[BondPricer-0.2.xlsm]ITALIAN_BTPS_TYPE523!R190C15</stp>
        <tr r="O190" s="5"/>
      </tp>
      <tp>
        <v>3.9258316137058991</v>
        <stp/>
        <stp>##V3_BDPV12</stp>
        <stp>AN2025442 Govt</stp>
        <stp>YLD_YTM_ASK</stp>
        <stp>[BondPricer-0.2.xlsm]ITALIAN_BTPS_TYPE523!R204C15</stp>
        <tr r="O204" s="5"/>
      </tp>
      <tp>
        <v>5.105761039172581</v>
        <stp/>
        <stp>##V3_BDPV12</stp>
        <stp>912828WJ Govt</stp>
        <stp>DUR_ADJ_ASK</stp>
        <stp>[BondPricer-0.2.xlsm]US_TREASURY_TYPE1!R71C28</stp>
        <stp>YLD_YTM_ASK=3.0329128</stp>
        <stp>YAS_YLD_CONV=3</stp>
        <tr r="AB71" s="4"/>
      </tp>
      <tp>
        <v>4.7629067157661833</v>
        <stp/>
        <stp>##V3_BDPV12</stp>
        <stp>912828U5 Govt</stp>
        <stp>DUR_ADJ_ASK</stp>
        <stp>[BondPricer-0.2.xlsm]US_TREASURY_TYPE1!R66C28</stp>
        <stp>YLD_YTM_ASK=3.0129219</stp>
        <stp>YAS_YLD_CONV=3</stp>
        <tr r="AB66" s="4"/>
      </tp>
      <tp>
        <v>3.9133396610236071</v>
        <stp/>
        <stp>##V3_BDPV12</stp>
        <stp>AN2025830 Govt</stp>
        <stp>YLD_YTM_ASK</stp>
        <stp>[BondPricer-0.2.xlsm]ITALIAN_BTPS_TYPE523!R205C15</stp>
        <tr r="O205" s="5"/>
      </tp>
      <tp>
        <v>3.598581828567526</v>
        <stp/>
        <stp>##V3_BDPV12</stp>
        <stp>912828XQ Govt</stp>
        <stp>DUR_ADJ_ASK</stp>
        <stp>[BondPricer-0.2.xlsm]US_TREASURY_TYPE1!R44C28</stp>
        <stp>YLD_YTM_ASK=2.9559662</stp>
        <stp>YAS_YLD_CONV=3</stp>
        <tr r="AB44" s="4"/>
      </tp>
      <tp>
        <v>4.1734314004640316</v>
        <stp/>
        <stp>##V3_BDPV12</stp>
        <stp>912828P7 Govt</stp>
        <stp>DUR_ADJ_ASK</stp>
        <stp>[BondPricer-0.2.xlsm]US_TREASURY_TYPE1!R53C28</stp>
        <stp>YLD_YTM_ASK=2.9909979</stp>
        <stp>YAS_YLD_CONV=3</stp>
        <tr r="AB53" s="4"/>
      </tp>
      <tp>
        <v>3.9285064669969838</v>
        <stp/>
        <stp>##V3_BDPV12</stp>
        <stp>EC5588982 Govt</stp>
        <stp>YLD_YTM_ASK</stp>
        <stp>[BondPricer-0.2.xlsm]ITALIAN_BTPS_TYPE523!R105C15</stp>
        <tr r="O105" s="5"/>
      </tp>
      <tp>
        <v>3.874070349067571</v>
        <stp/>
        <stp>##V3_BDPV12</stp>
        <stp>EC5588925 Govt</stp>
        <stp>YLD_YTM_ASK</stp>
        <stp>[BondPricer-0.2.xlsm]ITALIAN_BTPS_TYPE523!R100C15</stp>
        <tr r="O100" s="5"/>
      </tp>
      <tp>
        <v>3.8822331829858392</v>
        <stp/>
        <stp>##V3_BDPV12</stp>
        <stp>EC5588966 Govt</stp>
        <stp>YLD_YTM_ASK</stp>
        <stp>[BondPricer-0.2.xlsm]ITALIAN_BTPS_TYPE523!R101C15</stp>
        <tr r="O101" s="5"/>
      </tp>
      <tp>
        <v>6.6000054827499852</v>
        <stp/>
        <stp>##V3_BDPV12</stp>
        <stp>912810EZ Govt</stp>
        <stp>DUR_ADJ_ASK</stp>
        <stp>[BondPricer-0.2.xlsm]US_TREASURY_TYPE1!R86C28</stp>
        <stp>YLD_YTM_ASK=3.0831444</stp>
        <stp>YAS_YLD_CONV=3</stp>
        <tr r="AB86" s="4"/>
      </tp>
      <tp>
        <v>6.2576291465822962</v>
        <stp/>
        <stp>##V3_BDPV12</stp>
        <stp>912810EX Govt</stp>
        <stp>DUR_ADJ_ASK</stp>
        <stp>[BondPricer-0.2.xlsm]US_TREASURY_TYPE1!R82C28</stp>
        <stp>YLD_YTM_ASK=3.0761234</stp>
        <stp>YAS_YLD_CONV=3</stp>
        <tr r="AB82" s="4"/>
      </tp>
      <tp>
        <v>3.7771895229336314</v>
        <stp/>
        <stp>##V3_BDPV12</stp>
        <stp>912828L5 Govt</stp>
        <stp>DUR_ADJ_ASK</stp>
        <stp>[BondPricer-0.2.xlsm]US_TREASURY_TYPE1!R47C28</stp>
        <stp>YLD_YTM_ASK=2.9659102</stp>
        <stp>YAS_YLD_CONV=3</stp>
        <tr r="AB47" s="4"/>
      </tp>
      <tp>
        <v>3.8863782227230548</v>
        <stp/>
        <stp>##V3_BDPV12</stp>
        <stp>912828M8 Govt</stp>
        <stp>DUR_ADJ_ASK</stp>
        <stp>[BondPricer-0.2.xlsm]US_TREASURY_TYPE1!R50C28</stp>
        <stp>YLD_YTM_ASK=2.9769453</stp>
        <stp>YAS_YLD_CONV=3</stp>
        <tr r="AB50" s="4"/>
      </tp>
      <tp>
        <v>3.6872530635076739</v>
        <stp/>
        <stp>##V3_BDPV12</stp>
        <stp>912828L2 Govt</stp>
        <stp>DUR_ADJ_ASK</stp>
        <stp>[BondPricer-0.2.xlsm]US_TREASURY_TYPE1!R46C28</stp>
        <stp>YLD_YTM_ASK=2.9669586</stp>
        <stp>YAS_YLD_CONV=3</stp>
        <tr r="AB46" s="4"/>
      </tp>
      <tp>
        <v>14.006005367573948</v>
        <stp/>
        <stp>##V3_BDPV12</stp>
        <stp>EJ6186047 Govt</stp>
        <stp>YAS_RISK</stp>
        <stp>[BondPricer-0.2.xlsm]FRENCH_BTAN_TYPE89!R152C24</stp>
        <stp>YLD_YTM_ASK=1.45840831229183</stp>
        <stp>YAS_YLD_CONV=1</stp>
        <tr r="X152" s="8"/>
      </tp>
      <tp>
        <v>11.676786390530225</v>
        <stp/>
        <stp>##V3_BDPV12</stp>
        <stp>EC3971529 Govt</stp>
        <stp>YAS_RISK</stp>
        <stp>[BondPricer-0.2.xlsm]FRENCH_BTAN_TYPE89!R124C24</stp>
        <stp>YLD_YTM_ASK=1.22580021184187</stp>
        <stp>YAS_YLD_CONV=1</stp>
        <tr r="X124" s="8"/>
      </tp>
      <tp>
        <v>11.109678285724556</v>
        <stp/>
        <stp>##V3_BDPV12</stp>
        <stp>EC3971503 Govt</stp>
        <stp>YAS_RISK</stp>
        <stp>[BondPricer-0.2.xlsm]FRENCH_BTAN_TYPE89!R117C24</stp>
        <stp>YLD_YTM_ASK=1.13907699609563</stp>
        <stp>YAS_YLD_CONV=1</stp>
        <tr r="X117" s="8"/>
      </tp>
      <tp>
        <v>14.013265106775918</v>
        <stp/>
        <stp>##V3_BDPV12</stp>
        <stp>ED8388289 Govt</stp>
        <stp>YAS_RISK</stp>
        <stp>[BondPricer-0.2.xlsm]FRENCH_BTAN_TYPE89!R151C24</stp>
        <stp>YLD_YTM_ASK=1.43888717885379</stp>
        <stp>YAS_YLD_CONV=1</stp>
        <tr r="X151" s="8"/>
      </tp>
      <tp>
        <v>13.831616256064194</v>
        <stp/>
        <stp>##V3_BDPV12</stp>
        <stp>EI0430476 Govt</stp>
        <stp>YAS_RISK</stp>
        <stp>[BondPricer-0.2.xlsm]FRENCH_BTAN_TYPE89!R148C24</stp>
        <stp>YLD_YTM_ASK=1.40091883590356</stp>
        <stp>YAS_YLD_CONV=1</stp>
        <tr r="X148" s="8"/>
      </tp>
      <tp>
        <v>10.819466990690074</v>
        <stp/>
        <stp>##V3_BDPV12</stp>
        <stp>EI0429270 Govt</stp>
        <stp>YAS_RISK</stp>
        <stp>[BondPricer-0.2.xlsm]FRENCH_BTAN_TYPE89!R110C24</stp>
        <stp>YLD_YTM_ASK=1.08587190763878</stp>
        <stp>YAS_YLD_CONV=1</stp>
        <tr r="X110" s="8"/>
      </tp>
      <tp>
        <v>18.263944605156013</v>
        <stp/>
        <stp>##V3_BDPV12</stp>
        <stp>JK8071041 Govt</stp>
        <stp>YAS_RISK</stp>
        <stp>[BondPricer-0.2.xlsm]FRENCH_BTAN_TYPE89!R240C24</stp>
        <stp>YLD_YTM_ASK=1.99056358221761</stp>
        <stp>YAS_YLD_CONV=1</stp>
        <tr r="X240" s="8"/>
      </tp>
      <tp>
        <v>17.942409230773748</v>
        <stp/>
        <stp>##V3_BDPV12</stp>
        <stp>ED8389121 Govt</stp>
        <stp>YAS_RISK</stp>
        <stp>[BondPricer-0.2.xlsm]FRENCH_BTAN_TYPE89!R198C24</stp>
        <stp>YLD_YTM_ASK=1.64480914091587</stp>
        <stp>YAS_YLD_CONV=1</stp>
        <tr r="X198" s="8"/>
      </tp>
      <tp>
        <v>16.122231448369462</v>
        <stp/>
        <stp>##V3_BDPV12</stp>
        <stp>EJ6186849 Govt</stp>
        <stp>YAS_RISK</stp>
        <stp>[BondPricer-0.2.xlsm]FRENCH_BTAN_TYPE89!R184C24</stp>
        <stp>YLD_YTM_ASK=1.75374868579732</stp>
        <stp>YAS_YLD_CONV=1</stp>
        <tr r="X184" s="8"/>
      </tp>
      <tp>
        <v>11.135190136088369</v>
        <stp/>
        <stp>##V3_BDPV12</stp>
        <stp>EI0429114 Govt</stp>
        <stp>YAS_RISK</stp>
        <stp>[BondPricer-0.2.xlsm]FRENCH_BTAN_TYPE89!R116C24</stp>
        <stp>YLD_YTM_ASK=1.12253384141432</stp>
        <stp>YAS_YLD_CONV=1</stp>
        <tr r="X116" s="8"/>
      </tp>
      <tp>
        <v>7.2363526207865903</v>
        <stp/>
        <stp>##V3_BDPV12</stp>
        <stp>912810EW Govt</stp>
        <stp>YAS_RISK</stp>
        <stp>[BondPricer-0.2.xlsm]US_TREASURY_TYPE1!R79C24</stp>
        <stp>YLD_YTM_ASK=3.0643795</stp>
        <stp>YAS_YLD_CONV=3</stp>
        <tr r="X79" s="4"/>
      </tp>
      <tp>
        <v>7.048974544532542</v>
        <stp/>
        <stp>##V3_BDPV12</stp>
        <stp>EC5587786 Govt</stp>
        <stp>DUR_ADJ_ASK</stp>
        <stp>[BondPricer-0.2.xlsm]ITALIAN_BTPS_TYPE523!R43C29</stp>
        <stp>YLD_YTM_ASK=3.46929371604199</stp>
        <stp>YAS_YLD_CONV=1</stp>
        <tr r="AC43" s="5"/>
      </tp>
      <tp>
        <v>8.5636817480769007</v>
        <stp/>
        <stp>##V3_BDPV12</stp>
        <stp>EK0661752 Govt</stp>
        <stp>DUR_ADJ_ASK</stp>
        <stp>[BondPricer-0.2.xlsm]ITALIAN_BTPS_TYPE523!R64C29</stp>
        <stp>YLD_YTM_ASK=3.61115599048569</stp>
        <stp>YAS_YLD_CONV=1</stp>
        <tr r="AC64" s="5"/>
      </tp>
      <tp>
        <v>7.7539811333161834</v>
        <stp/>
        <stp>##V3_BDPV12</stp>
        <stp>AM6907472 Corp</stp>
        <stp>DUR_ADJ_ASK</stp>
        <stp>[BondPricer-0.2.xlsm]AUSTRALIAN_GOVT_TYPE23!R42C30</stp>
        <stp>YLD_YTM_ASK=3.09997233719218</stp>
        <stp>YAS_YLD_CONV=3</stp>
        <tr r="AD42" s="9"/>
      </tp>
      <tp>
        <v>2.4908263943855857</v>
        <stp/>
        <stp>##V3_BDPV12</stp>
        <stp>EC9870790 Corp</stp>
        <stp>DUR_ADJ_ASK</stp>
        <stp>[BondPricer-0.2.xlsm]AUSTRALIAN_GOVT_TYPE23!R10C30</stp>
        <stp>YLD_YTM_ASK=2.29883169740607</stp>
        <stp>YAS_YLD_CONV=3</stp>
        <tr r="AD10" s="9"/>
      </tp>
      <tp>
        <v>6.7851204083662564</v>
        <stp/>
        <stp>##V3_BDPV12</stp>
        <stp>LW1235313 Corp</stp>
        <stp>DUR_ADJ_ASK</stp>
        <stp>[BondPricer-0.2.xlsm]AUSTRALIAN_GOVT_TYPE23!R36C30</stp>
        <stp>YLD_YTM_ASK=2.88795317324307</stp>
        <stp>YAS_YLD_CONV=3</stp>
        <tr r="AD36" s="9"/>
      </tp>
      <tp>
        <v>3.8606001004420878</v>
        <stp/>
        <stp>##V3_BDPV12</stp>
        <stp>AP4429340 Corp</stp>
        <stp>DUR_ADJ_ASK</stp>
        <stp>[BondPricer-0.2.xlsm]AUSTRALIAN_GOVT_TYPE23!R19C30</stp>
        <stp>YLD_YTM_ASK=2.08386346800016</stp>
        <stp>YAS_YLD_CONV=3</stp>
        <tr r="AD19" s="9"/>
      </tp>
      <tp>
        <v>9.4729293746944165</v>
        <stp/>
        <stp>##V3_BDPV12</stp>
        <stp>912810FF Govt</stp>
        <stp>YAS_RISK</stp>
        <stp>[BondPricer-0.2.xlsm]US_TREASURY_TYPE1!R91C24</stp>
        <stp>YLD_YTM_ASK=3.1500182</stp>
        <stp>YAS_YLD_CONV=3</stp>
        <tr r="X91" s="4"/>
      </tp>
      <tp>
        <v>4.8971725993746329</v>
        <stp/>
        <stp>##V3_BDPV12</stp>
        <stp>CP5087939 Govt</stp>
        <stp>DUR_ADJ_ASK</stp>
        <stp>[BondPricer-0.2.xlsm]ITALIAN_BTPS_TYPE523!R21C29</stp>
        <stp>YLD_YTM_ASK=2.93207160926214</stp>
        <stp>YAS_YLD_CONV=1</stp>
        <tr r="AC21" s="5"/>
      </tp>
      <tp>
        <v>9.408454364089609</v>
        <stp/>
        <stp>##V3_BDPV12</stp>
        <stp>AQ7629332 Corp</stp>
        <stp>DUR_ADJ_ASK</stp>
        <stp>[BondPricer-0.2.xlsm]AUSTRALIAN_GOVT_TYPE23!R52C30</stp>
        <stp>YLD_YTM_ASK=2.70697511793726</stp>
        <stp>YAS_YLD_CONV=3</stp>
        <tr r="AD52" s="9"/>
      </tp>
      <tp>
        <v>11.09821047224912</v>
        <stp/>
        <stp>##V3_BDPV12</stp>
        <stp>EJ9440870 Corp</stp>
        <stp>DUR_ADJ_ASK</stp>
        <stp>[BondPricer-0.2.xlsm]AUSTRALIAN_GOVT_TYPE23!R55C30</stp>
        <stp>YLD_YTM_ASK=2.55632749053041</stp>
        <stp>YAS_YLD_CONV=3</stp>
        <tr r="AD55" s="9"/>
      </tp>
      <tp>
        <v>13.271957400899726</v>
        <stp/>
        <stp>##V3_BDPV12</stp>
        <stp>EC5588982 Govt</stp>
        <stp>DUR_ADJ_ASK</stp>
        <stp>[BondPricer-0.2.xlsm]ITALIAN_BTPS_TYPE523!R105C29</stp>
        <stp>YLD_YTM_ASK=3.92953214752587</stp>
        <stp>YAS_YLD_CONV=1</stp>
        <tr r="AC105" s="5"/>
      </tp>
      <tp>
        <v>19.465498264338418</v>
        <stp/>
        <stp>##V3_BDPV12</stp>
        <stp>EH2420998 Govt</stp>
        <stp>DUR_ADJ_ASK</stp>
        <stp>[BondPricer-0.2.xlsm]ITALIAN_BTPS_TYPE523!R139C29</stp>
        <stp>YLD_YTM_ASK=4.23969304347012</stp>
        <stp>YAS_YLD_CONV=1</stp>
        <tr r="AC139" s="5"/>
      </tp>
      <tp>
        <v>3.6733054648678376</v>
        <stp/>
        <stp>##V3_BDPV12</stp>
        <stp>EC5587265 Govt</stp>
        <stp>YAS_RISK</stp>
        <stp>[BondPricer-0.2.xlsm]ITALIAN_BTPS_TYPE523!R7C26</stp>
        <stp>YLD_YTM_ASK=2.98021561931567</stp>
        <stp>YAS_YLD_CONV=33</stp>
        <tr r="Z7" s="5"/>
      </tp>
      <tp>
        <v>42.195554843196305</v>
        <stp/>
        <stp>##V3_BDPV12</stp>
        <stp>AN2022514 Govt</stp>
        <stp>DUR_ADJ_ASK</stp>
        <stp>[BondPricer-0.2.xlsm]ITALIAN_BTPS_TYPE523!R200C29</stp>
        <stp>YLD_YTM_ASK=3.97556701678645</stp>
        <stp>YAS_YLD_CONV=1</stp>
        <tr r="AC200" s="5"/>
      </tp>
      <tp>
        <v>87.105999999999938</v>
        <stp/>
        <stp>##V3_BDPV12</stp>
        <stp>ED3948715 Govt</stp>
        <stp>YAS_BOND_PX</stp>
        <stp>[BondPricer-0.2.xlsm]FRENCH_BTAN_TYPE89!R111C20</stp>
        <stp>YAS_BOND_YLD=1.10864334993608</stp>
        <stp>YAS_YLD_CONV=1</stp>
        <tr r="T111" s="8"/>
      </tp>
      <tp>
        <v>59.888999999999847</v>
        <stp/>
        <stp>##V3_BDPV12</stp>
        <stp>ED8389246 Govt</stp>
        <stp>YAS_BOND_PX</stp>
        <stp>[BondPricer-0.2.xlsm]FRENCH_BTAN_TYPE89!R204C20</stp>
        <stp>YAS_BOND_YLD=1.63978541089178</stp>
        <stp>YAS_YLD_CONV=1</stp>
        <tr r="T204" s="8"/>
      </tp>
      <tp>
        <v>66.088999999999984</v>
        <stp/>
        <stp>##V3_BDPV12</stp>
        <stp>EI0432076 Govt</stp>
        <stp>YAS_BOND_PX</stp>
        <stp>[BondPricer-0.2.xlsm]FRENCH_BTAN_TYPE89!R179C20</stp>
        <stp>YAS_BOND_YLD=1.70340983537483</stp>
        <stp>YAS_YLD_CONV=1</stp>
        <tr r="T179" s="8"/>
      </tp>
      <tp>
        <v>75.248000000000062</v>
        <stp/>
        <stp>##V3_BDPV12</stp>
        <stp>ED8388446 Govt</stp>
        <stp>YAS_BOND_PX</stp>
        <stp>[BondPricer-0.2.xlsm]FRENCH_BTAN_TYPE89!R156C20</stp>
        <stp>YAS_BOND_YLD=1.46749173217167</stp>
        <stp>YAS_YLD_CONV=1</stp>
        <tr r="T156" s="8"/>
      </tp>
      <tp>
        <v>98.528999999856552</v>
        <stp/>
        <stp>##V3_BDPV12</stp>
        <stp>JK7596303 Govt</stp>
        <stp>YAS_BOND_PX</stp>
        <stp>[BondPricer-0.2.xlsm]FRENCH_BTAN_TYPE89!R144C20</stp>
        <stp>YAS_BOND_YLD=1.34427289010383</stp>
        <stp>YAS_YLD_CONV=1</stp>
        <tr r="T144" s="8"/>
      </tp>
      <tp>
        <v>98.528999999856552</v>
        <stp/>
        <stp>##V3_BDPV12</stp>
        <stp>JK7596303 Govt</stp>
        <stp>YAS_BOND_PX</stp>
        <stp>[BondPricer-0.2.xlsm]FRENCH_BTAN_TYPE89!R147C20</stp>
        <stp>YAS_BOND_YLD=1.34427289010383</stp>
        <stp>YAS_YLD_CONV=1</stp>
        <tr r="T147" s="8"/>
      </tp>
      <tp>
        <v>98.528999999856552</v>
        <stp/>
        <stp>##V3_BDPV12</stp>
        <stp>JK7596303 Govt</stp>
        <stp>YAS_BOND_PX</stp>
        <stp>[BondPricer-0.2.xlsm]FRENCH_BTAN_TYPE89!R146C20</stp>
        <stp>YAS_BOND_YLD=1.34427289010383</stp>
        <stp>YAS_YLD_CONV=1</stp>
        <tr r="T146" s="8"/>
      </tp>
      <tp>
        <v>58.806999999999853</v>
        <stp/>
        <stp>##V3_BDPV12</stp>
        <stp>JK8068088 Govt</stp>
        <stp>YAS_BOND_PX</stp>
        <stp>[BondPricer-0.2.xlsm]FRENCH_BTAN_TYPE89!R196C20</stp>
        <stp>YAS_BOND_YLD=1.87348189493797</stp>
        <stp>YAS_YLD_CONV=1</stp>
        <tr r="T196" s="8"/>
      </tp>
      <tp>
        <v>81.431999999999931</v>
        <stp/>
        <stp>##V3_BDPV12</stp>
        <stp>EI0430278 Govt</stp>
        <stp>YAS_BOND_PX</stp>
        <stp>[BondPricer-0.2.xlsm]FRENCH_BTAN_TYPE89!R133C20</stp>
        <stp>YAS_BOND_YLD=1.29025843516934</stp>
        <stp>YAS_YLD_CONV=1</stp>
        <tr r="T133" s="8"/>
      </tp>
      <tp>
        <v>42.83100000000006</v>
        <stp/>
        <stp>##V3_BDPV12</stp>
        <stp>JK8068849 Govt</stp>
        <stp>YAS_BOND_PX</stp>
        <stp>[BondPricer-0.2.xlsm]FRENCH_BTAN_TYPE89!R230C20</stp>
        <stp>YAS_BOND_YLD=2.11026016208151</stp>
        <stp>YAS_YLD_CONV=1</stp>
        <tr r="T230" s="8"/>
      </tp>
      <tp>
        <v>76.153000000000034</v>
        <stp/>
        <stp>##V3_BDPV12</stp>
        <stp>EI0430518 Govt</stp>
        <stp>YAS_BOND_PX</stp>
        <stp>[BondPricer-0.2.xlsm]FRENCH_BTAN_TYPE89!R153C20</stp>
        <stp>YAS_BOND_YLD=1.44247208270549</stp>
        <stp>YAS_YLD_CONV=1</stp>
        <tr r="T153" s="8"/>
      </tp>
      <tp>
        <v>69.636999999999944</v>
        <stp/>
        <stp>##V3_BDPV12</stp>
        <stp>ED8388727 Govt</stp>
        <stp>YAS_BOND_PX</stp>
        <stp>[BondPricer-0.2.xlsm]FRENCH_BTAN_TYPE89!R180C20</stp>
        <stp>YAS_BOND_YLD=1.48674330083594</stp>
        <stp>YAS_YLD_CONV=1</stp>
        <tr r="T180" s="8"/>
      </tp>
      <tp>
        <v>3.9502556188000471</v>
        <stp/>
        <stp>##V3_BDPV12</stp>
        <stp>AN2024171 Govt</stp>
        <stp>YLD_YTM_ASK</stp>
        <stp>[BondPricer-0.2.xlsm]ITALIAN_BTPS_TYPE523!R202C15</stp>
        <tr r="O202" s="5"/>
      </tp>
      <tp>
        <v>6.0120220830043394</v>
        <stp/>
        <stp>##V3_BDPV12</stp>
        <stp>912828XB Govt</stp>
        <stp>DUR_ADJ_ASK</stp>
        <stp>[BondPricer-0.2.xlsm]US_TREASURY_TYPE1!R75C28</stp>
        <stp>YLD_YTM_ASK=3.0808799</stp>
        <stp>YAS_YLD_CONV=3</stp>
        <tr r="AB75" s="4"/>
      </tp>
      <tp>
        <v>7.4673169874876768</v>
        <stp/>
        <stp>##V3_BDPV12</stp>
        <stp>912828V9 Govt</stp>
        <stp>DUR_ADJ_ASK</stp>
        <stp>[BondPricer-0.2.xlsm]US_TREASURY_TYPE1!R87C28</stp>
        <stp>YLD_YTM_ASK=3.1358795</stp>
        <stp>YAS_YLD_CONV=3</stp>
        <tr r="AB87" s="4"/>
      </tp>
      <tp>
        <v>3.8243087835523104</v>
        <stp/>
        <stp>##V3_BDPV12</stp>
        <stp>EC5469449 Govt</stp>
        <stp>YLD_YTM_ASK</stp>
        <stp>[BondPricer-0.2.xlsm]ITALIAN_BTPS_TYPE523!R110C15</stp>
        <tr r="O110" s="5"/>
      </tp>
      <tp>
        <v>4.3189832317853645</v>
        <stp/>
        <stp>##V3_BDPV12</stp>
        <stp>912828VB Govt</stp>
        <stp>DUR_ADJ_ASK</stp>
        <stp>[BondPricer-0.2.xlsm]US_TREASURY_TYPE1!R56C28</stp>
        <stp>YLD_YTM_ASK=2.9938118</stp>
        <stp>YAS_YLD_CONV=3</stp>
        <tr r="AB56" s="4"/>
      </tp>
      <tp>
        <v>4.1839979500183144</v>
        <stp/>
        <stp>##V3_BDPV12</stp>
        <stp>AN1984300 Govt</stp>
        <stp>YLD_YTM_ASK</stp>
        <stp>[BondPricer-0.2.xlsm]ITALIAN_BTPS_TYPE523!R181C15</stp>
        <tr r="O181" s="5"/>
      </tp>
      <tp>
        <v>6.7893355344582522</v>
        <stp/>
        <stp>##V3_BDPV12</stp>
        <stp>912828P4 Govt</stp>
        <stp>DUR_ADJ_ASK</stp>
        <stp>[BondPricer-0.2.xlsm]US_TREASURY_TYPE1!R80C28</stp>
        <stp>YLD_YTM_ASK=3.1128555</stp>
        <stp>YAS_YLD_CONV=3</stp>
        <tr r="AB80" s="4"/>
      </tp>
      <tp>
        <v>4.0816256452927746</v>
        <stp/>
        <stp>##V3_BDPV12</stp>
        <stp>AN2014727 Govt</stp>
        <stp>YLD_YTM_ASK</stp>
        <stp>[BondPricer-0.2.xlsm]ITALIAN_BTPS_TYPE523!R189C15</stp>
        <tr r="O189" s="5"/>
      </tp>
      <tp>
        <v>3.9124488821307368</v>
        <stp/>
        <stp>##V3_BDPV12</stp>
        <stp>EC5589048 Govt</stp>
        <stp>YLD_YTM_ASK</stp>
        <stp>[BondPricer-0.2.xlsm]ITALIAN_BTPS_TYPE523!R109C15</stp>
        <tr r="O109" s="5"/>
      </tp>
      <tp>
        <v>2.4531352359226868</v>
        <stp/>
        <stp>##V3_BDPV12</stp>
        <stp>912828Q7 Govt</stp>
        <stp>DUR_ADJ_ASK</stp>
        <stp>[BondPricer-0.2.xlsm]US_TREASURY_TYPE1!R14C28</stp>
        <stp>YLD_YTM_ASK=2.8938758</stp>
        <stp>YAS_YLD_CONV=3</stp>
        <tr r="AB14" s="4"/>
      </tp>
      <tp>
        <v>3.9384420691686239</v>
        <stp/>
        <stp>##V3_BDPV12</stp>
        <stp>AN2024692 Govt</stp>
        <stp>YLD_YTM_ASK</stp>
        <stp>[BondPricer-0.2.xlsm]ITALIAN_BTPS_TYPE523!R203C15</stp>
        <tr r="O203" s="5"/>
      </tp>
      <tp>
        <v>4.8963915970507497</v>
        <stp/>
        <stp>##V3_BDPV12</stp>
        <stp>912828B6 Govt</stp>
        <stp>DUR_ADJ_ASK</stp>
        <stp>[BondPricer-0.2.xlsm]US_TREASURY_TYPE1!R69C28</stp>
        <stp>YLD_YTM_ASK=3.0178919</stp>
        <stp>YAS_YLD_CONV=3</stp>
        <tr r="AB69" s="4"/>
      </tp>
      <tp>
        <v>2.7582487249567742</v>
        <stp/>
        <stp>##V3_BDPV12</stp>
        <stp>912828D7 Govt</stp>
        <stp>DUR_ADJ_ASK</stp>
        <stp>[BondPricer-0.2.xlsm]US_TREASURY_TYPE1!R24C28</stp>
        <stp>YLD_YTM_ASK=2.9158273</stp>
        <stp>YAS_YLD_CONV=3</stp>
        <tr r="AB24" s="4"/>
      </tp>
      <tp>
        <v>7.8801444510840746</v>
        <stp/>
        <stp>##V3_BDPV12</stp>
        <stp>912810FF Govt</stp>
        <stp>DUR_ADJ_ASK</stp>
        <stp>[BondPricer-0.2.xlsm]US_TREASURY_TYPE1!R91C28</stp>
        <stp>YLD_YTM_ASK=3.1500182</stp>
        <stp>YAS_YLD_CONV=3</stp>
        <tr r="AB91" s="4"/>
      </tp>
      <tp>
        <v>3.8156594228261609</v>
        <stp/>
        <stp>##V3_BDPV12</stp>
        <stp>912828M4 Govt</stp>
        <stp>DUR_ADJ_ASK</stp>
        <stp>[BondPricer-0.2.xlsm]US_TREASURY_TYPE1!R48C28</stp>
        <stp>YLD_YTM_ASK=2.9698727</stp>
        <stp>YAS_YLD_CONV=3</stp>
        <tr r="AB48" s="4"/>
      </tp>
      <tp>
        <v>10.437078836081071</v>
        <stp/>
        <stp>##V3_BDPV12</stp>
        <stp>EH3854096 Govt</stp>
        <stp>YAS_RISK</stp>
        <stp>[BondPricer-0.2.xlsm]JAPAN_JGB_TYPE51!R97C25</stp>
        <stp>YLD_YTM_ASK=0.097</stp>
        <stp>YAS_YLD_CONV=3</stp>
        <tr r="Y97" s="7"/>
      </tp>
      <tp>
        <v>87.328999999999908</v>
        <stp/>
        <stp>##V3_BDPV12</stp>
        <stp>EJ6183499 Govt</stp>
        <stp>YAS_BOND_PX</stp>
        <stp>[BondPricer-0.2.xlsm]FRENCH_BTAN_TYPE89!R113C20</stp>
        <stp>YAS_BOND_YLD=1.080864160045</stp>
        <stp>YAS_YLD_CONV=1</stp>
        <tr r="T113" s="8"/>
      </tp>
      <tp>
        <v>11.968014776805802</v>
        <stp/>
        <stp>##V3_BDPV12</stp>
        <stp>EK2432749 Govt</stp>
        <stp>YAS_RISK</stp>
        <stp>[BondPricer-0.2.xlsm]FRENCH_BTAN_TYPE89!R106C24</stp>
        <stp>YLD_YTM_ASK=0.95873864379304</stp>
        <stp>YAS_YLD_CONV=1</stp>
        <tr r="X106" s="8"/>
      </tp>
      <tp>
        <v>15.633623477994973</v>
        <stp/>
        <stp>##V3_BDPV12</stp>
        <stp>ED8388602 Govt</stp>
        <stp>YAS_RISK</stp>
        <stp>[BondPricer-0.2.xlsm]FRENCH_BTAN_TYPE89!R172C24</stp>
        <stp>YLD_YTM_ASK=1.56396018604312</stp>
        <stp>YAS_YLD_CONV=1</stp>
        <tr r="X172" s="8"/>
      </tp>
      <tp>
        <v>12.591749476458602</v>
        <stp/>
        <stp>##V3_BDPV12</stp>
        <stp>EI0429437 Govt</stp>
        <stp>YAS_RISK</stp>
        <stp>[BondPricer-0.2.xlsm]FRENCH_BTAN_TYPE89!R130C24</stp>
        <stp>YLD_YTM_ASK=1.27388438039093</stp>
        <stp>YAS_YLD_CONV=1</stp>
        <tr r="X130" s="8"/>
      </tp>
      <tp>
        <v>16.801270675010116</v>
        <stp/>
        <stp>##V3_BDPV12</stp>
        <stp>JK8068229 Govt</stp>
        <stp>YAS_RISK</stp>
        <stp>[BondPricer-0.2.xlsm]FRENCH_BTAN_TYPE89!R208C24</stp>
        <stp>YLD_YTM_ASK=1.99247577599082</stp>
        <stp>YAS_YLD_CONV=1</stp>
        <tr r="X208" s="8"/>
      </tp>
      <tp>
        <v>15.670200059591366</v>
        <stp/>
        <stp>##V3_BDPV12</stp>
        <stp>EI0431995 Govt</stp>
        <stp>YAS_RISK</stp>
        <stp>[BondPricer-0.2.xlsm]FRENCH_BTAN_TYPE89!R176C24</stp>
        <stp>YLD_YTM_ASK=1.67001295803872</stp>
        <stp>YAS_YLD_CONV=1</stp>
        <tr r="X176" s="8"/>
      </tp>
      <tp>
        <v>19.588530287357742</v>
        <stp/>
        <stp>##V3_BDPV12</stp>
        <stp>ED8390566 Govt</stp>
        <stp>YAS_RISK</stp>
        <stp>[BondPricer-0.2.xlsm]FRENCH_BTAN_TYPE89!R216C24</stp>
        <stp>YLD_YTM_ASK=1.64303528862995</stp>
        <stp>YAS_YLD_CONV=1</stp>
        <tr r="X216" s="8"/>
      </tp>
      <tp>
        <v>10.480574119548118</v>
        <stp/>
        <stp>##V3_BDPV12</stp>
        <stp>EK0222910 Govt</stp>
        <stp>DUR_ADJ_ASK</stp>
        <stp>[BondPricer-0.2.xlsm]ITALIAN_BTPS_TYPE523!R83C29</stp>
        <stp>YLD_YTM_ASK=3.79637111140565</stp>
        <stp>YAS_YLD_CONV=1</stp>
        <tr r="AC83" s="5"/>
      </tp>
      <tp>
        <v>9.0959120746625075</v>
        <stp/>
        <stp>##V3_BDPV12</stp>
        <stp>EK2743541 Govt</stp>
        <stp>DUR_ADJ_ASK</stp>
        <stp>[BondPricer-0.2.xlsm]ITALIAN_BTPS_TYPE523!R90C29</stp>
        <stp>YLD_YTM_ASK=3.63764061881273</stp>
        <stp>YAS_YLD_CONV=1</stp>
        <tr r="AC90" s="5"/>
      </tp>
      <tp>
        <v>7.6473358592659118</v>
        <stp/>
        <stp>##V3_BDPV12</stp>
        <stp>EK0324096 Govt</stp>
        <stp>DUR_ADJ_ASK</stp>
        <stp>[BondPricer-0.2.xlsm]ITALIAN_BTPS_TYPE523!R50C29</stp>
        <stp>YLD_YTM_ASK=3.45567977343488</stp>
        <stp>YAS_YLD_CONV=1</stp>
        <tr r="AC50" s="5"/>
      </tp>
      <tp>
        <v>10.658373733137548</v>
        <stp/>
        <stp>##V3_BDPV12</stp>
        <stp>EC1047439 Govt</stp>
        <stp>DUR_ADJ_ASK</stp>
        <stp>[BondPricer-0.2.xlsm]ITALIAN_BTPS_TYPE523!R87C29</stp>
        <stp>YLD_YTM_ASK=3.58769389607065</stp>
        <stp>YAS_YLD_CONV=1</stp>
        <tr r="AC87" s="5"/>
      </tp>
      <tp>
        <v>8.0919413629700898</v>
        <stp/>
        <stp>##V3_BDPV12</stp>
        <stp>912810EY Govt</stp>
        <stp>YAS_RISK</stp>
        <stp>[BondPricer-0.2.xlsm]US_TREASURY_TYPE1!R84C24</stp>
        <stp>YLD_YTM_ASK=3.0842108</stp>
        <stp>YAS_YLD_CONV=3</stp>
        <tr r="X84" s="4"/>
      </tp>
      <tp>
        <v>117.056</v>
        <stp/>
        <stp>##V3_BDPV12</stp>
        <stp>EF7153796 Govt</stp>
        <stp>YAS_BOND_PX</stp>
        <stp>[BondPricer-0.2.xlsm]JAPAN_JGB_TYPE51!R86C20</stp>
        <stp>YAS_BOND_SPL_YLD=0.040999999999999</stp>
        <stp>YAS_YLD_CONV=2</stp>
        <tr r="T86" s="7"/>
      </tp>
      <tp>
        <v>5.1279603412521535</v>
        <stp/>
        <stp>##V3_BDPV12</stp>
        <stp>EC5587323 Govt</stp>
        <stp>DUR_ADJ_ASK</stp>
        <stp>[BondPricer-0.2.xlsm]ITALIAN_BTPS_TYPE523!R23C29</stp>
        <stp>YLD_YTM_ASK=3.17476925298399</stp>
        <stp>YAS_YLD_CONV=1</stp>
        <tr r="AC23" s="5"/>
      </tp>
      <tp>
        <v>9.0493914191386384</v>
        <stp/>
        <stp>##V3_BDPV12</stp>
        <stp>EK0222670 Govt</stp>
        <stp>DUR_ADJ_ASK</stp>
        <stp>[BondPricer-0.2.xlsm]ITALIAN_BTPS_TYPE523!R70C29</stp>
        <stp>YLD_YTM_ASK=3.57525118563313</stp>
        <stp>YAS_YLD_CONV=1</stp>
        <tr r="AC70" s="5"/>
      </tp>
      <tp>
        <v>9.0425391925059184</v>
        <stp/>
        <stp>##V3_BDPV12</stp>
        <stp>EK0661877 Govt</stp>
        <stp>DUR_ADJ_ASK</stp>
        <stp>[BondPricer-0.2.xlsm]ITALIAN_BTPS_TYPE523!R71C29</stp>
        <stp>YLD_YTM_ASK=3.65373808077492</stp>
        <stp>YAS_YLD_CONV=1</stp>
        <tr r="AC71" s="5"/>
      </tp>
      <tp>
        <v>4.0494932538522779</v>
        <stp/>
        <stp>##V3_BDPV12</stp>
        <stp>EJ6777035 Corp</stp>
        <stp>DUR_ADJ_ASK</stp>
        <stp>[BondPricer-0.2.xlsm]AUSTRALIAN_GOVT_TYPE23!R21C30</stp>
        <stp>YLD_YTM_ASK=2.14631460667196</stp>
        <stp>YAS_YLD_CONV=3</stp>
        <tr r="AD21" s="9"/>
      </tp>
      <tp>
        <v>5.7510815177610439</v>
        <stp/>
        <stp>##V3_BDPV12</stp>
        <stp>EJ8955977 Corp</stp>
        <stp>DUR_ADJ_ASK</stp>
        <stp>[BondPricer-0.2.xlsm]AUSTRALIAN_GOVT_TYPE23!R33C30</stp>
        <stp>YLD_YTM_ASK=2.83497810335585</stp>
        <stp>YAS_YLD_CONV=3</stp>
        <tr r="AD33" s="9"/>
      </tp>
      <tp>
        <v>11.022228263221649</v>
        <stp/>
        <stp>##V3_BDPV12</stp>
        <stp>EJ9437272 Corp</stp>
        <stp>DUR_ADJ_ASK</stp>
        <stp>[BondPricer-0.2.xlsm]AUSTRALIAN_GOVT_TYPE23!R54C30</stp>
        <stp>YLD_YTM_ASK=2.84496798207182</stp>
        <stp>YAS_YLD_CONV=3</stp>
        <tr r="AD54" s="9"/>
      </tp>
      <tp>
        <v>7.1579501892636825</v>
        <stp/>
        <stp>##V3_BDPV12</stp>
        <stp>EJ6777233 Corp</stp>
        <stp>DUR_ADJ_ASK</stp>
        <stp>[BondPricer-0.2.xlsm]AUSTRALIAN_GOVT_TYPE23!R41C30</stp>
        <stp>YLD_YTM_ASK=2.30368101716303</stp>
        <stp>YAS_YLD_CONV=3</stp>
        <tr r="AD41" s="9"/>
      </tp>
      <tp>
        <v>4.0471029092884194</v>
        <stp/>
        <stp>##V3_BDPV12</stp>
        <stp>EI6831487 Corp</stp>
        <stp>DUR_ADJ_ASK</stp>
        <stp>[BondPricer-0.2.xlsm]AUSTRALIAN_GOVT_TYPE23!R20C30</stp>
        <stp>YLD_YTM_ASK=2.22598233655487</stp>
        <stp>YAS_YLD_CONV=3</stp>
        <tr r="AD20" s="9"/>
      </tp>
      <tp>
        <v>8.4629741444329625</v>
        <stp/>
        <stp>##V3_BDPV12</stp>
        <stp>LW0753340 Corp</stp>
        <stp>DUR_ADJ_ASK</stp>
        <stp>[BondPricer-0.2.xlsm]AUSTRALIAN_GOVT_TYPE23!R47C30</stp>
        <stp>YLD_YTM_ASK=2.73341459524215</stp>
        <stp>YAS_YLD_CONV=3</stp>
        <tr r="AD47" s="9"/>
      </tp>
      <tp>
        <v>18.830920250169438</v>
        <stp/>
        <stp>##V3_BDPV12</stp>
        <stp>QZ5429456 Corp</stp>
        <stp>DUR_ADJ_ASK</stp>
        <stp>[BondPricer-0.2.xlsm]AUSTRALIAN_GOVT_TYPE23!R62C30</stp>
        <stp>YLD_YTM_ASK=3.15499244391522</stp>
        <stp>YAS_YLD_CONV=3</stp>
        <tr r="AD62" s="9"/>
      </tp>
      <tp>
        <v>25.269125678680581</v>
        <stp/>
        <stp>##V3_BDPV12</stp>
        <stp>UV3555355 Govt</stp>
        <stp>DUR_ADJ_ASK</stp>
        <stp>[BondPricer-0.2.xlsm]ITALIAN_BTPS_TYPE523!R163C29</stp>
        <stp>YLD_YTM_ASK=4.36831036991503</stp>
        <stp>YAS_YLD_CONV=1</stp>
        <tr r="AC163" s="5"/>
      </tp>
      <tp>
        <v>6.1502062989980288</v>
        <stp/>
        <stp>##V3_BDPV12</stp>
        <stp>912828P4 Govt</stp>
        <stp>YAS_RISK</stp>
        <stp>[BondPricer-0.2.xlsm]US_TREASURY_TYPE1!R80C24</stp>
        <stp>YLD_YTM_ASK=3.1128555</stp>
        <stp>YAS_YLD_CONV=3</stp>
        <tr r="X80" s="4"/>
      </tp>
      <tp>
        <v>8.8327946436319138</v>
        <stp/>
        <stp>##V3_BDPV12</stp>
        <stp>EK0224411 Govt</stp>
        <stp>YAS_RISK</stp>
        <stp>[BondPricer-0.2.xlsm]ITALIAN_BTPS_TYPE523!R138C26</stp>
        <stp>YLD_YTM_ASK=3.96132546221823</stp>
        <stp>YAS_YLD_CONV=33</stp>
        <tr r="Z138" s="5"/>
      </tp>
      <tp>
        <v>8.4357737825616397</v>
        <stp/>
        <stp>##V3_BDPV12</stp>
        <stp>EK0663618 Govt</stp>
        <stp>YAS_RISK</stp>
        <stp>[BondPricer-0.2.xlsm]ITALIAN_BTPS_TYPE523!R146C26</stp>
        <stp>YLD_YTM_ASK=4.22895681751123</stp>
        <stp>YAS_YLD_CONV=33</stp>
        <tr r="Z146" s="5"/>
      </tp>
      <tp>
        <v>7.4820052453095087</v>
        <stp/>
        <stp>##V3_BDPV12</stp>
        <stp>AN2029006 Govt</stp>
        <stp>YAS_RISK</stp>
        <stp>[BondPricer-0.2.xlsm]ITALIAN_BTPS_TYPE523!R207C26</stp>
        <stp>YLD_YTM_ASK=3.88897725819199</stp>
        <stp>YAS_YLD_CONV=33</stp>
        <tr r="Z207" s="5"/>
      </tp>
      <tp>
        <v>90.914000000000073</v>
        <stp/>
        <stp>##V3_BDPV12</stp>
        <stp>GG7396508 Govt</stp>
        <stp>YAS_BOND_PX</stp>
        <stp>[BondPricer-0.2.xlsm]FRENCH_BTAN_TYPE89!R98C20</stp>
        <stp>YAS_BOND_YLD=0.909541263275582</stp>
        <stp>YAS_YLD_CONV=1</stp>
        <tr r="T98" s="8"/>
      </tp>
      <tp>
        <v>8.0159773840211557</v>
        <stp/>
        <stp>##V3_BDPV12</stp>
        <stp>EK0225137 Govt</stp>
        <stp>YAS_RISK</stp>
        <stp>[BondPricer-0.2.xlsm]ITALIAN_BTPS_TYPE523!R156C26</stp>
        <stp>YLD_YTM_ASK=4.48849348985381</stp>
        <stp>YAS_YLD_CONV=33</stp>
        <tr r="Z156" s="5"/>
      </tp>
      <tp>
        <v>11.422676561506506</v>
        <stp/>
        <stp>##V3_BDPV12</stp>
        <stp>JK8403186 Govt</stp>
        <stp>YAS_RISK</stp>
        <stp>[BondPricer-0.2.xlsm]ITALIAN_BTPS_TYPE523!R129C26</stp>
        <stp>YLD_YTM_ASK=3.65153064006325</stp>
        <stp>YAS_YLD_CONV=33</stp>
        <tr r="Z129" s="5"/>
      </tp>
      <tp>
        <v>96.503999999999962</v>
        <stp/>
        <stp>##V3_BDPV12</stp>
        <stp>GG7396532 Govt</stp>
        <stp>YAS_BOND_PX</stp>
        <stp>[BondPricer-0.2.xlsm]FRENCH_BTAN_TYPE89!R73C20</stp>
        <stp>YAS_BOND_YLD=0.474301250474762</stp>
        <stp>YAS_YLD_CONV=1</stp>
        <tr r="T73" s="8"/>
      </tp>
      <tp>
        <v>7.605373289524664</v>
        <stp/>
        <stp>##V3_BDPV12</stp>
        <stp>AN2023132 Govt</stp>
        <stp>YAS_RISK</stp>
        <stp>[BondPricer-0.2.xlsm]ITALIAN_BTPS_TYPE523!R201C26</stp>
        <stp>YLD_YTM_ASK=3.96383485231313</stp>
        <stp>YAS_YLD_CONV=33</stp>
        <tr r="Z201" s="5"/>
      </tp>
      <tp>
        <v>96.891000000000091</v>
        <stp/>
        <stp>##V3_BDPV12</stp>
        <stp>GG7190273 Govt</stp>
        <stp>YAS_BOND_PX</stp>
        <stp>[BondPricer-0.2.xlsm]FRENCH_BTAN_TYPE89!R67C20</stp>
        <stp>YAS_BOND_YLD=0.450798303475097</stp>
        <stp>YAS_YLD_CONV=1</stp>
        <tr r="T67" s="8"/>
      </tp>
      <tp>
        <v>7.7368792918328211</v>
        <stp/>
        <stp>##V3_BDPV12</stp>
        <stp>EK0662479 Govt</stp>
        <stp>YAS_RISK</stp>
        <stp>[BondPricer-0.2.xlsm]ITALIAN_BTPS_TYPE523!R103C26</stp>
        <stp>YLD_YTM_ASK=3.88080612106565</stp>
        <stp>YAS_YLD_CONV=33</stp>
        <tr r="Z103" s="5"/>
      </tp>
      <tp>
        <v>92.097999999999914</v>
        <stp/>
        <stp>##V3_BDPV12</stp>
        <stp>EC3971420 Govt</stp>
        <stp>YAS_BOND_PX</stp>
        <stp>[BondPricer-0.2.xlsm]FRENCH_BTAN_TYPE89!R95C20</stp>
        <stp>YAS_BOND_YLD=0.824751815764313</stp>
        <stp>YAS_YLD_CONV=1</stp>
        <tr r="T95" s="8"/>
      </tp>
      <tp>
        <v>8.0466654759900891</v>
        <stp/>
        <stp>##V3_BDPV12</stp>
        <stp>AN1985315 Govt</stp>
        <stp>YAS_RISK</stp>
        <stp>[BondPricer-0.2.xlsm]ITALIAN_BTPS_TYPE523!R182C26</stp>
        <stp>YLD_YTM_ASK=4.17262124732438</stp>
        <stp>YAS_YLD_CONV=33</stp>
        <tr r="Z182" s="5"/>
      </tp>
      <tp>
        <v>7.6499868463935528</v>
        <stp/>
        <stp>##V3_BDPV12</stp>
        <stp>AN2021532 Govt</stp>
        <stp>YAS_RISK</stp>
        <stp>[BondPricer-0.2.xlsm]ITALIAN_BTPS_TYPE523!R199C26</stp>
        <stp>YLD_YTM_ASK=3.98780550687541</stp>
        <stp>YAS_YLD_CONV=33</stp>
        <tr r="Z199" s="5"/>
      </tp>
      <tp>
        <v>3.1776845571124701</v>
        <stp/>
        <stp>##V3_BDPV12</stp>
        <stp>CP5087947 Govt</stp>
        <stp>YLD_YTM_ASK</stp>
        <stp>[BondPricer-0.2.xlsm]ITALIAN_BTPS_TYPE523!R26C15</stp>
        <tr r="O26" s="5"/>
      </tp>
      <tp>
        <v>12.083392024144501</v>
        <stp/>
        <stp>##V3_BDPV12</stp>
        <stp>UV9949289 Govt</stp>
        <stp>YAS_RISK</stp>
        <stp>[BondPricer-0.2.xlsm]FRENCH_BTAN_TYPE89!R115C24</stp>
        <stp>YLD_YTM_ASK=1.05878642372303</stp>
        <stp>YAS_YLD_CONV=1</stp>
        <tr r="X115" s="8"/>
      </tp>
      <tp>
        <v>12.083392024144501</v>
        <stp/>
        <stp>##V3_BDPV12</stp>
        <stp>UV9949289 Govt</stp>
        <stp>YAS_RISK</stp>
        <stp>[BondPricer-0.2.xlsm]FRENCH_BTAN_TYPE89!R114C24</stp>
        <stp>YLD_YTM_ASK=1.05878642372303</stp>
        <stp>YAS_YLD_CONV=1</stp>
        <tr r="X114" s="8"/>
      </tp>
      <tp>
        <v>12.083392024144501</v>
        <stp/>
        <stp>##V3_BDPV12</stp>
        <stp>UV9949289 Govt</stp>
        <stp>YAS_RISK</stp>
        <stp>[BondPricer-0.2.xlsm]FRENCH_BTAN_TYPE89!R112C24</stp>
        <stp>YLD_YTM_ASK=1.05878642372303</stp>
        <stp>YAS_YLD_CONV=1</stp>
        <tr r="X112" s="8"/>
      </tp>
      <tp>
        <v>2.8475848613439547</v>
        <stp/>
        <stp>##V3_BDPV12</stp>
        <stp>EC5587281 Govt</stp>
        <stp>YLD_YTM_ASK</stp>
        <stp>[BondPricer-0.2.xlsm]ITALIAN_BTPS_TYPE523!R16C15</stp>
        <tr r="O16" s="5"/>
      </tp>
      <tp>
        <v>2.9186850388862151</v>
        <stp/>
        <stp>##V3_BDPV12</stp>
        <stp>EJ5688621 Govt</stp>
        <stp>YLD_YTM_ASK</stp>
        <stp>[BondPricer-0.2.xlsm]ITALIAN_BTPS_TYPE523!R12C15</stp>
        <tr r="O12" s="5"/>
      </tp>
      <tp>
        <v>2.6060104333140677</v>
        <stp/>
        <stp>##V3_BDPV12</stp>
        <stp>EK1791483 Corp</stp>
        <stp>YLD_YTM_ASK</stp>
        <stp>[BondPricer-0.2.xlsm]AUSTRALIAN_GOVT_TYPE23!R24C14</stp>
        <tr r="N24" s="9"/>
      </tp>
      <tp>
        <v>2.6919532397879564</v>
        <stp/>
        <stp>##V3_BDPV12</stp>
        <stp>EJ6777381 Corp</stp>
        <stp>YLD_YTM_ASK</stp>
        <stp>[BondPricer-0.2.xlsm]AUSTRALIAN_GOVT_TYPE23!R51C14</stp>
        <tr r="N51" s="9"/>
      </tp>
      <tp>
        <v>2.1338652357852337</v>
        <stp/>
        <stp>##V3_BDPV12</stp>
        <stp>EJ6935351 Corp</stp>
        <stp>YLD_YTM_ASK</stp>
        <stp>[BondPricer-0.2.xlsm]AUSTRALIAN_GOVT_TYPE23!R32C14</stp>
        <tr r="N32" s="9"/>
      </tp>
      <tp>
        <v>3.5593233402575253</v>
        <stp/>
        <stp>##V3_BDPV12</stp>
        <stp>EC5588461 Govt</stp>
        <stp>YLD_YTM_ASK</stp>
        <stp>[BondPricer-0.2.xlsm]ITALIAN_BTPS_TYPE523!R56C15</stp>
        <tr r="O56" s="5"/>
      </tp>
      <tp>
        <v>3.7850456326636195</v>
        <stp/>
        <stp>##V3_BDPV12</stp>
        <stp>EC2918448 Govt</stp>
        <stp>YLD_YTM_ASK</stp>
        <stp>[BondPricer-0.2.xlsm]ITALIAN_BTPS_TYPE523!R99C15</stp>
        <tr r="O99" s="5"/>
      </tp>
      <tp>
        <v>3.2089801341886659</v>
        <stp/>
        <stp>##V3_BDPV12</stp>
        <stp>EK7691190 Govt</stp>
        <stp>YLD_YTM_ASK</stp>
        <stp>[BondPricer-0.2.xlsm]ITALIAN_BTPS_TYPE523!R38C15</stp>
        <tr r="O38" s="5"/>
      </tp>
      <tp>
        <v>2.6589929331914068</v>
        <stp/>
        <stp>##V3_BDPV12</stp>
        <stp>JV3198662 Corp</stp>
        <stp>YLD_YTM_ASK</stp>
        <stp>[BondPricer-0.2.xlsm]AUSTRALIAN_GOVT_TYPE23!R44C14</stp>
        <tr r="N44" s="9"/>
      </tp>
      <tp>
        <v>2.4570378643285533</v>
        <stp/>
        <stp>##V3_BDPV12</stp>
        <stp>EJ6791309 Corp</stp>
        <stp>YLD_YTM_ASK</stp>
        <stp>[BondPricer-0.2.xlsm]AUSTRALIAN_GOVT_TYPE23!R31C14</stp>
        <tr r="N31" s="9"/>
      </tp>
      <tp>
        <v>3.3389102601347531</v>
        <stp/>
        <stp>##V3_BDPV12</stp>
        <stp>912828XD Govt</stp>
        <stp>YAS_RISK</stp>
        <stp>[BondPricer-0.2.xlsm]US_TREASURY_TYPE1!R42C24</stp>
        <stp>YLD_YTM_ASK=2.9530597</stp>
        <stp>YAS_YLD_CONV=3</stp>
        <tr r="X42" s="4"/>
      </tp>
      <tp>
        <v>3.9280459617529573</v>
        <stp/>
        <stp>##V3_BDPV12</stp>
        <stp>912828P7 Govt</stp>
        <stp>YAS_RISK</stp>
        <stp>[BondPricer-0.2.xlsm]US_TREASURY_TYPE1!R53C24</stp>
        <stp>YLD_YTM_ASK=2.9909979</stp>
        <stp>YAS_YLD_CONV=3</stp>
        <tr r="X53" s="4"/>
      </tp>
      <tp>
        <v>25.77512627323377</v>
        <stp/>
        <stp>##V3_BDPV12</stp>
        <stp>UV3555405 Govt</stp>
        <stp>DUR_ADJ_ASK</stp>
        <stp>[BondPricer-0.2.xlsm]ITALIAN_BTPS_TYPE523!R164C29</stp>
        <stp>YLD_YTM_ASK=4.25928102402502</stp>
        <stp>YAS_YLD_CONV=1</stp>
        <tr r="AC164" s="5"/>
      </tp>
      <tp>
        <v>2.3779746413389091</v>
        <stp/>
        <stp>##V3_BDPV12</stp>
        <stp>912828Q7 Govt</stp>
        <stp>YAS_RISK</stp>
        <stp>[BondPricer-0.2.xlsm]US_TREASURY_TYPE1!R14C24</stp>
        <stp>YLD_YTM_ASK=2.8938758</stp>
        <stp>YAS_YLD_CONV=3</stp>
        <tr r="X14" s="4"/>
      </tp>
      <tp>
        <v>94.542999999999921</v>
        <stp/>
        <stp>##V3_BDPV12</stp>
        <stp>EI0428553 Govt</stp>
        <stp>YAS_BOND_PX</stp>
        <stp>[BondPricer-0.2.xlsm]FRENCH_BTAN_TYPE89!R82C20</stp>
        <stp>YAS_BOND_YLD=0.660762903483758</stp>
        <stp>YAS_YLD_CONV=1</stp>
        <tr r="T82" s="8"/>
      </tp>
      <tp>
        <v>8.1974909276596009</v>
        <stp/>
        <stp>##V3_BDPV12</stp>
        <stp>AN1976678 Govt</stp>
        <stp>YAS_RISK</stp>
        <stp>[BondPricer-0.2.xlsm]ITALIAN_BTPS_TYPE523!R173C26</stp>
        <stp>YLD_YTM_ASK=4.26306428394907</stp>
        <stp>YAS_YLD_CONV=33</stp>
        <tr r="Z173" s="5"/>
      </tp>
      <tp>
        <v>96.898000000000067</v>
        <stp/>
        <stp>##V3_BDPV12</stp>
        <stp>GG7190265 Govt</stp>
        <stp>YAS_BOND_PX</stp>
        <stp>[BondPricer-0.2.xlsm]FRENCH_BTAN_TYPE89!R68C20</stp>
        <stp>YAS_BOND_YLD=0.449764841906952</stp>
        <stp>YAS_YLD_CONV=1</stp>
        <tr r="T68" s="8"/>
      </tp>
      <tp>
        <v>8.3089316653914835</v>
        <stp/>
        <stp>##V3_BDPV12</stp>
        <stp>EK0224593 Govt</stp>
        <stp>YAS_RISK</stp>
        <stp>[BondPricer-0.2.xlsm]ITALIAN_BTPS_TYPE523!R140C26</stp>
        <stp>YLD_YTM_ASK=4.28561107967513</stp>
        <stp>YAS_YLD_CONV=33</stp>
        <tr r="Z140" s="5"/>
      </tp>
      <tp>
        <v>9.1694258151065355</v>
        <stp/>
        <stp>##V3_BDPV12</stp>
        <stp>AN1976629 Govt</stp>
        <stp>YAS_RISK</stp>
        <stp>[BondPricer-0.2.xlsm]ITALIAN_BTPS_TYPE523!R171C26</stp>
        <stp>YLD_YTM_ASK=3.90738741178625</stp>
        <stp>YAS_YLD_CONV=33</stp>
        <tr r="Z171" s="5"/>
      </tp>
      <tp>
        <v>8.3822328621110387</v>
        <stp/>
        <stp>##V3_BDPV12</stp>
        <stp>EH2420998 Govt</stp>
        <stp>YAS_RISK</stp>
        <stp>[BondPricer-0.2.xlsm]ITALIAN_BTPS_TYPE523!R139C26</stp>
        <stp>YLD_YTM_ASK=4.23969304347012</stp>
        <stp>YAS_YLD_CONV=33</stp>
        <tr r="Z139" s="5"/>
      </tp>
      <tp>
        <v>15.46395764354358</v>
        <stp/>
        <stp>##V3_BDPV12</stp>
        <stp>EH9691161 Govt</stp>
        <stp>YAS_RISK</stp>
        <stp>[BondPricer-0.2.xlsm]ITALIAN_BTPS_TYPE523!R148C26</stp>
        <stp>YLD_YTM_ASK=4.06839144390871</stp>
        <stp>YAS_YLD_CONV=33</stp>
        <tr r="Z148" s="5"/>
      </tp>
      <tp>
        <v>99.888000000536195</v>
        <stp/>
        <stp>##V3_BDPV12</stp>
        <stp>JK2706329 Govt</stp>
        <stp>YAS_BOND_PX</stp>
        <stp>[BondPricer-0.2.xlsm]FRENCH_BTAN_TYPE89!R77C20</stp>
        <stp>YAS_BOND_YLD=0.515018386224323</stp>
        <stp>YAS_YLD_CONV=1</stp>
        <tr r="T77" s="8"/>
      </tp>
      <tp>
        <v>99.888000000536195</v>
        <stp/>
        <stp>##V3_BDPV12</stp>
        <stp>JK2706329 Govt</stp>
        <stp>YAS_BOND_PX</stp>
        <stp>[BondPricer-0.2.xlsm]FRENCH_BTAN_TYPE89!R76C20</stp>
        <stp>YAS_BOND_YLD=0.515018386224323</stp>
        <stp>YAS_YLD_CONV=1</stp>
        <tr r="T76" s="8"/>
      </tp>
      <tp>
        <v>7.9898949139032283</v>
        <stp/>
        <stp>##V3_BDPV12</stp>
        <stp>EK0224478 Govt</stp>
        <stp>YAS_RISK</stp>
        <stp>[BondPricer-0.2.xlsm]ITALIAN_BTPS_TYPE523!R147C26</stp>
        <stp>YLD_YTM_ASK=4.49608432285853</stp>
        <stp>YAS_YLD_CONV=33</stp>
        <tr r="Z147" s="5"/>
      </tp>
      <tp>
        <v>99.888000000536195</v>
        <stp/>
        <stp>##V3_BDPV12</stp>
        <stp>JK2706329 Govt</stp>
        <stp>YAS_BOND_PX</stp>
        <stp>[BondPricer-0.2.xlsm]FRENCH_BTAN_TYPE89!R74C20</stp>
        <stp>YAS_BOND_YLD=0.515018386224323</stp>
        <stp>YAS_YLD_CONV=1</stp>
        <tr r="T74" s="8"/>
      </tp>
      <tp>
        <v>157.97400000021003</v>
        <stp/>
        <stp>##V3_BDPV12</stp>
        <stp>EC3022802 Govt</stp>
        <stp>YAS_BOND_PX</stp>
        <stp>[BondPricer-0.2.xlsm]GERMAN_BUND_TYPE60!R29C20</stp>
        <stp>YAS_BOND_YLD=0.572689312444293</stp>
        <stp>YAS_YLD_CONV=1</stp>
        <tr r="T29" s="6"/>
      </tp>
      <tp>
        <v>3.4579147140774591</v>
        <stp/>
        <stp>##V3_BDPV12</stp>
        <stp>CP5087996 Govt</stp>
        <stp>YLD_YTM_ASK</stp>
        <stp>[BondPricer-0.2.xlsm]ITALIAN_BTPS_TYPE523!R54C15</stp>
        <tr r="O54" s="5"/>
      </tp>
      <tp>
        <v>3.5181847696539759</v>
        <stp/>
        <stp>##V3_BDPV12</stp>
        <stp>CP5088036 Govt</stp>
        <stp>YLD_YTM_ASK</stp>
        <stp>[BondPricer-0.2.xlsm]ITALIAN_BTPS_TYPE523!R67C15</stp>
        <tr r="O67" s="5"/>
      </tp>
      <tp>
        <v>3.3386525928953636</v>
        <stp/>
        <stp>##V3_BDPV12</stp>
        <stp>EC5587380 Govt</stp>
        <stp>YLD_YTM_ASK</stp>
        <stp>[BondPricer-0.2.xlsm]ITALIAN_BTPS_TYPE523!R33C15</stp>
        <tr r="O33" s="5"/>
      </tp>
      <tp>
        <v>3.3727589413785841</v>
        <stp/>
        <stp>##V3_BDPV12</stp>
        <stp>EC5587760 Govt</stp>
        <stp>YLD_YTM_ASK</stp>
        <stp>[BondPricer-0.2.xlsm]ITALIAN_BTPS_TYPE523!R39C15</stp>
        <tr r="O39" s="5"/>
      </tp>
      <tp>
        <v>2.7724270913211058</v>
        <stp/>
        <stp>##V3_BDPV12</stp>
        <stp>EC4285754 Govt</stp>
        <stp>YAS_RISK</stp>
        <stp>[BondPricer-0.2.xlsm]JAPAN_JGB_TYPE51!R15C25</stp>
        <stp>YLD_YTM_ASK=-0.12</stp>
        <stp>YAS_YLD_CONV=3</stp>
        <tr r="Y15" s="7"/>
      </tp>
      <tp>
        <v>2.3560445063005622</v>
        <stp/>
        <stp>##V3_BDPV12</stp>
        <stp>EJ2445694 Corp</stp>
        <stp>YLD_YTM_ASK</stp>
        <stp>[BondPricer-0.2.xlsm]AUSTRALIAN_GOVT_TYPE23!R25C14</stp>
        <tr r="N25" s="9"/>
      </tp>
      <tp>
        <v>3.1442134611759487</v>
        <stp/>
        <stp>##V3_BDPV12</stp>
        <stp>EJ7704418 Govt</stp>
        <stp>YLD_YTM_ASK</stp>
        <stp>[BondPricer-0.2.xlsm]ITALIAN_BTPS_TYPE523!R24C15</stp>
        <tr r="O24" s="5"/>
      </tp>
      <tp>
        <v>3.6257745179011591</v>
        <stp/>
        <stp>##V3_BDPV12</stp>
        <stp>EC5588560 Govt</stp>
        <stp>YLD_YTM_ASK</stp>
        <stp>[BondPricer-0.2.xlsm]ITALIAN_BTPS_TYPE523!R73C15</stp>
        <tr r="O73" s="5"/>
      </tp>
      <tp>
        <v>2.3036810171630346</v>
        <stp/>
        <stp>##V3_BDPV12</stp>
        <stp>EJ6777233 Corp</stp>
        <stp>YLD_YTM_ASK</stp>
        <stp>[BondPricer-0.2.xlsm]AUSTRALIAN_GOVT_TYPE23!R41C14</stp>
        <tr r="N41" s="9"/>
      </tp>
      <tp>
        <v>2.7069751179372572</v>
        <stp/>
        <stp>##V3_BDPV12</stp>
        <stp>AQ7629332 Corp</stp>
        <stp>YLD_YTM_ASK</stp>
        <stp>[BondPricer-0.2.xlsm]AUSTRALIAN_GOVT_TYPE23!R52C14</stp>
        <tr r="N52" s="9"/>
      </tp>
      <tp>
        <v>97.307000000000002</v>
        <stp/>
        <stp>##V3_BDPV12</stp>
        <stp>AL0690951 Corp</stp>
        <stp>YAS_BOND_PX</stp>
        <stp>[BondPricer-0.2.xlsm]AUSTRALIAN_GOVT_TYPE23!R29C22</stp>
        <stp>YAS_BOND_YLD=2.7529533001374</stp>
        <stp>YAS_YLD_CONV=3</stp>
        <tr r="V29" s="9"/>
      </tp>
      <tp>
        <v>98.994000000000028</v>
        <stp/>
        <stp>##V3_BDPV12</stp>
        <stp>EJ6178093 Govt</stp>
        <stp>YAS_BOND_PX</stp>
        <stp>[BondPricer-0.2.xlsm]FRENCH_BTAN_TYPE89!R52C20</stp>
        <stp>YAS_BOND_YLD=0.180627211988527</stp>
        <stp>YAS_YLD_CONV=1</stp>
        <tr r="T52" s="8"/>
      </tp>
      <tp>
        <v>92.87</v>
        <stp/>
        <stp>##V3_BDPV12</stp>
        <stp>EI0428637 Govt</stp>
        <stp>YAS_BOND_PX</stp>
        <stp>[BondPricer-0.2.xlsm]FRENCH_BTAN_TYPE89!R91C20</stp>
        <stp>YAS_BOND_YLD=0.779972097122417</stp>
        <stp>YAS_YLD_CONV=1</stp>
        <tr r="T91" s="8"/>
      </tp>
      <tp>
        <v>7.9568559196488309</v>
        <stp/>
        <stp>##V3_BDPV12</stp>
        <stp>EK0224957 Govt</stp>
        <stp>YAS_RISK</stp>
        <stp>[BondPricer-0.2.xlsm]ITALIAN_BTPS_TYPE523!R154C26</stp>
        <stp>YLD_YTM_ASK=4.52236029231174</stp>
        <stp>YAS_YLD_CONV=33</stp>
        <tr r="Z154" s="5"/>
      </tp>
      <tp>
        <v>8.6616246678527631</v>
        <stp/>
        <stp>##V3_BDPV12</stp>
        <stp>EH2420758 Govt</stp>
        <stp>YAS_RISK</stp>
        <stp>[BondPricer-0.2.xlsm]ITALIAN_BTPS_TYPE523!R134C26</stp>
        <stp>YLD_YTM_ASK=3.99123696237973</stp>
        <stp>YAS_YLD_CONV=33</stp>
        <tr r="Z134" s="5"/>
      </tp>
      <tp>
        <v>147.63600000000744</v>
        <stp/>
        <stp>##V3_BDPV12</stp>
        <stp>GG7293994 Govt</stp>
        <stp>YAS_BOND_PX</stp>
        <stp>[BondPricer-0.2.xlsm]GERMAN_BUND_TYPE60!R26C20</stp>
        <stp>YAS_BOND_YLD=0.360555235659435</stp>
        <stp>YAS_YLD_CONV=1</stp>
        <tr r="T26" s="6"/>
      </tp>
      <tp>
        <v>175.31999999999974</v>
        <stp/>
        <stp>##V3_BDPV12</stp>
        <stp>EH4697106 Govt</stp>
        <stp>YAS_BOND_PX</stp>
        <stp>[BondPricer-0.2.xlsm]GERMAN_BUND_TYPE60!R33C20</stp>
        <stp>YAS_BOND_YLD=0.910764986811347</stp>
        <stp>YAS_YLD_CONV=1</stp>
        <tr r="T33" s="6"/>
      </tp>
      <tp>
        <v>114.67187486717965</v>
        <stp/>
        <stp>##V3_BDPV12</stp>
        <stp>912810EQ Govt</stp>
        <stp>YAS_BOND_PX</stp>
        <stp>[BondPricer-0.2.xlsm]US_TREASURY_TYPE1!R60C20</stp>
        <stp>YAS_BOND_YLD=2.966876</stp>
        <stp>YAS_YLD_CONV=2</stp>
        <tr r="T60" s="4"/>
      </tp>
      <tp>
        <v>3.1747692529839888</v>
        <stp/>
        <stp>##V3_BDPV12</stp>
        <stp>EC5587323 Govt</stp>
        <stp>YLD_YTM_ASK</stp>
        <stp>[BondPricer-0.2.xlsm]ITALIAN_BTPS_TYPE523!R23C15</stp>
        <tr r="O23" s="5"/>
      </tp>
      <tp>
        <v>3.3037512617222209</v>
        <stp/>
        <stp>##V3_BDPV12</stp>
        <stp>EC0130038 Govt</stp>
        <stp>YLD_YTM_ASK</stp>
        <stp>[BondPricer-0.2.xlsm]ITALIAN_BTPS_TYPE523!R53C15</stp>
        <tr r="O53" s="5"/>
      </tp>
      <tp>
        <v>2.0930488810003633</v>
        <stp/>
        <stp>##V3_BDPV12</stp>
        <stp>AM1528661 Corp</stp>
        <stp>YLD_YTM_ASK</stp>
        <stp>[BondPricer-0.2.xlsm]AUSTRALIAN_GOVT_TYPE23!R11C14</stp>
        <tr r="N11" s="9"/>
      </tp>
      <tp>
        <v>2.0838634680001573</v>
        <stp/>
        <stp>##V3_BDPV12</stp>
        <stp>AP4429340 Corp</stp>
        <stp>YLD_YTM_ASK</stp>
        <stp>[BondPricer-0.2.xlsm]AUSTRALIAN_GOVT_TYPE23!R19C14</stp>
        <tr r="N19" s="9"/>
      </tp>
      <tp>
        <v>2.5409468410030089</v>
        <stp/>
        <stp>##V3_BDPV12</stp>
        <stp>EK1150607 Corp</stp>
        <stp>YLD_YTM_ASK</stp>
        <stp>[BondPricer-0.2.xlsm]AUSTRALIAN_GOVT_TYPE23!R34C14</stp>
        <tr r="N34" s="9"/>
      </tp>
      <tp>
        <v>3.8080701055144717</v>
        <stp/>
        <stp>##V3_BDPV12</stp>
        <stp>EC5588883 Govt</stp>
        <stp>YLD_YTM_ASK</stp>
        <stp>[BondPricer-0.2.xlsm]ITALIAN_BTPS_TYPE523!R93C15</stp>
        <tr r="O93" s="5"/>
      </tp>
      <tp>
        <v>3.6246898334426181</v>
        <stp/>
        <stp>##V3_BDPV12</stp>
        <stp>EC5588503 Govt</stp>
        <stp>YLD_YTM_ASK</stp>
        <stp>[BondPricer-0.2.xlsm]ITALIAN_BTPS_TYPE523!R62C15</stp>
        <tr r="O62" s="5"/>
      </tp>
      <tp>
        <v>3.2033982601952449</v>
        <stp/>
        <stp>##V3_BDPV12</stp>
        <stp>EK0221839 Govt</stp>
        <stp>YLD_YTM_ASK</stp>
        <stp>[BondPricer-0.2.xlsm]ITALIAN_BTPS_TYPE523!R30C15</stp>
        <tr r="O30" s="5"/>
      </tp>
      <tp>
        <v>1.9389375344724247</v>
        <stp/>
        <stp>##V3_BDPV12</stp>
        <stp>AM1708602 Corp</stp>
        <stp>YLD_YTM_ASK</stp>
        <stp>[BondPricer-0.2.xlsm]AUSTRALIAN_GOVT_TYPE23!R12C14</stp>
        <tr r="N12" s="9"/>
      </tp>
      <tp>
        <v>3.531856437225267</v>
        <stp/>
        <stp>##V3_BDPV12</stp>
        <stp>EK0222019 Govt</stp>
        <stp>YLD_YTM_ASK</stp>
        <stp>[BondPricer-0.2.xlsm]ITALIAN_BTPS_TYPE523!R45C15</stp>
        <tr r="O45" s="5"/>
      </tp>
      <tp>
        <v>2.5860960794253587</v>
        <stp/>
        <stp>##V3_BDPV12</stp>
        <stp>EF2711531 Corp</stp>
        <stp>YLD_YTM_ASK</stp>
        <stp>[BondPricer-0.2.xlsm]AUSTRALIAN_GOVT_TYPE23!R22C14</stp>
        <tr r="N22" s="9"/>
      </tp>
      <tp>
        <v>2.3918677633427774</v>
        <stp/>
        <stp>##V3_BDPV12</stp>
        <stp>EI5952292 Govt</stp>
        <stp>YAS_MOD_DUR</stp>
        <stp>[BondPricer-0.2.xlsm]JAPAN_JGB_TYPE51!R9C28</stp>
        <stp>YLD_YTM_ASK=-0.12</stp>
        <stp>YAS_YLD_CONV=3</stp>
        <tr r="AB9" s="7"/>
      </tp>
      <tp>
        <v>26.87098361209604</v>
        <stp/>
        <stp>##V3_BDPV12</stp>
        <stp>UV3555454 Govt</stp>
        <stp>DUR_ADJ_ASK</stp>
        <stp>[BondPricer-0.2.xlsm]ITALIAN_BTPS_TYPE523!R167C29</stp>
        <stp>YLD_YTM_ASK=3.74942236664719</stp>
        <stp>YAS_YLD_CONV=1</stp>
        <tr r="AC167" s="5"/>
      </tp>
      <tp>
        <v>7.9468596156882398</v>
        <stp/>
        <stp>##V3_BDPV12</stp>
        <stp>EC5589048 Govt</stp>
        <stp>YAS_RISK</stp>
        <stp>[BondPricer-0.2.xlsm]ITALIAN_BTPS_TYPE523!R109C26</stp>
        <stp>YLD_YTM_ASK=3.91244888213074</stp>
        <stp>YAS_YLD_CONV=33</stp>
        <tr r="Z109" s="5"/>
      </tp>
      <tp>
        <v>8.0924881689254491</v>
        <stp/>
        <stp>##V3_BDPV12</stp>
        <stp>AN1982643 Govt</stp>
        <stp>YAS_RISK</stp>
        <stp>[BondPricer-0.2.xlsm]ITALIAN_BTPS_TYPE523!R179C26</stp>
        <stp>YLD_YTM_ASK=4.20800814609426</stp>
        <stp>YAS_YLD_CONV=33</stp>
        <tr r="Z179" s="5"/>
      </tp>
      <tp>
        <v>15.670938396274892</v>
        <stp/>
        <stp>##V3_BDPV12</stp>
        <stp>EK6994165 Govt</stp>
        <stp>YAS_RISK</stp>
        <stp>[BondPricer-0.2.xlsm]ITALIAN_BTPS_TYPE523!R166C26</stp>
        <stp>YLD_YTM_ASK=3.84766914295087</stp>
        <stp>YAS_YLD_CONV=33</stp>
        <tr r="Z166" s="5"/>
      </tp>
      <tp>
        <v>8.0633429238066157</v>
        <stp/>
        <stp>##V3_BDPV12</stp>
        <stp>AN1984300 Govt</stp>
        <stp>YAS_RISK</stp>
        <stp>[BondPricer-0.2.xlsm]ITALIAN_BTPS_TYPE523!R181C26</stp>
        <stp>YLD_YTM_ASK=4.18399795001831</stp>
        <stp>YAS_YLD_CONV=33</stp>
        <tr r="Z181" s="5"/>
      </tp>
      <tp>
        <v>7.988517272532647</v>
        <stp/>
        <stp>##V3_BDPV12</stp>
        <stp>EK0224775 Govt</stp>
        <stp>YAS_RISK</stp>
        <stp>[BondPricer-0.2.xlsm]ITALIAN_BTPS_TYPE523!R149C26</stp>
        <stp>YLD_YTM_ASK=4.50209971387934</stp>
        <stp>YAS_YLD_CONV=33</stp>
        <tr r="Z149" s="5"/>
      </tp>
      <tp>
        <v>8.0778096459132698</v>
        <stp/>
        <stp>##V3_BDPV12</stp>
        <stp>AN1983476 Govt</stp>
        <stp>YAS_RISK</stp>
        <stp>[BondPricer-0.2.xlsm]ITALIAN_BTPS_TYPE523!R180C26</stp>
        <stp>YLD_YTM_ASK=4.19619107326565</stp>
        <stp>YAS_YLD_CONV=33</stp>
        <tr r="Z180" s="5"/>
      </tp>
      <tp>
        <v>100.91600000000001</v>
        <stp/>
        <stp>##V3_BDPV12</stp>
        <stp>EK7289029 Govt</stp>
        <stp>YAS_BOND_PX</stp>
        <stp>[BondPricer-0.2.xlsm]FRENCH_BTAN_TYPE89!R63C20</stp>
        <stp>YAS_BOND_YLD=0.359335397482991</stp>
        <stp>YAS_YLD_CONV=1</stp>
        <tr r="T63" s="8"/>
      </tp>
      <tp>
        <v>8.7364008907897528</v>
        <stp/>
        <stp>##V3_BDPV12</stp>
        <stp>EJ8034211 Govt</stp>
        <stp>YAS_RISK</stp>
        <stp>[BondPricer-0.2.xlsm]ITALIAN_BTPS_TYPE523!R155C26</stp>
        <stp>YLD_YTM_ASK=4.11456030049939</stp>
        <stp>YAS_YLD_CONV=33</stp>
        <tr r="Z155" s="5"/>
      </tp>
      <tp>
        <v>100.91600000000001</v>
        <stp/>
        <stp>##V3_BDPV12</stp>
        <stp>EK7289029 Govt</stp>
        <stp>YAS_BOND_PX</stp>
        <stp>[BondPricer-0.2.xlsm]FRENCH_BTAN_TYPE89!R61C20</stp>
        <stp>YAS_BOND_YLD=0.359335397482991</stp>
        <stp>YAS_YLD_CONV=1</stp>
        <tr r="T61" s="8"/>
      </tp>
      <tp>
        <v>8.2034247796535453</v>
        <stp/>
        <stp>##V3_BDPV12</stp>
        <stp>AN1976645 Govt</stp>
        <stp>YAS_RISK</stp>
        <stp>[BondPricer-0.2.xlsm]ITALIAN_BTPS_TYPE523!R172C26</stp>
        <stp>YLD_YTM_ASK=4.27505665761545</stp>
        <stp>YAS_YLD_CONV=33</stp>
        <tr r="Z172" s="5"/>
      </tp>
      <tp>
        <v>100.91600000000001</v>
        <stp/>
        <stp>##V3_BDPV12</stp>
        <stp>EK7289029 Govt</stp>
        <stp>YAS_BOND_PX</stp>
        <stp>[BondPricer-0.2.xlsm]FRENCH_BTAN_TYPE89!R64C20</stp>
        <stp>YAS_BOND_YLD=0.359335397482991</stp>
        <stp>YAS_YLD_CONV=1</stp>
        <tr r="T64" s="8"/>
      </tp>
      <tp>
        <v>98.500000000000071</v>
        <stp/>
        <stp>##V3_BDPV12</stp>
        <stp>EI0428314 Govt</stp>
        <stp>YAS_BOND_PX</stp>
        <stp>[BondPricer-0.2.xlsm]FRENCH_BTAN_TYPE89!R55C20</stp>
        <stp>YAS_BOND_YLD=0.251292363288402</stp>
        <stp>YAS_YLD_CONV=1</stp>
        <tr r="T55" s="8"/>
      </tp>
      <tp>
        <v>123.54687483388481</v>
        <stp/>
        <stp>##V3_BDPV12</stp>
        <stp>912810FB Govt</stp>
        <stp>YAS_BOND_PX</stp>
        <stp>[BondPricer-0.2.xlsm]US_TREASURY_TYPE1!R89C20</stp>
        <stp>YAS_BOND_YLD=3.126219</stp>
        <stp>YAS_YLD_CONV=2</stp>
        <tr r="T89" s="4"/>
      </tp>
      <tp>
        <v>153.02800000000215</v>
        <stp/>
        <stp>##V3_BDPV12</stp>
        <stp>ED7838094 Govt</stp>
        <stp>YAS_BOND_PX</stp>
        <stp>[BondPricer-0.2.xlsm]GERMAN_BUND_TYPE60!R31C20</stp>
        <stp>YAS_BOND_YLD=0.846381334487573</stp>
        <stp>YAS_YLD_CONV=1</stp>
        <tr r="T31" s="6"/>
      </tp>
      <tp>
        <v>3.2432730584799563</v>
        <stp/>
        <stp>##V3_BDPV12</stp>
        <stp>CP5087954 Govt</stp>
        <stp>YLD_YTM_ASK</stp>
        <stp>[BondPricer-0.2.xlsm]ITALIAN_BTPS_TYPE523!R31C15</stp>
        <tr r="O31" s="5"/>
      </tp>
      <tp>
        <v>2.8416698883366731</v>
        <stp/>
        <stp>##V3_BDPV12</stp>
        <stp>LW2048137 Govt</stp>
        <stp>YLD_YTM_ASK</stp>
        <stp>[BondPricer-0.2.xlsm]ITALIAN_BTPS_TYPE523!R11C15</stp>
        <tr r="O11" s="5"/>
      </tp>
      <tp>
        <v>2.0388682066582313</v>
        <stp/>
        <stp>##V3_BDPV12</stp>
        <stp>EG8211609 Corp</stp>
        <stp>YLD_YTM_ASK</stp>
        <stp>[BondPricer-0.2.xlsm]AUSTRALIAN_GOVT_TYPE23!R7C14</stp>
        <tr r="N7" s="9"/>
      </tp>
      <tp>
        <v>3.119147115544648</v>
        <stp/>
        <stp>##V3_BDPV12</stp>
        <stp>EI8792380 Govt</stp>
        <stp>DUR_ADJ_ASK</stp>
        <stp>[BondPricer-0.2.xlsm]GERMAN_BUND_TYPE60!R10C27</stp>
        <stp>YLD_YTM_ASK=-0.410645875972094</stp>
        <stp>YAS_YLD_CONV=1</stp>
        <tr r="AA10" s="6"/>
      </tp>
      <tp>
        <v>2.6999647223581831</v>
        <stp/>
        <stp>##V3_BDPV12</stp>
        <stp>EJ3938531 Corp</stp>
        <stp>YLD_YTM_ASK</stp>
        <stp>[BondPricer-0.2.xlsm]AUSTRALIAN_GOVT_TYPE23!R50C14</stp>
        <tr r="N50" s="9"/>
      </tp>
      <tp>
        <v>3.0989767421464087</v>
        <stp/>
        <stp>##V3_BDPV12</stp>
        <stp>AM7963128 Govt</stp>
        <stp>YLD_YTM_ASK</stp>
        <stp>[BondPricer-0.2.xlsm]ITALIAN_BTPS_TYPE523!R27C15</stp>
        <tr r="O27" s="5"/>
      </tp>
      <tp>
        <v>2.6675511030878725</v>
        <stp/>
        <stp>##V3_BDPV12</stp>
        <stp>JV7193115 Corp</stp>
        <stp>YLD_YTM_ASK</stp>
        <stp>[BondPricer-0.2.xlsm]AUSTRALIAN_GOVT_TYPE23!R45C14</stp>
        <tr r="N45" s="9"/>
      </tp>
      <tp>
        <v>3.5453756644894918</v>
        <stp/>
        <stp>##V3_BDPV12</stp>
        <stp>EK0222738 Govt</stp>
        <stp>YLD_YTM_ASK</stp>
        <stp>[BondPricer-0.2.xlsm]ITALIAN_BTPS_TYPE523!R75C15</stp>
        <tr r="O75" s="5"/>
      </tp>
      <tp>
        <v>2.7943996976406149</v>
        <stp/>
        <stp>##V3_BDPV12</stp>
        <stp>JK3942121 Govt</stp>
        <stp>YLD_YTM_ASK</stp>
        <stp>[BondPricer-0.2.xlsm]ITALIAN_BTPS_TYPE523!R10C15</stp>
        <tr r="O10" s="5"/>
      </tp>
      <tp>
        <v>2.1463146066719583</v>
        <stp/>
        <stp>##V3_BDPV12</stp>
        <stp>EJ6777035 Corp</stp>
        <stp>YLD_YTM_ASK</stp>
        <stp>[BondPricer-0.2.xlsm]AUSTRALIAN_GOVT_TYPE23!R21C14</stp>
        <tr r="N21" s="9"/>
      </tp>
      <tp>
        <v>2.6849716218687751</v>
        <stp/>
        <stp>##V3_BDPV12</stp>
        <stp>LW0207677 Corp</stp>
        <stp>YLD_YTM_ASK</stp>
        <stp>[BondPricer-0.2.xlsm]AUSTRALIAN_GOVT_TYPE23!R46C14</stp>
        <tr r="N46" s="9"/>
      </tp>
      <tp>
        <v>4.6016218030494827</v>
        <stp/>
        <stp>##V3_BDPV12</stp>
        <stp>912828U5 Govt</stp>
        <stp>YAS_RISK</stp>
        <stp>[BondPricer-0.2.xlsm]US_TREASURY_TYPE1!R66C24</stp>
        <stp>YLD_YTM_ASK=3.0129219</stp>
        <stp>YAS_YLD_CONV=3</stp>
        <tr r="X66" s="4"/>
      </tp>
      <tp>
        <v>7.9217938172821079</v>
        <stp/>
        <stp>##V3_BDPV12</stp>
        <stp>AN2015625 Govt</stp>
        <stp>YAS_RISK</stp>
        <stp>[BondPricer-0.2.xlsm]ITALIAN_BTPS_TYPE523!R190C26</stp>
        <stp>YLD_YTM_ASK=4.06982103356308</stp>
        <stp>YAS_YLD_CONV=33</stp>
        <tr r="Z190" s="5"/>
      </tp>
      <tp>
        <v>8.1049940829020173</v>
        <stp/>
        <stp>##V3_BDPV12</stp>
        <stp>AN1981595 Govt</stp>
        <stp>YAS_RISK</stp>
        <stp>[BondPricer-0.2.xlsm]ITALIAN_BTPS_TYPE523!R178C26</stp>
        <stp>YLD_YTM_ASK=4.22022108110065</stp>
        <stp>YAS_YLD_CONV=33</stp>
        <tr r="Z178" s="5"/>
      </tp>
      <tp>
        <v>8.8586983643423878</v>
        <stp/>
        <stp>##V3_BDPV12</stp>
        <stp>EJ4854232 Govt</stp>
        <stp>YAS_RISK</stp>
        <stp>[BondPricer-0.2.xlsm]ITALIAN_BTPS_TYPE523!R132C26</stp>
        <stp>YLD_YTM_ASK=3.83002902304301</stp>
        <stp>YAS_YLD_CONV=33</stp>
        <tr r="Z132" s="5"/>
      </tp>
      <tp>
        <v>8.1918923187325632</v>
        <stp/>
        <stp>##V3_BDPV12</stp>
        <stp>AN1976728 Govt</stp>
        <stp>YAS_RISK</stp>
        <stp>[BondPricer-0.2.xlsm]ITALIAN_BTPS_TYPE523!R174C26</stp>
        <stp>YLD_YTM_ASK=4.25043082962779</stp>
        <stp>YAS_YLD_CONV=33</stp>
        <tr r="Z174" s="5"/>
      </tp>
      <tp>
        <v>96.62399999999991</v>
        <stp/>
        <stp>##V3_BDPV12</stp>
        <stp>EI0428512 Govt</stp>
        <stp>YAS_BOND_PX</stp>
        <stp>[BondPricer-0.2.xlsm]FRENCH_BTAN_TYPE89!R72C20</stp>
        <stp>YAS_BOND_YLD=0.457700195651989</stp>
        <stp>YAS_YLD_CONV=1</stp>
        <tr r="T72" s="8"/>
      </tp>
      <tp>
        <v>8.6688069738613649</v>
        <stp/>
        <stp>##V3_BDPV12</stp>
        <stp>UV3555439 Govt</stp>
        <stp>YAS_RISK</stp>
        <stp>[BondPricer-0.2.xlsm]ITALIAN_BTPS_TYPE523!R165C26</stp>
        <stp>YLD_YTM_ASK=4.13577723564862</stp>
        <stp>YAS_YLD_CONV=33</stp>
        <tr r="Z165" s="5"/>
      </tp>
      <tp>
        <v>141.18699999999939</v>
        <stp/>
        <stp>##V3_BDPV12</stp>
        <stp>EC0518513 Govt</stp>
        <stp>YAS_BOND_PX</stp>
        <stp>[BondPricer-0.2.xlsm]GERMAN_BUND_TYPE60!R27C20</stp>
        <stp>YAS_BOND_YLD=0.414403500400325</stp>
        <stp>YAS_YLD_CONV=1</stp>
        <tr r="T27" s="6"/>
      </tp>
      <tp>
        <v>162.93000000033788</v>
        <stp/>
        <stp>##V3_BDPV12</stp>
        <stp>EG1209048 Govt</stp>
        <stp>YAS_BOND_PX</stp>
        <stp>[BondPricer-0.2.xlsm]GERMAN_BUND_TYPE60!R32C20</stp>
        <stp>YAS_BOND_YLD=0.904383246548721</stp>
        <stp>YAS_YLD_CONV=1</stp>
        <tr r="T32" s="6"/>
      </tp>
      <tp>
        <v>159.06800000019311</v>
        <stp/>
        <stp>##V3_BDPV12</stp>
        <stp>EC8300625 Govt</stp>
        <stp>YAS_BOND_PX</stp>
        <stp>[BondPricer-0.2.xlsm]GERMAN_BUND_TYPE60!R30C20</stp>
        <stp>YAS_BOND_YLD=0.750373189429678</stp>
        <stp>YAS_YLD_CONV=1</stp>
        <tr r="T30" s="6"/>
      </tp>
      <tp>
        <v>3.6270986614695708</v>
        <stp/>
        <stp>##V3_BDPV12</stp>
        <stp>EJ1202419 Govt</stp>
        <stp>DUR_ADJ_ASK</stp>
        <stp>[BondPricer-0.2.xlsm]GERMAN_BUND_TYPE60!R11C27</stp>
        <stp>YLD_YTM_ASK=-0.335434324242254</stp>
        <stp>YAS_YLD_CONV=1</stp>
        <tr r="AA11" s="6"/>
      </tp>
      <tp>
        <v>3.5876938960706539</v>
        <stp/>
        <stp>##V3_BDPV12</stp>
        <stp>EC1047439 Govt</stp>
        <stp>YLD_YTM_ASK</stp>
        <stp>[BondPricer-0.2.xlsm]ITALIAN_BTPS_TYPE523!R87C15</stp>
        <tr r="O87" s="5"/>
      </tp>
      <tp>
        <v>2.8349781033558505</v>
        <stp/>
        <stp>##V3_BDPV12</stp>
        <stp>EJ8955977 Corp</stp>
        <stp>YLD_YTM_ASK</stp>
        <stp>[BondPricer-0.2.xlsm]AUSTRALIAN_GOVT_TYPE23!R33C14</stp>
        <tr r="N33" s="9"/>
      </tp>
      <tp>
        <v>3.5304955214034983</v>
        <stp/>
        <stp>##V3_BDPV12</stp>
        <stp>GG7366139 Govt</stp>
        <stp>YLD_YTM_ASK</stp>
        <stp>[BondPricer-0.2.xlsm]ITALIAN_BTPS_TYPE523!R65C15</stp>
        <tr r="O65" s="5"/>
      </tp>
      <tp>
        <v>2.5563274905304083</v>
        <stp/>
        <stp>##V3_BDPV12</stp>
        <stp>EJ9440870 Corp</stp>
        <stp>YLD_YTM_ASK</stp>
        <stp>[BondPricer-0.2.xlsm]AUSTRALIAN_GOVT_TYPE23!R55C14</stp>
        <tr r="N55" s="9"/>
      </tp>
      <tp>
        <v>3.1549924439152206</v>
        <stp/>
        <stp>##V3_BDPV12</stp>
        <stp>QZ5429456 Corp</stp>
        <stp>YLD_YTM_ASK</stp>
        <stp>[BondPricer-0.2.xlsm]AUSTRALIAN_GOVT_TYPE23!R62C14</stp>
        <tr r="N62" s="9"/>
      </tp>
      <tp>
        <v>3.5839017100150583</v>
        <stp/>
        <stp>##V3_BDPV12</stp>
        <stp>EC5588545 Govt</stp>
        <stp>YLD_YTM_ASK</stp>
        <stp>[BondPricer-0.2.xlsm]ITALIAN_BTPS_TYPE523!R69C15</stp>
        <tr r="O69" s="5"/>
      </tp>
      <tp>
        <v>2.6890227335695549</v>
        <stp/>
        <stp>##V3_BDPV12</stp>
        <stp>AM5647400 Corp</stp>
        <stp>YLD_YTM_ASK</stp>
        <stp>[BondPricer-0.2.xlsm]AUSTRALIAN_GOVT_TYPE23!R48C14</stp>
        <tr r="N48" s="9"/>
      </tp>
      <tp>
        <v>2.6080343205790264</v>
        <stp/>
        <stp>##V3_BDPV12</stp>
        <stp>EK2751312 Corp</stp>
        <stp>YLD_YTM_ASK</stp>
        <stp>[BondPricer-0.2.xlsm]AUSTRALIAN_GOVT_TYPE23!R27C14</stp>
        <tr r="N27" s="9"/>
      </tp>
      <tp>
        <v>2.3369899320716248</v>
        <stp/>
        <stp>##V3_BDPV12</stp>
        <stp>EJ6195758 Corp</stp>
        <stp>YLD_YTM_ASK</stp>
        <stp>[BondPricer-0.2.xlsm]AUSTRALIAN_GOVT_TYPE23!R13C14</stp>
        <tr r="N13" s="9"/>
      </tp>
      <tp>
        <v>3.5257438517902084</v>
        <stp/>
        <stp>##V3_BDPV12</stp>
        <stp>EJ4852988 Govt</stp>
        <stp>YLD_YTM_ASK</stp>
        <stp>[BondPricer-0.2.xlsm]ITALIAN_BTPS_TYPE523!R52C15</stp>
        <tr r="O52" s="5"/>
      </tp>
      <tp>
        <v>6.389965203310096</v>
        <stp/>
        <stp>##V3_BDPV12</stp>
        <stp>UV6569569 Govt</stp>
        <stp>DUR_ADJ_ASK</stp>
        <stp>[BondPricer-0.2.xlsm]ITALIAN_BTPS_TYPE523!R42C29</stp>
        <stp>YLD_YTM_ASK=3.25305805022247</stp>
        <stp>YAS_YLD_CONV=1</stp>
        <tr r="AC42" s="5"/>
      </tp>
      <tp>
        <v>105.17800000000004</v>
        <stp/>
        <stp>##V3_BDPV12</stp>
        <stp>UV9949289 Govt</stp>
        <stp>YAS_BOND_PX</stp>
        <stp>[BondPricer-0.2.xlsm]FRENCH_BTAN_TYPE89!R115C20</stp>
        <stp>YAS_BOND_YLD=1.05878642372303</stp>
        <stp>YAS_YLD_CONV=1</stp>
        <tr r="T115" s="8"/>
      </tp>
      <tp>
        <v>105.17800000000004</v>
        <stp/>
        <stp>##V3_BDPV12</stp>
        <stp>UV9949289 Govt</stp>
        <stp>YAS_BOND_PX</stp>
        <stp>[BondPricer-0.2.xlsm]FRENCH_BTAN_TYPE89!R114C20</stp>
        <stp>YAS_BOND_YLD=1.05878642372303</stp>
        <stp>YAS_YLD_CONV=1</stp>
        <tr r="T114" s="8"/>
      </tp>
      <tp>
        <v>105.17800000000004</v>
        <stp/>
        <stp>##V3_BDPV12</stp>
        <stp>UV9949289 Govt</stp>
        <stp>YAS_BOND_PX</stp>
        <stp>[BondPricer-0.2.xlsm]FRENCH_BTAN_TYPE89!R112C20</stp>
        <stp>YAS_BOND_YLD=1.05878642372303</stp>
        <stp>YAS_YLD_CONV=1</stp>
        <tr r="T112" s="8"/>
      </tp>
      <tp>
        <v>8.6837570429155519</v>
        <stp/>
        <stp>##V3_BDPV12</stp>
        <stp>AN1976579 Govt</stp>
        <stp>YAS_RISK</stp>
        <stp>[BondPricer-0.2.xlsm]ITALIAN_BTPS_TYPE523!R170C26</stp>
        <stp>YLD_YTM_ASK=4.10379321732393</stp>
        <stp>YAS_YLD_CONV=33</stp>
        <tr r="Z170" s="5"/>
      </tp>
      <tp>
        <v>111.51800000083382</v>
        <stp/>
        <stp>##V3_BDPV12</stp>
        <stp>EJ9139449 Govt</stp>
        <stp>YAS_BOND_PX</stp>
        <stp>[BondPricer-0.2.xlsm]FRENCH_BTAN_TYPE89!R54C20</stp>
        <stp>YAS_BOND_YLD=0.181777956594164</stp>
        <stp>YAS_YLD_CONV=1</stp>
        <tr r="T54" s="8"/>
      </tp>
      <tp>
        <v>111.51800000083382</v>
        <stp/>
        <stp>##V3_BDPV12</stp>
        <stp>EJ9139449 Govt</stp>
        <stp>YAS_BOND_PX</stp>
        <stp>[BondPricer-0.2.xlsm]FRENCH_BTAN_TYPE89!R51C20</stp>
        <stp>YAS_BOND_YLD=0.181777956594164</stp>
        <stp>YAS_YLD_CONV=1</stp>
        <tr r="T51" s="8"/>
      </tp>
      <tp>
        <v>96.308000000000035</v>
        <stp/>
        <stp>##V3_BDPV12</stp>
        <stp>EJ6178390 Govt</stp>
        <stp>YAS_BOND_PX</stp>
        <stp>[BondPricer-0.2.xlsm]FRENCH_BTAN_TYPE89!R75C20</stp>
        <stp>YAS_BOND_YLD=0.496031982611189</stp>
        <stp>YAS_YLD_CONV=1</stp>
        <tr r="T75" s="8"/>
      </tp>
      <tp>
        <v>7.934793875080004</v>
        <stp/>
        <stp>##V3_BDPV12</stp>
        <stp>EJ4853739 Govt</stp>
        <stp>YAS_RISK</stp>
        <stp>[BondPricer-0.2.xlsm]ITALIAN_BTPS_TYPE523!R108C26</stp>
        <stp>YLD_YTM_ASK=3.92277526891167</stp>
        <stp>YAS_YLD_CONV=33</stp>
        <tr r="Z108" s="5"/>
      </tp>
      <tp>
        <v>111.51800000083382</v>
        <stp/>
        <stp>##V3_BDPV12</stp>
        <stp>EJ9139449 Govt</stp>
        <stp>YAS_BOND_PX</stp>
        <stp>[BondPricer-0.2.xlsm]FRENCH_BTAN_TYPE89!R53C20</stp>
        <stp>YAS_BOND_YLD=0.181777956594164</stp>
        <stp>YAS_YLD_CONV=1</stp>
        <tr r="T53" s="8"/>
      </tp>
      <tp>
        <v>3.6311656944967075</v>
        <stp/>
        <stp>##V3_BDPV12</stp>
        <stp>LW2047824 Govt</stp>
        <stp>YLD_YTM_ASK</stp>
        <stp>[BondPricer-0.2.xlsm]ITALIAN_BTPS_TYPE523!R169C15</stp>
        <tr r="O169" s="5"/>
      </tp>
      <tp>
        <v>118.05499999999986</v>
        <stp/>
        <stp>##V3_BDPV12</stp>
        <stp>EJ3468919 Govt</stp>
        <stp>YAS_BOND_PX</stp>
        <stp>[BondPricer-0.2.xlsm]FRENCH_BTAN_TYPE89!R88C20</stp>
        <stp>YAS_BOND_YLD=0.679937004667618</stp>
        <stp>YAS_YLD_CONV=1</stp>
        <tr r="T88" s="8"/>
      </tp>
      <tp>
        <v>7.9962373582922908</v>
        <stp/>
        <stp>##V3_BDPV12</stp>
        <stp>AN2011814 Govt</stp>
        <stp>YAS_RISK</stp>
        <stp>[BondPricer-0.2.xlsm]ITALIAN_BTPS_TYPE523!R186C26</stp>
        <stp>YLD_YTM_ASK=4.11843626439896</stp>
        <stp>YAS_YLD_CONV=33</stp>
        <tr r="Z186" s="5"/>
      </tp>
      <tp>
        <v>8.117464047305667</v>
        <stp/>
        <stp>##V3_BDPV12</stp>
        <stp>AN1980738 Govt</stp>
        <stp>YAS_RISK</stp>
        <stp>[BondPricer-0.2.xlsm]ITALIAN_BTPS_TYPE523!R177C26</stp>
        <stp>YLD_YTM_ASK=4.23210009431922</stp>
        <stp>YAS_YLD_CONV=33</stp>
        <tr r="Z177" s="5"/>
      </tp>
      <tp>
        <v>3.3309225074535043</v>
        <stp/>
        <stp>##V3_BDPV12</stp>
        <stp>CP5087962 Govt</stp>
        <stp>YLD_YTM_ASK</stp>
        <stp>[BondPricer-0.2.xlsm]ITALIAN_BTPS_TYPE523!R37C15</stp>
        <tr r="O37" s="5"/>
      </tp>
      <tp>
        <v>3.5554808098485546</v>
        <stp/>
        <stp>##V3_BDPV12</stp>
        <stp>CP5088002 Govt</stp>
        <stp>YLD_YTM_ASK</stp>
        <stp>[BondPricer-0.2.xlsm]ITALIAN_BTPS_TYPE523!R60C15</stp>
        <tr r="O60" s="5"/>
      </tp>
      <tp>
        <v>1.9988734416383345</v>
        <stp/>
        <stp>##V3_BDPV12</stp>
        <stp>EJ6776680 Corp</stp>
        <stp>YLD_YTM_ASK</stp>
        <stp>[BondPricer-0.2.xlsm]AUSTRALIAN_GOVT_TYPE23!R15C14</stp>
        <tr r="N15" s="9"/>
      </tp>
      <tp>
        <v>2.4709581570450818</v>
        <stp/>
        <stp>##V3_BDPV12</stp>
        <stp>QZ2551245 Corp</stp>
        <stp>YLD_YTM_ASK</stp>
        <stp>[BondPricer-0.2.xlsm]AUSTRALIAN_GOVT_TYPE23!R16C14</stp>
        <tr r="N16" s="9"/>
      </tp>
      <tp>
        <v>3.3200788892790767</v>
        <stp/>
        <stp>##V3_BDPV12</stp>
        <stp>EI4153199 Govt</stp>
        <stp>YLD_YTM_ASK</stp>
        <stp>[BondPricer-0.2.xlsm]ITALIAN_BTPS_TYPE523!R44C15</stp>
        <tr r="O44" s="5"/>
      </tp>
      <tp>
        <v>3.5018306789895925</v>
        <stp/>
        <stp>##V3_BDPV12</stp>
        <stp>EJ5142728 Govt</stp>
        <stp>YLD_YTM_ASK</stp>
        <stp>[BondPricer-0.2.xlsm]ITALIAN_BTPS_TYPE523!R74C15</stp>
        <tr r="O74" s="5"/>
      </tp>
      <tp>
        <v>3.4282422845315352</v>
        <stp/>
        <stp>##V3_BDPV12</stp>
        <stp>912828XG Govt</stp>
        <stp>YAS_RISK</stp>
        <stp>[BondPricer-0.2.xlsm]US_TREASURY_TYPE1!R43C24</stp>
        <stp>YLD_YTM_ASK=2.9535389</stp>
        <stp>YAS_YLD_CONV=3</stp>
        <tr r="X43" s="4"/>
      </tp>
      <tp>
        <v>7.0137484875495204</v>
        <stp/>
        <stp>##V3_BDPV12</stp>
        <stp>912828V9 Govt</stp>
        <stp>YAS_RISK</stp>
        <stp>[BondPricer-0.2.xlsm]US_TREASURY_TYPE1!R87C24</stp>
        <stp>YLD_YTM_ASK=3.1358795</stp>
        <stp>YAS_YLD_CONV=3</stp>
        <tr r="X87" s="4"/>
      </tp>
      <tp>
        <v>4.3683103699150294</v>
        <stp/>
        <stp>##V3_BDPV12</stp>
        <stp>UV3555355 Govt</stp>
        <stp>YLD_YTM_ASK</stp>
        <stp>[BondPricer-0.2.xlsm]ITALIAN_BTPS_TYPE523!R163C15</stp>
        <tr r="O163" s="5"/>
      </tp>
      <tp>
        <v>8.3323528624450915</v>
        <stp/>
        <stp>##V3_BDPV12</stp>
        <stp>ED1656591 Govt</stp>
        <stp>YAS_RISK</stp>
        <stp>[BondPricer-0.2.xlsm]ITALIAN_BTPS_TYPE523!R119C26</stp>
        <stp>YLD_YTM_ASK=3.88073701324143</stp>
        <stp>YAS_YLD_CONV=33</stp>
        <tr r="Z119" s="5"/>
      </tp>
      <tp>
        <v>8.7336533014429563</v>
        <stp/>
        <stp>##V3_BDPV12</stp>
        <stp>EK0223991 Govt</stp>
        <stp>YAS_RISK</stp>
        <stp>[BondPricer-0.2.xlsm]ITALIAN_BTPS_TYPE523!R127C26</stp>
        <stp>YLD_YTM_ASK=3.81472663580718</stp>
        <stp>YAS_YLD_CONV=33</stp>
        <tr r="Z127" s="5"/>
      </tp>
      <tp>
        <v>3.7490070224588612</v>
        <stp/>
        <stp>##V3_BDPV12</stp>
        <stp>UV3555454 Govt</stp>
        <stp>YLD_YTM_ASK</stp>
        <stp>[BondPricer-0.2.xlsm]ITALIAN_BTPS_TYPE523!R167C15</stp>
        <tr r="O167" s="5"/>
      </tp>
      <tp>
        <v>4.259281024025019</v>
        <stp/>
        <stp>##V3_BDPV12</stp>
        <stp>UV3555405 Govt</stp>
        <stp>YLD_YTM_ASK</stp>
        <stp>[BondPricer-0.2.xlsm]ITALIAN_BTPS_TYPE523!R164C15</stp>
        <tr r="O164" s="5"/>
      </tp>
      <tp>
        <v>4.1357772356486189</v>
        <stp/>
        <stp>##V3_BDPV12</stp>
        <stp>UV3555439 Govt</stp>
        <stp>YLD_YTM_ASK</stp>
        <stp>[BondPricer-0.2.xlsm]ITALIAN_BTPS_TYPE523!R165C15</stp>
        <tr r="O165" s="5"/>
      </tp>
      <tp>
        <v>97.81500000000004</v>
        <stp/>
        <stp>##V3_BDPV12</stp>
        <stp>EI0428439 Govt</stp>
        <stp>YAS_BOND_PX</stp>
        <stp>[BondPricer-0.2.xlsm]FRENCH_BTAN_TYPE89!R59C20</stp>
        <stp>YAS_BOND_YLD=0.339384271020271</stp>
        <stp>YAS_YLD_CONV=1</stp>
        <tr r="T59" s="8"/>
      </tp>
      <tp>
        <v>146.93700000001041</v>
        <stp/>
        <stp>##V3_BDPV12</stp>
        <stp>GG7384272 Govt</stp>
        <stp>YAS_BOND_PX</stp>
        <stp>[BondPricer-0.2.xlsm]FRENCH_BTAN_TYPE89!R96C20</stp>
        <stp>YAS_BOND_YLD=0.823573367248306</stp>
        <stp>YAS_YLD_CONV=1</stp>
        <tr r="T96" s="8"/>
      </tp>
      <tp>
        <v>3.7666346858337585</v>
        <stp/>
        <stp>##V3_BDPV12</stp>
        <stp>JV9105265 Govt</stp>
        <stp>YLD_YTM_ASK</stp>
        <stp>[BondPricer-0.2.xlsm]ITALIAN_BTPS_TYPE523!R168C15</stp>
        <tr r="O168" s="5"/>
      </tp>
      <tp>
        <v>147.85099999996285</v>
        <stp/>
        <stp>##V3_BDPV12</stp>
        <stp>EI3229347 Govt</stp>
        <stp>YAS_BOND_PX</stp>
        <stp>[BondPricer-0.2.xlsm]GERMAN_BUND_TYPE60!R34C20</stp>
        <stp>YAS_BOND_YLD=0.978813299771482</stp>
        <stp>YAS_YLD_CONV=1</stp>
        <tr r="T34" s="6"/>
      </tp>
      <tp>
        <v>2.9657523548653364</v>
        <stp/>
        <stp>##V3_BDPV12</stp>
        <stp>CP5087921 Govt</stp>
        <stp>YLD_YTM_ASK</stp>
        <stp>[BondPricer-0.2.xlsm]ITALIAN_BTPS_TYPE523!R13C15</stp>
        <tr r="O13" s="5"/>
      </tp>
      <tp>
        <v>3.221558478439901</v>
        <stp/>
        <stp>##V3_BDPV12</stp>
        <stp>JK2344014 Govt</stp>
        <stp>YLD_YTM_ASK</stp>
        <stp>[BondPricer-0.2.xlsm]ITALIAN_BTPS_TYPE523!R48C15</stp>
        <tr r="O48" s="5"/>
      </tp>
      <tp>
        <v>2.7334145952421469</v>
        <stp/>
        <stp>##V3_BDPV12</stp>
        <stp>LW0753340 Corp</stp>
        <stp>YLD_YTM_ASK</stp>
        <stp>[BondPricer-0.2.xlsm]AUSTRALIAN_GOVT_TYPE23!R47C14</stp>
        <tr r="N47" s="9"/>
      </tp>
      <tp>
        <v>3.7569105157712057</v>
        <stp/>
        <stp>##V3_BDPV12</stp>
        <stp>EC5588867 Govt</stp>
        <stp>YLD_YTM_ASK</stp>
        <stp>[BondPricer-0.2.xlsm]ITALIAN_BTPS_TYPE523!R89C15</stp>
        <tr r="O89" s="5"/>
      </tp>
      <tp>
        <v>3.1136961169695665</v>
        <stp/>
        <stp>##V3_BDPV12</stp>
        <stp>EK0660739 Govt</stp>
        <stp>YLD_YTM_ASK</stp>
        <stp>[BondPricer-0.2.xlsm]ITALIAN_BTPS_TYPE523!R25C15</stp>
        <tr r="O25" s="5"/>
      </tp>
      <tp>
        <v>3.0289366651129339</v>
        <stp/>
        <stp>##V3_BDPV12</stp>
        <stp>AN7790412 Corp</stp>
        <stp>YLD_YTM_ASK</stp>
        <stp>[BondPricer-0.2.xlsm]AUSTRALIAN_GOVT_TYPE23!R38C14</stp>
        <tr r="N38" s="9"/>
      </tp>
      <tp>
        <v>2.3645363407769673</v>
        <stp/>
        <stp>##V3_BDPV12</stp>
        <stp>EG8211609 Corp</stp>
        <stp>DUR_ADJ_ASK</stp>
        <stp>[BondPricer-0.2.xlsm]AUSTRALIAN_GOVT_TYPE23!R7C30</stp>
        <stp>YLD_YTM_ASK=2.03886820665823</stp>
        <stp>YAS_YLD_CONV=3</stp>
        <tr r="AD7" s="9"/>
      </tp>
      <tp>
        <v>4.1221790208375353</v>
        <stp/>
        <stp>##V3_BDPV12</stp>
        <stp>912828VB Govt</stp>
        <stp>YAS_RISK</stp>
        <stp>[BondPricer-0.2.xlsm]US_TREASURY_TYPE1!R56C24</stp>
        <stp>YLD_YTM_ASK=2.9938118</stp>
        <stp>YAS_YLD_CONV=3</stp>
        <tr r="X56" s="4"/>
      </tp>
      <tp>
        <v>5.0203644218107968</v>
        <stp/>
        <stp>##V3_BDPV12</stp>
        <stp>912828WJ Govt</stp>
        <stp>YAS_RISK</stp>
        <stp>[BondPricer-0.2.xlsm]US_TREASURY_TYPE1!R71C24</stp>
        <stp>YLD_YTM_ASK=3.0329128</stp>
        <stp>YAS_YLD_CONV=3</stp>
        <tr r="X71" s="4"/>
      </tp>
      <tp>
        <v>8.5487119618633756</v>
        <stp/>
        <stp>##V3_BDPV12</stp>
        <stp>EK0223934 Govt</stp>
        <stp>YAS_RISK</stp>
        <stp>[BondPricer-0.2.xlsm]ITALIAN_BTPS_TYPE523!R125C26</stp>
        <stp>YLD_YTM_ASK=3.87821223461939</stp>
        <stp>YAS_YLD_CONV=33</stp>
        <tr r="Z125" s="5"/>
      </tp>
      <tp>
        <v>9.2609819851070085</v>
        <stp/>
        <stp>##V3_BDPV12</stp>
        <stp>EK8086077 Govt</stp>
        <stp>YAS_RISK</stp>
        <stp>[BondPricer-0.2.xlsm]ITALIAN_BTPS_TYPE523!R102C26</stp>
        <stp>YLD_YTM_ASK=3.48745402340873</stp>
        <stp>YAS_YLD_CONV=33</stp>
        <tr r="Z102" s="5"/>
      </tp>
      <tp>
        <v>7.9020001508864013</v>
        <stp/>
        <stp>##V3_BDPV12</stp>
        <stp>AN2016490 Govt</stp>
        <stp>YAS_RISK</stp>
        <stp>[BondPricer-0.2.xlsm]ITALIAN_BTPS_TYPE523!R191C26</stp>
        <stp>YLD_YTM_ASK=4.05800182320273</stp>
        <stp>YAS_YLD_CONV=33</stp>
        <tr r="Z191" s="5"/>
      </tp>
      <tp>
        <v>7.7991330470581488</v>
        <stp/>
        <stp>##V3_BDPV12</stp>
        <stp>EC5588982 Govt</stp>
        <stp>YAS_RISK</stp>
        <stp>[BondPricer-0.2.xlsm]ITALIAN_BTPS_TYPE523!R105C26</stp>
        <stp>YLD_YTM_ASK=3.92953214752587</stp>
        <stp>YAS_YLD_CONV=33</stp>
        <tr r="Z105" s="5"/>
      </tp>
      <tp>
        <v>8.2593129596151726</v>
        <stp/>
        <stp>##V3_BDPV12</stp>
        <stp>EH2421038 Govt</stp>
        <stp>YAS_RISK</stp>
        <stp>[BondPricer-0.2.xlsm]ITALIAN_BTPS_TYPE523!R144C26</stp>
        <stp>YLD_YTM_ASK=4.32753228737348</stp>
        <stp>YAS_YLD_CONV=33</stp>
        <tr r="Z144" s="5"/>
      </tp>
      <tp>
        <v>8.1843921688010468</v>
        <stp/>
        <stp>##V3_BDPV12</stp>
        <stp>AN1978633 Govt</stp>
        <stp>YAS_RISK</stp>
        <stp>[BondPricer-0.2.xlsm]ITALIAN_BTPS_TYPE523!R175C26</stp>
        <stp>YLD_YTM_ASK=4.23809394165706</stp>
        <stp>YAS_YLD_CONV=33</stp>
        <tr r="Z175" s="5"/>
      </tp>
      <tp>
        <v>8.2454215011676268</v>
        <stp/>
        <stp>##V3_BDPV12</stp>
        <stp>EK0223694 Govt</stp>
        <stp>YAS_RISK</stp>
        <stp>[BondPricer-0.2.xlsm]ITALIAN_BTPS_TYPE523!R116C26</stp>
        <stp>YLD_YTM_ASK=3.87806644897635</stp>
        <stp>YAS_YLD_CONV=33</stp>
        <tr r="Z116" s="5"/>
      </tp>
      <tp>
        <v>102.24600000000054</v>
        <stp/>
        <stp>##V3_BDPV12</stp>
        <stp>JV5034238 Govt</stp>
        <stp>YAS_BOND_PX</stp>
        <stp>[BondPricer-0.2.xlsm]GERMAN_BUND_TYPE60!R22C20</stp>
        <stp>YAS_BOND_YLD=0.191191564726673</stp>
        <stp>YAS_YLD_CONV=1</stp>
        <tr r="T22" s="6"/>
      </tp>
      <tp>
        <v>8.0506448269538566</v>
        <stp/>
        <stp>##V3_BDPV12</stp>
        <stp>EC5469449 Govt</stp>
        <stp>YAS_RISK</stp>
        <stp>[BondPricer-0.2.xlsm]ITALIAN_BTPS_TYPE523!R110C26</stp>
        <stp>YLD_YTM_ASK=3.82430878355231</stp>
        <stp>YAS_YLD_CONV=33</stp>
        <tr r="Z110" s="5"/>
      </tp>
      <tp>
        <v>138.91800000000018</v>
        <stp/>
        <stp>##V3_BDPV12</stp>
        <stp>GG7185588 Govt</stp>
        <stp>YAS_BOND_PX</stp>
        <stp>[BondPricer-0.2.xlsm]FRENCH_BTAN_TYPE89!R65C20</stp>
        <stp>YAS_BOND_YLD=0.374124488386566</stp>
        <stp>YAS_YLD_CONV=1</stp>
        <tr r="T65" s="8"/>
      </tp>
      <tp>
        <v>8.0308275274829199</v>
        <stp/>
        <stp>##V3_BDPV12</stp>
        <stp>AN2009289 Govt</stp>
        <stp>YAS_RISK</stp>
        <stp>[BondPricer-0.2.xlsm]ITALIAN_BTPS_TYPE523!R183C26</stp>
        <stp>YLD_YTM_ASK=4.16040030209519</stp>
        <stp>YAS_YLD_CONV=33</stp>
        <tr r="Z183" s="5"/>
      </tp>
      <tp>
        <v>8.7041024716068449</v>
        <stp/>
        <stp>##V3_BDPV12</stp>
        <stp>EK0224239 Govt</stp>
        <stp>YAS_RISK</stp>
        <stp>[BondPricer-0.2.xlsm]ITALIAN_BTPS_TYPE523!R135C26</stp>
        <stp>YLD_YTM_ASK=3.97124352438865</stp>
        <stp>YAS_YLD_CONV=33</stp>
        <tr r="Z135" s="5"/>
      </tp>
      <tp>
        <v>105.93300000004584</v>
        <stp/>
        <stp>##V3_BDPV12</stp>
        <stp>AF2056345 Govt</stp>
        <stp>YAS_BOND_PX</stp>
        <stp>[BondPricer-0.2.xlsm]GERMAN_BUND_TYPE60!R21C20</stp>
        <stp>YAS_BOND_YLD=0.126674407037317</stp>
        <stp>YAS_YLD_CONV=1</stp>
        <tr r="T21" s="6"/>
      </tp>
      <tp>
        <v>3.4013702166833193</v>
        <stp/>
        <stp>##V3_BDPV12</stp>
        <stp>CP5087970 Govt</stp>
        <stp>YLD_YTM_ASK</stp>
        <stp>[BondPricer-0.2.xlsm]ITALIAN_BTPS_TYPE523!R41C15</stp>
        <tr r="O41" s="5"/>
      </tp>
      <tp>
        <v>3.8096131125460979</v>
        <stp/>
        <stp>##V3_BDPV12</stp>
        <stp>EJ3422718 Govt</stp>
        <stp>DUR_ADJ_ASK</stp>
        <stp>[BondPricer-0.2.xlsm]GERMAN_BUND_TYPE60!R12C27</stp>
        <stp>YLD_YTM_ASK=-0.308162373312628</stp>
        <stp>YAS_YLD_CONV=1</stp>
        <tr r="AA12" s="6"/>
      </tp>
      <tp>
        <v>3.5822440435061109</v>
        <stp/>
        <stp>##V3_BDPV12</stp>
        <stp>CP5088010 Govt</stp>
        <stp>YLD_YTM_ASK</stp>
        <stp>[BondPricer-0.2.xlsm]ITALIAN_BTPS_TYPE523!R68C15</stp>
        <tr r="O68" s="5"/>
      </tp>
      <tp>
        <v>3.7122848735644856</v>
        <stp/>
        <stp>##V3_BDPV12</stp>
        <stp>QZ032122 Corp</stp>
        <stp>DUR_ADJ_ASK</stp>
        <stp>[BondPricer-0.2.xlsm]UK_GILT_TYPE26!R9C28</stp>
        <stp>YLD_YTM_ASK=1.01486937313188</stp>
        <stp>YAS_YLD_CONV=3</stp>
        <tr r="AB9" s="13"/>
      </tp>
      <tp>
        <v>3.4671107585966476</v>
        <stp/>
        <stp>##V3_BDPV12</stp>
        <stp>EC5587786 Govt</stp>
        <stp>YLD_YTM_ASK</stp>
        <stp>[BondPricer-0.2.xlsm]ITALIAN_BTPS_TYPE523!R43C15</stp>
        <tr r="O43" s="5"/>
      </tp>
      <tp>
        <v>3.0999723371921784</v>
        <stp/>
        <stp>##V3_BDPV12</stp>
        <stp>AM6907472 Corp</stp>
        <stp>YLD_YTM_ASK</stp>
        <stp>[BondPricer-0.2.xlsm]AUSTRALIAN_GOVT_TYPE23!R42C14</stp>
        <tr r="N42" s="9"/>
      </tp>
      <tp>
        <v>2.9384987622627645</v>
        <stp/>
        <stp>##V3_BDPV12</stp>
        <stp>EK5450789 Corp</stp>
        <stp>YLD_YTM_ASK</stp>
        <stp>[BondPricer-0.2.xlsm]AUSTRALIAN_GOVT_TYPE23!R59C14</stp>
        <tr r="N59" s="9"/>
      </tp>
      <tp>
        <v>2.6337725105708967</v>
        <stp/>
        <stp>##V3_BDPV12</stp>
        <stp>AQ7824545 Corp</stp>
        <stp>YLD_YTM_ASK</stp>
        <stp>[BondPricer-0.2.xlsm]AUSTRALIAN_GOVT_TYPE23!R53C14</stp>
        <tr r="N53" s="9"/>
      </tp>
      <tp>
        <v>2.8879531732430679</v>
        <stp/>
        <stp>##V3_BDPV12</stp>
        <stp>LW1235313 Corp</stp>
        <stp>YLD_YTM_ASK</stp>
        <stp>[BondPricer-0.2.xlsm]AUSTRALIAN_GOVT_TYPE23!R36C14</stp>
        <tr r="N36" s="9"/>
      </tp>
      <tp>
        <v>2.2259823365548677</v>
        <stp/>
        <stp>##V3_BDPV12</stp>
        <stp>EI6831487 Corp</stp>
        <stp>YLD_YTM_ASK</stp>
        <stp>[BondPricer-0.2.xlsm]AUSTRALIAN_GOVT_TYPE23!R20C14</stp>
        <tr r="N20" s="9"/>
      </tp>
      <tp>
        <v>2.9900233192735945</v>
        <stp/>
        <stp>##V3_BDPV12</stp>
        <stp>EK5446753 Corp</stp>
        <stp>YLD_YTM_ASK</stp>
        <stp>[BondPricer-0.2.xlsm]AUSTRALIAN_GOVT_TYPE23!R58C14</stp>
        <tr r="N58" s="9"/>
      </tp>
      <tp>
        <v>3.5085894794030459</v>
        <stp/>
        <stp>##V3_BDPV12</stp>
        <stp>EC5588446 Govt</stp>
        <stp>YLD_YTM_ASK</stp>
        <stp>[BondPricer-0.2.xlsm]ITALIAN_BTPS_TYPE523!R49C15</stp>
        <tr r="O49" s="5"/>
      </tp>
      <tp>
        <v>3.7513653121001189</v>
        <stp/>
        <stp>##V3_BDPV12</stp>
        <stp>EC5588826 Govt</stp>
        <stp>YLD_YTM_ASK</stp>
        <stp>[BondPricer-0.2.xlsm]ITALIAN_BTPS_TYPE523!R82C15</stp>
        <tr r="O82" s="5"/>
      </tp>
      <tp>
        <v>2.5904957890343683</v>
        <stp/>
        <stp>##V3_BDPV12</stp>
        <stp>AM5647731 Corp</stp>
        <stp>YLD_YTM_ASK</stp>
        <stp>[BondPricer-0.2.xlsm]AUSTRALIAN_GOVT_TYPE23!R49C14</stp>
        <tr r="N49" s="9"/>
      </tp>
      <tp>
        <v>2.9023509227315003</v>
        <stp/>
        <stp>##V3_BDPV12</stp>
        <stp>912828U6 Govt</stp>
        <stp>YAS_RISK</stp>
        <stp>[BondPricer-0.2.xlsm]US_TREASURY_TYPE1!R30C24</stp>
        <stp>YLD_YTM_ASK=2.9305891</stp>
        <stp>YAS_YLD_CONV=3</stp>
        <tr r="X30" s="4"/>
      </tp>
      <tp>
        <v>8.3428595359137603</v>
        <stp/>
        <stp>##V3_BDPV12</stp>
        <stp>EJ4853937 Govt</stp>
        <stp>YAS_RISK</stp>
        <stp>[BondPricer-0.2.xlsm]ITALIAN_BTPS_TYPE523!R118C26</stp>
        <stp>YLD_YTM_ASK=3.87294100590416</stp>
        <stp>YAS_YLD_CONV=33</stp>
        <tr r="Z118" s="5"/>
      </tp>
      <tp>
        <v>7.5245021770541598</v>
        <stp/>
        <stp>##V3_BDPV12</stp>
        <stp>AN2025830 Govt</stp>
        <stp>YAS_RISK</stp>
        <stp>[BondPricer-0.2.xlsm]ITALIAN_BTPS_TYPE523!R205C26</stp>
        <stp>YLD_YTM_ASK=3.91333966102361</stp>
        <stp>YAS_YLD_CONV=33</stp>
        <tr r="Z205" s="5"/>
      </tp>
      <tp>
        <v>95.31599999999996</v>
        <stp/>
        <stp>##V3_BDPV12</stp>
        <stp>AM0114794 Govt</stp>
        <stp>YAS_BOND_PX</stp>
        <stp>[BondPricer-0.2.xlsm]FRENCH_BTAN_TYPE89!R81C20</stp>
        <stp>YAS_BOND_YLD=0.593507000618865</stp>
        <stp>YAS_YLD_CONV=1</stp>
        <tr r="T81" s="8"/>
      </tp>
      <tp>
        <v>95.398437566897684</v>
        <stp/>
        <stp>##V3_BDPV12</stp>
        <stp>912828S2 Govt</stp>
        <stp>YAS_BOND_PX</stp>
        <stp>[BondPricer-0.2.xlsm]US_TREASURY_TYPE1!R18C20</stp>
        <stp>YAS_BOND_YLD=2.904815</stp>
        <stp>YAS_YLD_CONV=2</stp>
        <tr r="T18" s="4"/>
      </tp>
      <tp>
        <v>7.9595894480078755</v>
        <stp/>
        <stp>##V3_BDPV12</stp>
        <stp>AN2013638 Govt</stp>
        <stp>YAS_RISK</stp>
        <stp>[BondPricer-0.2.xlsm]ITALIAN_BTPS_TYPE523!R188C26</stp>
        <stp>YLD_YTM_ASK=4.09431673066587</stp>
        <stp>YAS_YLD_CONV=33</stp>
        <tr r="Z188" s="5"/>
      </tp>
      <tp>
        <v>8.0827628609814184</v>
        <stp/>
        <stp>##V3_BDPV12</stp>
        <stp>EK0225558 Govt</stp>
        <stp>YAS_RISK</stp>
        <stp>[BondPricer-0.2.xlsm]ITALIAN_BTPS_TYPE523!R160C26</stp>
        <stp>YLD_YTM_ASK=4.43304102592348</stp>
        <stp>YAS_YLD_CONV=33</stp>
        <tr r="Z160" s="5"/>
      </tp>
      <tp>
        <v>10.103632263545137</v>
        <stp/>
        <stp>##V3_BDPV12</stp>
        <stp>AN2032562 Govt</stp>
        <stp>YAS_RISK</stp>
        <stp>[BondPricer-0.2.xlsm]ITALIAN_BTPS_TYPE523!R210C26</stp>
        <stp>YLD_YTM_ASK=3.22271852470675</stp>
        <stp>YAS_YLD_CONV=33</stp>
        <tr r="Z210" s="5"/>
      </tp>
      <tp>
        <v>90.728000000000051</v>
        <stp/>
        <stp>##V3_BDPV12</stp>
        <stp>EI0419131 Govt</stp>
        <stp>YAS_BOND_PX</stp>
        <stp>[BondPricer-0.2.xlsm]FRENCH_BTAN_TYPE89!R97C20</stp>
        <stp>YAS_BOND_YLD=0.929186757559841</stp>
        <stp>YAS_YLD_CONV=1</stp>
        <tr r="T97" s="8"/>
      </tp>
      <tp>
        <v>8.4231595219744548</v>
        <stp/>
        <stp>##V3_BDPV12</stp>
        <stp>EK0097973 Govt</stp>
        <stp>YAS_RISK</stp>
        <stp>[BondPricer-0.2.xlsm]ITALIAN_BTPS_TYPE523!R152C26</stp>
        <stp>YLD_YTM_ASK=4.26038331030303</stp>
        <stp>YAS_YLD_CONV=33</stp>
        <tr r="Z152" s="5"/>
      </tp>
      <tp>
        <v>96.101562633664727</v>
        <stp/>
        <stp>##V3_BDPV12</stp>
        <stp>912828J7 Govt</stp>
        <stp>YAS_BOND_PX</stp>
        <stp>[BondPricer-0.2.xlsm]US_TREASURY_TYPE1!R39C20</stp>
        <stp>YAS_BOND_YLD=2.944493</stp>
        <stp>YAS_YLD_CONV=2</stp>
        <tr r="T39" s="4"/>
      </tp>
      <tp>
        <v>97.539062645515614</v>
        <stp/>
        <stp>##V3_BDPV12</stp>
        <stp>912828G8 Govt</stp>
        <stp>YAS_BOND_PX</stp>
        <stp>[BondPricer-0.2.xlsm]US_TREASURY_TYPE1!R32C20</stp>
        <stp>YAS_BOND_YLD=2.934143</stp>
        <stp>YAS_YLD_CONV=2</stp>
        <tr r="T32" s="4"/>
      </tp>
      <tp>
        <v>3.6413059610004961</v>
        <stp/>
        <stp>##V3_BDPV12</stp>
        <stp>EC1044535 Govt</stp>
        <stp>YLD_YTM_ASK</stp>
        <stp>[BondPricer-0.2.xlsm]ITALIAN_BTPS_TYPE523!R88C15</stp>
        <tr r="O88" s="5"/>
      </tp>
      <tp>
        <v>3.2605814347286044</v>
        <stp/>
        <stp>##V3_BDPV12</stp>
        <stp>EC5587349 Govt</stp>
        <stp>YLD_YTM_ASK</stp>
        <stp>[BondPricer-0.2.xlsm]ITALIAN_BTPS_TYPE523!R28C15</stp>
        <tr r="O28" s="5"/>
      </tp>
      <tp>
        <v>3.7396894915502799</v>
        <stp/>
        <stp>##V3_BDPV12</stp>
        <stp>EC2917820 Govt</stp>
        <stp>YLD_YTM_ASK</stp>
        <stp>[BondPricer-0.2.xlsm]ITALIAN_BTPS_TYPE523!R97C15</stp>
        <tr r="O97" s="5"/>
      </tp>
      <tp>
        <v>3.7196218286591698</v>
        <stp/>
        <stp>##V3_BDPV12</stp>
        <stp>EC1067627 Govt</stp>
        <stp>YLD_YTM_ASK</stp>
        <stp>[BondPricer-0.2.xlsm]ITALIAN_BTPS_TYPE523!R81C15</stp>
        <tr r="O81" s="5"/>
      </tp>
      <tp>
        <v>2.5109253647428886</v>
        <stp/>
        <stp>##V3_BDPV12</stp>
        <stp>EC3321972 Govt</stp>
        <stp>YAS_RISK</stp>
        <stp>[BondPricer-0.2.xlsm]JAPAN_JGB_TYPE51!R11C25</stp>
        <stp>YLD_YTM_ASK=-0.12</stp>
        <stp>YAS_YLD_CONV=3</stp>
        <tr r="Y11" s="7"/>
      </tp>
      <tp>
        <v>3.4057568542764205</v>
        <stp/>
        <stp>##V3_BDPV12</stp>
        <stp>EJ4855734 Govt</stp>
        <stp>YLD_YTM_ASK</stp>
        <stp>[BondPricer-0.2.xlsm]ITALIAN_BTPS_TYPE523!R46C15</stp>
        <tr r="O46" s="5"/>
      </tp>
      <tp>
        <v>2.9627730682339148</v>
        <stp/>
        <stp>##V3_BDPV12</stp>
        <stp>EH3056924 Govt</stp>
        <stp>YLD_YTM_ASK</stp>
        <stp>[BondPricer-0.2.xlsm]ITALIAN_BTPS_TYPE523!R14C15</stp>
        <tr r="O14" s="5"/>
      </tp>
      <tp>
        <v>2.8229865416990254</v>
        <stp/>
        <stp>##V3_BDPV12</stp>
        <stp>EK8553563 Corp</stp>
        <stp>YLD_YTM_ASK</stp>
        <stp>[BondPricer-0.2.xlsm]AUSTRALIAN_GOVT_TYPE23!R30C14</stp>
        <tr r="N30" s="9"/>
      </tp>
      <tp>
        <v>3.3001246382875054</v>
        <stp/>
        <stp>##V3_BDPV12</stp>
        <stp>QZ8542552 Corp</stp>
        <stp>YLD_YTM_ASK</stp>
        <stp>[BondPricer-0.2.xlsm]AUSTRALIAN_GOVT_TYPE23!R63C14</stp>
        <tr r="N63" s="9"/>
      </tp>
      <tp>
        <v>3.1080298359869225</v>
        <stp/>
        <stp>##V3_BDPV12</stp>
        <stp>EJ9131404 Corp</stp>
        <stp>YLD_YTM_ASK</stp>
        <stp>[BondPricer-0.2.xlsm]AUSTRALIAN_GOVT_TYPE23!R23C14</stp>
        <tr r="N23" s="9"/>
      </tp>
      <tp>
        <v>3.8584159145485852</v>
        <stp/>
        <stp>##V3_BDPV12</stp>
        <stp>EC5588909 Govt</stp>
        <stp>YLD_YTM_ASK</stp>
        <stp>[BondPricer-0.2.xlsm]ITALIAN_BTPS_TYPE523!R95C15</stp>
        <tr r="O95" s="5"/>
      </tp>
      <tp>
        <v>3.8100243185535509</v>
        <stp/>
        <stp>##V3_BDPV12</stp>
        <stp>EC2918380 Govt</stp>
        <stp>YLD_YTM_ASK</stp>
        <stp>[BondPricer-0.2.xlsm]ITALIAN_BTPS_TYPE523!R94C15</stp>
        <tr r="O94" s="5"/>
      </tp>
      <tp>
        <v>2.4849112962163789</v>
        <stp/>
        <stp>##V3_BDPV12</stp>
        <stp>JK8199578 Corp</stp>
        <stp>YLD_YTM_ASK</stp>
        <stp>[BondPricer-0.2.xlsm]AUSTRALIAN_GOVT_TYPE23!R17C14</stp>
        <tr r="N17" s="9"/>
      </tp>
      <tp>
        <v>3.4414611232708392</v>
        <stp/>
        <stp>##V3_BDPV12</stp>
        <stp>EK0221953 Govt</stp>
        <stp>YLD_YTM_ASK</stp>
        <stp>[BondPricer-0.2.xlsm]ITALIAN_BTPS_TYPE523!R40C15</stp>
        <tr r="O40" s="5"/>
      </tp>
      <tp>
        <v>3.6537380807749154</v>
        <stp/>
        <stp>##V3_BDPV12</stp>
        <stp>EK0661877 Govt</stp>
        <stp>YLD_YTM_ASK</stp>
        <stp>[BondPricer-0.2.xlsm]ITALIAN_BTPS_TYPE523!R71C15</stp>
        <tr r="O71" s="5"/>
      </tp>
      <tp>
        <v>3.6943496188079905</v>
        <stp/>
        <stp>##V3_BDPV12</stp>
        <stp>EK0222613 Govt</stp>
        <stp>YLD_YTM_ASK</stp>
        <stp>[BondPricer-0.2.xlsm]ITALIAN_BTPS_TYPE523!R63C15</stp>
        <tr r="O63" s="5"/>
      </tp>
      <tp>
        <v>3.6833452278968393</v>
        <stp/>
        <stp>##V3_BDPV12</stp>
        <stp>EJ4853184 Govt</stp>
        <stp>YLD_YTM_ASK</stp>
        <stp>[BondPricer-0.2.xlsm]ITALIAN_BTPS_TYPE523!R86C15</stp>
        <tr r="O86" s="5"/>
      </tp>
      <tp>
        <v>5.7254299601495973</v>
        <stp/>
        <stp>##V3_BDPV12</stp>
        <stp>912828XB Govt</stp>
        <stp>YAS_RISK</stp>
        <stp>[BondPricer-0.2.xlsm]US_TREASURY_TYPE1!R75C24</stp>
        <stp>YLD_YTM_ASK=3.0808799</stp>
        <stp>YAS_YLD_CONV=3</stp>
        <tr r="X75" s="4"/>
      </tp>
      <tp>
        <v>26.285839471020857</v>
        <stp/>
        <stp>##V3_BDPV12</stp>
        <stp>UV3555439 Govt</stp>
        <stp>DUR_ADJ_ASK</stp>
        <stp>[BondPricer-0.2.xlsm]ITALIAN_BTPS_TYPE523!R165C29</stp>
        <stp>YLD_YTM_ASK=4.13577723564862</stp>
        <stp>YAS_YLD_CONV=1</stp>
        <tr r="AC165" s="5"/>
      </tp>
      <tp>
        <v>4.0762608531345279</v>
        <stp/>
        <stp>##V3_BDPV12</stp>
        <stp>912828R2 Govt</stp>
        <stp>YAS_RISK</stp>
        <stp>[BondPricer-0.2.xlsm]US_TREASURY_TYPE1!R55C24</stp>
        <stp>YLD_YTM_ASK=2.9923178</stp>
        <stp>YAS_YLD_CONV=3</stp>
        <tr r="X55" s="4"/>
      </tp>
      <tp>
        <v>3.8853646279562781</v>
        <stp/>
        <stp>##V3_BDPV12</stp>
        <stp>912828P3 Govt</stp>
        <stp>YAS_RISK</stp>
        <stp>[BondPricer-0.2.xlsm]US_TREASURY_TYPE1!R51C24</stp>
        <stp>YLD_YTM_ASK=2.9861393</stp>
        <stp>YAS_YLD_CONV=3</stp>
        <tr r="X51" s="4"/>
      </tp>
      <tp>
        <v>6.7654578473437255</v>
        <stp/>
        <stp>##V3_BDPV12</stp>
        <stp>912828U2 Govt</stp>
        <stp>YAS_RISK</stp>
        <stp>[BondPricer-0.2.xlsm]US_TREASURY_TYPE1!R85C24</stp>
        <stp>YLD_YTM_ASK=3.1324393</stp>
        <stp>YAS_YLD_CONV=3</stp>
        <tr r="X85" s="4"/>
      </tp>
      <tp>
        <v>8.4759133267215958</v>
        <stp/>
        <stp>##V3_BDPV12</stp>
        <stp>EF1312364 Govt</stp>
        <stp>YAS_RISK</stp>
        <stp>[BondPricer-0.2.xlsm]ITALIAN_BTPS_TYPE523!R124C26</stp>
        <stp>YLD_YTM_ASK=3.91722560433023</stp>
        <stp>YAS_YLD_CONV=33</stp>
        <tr r="Z124" s="5"/>
      </tp>
      <tp>
        <v>99.293000000000049</v>
        <stp/>
        <stp>##V3_BDPV12</stp>
        <stp>EG4069639 Govt</stp>
        <stp>YAS_BOND_PX</stp>
        <stp>[BondPricer-0.2.xlsm]FRENCH_BTAN_TYPE89!R47C20</stp>
        <stp>YAS_BOND_YLD=0.141382746539143</stp>
        <stp>YAS_YLD_CONV=1</stp>
        <tr r="T47" s="8"/>
      </tp>
      <tp>
        <v>8.4864955042508683</v>
        <stp/>
        <stp>##V3_BDPV12</stp>
        <stp>EJ4854638 Govt</stp>
        <stp>YAS_RISK</stp>
        <stp>[BondPricer-0.2.xlsm]ITALIAN_BTPS_TYPE523!R142C26</stp>
        <stp>YLD_YTM_ASK=4.19770032549958</stp>
        <stp>YAS_YLD_CONV=33</stp>
        <tr r="Z142" s="5"/>
      </tp>
      <tp>
        <v>8.2982761219856371</v>
        <stp/>
        <stp>##V3_BDPV12</stp>
        <stp>EK0225319 Govt</stp>
        <stp>YAS_RISK</stp>
        <stp>[BondPricer-0.2.xlsm]ITALIAN_BTPS_TYPE523!R158C26</stp>
        <stp>YLD_YTM_ASK=4.33779313965055</stp>
        <stp>YAS_YLD_CONV=33</stp>
        <tr r="Z158" s="5"/>
      </tp>
      <tp>
        <v>98.317999999999984</v>
        <stp/>
        <stp>##V3_BDPV12</stp>
        <stp>EK3918860 Govt</stp>
        <stp>YAS_BOND_PX</stp>
        <stp>[BondPricer-0.2.xlsm]FRENCH_BTAN_TYPE89!R58C20</stp>
        <stp>YAS_BOND_YLD=0.278157244004928</stp>
        <stp>YAS_YLD_CONV=1</stp>
        <tr r="T58" s="8"/>
      </tp>
      <tp>
        <v>90.49800000000009</v>
        <stp/>
        <stp>##V3_BDPV12</stp>
        <stp>GG7396565 Govt</stp>
        <stp>YAS_BOND_PX</stp>
        <stp>[BondPricer-0.2.xlsm]FRENCH_BTAN_TYPE89!R99C20</stp>
        <stp>YAS_BOND_YLD=0.953540648993201</stp>
        <stp>YAS_YLD_CONV=1</stp>
        <tr r="T99" s="8"/>
      </tp>
      <tp>
        <v>12.659178081730005</v>
        <stp/>
        <stp>##V3_BDPV12</stp>
        <stp>ED1544706 Govt</stp>
        <stp>YAS_RISK</stp>
        <stp>[BondPricer-0.2.xlsm]ITALIAN_BTPS_TYPE523!R117C26</stp>
        <stp>YLD_YTM_ASK=3.79182819786326</stp>
        <stp>YAS_YLD_CONV=33</stp>
        <tr r="Z117" s="5"/>
      </tp>
      <tp>
        <v>7.5876763415168469</v>
        <stp/>
        <stp>##V3_BDPV12</stp>
        <stp>AN2024171 Govt</stp>
        <stp>YAS_RISK</stp>
        <stp>[BondPricer-0.2.xlsm]ITALIAN_BTPS_TYPE523!R202C26</stp>
        <stp>YLD_YTM_ASK=3.95025561880005</stp>
        <stp>YAS_YLD_CONV=33</stp>
        <tr r="Z202" s="5"/>
      </tp>
      <tp>
        <v>8.2350975537270443</v>
        <stp/>
        <stp>##V3_BDPV12</stp>
        <stp>EK0223397 Govt</stp>
        <stp>YAS_RISK</stp>
        <stp>[BondPricer-0.2.xlsm]ITALIAN_BTPS_TYPE523!R104C26</stp>
        <stp>YLD_YTM_ASK=3.43073679570274</stp>
        <stp>YAS_YLD_CONV=33</stp>
        <tr r="Z104" s="5"/>
      </tp>
      <tp>
        <v>8.7250875368518166</v>
        <stp/>
        <stp>##V3_BDPV12</stp>
        <stp>EF1312406 Govt</stp>
        <stp>YAS_RISK</stp>
        <stp>[BondPricer-0.2.xlsm]ITALIAN_BTPS_TYPE523!R128C26</stp>
        <stp>YLD_YTM_ASK=3.86443620107089</stp>
        <stp>YAS_YLD_CONV=33</stp>
        <tr r="Z128" s="5"/>
      </tp>
      <tp>
        <v>102.80000000001615</v>
        <stp/>
        <stp>##V3_BDPV12</stp>
        <stp>AN0904697 Govt</stp>
        <stp>YAS_BOND_PX</stp>
        <stp>[BondPricer-0.2.xlsm]FRENCH_BTAN_TYPE89!R84C20</stp>
        <stp>YAS_BOND_YLD=0.663964224305064</stp>
        <stp>YAS_YLD_CONV=1</stp>
        <tr r="T84" s="8"/>
      </tp>
      <tp>
        <v>102.80000000001615</v>
        <stp/>
        <stp>##V3_BDPV12</stp>
        <stp>AN0904697 Govt</stp>
        <stp>YAS_BOND_PX</stp>
        <stp>[BondPricer-0.2.xlsm]FRENCH_BTAN_TYPE89!R87C20</stp>
        <stp>YAS_BOND_YLD=0.663964224305064</stp>
        <stp>YAS_YLD_CONV=1</stp>
        <tr r="T87" s="8"/>
      </tp>
      <tp>
        <v>102.80000000001615</v>
        <stp/>
        <stp>##V3_BDPV12</stp>
        <stp>AN0904697 Govt</stp>
        <stp>YAS_BOND_PX</stp>
        <stp>[BondPricer-0.2.xlsm]FRENCH_BTAN_TYPE89!R86C20</stp>
        <stp>YAS_BOND_YLD=0.663964224305064</stp>
        <stp>YAS_YLD_CONV=1</stp>
        <tr r="T86" s="8"/>
      </tp>
      <tp>
        <v>90.456999999999951</v>
        <stp/>
        <stp>##V3_BDPV12</stp>
        <stp>EJ6178747 Govt</stp>
        <stp>YAS_BOND_PX</stp>
        <stp>[BondPricer-0.2.xlsm]FRENCH_BTAN_TYPE89!R100C20</stp>
        <stp>YAS_BOND_YLD=0.950428440094364</stp>
        <stp>YAS_YLD_CONV=1</stp>
        <tr r="T100" s="8"/>
      </tp>
      <tp>
        <v>3.4259715078161834</v>
        <stp/>
        <stp>##V3_BDPV12</stp>
        <stp>GG7302712 Govt</stp>
        <stp>YLD_YTM_ASK</stp>
        <stp>[BondPricer-0.2.xlsm]ITALIAN_BTPS_TYPE523!R51C15</stp>
        <tr r="O51" s="5"/>
      </tp>
      <tp>
        <v>2.7455626473854799</v>
        <stp/>
        <stp>##V3_BDPV12</stp>
        <stp>GG7302662 Govt</stp>
        <stp>YLD_YTM_ASK</stp>
        <stp>[BondPricer-0.2.xlsm]ITALIAN_BTPS_TYPE523!R22C15</stp>
        <tr r="O22" s="5"/>
      </tp>
      <tp>
        <v>3.659559461894113</v>
        <stp/>
        <stp>##V3_BDPV12</stp>
        <stp>EC1067726 Govt</stp>
        <stp>YLD_YTM_ASK</stp>
        <stp>[BondPricer-0.2.xlsm]ITALIAN_BTPS_TYPE523!R77C15</stp>
        <tr r="O77" s="5"/>
      </tp>
      <tp>
        <v>3.5950037716656542</v>
        <stp/>
        <stp>##V3_BDPV12</stp>
        <stp>AL4159805 Corp</stp>
        <stp>YLD_YTM_ASK</stp>
        <stp>[BondPricer-0.2.xlsm]AUSTRALIAN_GOVT_TYPE23!R39C14</stp>
        <tr r="N39" s="9"/>
      </tp>
      <tp>
        <v>3.6812329669522859</v>
        <stp/>
        <stp>##V3_BDPV12</stp>
        <stp>EC5588628 Govt</stp>
        <stp>YLD_YTM_ASK</stp>
        <stp>[BondPricer-0.2.xlsm]ITALIAN_BTPS_TYPE523!R78C15</stp>
        <tr r="O78" s="5"/>
      </tp>
      <tp>
        <v>3.4059552274775529</v>
        <stp/>
        <stp>##V3_BDPV12</stp>
        <stp>EK0221532 Govt</stp>
        <stp>YLD_YTM_ASK</stp>
        <stp>[BondPricer-0.2.xlsm]ITALIAN_BTPS_TYPE523!R35C15</stp>
        <tr r="O35" s="5"/>
      </tp>
      <tp>
        <v>4.4099809927516276</v>
        <stp/>
        <stp>##V3_BDPV12</stp>
        <stp>912828VS Govt</stp>
        <stp>YAS_RISK</stp>
        <stp>[BondPricer-0.2.xlsm]US_TREASURY_TYPE1!R61C24</stp>
        <stp>YLD_YTM_ASK=2.9997686</stp>
        <stp>YAS_YLD_CONV=3</stp>
        <tr r="X61" s="4"/>
      </tp>
      <tp>
        <v>3.4910644237491795</v>
        <stp/>
        <stp>##V3_BDPV12</stp>
        <stp>912828XQ Govt</stp>
        <stp>YAS_RISK</stp>
        <stp>[BondPricer-0.2.xlsm]US_TREASURY_TYPE1!R44C24</stp>
        <stp>YLD_YTM_ASK=2.9559662</stp>
        <stp>YAS_YLD_CONV=3</stp>
        <tr r="X44" s="4"/>
      </tp>
      <tp>
        <v>4.781783179731744</v>
        <stp/>
        <stp>##V3_BDPV12</stp>
        <stp>QZ5107748 Govt</stp>
        <stp>DUR_ADJ_ASK</stp>
        <stp>[BondPricer-0.2.xlsm]ITALIAN_BTPS_TYPE523!R17C29</stp>
        <stp>YLD_YTM_ASK=2.88722706779774</stp>
        <stp>YAS_YLD_CONV=1</stp>
        <tr r="AC17" s="5"/>
      </tp>
      <tp>
        <v>2.4743101349081087</v>
        <stp/>
        <stp>##V3_BDPV12</stp>
        <stp>912828WN Govt</stp>
        <stp>YAS_RISK</stp>
        <stp>[BondPricer-0.2.xlsm]US_TREASURY_TYPE1!R17C24</stp>
        <stp>YLD_YTM_ASK=2.8996293</stp>
        <stp>YAS_YLD_CONV=3</stp>
        <tr r="X17" s="4"/>
      </tp>
      <tp>
        <v>102.224</v>
        <stp/>
        <stp>##V3_BDPV12</stp>
        <stp>AQ7824545 Corp</stp>
        <stp>YAS_BOND_PX</stp>
        <stp>[BondPricer-0.2.xlsm]AUSTRALIAN_GOVT_TYPE23!R53C22</stp>
        <stp>YAS_BOND_YLD=2.6337725105709</stp>
        <stp>YAS_YLD_CONV=3</stp>
        <tr r="V53" s="9"/>
      </tp>
      <tp>
        <v>18.226365793275544</v>
        <stp/>
        <stp>##V3_BDPV12</stp>
        <stp>JV9105265 Govt</stp>
        <stp>DUR_ADJ_ASK</stp>
        <stp>[BondPricer-0.2.xlsm]ITALIAN_BTPS_TYPE523!R168C29</stp>
        <stp>YLD_YTM_ASK=3.76790028562364</stp>
        <stp>YAS_YLD_CONV=1</stp>
        <tr r="AC168" s="5"/>
      </tp>
      <tp>
        <v>2.2213033760927203</v>
        <stp/>
        <stp>##V3_BDPV12</stp>
        <stp>912828P8 Govt</stp>
        <stp>YAS_RISK</stp>
        <stp>[BondPricer-0.2.xlsm]US_TREASURY_TYPE1!R10C24</stp>
        <stp>YLD_YTM_ASK=2.8912735</stp>
        <stp>YAS_YLD_CONV=3</stp>
        <tr r="X10" s="4"/>
      </tp>
      <tp>
        <v>2.9881270394440662</v>
        <stp/>
        <stp>##V3_BDPV12</stp>
        <stp>912828U8 Govt</stp>
        <stp>YAS_RISK</stp>
        <stp>[BondPricer-0.2.xlsm]US_TREASURY_TYPE1!R33C24</stp>
        <stp>YLD_YTM_ASK=2.9377734</stp>
        <stp>YAS_YLD_CONV=3</stp>
        <tr r="X33" s="4"/>
      </tp>
      <tp>
        <v>4.2336541134218919</v>
        <stp/>
        <stp>##V3_BDPV12</stp>
        <stp>912828S9 Govt</stp>
        <stp>YAS_RISK</stp>
        <stp>[BondPricer-0.2.xlsm]US_TREASURY_TYPE1!R59C24</stp>
        <stp>YLD_YTM_ASK=3.0021805</stp>
        <stp>YAS_YLD_CONV=3</stp>
        <tr r="X59" s="4"/>
      </tp>
      <tp>
        <v>4.1424820133421747</v>
        <stp/>
        <stp>##V3_BDPV12</stp>
        <stp>912828R6 Govt</stp>
        <stp>YAS_RISK</stp>
        <stp>[BondPricer-0.2.xlsm]US_TREASURY_TYPE1!R57C24</stp>
        <stp>YLD_YTM_ASK=2.9950582</stp>
        <stp>YAS_YLD_CONV=3</stp>
        <tr r="X57" s="4"/>
      </tp>
      <tp>
        <v>2.4499503753254714</v>
        <stp/>
        <stp>##V3_BDPV12</stp>
        <stp>912828R7 Govt</stp>
        <stp>YAS_RISK</stp>
        <stp>[BondPricer-0.2.xlsm]US_TREASURY_TYPE1!R16C24</stp>
        <stp>YLD_YTM_ASK=2.9040778</stp>
        <stp>YAS_YLD_CONV=3</stp>
        <tr r="X16" s="4"/>
      </tp>
      <tp>
        <v>7.9473192668153558</v>
        <stp/>
        <stp>##V3_BDPV12</stp>
        <stp>JV8619506 Govt</stp>
        <stp>YAS_RISK</stp>
        <stp>[BondPricer-0.2.xlsm]ITALIAN_BTPS_TYPE523!R106C26</stp>
        <stp>YLD_YTM_ASK=3.82609995481775</stp>
        <stp>YAS_YLD_CONV=33</stp>
        <tr r="Z106" s="5"/>
      </tp>
      <tp>
        <v>7.9315860349367995</v>
        <stp/>
        <stp>##V3_BDPV12</stp>
        <stp>EK0224833 Govt</stp>
        <stp>YAS_RISK</stp>
        <stp>[BondPricer-0.2.xlsm]ITALIAN_BTPS_TYPE523!R153C26</stp>
        <stp>YLD_YTM_ASK=4.53665066730584</stp>
        <stp>YAS_YLD_CONV=33</stp>
        <tr r="Z153" s="5"/>
      </tp>
      <tp>
        <v>98.034999999999926</v>
        <stp/>
        <stp>##V3_BDPV12</stp>
        <stp>GG7396524 Govt</stp>
        <stp>YAS_BOND_PX</stp>
        <stp>[BondPricer-0.2.xlsm]FRENCH_BTAN_TYPE89!R60C20</stp>
        <stp>YAS_BOND_YLD=0.304818853462629</stp>
        <stp>YAS_YLD_CONV=1</stp>
        <tr r="T60" s="8"/>
      </tp>
      <tp>
        <v>7.7716676827872533</v>
        <stp/>
        <stp>##V3_BDPV12</stp>
        <stp>AN2018165 Govt</stp>
        <stp>YAS_RISK</stp>
        <stp>[BondPricer-0.2.xlsm]ITALIAN_BTPS_TYPE523!R193C26</stp>
        <stp>YLD_YTM_ASK=4.06266034432057</stp>
        <stp>YAS_YLD_CONV=33</stp>
        <tr r="Z193" s="5"/>
      </tp>
      <tp>
        <v>7.7116069461478531</v>
        <stp/>
        <stp>##V3_BDPV12</stp>
        <stp>EC5588966 Govt</stp>
        <stp>YAS_RISK</stp>
        <stp>[BondPricer-0.2.xlsm]ITALIAN_BTPS_TYPE523!R101C26</stp>
        <stp>YLD_YTM_ASK=3.88327050657591</stp>
        <stp>YAS_YLD_CONV=33</stp>
        <tr r="Z101" s="5"/>
      </tp>
      <tp>
        <v>3.7222435695548395</v>
        <stp/>
        <stp>##V3_BDPV12</stp>
        <stp>QZ7665156 Govt</stp>
        <stp>YLD_YTM_ASK</stp>
        <stp>[BondPricer-0.2.xlsm]ITALIAN_BTPS_TYPE523!R209C15</stp>
        <tr r="O209" s="5"/>
      </tp>
      <tp>
        <v>8.5834877983121061</v>
        <stp/>
        <stp>##V3_BDPV12</stp>
        <stp>EK0225855 Govt</stp>
        <stp>YAS_RISK</stp>
        <stp>[BondPricer-0.2.xlsm]ITALIAN_BTPS_TYPE523!R162C26</stp>
        <stp>YLD_YTM_ASK=4.19128956056747</stp>
        <stp>YAS_YLD_CONV=33</stp>
        <tr r="Z162" s="5"/>
      </tp>
      <tp>
        <v>8.7242385009304257</v>
        <stp/>
        <stp>##V3_BDPV12</stp>
        <stp>EK0097619 Govt</stp>
        <stp>YAS_RISK</stp>
        <stp>[BondPricer-0.2.xlsm]ITALIAN_BTPS_TYPE523!R151C26</stp>
        <stp>YLD_YTM_ASK=4.10045837906641</stp>
        <stp>YAS_YLD_CONV=33</stp>
        <tr r="Z151" s="5"/>
      </tp>
      <tp>
        <v>9.950502013492013</v>
        <stp/>
        <stp>##V3_BDPV12</stp>
        <stp>LW2047824 Govt</stp>
        <stp>YAS_RISK</stp>
        <stp>[BondPricer-0.2.xlsm]ITALIAN_BTPS_TYPE523!R169C26</stp>
        <stp>YLD_YTM_ASK=3.63166814662448</stp>
        <stp>YAS_YLD_CONV=33</stp>
        <tr r="Z169" s="5"/>
      </tp>
      <tp>
        <v>92.590000000000018</v>
        <stp/>
        <stp>##V3_BDPV12</stp>
        <stp>EJ6178697 Govt</stp>
        <stp>YAS_BOND_PX</stp>
        <stp>[BondPricer-0.2.xlsm]FRENCH_BTAN_TYPE89!R93C20</stp>
        <stp>YAS_BOND_YLD=0.804962919937613</stp>
        <stp>YAS_YLD_CONV=1</stp>
        <tr r="T93" s="8"/>
      </tp>
      <tp>
        <v>7.4609364082208529</v>
        <stp/>
        <stp>##V3_BDPV12</stp>
        <stp>AN2030939 Govt</stp>
        <stp>YAS_RISK</stp>
        <stp>[BondPricer-0.2.xlsm]ITALIAN_BTPS_TYPE523!R208C26</stp>
        <stp>YLD_YTM_ASK=3.87674017009423</stp>
        <stp>YAS_YLD_CONV=33</stp>
        <tr r="Z208" s="5"/>
      </tp>
      <tp>
        <v>3.8260999548177521</v>
        <stp/>
        <stp>##V3_BDPV12</stp>
        <stp>JV8619506 Govt</stp>
        <stp>YLD_YTM_ASK</stp>
        <stp>[BondPricer-0.2.xlsm]ITALIAN_BTPS_TYPE523!R106C15</stp>
        <tr r="O106" s="5"/>
      </tp>
      <tp>
        <v>7.7124748337404014</v>
        <stp/>
        <stp>##V3_BDPV12</stp>
        <stp>AN2018678 Govt</stp>
        <stp>YAS_RISK</stp>
        <stp>[BondPricer-0.2.xlsm]ITALIAN_BTPS_TYPE523!R194C26</stp>
        <stp>YLD_YTM_ASK=4.06296973306941</stp>
        <stp>YAS_YLD_CONV=33</stp>
        <tr r="Z194" s="5"/>
      </tp>
      <tp>
        <v>99.473999999999947</v>
        <stp/>
        <stp>##V3_BDPV12</stp>
        <stp>AL9975494 Govt</stp>
        <stp>YAS_BOND_PX</stp>
        <stp>[BondPricer-0.2.xlsm]GERMAN_BUND_TYPE60!R24C20</stp>
        <stp>YAS_BOND_YLD=0.314051894246553</stp>
        <stp>YAS_YLD_CONV=1</stp>
        <tr r="T24" s="6"/>
      </tp>
      <tp>
        <v>4.6534107472992439</v>
        <stp/>
        <stp>##V3_BDPV12</stp>
        <stp>EJ8158960 Govt</stp>
        <stp>DUR_ADJ_ASK</stp>
        <stp>[BondPricer-0.2.xlsm]GERMAN_BUND_TYPE60!R15C27</stp>
        <stp>YLD_YTM_ASK=-0.151622720202418</stp>
        <stp>YAS_YLD_CONV=1</stp>
        <tr r="AA15" s="6"/>
      </tp>
      <tp>
        <v>3.5621862002161775</v>
        <stp/>
        <stp>##V3_BDPV12</stp>
        <stp>EK0661695 Govt</stp>
        <stp>YLD_YTM_ASK</stp>
        <stp>[BondPricer-0.2.xlsm]ITALIAN_BTPS_TYPE523!R58C15</stp>
        <tr r="O58" s="5"/>
      </tp>
      <tp>
        <v>3.6947710771016107</v>
        <stp/>
        <stp>##V3_BDPV12</stp>
        <stp>EK0661935 Govt</stp>
        <stp>YLD_YTM_ASK</stp>
        <stp>[BondPricer-0.2.xlsm]ITALIAN_BTPS_TYPE523!R76C15</stp>
        <tr r="O76" s="5"/>
      </tp>
      <tp>
        <v>2.6495456483771607</v>
        <stp/>
        <stp>##V3_BDPV12</stp>
        <stp>EC0129931 Govt</stp>
        <stp>YLD_YTM_ASK</stp>
        <stp>[BondPricer-0.2.xlsm]ITALIAN_BTPS_TYPE523!R20C15</stp>
        <tr r="O20" s="5"/>
      </tp>
      <tp>
        <v>3.5724710103729018</v>
        <stp/>
        <stp>##V3_BDPV12</stp>
        <stp>EK0222431 Govt</stp>
        <stp>YLD_YTM_ASK</stp>
        <stp>[BondPricer-0.2.xlsm]ITALIAN_BTPS_TYPE523!R57C15</stp>
        <tr r="O57" s="5"/>
      </tp>
      <tp>
        <v>3.6376739776163625</v>
        <stp/>
        <stp>##V3_BDPV12</stp>
        <stp>EJ4853036 Govt</stp>
        <stp>YLD_YTM_ASK</stp>
        <stp>[BondPricer-0.2.xlsm]ITALIAN_BTPS_TYPE523!R66C15</stp>
        <tr r="O66" s="5"/>
      </tp>
      <tp>
        <v>3.766513432618912</v>
        <stp/>
        <stp>##V3_BDPV12</stp>
        <stp>EK0662115 Govt</stp>
        <stp>YLD_YTM_ASK</stp>
        <stp>[BondPricer-0.2.xlsm]ITALIAN_BTPS_TYPE523!R84C15</stp>
        <tr r="O84" s="5"/>
      </tp>
      <tp>
        <v>2.2402530709638526</v>
        <stp/>
        <stp>##V3_BDPV12</stp>
        <stp>EJ6776938 Corp</stp>
        <stp>YLD_YTM_ASK</stp>
        <stp>[BondPricer-0.2.xlsm]AUSTRALIAN_GOVT_TYPE23!R26C14</stp>
        <tr r="N26" s="9"/>
      </tp>
      <tp>
        <v>3.7030659755572515</v>
        <stp/>
        <stp>##V3_BDPV12</stp>
        <stp>912828TY Govt</stp>
        <stp>YAS_RISK</stp>
        <stp>[BondPricer-0.2.xlsm]US_TREASURY_TYPE1!R49C24</stp>
        <stp>YLD_YTM_ASK=2.9736253</stp>
        <stp>YAS_YLD_CONV=3</stp>
        <tr r="X49" s="4"/>
      </tp>
      <tp>
        <v>2.6341794068017066</v>
        <stp/>
        <stp>##V3_BDPV12</stp>
        <stp>912828WY Govt</stp>
        <stp>YAS_RISK</stp>
        <stp>[BondPricer-0.2.xlsm]US_TREASURY_TYPE1!R21C24</stp>
        <stp>YLD_YTM_ASK=2.9125788</stp>
        <stp>YAS_YLD_CONV=3</stp>
        <tr r="X21" s="4"/>
      </tp>
      <tp>
        <v>2.396516443198426</v>
        <stp/>
        <stp>##V3_BDPV12</stp>
        <stp>EI7993450 Corp</stp>
        <stp>DUR_ADJ_ASK</stp>
        <stp>[BondPricer-0.2.xlsm]AUSTRALIAN_GOVT_TYPE23!R9C30</stp>
        <stp>YLD_YTM_ASK=2.22683790700587</stp>
        <stp>YAS_YLD_CONV=3</stp>
        <tr r="AD9" s="9"/>
      </tp>
      <tp>
        <v>15.69333580040464</v>
        <stp/>
        <stp>##V3_BDPV12</stp>
        <stp>912810PW Govt</stp>
        <stp>YAS_RISK</stp>
        <stp>[BondPricer-0.2.xlsm]US_TREASURY_TYPE1!R99C24</stp>
        <stp>YLD_YTM_ASK=3.2452343</stp>
        <stp>YAS_YLD_CONV=3</stp>
        <tr r="X99" s="4"/>
      </tp>
      <tp>
        <v>1.0148693731318765</v>
        <stp/>
        <stp>##V3_BDPV12</stp>
        <stp>QZ032122 Corp</stp>
        <stp>YLD_YTM_ASK</stp>
        <stp>[BondPricer-0.2.xlsm]UK_GILT_TYPE26!R9C13</stp>
        <tr r="M9" s="13"/>
      </tp>
      <tp>
        <v>2.5856054872186007</v>
        <stp/>
        <stp>##V3_BDPV12</stp>
        <stp>912828S7 Govt</stp>
        <stp>YAS_RISK</stp>
        <stp>[BondPricer-0.2.xlsm]US_TREASURY_TYPE1!R20C24</stp>
        <stp>YLD_YTM_ASK=2.9150823</stp>
        <stp>YAS_YLD_CONV=3</stp>
        <tr r="X20" s="4"/>
      </tp>
      <tp>
        <v>4.7516344919195319</v>
        <stp/>
        <stp>##V3_BDPV12</stp>
        <stp>912828V8 Govt</stp>
        <stp>YAS_RISK</stp>
        <stp>[BondPricer-0.2.xlsm]US_TREASURY_TYPE1!R68C24</stp>
        <stp>YLD_YTM_ASK=3.0235032</stp>
        <stp>YAS_YLD_CONV=3</stp>
        <tr r="X68" s="4"/>
      </tp>
      <tp>
        <v>3.0536431715837864</v>
        <stp/>
        <stp>##V3_BDPV12</stp>
        <stp>912828V7 Govt</stp>
        <stp>YAS_RISK</stp>
        <stp>[BondPricer-0.2.xlsm]US_TREASURY_TYPE1!R35C24</stp>
        <stp>YLD_YTM_ASK=2.9455587</stp>
        <stp>YAS_YLD_CONV=3</stp>
        <tr r="X35" s="4"/>
      </tp>
      <tp>
        <v>7.7303360889851902</v>
        <stp/>
        <stp>##V3_BDPV12</stp>
        <stp>AN2019403 Govt</stp>
        <stp>YAS_RISK</stp>
        <stp>[BondPricer-0.2.xlsm]ITALIAN_BTPS_TYPE523!R195C26</stp>
        <stp>YLD_YTM_ASK=4.03824847158001</stp>
        <stp>YAS_YLD_CONV=33</stp>
        <tr r="Z195" s="5"/>
      </tp>
      <tp>
        <v>15.01034065536615</v>
        <stp/>
        <stp>##V3_BDPV12</stp>
        <stp>JV9105265 Govt</stp>
        <stp>YAS_RISK</stp>
        <stp>[BondPricer-0.2.xlsm]ITALIAN_BTPS_TYPE523!R168C26</stp>
        <stp>YLD_YTM_ASK=3.76790028562364</stp>
        <stp>YAS_YLD_CONV=33</stp>
        <tr r="Z168" s="5"/>
      </tp>
      <tp>
        <v>8.3618168899668888</v>
        <stp/>
        <stp>##V3_BDPV12</stp>
        <stp>EK0662958 Govt</stp>
        <stp>YAS_RISK</stp>
        <stp>[BondPricer-0.2.xlsm]ITALIAN_BTPS_TYPE523!R123C26</stp>
        <stp>YLD_YTM_ASK=3.94359642840185</stp>
        <stp>YAS_YLD_CONV=33</stp>
        <tr r="Z123" s="5"/>
      </tp>
      <tp>
        <v>8.0293341445385025</v>
        <stp/>
        <stp>##V3_BDPV12</stp>
        <stp>AN2010295 Govt</stp>
        <stp>YAS_RISK</stp>
        <stp>[BondPricer-0.2.xlsm]ITALIAN_BTPS_TYPE523!R184C26</stp>
        <stp>YLD_YTM_ASK=4.14310018858579</stp>
        <stp>YAS_YLD_CONV=33</stp>
        <tr r="Z184" s="5"/>
      </tp>
      <tp>
        <v>8.2502664153675909</v>
        <stp/>
        <stp>##V3_BDPV12</stp>
        <stp>ED1666632 Govt</stp>
        <stp>YAS_RISK</stp>
        <stp>[BondPricer-0.2.xlsm]ITALIAN_BTPS_TYPE523!R120C26</stp>
        <stp>YLD_YTM_ASK=3.94200654156485</stp>
        <stp>YAS_YLD_CONV=33</stp>
        <tr r="Z120" s="5"/>
      </tp>
      <tp>
        <v>97.748000000000047</v>
        <stp/>
        <stp>##V3_BDPV12</stp>
        <stp>EJ6178242 Govt</stp>
        <stp>YAS_BOND_PX</stp>
        <stp>[BondPricer-0.2.xlsm]FRENCH_BTAN_TYPE89!R62C20</stp>
        <stp>YAS_BOND_YLD=0.345565348515642</stp>
        <stp>YAS_YLD_CONV=1</stp>
        <tr r="T62" s="8"/>
      </tp>
      <tp>
        <v>108.98600000036551</v>
        <stp/>
        <stp>##V3_BDPV12</stp>
        <stp>EK3074136 Govt</stp>
        <stp>YAS_BOND_PX</stp>
        <stp>[BondPricer-0.2.xlsm]FRENCH_BTAN_TYPE89!R57C20</stp>
        <stp>YAS_BOND_YLD=0.264632901515182</stp>
        <stp>YAS_YLD_CONV=1</stp>
        <tr r="T57" s="8"/>
      </tp>
      <tp>
        <v>93.84500000000007</v>
        <stp/>
        <stp>##V3_BDPV12</stp>
        <stp>EI0428918 Govt</stp>
        <stp>YAS_BOND_PX</stp>
        <stp>[BondPricer-0.2.xlsm]FRENCH_BTAN_TYPE89!R89C20</stp>
        <stp>YAS_BOND_YLD=0.706611151736736</stp>
        <stp>YAS_YLD_CONV=1</stp>
        <tr r="T89" s="8"/>
      </tp>
      <tp>
        <v>97.976562506192039</v>
        <stp/>
        <stp>##V3_BDPV12</stp>
        <stp>912828B9 Govt</stp>
        <stp>YAS_BOND_PX</stp>
        <stp>[BondPricer-0.2.xlsm]US_TREASURY_TYPE1!R11C20</stp>
        <stp>YAS_BOND_YLD=2.887811</stp>
        <stp>YAS_YLD_CONV=2</stp>
        <tr r="T11" s="4"/>
      </tp>
      <tp>
        <v>96.63000000000001</v>
        <stp/>
        <stp>##V3_BDPV12</stp>
        <stp>JV1835729 Govt</stp>
        <stp>YAS_BOND_PX</stp>
        <stp>[BondPricer-0.2.xlsm]FRENCH_BTAN_TYPE89!R70C20</stp>
        <stp>YAS_BOND_YLD=0.483529973957997</stp>
        <stp>YAS_YLD_CONV=1</stp>
        <tr r="T70" s="8"/>
      </tp>
      <tp>
        <v>9.6300230542333054</v>
        <stp/>
        <stp>##V3_BDPV12</stp>
        <stp>UV3555454 Govt</stp>
        <stp>YAS_RISK</stp>
        <stp>[BondPricer-0.2.xlsm]ITALIAN_BTPS_TYPE523!R167C26</stp>
        <stp>YLD_YTM_ASK=3.74942236664719</stp>
        <stp>YAS_YLD_CONV=33</stp>
        <tr r="Z167" s="5"/>
      </tp>
      <tp>
        <v>3.6075144249509972</v>
        <stp/>
        <stp>##V3_BDPV12</stp>
        <stp>EC1067684 Govt</stp>
        <stp>YLD_YTM_ASK</stp>
        <stp>[BondPricer-0.2.xlsm]ITALIAN_BTPS_TYPE523!R72C15</stp>
        <tr r="O72" s="5"/>
      </tp>
      <tp>
        <v>2.9893625616388864</v>
        <stp/>
        <stp>##V3_BDPV12</stp>
        <stp>EJ4854737 Govt</stp>
        <stp>YLD_YTM_ASK</stp>
        <stp>[BondPricer-0.2.xlsm]ITALIAN_BTPS_TYPE523!R15C15</stp>
        <tr r="O15" s="5"/>
      </tp>
      <tp>
        <v>2.6089509398686692</v>
        <stp/>
        <stp>##V3_BDPV12</stp>
        <stp>EI8492650 Corp</stp>
        <stp>YLD_YTM_ASK</stp>
        <stp>[BondPricer-0.2.xlsm]AUSTRALIAN_GOVT_TYPE23!R40C14</stp>
        <tr r="N40" s="9"/>
      </tp>
      <tp>
        <v>2.2988316974059928</v>
        <stp/>
        <stp>##V3_BDPV12</stp>
        <stp>EC9870790 Corp</stp>
        <stp>YLD_YTM_ASK</stp>
        <stp>[BondPricer-0.2.xlsm]AUSTRALIAN_GOVT_TYPE23!R10C14</stp>
        <tr r="N10" s="9"/>
      </tp>
      <tp>
        <v>3.6961877345994494</v>
        <stp/>
        <stp>##V3_BDPV12</stp>
        <stp>EH2972345 Govt</stp>
        <stp>YLD_YTM_ASK</stp>
        <stp>[BondPricer-0.2.xlsm]ITALIAN_BTPS_TYPE523!R59C15</stp>
        <tr r="O59" s="5"/>
      </tp>
      <tp>
        <v>3.7963711114056498</v>
        <stp/>
        <stp>##V3_BDPV12</stp>
        <stp>EK0222910 Govt</stp>
        <stp>YLD_YTM_ASK</stp>
        <stp>[BondPricer-0.2.xlsm]ITALIAN_BTPS_TYPE523!R83C15</stp>
        <tr r="O83" s="5"/>
      </tp>
      <tp>
        <v>3.5752511856331326</v>
        <stp/>
        <stp>##V3_BDPV12</stp>
        <stp>EK0222670 Govt</stp>
        <stp>YLD_YTM_ASK</stp>
        <stp>[BondPricer-0.2.xlsm]ITALIAN_BTPS_TYPE523!R70C15</stp>
        <tr r="O70" s="5"/>
      </tp>
      <tp>
        <v>2.9479615250781444</v>
        <stp/>
        <stp>##V3_BDPV12</stp>
        <stp>EK8211675 Corp</stp>
        <stp>YLD_YTM_ASK</stp>
        <stp>[BondPricer-0.2.xlsm]AUSTRALIAN_GOVT_TYPE23!R56C14</stp>
        <tr r="N56" s="9"/>
      </tp>
      <tp>
        <v>15.98722032763007</v>
        <stp/>
        <stp>##V3_BDPV12</stp>
        <stp>912810PU Govt</stp>
        <stp>YAS_RISK</stp>
        <stp>[BondPricer-0.2.xlsm]US_TREASURY_TYPE1!R98C24</stp>
        <stp>YLD_YTM_ASK=3.2263826</stp>
        <stp>YAS_YLD_CONV=3</stp>
        <tr r="X98" s="4"/>
      </tp>
      <tp>
        <v>3.2951919309425648</v>
        <stp/>
        <stp>##V3_BDPV12</stp>
        <stp>912828SV Govt</stp>
        <stp>YAS_RISK</stp>
        <stp>[BondPricer-0.2.xlsm]US_TREASURY_TYPE1!R41C24</stp>
        <stp>YLD_YTM_ASK=2.9510596</stp>
        <stp>YAS_YLD_CONV=3</stp>
        <tr r="X41" s="4"/>
      </tp>
      <tp>
        <v>2.3646657389293173</v>
        <stp/>
        <stp>##V3_BDPV12</stp>
        <stp>EJ6773588 Corp</stp>
        <stp>DUR_ADJ_ASK</stp>
        <stp>[BondPricer-0.2.xlsm]AUSTRALIAN_GOVT_TYPE23!R8C30</stp>
        <stp>YLD_YTM_ASK=2.03016090314518</stp>
        <stp>YAS_YLD_CONV=3</stp>
        <tr r="AD8" s="9"/>
      </tp>
      <tp>
        <v>2.4798886416377286</v>
        <stp/>
        <stp>##V3_BDPV12</stp>
        <stp>912828QN Govt</stp>
        <stp>YAS_RISK</stp>
        <stp>[BondPricer-0.2.xlsm]US_TREASURY_TYPE1!R15C24</stp>
        <stp>YLD_YTM_ASK=2.8872095</stp>
        <stp>YAS_YLD_CONV=3</stp>
        <tr r="X15" s="4"/>
      </tp>
      <tp>
        <v>27.378665193550614</v>
        <stp/>
        <stp>##V3_BDPV12</stp>
        <stp>LW2047824 Govt</stp>
        <stp>DUR_ADJ_ASK</stp>
        <stp>[BondPricer-0.2.xlsm]ITALIAN_BTPS_TYPE523!R169C29</stp>
        <stp>YLD_YTM_ASK=3.63166814662448</stp>
        <stp>YAS_YLD_CONV=1</stp>
        <tr r="AC169" s="5"/>
      </tp>
      <tp>
        <v>2.2992160713336318</v>
        <stp/>
        <stp>##V3_BDPV12</stp>
        <stp>912828Q3 Govt</stp>
        <stp>YAS_RISK</stp>
        <stp>[BondPricer-0.2.xlsm]US_TREASURY_TYPE1!R12C24</stp>
        <stp>YLD_YTM_ASK=2.8855524</stp>
        <stp>YAS_YLD_CONV=3</stp>
        <tr r="X12" s="4"/>
      </tp>
      <tp>
        <v>3.1247450652912789</v>
        <stp/>
        <stp>##V3_BDPV12</stp>
        <stp>912828W5 Govt</stp>
        <stp>YAS_RISK</stp>
        <stp>[BondPricer-0.2.xlsm]US_TREASURY_TYPE1!R38C24</stp>
        <stp>YLD_YTM_ASK=2.9453274</stp>
        <stp>YAS_YLD_CONV=3</stp>
        <tr r="X38" s="4"/>
      </tp>
      <tp>
        <v>4.6853265260160981</v>
        <stp/>
        <stp>##V3_BDPV12</stp>
        <stp>912828V2 Govt</stp>
        <stp>YAS_RISK</stp>
        <stp>[BondPricer-0.2.xlsm]US_TREASURY_TYPE1!R67C24</stp>
        <stp>YLD_YTM_ASK=3.0152849</stp>
        <stp>YAS_YLD_CONV=3</stp>
        <tr r="X67" s="4"/>
      </tp>
      <tp>
        <v>7.9425163501028351</v>
        <stp/>
        <stp>##V3_BDPV12</stp>
        <stp>AN2014727 Govt</stp>
        <stp>YAS_RISK</stp>
        <stp>[BondPricer-0.2.xlsm]ITALIAN_BTPS_TYPE523!R189C26</stp>
        <stp>YLD_YTM_ASK=4.08162564529277</stp>
        <stp>YAS_YLD_CONV=33</stp>
        <tr r="Z189" s="5"/>
      </tp>
      <tp>
        <v>8.0740671874938386</v>
        <stp/>
        <stp>##V3_BDPV12</stp>
        <stp>EK0225434 Govt</stp>
        <stp>YAS_RISK</stp>
        <stp>[BondPricer-0.2.xlsm]ITALIAN_BTPS_TYPE523!R159C26</stp>
        <stp>YLD_YTM_ASK=4.44459191168793</stp>
        <stp>YAS_YLD_CONV=33</stp>
        <tr r="Z159" s="5"/>
      </tp>
      <tp>
        <v>91.875999999999905</v>
        <stp/>
        <stp>##V3_BDPV12</stp>
        <stp>EI0428959 Govt</stp>
        <stp>YAS_BOND_PX</stp>
        <stp>[BondPricer-0.2.xlsm]FRENCH_BTAN_TYPE89!R94C20</stp>
        <stp>YAS_BOND_YLD=0.849034424790096</stp>
        <stp>YAS_YLD_CONV=1</stp>
        <tr r="T94" s="8"/>
      </tp>
      <tp>
        <v>8.0144043288145284</v>
        <stp/>
        <stp>##V3_BDPV12</stp>
        <stp>AN2011285 Govt</stp>
        <stp>YAS_RISK</stp>
        <stp>[BondPricer-0.2.xlsm]ITALIAN_BTPS_TYPE523!R185C26</stp>
        <stp>YLD_YTM_ASK=4.13029708191053</stp>
        <stp>YAS_YLD_CONV=33</stp>
        <tr r="Z185" s="5"/>
      </tp>
      <tp>
        <v>8.6944858810678483</v>
        <stp/>
        <stp>##V3_BDPV12</stp>
        <stp>EH2420238 Govt</stp>
        <stp>YAS_RISK</stp>
        <stp>[BondPricer-0.2.xlsm]ITALIAN_BTPS_TYPE523!R143C26</stp>
        <stp>YLD_YTM_ASK=4.08198498583461</stp>
        <stp>YAS_YLD_CONV=33</stp>
        <tr r="Z143" s="5"/>
      </tp>
      <tp>
        <v>9.1431707771896242</v>
        <stp/>
        <stp>##V3_BDPV12</stp>
        <stp>EK0224056 Govt</stp>
        <stp>YAS_RISK</stp>
        <stp>[BondPricer-0.2.xlsm]ITALIAN_BTPS_TYPE523!R130C26</stp>
        <stp>YLD_YTM_ASK=3.61536556676045</stp>
        <stp>YAS_YLD_CONV=33</stp>
        <tr r="Z130" s="5"/>
      </tp>
      <tp>
        <v>89.674999999999997</v>
        <stp/>
        <stp>##V3_BDPV12</stp>
        <stp>EC3971461 Govt</stp>
        <stp>YAS_BOND_PX</stp>
        <stp>[BondPricer-0.2.xlsm]FRENCH_BTAN_TYPE89!R103C20</stp>
        <stp>YAS_BOND_YLD=0.993644664261062</stp>
        <stp>YAS_YLD_CONV=1</stp>
        <tr r="T103" s="8"/>
      </tp>
      <tp>
        <v>2.0301609031451697</v>
        <stp/>
        <stp>##V3_BDPV12</stp>
        <stp>EJ6773588 Corp</stp>
        <stp>YLD_YTM_ASK</stp>
        <stp>[BondPricer-0.2.xlsm]AUSTRALIAN_GOVT_TYPE23!R8C14</stp>
        <tr r="N8" s="9"/>
      </tp>
      <tp>
        <v>2.99608658771775</v>
        <stp/>
        <stp>##V3_BDPV12</stp>
        <stp>GG7178740 Govt</stp>
        <stp>YLD_YTM_ASK</stp>
        <stp>[BondPricer-0.2.xlsm]ITALIAN_BTPS_TYPE523!R18C15</stp>
        <tr r="O18" s="5"/>
      </tp>
      <tp>
        <v>3.0727404166022758</v>
        <stp/>
        <stp>##V3_BDPV12</stp>
        <stp>QJ1755850 Corp</stp>
        <stp>YLD_YTM_ASK</stp>
        <stp>[BondPricer-0.2.xlsm]AUSTRALIAN_GOVT_TYPE23!R61C14</stp>
        <tr r="N61" s="9"/>
      </tp>
      <tp>
        <v>2.7529533001373983</v>
        <stp/>
        <stp>##V3_BDPV12</stp>
        <stp>AL0690951 Corp</stp>
        <stp>YLD_YTM_ASK</stp>
        <stp>[BondPricer-0.2.xlsm]AUSTRALIAN_GOVT_TYPE23!R29C14</stp>
        <tr r="N29" s="9"/>
      </tp>
      <tp>
        <v>3.3605906725207912</v>
        <stp/>
        <stp>##V3_BDPV12</stp>
        <stp>AM2936822 Govt</stp>
        <stp>YLD_YTM_ASK</stp>
        <stp>[BondPricer-0.2.xlsm]ITALIAN_BTPS_TYPE523!R61C15</stp>
        <tr r="O61" s="5"/>
      </tp>
      <tp>
        <v>3.7693384823377585</v>
        <stp/>
        <stp>##V3_BDPV12</stp>
        <stp>EC2918364 Govt</stp>
        <stp>YLD_YTM_ASK</stp>
        <stp>[BondPricer-0.2.xlsm]ITALIAN_BTPS_TYPE523!R92C15</stp>
        <tr r="O92" s="5"/>
      </tp>
      <tp>
        <v>3.2699204792207226</v>
        <stp/>
        <stp>##V3_BDPV12</stp>
        <stp>EK0661273 Govt</stp>
        <stp>YLD_YTM_ASK</stp>
        <stp>[BondPricer-0.2.xlsm]ITALIAN_BTPS_TYPE523!R36C15</stp>
        <tr r="O36" s="5"/>
      </tp>
      <tp>
        <v>3.0549984836043098</v>
        <stp/>
        <stp>##V3_BDPV12</stp>
        <stp>QJ1521823 Corp</stp>
        <stp>YLD_YTM_ASK</stp>
        <stp>[BondPricer-0.2.xlsm]AUSTRALIAN_GOVT_TYPE23!R60C14</stp>
        <tr r="N60" s="9"/>
      </tp>
      <tp>
        <v>2.9669841761718829</v>
        <stp/>
        <stp>##V3_BDPV12</stp>
        <stp>EK8238157 Corp</stp>
        <stp>YLD_YTM_ASK</stp>
        <stp>[BondPricer-0.2.xlsm]AUSTRALIAN_GOVT_TYPE23!R57C14</stp>
        <tr r="N57" s="9"/>
      </tp>
      <tp>
        <v>3.6649215037318328</v>
        <stp/>
        <stp>##V3_BDPV12</stp>
        <stp>EK0222977 Govt</stp>
        <stp>YLD_YTM_ASK</stp>
        <stp>[BondPricer-0.2.xlsm]ITALIAN_BTPS_TYPE523!R91C15</stp>
        <tr r="O91" s="5"/>
      </tp>
      <tp>
        <v>3.0689193349185073</v>
        <stp/>
        <stp>##V3_BDPV12</stp>
        <stp>EJ4852830 Govt</stp>
        <stp>YLD_YTM_ASK</stp>
        <stp>[BondPricer-0.2.xlsm]ITALIAN_BTPS_TYPE523!R19C15</stp>
        <tr r="O19" s="5"/>
      </tp>
      <tp>
        <v>3.6363143703913581</v>
        <stp/>
        <stp>##V3_BDPV12</stp>
        <stp>EK2743541 Govt</stp>
        <stp>YLD_YTM_ASK</stp>
        <stp>[BondPricer-0.2.xlsm]ITALIAN_BTPS_TYPE523!R90C15</stp>
        <tr r="O90" s="5"/>
      </tp>
      <tp>
        <v>2.4442610532575402</v>
        <stp/>
        <stp>##V3_BDPV12</stp>
        <stp>EK1150847 Corp</stp>
        <stp>YLD_YTM_ASK</stp>
        <stp>[BondPricer-0.2.xlsm]AUSTRALIAN_GOVT_TYPE23!R35C14</stp>
        <tr r="N35" s="9"/>
      </tp>
      <tp>
        <v>2.8799248087338469</v>
        <stp/>
        <stp>##V3_BDPV12</stp>
        <stp>912828RR Govt</stp>
        <stp>YAS_RISK</stp>
        <stp>[BondPricer-0.2.xlsm]US_TREASURY_TYPE1!R29C24</stp>
        <stp>YLD_YTM_ASK=2.9206482</stp>
        <stp>YAS_YLD_CONV=3</stp>
        <tr r="X29" s="4"/>
      </tp>
      <tp>
        <v>7.4352795599854531</v>
        <stp/>
        <stp>##V3_BDPV12</stp>
        <stp>QZ0167556 Govt</stp>
        <stp>DUR_ADJ_ASK</stp>
        <stp>[BondPricer-0.2.xlsm]ITALIAN_BTPS_TYPE523!R55C29</stp>
        <stp>YLD_YTM_ASK=3.18155535490707</stp>
        <stp>YAS_YLD_CONV=1</stp>
        <tr r="AC55" s="5"/>
      </tp>
      <tp>
        <v>2.8056088127001999</v>
        <stp/>
        <stp>##V3_BDPV12</stp>
        <stp>912828T6 Govt</stp>
        <stp>YAS_RISK</stp>
        <stp>[BondPricer-0.2.xlsm]US_TREASURY_TYPE1!R27C24</stp>
        <stp>YLD_YTM_ASK=2.9291485</stp>
        <stp>YAS_YLD_CONV=3</stp>
        <tr r="X27" s="4"/>
      </tp>
      <tp>
        <v>94.752000000000052</v>
        <stp/>
        <stp>##V3_BDPV12</stp>
        <stp>GG7396540 Govt</stp>
        <stp>YAS_BOND_PX</stp>
        <stp>[BondPricer-0.2.xlsm]FRENCH_BTAN_TYPE89!R83C20</stp>
        <stp>YAS_BOND_YLD=0.634678930987498</stp>
        <stp>YAS_YLD_CONV=1</stp>
        <tr r="T83" s="8"/>
      </tp>
      <tp>
        <v>8.175122242179178</v>
        <stp/>
        <stp>##V3_BDPV12</stp>
        <stp>AN1980167 Govt</stp>
        <stp>YAS_RISK</stp>
        <stp>[BondPricer-0.2.xlsm]ITALIAN_BTPS_TYPE523!R176C26</stp>
        <stp>YLD_YTM_ASK=4.22601728277454</stp>
        <stp>YAS_YLD_CONV=33</stp>
        <tr r="Z176" s="5"/>
      </tp>
      <tp>
        <v>8.3717937077377513</v>
        <stp/>
        <stp>##V3_BDPV12</stp>
        <stp>EF1312166 Govt</stp>
        <stp>YAS_RISK</stp>
        <stp>[BondPricer-0.2.xlsm]ITALIAN_BTPS_TYPE523!R121C26</stp>
        <stp>YLD_YTM_ASK=3.92529017534391</stp>
        <stp>YAS_YLD_CONV=33</stp>
        <tr r="Z121" s="5"/>
      </tp>
      <tp>
        <v>8.8609839193143358</v>
        <stp/>
        <stp>##V3_BDPV12</stp>
        <stp>EJ4855486 Govt</stp>
        <stp>YAS_RISK</stp>
        <stp>[BondPricer-0.2.xlsm]ITALIAN_BTPS_TYPE523!R150C26</stp>
        <stp>YLD_YTM_ASK=4.02971561641501</stp>
        <stp>YAS_YLD_CONV=33</stp>
        <tr r="Z150" s="5"/>
      </tp>
      <tp>
        <v>98.654000000000025</v>
        <stp/>
        <stp>##V3_BDPV12</stp>
        <stp>GG7190257 Govt</stp>
        <stp>YAS_BOND_PX</stp>
        <stp>[BondPricer-0.2.xlsm]FRENCH_BTAN_TYPE89!R56C20</stp>
        <stp>YAS_BOND_YLD=0.225288131029155</stp>
        <stp>YAS_YLD_CONV=1</stp>
        <tr r="T56" s="8"/>
      </tp>
      <tp>
        <v>95.531250087807919</v>
        <stp/>
        <stp>##V3_BDPV12</stp>
        <stp>912828G3 Govt</stp>
        <stp>YAS_BOND_PX</stp>
        <stp>[BondPricer-0.2.xlsm]US_TREASURY_TYPE1!R73C20</stp>
        <stp>YAS_BOND_YLD=3.060696</stp>
        <stp>YAS_YLD_CONV=2</stp>
        <tr r="T73" s="4"/>
      </tp>
      <tp>
        <v>4.2025836345973895</v>
        <stp/>
        <stp>##V3_BDPV12</stp>
        <stp>EJ5066257 Govt</stp>
        <stp>DUR_ADJ_ASK</stp>
        <stp>[BondPricer-0.2.xlsm]GERMAN_BUND_TYPE60!R13C27</stp>
        <stp>YLD_YTM_ASK=-0.230644960395777</stp>
        <stp>YAS_YLD_CONV=1</stp>
        <tr r="AA13" s="6"/>
      </tp>
      <tp>
        <v>2.7630122094169636</v>
        <stp/>
        <stp>##V3_BDPV12</stp>
        <stp>AL0875834 Corp</stp>
        <stp>YLD_YTM_ASK</stp>
        <stp>[BondPricer-0.2.xlsm]AUSTRALIAN_GOVT_TYPE23!R28C14</stp>
        <tr r="N28" s="9"/>
      </tp>
      <tp>
        <v>3.4556797734348832</v>
        <stp/>
        <stp>##V3_BDPV12</stp>
        <stp>EK0324096 Govt</stp>
        <stp>YLD_YTM_ASK</stp>
        <stp>[BondPricer-0.2.xlsm]ITALIAN_BTPS_TYPE523!R50C15</stp>
        <tr r="O50" s="5"/>
      </tp>
      <tp>
        <v>3.7310391448373892</v>
        <stp/>
        <stp>##V3_BDPV12</stp>
        <stp>EK0661992 Govt</stp>
        <stp>YLD_YTM_ASK</stp>
        <stp>[BondPricer-0.2.xlsm]ITALIAN_BTPS_TYPE523!R80C15</stp>
        <tr r="O80" s="5"/>
      </tp>
      <tp>
        <v>3.6111559904856927</v>
        <stp/>
        <stp>##V3_BDPV12</stp>
        <stp>EK0661752 Govt</stp>
        <stp>YLD_YTM_ASK</stp>
        <stp>[BondPricer-0.2.xlsm]ITALIAN_BTPS_TYPE523!R64C15</stp>
        <tr r="O64" s="5"/>
      </tp>
      <tp>
        <v>3.1276875401101245</v>
        <stp/>
        <stp>##V3_BDPV12</stp>
        <stp>EK4572963 Govt</stp>
        <stp>YLD_YTM_ASK</stp>
        <stp>[BondPricer-0.2.xlsm]ITALIAN_BTPS_TYPE523!R32C15</stp>
        <tr r="O32" s="5"/>
      </tp>
      <tp>
        <v>2.9880456698463647</v>
        <stp/>
        <stp>##V3_BDPV12</stp>
        <stp>JV9205164 Corp</stp>
        <stp>YLD_YTM_ASK</stp>
        <stp>[BondPricer-0.2.xlsm]AUSTRALIAN_GOVT_TYPE23!R37C14</stp>
        <tr r="N37" s="9"/>
      </tp>
      <tp>
        <v>3.237543869721482</v>
        <stp/>
        <stp>##V3_BDPV12</stp>
        <stp>EH8960682 Govt</stp>
        <stp>YLD_YTM_ASK</stp>
        <stp>[BondPricer-0.2.xlsm]ITALIAN_BTPS_TYPE523!R34C15</stp>
        <tr r="O34" s="5"/>
      </tp>
      <tp>
        <v>3.260355352483657</v>
        <stp/>
        <stp>##V3_BDPV12</stp>
        <stp>912828WZ Govt</stp>
        <stp>YAS_RISK</stp>
        <stp>[BondPricer-0.2.xlsm]US_TREASURY_TYPE1!R40C24</stp>
        <stp>YLD_YTM_ASK=2.9502328</stp>
        <stp>YAS_YLD_CONV=3</stp>
        <tr r="X40" s="4"/>
      </tp>
      <tp>
        <v>15.51893528690016</v>
        <stp/>
        <stp>##V3_BDPV12</stp>
        <stp>912810PT Govt</stp>
        <stp>YAS_RISK</stp>
        <stp>[BondPricer-0.2.xlsm]US_TREASURY_TYPE1!R97C24</stp>
        <stp>YLD_YTM_ASK=3.2255743</stp>
        <stp>YAS_YLD_CONV=3</stp>
        <tr r="X97" s="4"/>
      </tp>
      <tp>
        <v>3.9427665553084523</v>
        <stp/>
        <stp>##V3_BDPV12</stp>
        <stp>912828UN Govt</stp>
        <stp>YAS_RISK</stp>
        <stp>[BondPricer-0.2.xlsm]US_TREASURY_TYPE1!R52C24</stp>
        <stp>YLD_YTM_ASK=2.9850979</stp>
        <stp>YAS_YLD_CONV=3</stp>
        <tr r="X52" s="4"/>
      </tp>
      <tp>
        <v>2.6655085866536865</v>
        <stp/>
        <stp>##V3_BDPV12</stp>
        <stp>912828RC Govt</stp>
        <stp>YAS_RISK</stp>
        <stp>[BondPricer-0.2.xlsm]US_TREASURY_TYPE1!R22C24</stp>
        <stp>YLD_YTM_ASK=2.9087217</stp>
        <stp>YAS_YLD_CONV=3</stp>
        <tr r="X22" s="4"/>
      </tp>
      <tp>
        <v>4.8004464764638044</v>
        <stp/>
        <stp>##V3_BDPV12</stp>
        <stp>912828W4 Govt</stp>
        <stp>YAS_RISK</stp>
        <stp>[BondPricer-0.2.xlsm]US_TREASURY_TYPE1!R70C24</stp>
        <stp>YLD_YTM_ASK=3.0241361</stp>
        <stp>YAS_YLD_CONV=3</stp>
        <tr r="X70" s="4"/>
      </tp>
      <tp>
        <v>6.3220584005655667</v>
        <stp/>
        <stp>##V3_BDPV12</stp>
        <stp>912828R3 Govt</stp>
        <stp>YAS_RISK</stp>
        <stp>[BondPricer-0.2.xlsm]US_TREASURY_TYPE1!R81C24</stp>
        <stp>YLD_YTM_ASK=3.1184696</stp>
        <stp>YAS_YLD_CONV=3</stp>
        <tr r="X81" s="4"/>
      </tp>
      <tp>
        <v>2.7273947436015078</v>
        <stp/>
        <stp>##V3_BDPV12</stp>
        <stp>912828T3 Govt</stp>
        <stp>YAS_RISK</stp>
        <stp>[BondPricer-0.2.xlsm]US_TREASURY_TYPE1!R25C24</stp>
        <stp>YLD_YTM_ASK=2.9222055</stp>
        <stp>YAS_YLD_CONV=3</stp>
        <tr r="X25" s="4"/>
      </tp>
      <tp>
        <v>98.002999999999943</v>
        <stp/>
        <stp>##V3_BDPV12</stp>
        <stp>LW7430652 Govt</stp>
        <stp>YAS_BOND_PX</stp>
        <stp>[BondPricer-0.2.xlsm]GERMAN_BUND_TYPE60!R23C20</stp>
        <stp>YAS_BOND_YLD=0.258043767402572</stp>
        <stp>YAS_YLD_CONV=1</stp>
        <tr r="T23" s="6"/>
      </tp>
      <tp>
        <v>8.6419868033068781</v>
        <stp/>
        <stp>##V3_BDPV12</stp>
        <stp>EF1312489 Govt</stp>
        <stp>YAS_RISK</stp>
        <stp>[BondPricer-0.2.xlsm]ITALIAN_BTPS_TYPE523!R133C26</stp>
        <stp>YLD_YTM_ASK=3.96340248138782</stp>
        <stp>YAS_YLD_CONV=33</stp>
        <tr r="Z133" s="5"/>
      </tp>
      <tp>
        <v>99.043999999999969</v>
        <stp/>
        <stp>##V3_BDPV12</stp>
        <stp>EI0428355 Govt</stp>
        <stp>YAS_BOND_PX</stp>
        <stp>[BondPricer-0.2.xlsm]FRENCH_BTAN_TYPE89!R49C20</stp>
        <stp>YAS_BOND_YLD=0.174155763296913</stp>
        <stp>YAS_YLD_CONV=1</stp>
        <tr r="T49" s="8"/>
      </tp>
      <tp>
        <v>7.6285343610402734</v>
        <stp/>
        <stp>##V3_BDPV12</stp>
        <stp>AN2022514 Govt</stp>
        <stp>YAS_RISK</stp>
        <stp>[BondPricer-0.2.xlsm]ITALIAN_BTPS_TYPE523!R200C26</stp>
        <stp>YLD_YTM_ASK=3.97556701678645</stp>
        <stp>YAS_YLD_CONV=33</stp>
        <tr r="Z200" s="5"/>
      </tp>
      <tp>
        <v>7.5036784068636564</v>
        <stp/>
        <stp>##V3_BDPV12</stp>
        <stp>AN2027505 Govt</stp>
        <stp>YAS_RISK</stp>
        <stp>[BondPricer-0.2.xlsm]ITALIAN_BTPS_TYPE523!R206C26</stp>
        <stp>YLD_YTM_ASK=3.90107207198416</stp>
        <stp>YAS_YLD_CONV=33</stp>
        <tr r="Z206" s="5"/>
      </tp>
      <tp>
        <v>98.896999999999949</v>
        <stp/>
        <stp>##V3_BDPV12</stp>
        <stp>GG7396516 Govt</stp>
        <stp>YAS_BOND_PX</stp>
        <stp>[BondPricer-0.2.xlsm]FRENCH_BTAN_TYPE89!R50C20</stp>
        <stp>YAS_BOND_YLD=0.201111026669465</stp>
        <stp>YAS_YLD_CONV=1</stp>
        <tr r="T50" s="8"/>
      </tp>
      <tp>
        <v>8.1185398294703504</v>
        <stp/>
        <stp>##V3_BDPV12</stp>
        <stp>EK0224890 Govt</stp>
        <stp>YAS_RISK</stp>
        <stp>[BondPricer-0.2.xlsm]ITALIAN_BTPS_TYPE523!R145C26</stp>
        <stp>YLD_YTM_ASK=4.41177259723506</stp>
        <stp>YAS_YLD_CONV=33</stp>
        <tr r="Z145" s="5"/>
      </tp>
      <tp>
        <v>13.168623585045225</v>
        <stp/>
        <stp>##V3_BDPV12</stp>
        <stp>EF1307950 Govt</stp>
        <stp>YAS_RISK</stp>
        <stp>[BondPricer-0.2.xlsm]ITALIAN_BTPS_TYPE523!R131C26</stp>
        <stp>YLD_YTM_ASK=3.78853431124244</stp>
        <stp>YAS_YLD_CONV=33</stp>
        <tr r="Z131" s="5"/>
      </tp>
      <tp>
        <v>95.610000000000014</v>
        <stp/>
        <stp>##V3_BDPV12</stp>
        <stp>EC3971255 Govt</stp>
        <stp>YAS_BOND_PX</stp>
        <stp>[BondPricer-0.2.xlsm]FRENCH_BTAN_TYPE89!R79C20</stp>
        <stp>YAS_BOND_YLD=0.561195221794919</stp>
        <stp>YAS_YLD_CONV=1</stp>
        <tr r="T79" s="8"/>
      </tp>
      <tp>
        <v>7.6459507408658922</v>
        <stp/>
        <stp>##V3_BDPV12</stp>
        <stp>AN2020252 Govt</stp>
        <stp>YAS_RISK</stp>
        <stp>[BondPricer-0.2.xlsm]ITALIAN_BTPS_TYPE523!R197C26</stp>
        <stp>YLD_YTM_ASK=4.02690514356885</stp>
        <stp>YAS_YLD_CONV=33</stp>
        <tr r="Z197" s="5"/>
      </tp>
      <tp>
        <v>7.5648003275986753</v>
        <stp/>
        <stp>##V3_BDPV12</stp>
        <stp>AN2024692 Govt</stp>
        <stp>YAS_RISK</stp>
        <stp>[BondPricer-0.2.xlsm]ITALIAN_BTPS_TYPE523!R203C26</stp>
        <stp>YLD_YTM_ASK=3.93844206916862</stp>
        <stp>YAS_YLD_CONV=33</stp>
        <tr r="Z203" s="5"/>
      </tp>
      <tp>
        <v>93.850999999999999</v>
        <stp/>
        <stp>##V3_BDPV12</stp>
        <stp>EC3971347 Govt</stp>
        <stp>YAS_BOND_PX</stp>
        <stp>[BondPricer-0.2.xlsm]FRENCH_BTAN_TYPE89!R90C20</stp>
        <stp>YAS_BOND_YLD=0.705897504143316</stp>
        <stp>YAS_YLD_CONV=1</stp>
        <tr r="T90" s="8"/>
      </tp>
      <tp>
        <v>7.9789031558593848</v>
        <stp/>
        <stp>##V3_BDPV12</stp>
        <stp>AN2012648 Govt</stp>
        <stp>YAS_RISK</stp>
        <stp>[BondPricer-0.2.xlsm]ITALIAN_BTPS_TYPE523!R187C26</stp>
        <stp>YLD_YTM_ASK=4.10611776426362</stp>
        <stp>YAS_YLD_CONV=33</stp>
        <tr r="Z187" s="5"/>
      </tp>
      <tp>
        <v>7.5716310296474632</v>
        <stp/>
        <stp>##V3_BDPV12</stp>
        <stp>EC5588925 Govt</stp>
        <stp>YAS_RISK</stp>
        <stp>[BondPricer-0.2.xlsm]ITALIAN_BTPS_TYPE523!R100C26</stp>
        <stp>YLD_YTM_ASK=3.87512685082307</stp>
        <stp>YAS_YLD_CONV=33</stp>
        <tr r="Z100" s="5"/>
      </tp>
      <tp>
        <v>8.4024333999778378</v>
        <stp/>
        <stp>##V3_BDPV12</stp>
        <stp>UV3555405 Govt</stp>
        <stp>YAS_RISK</stp>
        <stp>[BondPricer-0.2.xlsm]ITALIAN_BTPS_TYPE523!R164C26</stp>
        <stp>YLD_YTM_ASK=4.25928102402502</stp>
        <stp>YAS_YLD_CONV=33</stp>
        <tr r="Z164" s="5"/>
      </tp>
      <tp>
        <v>153.27600000006524</v>
        <stp/>
        <stp>##V3_BDPV12</stp>
        <stp>GG7291790 Govt</stp>
        <stp>YAS_BOND_PX</stp>
        <stp>[BondPricer-0.2.xlsm]GERMAN_BUND_TYPE60!R25C20</stp>
        <stp>YAS_BOND_YLD=0.296404343897405</stp>
        <stp>YAS_YLD_CONV=1</stp>
        <tr r="T25" s="6"/>
      </tp>
      <tp>
        <v>8.1823955789914748</v>
        <stp/>
        <stp>##V3_BDPV12</stp>
        <stp>UV3555355 Govt</stp>
        <stp>YAS_RISK</stp>
        <stp>[BondPricer-0.2.xlsm]ITALIAN_BTPS_TYPE523!R163C26</stp>
        <stp>YLD_YTM_ASK=4.36831036991503</stp>
        <stp>YAS_YLD_CONV=33</stp>
        <tr r="Z163" s="5"/>
      </tp>
      <tp>
        <v>2.9320716092621435</v>
        <stp/>
        <stp>##V3_BDPV12</stp>
        <stp>CP5087939 Govt</stp>
        <stp>YLD_YTM_ASK</stp>
        <stp>[BondPricer-0.2.xlsm]ITALIAN_BTPS_TYPE523!R21C15</stp>
        <tr r="O21" s="5"/>
      </tp>
      <tp>
        <v>4.4451330296701341</v>
        <stp/>
        <stp>##V3_BDPV12</stp>
        <stp>EJ6775781 Govt</stp>
        <stp>DUR_ADJ_ASK</stp>
        <stp>[BondPricer-0.2.xlsm]GERMAN_BUND_TYPE60!R14C27</stp>
        <stp>YLD_YTM_ASK=-0.192530850441345</stp>
        <stp>YAS_YLD_CONV=1</stp>
        <tr r="AA14" s="6"/>
      </tp>
      <tp>
        <v>2.8449679820718217</v>
        <stp/>
        <stp>##V3_BDPV12</stp>
        <stp>EJ9437272 Corp</stp>
        <stp>YLD_YTM_ASK</stp>
        <stp>[BondPricer-0.2.xlsm]AUSTRALIAN_GOVT_TYPE23!R54C14</stp>
        <tr r="N54" s="9"/>
      </tp>
      <tp>
        <v>3.7401097252337978</v>
        <stp/>
        <stp>##V3_BDPV12</stp>
        <stp>EK0222795 Govt</stp>
        <stp>YLD_YTM_ASK</stp>
        <stp>[BondPricer-0.2.xlsm]ITALIAN_BTPS_TYPE523!R79C15</stp>
        <tr r="O79" s="5"/>
      </tp>
      <tp>
        <v>3.8202000880980691</v>
        <stp/>
        <stp>##V3_BDPV12</stp>
        <stp>EJ4853432 Govt</stp>
        <stp>YLD_YTM_ASK</stp>
        <stp>[BondPricer-0.2.xlsm]ITALIAN_BTPS_TYPE523!R98C15</stp>
        <tr r="O98" s="5"/>
      </tp>
      <tp>
        <v>3.1920026108963384</v>
        <stp/>
        <stp>##V3_BDPV12</stp>
        <stp>EK0933524 Govt</stp>
        <stp>YLD_YTM_ASK</stp>
        <stp>[BondPricer-0.2.xlsm]ITALIAN_BTPS_TYPE523!R29C15</stp>
        <tr r="O29" s="5"/>
      </tp>
      <tp>
        <v>4.6484741044920952</v>
        <stp/>
        <stp>##V3_BDPV12</stp>
        <stp>912828WE Govt</stp>
        <stp>YAS_RISK</stp>
        <stp>[BondPricer-0.2.xlsm]US_TREASURY_TYPE1!R65C24</stp>
        <stp>YLD_YTM_ASK=3.0051043</stp>
        <stp>YAS_YLD_CONV=3</stp>
        <tr r="X65" s="4"/>
      </tp>
      <tp>
        <v>4.3763388278136972</v>
        <stp/>
        <stp>##V3_BDPV12</stp>
        <stp>912828T2 Govt</stp>
        <stp>YAS_RISK</stp>
        <stp>[BondPricer-0.2.xlsm]US_TREASURY_TYPE1!R63C24</stp>
        <stp>YLD_YTM_ASK=3.0083262</stp>
        <stp>YAS_YLD_CONV=3</stp>
        <tr r="X63" s="4"/>
      </tp>
      <tp>
        <v>13.398950089901163</v>
        <stp/>
        <stp>##V3_BDPV12</stp>
        <stp>JV8619506 Govt</stp>
        <stp>DUR_ADJ_ASK</stp>
        <stp>[BondPricer-0.2.xlsm]ITALIAN_BTPS_TYPE523!R106C29</stp>
        <stp>YLD_YTM_ASK=3.82609995481775</stp>
        <stp>YAS_YLD_CONV=1</stp>
        <tr r="AC106" s="5"/>
      </tp>
      <tp>
        <v>3.9959057244445262</v>
        <stp/>
        <stp>##V3_BDPV12</stp>
        <stp>912828Q2 Govt</stp>
        <stp>YAS_RISK</stp>
        <stp>[BondPricer-0.2.xlsm]US_TREASURY_TYPE1!R54C24</stp>
        <stp>YLD_YTM_ASK=2.9876092</stp>
        <stp>YAS_YLD_CONV=3</stp>
        <tr r="X54" s="4"/>
      </tp>
      <tp>
        <v>4.1818476659820192</v>
        <stp/>
        <stp>##V3_BDPV12</stp>
        <stp>912828S3 Govt</stp>
        <stp>YAS_RISK</stp>
        <stp>[BondPricer-0.2.xlsm]US_TREASURY_TYPE1!R58C24</stp>
        <stp>YLD_YTM_ASK=2.9984517</stp>
        <stp>YAS_YLD_CONV=3</stp>
        <tr r="X58" s="4"/>
      </tp>
      <tp>
        <v>94.441000000000045</v>
        <stp/>
        <stp>##V3_BDPV12</stp>
        <stp>EJ6178499 Govt</stp>
        <stp>YAS_BOND_PX</stp>
        <stp>[BondPricer-0.2.xlsm]FRENCH_BTAN_TYPE89!R85C20</stp>
        <stp>YAS_BOND_YLD=0.667060002315156</stp>
        <stp>YAS_YLD_CONV=1</stp>
        <tr r="T85" s="8"/>
      </tp>
      <tp>
        <v>7.9688564956924779</v>
        <stp/>
        <stp>##V3_BDPV12</stp>
        <stp>EK0662594 Govt</stp>
        <stp>YAS_RISK</stp>
        <stp>[BondPricer-0.2.xlsm]ITALIAN_BTPS_TYPE523!R112C26</stp>
        <stp>YLD_YTM_ASK=3.91120235107965</stp>
        <stp>YAS_YLD_CONV=33</stp>
        <tr r="Z112" s="5"/>
      </tp>
      <tp>
        <v>7.9786816234495461</v>
        <stp/>
        <stp>##V3_BDPV12</stp>
        <stp>EK0225194 Govt</stp>
        <stp>YAS_RISK</stp>
        <stp>[BondPricer-0.2.xlsm]ITALIAN_BTPS_TYPE523!R157C26</stp>
        <stp>YLD_YTM_ASK=4.50480675230747</stp>
        <stp>YAS_YLD_CONV=33</stp>
        <tr r="Z157" s="5"/>
      </tp>
      <tp>
        <v>8.5765142437249864</v>
        <stp/>
        <stp>##V3_BDPV12</stp>
        <stp>EF1312208 Govt</stp>
        <stp>YAS_RISK</stp>
        <stp>[BondPricer-0.2.xlsm]ITALIAN_BTPS_TYPE523!R126C26</stp>
        <stp>YLD_YTM_ASK=3.90775031337431</stp>
        <stp>YAS_YLD_CONV=33</stp>
        <tr r="Z126" s="5"/>
      </tp>
      <tp>
        <v>111.62500000045773</v>
        <stp/>
        <stp>##V3_BDPV12</stp>
        <stp>EJ5733310 Govt</stp>
        <stp>YAS_BOND_PX</stp>
        <stp>[BondPricer-0.2.xlsm]FRENCH_BTAN_TYPE89!R35C20</stp>
        <stp>YAS_BOND_YLD=0.134011720111452</stp>
        <stp>YAS_YLD_CONV=1</stp>
        <tr r="T35" s="8"/>
      </tp>
      <tp>
        <v>99.471000000000046</v>
        <stp/>
        <stp>##V3_BDPV12</stp>
        <stp>EK3918746 Govt</stp>
        <stp>YAS_BOND_PX</stp>
        <stp>[BondPricer-0.2.xlsm]FRENCH_BTAN_TYPE89!R48C20</stp>
        <stp>YAS_BOND_YLD=0.103915284011702</stp>
        <stp>YAS_YLD_CONV=1</stp>
        <tr r="T48" s="8"/>
      </tp>
      <tp>
        <v>89.992999999999967</v>
        <stp/>
        <stp>##V3_BDPV12</stp>
        <stp>EI0428991 Govt</stp>
        <stp>YAS_BOND_PX</stp>
        <stp>[BondPricer-0.2.xlsm]FRENCH_BTAN_TYPE89!R102C20</stp>
        <stp>YAS_BOND_YLD=0.961214139620026</stp>
        <stp>YAS_YLD_CONV=1</stp>
        <tr r="T102" s="8"/>
      </tp>
      <tp>
        <v>3.4492318433056779</v>
        <stp/>
        <stp>##V3_BDPV12</stp>
        <stp>CP5087988 Govt</stp>
        <stp>YLD_YTM_ASK</stp>
        <stp>[BondPricer-0.2.xlsm]ITALIAN_BTPS_TYPE523!R47C15</stp>
        <tr r="O47" s="5"/>
      </tp>
      <tp>
        <v>2.2268379070058693</v>
        <stp/>
        <stp>##V3_BDPV12</stp>
        <stp>EI7993450 Corp</stp>
        <stp>YLD_YTM_ASK</stp>
        <stp>[BondPricer-0.2.xlsm]AUSTRALIAN_GOVT_TYPE23!R9C14</stp>
        <tr r="N9" s="9"/>
      </tp>
      <tp>
        <v>3.7117848029335931</v>
        <stp/>
        <stp>##V3_BDPV12</stp>
        <stp>EC2373701 Govt</stp>
        <stp>YLD_YTM_ASK</stp>
        <stp>[BondPricer-0.2.xlsm]ITALIAN_BTPS_TYPE523!R96C15</stp>
        <tr r="O96" s="5"/>
      </tp>
      <tp>
        <v>2.192011879869415</v>
        <stp/>
        <stp>##V3_BDPV12</stp>
        <stp>AP3642968 Corp</stp>
        <stp>YLD_YTM_ASK</stp>
        <stp>[BondPricer-0.2.xlsm]AUSTRALIAN_GOVT_TYPE23!R18C14</stp>
        <tr r="N18" s="9"/>
      </tp>
      <tp>
        <v>2.13300831107669</v>
        <stp/>
        <stp>##V3_BDPV12</stp>
        <stp>EI2142814 Corp</stp>
        <stp>YLD_YTM_ASK</stp>
        <stp>[BondPricer-0.2.xlsm]AUSTRALIAN_GOVT_TYPE23!R14C14</stp>
        <tr r="N14" s="9"/>
      </tp>
      <tp>
        <v>3.136012042508546</v>
        <stp/>
        <stp>##V3_BDPV12</stp>
        <stp>LW2811898 Corp</stp>
        <stp>YLD_YTM_ASK</stp>
        <stp>[BondPricer-0.2.xlsm]AUSTRALIAN_GOVT_TYPE23!R43C14</stp>
        <tr r="N43" s="9"/>
      </tp>
      <tp>
        <v>3.616702073033462</v>
        <stp/>
        <stp>##V3_BDPV12</stp>
        <stp>EC0659473 Govt</stp>
        <stp>YLD_YTM_ASK</stp>
        <stp>[BondPricer-0.2.xlsm]ITALIAN_BTPS_TYPE523!R85C15</stp>
        <tr r="O85" s="5"/>
      </tp>
      <tp>
        <v>2.5540431856249768</v>
        <stp/>
        <stp>##V3_BDPV12</stp>
        <stp>912828WR Govt</stp>
        <stp>YAS_RISK</stp>
        <stp>[BondPricer-0.2.xlsm]US_TREASURY_TYPE1!R19C24</stp>
        <stp>YLD_YTM_ASK=2.9040522</stp>
        <stp>YAS_YLD_CONV=3</stp>
        <tr r="X19" s="4"/>
      </tp>
      <tp>
        <v>3.4967411973838125</v>
        <stp/>
        <stp>##V3_BDPV12</stp>
        <stp>912828TJ Govt</stp>
        <stp>YAS_RISK</stp>
        <stp>[BondPricer-0.2.xlsm]US_TREASURY_TYPE1!R45C24</stp>
        <stp>YLD_YTM_ASK=2.9603283</stp>
        <stp>YAS_YLD_CONV=3</stp>
        <tr r="X45" s="4"/>
      </tp>
      <tp>
        <v>3.0973689222186351</v>
        <stp/>
        <stp>##V3_BDPV12</stp>
        <stp>912828SF Govt</stp>
        <stp>YAS_RISK</stp>
        <stp>[BondPricer-0.2.xlsm]US_TREASURY_TYPE1!R36C24</stp>
        <stp>YLD_YTM_ASK=2.9364549</stp>
        <stp>YAS_YLD_CONV=3</stp>
        <tr r="X36" s="4"/>
      </tp>
      <tp>
        <v>3.1885301228875562</v>
        <stp/>
        <stp>##V3_BDPV12</stp>
        <stp>912828J7 Govt</stp>
        <stp>YAS_RISK</stp>
        <stp>[BondPricer-0.2.xlsm]US_TREASURY_TYPE1!R39C24</stp>
        <stp>YLD_YTM_ASK=2.944493</stp>
        <stp>YAS_YLD_CONV=3</stp>
        <tr r="X39" s="4"/>
      </tp>
      <tp>
        <v>11.883770774866585</v>
        <stp/>
        <stp>##V3_BDPV12</stp>
        <stp>EC5650865 Govt</stp>
        <stp>YAS_MOD_DUR</stp>
        <stp>[BondPricer-0.2.xlsm]JAPAN_JGB_TYPE51!R139C28</stp>
        <stp>YLD_YTM_ASK=0.297</stp>
        <stp>YAS_YLD_CONV=3</stp>
        <tr r="AB139" s="7"/>
      </tp>
      <tp>
        <v>2.9954043649873086</v>
        <stp/>
        <stp>##V3_BDPV12</stp>
        <stp>912828G8 Govt</stp>
        <stp>YAS_RISK</stp>
        <stp>[BondPricer-0.2.xlsm]US_TREASURY_TYPE1!R32C24</stp>
        <stp>YLD_YTM_ASK=2.934143</stp>
        <stp>YAS_YLD_CONV=3</stp>
        <tr r="X32" s="4"/>
      </tp>
      <tp>
        <v>2.5818006605753396</v>
        <stp/>
        <stp>##V3_BDPV12</stp>
        <stp>EJ5732965 Govt</stp>
        <stp>YAS_RISK</stp>
        <stp>[BondPricer-0.2.xlsm]FRENCH_BTAN_TYPE89!R8C24</stp>
        <stp>YLD_YTM_ASK=-0.244490595163313</stp>
        <stp>YAS_YLD_CONV=1</stp>
        <tr r="X8" s="8"/>
      </tp>
      <tp>
        <v>2.5132675230054247</v>
        <stp/>
        <stp>##V3_BDPV12</stp>
        <stp>912828S2 Govt</stp>
        <stp>YAS_RISK</stp>
        <stp>[BondPricer-0.2.xlsm]US_TREASURY_TYPE1!R18C24</stp>
        <stp>YLD_YTM_ASK=2.904815</stp>
        <stp>YAS_YLD_CONV=3</stp>
        <tr r="X18" s="4"/>
      </tp>
      <tp>
        <v>2.9425292388062019</v>
        <stp/>
        <stp>##V3_BDPV12</stp>
        <stp>QZ4977943 Govt</stp>
        <stp>YAS_RISK</stp>
        <stp>[BondPricer-0.2.xlsm]JAPAN_JGB_TYPE51!R16C25</stp>
        <stp>YLD_YTM_ASK=-0.113999999999995</stp>
        <stp>YAS_YLD_CONV=3</stp>
        <tr r="Y16" s="7"/>
      </tp>
      <tp>
        <v>22.487371273601298</v>
        <stp/>
        <stp>##V3_BDPV12</stp>
        <stp>EJ407307 Corp</stp>
        <stp>YAS_RISK</stp>
        <stp>[BondPricer-0.2.xlsm]UK_GILT_TYPE26!R29C24</stp>
        <stp>YLD_YTM_ASK=2.0324516539276</stp>
        <stp>YAS_YLD_CONV=3</stp>
        <tr r="X29" s="13"/>
      </tp>
      <tp>
        <v>116.14700000000001</v>
        <stp/>
        <stp>##V3_BDPV12</stp>
        <stp>EF4527968 Govt</stp>
        <stp>YAS_BOND_PX</stp>
        <stp>[BondPricer-0.2.xlsm]JAPAN_JGB_TYPE51!R79C20</stp>
        <stp>YAS_BOND_SPL_YLD=0.0210000000000009</stp>
        <stp>YAS_YLD_CONV=2</stp>
        <tr r="T79" s="7"/>
      </tp>
      <tp>
        <v>115.39700000000001</v>
        <stp/>
        <stp>##V3_BDPV12</stp>
        <stp>EF3295013 Govt</stp>
        <stp>YAS_BOND_PX</stp>
        <stp>[BondPricer-0.2.xlsm]JAPAN_JGB_TYPE51!R80C20</stp>
        <stp>YAS_BOND_SPL_YLD=0.0219999999999983</stp>
        <stp>YAS_YLD_CONV=2</stp>
        <tr r="T80" s="7"/>
      </tp>
      <tp>
        <v>3.8441457585776106</v>
        <stp/>
        <stp>##V3_BDPV12</stp>
        <stp>EC5799480 Govt</stp>
        <stp>YAS_RISK</stp>
        <stp>[BondPricer-0.2.xlsm]JAPAN_JGB_TYPE51!R32C25</stp>
        <stp>YLD_YTM_ASK=-0.102999999999998</stp>
        <stp>YAS_YLD_CONV=3</stp>
        <tr r="Y32" s="7"/>
      </tp>
      <tp>
        <v>8.7733053018887119</v>
        <stp/>
        <stp>##V3_BDPV12</stp>
        <stp>EI0428637 Govt</stp>
        <stp>YAS_RISK</stp>
        <stp>[BondPricer-0.2.xlsm]FRENCH_BTAN_TYPE89!R91C24</stp>
        <stp>YLD_YTM_ASK=0.779972097122417</stp>
        <stp>YAS_YLD_CONV=1</stp>
        <tr r="X91" s="8"/>
      </tp>
      <tp>
        <v>5.0745612041865229</v>
        <stp/>
        <stp>##V3_BDPV12</stp>
        <stp>EK3918746 Govt</stp>
        <stp>YAS_RISK</stp>
        <stp>[BondPricer-0.2.xlsm]FRENCH_BTAN_TYPE89!R48C24</stp>
        <stp>YLD_YTM_ASK=0.103915284011702</stp>
        <stp>YAS_YLD_CONV=1</stp>
        <tr r="X48" s="8"/>
      </tp>
      <tp>
        <v>5.4486988116778434</v>
        <stp/>
        <stp>##V3_BDPV12</stp>
        <stp>GG7396516 Govt</stp>
        <stp>YAS_RISK</stp>
        <stp>[BondPricer-0.2.xlsm]FRENCH_BTAN_TYPE89!R50C24</stp>
        <stp>YLD_YTM_ASK=0.201111026669465</stp>
        <stp>YAS_YLD_CONV=1</stp>
        <tr r="X50" s="8"/>
      </tp>
      <tp>
        <v>61.489999999989308</v>
        <stp/>
        <stp>##V3_BDPV12</stp>
        <stp>EC5588925 Govt</stp>
        <stp>PX_ASK</stp>
        <stp>[BondPricer-0.2.xlsm]ITALIAN_BTPS_TYPE523!R100C22</stp>
        <stp>YAS_BOND_YLD=3.87512685082307</stp>
        <stp>YAS_YLD_CONV=1</stp>
        <tr r="V100" s="5"/>
      </tp>
      <tp>
        <v>42.53199999815822</v>
        <stp/>
        <stp>##V3_BDPV12</stp>
        <stp>EJ4854638 Govt</stp>
        <stp>PX_ASK</stp>
        <stp>[BondPricer-0.2.xlsm]ITALIAN_BTPS_TYPE523!R142C22</stp>
        <stp>YAS_BOND_YLD=4.19770032549958</stp>
        <stp>YAS_YLD_CONV=1</stp>
        <tr r="V142" s="5"/>
      </tp>
      <tp>
        <v>19.439000000321823</v>
        <stp/>
        <stp>##V3_BDPV12</stp>
        <stp>AN2019403 Govt</stp>
        <stp>PX_ASK</stp>
        <stp>[BondPricer-0.2.xlsm]ITALIAN_BTPS_TYPE523!R195C22</stp>
        <stp>YAS_BOND_YLD=4.03824847158001</stp>
        <stp>YAS_YLD_CONV=1</stp>
        <tr r="V195" s="5"/>
      </tp>
      <tp>
        <v>17.819000001406391</v>
        <stp/>
        <stp>##V3_BDPV12</stp>
        <stp>AN2023132 Govt</stp>
        <stp>PX_ASK</stp>
        <stp>[BondPricer-0.2.xlsm]ITALIAN_BTPS_TYPE523!R201C22</stp>
        <stp>YAS_BOND_YLD=3.96383485231313</stp>
        <stp>YAS_YLD_CONV=1</stp>
        <tr r="V201" s="5"/>
      </tp>
      <tp>
        <v>43.525999997567148</v>
        <stp/>
        <stp>##V3_BDPV12</stp>
        <stp>EH2420238 Govt</stp>
        <stp>PX_ASK</stp>
        <stp>[BondPricer-0.2.xlsm]ITALIAN_BTPS_TYPE523!R143C22</stp>
        <stp>YAS_BOND_YLD=4.08198498583461</stp>
        <stp>YAS_YLD_CONV=1</stp>
        <tr r="V143" s="5"/>
      </tp>
      <tp>
        <v>53.406999999822816</v>
        <stp/>
        <stp>##V3_BDPV12</stp>
        <stp>EF1312166 Govt</stp>
        <stp>PX_ASK</stp>
        <stp>[BondPricer-0.2.xlsm]ITALIAN_BTPS_TYPE523!R121C22</stp>
        <stp>YAS_BOND_YLD=3.92529017534391</stp>
        <stp>YAS_YLD_CONV=1</stp>
        <tr r="V121" s="5"/>
      </tp>
      <tp>
        <v>18.398014534894003</v>
        <stp/>
        <stp>##V3_BDPV12</stp>
        <stp>EF0212920 Govt</stp>
        <stp>YAS_RISK</stp>
        <stp>[BondPricer-0.2.xlsm]JAPAN_JGB_TYPE51!R168C25</stp>
        <stp>YLD_YTM_ASK=0.45</stp>
        <stp>YAS_YLD_CONV=3</stp>
        <tr r="Y168" s="7"/>
      </tp>
      <tp>
        <v>4.9955536754119123</v>
        <stp/>
        <stp>##V3_BDPV12</stp>
        <stp>GG7190240 Govt</stp>
        <stp>YAS_RISK</stp>
        <stp>[BondPricer-0.2.xlsm]FRENCH_BTAN_TYPE89!R46C24</stp>
        <stp>YLD_YTM_ASK=0.08744745524083</stp>
        <stp>YAS_YLD_CONV=1</stp>
        <tr r="X46" s="8"/>
      </tp>
      <tp>
        <v>5.3287394203275582</v>
        <stp/>
        <stp>##V3_BDPV12</stp>
        <stp>ED5111288 Govt</stp>
        <stp>YAS_MOD_DUR</stp>
        <stp>[BondPricer-0.2.xlsm]JAPAN_JGB_TYPE51!R55C28</stp>
        <stp>YLD_YTM_ASK=-0.0370000000000008</stp>
        <stp>YAS_YLD_CONV=3</stp>
        <tr r="AB55" s="7"/>
      </tp>
      <tp>
        <v>9.631190546502971</v>
        <stp/>
        <stp>##V3_BDPV12</stp>
        <stp>EH8715490 Govt</stp>
        <stp>YAS_MOD_DUR</stp>
        <stp>[BondPricer-0.2.xlsm]JAPAN_JGB_TYPE51!R108C28</stp>
        <stp>YLD_YTM_ASK=0.159</stp>
        <stp>YAS_YLD_CONV=3</stp>
        <tr r="AB108" s="7"/>
      </tp>
      <tp>
        <v>2.7303004022620314</v>
        <stp/>
        <stp>##V3_BDPV12</stp>
        <stp>ED9255313 Govt</stp>
        <stp>YAS_RISK</stp>
        <stp>[BondPricer-0.2.xlsm]FRENCH_BTAN_TYPE89!R9C24</stp>
        <stp>YLD_YTM_ASK=-0.408700806848562</stp>
        <stp>YAS_YLD_CONV=1</stp>
        <tr r="X9" s="8"/>
      </tp>
      <tp>
        <v>116.672</v>
        <stp/>
        <stp>##V3_BDPV12</stp>
        <stp>EG0574590 Govt</stp>
        <stp>YAS_BOND_PX</stp>
        <stp>[BondPricer-0.2.xlsm]JAPAN_JGB_TYPE51!R87C20</stp>
        <stp>YAS_BOND_SPL_YLD=0.0520000000000023</stp>
        <stp>YAS_YLD_CONV=2</stp>
        <tr r="T87" s="7"/>
      </tp>
      <tp>
        <v>26.713383124184986</v>
        <stp/>
        <stp>##V3_BDPV12</stp>
        <stp>EI3229347 Govt</stp>
        <stp>YAS_RISK</stp>
        <stp>[BondPricer-0.2.xlsm]GERMAN_BUND_TYPE60!R34C24</stp>
        <stp>YLD_YTM_ASK=0.978813299771482</stp>
        <stp>YAS_YLD_CONV=1</stp>
        <tr r="X34" s="6"/>
      </tp>
      <tp>
        <v>5.4582660672458871</v>
        <stp/>
        <stp>##V3_BDPV12</stp>
        <stp>EI0428355 Govt</stp>
        <stp>YAS_RISK</stp>
        <stp>[BondPricer-0.2.xlsm]FRENCH_BTAN_TYPE89!R49C24</stp>
        <stp>YLD_YTM_ASK=0.174155763296913</stp>
        <stp>YAS_YLD_CONV=1</stp>
        <tr r="X49" s="8"/>
      </tp>
      <tp>
        <v>118.04687451698679</v>
        <stp/>
        <stp>##V3_BDPV12</stp>
        <stp>912810PX Govt</stp>
        <stp>YAS_BOND_PX</stp>
        <stp>[BondPricer-0.2.xlsm]US_TREASURY_TYPE1!R100C20</stp>
        <stp>YAS_BOND_YLD=3.2471366</stp>
        <stp>YAS_YLD_CONV=2</stp>
        <tr r="T100" s="4"/>
      </tp>
      <tp>
        <v>7.0260132739448977</v>
        <stp/>
        <stp>##V3_BDPV12</stp>
        <stp>AF2056345 Govt</stp>
        <stp>YAS_RISK</stp>
        <stp>[BondPricer-0.2.xlsm]GERMAN_BUND_TYPE60!R21C24</stp>
        <stp>YLD_YTM_ASK=0.126674407037317</stp>
        <stp>YAS_YLD_CONV=1</stp>
        <tr r="X21" s="6"/>
      </tp>
      <tp t="s">
        <v>#N/A Invalid Override</v>
        <stp/>
        <stp>##V3_BDPV12</stp>
        <stp>EI6755942 Govt</stp>
        <stp>YLD_CMPD_JPN_ASK_NOTRUNC</stp>
        <stp>[BondPricer-0.2.xlsm]JAPAN_JGB_TYPE51!R7C35</stp>
        <stp>PX_ASK=#N/A Requesting Data...</stp>
        <tr r="AI7" s="7"/>
      </tp>
      <tp>
        <v>2.6418045669259982</v>
        <stp/>
        <stp>##V3_BDPV12</stp>
        <stp>EJ6773588 Corp</stp>
        <stp>YAS_RISK</stp>
        <stp>[BondPricer-0.2.xlsm]AUSTRALIAN_GOVT_TYPE23!R8C26</stp>
        <stp>YLD_YTM_ASK=2.03016090314518</stp>
        <stp>YAS_YLD_CONV=3</stp>
        <tr r="Z8" s="9"/>
      </tp>
      <tp>
        <v>27.661999874378935</v>
        <stp/>
        <stp>##V3_BDPV12</stp>
        <stp>AN1976728 Govt</stp>
        <stp>PX_ASK</stp>
        <stp>[BondPricer-0.2.xlsm]ITALIAN_BTPS_TYPE523!R174C22</stp>
        <stp>YAS_BOND_YLD=4.25043082962779</stp>
        <stp>YAS_YLD_CONV=1</stp>
        <tr r="V174" s="5"/>
      </tp>
      <tp>
        <v>50.93799999948142</v>
        <stp/>
        <stp>##V3_BDPV12</stp>
        <stp>EF1312406 Govt</stp>
        <stp>PX_ASK</stp>
        <stp>[BondPricer-0.2.xlsm]ITALIAN_BTPS_TYPE523!R128C22</stp>
        <stp>YAS_BOND_YLD=3.86443620107089</stp>
        <stp>YAS_YLD_CONV=1</stp>
        <tr r="V128" s="5"/>
      </tp>
      <tp>
        <v>27.192999843869693</v>
        <stp/>
        <stp>##V3_BDPV12</stp>
        <stp>AN1978633 Govt</stp>
        <stp>PX_ASK</stp>
        <stp>[BondPricer-0.2.xlsm]ITALIAN_BTPS_TYPE523!R175C22</stp>
        <stp>YAS_BOND_YLD=4.23809394165706</stp>
        <stp>YAS_YLD_CONV=1</stp>
        <tr r="V175" s="5"/>
      </tp>
      <tp>
        <v>7.3672145356368901</v>
        <stp/>
        <stp>##V3_BDPV12</stp>
        <stp>JV5034238 Govt</stp>
        <stp>YAS_RISK</stp>
        <stp>[BondPricer-0.2.xlsm]GERMAN_BUND_TYPE60!R22C24</stp>
        <stp>YLD_YTM_ASK=0.191191564726673</stp>
        <stp>YAS_YLD_CONV=1</stp>
        <tr r="X22" s="6"/>
      </tp>
      <tp>
        <v>6.5090543607328435</v>
        <stp/>
        <stp>##V3_BDPV12</stp>
        <stp>EF1466236 Govt</stp>
        <stp>YAS_MOD_DUR</stp>
        <stp>[BondPricer-0.2.xlsm]JAPAN_JGB_TYPE51!R73C28</stp>
        <stp>YLD_YTM_ASK=0.00299999999999944</stp>
        <stp>YAS_YLD_CONV=3</stp>
        <tr r="AB73" s="7"/>
      </tp>
      <tp>
        <v>8.7944991631502489</v>
        <stp/>
        <stp>##V3_BDPV12</stp>
        <stp>GG7396557 Govt</stp>
        <stp>YAS_RISK</stp>
        <stp>[BondPricer-0.2.xlsm]FRENCH_BTAN_TYPE89!R92C24</stp>
        <stp>YLD_YTM_ASK=0.75686162265971</stp>
        <stp>YAS_YLD_CONV=1</stp>
        <tr r="X92" s="8"/>
      </tp>
      <tp>
        <v>5.8468653809058733</v>
        <stp/>
        <stp>##V3_BDPV12</stp>
        <stp>EK4690054 Govt</stp>
        <stp>YAS_MOD_DUR</stp>
        <stp>[BondPricer-0.2.xlsm]JAPAN_JGB_TYPE51!R57C28</stp>
        <stp>YLD_YTM_ASK=-0.0309999999999996</stp>
        <stp>YAS_YLD_CONV=3</stp>
        <tr r="AB57" s="7"/>
      </tp>
      <tp>
        <v>5.1649465031428816</v>
        <stp/>
        <stp>##V3_BDPV12</stp>
        <stp>ED4832348 Govt</stp>
        <stp>YAS_MOD_DUR</stp>
        <stp>[BondPricer-0.2.xlsm]JAPAN_JGB_TYPE51!R51C28</stp>
        <stp>YLD_YTM_ASK=-0.0500000000000009</stp>
        <stp>YAS_YLD_CONV=3</stp>
        <tr r="AB51" s="7"/>
      </tp>
      <tp>
        <v>6.0814610365940753</v>
        <stp/>
        <stp>##V3_BDPV12</stp>
        <stp>EK6363973 Govt</stp>
        <stp>YAS_MOD_DUR</stp>
        <stp>[BondPricer-0.2.xlsm]JAPAN_JGB_TYPE51!R60C28</stp>
        <stp>YLD_YTM_ASK=-0.0209999999999994</stp>
        <stp>YAS_YLD_CONV=3</stp>
        <tr r="AB60" s="7"/>
      </tp>
      <tp>
        <v>3.6214368555612846</v>
        <stp/>
        <stp>##V3_BDPV12</stp>
        <stp>EJ2679425 Govt</stp>
        <stp>YAS_MOD_DUR</stp>
        <stp>[BondPricer-0.2.xlsm]JAPAN_JGB_TYPE51!R29C28</stp>
        <stp>YLD_YTM_ASK=-0.0990000000000008</stp>
        <stp>YAS_YLD_CONV=3</stp>
        <tr r="AB29" s="7"/>
      </tp>
      <tp>
        <v>9.5025953540344918</v>
        <stp/>
        <stp>##V3_BDPV12</stp>
        <stp>EH7995887 Govt</stp>
        <stp>YAS_MOD_DUR</stp>
        <stp>[BondPricer-0.2.xlsm]JAPAN_JGB_TYPE51!R105C28</stp>
        <stp>YLD_YTM_ASK=0.149</stp>
        <stp>YAS_YLD_CONV=3</stp>
        <tr r="AB105" s="7"/>
      </tp>
      <tp>
        <v>16.251434695717393</v>
        <stp/>
        <stp>##V3_BDPV12</stp>
        <stp>912810QB Govt</stp>
        <stp>YAS_RISK</stp>
        <stp>[BondPricer-0.2.xlsm]US_TREASURY_TYPE1!R102C24</stp>
        <stp>YLD_YTM_ASK=3.2681039</stp>
        <stp>YAS_YLD_CONV=3</stp>
        <tr r="X102" s="4"/>
      </tp>
      <tp>
        <v>16.71165800137473</v>
        <stp/>
        <stp>##V3_BDPV12</stp>
        <stp>912810RJ Govt</stp>
        <stp>YAS_RISK</stp>
        <stp>[BondPricer-0.2.xlsm]US_TREASURY_TYPE1!R124C24</stp>
        <stp>YLD_YTM_ASK=3.3259549</stp>
        <stp>YAS_YLD_CONV=3</stp>
        <tr r="X124" s="4"/>
      </tp>
      <tp>
        <v>90.65625018882082</v>
        <stp/>
        <stp>##V3_BDPV12</stp>
        <stp>912810QX Govt</stp>
        <stp>YAS_BOND_PX</stp>
        <stp>[BondPricer-0.2.xlsm]US_TREASURY_TYPE1!R115C20</stp>
        <stp>YAS_BOND_YLD=3.3203753</stp>
        <stp>YAS_YLD_CONV=2</stp>
        <tr r="T115" s="4"/>
      </tp>
      <tp>
        <v>8.0027040712231212</v>
        <stp/>
        <stp>##V3_BDPV12</stp>
        <stp>EI0428553 Govt</stp>
        <stp>YAS_RISK</stp>
        <stp>[BondPricer-0.2.xlsm]FRENCH_BTAN_TYPE89!R82C24</stp>
        <stp>YLD_YTM_ASK=0.660762903483758</stp>
        <stp>YAS_YLD_CONV=1</stp>
        <tr r="X82" s="8"/>
      </tp>
      <tp>
        <v>9.1544860780089721</v>
        <stp/>
        <stp>##V3_BDPV12</stp>
        <stp>EC3971420 Govt</stp>
        <stp>YAS_RISK</stp>
        <stp>[BondPricer-0.2.xlsm]FRENCH_BTAN_TYPE89!R95C24</stp>
        <stp>YLD_YTM_ASK=0.824751815764313</stp>
        <stp>YAS_YLD_CONV=1</stp>
        <tr r="X95" s="8"/>
      </tp>
      <tp>
        <v>7.6269546542775402</v>
        <stp/>
        <stp>##V3_BDPV12</stp>
        <stp>EC3971255 Govt</stp>
        <stp>YAS_RISK</stp>
        <stp>[BondPricer-0.2.xlsm]FRENCH_BTAN_TYPE89!R79C24</stp>
        <stp>YLD_YTM_ASK=0.561195221794919</stp>
        <stp>YAS_YLD_CONV=1</stp>
        <tr r="X79" s="8"/>
      </tp>
      <tp>
        <v>11.688894826741603</v>
        <stp/>
        <stp>##V3_BDPV12</stp>
        <stp>EC0518513 Govt</stp>
        <stp>YAS_RISK</stp>
        <stp>[BondPricer-0.2.xlsm]GERMAN_BUND_TYPE60!R27C24</stp>
        <stp>YLD_YTM_ASK=0.414403500400325</stp>
        <stp>YAS_YLD_CONV=1</stp>
        <tr r="X27" s="6"/>
      </tp>
      <tp>
        <v>9.4784428680377175</v>
        <stp/>
        <stp>##V3_BDPV12</stp>
        <stp>GG7396508 Govt</stp>
        <stp>YAS_RISK</stp>
        <stp>[BondPricer-0.2.xlsm]FRENCH_BTAN_TYPE89!R98C24</stp>
        <stp>YLD_YTM_ASK=0.909541263275582</stp>
        <stp>YAS_YLD_CONV=1</stp>
        <tr r="X98" s="8"/>
      </tp>
      <tp>
        <v>24.435999501635887</v>
        <stp/>
        <stp>##V3_BDPV12</stp>
        <stp>AN1984300 Govt</stp>
        <stp>PX_ASK</stp>
        <stp>[BondPricer-0.2.xlsm]ITALIAN_BTPS_TYPE523!R181C22</stp>
        <stp>YAS_BOND_YLD=4.18399795001831</stp>
        <stp>YAS_YLD_CONV=1</stp>
        <tr r="V181" s="5"/>
      </tp>
      <tp>
        <v>52.456999999745342</v>
        <stp/>
        <stp>##V3_BDPV12</stp>
        <stp>EF1312364 Govt</stp>
        <stp>PX_ASK</stp>
        <stp>[BondPricer-0.2.xlsm]ITALIAN_BTPS_TYPE523!R124C22</stp>
        <stp>YAS_BOND_YLD=3.91722560433023</stp>
        <stp>YAS_YLD_CONV=1</stp>
        <tr r="V124" s="5"/>
      </tp>
      <tp>
        <v>54.814999999873493</v>
        <stp/>
        <stp>##V3_BDPV12</stp>
        <stp>ED1656591 Govt</stp>
        <stp>PX_ASK</stp>
        <stp>[BondPricer-0.2.xlsm]ITALIAN_BTPS_TYPE523!R119C22</stp>
        <stp>YAS_BOND_YLD=3.88073701324143</stp>
        <stp>YAS_YLD_CONV=1</stp>
        <tr r="V119" s="5"/>
      </tp>
      <tp>
        <v>114.70099999995315</v>
        <stp/>
        <stp>##V3_BDPV12</stp>
        <stp>ED1544706 Govt</stp>
        <stp>PX_ASK</stp>
        <stp>[BondPricer-0.2.xlsm]ITALIAN_BTPS_TYPE523!R117C22</stp>
        <stp>YAS_BOND_YLD=3.79182819786326</stp>
        <stp>YAS_YLD_CONV=1</stp>
        <tr r="V117" s="5"/>
      </tp>
      <tp>
        <v>42.1329999952017</v>
        <stp/>
        <stp>##V3_BDPV12</stp>
        <stp>EJ4855486 Govt</stp>
        <stp>PX_ASK</stp>
        <stp>[BondPricer-0.2.xlsm]ITALIAN_BTPS_TYPE523!R150C22</stp>
        <stp>YAS_BOND_YLD=4.02971561641501</stp>
        <stp>YAS_YLD_CONV=1</stp>
        <tr r="V150" s="5"/>
      </tp>
      <tp>
        <v>13.758808285227531</v>
        <stp/>
        <stp>##V3_BDPV12</stp>
        <stp>EI7138619 Govt</stp>
        <stp>YAS_RISK</stp>
        <stp>[BondPricer-0.2.xlsm]JAPAN_JGB_TYPE51!R129C25</stp>
        <stp>YLD_YTM_ASK=0.258999999999999</stp>
        <stp>YAS_YLD_CONV=3</stp>
        <tr r="Y129" s="7"/>
      </tp>
      <tp>
        <v>19.723867910451531</v>
        <stp/>
        <stp>##V3_BDPV12</stp>
        <stp>EF5597655 Govt</stp>
        <stp>YAS_RISK</stp>
        <stp>[BondPricer-0.2.xlsm]JAPAN_JGB_TYPE51!R176C25</stp>
        <stp>YLD_YTM_ASK=0.490999999999999</stp>
        <stp>YAS_YLD_CONV=3</stp>
        <tr r="Y176" s="7"/>
      </tp>
      <tp>
        <v>5.3542713673928564</v>
        <stp/>
        <stp>##V3_BDPV12</stp>
        <stp>ED5910010 Govt</stp>
        <stp>YAS_MOD_DUR</stp>
        <stp>[BondPricer-0.2.xlsm]JAPAN_JGB_TYPE51!R56C28</stp>
        <stp>YLD_YTM_ASK=-0.0380000000000002</stp>
        <stp>YAS_YLD_CONV=3</stp>
        <tr r="AB56" s="7"/>
      </tp>
      <tp>
        <v>4.8622164266788515</v>
        <stp/>
        <stp>##V3_BDPV12</stp>
        <stp>EJ9223300 Govt</stp>
        <stp>YAS_MOD_DUR</stp>
        <stp>[BondPricer-0.2.xlsm]JAPAN_JGB_TYPE51!R45C28</stp>
        <stp>YLD_YTM_ASK=-0.0679999999999998</stp>
        <stp>YAS_YLD_CONV=3</stp>
        <tr r="AB45" s="7"/>
      </tp>
      <tp>
        <v>9.6693547934649438</v>
        <stp/>
        <stp>##V3_BDPV12</stp>
        <stp>EH9141712 Govt</stp>
        <stp>YAS_MOD_DUR</stp>
        <stp>[BondPricer-0.2.xlsm]JAPAN_JGB_TYPE51!R107C28</stp>
        <stp>YLD_YTM_ASK=0.159</stp>
        <stp>YAS_YLD_CONV=3</stp>
        <tr r="AB107" s="7"/>
      </tp>
      <tp>
        <v>2.2496916047813897</v>
        <stp/>
        <stp>##V3_BDPV12</stp>
        <stp>912828B9 Govt</stp>
        <stp>YAS_RISK</stp>
        <stp>[BondPricer-0.2.xlsm]US_TREASURY_TYPE1!R11C24</stp>
        <stp>YLD_YTM_ASK=2.887811</stp>
        <stp>YAS_YLD_CONV=3</stp>
        <tr r="X11" s="4"/>
      </tp>
      <tp>
        <v>14.093338800459044</v>
        <stp/>
        <stp>##V3_BDPV12</stp>
        <stp>ED9034742 Govt</stp>
        <stp>YAS_MOD_DUR</stp>
        <stp>[BondPricer-0.2.xlsm]JAPAN_JGB_TYPE51!R166C28</stp>
        <stp>YLD_YTM_ASK=0.435</stp>
        <stp>YAS_YLD_CONV=3</stp>
        <tr r="AB166" s="7"/>
      </tp>
      <tp>
        <v>11.914507268564341</v>
        <stp/>
        <stp>##V3_BDPV12</stp>
        <stp>EI9104742 Govt</stp>
        <stp>YAS_MOD_DUR</stp>
        <stp>[BondPricer-0.2.xlsm]JAPAN_JGB_TYPE51!R135C28</stp>
        <stp>YLD_YTM_ASK=0.284</stp>
        <stp>YAS_YLD_CONV=3</stp>
        <tr r="AB135" s="7"/>
      </tp>
      <tp>
        <v>18.984201674079944</v>
        <stp/>
        <stp>##V3_BDPV12</stp>
        <stp>EI8055663 Govt</stp>
        <stp>YAS_MOD_DUR</stp>
        <stp>[BondPricer-0.2.xlsm]JAPAN_JGB_TYPE51!R191C28</stp>
        <stp>YLD_YTM_ASK=0.685</stp>
        <stp>YAS_YLD_CONV=3</stp>
        <tr r="AB191" s="7"/>
      </tp>
      <tp>
        <v>13.403001624056699</v>
        <stp/>
        <stp>##V3_BDPV12</stp>
        <stp>EC9747782 Govt</stp>
        <stp>YAS_MOD_DUR</stp>
        <stp>[BondPricer-0.2.xlsm]JAPAN_JGB_TYPE51!R150C28</stp>
        <stp>YLD_YTM_ASK=0.358</stp>
        <stp>YAS_YLD_CONV=3</stp>
        <tr r="AB150" s="7"/>
      </tp>
      <tp>
        <v>3.0651196171874062</v>
        <stp/>
        <stp>##V3_BDPV12</stp>
        <stp>EI7852649 Govt</stp>
        <stp>YAS_RISK</stp>
        <stp>[BondPricer-0.2.xlsm]GERMAN_BUND_TYPE60!R9C24</stp>
        <stp>YLD_YTM_ASK=-0.476139101995367</stp>
        <stp>YAS_YLD_CONV=1</stp>
        <tr r="X9" s="6"/>
      </tp>
      <tp>
        <v>17.206240973298037</v>
        <stp/>
        <stp>##V3_BDPV12</stp>
        <stp>912810QE Govt</stp>
        <stp>YAS_RISK</stp>
        <stp>[BondPricer-0.2.xlsm]US_TREASURY_TYPE1!R105C24</stp>
        <stp>YLD_YTM_ASK=3.2827628</stp>
        <stp>YAS_YLD_CONV=3</stp>
        <tr r="X105" s="4"/>
      </tp>
      <tp>
        <v>119.19499999999999</v>
        <stp/>
        <stp>##V3_BDPV12</stp>
        <stp>EG5864293 Govt</stp>
        <stp>YAS_BOND_PX</stp>
        <stp>[BondPricer-0.2.xlsm]JAPAN_JGB_TYPE51!R91C20</stp>
        <stp>YAS_BOND_SPL_YLD=0.0729999999999995</stp>
        <stp>YAS_YLD_CONV=2</stp>
        <tr r="T91" s="7"/>
      </tp>
      <tp>
        <v>100.28400000000001</v>
        <stp/>
        <stp>##V3_BDPV12</stp>
        <stp>AM7131296 Govt</stp>
        <stp>YAS_BOND_PX</stp>
        <stp>[BondPricer-0.2.xlsm]JAPAN_JGB_TYPE51!R88C20</stp>
        <stp>YAS_BOND_SPL_YLD=0.0659999999999998</stp>
        <stp>YAS_YLD_CONV=2</stp>
        <tr r="T88" s="7"/>
      </tp>
      <tp>
        <v>3.1938358715613901</v>
        <stp/>
        <stp>##V3_BDPV12</stp>
        <stp>AL7220364 Govt</stp>
        <stp>YAS_RISK</stp>
        <stp>[BondPricer-0.2.xlsm]JAPAN_JGB_TYPE51!R20C25</stp>
        <stp>YLD_YTM_ASK=-0.108000000000002</stp>
        <stp>YAS_YLD_CONV=3</stp>
        <tr r="Y20" s="7"/>
      </tp>
      <tp>
        <v>5.9275093746677499</v>
        <stp/>
        <stp>##V3_BDPV12</stp>
        <stp>GG7190257 Govt</stp>
        <stp>YAS_RISK</stp>
        <stp>[BondPricer-0.2.xlsm]FRENCH_BTAN_TYPE89!R56C24</stp>
        <stp>YLD_YTM_ASK=0.225288131029155</stp>
        <stp>YAS_YLD_CONV=1</stp>
        <tr r="X56" s="8"/>
      </tp>
      <tp>
        <v>90.5468745335329</v>
        <stp/>
        <stp>##V3_BDPV12</stp>
        <stp>912810QY Govt</stp>
        <stp>YAS_BOND_PX</stp>
        <stp>[BondPricer-0.2.xlsm]US_TREASURY_TYPE1!R116C20</stp>
        <stp>YAS_BOND_YLD=3.3233507</stp>
        <stp>YAS_YLD_CONV=2</stp>
        <tr r="T116" s="4"/>
      </tp>
      <tp>
        <v>25.385996043445402</v>
        <stp/>
        <stp>##V3_BDPV12</stp>
        <stp>EG1209048 Govt</stp>
        <stp>YAS_RISK</stp>
        <stp>[BondPricer-0.2.xlsm]GERMAN_BUND_TYPE60!R32C24</stp>
        <stp>YLD_YTM_ASK=0.904383246548721</stp>
        <stp>YAS_YLD_CONV=1</stp>
        <tr r="X32" s="6"/>
      </tp>
      <tp>
        <v>19.583691418164051</v>
        <stp/>
        <stp>##V3_BDPV12</stp>
        <stp>EC8300625 Govt</stp>
        <stp>YAS_RISK</stp>
        <stp>[BondPricer-0.2.xlsm]GERMAN_BUND_TYPE60!R30C24</stp>
        <stp>YLD_YTM_ASK=0.750373189429678</stp>
        <stp>YAS_YLD_CONV=1</stp>
        <tr r="X30" s="6"/>
      </tp>
      <tp>
        <v>47.920999999120021</v>
        <stp/>
        <stp>##V3_BDPV12</stp>
        <stp>EH2420758 Govt</stp>
        <stp>PX_ASK</stp>
        <stp>[BondPricer-0.2.xlsm]ITALIAN_BTPS_TYPE523!R134C22</stp>
        <stp>YAS_BOND_YLD=3.99123696237973</stp>
        <stp>YAS_YLD_CONV=1</stp>
        <tr r="V134" s="5"/>
      </tp>
      <tp>
        <v>16.408000005402354</v>
        <stp/>
        <stp>##V3_BDPV12</stp>
        <stp>AN2029006 Govt</stp>
        <stp>PX_ASK</stp>
        <stp>[BondPricer-0.2.xlsm]ITALIAN_BTPS_TYPE523!R207C22</stp>
        <stp>YAS_BOND_YLD=3.88897725819199</stp>
        <stp>YAS_YLD_CONV=1</stp>
        <tr r="V207" s="5"/>
      </tp>
      <tp>
        <v>17.327000002239995</v>
        <stp/>
        <stp>##V3_BDPV12</stp>
        <stp>AN2024692 Govt</stp>
        <stp>PX_ASK</stp>
        <stp>[BondPricer-0.2.xlsm]ITALIAN_BTPS_TYPE523!R203C22</stp>
        <stp>YAS_BOND_YLD=3.93844206916862</stp>
        <stp>YAS_YLD_CONV=1</stp>
        <tr r="V203" s="5"/>
      </tp>
      <tp>
        <v>51.539999999638461</v>
        <stp/>
        <stp>##V3_BDPV12</stp>
        <stp>EF1312208 Govt</stp>
        <stp>PX_ASK</stp>
        <stp>[BondPricer-0.2.xlsm]ITALIAN_BTPS_TYPE523!R126C22</stp>
        <stp>YAS_BOND_YLD=3.90775031337431</stp>
        <stp>YAS_YLD_CONV=1</stp>
        <tr r="V126" s="5"/>
      </tp>
      <tp>
        <v>39.694999993113157</v>
        <stp/>
        <stp>##V3_BDPV12</stp>
        <stp>EJ8034211 Govt</stp>
        <stp>PX_ASK</stp>
        <stp>[BondPricer-0.2.xlsm]ITALIAN_BTPS_TYPE523!R155C22</stp>
        <stp>YAS_BOND_YLD=4.11456030049939</stp>
        <stp>YAS_YLD_CONV=1</stp>
        <tr r="V155" s="5"/>
      </tp>
      <tp>
        <v>2.6118205224413771</v>
        <stp/>
        <stp>##V3_BDPV12</stp>
        <stp>EI7993450 Corp</stp>
        <stp>YAS_RISK</stp>
        <stp>[BondPricer-0.2.xlsm]AUSTRALIAN_GOVT_TYPE23!R9C26</stp>
        <stp>YLD_YTM_ASK=2.22683790700587</stp>
        <stp>YAS_YLD_CONV=3</stp>
        <tr r="Z9" s="9"/>
      </tp>
      <tp>
        <v>16.505139726731954</v>
        <stp/>
        <stp>##V3_BDPV12</stp>
        <stp>EK4996816 Govt</stp>
        <stp>YAS_RISK</stp>
        <stp>[BondPricer-0.2.xlsm]JAPAN_JGB_TYPE51!R161C25</stp>
        <stp>YLD_YTM_ASK=0.433000000000001</stp>
        <stp>YAS_YLD_CONV=3</stp>
        <tr r="Y161" s="7"/>
      </tp>
      <tp>
        <v>15.717367450733541</v>
        <stp/>
        <stp>##V3_BDPV12</stp>
        <stp>EG9384082 Govt</stp>
        <stp>YAS_MOD_DUR</stp>
        <stp>[BondPricer-0.2.xlsm]JAPAN_JGB_TYPE51!R183C28</stp>
        <stp>YLD_YTM_ASK=0.547</stp>
        <stp>YAS_YLD_CONV=3</stp>
        <tr r="AB183" s="7"/>
      </tp>
      <tp>
        <v>7.1774710873377501</v>
        <stp/>
        <stp>##V3_BDPV12</stp>
        <stp>EC1044535 Govt</stp>
        <stp>YAS_RISK</stp>
        <stp>[BondPricer-0.2.xlsm]ITALIAN_BTPS_TYPE523!R88C26</stp>
        <stp>YLD_YTM_ASK=3.6413059610005</stp>
        <stp>YAS_YLD_CONV=33</stp>
        <tr r="Z88" s="5"/>
      </tp>
      <tp>
        <v>117.881</v>
        <stp/>
        <stp>##V3_BDPV12</stp>
        <stp>EH0633659 Govt</stp>
        <stp>YAS_BOND_PX</stp>
        <stp>[BondPricer-0.2.xlsm]JAPAN_JGB_TYPE51!R94C20</stp>
        <stp>YAS_BOND_SPL_YLD=0.0819999999999993</stp>
        <stp>YAS_YLD_CONV=2</stp>
        <tr r="T94" s="7"/>
      </tp>
      <tp>
        <v>11.466458165035931</v>
        <stp/>
        <stp>##V3_BDPV12</stp>
        <stp>GG7293994 Govt</stp>
        <stp>YAS_RISK</stp>
        <stp>[BondPricer-0.2.xlsm]GERMAN_BUND_TYPE60!R26C24</stp>
        <stp>YLD_YTM_ASK=0.360555235659435</stp>
        <stp>YAS_YLD_CONV=1</stp>
        <tr r="X26" s="6"/>
      </tp>
      <tp>
        <v>12.69198650644654</v>
        <stp/>
        <stp>##V3_BDPV12</stp>
        <stp>GG7384272 Govt</stp>
        <stp>YAS_RISK</stp>
        <stp>[BondPricer-0.2.xlsm]FRENCH_BTAN_TYPE89!R96C24</stp>
        <stp>YLD_YTM_ASK=0.823573367248306</stp>
        <stp>YAS_YLD_CONV=1</stp>
        <tr r="X96" s="8"/>
      </tp>
      <tp>
        <v>21.749671846230001</v>
        <stp/>
        <stp>##V3_BDPV12</stp>
        <stp>ED7838094 Govt</stp>
        <stp>YAS_RISK</stp>
        <stp>[BondPricer-0.2.xlsm]GERMAN_BUND_TYPE60!R31C24</stp>
        <stp>YLD_YTM_ASK=0.846381334487573</stp>
        <stp>YAS_YLD_CONV=1</stp>
        <tr r="X31" s="6"/>
      </tp>
      <tp>
        <v>35.826999998085796</v>
        <stp/>
        <stp>##V3_BDPV12</stp>
        <stp>EK0225137 Govt</stp>
        <stp>PX_ASK</stp>
        <stp>[BondPricer-0.2.xlsm]ITALIAN_BTPS_TYPE523!R156C22</stp>
        <stp>YAS_BOND_YLD=4.48849348985381</stp>
        <stp>YAS_YLD_CONV=1</stp>
        <tr r="V156" s="5"/>
      </tp>
      <tp t="s">
        <v>#N/A Invalid Override</v>
        <stp/>
        <stp>##V3_BDPV12</stp>
        <stp>QZ4977943 Govt</stp>
        <stp>YAS_BOND_YLD</stp>
        <stp>[BondPricer-0.2.xlsm]JAPAN_JGB_TYPE51!R16C31</stp>
        <stp>YAS_BOND_PX=#N/A Requesting Data...</stp>
        <tr r="AE16" s="7"/>
      </tp>
      <tp>
        <v>11.98911740450157</v>
        <stp/>
        <stp>##V3_BDPV12</stp>
        <stp>EH9753441 Govt</stp>
        <stp>YAS_RISK</stp>
        <stp>[BondPricer-0.2.xlsm]JAPAN_JGB_TYPE51!R109C25</stp>
        <stp>YLD_YTM_ASK=0.17</stp>
        <stp>YAS_YLD_CONV=3</stp>
        <tr r="Y109" s="7"/>
      </tp>
      <tp>
        <v>13.883675522309602</v>
        <stp/>
        <stp>##V3_BDPV12</stp>
        <stp>EC3066569 Govt</stp>
        <stp>YAS_RISK</stp>
        <stp>[BondPricer-0.2.xlsm]JAPAN_JGB_TYPE51!R122C25</stp>
        <stp>YLD_YTM_ASK=0.218999999999998</stp>
        <stp>YAS_YLD_CONV=3</stp>
        <tr r="Y122" s="7"/>
      </tp>
      <tp>
        <v>4.3712594456312956</v>
        <stp/>
        <stp>##V3_BDPV12</stp>
        <stp>EJ5801505 Govt</stp>
        <stp>YAS_MOD_DUR</stp>
        <stp>[BondPricer-0.2.xlsm]JAPAN_JGB_TYPE51!R39C28</stp>
        <stp>YLD_YTM_ASK=-0.0809999999999985</stp>
        <stp>YAS_YLD_CONV=3</stp>
        <tr r="AB39" s="7"/>
      </tp>
      <tp>
        <v>5.3434863372568611</v>
        <stp/>
        <stp>##V3_BDPV12</stp>
        <stp>EK1072785 Govt</stp>
        <stp>YAS_MOD_DUR</stp>
        <stp>[BondPricer-0.2.xlsm]JAPAN_JGB_TYPE51!R50C28</stp>
        <stp>YLD_YTM_ASK=-0.0470000000000012</stp>
        <stp>YAS_YLD_CONV=3</stp>
        <tr r="AB50" s="7"/>
      </tp>
      <tp>
        <v>11.855799713693644</v>
        <stp/>
        <stp>##V3_BDPV12</stp>
        <stp>EJ0014849 Govt</stp>
        <stp>YAS_MOD_DUR</stp>
        <stp>[BondPricer-0.2.xlsm]JAPAN_JGB_TYPE51!R134C28</stp>
        <stp>YLD_YTM_ASK=0.284</stp>
        <stp>YAS_YLD_CONV=3</stp>
        <tr r="AB134" s="7"/>
      </tp>
      <tp>
        <v>5.3704657707569936</v>
        <stp/>
        <stp>##V3_BDPV12</stp>
        <stp>912828G3 Govt</stp>
        <stp>YAS_RISK</stp>
        <stp>[BondPricer-0.2.xlsm]US_TREASURY_TYPE1!R73C24</stp>
        <stp>YLD_YTM_ASK=3.060696</stp>
        <stp>YAS_YLD_CONV=3</stp>
        <tr r="X73" s="4"/>
      </tp>
      <tp>
        <v>17.364983392047861</v>
        <stp/>
        <stp>##V3_BDPV12</stp>
        <stp>912810RC Govt</stp>
        <stp>YAS_RISK</stp>
        <stp>[BondPricer-0.2.xlsm]US_TREASURY_TYPE1!R119C24</stp>
        <stp>YLD_YTM_ASK=3.3237542</stp>
        <stp>YAS_YLD_CONV=3</stp>
        <tr r="X119" s="4"/>
      </tp>
      <tp>
        <v>116.596</v>
        <stp/>
        <stp>##V3_BDPV12</stp>
        <stp>EF6592994 Govt</stp>
        <stp>YAS_BOND_PX</stp>
        <stp>[BondPricer-0.2.xlsm]JAPAN_JGB_TYPE51!R83C20</stp>
        <stp>YAS_BOND_SPL_YLD=0.0320000000000006</stp>
        <stp>YAS_YLD_CONV=2</stp>
        <tr r="T83" s="7"/>
      </tp>
      <tp>
        <v>100.607</v>
        <stp/>
        <stp>##V3_BDPV12</stp>
        <stp>JK2982615 Govt</stp>
        <stp>YAS_BOND_PX</stp>
        <stp>[BondPricer-0.2.xlsm]JAPAN_JGB_TYPE51!R77C20</stp>
        <stp>YAS_BOND_SPL_YLD=0.0180000000000014</stp>
        <stp>YAS_YLD_CONV=2</stp>
        <tr r="T77" s="7"/>
      </tp>
      <tp>
        <v>2.6882644309480952</v>
        <stp/>
        <stp>##V3_BDPV12</stp>
        <stp>LW3943617 Govt</stp>
        <stp>YAS_RISK</stp>
        <stp>[BondPricer-0.2.xlsm]JAPAN_JGB_TYPE51!R12C25</stp>
        <stp>YLD_YTM_ASK=-0.117999999999999</stp>
        <stp>YAS_YLD_CONV=3</stp>
        <tr r="Y12" s="7"/>
      </tp>
      <tp>
        <v>27.836104932131889</v>
        <stp/>
        <stp>##V3_BDPV12</stp>
        <stp>EH4697106 Govt</stp>
        <stp>YAS_RISK</stp>
        <stp>[BondPricer-0.2.xlsm]GERMAN_BUND_TYPE60!R33C24</stp>
        <stp>YLD_YTM_ASK=0.910764986811347</stp>
        <stp>YAS_YLD_CONV=1</stp>
        <tr r="X33" s="6"/>
      </tp>
      <tp>
        <v>6.3684249800608939</v>
        <stp/>
        <stp>##V3_BDPV12</stp>
        <stp>EK3074136 Govt</stp>
        <stp>YAS_RISK</stp>
        <stp>[BondPricer-0.2.xlsm]FRENCH_BTAN_TYPE89!R57C24</stp>
        <stp>YLD_YTM_ASK=0.264632901515182</stp>
        <stp>YAS_YLD_CONV=1</stp>
        <tr r="X57" s="8"/>
      </tp>
      <tp>
        <v>97.046875262553812</v>
        <stp/>
        <stp>##V3_BDPV12</stp>
        <stp>912810QT Govt</stp>
        <stp>YAS_BOND_PX</stp>
        <stp>[BondPricer-0.2.xlsm]US_TREASURY_TYPE1!R112C20</stp>
        <stp>YAS_BOND_YLD=3.3088568</stp>
        <stp>YAS_YLD_CONV=2</stp>
        <tr r="T112" s="4"/>
      </tp>
      <tp>
        <v>58.763999999975212</v>
        <stp/>
        <stp>##V3_BDPV12</stp>
        <stp>EC5588982 Govt</stp>
        <stp>PX_ASK</stp>
        <stp>[BondPricer-0.2.xlsm]ITALIAN_BTPS_TYPE523!R105C22</stp>
        <stp>YAS_BOND_YLD=3.92953214752587</stp>
        <stp>YAS_YLD_CONV=1</stp>
        <tr r="V105" s="5"/>
      </tp>
      <tp>
        <v>43.061999998771221</v>
        <stp/>
        <stp>##V3_BDPV12</stp>
        <stp>EH2420998 Govt</stp>
        <stp>PX_ASK</stp>
        <stp>[BondPricer-0.2.xlsm]ITALIAN_BTPS_TYPE523!R139C22</stp>
        <stp>YAS_BOND_YLD=4.23969304347012</stp>
        <stp>YAS_YLD_CONV=1</stp>
        <tr r="V139" s="5"/>
      </tp>
      <tp>
        <v>3.3730263421043847</v>
        <stp/>
        <stp>##V3_BDPV12</stp>
        <stp>EJ0489983 Govt</stp>
        <stp>YAS_MOD_DUR</stp>
        <stp>[BondPricer-0.2.xlsm]JAPAN_JGB_TYPE51!R26C28</stp>
        <stp>YLD_YTM_ASK=-0.102</stp>
        <stp>YAS_YLD_CONV=3</stp>
        <tr r="AB26" s="7"/>
      </tp>
      <tp>
        <v>16.693265150753689</v>
        <stp/>
        <stp>##V3_BDPV12</stp>
        <stp>EK8137466 Govt</stp>
        <stp>YAS_RISK</stp>
        <stp>[BondPricer-0.2.xlsm]JAPAN_JGB_TYPE51!R165C25</stp>
        <stp>YLD_YTM_ASK=0.465999999999999</stp>
        <stp>YAS_YLD_CONV=3</stp>
        <tr r="Y165" s="7"/>
      </tp>
      <tp>
        <v>14.635384972737597</v>
        <stp/>
        <stp>##V3_BDPV12</stp>
        <stp>EJ2397945 Govt</stp>
        <stp>YAS_RISK</stp>
        <stp>[BondPricer-0.2.xlsm]JAPAN_JGB_TYPE51!R142C25</stp>
        <stp>YLD_YTM_ASK=0.309999999999999</stp>
        <stp>YAS_YLD_CONV=3</stp>
        <tr r="Y142" s="7"/>
      </tp>
      <tp>
        <v>4.3379158481532256</v>
        <stp/>
        <stp>##V3_BDPV12</stp>
        <stp>EC9351635 Govt</stp>
        <stp>YAS_MOD_DUR</stp>
        <stp>[BondPricer-0.2.xlsm]JAPAN_JGB_TYPE51!R40C28</stp>
        <stp>YLD_YTM_ASK=-0.0859999999999996</stp>
        <stp>YAS_YLD_CONV=3</stp>
        <tr r="AB40" s="7"/>
      </tp>
      <tp>
        <v>8.7423033044293437</v>
        <stp/>
        <stp>##V3_BDPV12</stp>
        <stp>EH4237085 Govt</stp>
        <stp>YAS_MOD_DUR</stp>
        <stp>[BondPricer-0.2.xlsm]JAPAN_JGB_TYPE51!R98C28</stp>
        <stp>YLD_YTM_ASK=0.113</stp>
        <stp>YAS_YLD_CONV=3</stp>
        <tr r="AB98" s="7"/>
      </tp>
      <tp>
        <v>5.8151617824749842</v>
        <stp/>
        <stp>##V3_BDPV12</stp>
        <stp>ED8277235 Govt</stp>
        <stp>YAS_MOD_DUR</stp>
        <stp>[BondPricer-0.2.xlsm]JAPAN_JGB_TYPE51!R61C28</stp>
        <stp>YLD_YTM_ASK=-0.0179999999999995</stp>
        <stp>YAS_YLD_CONV=3</stp>
        <tr r="AB61" s="7"/>
      </tp>
      <tp>
        <v>13.374805059756961</v>
        <stp/>
        <stp>##V3_BDPV12</stp>
        <stp>EJ8434395 Govt</stp>
        <stp>YAS_MOD_DUR</stp>
        <stp>[BondPricer-0.2.xlsm]JAPAN_JGB_TYPE51!R153C28</stp>
        <stp>YLD_YTM_ASK=0.375</stp>
        <stp>YAS_YLD_CONV=3</stp>
        <tr r="AB153" s="7"/>
      </tp>
      <tp>
        <v>10.720374496501089</v>
        <stp/>
        <stp>##V3_BDPV12</stp>
        <stp>EI3854854 Govt</stp>
        <stp>YAS_MOD_DUR</stp>
        <stp>[BondPricer-0.2.xlsm]JAPAN_JGB_TYPE51!R117C28</stp>
        <stp>YLD_YTM_ASK=0.214</stp>
        <stp>YAS_YLD_CONV=3</stp>
        <tr r="AB117" s="7"/>
      </tp>
      <tp>
        <v>6.8318882784780044</v>
        <stp/>
        <stp>##V3_BDPV12</stp>
        <stp>EK0222795 Govt</stp>
        <stp>YAS_RISK</stp>
        <stp>[BondPricer-0.2.xlsm]ITALIAN_BTPS_TYPE523!R79C26</stp>
        <stp>YLD_YTM_ASK=3.7401097252338</stp>
        <stp>YAS_YLD_CONV=33</stp>
        <tr r="Z79" s="5"/>
      </tp>
      <tp>
        <v>17.713721638725133</v>
        <stp/>
        <stp>##V3_BDPV12</stp>
        <stp>912810RD Govt</stp>
        <stp>YAS_RISK</stp>
        <stp>[BondPricer-0.2.xlsm]US_TREASURY_TYPE1!R120C24</stp>
        <stp>YLD_YTM_ASK=3.3233832</stp>
        <stp>YAS_YLD_CONV=3</stp>
        <tr r="X120" s="4"/>
      </tp>
      <tp>
        <v>16.730175117212553</v>
        <stp/>
        <stp>##V3_BDPV12</stp>
        <stp>912810RN Govt</stp>
        <stp>YAS_RISK</stp>
        <stp>[BondPricer-0.2.xlsm]US_TREASURY_TYPE1!R127C24</stp>
        <stp>YLD_YTM_ASK=3.3289308</stp>
        <stp>YAS_YLD_CONV=3</stp>
        <tr r="X127" s="4"/>
      </tp>
      <tp>
        <v>16.696675585696141</v>
        <stp/>
        <stp>##V3_BDPV12</stp>
        <stp>912810QD Govt</stp>
        <stp>YAS_RISK</stp>
        <stp>[BondPricer-0.2.xlsm]US_TREASURY_TYPE1!R104C24</stp>
        <stp>YLD_YTM_ASK=3.2803081</stp>
        <stp>YAS_YLD_CONV=3</stp>
        <tr r="X104" s="4"/>
      </tp>
      <tp>
        <v>3.4429324788980864</v>
        <stp/>
        <stp>##V3_BDPV12</stp>
        <stp>AM7968010 Govt</stp>
        <stp>YAS_RISK</stp>
        <stp>[BondPricer-0.2.xlsm]JAPAN_JGB_TYPE51!R25C25</stp>
        <stp>YLD_YTM_ASK=-0.105999999999999</stp>
        <stp>YAS_YLD_CONV=3</stp>
        <tr r="Y25" s="7"/>
      </tp>
      <tp>
        <v>117.074</v>
        <stp/>
        <stp>##V3_BDPV12</stp>
        <stp>EG3969052 Govt</stp>
        <stp>YAS_BOND_PX</stp>
        <stp>[BondPricer-0.2.xlsm]JAPAN_JGB_TYPE51!R89C20</stp>
        <stp>YAS_BOND_SPL_YLD=0.0619999999999995</stp>
        <stp>YAS_YLD_CONV=2</stp>
        <tr r="T89" s="7"/>
      </tp>
      <tp>
        <v>2.7348609767926746</v>
        <stp/>
        <stp>##V3_BDPV12</stp>
        <stp>EI6972224 Govt</stp>
        <stp>YAS_RISK</stp>
        <stp>[BondPricer-0.2.xlsm]JAPAN_JGB_TYPE51!R13C25</stp>
        <stp>YLD_YTM_ASK=-0.113999999999998</stp>
        <stp>YAS_YLD_CONV=3</stp>
        <tr r="Y13" s="7"/>
      </tp>
      <tp>
        <v>117.48099999999999</v>
        <stp/>
        <stp>##V3_BDPV12</stp>
        <stp>EG7807761 Govt</stp>
        <stp>YAS_BOND_PX</stp>
        <stp>[BondPricer-0.2.xlsm]JAPAN_JGB_TYPE51!R92C20</stp>
        <stp>YAS_BOND_SPL_YLD=0.0720000000000012</stp>
        <stp>YAS_YLD_CONV=2</stp>
        <tr r="T92" s="7"/>
      </tp>
      <tp>
        <v>94.843750178020557</v>
        <stp/>
        <stp>##V3_BDPV12</stp>
        <stp>912810QW Govt</stp>
        <stp>YAS_BOND_PX</stp>
        <stp>[BondPricer-0.2.xlsm]US_TREASURY_TYPE1!R114C20</stp>
        <stp>YAS_BOND_YLD=3.3168191</stp>
        <stp>YAS_YLD_CONV=2</stp>
        <tr r="T114" s="4"/>
      </tp>
      <tp>
        <v>9.6128360141818803</v>
        <stp/>
        <stp>##V3_BDPV12</stp>
        <stp>EJ3468919 Govt</stp>
        <stp>YAS_RISK</stp>
        <stp>[BondPricer-0.2.xlsm]FRENCH_BTAN_TYPE89!R88C24</stp>
        <stp>YLD_YTM_ASK=0.679937004667618</stp>
        <stp>YAS_YLD_CONV=1</stp>
        <tr r="X88" s="8"/>
      </tp>
      <tp>
        <v>6.4318205828847397</v>
        <stp/>
        <stp>##V3_BDPV12</stp>
        <stp>EJ6178242 Govt</stp>
        <stp>YAS_RISK</stp>
        <stp>[BondPricer-0.2.xlsm]FRENCH_BTAN_TYPE89!R62C24</stp>
        <stp>YLD_YTM_ASK=0.345565348515642</stp>
        <stp>YAS_YLD_CONV=1</stp>
        <tr r="X62" s="8"/>
      </tp>
      <tp>
        <v>4.979373225116035</v>
        <stp/>
        <stp>##V3_BDPV12</stp>
        <stp>EG4069639 Govt</stp>
        <stp>YAS_RISK</stp>
        <stp>[BondPricer-0.2.xlsm]FRENCH_BTAN_TYPE89!R47C24</stp>
        <stp>YLD_YTM_ASK=0.141382746539143</stp>
        <stp>YAS_YLD_CONV=1</stp>
        <tr r="X47" s="8"/>
      </tp>
      <tp>
        <v>20.029000000191679</v>
        <stp/>
        <stp>##V3_BDPV12</stp>
        <stp>AN2018165 Govt</stp>
        <stp>PX_ASK</stp>
        <stp>[BondPricer-0.2.xlsm]ITALIAN_BTPS_TYPE523!R193C22</stp>
        <stp>YAS_BOND_YLD=4.06266034432057</stp>
        <stp>YAS_YLD_CONV=1</stp>
        <tr r="V193" s="5"/>
      </tp>
      <tp>
        <v>19.636000000237456</v>
        <stp/>
        <stp>##V3_BDPV12</stp>
        <stp>AN2018678 Govt</stp>
        <stp>PX_ASK</stp>
        <stp>[BondPricer-0.2.xlsm]ITALIAN_BTPS_TYPE523!R194C22</stp>
        <stp>YAS_BOND_YLD=4.06296973306941</stp>
        <stp>YAS_YLD_CONV=1</stp>
        <tr r="V194" s="5"/>
      </tp>
      <tp>
        <v>114.02999999889519</v>
        <stp/>
        <stp>##V3_BDPV12</stp>
        <stp>EH9691161 Govt</stp>
        <stp>PX_ASK</stp>
        <stp>[BondPricer-0.2.xlsm]ITALIAN_BTPS_TYPE523!R148C22</stp>
        <stp>YAS_BOND_YLD=4.06839144390871</stp>
        <stp>YAS_YLD_CONV=1</stp>
        <tr r="V148" s="5"/>
      </tp>
      <tp>
        <v>18.079000001112245</v>
        <stp/>
        <stp>##V3_BDPV12</stp>
        <stp>AN2022514 Govt</stp>
        <stp>PX_ASK</stp>
        <stp>[BondPricer-0.2.xlsm]ITALIAN_BTPS_TYPE523!R200C22</stp>
        <stp>YAS_BOND_YLD=3.97556701678645</stp>
        <stp>YAS_YLD_CONV=1</stp>
        <tr r="V200" s="5"/>
      </tp>
      <tp>
        <v>3.1211574412484664</v>
        <stp/>
        <stp>##V3_BDPV12</stp>
        <stp>EI8951218 Govt</stp>
        <stp>YAS_MOD_DUR</stp>
        <stp>[BondPricer-0.2.xlsm]JAPAN_JGB_TYPE51!R22C28</stp>
        <stp>YLD_YTM_ASK=-0.104</stp>
        <stp>YAS_YLD_CONV=3</stp>
        <tr r="AB22" s="7"/>
      </tp>
      <tp>
        <v>12.868101204774973</v>
        <stp/>
        <stp>##V3_BDPV12</stp>
        <stp>EC2565314 Govt</stp>
        <stp>YAS_RISK</stp>
        <stp>[BondPricer-0.2.xlsm]JAPAN_JGB_TYPE51!R116C25</stp>
        <stp>YLD_YTM_ASK=0.198999999999999</stp>
        <stp>YAS_YLD_CONV=3</stp>
        <tr r="Y116" s="7"/>
      </tp>
      <tp>
        <v>11.141983491947371</v>
        <stp/>
        <stp>##V3_BDPV12</stp>
        <stp>EH6604720 Govt</stp>
        <stp>YAS_RISK</stp>
        <stp>[BondPricer-0.2.xlsm]JAPAN_JGB_TYPE51!R104C25</stp>
        <stp>YLD_YTM_ASK=0.137999999999999</stp>
        <stp>YAS_YLD_CONV=3</stp>
        <tr r="Y104" s="7"/>
      </tp>
      <tp t="s">
        <v>#N/A Invalid Override</v>
        <stp/>
        <stp>##V3_BDPV12</stp>
        <stp>QZ4138504 Govt</stp>
        <stp>YLD_CMPD_JPN_ASK_NOTRUNC</stp>
        <stp>[BondPricer-0.2.xlsm]JAPAN_JGB_TYPE51!R84C35</stp>
        <stp>PX_ASK=#N/A Requesting Data...</stp>
        <tr r="AI84" s="7"/>
      </tp>
      <tp>
        <v>6.5265229512238676</v>
        <stp/>
        <stp>##V3_BDPV12</stp>
        <stp>EF1062381 Govt</stp>
        <stp>YAS_MOD_DUR</stp>
        <stp>[BondPricer-0.2.xlsm]JAPAN_JGB_TYPE51!R72C28</stp>
        <stp>YLD_YTM_ASK=0.00200000000000054</stp>
        <stp>YAS_YLD_CONV=3</stp>
        <tr r="AB72" s="7"/>
      </tp>
      <tp>
        <v>6.1185843136021933</v>
        <stp/>
        <stp>##V3_BDPV12</stp>
        <stp>EK6836028 Govt</stp>
        <stp>YAS_MOD_DUR</stp>
        <stp>[BondPricer-0.2.xlsm]JAPAN_JGB_TYPE51!R59C28</stp>
        <stp>YLD_YTM_ASK=-0.0219999999999985</stp>
        <stp>YAS_YLD_CONV=3</stp>
        <tr r="AB59" s="7"/>
      </tp>
      <tp>
        <v>6.0623578919699108</v>
        <stp/>
        <stp>##V3_BDPV12</stp>
        <stp>ED8660810 Govt</stp>
        <stp>YAS_MOD_DUR</stp>
        <stp>[BondPricer-0.2.xlsm]JAPAN_JGB_TYPE51!R64C28</stp>
        <stp>YLD_YTM_ASK=-0.0129999999999988</stp>
        <stp>YAS_YLD_CONV=3</stp>
        <tr r="AB64" s="7"/>
      </tp>
      <tp>
        <v>4.9516002190045691</v>
        <stp/>
        <stp>##V3_BDPV12</stp>
        <stp>ED3268197 Govt</stp>
        <stp>YAS_MOD_DUR</stp>
        <stp>[BondPricer-0.2.xlsm]JAPAN_JGB_TYPE51!R48C28</stp>
        <stp>YLD_YTM_ASK=-0.0609999999999986</stp>
        <stp>YAS_YLD_CONV=3</stp>
        <tr r="AB48" s="7"/>
      </tp>
      <tp>
        <v>8.5775137960202699</v>
        <stp/>
        <stp>##V3_BDPV12</stp>
        <stp>EH3854096 Govt</stp>
        <stp>YAS_MOD_DUR</stp>
        <stp>[BondPricer-0.2.xlsm]JAPAN_JGB_TYPE51!R97C28</stp>
        <stp>YLD_YTM_ASK=0.097</stp>
        <stp>YAS_YLD_CONV=3</stp>
        <tr r="AB97" s="7"/>
      </tp>
      <tp>
        <v>3.6148799529887028</v>
        <stp/>
        <stp>##V3_BDPV12</stp>
        <stp>EJ2273187 Govt</stp>
        <stp>YAS_MOD_DUR</stp>
        <stp>[BondPricer-0.2.xlsm]JAPAN_JGB_TYPE51!R30C28</stp>
        <stp>YLD_YTM_ASK=-0.0990000000000008</stp>
        <stp>YAS_YLD_CONV=3</stp>
        <tr r="AB30" s="7"/>
      </tp>
      <tp>
        <v>12.934619799076058</v>
        <stp/>
        <stp>##V3_BDPV12</stp>
        <stp>EC8204264 Govt</stp>
        <stp>YAS_MOD_DUR</stp>
        <stp>[BondPricer-0.2.xlsm]JAPAN_JGB_TYPE51!R147C28</stp>
        <stp>YLD_YTM_ASK=0.337</stp>
        <stp>YAS_YLD_CONV=3</stp>
        <tr r="AB147" s="7"/>
      </tp>
      <tp>
        <v>16.056457575671082</v>
        <stp/>
        <stp>##V3_BDPV12</stp>
        <stp>EH3146931 Govt</stp>
        <stp>YAS_MOD_DUR</stp>
        <stp>[BondPricer-0.2.xlsm]JAPAN_JGB_TYPE51!R184C28</stp>
        <stp>YLD_YTM_ASK=0.569</stp>
        <stp>YAS_YLD_CONV=3</stp>
        <tr r="AB184" s="7"/>
      </tp>
      <tp>
        <v>11.156104300486898</v>
        <stp/>
        <stp>##V3_BDPV12</stp>
        <stp>EC3875944 Govt</stp>
        <stp>YAS_MOD_DUR</stp>
        <stp>[BondPricer-0.2.xlsm]JAPAN_JGB_TYPE51!R128C28</stp>
        <stp>YLD_YTM_ASK=0.249</stp>
        <stp>YAS_YLD_CONV=3</stp>
        <tr r="AB128" s="7"/>
      </tp>
      <tp>
        <v>6.0255035821647596</v>
        <stp/>
        <stp>##V3_BDPV12</stp>
        <stp>EK0222431 Govt</stp>
        <stp>YAS_RISK</stp>
        <stp>[BondPricer-0.2.xlsm]ITALIAN_BTPS_TYPE523!R57C26</stp>
        <stp>YLD_YTM_ASK=3.5724710103729</stp>
        <stp>YAS_YLD_CONV=33</stp>
        <tr r="Z57" s="5"/>
      </tp>
      <tp>
        <v>2.9924012191422378</v>
        <stp/>
        <stp>##V3_BDPV12</stp>
        <stp>EI8014132 Govt</stp>
        <stp>YAS_RISK</stp>
        <stp>[BondPricer-0.2.xlsm]JAPAN_JGB_TYPE51!R18C25</stp>
        <stp>YLD_YTM_ASK=-0.109000000000001</stp>
        <stp>YAS_YLD_CONV=3</stp>
        <tr r="Y18" s="7"/>
      </tp>
      <tp>
        <v>3.3115003229482909</v>
        <stp/>
        <stp>##V3_BDPV12</stp>
        <stp>EC4877683 Govt</stp>
        <stp>YAS_RISK</stp>
        <stp>[BondPricer-0.2.xlsm]JAPAN_JGB_TYPE51!R24C25</stp>
        <stp>YLD_YTM_ASK=-0.110000000000004</stp>
        <stp>YAS_YLD_CONV=3</stp>
        <tr r="Y24" s="7"/>
      </tp>
      <tp>
        <v>2.7306651190663445</v>
        <stp/>
        <stp>##V3_BDPV12</stp>
        <stp>EI7714344 Govt</stp>
        <stp>YAS_RISK</stp>
        <stp>[BondPricer-0.2.xlsm]JAPAN_JGB_TYPE51!R14C25</stp>
        <stp>YLD_YTM_ASK=-0.115000000000001</stp>
        <stp>YAS_YLD_CONV=3</stp>
        <tr r="Y14" s="7"/>
      </tp>
      <tp>
        <v>96.703124319946042</v>
        <stp/>
        <stp>##V3_BDPV12</stp>
        <stp>912810QZ Govt</stp>
        <stp>YAS_BOND_PX</stp>
        <stp>[BondPricer-0.2.xlsm]US_TREASURY_TYPE1!R117C20</stp>
        <stp>YAS_BOND_YLD=3.3234789</stp>
        <stp>YAS_YLD_CONV=2</stp>
        <tr r="T117" s="4"/>
      </tp>
      <tp>
        <v>5.9874780789229476</v>
        <stp/>
        <stp>##V3_BDPV12</stp>
        <stp>EK3918860 Govt</stp>
        <stp>YAS_RISK</stp>
        <stp>[BondPricer-0.2.xlsm]FRENCH_BTAN_TYPE89!R58C24</stp>
        <stp>YLD_YTM_ASK=0.278157244004928</stp>
        <stp>YAS_YLD_CONV=1</stp>
        <tr r="X58" s="8"/>
      </tp>
      <tp>
        <v>4.7641350855158748</v>
        <stp/>
        <stp>##V3_BDPV12</stp>
        <stp>EJ5733310 Govt</stp>
        <stp>YAS_RISK</stp>
        <stp>[BondPricer-0.2.xlsm]FRENCH_BTAN_TYPE89!R35C24</stp>
        <stp>YLD_YTM_ASK=0.134011720111452</stp>
        <stp>YAS_YLD_CONV=1</stp>
        <tr r="X35" s="8"/>
      </tp>
      <tp>
        <v>6.3729937700991002</v>
        <stp/>
        <stp>##V3_BDPV12</stp>
        <stp>GG7396524 Govt</stp>
        <stp>YAS_RISK</stp>
        <stp>[BondPricer-0.2.xlsm]FRENCH_BTAN_TYPE89!R60C24</stp>
        <stp>YLD_YTM_ASK=0.304818853462629</stp>
        <stp>YAS_YLD_CONV=1</stp>
        <tr r="X60" s="8"/>
      </tp>
      <tp>
        <v>15.539783156438602</v>
        <stp/>
        <stp>##V3_BDPV12</stp>
        <stp>EC3022802 Govt</stp>
        <stp>YAS_RISK</stp>
        <stp>[BondPricer-0.2.xlsm]GERMAN_BUND_TYPE60!R29C24</stp>
        <stp>YLD_YTM_ASK=0.572689312444293</stp>
        <stp>YAS_YLD_CONV=1</stp>
        <tr r="X29" s="6"/>
      </tp>
      <tp>
        <v>6.8343034244712442</v>
        <stp/>
        <stp>##V3_BDPV12</stp>
        <stp>JV1835729 Govt</stp>
        <stp>YAS_RISK</stp>
        <stp>[BondPricer-0.2.xlsm]FRENCH_BTAN_TYPE89!R70C24</stp>
        <stp>YLD_YTM_ASK=0.483529973957997</stp>
        <stp>YAS_YLD_CONV=1</stp>
        <tr r="X70" s="8"/>
      </tp>
      <tp>
        <v>47.950999999053799</v>
        <stp/>
        <stp>##V3_BDPV12</stp>
        <stp>EK0224239 Govt</stp>
        <stp>PX_ASK</stp>
        <stp>[BondPricer-0.2.xlsm]ITALIAN_BTPS_TYPE523!R135C22</stp>
        <stp>YAS_BOND_YLD=3.97124352438865</stp>
        <stp>YAS_YLD_CONV=1</stp>
        <tr r="V135" s="5"/>
      </tp>
      <tp>
        <v>57.783999999961949</v>
        <stp/>
        <stp>##V3_BDPV12</stp>
        <stp>EC5589048 Govt</stp>
        <stp>PX_ASK</stp>
        <stp>[BondPricer-0.2.xlsm]ITALIAN_BTPS_TYPE523!R109C22</stp>
        <stp>YAS_BOND_YLD=3.91244888213074</stp>
        <stp>YAS_YLD_CONV=1</stp>
        <tr r="V109" s="5"/>
      </tp>
      <tp>
        <v>21.54300000007186</v>
        <stp/>
        <stp>##V3_BDPV12</stp>
        <stp>AN2014727 Govt</stp>
        <stp>PX_ASK</stp>
        <stp>[BondPricer-0.2.xlsm]ITALIAN_BTPS_TYPE523!R189C22</stp>
        <stp>YAS_BOND_YLD=4.08162564529277</stp>
        <stp>YAS_YLD_CONV=1</stp>
        <tr r="V189" s="5"/>
      </tp>
      <tp>
        <v>16.189000006679368</v>
        <stp/>
        <stp>##V3_BDPV12</stp>
        <stp>AN2030939 Govt</stp>
        <stp>PX_ASK</stp>
        <stp>[BondPricer-0.2.xlsm]ITALIAN_BTPS_TYPE523!R208C22</stp>
        <stp>YAS_BOND_YLD=3.87674017009423</stp>
        <stp>YAS_YLD_CONV=1</stp>
        <tr r="V208" s="5"/>
      </tp>
      <tp>
        <v>52.61299999972227</v>
        <stp/>
        <stp>##V3_BDPV12</stp>
        <stp>EK0223934 Govt</stp>
        <stp>PX_ASK</stp>
        <stp>[BondPricer-0.2.xlsm]ITALIAN_BTPS_TYPE523!R125C22</stp>
        <stp>YAS_BOND_YLD=3.87821223461939</stp>
        <stp>YAS_YLD_CONV=1</stp>
        <tr r="V125" s="5"/>
      </tp>
      <tp>
        <v>55.715999999907979</v>
        <stp/>
        <stp>##V3_BDPV12</stp>
        <stp>EK0223694 Govt</stp>
        <stp>PX_ASK</stp>
        <stp>[BondPricer-0.2.xlsm]ITALIAN_BTPS_TYPE523!R116C22</stp>
        <stp>YAS_BOND_YLD=3.87806644897635</stp>
        <stp>YAS_YLD_CONV=1</stp>
        <tr r="V116" s="5"/>
      </tp>
      <tp>
        <v>54.306999999878727</v>
        <stp/>
        <stp>##V3_BDPV12</stp>
        <stp>ED1666632 Govt</stp>
        <stp>PX_ASK</stp>
        <stp>[BondPricer-0.2.xlsm]ITALIAN_BTPS_TYPE523!R120C22</stp>
        <stp>YAS_BOND_YLD=3.94200654156485</stp>
        <stp>YAS_YLD_CONV=1</stp>
        <tr r="V120" s="5"/>
      </tp>
      <tp>
        <v>21.20500000009493</v>
        <stp/>
        <stp>##V3_BDPV12</stp>
        <stp>AN2015625 Govt</stp>
        <stp>PX_ASK</stp>
        <stp>[BondPricer-0.2.xlsm]ITALIAN_BTPS_TYPE523!R190C22</stp>
        <stp>YAS_BOND_YLD=4.06982103356308</stp>
        <stp>YAS_YLD_CONV=1</stp>
        <tr r="V190" s="5"/>
      </tp>
      <tp>
        <v>32.433999839897162</v>
        <stp/>
        <stp>##V3_BDPV12</stp>
        <stp>AN1976629 Govt</stp>
        <stp>PX_ASK</stp>
        <stp>[BondPricer-0.2.xlsm]ITALIAN_BTPS_TYPE523!R171C22</stp>
        <stp>YAS_BOND_YLD=3.90738741178625</stp>
        <stp>YAS_YLD_CONV=1</stp>
        <tr r="V171" s="5"/>
      </tp>
      <tp>
        <v>16.633000004356909</v>
        <stp/>
        <stp>##V3_BDPV12</stp>
        <stp>AN2027505 Govt</stp>
        <stp>PX_ASK</stp>
        <stp>[BondPricer-0.2.xlsm]ITALIAN_BTPS_TYPE523!R206C22</stp>
        <stp>YAS_BOND_YLD=3.90107207198416</stp>
        <stp>YAS_YLD_CONV=1</stp>
        <tr r="V206" s="5"/>
      </tp>
      <tp>
        <v>23.310000000016643</v>
        <stp/>
        <stp>##V3_BDPV12</stp>
        <stp>AN2010295 Govt</stp>
        <stp>PX_ASK</stp>
        <stp>[BondPricer-0.2.xlsm]ITALIAN_BTPS_TYPE523!R184C22</stp>
        <stp>YAS_BOND_YLD=4.14310018858579</stp>
        <stp>YAS_YLD_CONV=1</stp>
        <tr r="V184" s="5"/>
      </tp>
      <tp>
        <v>16.480604692932843</v>
        <stp/>
        <stp>##V3_BDPV12</stp>
        <stp>EK6660931 Govt</stp>
        <stp>YAS_RISK</stp>
        <stp>[BondPricer-0.2.xlsm]JAPAN_JGB_TYPE51!R163C25</stp>
        <stp>YLD_YTM_ASK=0.450999999999999</stp>
        <stp>YAS_YLD_CONV=3</stp>
        <tr r="Y163" s="7"/>
      </tp>
      <tp t="s">
        <v>#N/A Invalid Override</v>
        <stp/>
        <stp>##V3_BDPV12</stp>
        <stp>QZ4977943 Govt</stp>
        <stp>YLD_CMPD_JPN_ASK_NOTRUNC</stp>
        <stp>[BondPricer-0.2.xlsm]JAPAN_JGB_TYPE51!R16C35</stp>
        <stp>PX_ASK=#N/A Requesting Data...</stp>
        <tr r="AI16" s="7"/>
      </tp>
      <tp>
        <v>13.560519953581718</v>
        <stp/>
        <stp>##V3_BDPV12</stp>
        <stp>EI6535294 Govt</stp>
        <stp>YAS_RISK</stp>
        <stp>[BondPricer-0.2.xlsm]JAPAN_JGB_TYPE51!R126C25</stp>
        <stp>YLD_YTM_ASK=0.249000000000001</stp>
        <stp>YAS_YLD_CONV=3</stp>
        <tr r="Y126" s="7"/>
      </tp>
      <tp>
        <v>4.5893274067109724</v>
        <stp/>
        <stp>##V3_BDPV12</stp>
        <stp>ED0114584 Govt</stp>
        <stp>YAS_MOD_DUR</stp>
        <stp>[BondPricer-0.2.xlsm]JAPAN_JGB_TYPE51!R42C28</stp>
        <stp>YLD_YTM_ASK=-0.0810000000000001</stp>
        <stp>YAS_YLD_CONV=3</stp>
        <tr r="AB42" s="7"/>
      </tp>
      <tp>
        <v>4.5892203773057432</v>
        <stp/>
        <stp>##V3_BDPV12</stp>
        <stp>EJ7060233 Govt</stp>
        <stp>YAS_MOD_DUR</stp>
        <stp>[BondPricer-0.2.xlsm]JAPAN_JGB_TYPE51!R41C28</stp>
        <stp>YLD_YTM_ASK=-0.0769999999999994</stp>
        <stp>YAS_YLD_CONV=3</stp>
        <tr r="AB41" s="7"/>
      </tp>
      <tp>
        <v>10.939170892232296</v>
        <stp/>
        <stp>##V3_BDPV12</stp>
        <stp>EI5876087 Govt</stp>
        <stp>YAS_MOD_DUR</stp>
        <stp>[BondPricer-0.2.xlsm]JAPAN_JGB_TYPE51!R124C28</stp>
        <stp>YLD_YTM_ASK=0.234</stp>
        <stp>YAS_YLD_CONV=3</stp>
        <tr r="AB124" s="7"/>
      </tp>
      <tp>
        <v>15.796491721003239</v>
        <stp/>
        <stp>##V3_BDPV12</stp>
        <stp>JV3368661 Govt</stp>
        <stp>YAS_MOD_DUR</stp>
        <stp>[BondPricer-0.2.xlsm]JAPAN_JGB_TYPE51!R171C28</stp>
        <stp>YLD_YTM_ASK=0.512</stp>
        <stp>YAS_YLD_CONV=3</stp>
        <tr r="AB171" s="7"/>
      </tp>
      <tp>
        <v>10.874293270791274</v>
        <stp/>
        <stp>##V3_BDPV12</stp>
        <stp>EI4443103 Govt</stp>
        <stp>YAS_MOD_DUR</stp>
        <stp>[BondPricer-0.2.xlsm]JAPAN_JGB_TYPE51!R121C28</stp>
        <stp>YLD_YTM_ASK=0.224</stp>
        <stp>YAS_YLD_CONV=3</stp>
        <tr r="AB121" s="7"/>
      </tp>
      <tp>
        <v>17.301235383719636</v>
        <stp/>
        <stp>##V3_BDPV12</stp>
        <stp>LW5453029 Govt</stp>
        <stp>YAS_MOD_DUR</stp>
        <stp>[BondPricer-0.2.xlsm]JAPAN_JGB_TYPE51!R175C28</stp>
        <stp>YLD_YTM_ASK=0.576</stp>
        <stp>YAS_YLD_CONV=3</stp>
        <tr r="AB175" s="7"/>
      </tp>
      <tp>
        <v>15.101000999447223</v>
        <stp/>
        <stp>##V3_BDPV12</stp>
        <stp>912810QA Govt</stp>
        <stp>YAS_RISK</stp>
        <stp>[BondPricer-0.2.xlsm]US_TREASURY_TYPE1!R101C24</stp>
        <stp>YLD_YTM_ASK=3.2618854</stp>
        <stp>YAS_YLD_CONV=3</stp>
        <tr r="X101" s="4"/>
      </tp>
      <tp>
        <v>15.8017053908317</v>
        <stp/>
        <stp>##V3_BDPV12</stp>
        <stp>912810RK Govt</stp>
        <stp>YAS_RISK</stp>
        <stp>[BondPricer-0.2.xlsm]US_TREASURY_TYPE1!R125C24</stp>
        <stp>YLD_YTM_ASK=3.3302184</stp>
        <stp>YAS_YLD_CONV=3</stp>
        <tr r="X125" s="4"/>
      </tp>
      <tp>
        <v>116.246</v>
        <stp/>
        <stp>##V3_BDPV12</stp>
        <stp>EG2785954 Govt</stp>
        <stp>YAS_BOND_PX</stp>
        <stp>[BondPricer-0.2.xlsm]JAPAN_JGB_TYPE51!R90C20</stp>
        <stp>YAS_BOND_SPL_YLD=0.0610000000000009</stp>
        <stp>YAS_YLD_CONV=2</stp>
        <tr r="T90" s="7"/>
      </tp>
      <tp>
        <v>3.3174925650868659</v>
        <stp/>
        <stp>##V3_BDPV12</stp>
        <stp>EC5195879 Govt</stp>
        <stp>YAS_RISK</stp>
        <stp>[BondPricer-0.2.xlsm]JAPAN_JGB_TYPE51!R23C25</stp>
        <stp>YLD_YTM_ASK=-0.110999999999998</stp>
        <stp>YAS_YLD_CONV=3</stp>
        <tr r="Y23" s="7"/>
      </tp>
      <tp>
        <v>3.8364202437527695</v>
        <stp/>
        <stp>##V3_BDPV12</stp>
        <stp>EC6386048 Govt</stp>
        <stp>YAS_RISK</stp>
        <stp>[BondPricer-0.2.xlsm]JAPAN_JGB_TYPE51!R31C25</stp>
        <stp>YLD_YTM_ASK=-0.102999999999998</stp>
        <stp>YAS_YLD_CONV=3</stp>
        <tr r="Y31" s="7"/>
      </tp>
      <tp>
        <v>8.4072139924202816</v>
        <stp/>
        <stp>##V3_BDPV12</stp>
        <stp>EI0428918 Govt</stp>
        <stp>YAS_RISK</stp>
        <stp>[BondPricer-0.2.xlsm]FRENCH_BTAN_TYPE89!R89C24</stp>
        <stp>YLD_YTM_ASK=0.706611151736736</stp>
        <stp>YAS_YLD_CONV=1</stp>
        <tr r="X89" s="8"/>
      </tp>
      <tp>
        <v>8.8201793332238765</v>
        <stp/>
        <stp>##V3_BDPV12</stp>
        <stp>EJ6178697 Govt</stp>
        <stp>YAS_RISK</stp>
        <stp>[BondPricer-0.2.xlsm]FRENCH_BTAN_TYPE89!R93C24</stp>
        <stp>YLD_YTM_ASK=0.804962919937613</stp>
        <stp>YAS_YLD_CONV=1</stp>
        <tr r="X93" s="8"/>
      </tp>
      <tp>
        <v>6.3565016822749953</v>
        <stp/>
        <stp>##V3_BDPV12</stp>
        <stp>EI0428439 Govt</stp>
        <stp>YAS_RISK</stp>
        <stp>[BondPricer-0.2.xlsm]FRENCH_BTAN_TYPE89!R59C24</stp>
        <stp>YLD_YTM_ASK=0.339384271020271</stp>
        <stp>YAS_YLD_CONV=1</stp>
        <tr r="X59" s="8"/>
      </tp>
      <tp>
        <v>11.164685593575996</v>
        <stp/>
        <stp>##V3_BDPV12</stp>
        <stp>GG7291790 Govt</stp>
        <stp>YAS_RISK</stp>
        <stp>[BondPricer-0.2.xlsm]GERMAN_BUND_TYPE60!R25C24</stp>
        <stp>YLD_YTM_ASK=0.296404343897405</stp>
        <stp>YAS_YLD_CONV=1</stp>
        <tr r="X25" s="6"/>
      </tp>
      <tp>
        <v>7.2335472601366746</v>
        <stp/>
        <stp>##V3_BDPV12</stp>
        <stp>EI0428512 Govt</stp>
        <stp>YAS_RISK</stp>
        <stp>[BondPricer-0.2.xlsm]FRENCH_BTAN_TYPE89!R72C24</stp>
        <stp>YLD_YTM_ASK=0.457700195651989</stp>
        <stp>YAS_YLD_CONV=1</stp>
        <tr r="X72" s="8"/>
      </tp>
      <tp>
        <v>94.187499421690291</v>
        <stp/>
        <stp>##V3_BDPV12</stp>
        <stp>912810RP Govt</stp>
        <stp>YAS_BOND_PX</stp>
        <stp>[BondPricer-0.2.xlsm]US_TREASURY_TYPE1!R128C20</stp>
        <stp>YAS_BOND_YLD=3.3272266</stp>
        <stp>YAS_YLD_CONV=2</stp>
        <tr r="T128" s="4"/>
      </tp>
      <tp>
        <v>58.4889999999601</v>
        <stp/>
        <stp>##V3_BDPV12</stp>
        <stp>EC5469449 Govt</stp>
        <stp>PX_ASK</stp>
        <stp>[BondPricer-0.2.xlsm]ITALIAN_BTPS_TYPE523!R110C22</stp>
        <stp>YAS_BOND_YLD=3.82430878355231</stp>
        <stp>YAS_YLD_CONV=1</stp>
        <tr r="V110" s="5"/>
      </tp>
      <tp>
        <v>22.226000000040948</v>
        <stp/>
        <stp>##V3_BDPV12</stp>
        <stp>AN2012648 Govt</stp>
        <stp>PX_ASK</stp>
        <stp>[BondPricer-0.2.xlsm]ITALIAN_BTPS_TYPE523!R187C22</stp>
        <stp>YAS_BOND_YLD=4.10611776426362</stp>
        <stp>YAS_YLD_CONV=1</stp>
        <tr r="V187" s="5"/>
      </tp>
      <tp>
        <v>41.444999998823015</v>
        <stp/>
        <stp>##V3_BDPV12</stp>
        <stp>EH2421038 Govt</stp>
        <stp>PX_ASK</stp>
        <stp>[BondPricer-0.2.xlsm]ITALIAN_BTPS_TYPE523!R144C22</stp>
        <stp>YAS_BOND_YLD=4.32753228737348</stp>
        <stp>YAS_YLD_CONV=1</stp>
        <tr r="V144" s="5"/>
      </tp>
      <tp>
        <v>57.611999999959046</v>
        <stp/>
        <stp>##V3_BDPV12</stp>
        <stp>EK0662594 Govt</stp>
        <stp>PX_ASK</stp>
        <stp>[BondPricer-0.2.xlsm]ITALIAN_BTPS_TYPE523!R112C22</stp>
        <stp>YAS_BOND_YLD=3.91120235107965</stp>
        <stp>YAS_YLD_CONV=1</stp>
        <tr r="V112" s="5"/>
      </tp>
      <tp>
        <v>7.6513414305352967</v>
        <stp/>
        <stp>##V3_BDPV12</stp>
        <stp>LW7430652 Govt</stp>
        <stp>YAS_RISK</stp>
        <stp>[BondPricer-0.2.xlsm]GERMAN_BUND_TYPE60!R23C24</stp>
        <stp>YLD_YTM_ASK=0.258043767402572</stp>
        <stp>YAS_YLD_CONV=1</stp>
        <tr r="X23" s="6"/>
      </tp>
      <tp>
        <v>90.4009999765277</v>
        <stp/>
        <stp>##V3_BDPV12</stp>
        <stp>EK6994165 Govt</stp>
        <stp>PX_ASK</stp>
        <stp>[BondPricer-0.2.xlsm]ITALIAN_BTPS_TYPE523!R166C22</stp>
        <stp>YAS_BOND_YLD=3.84766914295087</stp>
        <stp>YAS_YLD_CONV=1</stp>
        <tr r="V166" s="5"/>
      </tp>
      <tp>
        <v>33.903999995076823</v>
        <stp/>
        <stp>##V3_BDPV12</stp>
        <stp>EK0225434 Govt</stp>
        <stp>PX_ASK</stp>
        <stp>[BondPricer-0.2.xlsm]ITALIAN_BTPS_TYPE523!R159C22</stp>
        <stp>YAS_BOND_YLD=4.44459191168793</stp>
        <stp>YAS_YLD_CONV=1</stp>
        <tr r="V159" s="5"/>
      </tp>
      <tp>
        <v>18.019244277793689</v>
        <stp/>
        <stp>##V3_BDPV12</stp>
        <stp>ED8193903 Govt</stp>
        <stp>YAS_RISK</stp>
        <stp>[BondPricer-0.2.xlsm]JAPAN_JGB_TYPE51!R164C25</stp>
        <stp>YLD_YTM_ASK=0.42</stp>
        <stp>YAS_YLD_CONV=3</stp>
        <tr r="Y164" s="7"/>
      </tp>
      <tp>
        <v>31.306999905934891</v>
        <stp/>
        <stp>##V3_BDPV12</stp>
        <stp>AN1976579 Govt</stp>
        <stp>PX_ASK</stp>
        <stp>[BondPricer-0.2.xlsm]ITALIAN_BTPS_TYPE523!R170C22</stp>
        <stp>YAS_BOND_YLD=4.10379321732393</stp>
        <stp>YAS_YLD_CONV=1</stp>
        <tr r="V170" s="5"/>
      </tp>
      <tp t="s">
        <v>#N/A Invalid Override</v>
        <stp/>
        <stp>##V3_BDPV12</stp>
        <stp>UV7412959 Govt</stp>
        <stp>YLD_CMPD_JPN_ASK_NOTRUNC</stp>
        <stp>[BondPricer-0.2.xlsm]JAPAN_JGB_TYPE51!R71C35</stp>
        <stp>PX_ASK=#N/A Requesting Data...</stp>
        <tr r="AI71" s="7"/>
      </tp>
      <tp>
        <v>17.872186371424448</v>
        <stp/>
        <stp>##V3_BDPV12</stp>
        <stp>ED6591066 Govt</stp>
        <stp>YAS_RISK</stp>
        <stp>[BondPricer-0.2.xlsm]JAPAN_JGB_TYPE51!R162C25</stp>
        <stp>YLD_YTM_ASK=0.408000000000001</stp>
        <stp>YAS_YLD_CONV=3</stp>
        <tr r="Y162" s="7"/>
      </tp>
      <tp>
        <v>11.308917817490283</v>
        <stp/>
        <stp>##V3_BDPV12</stp>
        <stp>EH7611252 Govt</stp>
        <stp>YAS_RISK</stp>
        <stp>[BondPricer-0.2.xlsm]JAPAN_JGB_TYPE51!R106C25</stp>
        <stp>YLD_YTM_ASK=0.149000000000001</stp>
        <stp>YAS_YLD_CONV=3</stp>
        <tr r="Y106" s="7"/>
      </tp>
      <tp>
        <v>10.914724933079611</v>
        <stp/>
        <stp>##V3_BDPV12</stp>
        <stp>EH6066235 Govt</stp>
        <stp>YAS_RISK</stp>
        <stp>[BondPricer-0.2.xlsm]JAPAN_JGB_TYPE51!R102C25</stp>
        <stp>YLD_YTM_ASK=0.124000000000001</stp>
        <stp>YAS_YLD_CONV=3</stp>
        <tr r="Y102" s="7"/>
      </tp>
      <tp>
        <v>17.212032224351503</v>
        <stp/>
        <stp>##V3_BDPV12</stp>
        <stp>ED4240013 Govt</stp>
        <stp>YAS_RISK</stp>
        <stp>[BondPricer-0.2.xlsm]JAPAN_JGB_TYPE51!R158C25</stp>
        <stp>YLD_YTM_ASK=0.384000000000001</stp>
        <stp>YAS_YLD_CONV=3</stp>
        <tr r="Y158" s="7"/>
      </tp>
      <tp>
        <v>12.655235625690153</v>
        <stp/>
        <stp>##V3_BDPV12</stp>
        <stp>EC2220316 Govt</stp>
        <stp>YAS_RISK</stp>
        <stp>[BondPricer-0.2.xlsm]JAPAN_JGB_TYPE51!R113C25</stp>
        <stp>YLD_YTM_ASK=0.188000000000001</stp>
        <stp>YAS_YLD_CONV=3</stp>
        <tr r="Y113" s="7"/>
      </tp>
      <tp>
        <v>4.8412560441961627</v>
        <stp/>
        <stp>##V3_BDPV12</stp>
        <stp>EJ8154217 Govt</stp>
        <stp>YAS_MOD_DUR</stp>
        <stp>[BondPricer-0.2.xlsm]JAPAN_JGB_TYPE51!R44C28</stp>
        <stp>YLD_YTM_ASK=-0.0690000000000005</stp>
        <stp>YAS_YLD_CONV=3</stp>
        <tr r="AB44" s="7"/>
      </tp>
      <tp>
        <v>4.0585331082263156</v>
        <stp/>
        <stp>##V3_BDPV12</stp>
        <stp>EC8612631 Govt</stp>
        <stp>YAS_MOD_DUR</stp>
        <stp>[BondPricer-0.2.xlsm]JAPAN_JGB_TYPE51!R38C28</stp>
        <stp>YLD_YTM_ASK=-0.0899999999999986</stp>
        <stp>YAS_YLD_CONV=3</stp>
        <tr r="AB38" s="7"/>
      </tp>
      <tp>
        <v>4.9402653393057809</v>
        <stp/>
        <stp>##V3_BDPV12</stp>
        <stp>ED2593686 Govt</stp>
        <stp>YAS_MOD_DUR</stp>
        <stp>[BondPricer-0.2.xlsm]JAPAN_JGB_TYPE51!R49C28</stp>
        <stp>YLD_YTM_ASK=-0.0610000000000012</stp>
        <stp>YAS_YLD_CONV=3</stp>
        <tr r="AB49" s="7"/>
      </tp>
      <tp>
        <v>4.1075679790035764</v>
        <stp/>
        <stp>##V3_BDPV12</stp>
        <stp>EJ5046614 Govt</stp>
        <stp>YAS_MOD_DUR</stp>
        <stp>[BondPricer-0.2.xlsm]JAPAN_JGB_TYPE51!R35C28</stp>
        <stp>YLD_YTM_ASK=-0.0870000000000017</stp>
        <stp>YAS_YLD_CONV=3</stp>
        <tr r="AB35" s="7"/>
      </tp>
      <tp>
        <v>13.126614209181028</v>
        <stp/>
        <stp>##V3_BDPV12</stp>
        <stp>ED0670437 Govt</stp>
        <stp>YAS_MOD_DUR</stp>
        <stp>[BondPricer-0.2.xlsm]JAPAN_JGB_TYPE51!R152C28</stp>
        <stp>YLD_YTM_ASK=0.358</stp>
        <stp>YAS_YLD_CONV=3</stp>
        <tr r="AB152" s="7"/>
      </tp>
      <tp>
        <v>10.039561803952004</v>
        <stp/>
        <stp>##V3_BDPV12</stp>
        <stp>EI1590526 Govt</stp>
        <stp>YAS_MOD_DUR</stp>
        <stp>[BondPricer-0.2.xlsm]JAPAN_JGB_TYPE51!R112C28</stp>
        <stp>YLD_YTM_ASK=0.184</stp>
        <stp>YAS_YLD_CONV=3</stp>
        <tr r="AB112" s="7"/>
      </tp>
      <tp>
        <v>12.659552049558087</v>
        <stp/>
        <stp>##V3_BDPV12</stp>
        <stp>EJ5659150 Govt</stp>
        <stp>YAS_MOD_DUR</stp>
        <stp>[BondPricer-0.2.xlsm]JAPAN_JGB_TYPE51!R145C28</stp>
        <stp>YLD_YTM_ASK=0.336</stp>
        <stp>YAS_YLD_CONV=3</stp>
        <tr r="AB145" s="7"/>
      </tp>
      <tp>
        <v>13.345765871132926</v>
        <stp/>
        <stp>##V3_BDPV12</stp>
        <stp>ED5806184 Govt</stp>
        <stp>YAS_MOD_DUR</stp>
        <stp>[BondPricer-0.2.xlsm]JAPAN_JGB_TYPE51!R160C28</stp>
        <stp>YLD_YTM_ASK=0.397</stp>
        <stp>YAS_YLD_CONV=3</stp>
        <tr r="AB160" s="7"/>
      </tp>
      <tp>
        <v>8.7735597758117123</v>
        <stp/>
        <stp>##V3_BDPV12</stp>
        <stp>EH4829006 Govt</stp>
        <stp>YAS_MOD_DUR</stp>
        <stp>[BondPricer-0.2.xlsm]JAPAN_JGB_TYPE51!R100C28</stp>
        <stp>YLD_YTM_ASK=0.114</stp>
        <stp>YAS_YLD_CONV=3</stp>
        <tr r="AB100" s="7"/>
      </tp>
      <tp>
        <v>10.080737115923787</v>
        <stp/>
        <stp>##V3_BDPV12</stp>
        <stp>EI0835450 Govt</stp>
        <stp>YAS_MOD_DUR</stp>
        <stp>[BondPricer-0.2.xlsm]JAPAN_JGB_TYPE51!R111C28</stp>
        <stp>YLD_YTM_ASK=0.184</stp>
        <stp>YAS_YLD_CONV=3</stp>
        <tr r="AB111" s="7"/>
      </tp>
      <tp>
        <v>105.78700000001339</v>
        <stp/>
        <stp>##V3_BDPV12</stp>
        <stp>EK4694379 Govt</stp>
        <stp>YAS_BOND_PX</stp>
        <stp>[BondPricer-0.2.xlsm]GERMAN_BUND_TYPE60!R19C20</stp>
        <stp>YAS_BOND_YLD=0.00670419076857581</stp>
        <stp>YAS_YLD_CONV=1</stp>
        <tr r="T19" s="6"/>
      </tp>
      <tp>
        <v>4.0391003839751249</v>
        <stp/>
        <stp>##V3_BDPV12</stp>
        <stp>EJ4854737 Govt</stp>
        <stp>YAS_RISK</stp>
        <stp>[BondPricer-0.2.xlsm]ITALIAN_BTPS_TYPE523!R15C26</stp>
        <stp>YLD_YTM_ASK=2.9910955364945</stp>
        <stp>YAS_YLD_CONV=33</stp>
        <tr r="Z15" s="5"/>
      </tp>
      <tp>
        <v>4.6570334847238826</v>
        <stp/>
        <stp>##V3_BDPV12</stp>
        <stp>EC5587349 Govt</stp>
        <stp>YAS_RISK</stp>
        <stp>[BondPricer-0.2.xlsm]ITALIAN_BTPS_TYPE523!R28C26</stp>
        <stp>YLD_YTM_ASK=3.2605814347286</stp>
        <stp>YAS_YLD_CONV=33</stp>
        <tr r="Z28" s="5"/>
      </tp>
      <tp>
        <v>4.1992961897314274</v>
        <stp/>
        <stp>##V3_BDPV12</stp>
        <stp>EJ4852830 Govt</stp>
        <stp>YAS_RISK</stp>
        <stp>[BondPricer-0.2.xlsm]ITALIAN_BTPS_TYPE523!R19C26</stp>
        <stp>YLD_YTM_ASK=3.0696337254406</stp>
        <stp>YAS_YLD_CONV=33</stp>
        <tr r="Z19" s="5"/>
      </tp>
      <tp>
        <v>1.3779257826890046</v>
        <stp/>
        <stp>##V3_BDPV12</stp>
        <stp>AM1546788 Govt</stp>
        <stp>YAS_RISK</stp>
        <stp>[BondPricer-0.2.xlsm]FRENCH_BTAN_TYPE89!R7C24</stp>
        <stp>YLD_YTM_ASK=-0.587554558999759</stp>
        <stp>YAS_YLD_CONV=1</stp>
        <tr r="X7" s="8"/>
      </tp>
      <tp>
        <v>16.856038417947161</v>
        <stp/>
        <stp>##V3_BDPV12</stp>
        <stp>912810RH Govt</stp>
        <stp>YAS_RISK</stp>
        <stp>[BondPricer-0.2.xlsm]US_TREASURY_TYPE1!R123C24</stp>
        <stp>YLD_YTM_ASK=3.3260106</stp>
        <stp>YAS_YLD_CONV=3</stp>
        <tr r="X123" s="4"/>
      </tp>
      <tp>
        <v>16.899597489742746</v>
        <stp/>
        <stp>##V3_BDPV12</stp>
        <stp>912810RM Govt</stp>
        <stp>YAS_RISK</stp>
        <stp>[BondPricer-0.2.xlsm]US_TREASURY_TYPE1!R126C24</stp>
        <stp>YLD_YTM_ASK=3.3265649</stp>
        <stp>YAS_YLD_CONV=3</stp>
        <tr r="X126" s="4"/>
      </tp>
      <tp>
        <v>117.846</v>
        <stp/>
        <stp>##V3_BDPV12</stp>
        <stp>EF7943063 Govt</stp>
        <stp>YAS_BOND_PX</stp>
        <stp>[BondPricer-0.2.xlsm]JAPAN_JGB_TYPE51!R85C20</stp>
        <stp>YAS_BOND_SPL_YLD=0.0409999999999994</stp>
        <stp>YAS_YLD_CONV=2</stp>
        <tr r="T85" s="7"/>
      </tp>
      <tp>
        <v>85.04687570942238</v>
        <stp/>
        <stp>##V3_BDPV12</stp>
        <stp>912810RS Govt</stp>
        <stp>YAS_BOND_PX</stp>
        <stp>[BondPricer-0.2.xlsm]US_TREASURY_TYPE1!R130C20</stp>
        <stp>YAS_BOND_YLD=3.3331266</stp>
        <stp>YAS_YLD_CONV=2</stp>
        <tr r="T130" s="4"/>
      </tp>
      <tp>
        <v>7.2859071438806211</v>
        <stp/>
        <stp>##V3_BDPV12</stp>
        <stp>EJ6178390 Govt</stp>
        <stp>YAS_RISK</stp>
        <stp>[BondPricer-0.2.xlsm]FRENCH_BTAN_TYPE89!R75C24</stp>
        <stp>YLD_YTM_ASK=0.496031982611189</stp>
        <stp>YAS_YLD_CONV=1</stp>
        <tr r="X75" s="8"/>
      </tp>
      <tp>
        <v>23.017885190868981</v>
        <stp/>
        <stp>##V3_BDPV12</stp>
        <stp>EI3995376 Govt</stp>
        <stp>YAS_RISK</stp>
        <stp>[BondPricer-0.2.xlsm]JAPAN_JGB_TYPE51!R189C25</stp>
        <stp>YLD_YTM_ASK=0.66</stp>
        <stp>YAS_YLD_CONV=3</stp>
        <tr r="Y189" s="7"/>
      </tp>
      <tp>
        <v>28.634999919719419</v>
        <stp/>
        <stp>##V3_BDPV12</stp>
        <stp>AN1976645 Govt</stp>
        <stp>PX_ASK</stp>
        <stp>[BondPricer-0.2.xlsm]ITALIAN_BTPS_TYPE523!R172C22</stp>
        <stp>YAS_BOND_YLD=4.27505665761545</stp>
        <stp>YAS_YLD_CONV=1</stp>
        <tr r="V172" s="5"/>
      </tp>
      <tp>
        <v>16.38779863292612</v>
        <stp/>
        <stp>##V3_BDPV12</stp>
        <stp>EK3390219 Govt</stp>
        <stp>YAS_RISK</stp>
        <stp>[BondPricer-0.2.xlsm]JAPAN_JGB_TYPE51!R159C25</stp>
        <stp>YLD_YTM_ASK=0.419000000000001</stp>
        <stp>YAS_YLD_CONV=3</stp>
        <tr r="Y159" s="7"/>
      </tp>
      <tp>
        <v>7.0978923038404371</v>
        <stp/>
        <stp>##V3_BDPV12</stp>
        <stp>AH0082315 Govt</stp>
        <stp>YAS_MOD_DUR</stp>
        <stp>[BondPricer-0.2.xlsm]JAPAN_JGB_TYPE51!R74C28</stp>
        <stp>YLD_YTM_ASK=0.00800000000000228</stp>
        <stp>YAS_YLD_CONV=3</stp>
        <tr r="AB74" s="7"/>
      </tp>
      <tp>
        <v>16.153762021274787</v>
        <stp/>
        <stp>##V3_BDPV12</stp>
        <stp>EK1340612 Govt</stp>
        <stp>YAS_RISK</stp>
        <stp>[BondPricer-0.2.xlsm]JAPAN_JGB_TYPE51!R157C25</stp>
        <stp>YLD_YTM_ASK=0.404000000000001</stp>
        <stp>YAS_YLD_CONV=3</stp>
        <tr r="Y157" s="7"/>
      </tp>
      <tp>
        <v>4.8494988277496986</v>
        <stp/>
        <stp>##V3_BDPV12</stp>
        <stp>912810EQ Govt</stp>
        <stp>YAS_RISK</stp>
        <stp>[BondPricer-0.2.xlsm]US_TREASURY_TYPE1!R60C24</stp>
        <stp>YLD_YTM_ASK=2.966876</stp>
        <stp>YAS_YLD_CONV=3</stp>
        <tr r="X60" s="4"/>
      </tp>
      <tp>
        <v>12.56977056764987</v>
        <stp/>
        <stp>##V3_BDPV12</stp>
        <stp>EJ3633405 Govt</stp>
        <stp>YAS_MOD_DUR</stp>
        <stp>[BondPricer-0.2.xlsm]JAPAN_JGB_TYPE51!R143C28</stp>
        <stp>YLD_YTM_ASK=0.325</stp>
        <stp>YAS_YLD_CONV=3</stp>
        <tr r="AB143" s="7"/>
      </tp>
      <tp>
        <v>12.583142894397353</v>
        <stp/>
        <stp>##V3_BDPV12</stp>
        <stp>EC7486078 Govt</stp>
        <stp>YAS_MOD_DUR</stp>
        <stp>[BondPricer-0.2.xlsm]JAPAN_JGB_TYPE51!R144C28</stp>
        <stp>YLD_YTM_ASK=0.328</stp>
        <stp>YAS_YLD_CONV=3</stp>
        <tr r="AB144" s="7"/>
      </tp>
      <tp>
        <v>15.023341147899252</v>
        <stp/>
        <stp>##V3_BDPV12</stp>
        <stp>EF7785084 Govt</stp>
        <stp>YAS_MOD_DUR</stp>
        <stp>[BondPricer-0.2.xlsm]JAPAN_JGB_TYPE51!R178C28</stp>
        <stp>YLD_YTM_ASK=0.502</stp>
        <stp>YAS_YLD_CONV=3</stp>
        <tr r="AB178" s="7"/>
      </tp>
      <tp>
        <v>17.986488398666012</v>
        <stp/>
        <stp>##V3_BDPV12</stp>
        <stp>912810QN Govt</stp>
        <stp>YAS_RISK</stp>
        <stp>[BondPricer-0.2.xlsm]US_TREASURY_TYPE1!R109C24</stp>
        <stp>YLD_YTM_ASK=3.2955782</stp>
        <stp>YAS_YLD_CONV=3</stp>
        <tr r="X109" s="4"/>
      </tp>
      <tp>
        <v>2.9873797362967025</v>
        <stp/>
        <stp>##V3_BDPV12</stp>
        <stp>EI8332047 Govt</stp>
        <stp>YAS_RISK</stp>
        <stp>[BondPricer-0.2.xlsm]JAPAN_JGB_TYPE51!R17C25</stp>
        <stp>YLD_YTM_ASK=-0.108999999999997</stp>
        <stp>YAS_YLD_CONV=3</stp>
        <tr r="Y17" s="7"/>
      </tp>
      <tp>
        <v>118.75700000000001</v>
        <stp/>
        <stp>##V3_BDPV12</stp>
        <stp>EG8573362 Govt</stp>
        <stp>YAS_BOND_PX</stp>
        <stp>[BondPricer-0.2.xlsm]JAPAN_JGB_TYPE51!R93C20</stp>
        <stp>YAS_BOND_SPL_YLD=0.0830000000000003</stp>
        <stp>YAS_YLD_CONV=2</stp>
        <tr r="T93" s="7"/>
      </tp>
      <tp>
        <v>14.753075015151945</v>
        <stp/>
        <stp>##V3_BDPV12</stp>
        <stp>912810QQ Govt</stp>
        <stp>DUR_ADJ_ASK</stp>
        <stp>[BondPricer-0.2.xlsm]US_TREASURY_TYPE1!R110C28</stp>
        <stp>YLD_YTM_ASK=3.300976</stp>
        <stp>YAS_YLD_CONV=3</stp>
        <tr r="AB110" s="4"/>
      </tp>
      <tp>
        <v>8.4677117403813895</v>
        <stp/>
        <stp>##V3_BDPV12</stp>
        <stp>GG7185588 Govt</stp>
        <stp>YAS_RISK</stp>
        <stp>[BondPricer-0.2.xlsm]FRENCH_BTAN_TYPE89!R65C24</stp>
        <stp>YLD_YTM_ASK=0.374124488386566</stp>
        <stp>YAS_YLD_CONV=1</stp>
        <tr r="X65" s="8"/>
      </tp>
      <tp>
        <v>8.4684628491643821</v>
        <stp/>
        <stp>##V3_BDPV12</stp>
        <stp>AN0904697 Govt</stp>
        <stp>YAS_RISK</stp>
        <stp>[BondPricer-0.2.xlsm]FRENCH_BTAN_TYPE89!R84C24</stp>
        <stp>YLD_YTM_ASK=0.663964224305064</stp>
        <stp>YAS_YLD_CONV=1</stp>
        <tr r="X84" s="8"/>
      </tp>
      <tp>
        <v>8.4684628491643821</v>
        <stp/>
        <stp>##V3_BDPV12</stp>
        <stp>AN0904697 Govt</stp>
        <stp>YAS_RISK</stp>
        <stp>[BondPricer-0.2.xlsm]FRENCH_BTAN_TYPE89!R86C24</stp>
        <stp>YLD_YTM_ASK=0.663964224305064</stp>
        <stp>YAS_YLD_CONV=1</stp>
        <tr r="X86" s="8"/>
      </tp>
      <tp>
        <v>8.4684628491643821</v>
        <stp/>
        <stp>##V3_BDPV12</stp>
        <stp>AN0904697 Govt</stp>
        <stp>YAS_RISK</stp>
        <stp>[BondPricer-0.2.xlsm]FRENCH_BTAN_TYPE89!R87C24</stp>
        <stp>YLD_YTM_ASK=0.663964224305064</stp>
        <stp>YAS_YLD_CONV=1</stp>
        <tr r="X87" s="8"/>
      </tp>
      <tp>
        <v>9.4572098507939018</v>
        <stp/>
        <stp>##V3_BDPV12</stp>
        <stp>EI0419131 Govt</stp>
        <stp>YAS_RISK</stp>
        <stp>[BondPricer-0.2.xlsm]FRENCH_BTAN_TYPE89!R97C24</stp>
        <stp>YLD_YTM_ASK=0.929186757559841</stp>
        <stp>YAS_YLD_CONV=1</stp>
        <tr r="X97" s="8"/>
      </tp>
      <tp>
        <v>60.099999999982025</v>
        <stp/>
        <stp>##V3_BDPV12</stp>
        <stp>EK0662479 Govt</stp>
        <stp>PX_ASK</stp>
        <stp>[BondPricer-0.2.xlsm]ITALIAN_BTPS_TYPE523!R103C22</stp>
        <stp>YAS_BOND_YLD=3.88080612106565</stp>
        <stp>YAS_YLD_CONV=1</stp>
        <tr r="V103" s="5"/>
      </tp>
      <tp>
        <v>42.123999998245971</v>
        <stp/>
        <stp>##V3_BDPV12</stp>
        <stp>EK0663618 Govt</stp>
        <stp>PX_ASK</stp>
        <stp>[BondPricer-0.2.xlsm]ITALIAN_BTPS_TYPE523!R146C22</stp>
        <stp>YAS_BOND_YLD=4.22895681751123</stp>
        <stp>YAS_YLD_CONV=1</stp>
        <tr r="V146" s="5"/>
      </tp>
      <tp t="s">
        <v>#N/A Invalid Override</v>
        <stp/>
        <stp>##V3_BDPV12</stp>
        <stp>LW3164867 Govt</stp>
        <stp>YAS_BOND_YLD</stp>
        <stp>[BondPricer-0.2.xlsm]JAPAN_JGB_TYPE51!R81C31</stp>
        <stp>YAS_BOND_PX=#N/A Requesting Data...</stp>
        <tr r="AE81" s="7"/>
      </tp>
      <tp>
        <v>103.23099999973424</v>
        <stp/>
        <stp>##V3_BDPV12</stp>
        <stp>EF1307950 Govt</stp>
        <stp>PX_ASK</stp>
        <stp>[BondPricer-0.2.xlsm]ITALIAN_BTPS_TYPE523!R131C22</stp>
        <stp>YAS_BOND_YLD=3.78853431124244</stp>
        <stp>YAS_YLD_CONV=1</stp>
        <tr r="V131" s="5"/>
      </tp>
      <tp>
        <v>53.08499999981526</v>
        <stp/>
        <stp>##V3_BDPV12</stp>
        <stp>EK0662958 Govt</stp>
        <stp>PX_ASK</stp>
        <stp>[BondPricer-0.2.xlsm]ITALIAN_BTPS_TYPE523!R123C22</stp>
        <stp>YAS_BOND_YLD=3.94359642840185</stp>
        <stp>YAS_YLD_CONV=1</stp>
        <tr r="V123" s="5"/>
      </tp>
      <tp>
        <v>15.291484986648385</v>
        <stp/>
        <stp>##V3_BDPV12</stp>
        <stp>EJ5939602 Govt</stp>
        <stp>YAS_RISK</stp>
        <stp>[BondPricer-0.2.xlsm]JAPAN_JGB_TYPE51!R149C25</stp>
        <stp>YLD_YTM_ASK=0.35</stp>
        <stp>YAS_YLD_CONV=3</stp>
        <tr r="Y149" s="7"/>
      </tp>
      <tp>
        <v>24.036999398784594</v>
        <stp/>
        <stp>##V3_BDPV12</stp>
        <stp>AN1985315 Govt</stp>
        <stp>PX_ASK</stp>
        <stp>[BondPricer-0.2.xlsm]ITALIAN_BTPS_TYPE523!R182C22</stp>
        <stp>YAS_BOND_YLD=4.17262124732438</stp>
        <stp>YAS_YLD_CONV=1</stp>
        <tr r="V182" s="5"/>
      </tp>
      <tp>
        <v>41.510999995802372</v>
        <stp/>
        <stp>##V3_BDPV12</stp>
        <stp>EK0097619 Govt</stp>
        <stp>PX_ASK</stp>
        <stp>[BondPricer-0.2.xlsm]ITALIAN_BTPS_TYPE523!R151C22</stp>
        <stp>YAS_BOND_YLD=4.10045837906641</stp>
        <stp>YAS_YLD_CONV=1</stp>
        <tr r="V151" s="5"/>
      </tp>
      <tp>
        <v>15.650411086496518</v>
        <stp/>
        <stp>##V3_BDPV12</stp>
        <stp>EJ7248408 Govt</stp>
        <stp>YAS_RISK</stp>
        <stp>[BondPricer-0.2.xlsm]JAPAN_JGB_TYPE51!R151C25</stp>
        <stp>YLD_YTM_ASK=0.36</stp>
        <stp>YAS_YLD_CONV=3</stp>
        <tr r="Y151" s="7"/>
      </tp>
      <tp>
        <v>18.933053079953766</v>
        <stp/>
        <stp>##V3_BDPV12</stp>
        <stp>EF1386525 Govt</stp>
        <stp>YAS_RISK</stp>
        <stp>[BondPricer-0.2.xlsm]JAPAN_JGB_TYPE51!R170C25</stp>
        <stp>YLD_YTM_ASK=0.458000000000001</stp>
        <stp>YAS_YLD_CONV=3</stp>
        <tr r="Y170" s="7"/>
      </tp>
      <tp>
        <v>12.612909764153102</v>
        <stp/>
        <stp>##V3_BDPV12</stp>
        <stp>EI3325426 Govt</stp>
        <stp>YAS_RISK</stp>
        <stp>[BondPricer-0.2.xlsm]JAPAN_JGB_TYPE51!R119C25</stp>
        <stp>YLD_YTM_ASK=0.209000000000001</stp>
        <stp>YAS_YLD_CONV=3</stp>
        <tr r="Y119" s="7"/>
      </tp>
      <tp>
        <v>12.60801724048477</v>
        <stp/>
        <stp>##V3_BDPV12</stp>
        <stp>EI1908785 Govt</stp>
        <stp>YAS_RISK</stp>
        <stp>[BondPricer-0.2.xlsm]JAPAN_JGB_TYPE51!R115C25</stp>
        <stp>YLD_YTM_ASK=0.194000000000001</stp>
        <stp>YAS_YLD_CONV=3</stp>
        <tr r="Y115" s="7"/>
      </tp>
      <tp>
        <v>110.20299999999799</v>
        <stp/>
        <stp>##V3_BDPV12</stp>
        <stp>EH728200 Corp</stp>
        <stp>YAS_BOND_PX</stp>
        <stp>[BondPricer-0.2.xlsm]UK_GILT_TYPE26!R8C20</stp>
        <stp>YAS_BOND_YLD=0.936947485316396</stp>
        <stp>YAS_YLD_CONV=2</stp>
        <tr r="T8" s="13"/>
      </tp>
      <tp>
        <v>12.383924304361621</v>
        <stp/>
        <stp>##V3_BDPV12</stp>
        <stp>EJ3365511 Govt</stp>
        <stp>YAS_MOD_DUR</stp>
        <stp>[BondPricer-0.2.xlsm]JAPAN_JGB_TYPE51!R140C28</stp>
        <stp>YLD_YTM_ASK=0.314</stp>
        <stp>YAS_YLD_CONV=3</stp>
        <tr r="AB140" s="7"/>
      </tp>
      <tp>
        <v>10.531493231681415</v>
        <stp/>
        <stp>##V3_BDPV12</stp>
        <stp>EI2903413 Govt</stp>
        <stp>YAS_MOD_DUR</stp>
        <stp>[BondPricer-0.2.xlsm]JAPAN_JGB_TYPE51!R118C28</stp>
        <stp>YLD_YTM_ASK=0.209</stp>
        <stp>YAS_YLD_CONV=3</stp>
        <tr r="AB118" s="7"/>
      </tp>
      <tp>
        <v>8.9159104191388394</v>
        <stp/>
        <stp>##V3_BDPV12</stp>
        <stp>912810FB Govt</stp>
        <stp>YAS_RISK</stp>
        <stp>[BondPricer-0.2.xlsm]US_TREASURY_TYPE1!R89C24</stp>
        <stp>YLD_YTM_ASK=3.126219</stp>
        <stp>YAS_YLD_CONV=3</stp>
        <tr r="X89" s="4"/>
      </tp>
      <tp>
        <v>17.163994116314541</v>
        <stp/>
        <stp>##V3_BDPV12</stp>
        <stp>AL7975124 Govt</stp>
        <stp>YAS_MOD_DUR</stp>
        <stp>[BondPricer-0.2.xlsm]JAPAN_JGB_TYPE51!R179C28</stp>
        <stp>YLD_YTM_ASK=0.586</stp>
        <stp>YAS_YLD_CONV=3</stp>
        <tr r="AB179" s="7"/>
      </tp>
      <tp>
        <v>108.55300000013949</v>
        <stp/>
        <stp>##V3_BDPV12</stp>
        <stp>EK2728906 Govt</stp>
        <stp>YAS_BOND_PX</stp>
        <stp>[BondPricer-0.2.xlsm]GERMAN_BUND_TYPE60!R18C20</stp>
        <stp>YAS_BOND_YLD=-0.0324302885161033</stp>
        <stp>YAS_YLD_CONV=1</stp>
        <tr r="T18" s="6"/>
      </tp>
      <tp>
        <v>16.92748573710006</v>
        <stp/>
        <stp>##V3_BDPV12</stp>
        <stp>EH7911181 Govt</stp>
        <stp>YAS_MOD_DUR</stp>
        <stp>[BondPricer-0.2.xlsm]JAPAN_JGB_TYPE51!R186C28</stp>
        <stp>YLD_YTM_ASK=0.609</stp>
        <stp>YAS_YLD_CONV=3</stp>
        <tr r="AB186" s="7"/>
      </tp>
      <tp>
        <v>11.233640222397172</v>
        <stp/>
        <stp>##V3_BDPV12</stp>
        <stp>EI6924050 Govt</stp>
        <stp>YAS_MOD_DUR</stp>
        <stp>[BondPricer-0.2.xlsm]JAPAN_JGB_TYPE51!R127C28</stp>
        <stp>YLD_YTM_ASK=0.249</stp>
        <stp>YAS_YLD_CONV=3</stp>
        <tr r="AB127" s="7"/>
      </tp>
      <tp>
        <v>2.3512975261347435</v>
        <stp/>
        <stp>##V3_BDPV12</stp>
        <stp>EI4719627 Govt</stp>
        <stp>YAS_RISK</stp>
        <stp>[BondPricer-0.2.xlsm]GERMAN_BUND_TYPE60!R7C24</stp>
        <stp>YLD_YTM_ASK=-0.583801461678354</stp>
        <stp>YAS_YLD_CONV=1</stp>
        <tr r="X7" s="6"/>
      </tp>
      <tp>
        <v>3.8658398647868353</v>
        <stp/>
        <stp>##V3_BDPV12</stp>
        <stp>EJ237349 Corp</stp>
        <stp>YAS_RISK</stp>
        <stp>[BondPricer-0.2.xlsm]UK_GILT_TYPE26!R10C24</stp>
        <stp>YLD_YTM_ASK=1.0283728339151</stp>
        <stp>YAS_YLD_CONV=3</stp>
        <tr r="X10" s="13"/>
      </tp>
      <tp>
        <v>16.737844580079297</v>
        <stp/>
        <stp>##V3_BDPV12</stp>
        <stp>912810QC Govt</stp>
        <stp>YAS_RISK</stp>
        <stp>[BondPricer-0.2.xlsm]US_TREASURY_TYPE1!R103C24</stp>
        <stp>YLD_YTM_ASK=3.2739213</stp>
        <stp>YAS_YLD_CONV=3</stp>
        <tr r="X103" s="4"/>
      </tp>
      <tp>
        <v>15.899505692563309</v>
        <stp/>
        <stp>##V3_BDPV12</stp>
        <stp>912810RB Govt</stp>
        <stp>YAS_RISK</stp>
        <stp>[BondPricer-0.2.xlsm]US_TREASURY_TYPE1!R118C24</stp>
        <stp>YLD_YTM_ASK=3.3248175</stp>
        <stp>YAS_YLD_CONV=3</stp>
        <tr r="X118" s="4"/>
      </tp>
      <tp>
        <v>119.623</v>
        <stp/>
        <stp>##V3_BDPV12</stp>
        <stp>EH2690319 Govt</stp>
        <stp>YAS_BOND_PX</stp>
        <stp>[BondPricer-0.2.xlsm]JAPAN_JGB_TYPE51!R96C20</stp>
        <stp>YAS_BOND_SPL_YLD=0.0980000000000009</stp>
        <stp>YAS_YLD_CONV=2</stp>
        <tr r="T96" s="7"/>
      </tp>
      <tp>
        <v>116.879</v>
        <stp/>
        <stp>##V3_BDPV12</stp>
        <stp>EF3812189 Govt</stp>
        <stp>YAS_BOND_PX</stp>
        <stp>[BondPricer-0.2.xlsm]JAPAN_JGB_TYPE51!R78C20</stp>
        <stp>YAS_BOND_SPL_YLD=0.0219999999999981</stp>
        <stp>YAS_YLD_CONV=2</stp>
        <tr r="T78" s="7"/>
      </tp>
      <tp>
        <v>7.6815352153076333</v>
        <stp/>
        <stp>##V3_BDPV12</stp>
        <stp>AM0114794 Govt</stp>
        <stp>YAS_RISK</stp>
        <stp>[BondPricer-0.2.xlsm]FRENCH_BTAN_TYPE89!R81C24</stp>
        <stp>YLD_YTM_ASK=0.593507000618865</stp>
        <stp>YAS_YLD_CONV=1</stp>
        <tr r="X81" s="8"/>
      </tp>
      <tp>
        <v>9.4309596910498783</v>
        <stp/>
        <stp>##V3_BDPV12</stp>
        <stp>GG7396565 Govt</stp>
        <stp>YAS_RISK</stp>
        <stp>[BondPricer-0.2.xlsm]FRENCH_BTAN_TYPE89!R99C24</stp>
        <stp>YLD_YTM_ASK=0.953540648993201</stp>
        <stp>YAS_YLD_CONV=1</stp>
        <tr r="X99" s="8"/>
      </tp>
      <tp>
        <v>5.9510091903902662</v>
        <stp/>
        <stp>##V3_BDPV12</stp>
        <stp>EJ9139449 Govt</stp>
        <stp>YAS_RISK</stp>
        <stp>[BondPricer-0.2.xlsm]FRENCH_BTAN_TYPE89!R54C24</stp>
        <stp>YLD_YTM_ASK=0.181777956594164</stp>
        <stp>YAS_YLD_CONV=1</stp>
        <tr r="X54" s="8"/>
      </tp>
      <tp>
        <v>5.9510091903902662</v>
        <stp/>
        <stp>##V3_BDPV12</stp>
        <stp>EJ9139449 Govt</stp>
        <stp>YAS_RISK</stp>
        <stp>[BondPricer-0.2.xlsm]FRENCH_BTAN_TYPE89!R51C24</stp>
        <stp>YLD_YTM_ASK=0.181777956594164</stp>
        <stp>YAS_YLD_CONV=1</stp>
        <tr r="X51" s="8"/>
      </tp>
      <tp>
        <v>5.9510091903902662</v>
        <stp/>
        <stp>##V3_BDPV12</stp>
        <stp>EJ9139449 Govt</stp>
        <stp>YAS_RISK</stp>
        <stp>[BondPricer-0.2.xlsm]FRENCH_BTAN_TYPE89!R53C24</stp>
        <stp>YLD_YTM_ASK=0.181777956594164</stp>
        <stp>YAS_YLD_CONV=1</stp>
        <tr r="X53" s="8"/>
      </tp>
      <tp>
        <v>21.877000000054252</v>
        <stp/>
        <stp>##V3_BDPV12</stp>
        <stp>AN2013638 Govt</stp>
        <stp>PX_ASK</stp>
        <stp>[BondPricer-0.2.xlsm]ITALIAN_BTPS_TYPE523!R188C22</stp>
        <stp>YAS_BOND_YLD=4.09431673066587</stp>
        <stp>YAS_YLD_CONV=1</stp>
        <tr r="V188" s="5"/>
      </tp>
      <tp>
        <v>16.86000000350484</v>
        <stp/>
        <stp>##V3_BDPV12</stp>
        <stp>AN2025830 Govt</stp>
        <stp>PX_ASK</stp>
        <stp>[BondPricer-0.2.xlsm]ITALIAN_BTPS_TYPE523!R205C22</stp>
        <stp>YAS_BOND_YLD=3.91333966102361</stp>
        <stp>YAS_YLD_CONV=1</stp>
        <tr r="V205" s="5"/>
      </tp>
      <tp>
        <v>20.884000000123834</v>
        <stp/>
        <stp>##V3_BDPV12</stp>
        <stp>AN2016490 Govt</stp>
        <stp>PX_ASK</stp>
        <stp>[BondPricer-0.2.xlsm]ITALIAN_BTPS_TYPE523!R191C22</stp>
        <stp>YAS_BOND_YLD=4.05800182320273</stp>
        <stp>YAS_YLD_CONV=1</stp>
        <tr r="V191" s="5"/>
      </tp>
      <tp>
        <v>63.692999999987748</v>
        <stp/>
        <stp>##V3_BDPV12</stp>
        <stp>EK0223397 Govt</stp>
        <stp>PX_ASK</stp>
        <stp>[BondPricer-0.2.xlsm]ITALIAN_BTPS_TYPE523!R104C22</stp>
        <stp>YAS_BOND_YLD=3.43073679570274</stp>
        <stp>YAS_YLD_CONV=1</stp>
        <tr r="V104" s="5"/>
      </tp>
      <tp t="s">
        <v>#N/A Invalid Override</v>
        <stp/>
        <stp>##V3_BDPV12</stp>
        <stp>QZ4138504 Govt</stp>
        <stp>YAS_BOND_YLD</stp>
        <stp>[BondPricer-0.2.xlsm]JAPAN_JGB_TYPE51!R84C31</stp>
        <stp>YAS_BOND_PX=#N/A Requesting Data...</stp>
        <tr r="AE84" s="7"/>
      </tp>
      <tp>
        <v>17.575000001784151</v>
        <stp/>
        <stp>##V3_BDPV12</stp>
        <stp>AN2024171 Govt</stp>
        <stp>PX_ASK</stp>
        <stp>[BondPricer-0.2.xlsm]ITALIAN_BTPS_TYPE523!R202C22</stp>
        <stp>YAS_BOND_YLD=3.95025561880005</stp>
        <stp>YAS_YLD_CONV=1</stp>
        <tr r="V202" s="5"/>
      </tp>
      <tp>
        <v>40.610999999162992</v>
        <stp/>
        <stp>##V3_BDPV12</stp>
        <stp>EK0224890 Govt</stp>
        <stp>PX_ASK</stp>
        <stp>[BondPricer-0.2.xlsm]ITALIAN_BTPS_TYPE523!R145C22</stp>
        <stp>YAS_BOND_YLD=4.41177259723506</stp>
        <stp>YAS_YLD_CONV=1</stp>
        <tr r="V145" s="5"/>
      </tp>
      <tp t="s">
        <v>#N/A Invalid Override</v>
        <stp/>
        <stp>##V3_BDPV12</stp>
        <stp>JK4133670 Govt</stp>
        <stp>YLD_CMPD_JPN_ASK_NOTRUNC</stp>
        <stp>[BondPricer-0.2.xlsm]JAPAN_JGB_TYPE51!R8C35</stp>
        <stp>PX_ASK=#N/A Requesting Data...</stp>
        <tr r="AI8" s="7"/>
      </tp>
      <tp>
        <v>6.837481065105095</v>
        <stp/>
        <stp>##V3_BDPV12</stp>
        <stp>UV7412959 Govt</stp>
        <stp>YAS_MOD_DUR</stp>
        <stp>[BondPricer-0.2.xlsm]JAPAN_JGB_TYPE51!R71C28</stp>
        <stp>YLD_YTM_ASK=-0.00100000000000009</stp>
        <stp>YAS_YLD_CONV=3</stp>
        <tr r="AB71" s="7"/>
      </tp>
      <tp>
        <v>12.542365145032619</v>
        <stp/>
        <stp>##V3_BDPV12</stp>
        <stp>EI2321434 Govt</stp>
        <stp>YAS_RISK</stp>
        <stp>[BondPricer-0.2.xlsm]JAPAN_JGB_TYPE51!R114C25</stp>
        <stp>YLD_YTM_ASK=0.194000000000001</stp>
        <stp>YAS_YLD_CONV=3</stp>
        <tr r="Y114" s="7"/>
      </tp>
      <tp>
        <v>13.679622336204744</v>
        <stp/>
        <stp>##V3_BDPV12</stp>
        <stp>EI7953108 Govt</stp>
        <stp>YAS_RISK</stp>
        <stp>[BondPricer-0.2.xlsm]JAPAN_JGB_TYPE51!R130C25</stp>
        <stp>YLD_YTM_ASK=0.258999999999998</stp>
        <stp>YAS_YLD_CONV=3</stp>
        <tr r="Y130" s="7"/>
      </tp>
      <tp>
        <v>6.0928780587177922</v>
        <stp/>
        <stp>##V3_BDPV12</stp>
        <stp>ED9108231 Govt</stp>
        <stp>YAS_MOD_DUR</stp>
        <stp>[BondPricer-0.2.xlsm]JAPAN_JGB_TYPE51!R65C28</stp>
        <stp>YLD_YTM_ASK=-0.0130000000000002</stp>
        <stp>YAS_YLD_CONV=3</stp>
        <tr r="AB65" s="7"/>
      </tp>
      <tp>
        <v>4.4900790997812221</v>
        <stp/>
        <stp>##V3_BDPV12</stp>
        <stp>ED1010344 Govt</stp>
        <stp>YAS_MOD_DUR</stp>
        <stp>[BondPricer-0.2.xlsm]JAPAN_JGB_TYPE51!R43C28</stp>
        <stp>YLD_YTM_ASK=-0.0810000000000007</stp>
        <stp>YAS_YLD_CONV=3</stp>
        <tr r="AB43" s="7"/>
      </tp>
      <tp>
        <v>3.8043867145593757</v>
        <stp/>
        <stp>##V3_BDPV12</stp>
        <stp>EC7067035 Govt</stp>
        <stp>YAS_MOD_DUR</stp>
        <stp>[BondPricer-0.2.xlsm]JAPAN_JGB_TYPE51!R34C28</stp>
        <stp>YLD_YTM_ASK=-0.0990000000000013</stp>
        <stp>YAS_YLD_CONV=3</stp>
        <tr r="AB34" s="7"/>
      </tp>
      <tp>
        <v>13.105365123186413</v>
        <stp/>
        <stp>##V3_BDPV12</stp>
        <stp>ED2161351 Govt</stp>
        <stp>YAS_MOD_DUR</stp>
        <stp>[BondPricer-0.2.xlsm]JAPAN_JGB_TYPE51!R154C28</stp>
        <stp>YLD_YTM_ASK=0.364</stp>
        <stp>YAS_YLD_CONV=3</stp>
        <tr r="AB154" s="7"/>
      </tp>
      <tp>
        <v>11.697119395833276</v>
        <stp/>
        <stp>##V3_BDPV12</stp>
        <stp>EI8131969 Govt</stp>
        <stp>YAS_MOD_DUR</stp>
        <stp>[BondPricer-0.2.xlsm]JAPAN_JGB_TYPE51!R131C28</stp>
        <stp>YLD_YTM_ASK=0.275</stp>
        <stp>YAS_YLD_CONV=3</stp>
        <tr r="AB131" s="7"/>
      </tp>
      <tp>
        <v>109.70000000023468</v>
        <stp/>
        <stp>##V3_BDPV12</stp>
        <stp>EK0378027 Govt</stp>
        <stp>YAS_BOND_PX</stp>
        <stp>[BondPricer-0.2.xlsm]GERMAN_BUND_TYPE60!R17C20</stp>
        <stp>YAS_BOND_YLD=-0.0655741869147272</stp>
        <stp>YAS_YLD_CONV=1</stp>
        <tr r="T17" s="6"/>
      </tp>
      <tp>
        <v>10.890823346144979</v>
        <stp/>
        <stp>##V3_BDPV12</stp>
        <stp>EI5130493 Govt</stp>
        <stp>YAS_MOD_DUR</stp>
        <stp>[BondPricer-0.2.xlsm]JAPAN_JGB_TYPE51!R123C28</stp>
        <stp>YLD_YTM_ASK=0.234</stp>
        <stp>YAS_YLD_CONV=3</stp>
        <tr r="AB123" s="7"/>
      </tp>
      <tp>
        <v>15.415898849119488</v>
        <stp/>
        <stp>##V3_BDPV12</stp>
        <stp>UV8902925 Govt</stp>
        <stp>YAS_MOD_DUR</stp>
        <stp>[BondPricer-0.2.xlsm]JAPAN_JGB_TYPE51!R169C28</stp>
        <stp>YLD_YTM_ASK=0.492</stp>
        <stp>YAS_YLD_CONV=3</stp>
        <tr r="AB169" s="7"/>
      </tp>
      <tp>
        <v>11.752327356088195</v>
        <stp/>
        <stp>##V3_BDPV12</stp>
        <stp>EI8863967 Govt</stp>
        <stp>YAS_MOD_DUR</stp>
        <stp>[BondPricer-0.2.xlsm]JAPAN_JGB_TYPE51!R132C28</stp>
        <stp>YLD_YTM_ASK=0.274</stp>
        <stp>YAS_YLD_CONV=3</stp>
        <tr r="AB132" s="7"/>
      </tp>
      <tp>
        <v>15.068303906573048</v>
        <stp/>
        <stp>##V3_BDPV12</stp>
        <stp>EK9722886 Govt</stp>
        <stp>YAS_MOD_DUR</stp>
        <stp>[BondPricer-0.2.xlsm]JAPAN_JGB_TYPE51!R167C28</stp>
        <stp>YLD_YTM_ASK=0.475</stp>
        <stp>YAS_YLD_CONV=3</stp>
        <tr r="AB167" s="7"/>
      </tp>
      <tp>
        <v>6.841639175598857</v>
        <stp/>
        <stp>##V3_BDPV12</stp>
        <stp>EC5588628 Govt</stp>
        <stp>YAS_RISK</stp>
        <stp>[BondPricer-0.2.xlsm]ITALIAN_BTPS_TYPE523!R78C26</stp>
        <stp>YLD_YTM_ASK=3.6816714479927</stp>
        <stp>YAS_YLD_CONV=33</stp>
        <tr r="Z78" s="5"/>
      </tp>
      <tp>
        <v>100.559</v>
        <stp/>
        <stp>##V3_BDPV12</stp>
        <stp>LW3164867 Govt</stp>
        <stp>YAS_BOND_PX</stp>
        <stp>[BondPricer-0.2.xlsm]JAPAN_JGB_TYPE51!R81C20</stp>
        <stp>YAS_BOND_SPL_YLD=0.0270000000000024</stp>
        <stp>YAS_YLD_CONV=2</stp>
        <tr r="T81" s="7"/>
      </tp>
      <tp>
        <v>118.312</v>
        <stp/>
        <stp>##V3_BDPV12</stp>
        <stp>EH1313798 Govt</stp>
        <stp>YAS_BOND_PX</stp>
        <stp>[BondPricer-0.2.xlsm]JAPAN_JGB_TYPE51!R95C20</stp>
        <stp>YAS_BOND_SPL_YLD=0.0879999999999998</stp>
        <stp>YAS_YLD_CONV=2</stp>
        <tr r="T95" s="7"/>
      </tp>
      <tp>
        <v>114.96</v>
        <stp/>
        <stp>##V3_BDPV12</stp>
        <stp>EF2077933 Govt</stp>
        <stp>YAS_BOND_PX</stp>
        <stp>[BondPricer-0.2.xlsm]JAPAN_JGB_TYPE51!R75C20</stp>
        <stp>YAS_BOND_SPL_YLD=0.0130000000000013</stp>
        <stp>YAS_YLD_CONV=2</stp>
        <tr r="T75" s="7"/>
      </tp>
      <tp>
        <v>8.070678516812535</v>
        <stp/>
        <stp>##V3_BDPV12</stp>
        <stp>EJ6178499 Govt</stp>
        <stp>YAS_RISK</stp>
        <stp>[BondPricer-0.2.xlsm]FRENCH_BTAN_TYPE89!R85C24</stp>
        <stp>YLD_YTM_ASK=0.667060002315156</stp>
        <stp>YAS_YLD_CONV=1</stp>
        <tr r="X85" s="8"/>
      </tp>
      <tp>
        <v>6.7736333100484103</v>
        <stp/>
        <stp>##V3_BDPV12</stp>
        <stp>GG7190265 Govt</stp>
        <stp>YAS_RISK</stp>
        <stp>[BondPricer-0.2.xlsm]FRENCH_BTAN_TYPE89!R68C24</stp>
        <stp>YLD_YTM_ASK=0.449764841906952</stp>
        <stp>YAS_YLD_CONV=1</stp>
        <tr r="X68" s="8"/>
      </tp>
      <tp>
        <v>5.5363764243658409</v>
        <stp/>
        <stp>##V3_BDPV12</stp>
        <stp>EJ6178093 Govt</stp>
        <stp>YAS_RISK</stp>
        <stp>[BondPricer-0.2.xlsm]FRENCH_BTAN_TYPE89!R52C24</stp>
        <stp>YLD_YTM_ASK=0.180627211988527</stp>
        <stp>YAS_YLD_CONV=1</stp>
        <tr r="X52" s="8"/>
      </tp>
      <tp>
        <v>8.1866451937983697</v>
        <stp/>
        <stp>##V3_BDPV12</stp>
        <stp>AL9975494 Govt</stp>
        <stp>YAS_RISK</stp>
        <stp>[BondPricer-0.2.xlsm]GERMAN_BUND_TYPE60!R24C24</stp>
        <stp>YLD_YTM_ASK=0.314051894246553</stp>
        <stp>YAS_YLD_CONV=1</stp>
        <tr r="X24" s="6"/>
      </tp>
      <tp>
        <v>107.06250022540603</v>
        <stp/>
        <stp>##V3_BDPV12</stp>
        <stp>912810QS Govt</stp>
        <stp>YAS_BOND_PX</stp>
        <stp>[BondPricer-0.2.xlsm]US_TREASURY_TYPE1!R111C20</stp>
        <stp>YAS_BOND_YLD=3.3066975</stp>
        <stp>YAS_YLD_CONV=2</stp>
        <tr r="T111" s="4"/>
      </tp>
      <tp>
        <v>8.407811090589945</v>
        <stp/>
        <stp>##V3_BDPV12</stp>
        <stp>EC3971347 Govt</stp>
        <stp>YAS_RISK</stp>
        <stp>[BondPricer-0.2.xlsm]FRENCH_BTAN_TYPE89!R90C24</stp>
        <stp>YLD_YTM_ASK=0.705897504143316</stp>
        <stp>YAS_YLD_CONV=1</stp>
        <tr r="X90" s="8"/>
      </tp>
      <tp>
        <v>7.2233700266700396</v>
        <stp/>
        <stp>##V3_BDPV12</stp>
        <stp>GG7396532 Govt</stp>
        <stp>YAS_RISK</stp>
        <stp>[BondPricer-0.2.xlsm]FRENCH_BTAN_TYPE89!R73C24</stp>
        <stp>YLD_YTM_ASK=0.474301250474762</stp>
        <stp>YAS_YLD_CONV=1</stp>
        <tr r="X73" s="8"/>
      </tp>
      <tp>
        <v>25.695999725791946</v>
        <stp/>
        <stp>##V3_BDPV12</stp>
        <stp>AN1981595 Govt</stp>
        <stp>PX_ASK</stp>
        <stp>[BondPricer-0.2.xlsm]ITALIAN_BTPS_TYPE523!R178C22</stp>
        <stp>YAS_BOND_YLD=4.22022108110065</stp>
        <stp>YAS_YLD_CONV=1</stp>
        <tr r="V178" s="5"/>
      </tp>
      <tp>
        <v>37.05999999914745</v>
        <stp/>
        <stp>##V3_BDPV12</stp>
        <stp>EK0224833 Govt</stp>
        <stp>PX_ASK</stp>
        <stp>[BondPricer-0.2.xlsm]ITALIAN_BTPS_TYPE523!R153C22</stp>
        <stp>YAS_BOND_YLD=4.53665066730584</stp>
        <stp>YAS_YLD_CONV=1</stp>
        <tr r="V153" s="5"/>
      </tp>
      <tp>
        <v>39.063999999325617</v>
        <stp/>
        <stp>##V3_BDPV12</stp>
        <stp>EK0224478 Govt</stp>
        <stp>PX_ASK</stp>
        <stp>[BondPricer-0.2.xlsm]ITALIAN_BTPS_TYPE523!R147C22</stp>
        <stp>YAS_BOND_YLD=4.49608432285853</stp>
        <stp>YAS_YLD_CONV=1</stp>
        <tr r="V147" s="5"/>
      </tp>
      <tp>
        <v>40.139999997303683</v>
        <stp/>
        <stp>##V3_BDPV12</stp>
        <stp>EK0097973 Govt</stp>
        <stp>PX_ASK</stp>
        <stp>[BondPricer-0.2.xlsm]ITALIAN_BTPS_TYPE523!R152C22</stp>
        <stp>YAS_BOND_YLD=4.26038331030303</stp>
        <stp>YAS_YLD_CONV=1</stp>
        <tr r="V152" s="5"/>
      </tp>
      <tp t="s">
        <v>#N/A Invalid Override</v>
        <stp/>
        <stp>##V3_BDPV12</stp>
        <stp>EI5952292 Govt</stp>
        <stp>YLD_CMPD_JPN_ASK_NOTRUNC</stp>
        <stp>[BondPricer-0.2.xlsm]JAPAN_JGB_TYPE51!R9C35</stp>
        <stp>PX_ASK=#N/A Requesting Data...</stp>
        <tr r="AI9" s="7"/>
      </tp>
      <tp>
        <v>18.771000000510917</v>
        <stp/>
        <stp>##V3_BDPV12</stp>
        <stp>AN2020252 Govt</stp>
        <stp>PX_ASK</stp>
        <stp>[BondPricer-0.2.xlsm]ITALIAN_BTPS_TYPE523!R197C22</stp>
        <stp>YAS_BOND_YLD=4.02690514356885</stp>
        <stp>YAS_YLD_CONV=1</stp>
        <tr r="V197" s="5"/>
      </tp>
      <tp>
        <v>3.1260648243506939</v>
        <stp/>
        <stp>##V3_BDPV12</stp>
        <stp>EI9594942 Govt</stp>
        <stp>YAS_MOD_DUR</stp>
        <stp>[BondPricer-0.2.xlsm]JAPAN_JGB_TYPE51!R21C28</stp>
        <stp>YLD_YTM_ASK=-0.104</stp>
        <stp>YAS_YLD_CONV=3</stp>
        <tr r="AB21" s="7"/>
      </tp>
      <tp>
        <v>16.390913696355369</v>
        <stp/>
        <stp>##V3_BDPV12</stp>
        <stp>JK5016049 Govt</stp>
        <stp>YAS_RISK</stp>
        <stp>[BondPricer-0.2.xlsm]JAPAN_JGB_TYPE51!R173C25</stp>
        <stp>YLD_YTM_ASK=0.55</stp>
        <stp>YAS_YLD_CONV=3</stp>
        <tr r="Y173" s="7"/>
      </tp>
      <tp>
        <v>57.701999999961892</v>
        <stp/>
        <stp>##V3_BDPV12</stp>
        <stp>EJ4853739 Govt</stp>
        <stp>PX_ASK</stp>
        <stp>[BondPricer-0.2.xlsm]ITALIAN_BTPS_TYPE523!R108C22</stp>
        <stp>YAS_BOND_YLD=3.92277526891167</stp>
        <stp>YAS_YLD_CONV=1</stp>
        <tr r="V108" s="5"/>
      </tp>
      <tp>
        <v>33.267999993466923</v>
        <stp/>
        <stp>##V3_BDPV12</stp>
        <stp>EK0225558 Govt</stp>
        <stp>PX_ASK</stp>
        <stp>[BondPricer-0.2.xlsm]ITALIAN_BTPS_TYPE523!R160C22</stp>
        <stp>YAS_BOND_YLD=4.43304102592348</stp>
        <stp>YAS_YLD_CONV=1</stp>
        <tr r="V160" s="5"/>
      </tp>
      <tp>
        <v>21.560000004465067</v>
        <stp/>
        <stp>##V3_BDPV12</stp>
        <stp>AN2032562 Govt</stp>
        <stp>PX_ASK</stp>
        <stp>[BondPricer-0.2.xlsm]ITALIAN_BTPS_TYPE523!R210C22</stp>
        <stp>YAS_BOND_YLD=3.22271852470675</stp>
        <stp>YAS_YLD_CONV=1</stp>
        <tr r="V210" s="5"/>
      </tp>
      <tp>
        <v>3.3284068941411658</v>
        <stp/>
        <stp>##V3_BDPV12</stp>
        <stp>EC5472575 Govt</stp>
        <stp>YAS_MOD_DUR</stp>
        <stp>[BondPricer-0.2.xlsm]JAPAN_JGB_TYPE51!R28C28</stp>
        <stp>YLD_YTM_ASK=-0.109</stp>
        <stp>YAS_YLD_CONV=3</stp>
        <tr r="AB28" s="7"/>
      </tp>
      <tp>
        <v>8.3393259223321081</v>
        <stp/>
        <stp>##V3_BDPV12</stp>
        <stp>EI3077506 Govt</stp>
        <stp>YAS_RISK</stp>
        <stp>[BondPricer-0.2.xlsm]FRENCH_BTAN_TYPE89!R71C24</stp>
        <stp>YLD_YTM_ASK=0.44006387736512</stp>
        <stp>YAS_YLD_CONV=1</stp>
        <tr r="X71" s="8"/>
      </tp>
      <tp>
        <v>14.637536205675161</v>
        <stp/>
        <stp>##V3_BDPV12</stp>
        <stp>EC4745393 Govt</stp>
        <stp>YAS_RISK</stp>
        <stp>[BondPricer-0.2.xlsm]JAPAN_JGB_TYPE51!R133C25</stp>
        <stp>YLD_YTM_ASK=0.273999999999999</stp>
        <stp>YAS_YLD_CONV=3</stp>
        <tr r="Y133" s="7"/>
      </tp>
      <tp>
        <v>23.942312354965622</v>
        <stp/>
        <stp>##V3_BDPV12</stp>
        <stp>EI6037572 Govt</stp>
        <stp>YAS_RISK</stp>
        <stp>[BondPricer-0.2.xlsm]JAPAN_JGB_TYPE51!R190C25</stp>
        <stp>YLD_YTM_ASK=0.664000000000001</stp>
        <stp>YAS_YLD_CONV=3</stp>
        <tr r="Y190" s="7"/>
      </tp>
      <tp>
        <v>13.722483207507707</v>
        <stp/>
        <stp>##V3_BDPV12</stp>
        <stp>EI6132563 Govt</stp>
        <stp>YAS_RISK</stp>
        <stp>[BondPricer-0.2.xlsm]JAPAN_JGB_TYPE51!R125C25</stp>
        <stp>YLD_YTM_ASK=0.244000000000001</stp>
        <stp>YAS_YLD_CONV=3</stp>
        <tr r="Y125" s="7"/>
      </tp>
      <tp>
        <v>5.8303647744346261</v>
        <stp/>
        <stp>##V3_BDPV12</stp>
        <stp>ED7357210 Govt</stp>
        <stp>YAS_MOD_DUR</stp>
        <stp>[BondPricer-0.2.xlsm]JAPAN_JGB_TYPE51!R62C28</stp>
        <stp>YLD_YTM_ASK=-0.0180000000000007</stp>
        <stp>YAS_YLD_CONV=3</stp>
        <tr r="AB62" s="7"/>
      </tp>
      <tp>
        <v>5.5794276804458054</v>
        <stp/>
        <stp>##V3_BDPV12</stp>
        <stp>EK3119055 Govt</stp>
        <stp>YAS_MOD_DUR</stp>
        <stp>[BondPricer-0.2.xlsm]JAPAN_JGB_TYPE51!R54C28</stp>
        <stp>YLD_YTM_ASK=-0.0370000000000024</stp>
        <stp>YAS_YLD_CONV=3</stp>
        <tr r="AB54" s="7"/>
      </tp>
      <tp>
        <v>5.0968725393343721</v>
        <stp/>
        <stp>##V3_BDPV12</stp>
        <stp>EJ9766399 Govt</stp>
        <stp>YAS_MOD_DUR</stp>
        <stp>[BondPricer-0.2.xlsm]JAPAN_JGB_TYPE51!R47C28</stp>
        <stp>YLD_YTM_ASK=-0.0559999999999995</stp>
        <stp>YAS_YLD_CONV=3</stp>
        <tr r="AB47" s="7"/>
      </tp>
      <tp>
        <v>6.0775334476156528</v>
        <stp/>
        <stp>##V3_BDPV12</stp>
        <stp>ED9517639 Govt</stp>
        <stp>YAS_MOD_DUR</stp>
        <stp>[BondPricer-0.2.xlsm]JAPAN_JGB_TYPE51!R66C28</stp>
        <stp>YLD_YTM_ASK=-0.0130000000000006</stp>
        <stp>YAS_YLD_CONV=3</stp>
        <tr r="AB66" s="7"/>
      </tp>
      <tp>
        <v>12.726130129025401</v>
        <stp/>
        <stp>##V3_BDPV12</stp>
        <stp>EJ4883454 Govt</stp>
        <stp>YAS_MOD_DUR</stp>
        <stp>[BondPricer-0.2.xlsm]JAPAN_JGB_TYPE51!R146C28</stp>
        <stp>YLD_YTM_ASK=0.335</stp>
        <stp>YAS_YLD_CONV=3</stp>
        <tr r="AB146" s="7"/>
      </tp>
      <tp>
        <v>17.378320508146814</v>
        <stp/>
        <stp>##V3_BDPV12</stp>
        <stp>EI0048054 Govt</stp>
        <stp>YAS_MOD_DUR</stp>
        <stp>[BondPricer-0.2.xlsm]JAPAN_JGB_TYPE51!R187C28</stp>
        <stp>YLD_YTM_ASK=0.624</stp>
        <stp>YAS_YLD_CONV=3</stp>
        <tr r="AB187" s="7"/>
      </tp>
      <tp>
        <v>13.600760115232472</v>
        <stp/>
        <stp>##V3_BDPV12</stp>
        <stp>EJ9943964 Govt</stp>
        <stp>YAS_MOD_DUR</stp>
        <stp>[BondPricer-0.2.xlsm]JAPAN_JGB_TYPE51!R155C28</stp>
        <stp>YLD_YTM_ASK=0.389</stp>
        <stp>YAS_YLD_CONV=3</stp>
        <tr r="AB155" s="7"/>
      </tp>
      <tp>
        <v>15.450591977113229</v>
        <stp/>
        <stp>##V3_BDPV12</stp>
        <stp>EG3757374 Govt</stp>
        <stp>YAS_MOD_DUR</stp>
        <stp>[BondPricer-0.2.xlsm]JAPAN_JGB_TYPE51!R182C28</stp>
        <stp>YLD_YTM_ASK=0.528</stp>
        <stp>YAS_YLD_CONV=3</stp>
        <tr r="AB182" s="7"/>
      </tp>
      <tp>
        <v>2.9327663695788431</v>
        <stp/>
        <stp>##V3_BDPV12</stp>
        <stp>EI6505420 Govt</stp>
        <stp>YAS_RISK</stp>
        <stp>[BondPricer-0.2.xlsm]GERMAN_BUND_TYPE60!R8C24</stp>
        <stp>YLD_YTM_ASK=-0.499302132906982</stp>
        <stp>YAS_YLD_CONV=1</stp>
        <tr r="X8" s="6"/>
      </tp>
      <tp>
        <v>17.597575557356748</v>
        <stp/>
        <stp>##V3_BDPV12</stp>
        <stp>912810RE Govt</stp>
        <stp>YAS_RISK</stp>
        <stp>[BondPricer-0.2.xlsm]US_TREASURY_TYPE1!R121C24</stp>
        <stp>YLD_YTM_ASK=3.3239161</stp>
        <stp>YAS_YLD_CONV=3</stp>
        <tr r="X121" s="4"/>
      </tp>
      <tp>
        <v>14.322919571235662</v>
        <stp/>
        <stp>##V3_BDPV12</stp>
        <stp>912810QH Govt</stp>
        <stp>DUR_ADJ_ASK</stp>
        <stp>[BondPricer-0.2.xlsm]US_TREASURY_TYPE1!R106C28</stp>
        <stp>YLD_YTM_ASK=3.287994</stp>
        <stp>YAS_YLD_CONV=3</stp>
        <tr r="AB106" s="4"/>
      </tp>
      <tp>
        <v>5.9167213263265239</v>
        <stp/>
        <stp>##V3_BDPV12</stp>
        <stp>EI0428314 Govt</stp>
        <stp>YAS_RISK</stp>
        <stp>[BondPricer-0.2.xlsm]FRENCH_BTAN_TYPE89!R55C24</stp>
        <stp>YLD_YTM_ASK=0.251292363288402</stp>
        <stp>YAS_YLD_CONV=1</stp>
        <tr r="X55" s="8"/>
      </tp>
      <tp>
        <v>91.734374475058701</v>
        <stp/>
        <stp>##V3_BDPV12</stp>
        <stp>912810RU Govt</stp>
        <stp>YAS_BOND_PX</stp>
        <stp>[BondPricer-0.2.xlsm]US_TREASURY_TYPE1!R132C20</stp>
        <stp>YAS_BOND_YLD=3.3303112</stp>
        <stp>YAS_YLD_CONV=2</stp>
        <tr r="T132" s="4"/>
      </tp>
      <tp>
        <v>7.4329001076968382</v>
        <stp/>
        <stp>##V3_BDPV12</stp>
        <stp>JK2706329 Govt</stp>
        <stp>YAS_RISK</stp>
        <stp>[BondPricer-0.2.xlsm]FRENCH_BTAN_TYPE89!R74C24</stp>
        <stp>YLD_YTM_ASK=0.515018386224323</stp>
        <stp>YAS_YLD_CONV=1</stp>
        <tr r="X74" s="8"/>
      </tp>
      <tp>
        <v>7.4329001076968382</v>
        <stp/>
        <stp>##V3_BDPV12</stp>
        <stp>JK2706329 Govt</stp>
        <stp>YAS_RISK</stp>
        <stp>[BondPricer-0.2.xlsm]FRENCH_BTAN_TYPE89!R77C24</stp>
        <stp>YLD_YTM_ASK=0.515018386224323</stp>
        <stp>YAS_YLD_CONV=1</stp>
        <tr r="X77" s="8"/>
      </tp>
      <tp>
        <v>7.4329001076968382</v>
        <stp/>
        <stp>##V3_BDPV12</stp>
        <stp>JK2706329 Govt</stp>
        <stp>YAS_RISK</stp>
        <stp>[BondPricer-0.2.xlsm]FRENCH_BTAN_TYPE89!R76C24</stp>
        <stp>YLD_YTM_ASK=0.515018386224323</stp>
        <stp>YAS_YLD_CONV=1</stp>
        <tr r="X76" s="8"/>
      </tp>
      <tp>
        <v>6.773074292869552</v>
        <stp/>
        <stp>##V3_BDPV12</stp>
        <stp>GG7190273 Govt</stp>
        <stp>YAS_RISK</stp>
        <stp>[BondPricer-0.2.xlsm]FRENCH_BTAN_TYPE89!R67C24</stp>
        <stp>YLD_YTM_ASK=0.450798303475097</stp>
        <stp>YAS_YLD_CONV=1</stp>
        <tr r="X67" s="8"/>
      </tp>
      <tp>
        <v>82.096999999719046</v>
        <stp/>
        <stp>##V3_BDPV12</stp>
        <stp>JK8403186 Govt</stp>
        <stp>PX_ASK</stp>
        <stp>[BondPricer-0.2.xlsm]ITALIAN_BTPS_TYPE523!R129C22</stp>
        <stp>YAS_BOND_YLD=3.65153064006325</stp>
        <stp>YAS_YLD_CONV=1</stp>
        <tr r="V129" s="5"/>
      </tp>
      <tp t="s">
        <v>#N/A Invalid Override</v>
        <stp/>
        <stp>##V3_BDPV12</stp>
        <stp>UV7412959 Govt</stp>
        <stp>YAS_BOND_YLD</stp>
        <stp>[BondPricer-0.2.xlsm]JAPAN_JGB_TYPE51!R71C31</stp>
        <stp>YAS_BOND_PX=#N/A Requesting Data...</stp>
        <tr r="AE71" s="7"/>
      </tp>
      <tp>
        <v>22.944000000022559</v>
        <stp/>
        <stp>##V3_BDPV12</stp>
        <stp>AN2011285 Govt</stp>
        <stp>PX_ASK</stp>
        <stp>[BondPricer-0.2.xlsm]ITALIAN_BTPS_TYPE523!R185C22</stp>
        <stp>YAS_BOND_YLD=4.13029708191053</stp>
        <stp>YAS_YLD_CONV=1</stp>
        <tr r="V185" s="5"/>
      </tp>
      <tp t="s">
        <v>#N/A Invalid Override</v>
        <stp/>
        <stp>##V3_BDPV12</stp>
        <stp>LW3943617 Govt</stp>
        <stp>YAS_BOND_YLD</stp>
        <stp>[BondPricer-0.2.xlsm]JAPAN_JGB_TYPE51!R12C31</stp>
        <stp>YAS_BOND_PX=#N/A Requesting Data...</stp>
        <tr r="AE12" s="7"/>
      </tp>
      <tp>
        <v>36.355999998795198</v>
        <stp/>
        <stp>##V3_BDPV12</stp>
        <stp>EK0224957 Govt</stp>
        <stp>PX_ASK</stp>
        <stp>[BondPricer-0.2.xlsm]ITALIAN_BTPS_TYPE523!R154C22</stp>
        <stp>YAS_BOND_YLD=4.52236029231174</stp>
        <stp>YAS_YLD_CONV=1</stp>
        <tr r="V154" s="5"/>
      </tp>
      <tp>
        <v>53.00599999947989</v>
        <stp/>
        <stp>##V3_BDPV12</stp>
        <stp>EK0224056 Govt</stp>
        <stp>PX_ASK</stp>
        <stp>[BondPricer-0.2.xlsm]ITALIAN_BTPS_TYPE523!R130C22</stp>
        <stp>YAS_BOND_YLD=3.61536556676045</stp>
        <stp>YAS_YLD_CONV=1</stp>
        <tr r="V130" s="5"/>
      </tp>
      <tp>
        <v>11.034551111053759</v>
        <stp/>
        <stp>##V3_BDPV12</stp>
        <stp>EH7034067 Govt</stp>
        <stp>YAS_RISK</stp>
        <stp>[BondPricer-0.2.xlsm]JAPAN_JGB_TYPE51!R103C25</stp>
        <stp>YLD_YTM_ASK=0.139000000000002</stp>
        <stp>YAS_YLD_CONV=3</stp>
        <tr r="Y103" s="7"/>
      </tp>
      <tp>
        <v>4.03500933103403</v>
        <stp/>
        <stp>##V3_BDPV12</stp>
        <stp>EC7836876 Govt</stp>
        <stp>YAS_MOD_DUR</stp>
        <stp>[BondPricer-0.2.xlsm]JAPAN_JGB_TYPE51!R37C28</stp>
        <stp>YLD_YTM_ASK=-0.0939999999999997</stp>
        <stp>YAS_YLD_CONV=3</stp>
        <tr r="AB37" s="7"/>
      </tp>
      <tp>
        <v>5.6194433761374274</v>
        <stp/>
        <stp>##V3_BDPV12</stp>
        <stp>ED6160219 Govt</stp>
        <stp>YAS_MOD_DUR</stp>
        <stp>[BondPricer-0.2.xlsm]JAPAN_JGB_TYPE51!R58C28</stp>
        <stp>YLD_YTM_ASK=-0.0349999999999993</stp>
        <stp>YAS_YLD_CONV=3</stp>
        <tr r="AB58" s="7"/>
      </tp>
      <tp>
        <v>16.902049228642113</v>
        <stp/>
        <stp>##V3_BDPV12</stp>
        <stp>QZ5415422 Govt</stp>
        <stp>YAS_RISK</stp>
        <stp>[BondPricer-0.2.xlsm]JAPAN_JGB_TYPE51!R177C25</stp>
        <stp>YLD_YTM_ASK=0.576000000000001</stp>
        <stp>YAS_YLD_CONV=3</stp>
        <tr r="Y177" s="7"/>
      </tp>
      <tp>
        <v>13.308987402394322</v>
        <stp/>
        <stp>##V3_BDPV12</stp>
        <stp>ED3357065 Govt</stp>
        <stp>YAS_MOD_DUR</stp>
        <stp>[BondPricer-0.2.xlsm]JAPAN_JGB_TYPE51!R156C28</stp>
        <stp>YLD_YTM_ASK=0.379</stp>
        <stp>YAS_YLD_CONV=3</stp>
        <tr r="AB156" s="7"/>
      </tp>
      <tp>
        <v>12.100744469292483</v>
        <stp/>
        <stp>##V3_BDPV12</stp>
        <stp>EJ0963383 Govt</stp>
        <stp>YAS_MOD_DUR</stp>
        <stp>[BondPricer-0.2.xlsm]JAPAN_JGB_TYPE51!R137C28</stp>
        <stp>YLD_YTM_ASK=0.298</stp>
        <stp>YAS_YLD_CONV=3</stp>
        <tr r="AB137" s="7"/>
      </tp>
      <tp>
        <v>17.611241587020562</v>
        <stp/>
        <stp>##V3_BDPV12</stp>
        <stp>EI1819230 Govt</stp>
        <stp>YAS_MOD_DUR</stp>
        <stp>[BondPricer-0.2.xlsm]JAPAN_JGB_TYPE51!R188C28</stp>
        <stp>YLD_YTM_ASK=0.634</stp>
        <stp>YAS_YLD_CONV=3</stp>
        <tr r="AB188" s="7"/>
      </tp>
      <tp>
        <v>14.577140966051454</v>
        <stp/>
        <stp>##V3_BDPV12</stp>
        <stp>EF2502187 Govt</stp>
        <stp>YAS_MOD_DUR</stp>
        <stp>[BondPricer-0.2.xlsm]JAPAN_JGB_TYPE51!R172C28</stp>
        <stp>YLD_YTM_ASK=0.472</stp>
        <stp>YAS_YLD_CONV=3</stp>
        <tr r="AB172" s="7"/>
      </tp>
      <tp>
        <v>17.23792641163655</v>
        <stp/>
        <stp>##V3_BDPV12</stp>
        <stp>912810RG Govt</stp>
        <stp>YAS_RISK</stp>
        <stp>[BondPricer-0.2.xlsm]US_TREASURY_TYPE1!R122C24</stp>
        <stp>YLD_YTM_ASK=3.3238394</stp>
        <stp>YAS_YLD_CONV=3</stp>
        <tr r="X122" s="4"/>
      </tp>
      <tp>
        <v>16.358549670775346</v>
        <stp/>
        <stp>##V3_BDPV12</stp>
        <stp>912810QK Govt</stp>
        <stp>YAS_RISK</stp>
        <stp>[BondPricer-0.2.xlsm]US_TREASURY_TYPE1!R107C24</stp>
        <stp>YLD_YTM_ASK=3.2934648</stp>
        <stp>YAS_YLD_CONV=3</stp>
        <tr r="X107" s="4"/>
      </tp>
      <tp>
        <v>17.629791662002958</v>
        <stp/>
        <stp>##V3_BDPV12</stp>
        <stp>EC867711 Corp</stp>
        <stp>YAS_RISK</stp>
        <stp>[BondPricer-0.2.xlsm]UK_GILT_TYPE26!R23C24</stp>
        <stp>YLD_YTM_ASK=1.9111945527061</stp>
        <stp>YAS_YLD_CONV=3</stp>
        <tr r="X23" s="13"/>
      </tp>
      <tp>
        <v>17.062679742337394</v>
        <stp/>
        <stp>##V3_BDPV12</stp>
        <stp>912810QL Govt</stp>
        <stp>YAS_RISK</stp>
        <stp>[BondPricer-0.2.xlsm]US_TREASURY_TYPE1!R108C24</stp>
        <stp>YLD_YTM_ASK=3.2953508</stp>
        <stp>YAS_YLD_CONV=3</stp>
        <tr r="X108" s="4"/>
      </tp>
      <tp>
        <v>114.252</v>
        <stp/>
        <stp>##V3_BDPV12</stp>
        <stp>EF2594176 Govt</stp>
        <stp>YAS_BOND_PX</stp>
        <stp>[BondPricer-0.2.xlsm]JAPAN_JGB_TYPE51!R76C20</stp>
        <stp>YAS_BOND_SPL_YLD=0.0120000000000017</stp>
        <stp>YAS_YLD_CONV=2</stp>
        <tr r="T76" s="7"/>
      </tp>
      <tp>
        <v>6.5486546844908844</v>
        <stp/>
        <stp>##V3_BDPV12</stp>
        <stp>EK7289029 Govt</stp>
        <stp>YAS_RISK</stp>
        <stp>[BondPricer-0.2.xlsm]FRENCH_BTAN_TYPE89!R64C24</stp>
        <stp>YLD_YTM_ASK=0.359335397482991</stp>
        <stp>YAS_YLD_CONV=1</stp>
        <tr r="X64" s="8"/>
      </tp>
      <tp>
        <v>6.5486546844908844</v>
        <stp/>
        <stp>##V3_BDPV12</stp>
        <stp>EK7289029 Govt</stp>
        <stp>YAS_RISK</stp>
        <stp>[BondPricer-0.2.xlsm]FRENCH_BTAN_TYPE89!R63C24</stp>
        <stp>YLD_YTM_ASK=0.359335397482991</stp>
        <stp>YAS_YLD_CONV=1</stp>
        <tr r="X63" s="8"/>
      </tp>
      <tp>
        <v>6.5486546844908844</v>
        <stp/>
        <stp>##V3_BDPV12</stp>
        <stp>EK7289029 Govt</stp>
        <stp>YAS_RISK</stp>
        <stp>[BondPricer-0.2.xlsm]FRENCH_BTAN_TYPE89!R61C24</stp>
        <stp>YLD_YTM_ASK=0.359335397482991</stp>
        <stp>YAS_YLD_CONV=1</stp>
        <tr r="X61" s="8"/>
      </tp>
      <tp>
        <v>8.0224739678122603</v>
        <stp/>
        <stp>##V3_BDPV12</stp>
        <stp>GG7396540 Govt</stp>
        <stp>YAS_RISK</stp>
        <stp>[BondPricer-0.2.xlsm]FRENCH_BTAN_TYPE89!R83C24</stp>
        <stp>YLD_YTM_ASK=0.634678930987498</stp>
        <stp>YAS_YLD_CONV=1</stp>
        <tr r="X83" s="8"/>
      </tp>
      <tp>
        <v>9.1302204898120465</v>
        <stp/>
        <stp>##V3_BDPV12</stp>
        <stp>EI0428959 Govt</stp>
        <stp>YAS_RISK</stp>
        <stp>[BondPricer-0.2.xlsm]FRENCH_BTAN_TYPE89!R94C24</stp>
        <stp>YLD_YTM_ASK=0.849034424790096</stp>
        <stp>YAS_YLD_CONV=1</stp>
        <tr r="X94" s="8"/>
      </tp>
      <tp>
        <v>23.645999273412791</v>
        <stp/>
        <stp>##V3_BDPV12</stp>
        <stp>AN2009289 Govt</stp>
        <stp>PX_ASK</stp>
        <stp>[BondPricer-0.2.xlsm]ITALIAN_BTPS_TYPE523!R183C22</stp>
        <stp>YAS_BOND_YLD=4.16040030209519</stp>
        <stp>YAS_YLD_CONV=1</stp>
        <tr r="V183" s="5"/>
      </tp>
      <tp>
        <v>52.172999999599313</v>
        <stp/>
        <stp>##V3_BDPV12</stp>
        <stp>EK0223991 Govt</stp>
        <stp>PX_ASK</stp>
        <stp>[BondPricer-0.2.xlsm]ITALIAN_BTPS_TYPE523!R127C22</stp>
        <stp>YAS_BOND_YLD=3.81472663580718</stp>
        <stp>YAS_YLD_CONV=1</stp>
        <tr r="V127" s="5"/>
      </tp>
      <tp>
        <v>26.732999806934401</v>
        <stp/>
        <stp>##V3_BDPV12</stp>
        <stp>AN1980167 Govt</stp>
        <stp>PX_ASK</stp>
        <stp>[BondPricer-0.2.xlsm]ITALIAN_BTPS_TYPE523!R176C22</stp>
        <stp>YAS_BOND_YLD=4.22601728277454</stp>
        <stp>YAS_YLD_CONV=1</stp>
        <tr r="V176" s="5"/>
      </tp>
      <tp>
        <v>60.262999999983592</v>
        <stp/>
        <stp>##V3_BDPV12</stp>
        <stp>EC5588966 Govt</stp>
        <stp>PX_ASK</stp>
        <stp>[BondPricer-0.2.xlsm]ITALIAN_BTPS_TYPE523!R101C22</stp>
        <stp>YAS_BOND_YLD=3.88327050657591</stp>
        <stp>YAS_YLD_CONV=1</stp>
        <tr r="V101" s="5"/>
      </tp>
      <tp>
        <v>38.156999999157961</v>
        <stp/>
        <stp>##V3_BDPV12</stp>
        <stp>EK0224775 Govt</stp>
        <stp>PX_ASK</stp>
        <stp>[BondPricer-0.2.xlsm]ITALIAN_BTPS_TYPE523!R149C22</stp>
        <stp>YAS_BOND_YLD=4.50209971387934</stp>
        <stp>YAS_YLD_CONV=1</stp>
        <tr r="V149" s="5"/>
      </tp>
      <tp>
        <v>34.926999997830364</v>
        <stp/>
        <stp>##V3_BDPV12</stp>
        <stp>EK0225194 Govt</stp>
        <stp>PX_ASK</stp>
        <stp>[BondPricer-0.2.xlsm]ITALIAN_BTPS_TYPE523!R157C22</stp>
        <stp>YAS_BOND_YLD=4.50480675230747</stp>
        <stp>YAS_YLD_CONV=1</stp>
        <tr r="V157" s="5"/>
      </tp>
      <tp>
        <v>24.845999590406333</v>
        <stp/>
        <stp>##V3_BDPV12</stp>
        <stp>AN1983476 Govt</stp>
        <stp>PX_ASK</stp>
        <stp>[BondPricer-0.2.xlsm]ITALIAN_BTPS_TYPE523!R180C22</stp>
        <stp>YAS_BOND_YLD=4.19619107326565</stp>
        <stp>YAS_YLD_CONV=1</stp>
        <tr r="V180" s="5"/>
      </tp>
      <tp>
        <v>28.13999989947386</v>
        <stp/>
        <stp>##V3_BDPV12</stp>
        <stp>AN1976678 Govt</stp>
        <stp>PX_ASK</stp>
        <stp>[BondPricer-0.2.xlsm]ITALIAN_BTPS_TYPE523!R173C22</stp>
        <stp>YAS_BOND_YLD=4.26306428394907</stp>
        <stp>YAS_YLD_CONV=1</stp>
        <tr r="V173" s="5"/>
      </tp>
      <tp>
        <v>15.192203024288631</v>
        <stp/>
        <stp>##V3_BDPV12</stp>
        <stp>EJ6432110 Govt</stp>
        <stp>YAS_RISK</stp>
        <stp>[BondPricer-0.2.xlsm]JAPAN_JGB_TYPE51!R148C25</stp>
        <stp>YLD_YTM_ASK=0.35</stp>
        <stp>YAS_YLD_CONV=3</stp>
        <tr r="Y148" s="7"/>
      </tp>
      <tp>
        <v>26.135999776698345</v>
        <stp/>
        <stp>##V3_BDPV12</stp>
        <stp>AN1980738 Govt</stp>
        <stp>PX_ASK</stp>
        <stp>[BondPricer-0.2.xlsm]ITALIAN_BTPS_TYPE523!R177C22</stp>
        <stp>YAS_BOND_YLD=4.23210009431922</stp>
        <stp>YAS_YLD_CONV=1</stp>
        <tr r="V177" s="5"/>
      </tp>
      <tp>
        <v>18.34100000087529</v>
        <stp/>
        <stp>##V3_BDPV12</stp>
        <stp>AN2021532 Govt</stp>
        <stp>PX_ASK</stp>
        <stp>[BondPricer-0.2.xlsm]ITALIAN_BTPS_TYPE523!R199C22</stp>
        <stp>YAS_BOND_YLD=3.98780550687541</stp>
        <stp>YAS_YLD_CONV=1</stp>
        <tr r="V199" s="5"/>
      </tp>
      <tp>
        <v>35.519999993301241</v>
        <stp/>
        <stp>##V3_BDPV12</stp>
        <stp>EK0225319 Govt</stp>
        <stp>PX_ASK</stp>
        <stp>[BondPricer-0.2.xlsm]ITALIAN_BTPS_TYPE523!R158C22</stp>
        <stp>YAS_BOND_YLD=4.33779313965055</stp>
        <stp>YAS_YLD_CONV=1</stp>
        <tr r="V158" s="5"/>
      </tp>
      <tp>
        <v>2.6411132009549476</v>
        <stp/>
        <stp>##V3_BDPV12</stp>
        <stp>EG8211609 Corp</stp>
        <stp>YAS_RISK</stp>
        <stp>[BondPricer-0.2.xlsm]AUSTRALIAN_GOVT_TYPE23!R7C26</stp>
        <stp>YLD_YTM_ASK=2.03886820665823</stp>
        <stp>YAS_YLD_CONV=3</stp>
        <tr r="Z7" s="9"/>
      </tp>
      <tp>
        <v>42.531999998900368</v>
        <stp/>
        <stp>##V3_BDPV12</stp>
        <stp>EK0224593 Govt</stp>
        <stp>PX_ASK</stp>
        <stp>[BondPricer-0.2.xlsm]ITALIAN_BTPS_TYPE523!R140C22</stp>
        <stp>YAS_BOND_YLD=4.28561107967513</stp>
        <stp>YAS_YLD_CONV=1</stp>
        <tr r="V140" s="5"/>
      </tp>
      <tp>
        <v>50.279999999270679</v>
        <stp/>
        <stp>##V3_BDPV12</stp>
        <stp>EJ4854232 Govt</stp>
        <stp>PX_ASK</stp>
        <stp>[BondPricer-0.2.xlsm]ITALIAN_BTPS_TYPE523!R132C22</stp>
        <stp>YAS_BOND_YLD=3.83002902304301</stp>
        <stp>YAS_YLD_CONV=1</stp>
        <tr r="V132" s="5"/>
      </tp>
      <tp>
        <v>19.925587147461954</v>
        <stp/>
        <stp>##V3_BDPV12</stp>
        <stp>EG1252618 Govt</stp>
        <stp>YAS_RISK</stp>
        <stp>[BondPricer-0.2.xlsm]JAPAN_JGB_TYPE51!R180C25</stp>
        <stp>YLD_YTM_ASK=0.52</stp>
        <stp>YAS_YLD_CONV=3</stp>
        <tr r="Y180" s="7"/>
      </tp>
      <tp>
        <v>19.458577115361209</v>
        <stp/>
        <stp>##V3_BDPV12</stp>
        <stp>EF3711449 Govt</stp>
        <stp>YAS_RISK</stp>
        <stp>[BondPricer-0.2.xlsm]JAPAN_JGB_TYPE51!R174C25</stp>
        <stp>YLD_YTM_ASK=0.48</stp>
        <stp>YAS_YLD_CONV=3</stp>
        <tr r="Y174" s="7"/>
      </tp>
      <tp>
        <v>80.773999999990508</v>
        <stp/>
        <stp>##V3_BDPV12</stp>
        <stp>EK8086077 Govt</stp>
        <stp>PX_ASK</stp>
        <stp>[BondPricer-0.2.xlsm]ITALIAN_BTPS_TYPE523!R102C22</stp>
        <stp>YAS_BOND_YLD=3.48745402340873</stp>
        <stp>YAS_YLD_CONV=1</stp>
        <tr r="V102" s="5"/>
      </tp>
      <tp>
        <v>6.7884094189039956</v>
        <stp/>
        <stp>##V3_BDPV12</stp>
        <stp>EI0419057 Govt</stp>
        <stp>YAS_RISK</stp>
        <stp>[BondPricer-0.2.xlsm]FRENCH_BTAN_TYPE89!R66C24</stp>
        <stp>YLD_YTM_ASK=0.42248280067676</stp>
        <stp>YAS_YLD_CONV=1</stp>
        <tr r="X66" s="8"/>
      </tp>
      <tp>
        <v>21.851560153892535</v>
        <stp/>
        <stp>##V3_BDPV12</stp>
        <stp>EH5985450 Govt</stp>
        <stp>YAS_RISK</stp>
        <stp>[BondPricer-0.2.xlsm]JAPAN_JGB_TYPE51!R185C25</stp>
        <stp>YLD_YTM_ASK=0.587999999999999</stp>
        <stp>YAS_YLD_CONV=3</stp>
        <tr r="Y185" s="7"/>
      </tp>
      <tp>
        <v>14.443951827715296</v>
        <stp/>
        <stp>##V3_BDPV12</stp>
        <stp>EJ3001454 Govt</stp>
        <stp>YAS_RISK</stp>
        <stp>[BondPricer-0.2.xlsm]JAPAN_JGB_TYPE51!R141C25</stp>
        <stp>YLD_YTM_ASK=0.315000000000001</stp>
        <stp>YAS_YLD_CONV=3</stp>
        <tr r="Y141" s="7"/>
      </tp>
      <tp>
        <v>7.6228278551994322</v>
        <stp/>
        <stp>##V3_BDPV12</stp>
        <stp>EI0428876 Govt</stp>
        <stp>YAS_RISK</stp>
        <stp>[BondPricer-0.2.xlsm]FRENCH_BTAN_TYPE89!R78C24</stp>
        <stp>YLD_YTM_ASK=0.56722809578158</stp>
        <stp>YAS_YLD_CONV=1</stp>
        <tr r="X78" s="8"/>
      </tp>
      <tp>
        <v>3.8735921320870563</v>
        <stp/>
        <stp>##V3_BDPV12</stp>
        <stp>EJ3490954 Govt</stp>
        <stp>YAS_MOD_DUR</stp>
        <stp>[BondPricer-0.2.xlsm]JAPAN_JGB_TYPE51!R33C28</stp>
        <stp>YLD_YTM_ASK=-0.0930000000000036</stp>
        <stp>YAS_YLD_CONV=3</stp>
        <tr r="AB33" s="7"/>
      </tp>
      <tp>
        <v>5.1540093267169382</v>
        <stp/>
        <stp>##V3_BDPV12</stp>
        <stp>ED4356637 Govt</stp>
        <stp>YAS_MOD_DUR</stp>
        <stp>[BondPricer-0.2.xlsm]JAPAN_JGB_TYPE51!R52C28</stp>
        <stp>YLD_YTM_ASK=-0.0510000000000002</stp>
        <stp>YAS_YLD_CONV=3</stp>
        <tr r="AB52" s="7"/>
      </tp>
      <tp>
        <v>5.1872609201237179</v>
        <stp/>
        <stp>##V3_BDPV12</stp>
        <stp>ED3828602 Govt</stp>
        <stp>YAS_MOD_DUR</stp>
        <stp>[BondPricer-0.2.xlsm]JAPAN_JGB_TYPE51!R53C28</stp>
        <stp>YLD_YTM_ASK=-0.0509999999999988</stp>
        <stp>YAS_YLD_CONV=3</stp>
        <tr r="AB53" s="7"/>
      </tp>
      <tp>
        <v>4.1159968062424035</v>
        <stp/>
        <stp>##V3_BDPV12</stp>
        <stp>EJ4693028 Govt</stp>
        <stp>YAS_MOD_DUR</stp>
        <stp>[BondPricer-0.2.xlsm]JAPAN_JGB_TYPE51!R36C28</stp>
        <stp>YLD_YTM_ASK=-0.0870000000000025</stp>
        <stp>YAS_YLD_CONV=3</stp>
        <tr r="AB36" s="7"/>
      </tp>
      <tp>
        <v>10.827349239507576</v>
        <stp/>
        <stp>##V3_BDPV12</stp>
        <stp>EI4040636 Govt</stp>
        <stp>YAS_MOD_DUR</stp>
        <stp>[BondPricer-0.2.xlsm]JAPAN_JGB_TYPE51!R120C28</stp>
        <stp>YLD_YTM_ASK=0.224</stp>
        <stp>YAS_YLD_CONV=3</stp>
        <tr r="AB120" s="7"/>
      </tp>
      <tp>
        <v>9.6657290839628374</v>
        <stp/>
        <stp>##V3_BDPV12</stp>
        <stp>EC1745347 Govt</stp>
        <stp>YAS_MOD_DUR</stp>
        <stp>[BondPricer-0.2.xlsm]JAPAN_JGB_TYPE51!R110C28</stp>
        <stp>YLD_YTM_ASK=0.174</stp>
        <stp>YAS_YLD_CONV=3</stp>
        <tr r="AB110" s="7"/>
      </tp>
      <tp>
        <v>133.17699999999965</v>
        <stp/>
        <stp>##V3_BDPV12</stp>
        <stp>GG7182429 Govt</stp>
        <stp>YAS_BOND_PX</stp>
        <stp>[BondPricer-0.2.xlsm]GERMAN_BUND_TYPE60!R16C20</stp>
        <stp>YAS_BOND_YLD=-0.0918482412053952</stp>
        <stp>YAS_YLD_CONV=1</stp>
        <tr r="T16" s="6"/>
      </tp>
      <tp>
        <v>9.0889538685054685</v>
        <stp/>
        <stp>##V3_BDPV12</stp>
        <stp>EH5622715 Govt</stp>
        <stp>YAS_MOD_DUR</stp>
        <stp>[BondPricer-0.2.xlsm]JAPAN_JGB_TYPE51!R101C28</stp>
        <stp>YLD_YTM_ASK=0.124</stp>
        <stp>YAS_YLD_CONV=3</stp>
        <tr r="AB101" s="7"/>
      </tp>
      <tp>
        <v>19.323008040063517</v>
        <stp/>
        <stp>##V3_BDPV12</stp>
        <stp>EJ0538250 Govt</stp>
        <stp>YAS_MOD_DUR</stp>
        <stp>[BondPricer-0.2.xlsm]JAPAN_JGB_TYPE51!R192C28</stp>
        <stp>YLD_YTM_ASK=0.695</stp>
        <stp>YAS_YLD_CONV=3</stp>
        <tr r="AB192" s="7"/>
      </tp>
      <tp>
        <v>100.45</v>
        <stp/>
        <stp>##V3_BDPV12</stp>
        <stp>QZ4138504 Govt</stp>
        <stp>YAS_BOND_PX</stp>
        <stp>[BondPricer-0.2.xlsm]JAPAN_JGB_TYPE51!R84C20</stp>
        <stp>YAS_BOND_SPL_YLD=0.0430000000000018</stp>
        <stp>YAS_YLD_CONV=2</stp>
        <tr r="T84" s="7"/>
      </tp>
      <tp>
        <v>117.361</v>
        <stp/>
        <stp>##V3_BDPV12</stp>
        <stp>EF5003670 Govt</stp>
        <stp>YAS_BOND_PX</stp>
        <stp>[BondPricer-0.2.xlsm]JAPAN_JGB_TYPE51!R82C20</stp>
        <stp>YAS_BOND_SPL_YLD=0.0320000000000006</stp>
        <stp>YAS_YLD_CONV=2</stp>
        <tr r="T82" s="7"/>
      </tp>
      <tp>
        <v>3.4963825526666881</v>
        <stp/>
        <stp>##V3_BDPV12</stp>
        <stp>EJ1749369 Govt</stp>
        <stp>YAS_RISK</stp>
        <stp>[BondPricer-0.2.xlsm]JAPAN_JGB_TYPE51!R27C25</stp>
        <stp>YLD_YTM_ASK=-0.101999999999997</stp>
        <stp>YAS_YLD_CONV=3</stp>
        <tr r="Y27" s="7"/>
      </tp>
      <tp>
        <v>96.968749987739031</v>
        <stp/>
        <stp>##V3_BDPV12</stp>
        <stp>912810QU Govt</stp>
        <stp>YAS_BOND_PX</stp>
        <stp>[BondPricer-0.2.xlsm]US_TREASURY_TYPE1!R113C20</stp>
        <stp>YAS_BOND_YLD=3.3123711</stp>
        <stp>YAS_YLD_CONV=2</stp>
        <tr r="T113" s="4"/>
      </tp>
      <tp>
        <v>80.453125307656748</v>
        <stp/>
        <stp>##V3_BDPV12</stp>
        <stp>912810RT Govt</stp>
        <stp>YAS_BOND_PX</stp>
        <stp>[BondPricer-0.2.xlsm]US_TREASURY_TYPE1!R131C20</stp>
        <stp>YAS_BOND_YLD=3.3330628</stp>
        <stp>YAS_YLD_CONV=2</stp>
        <tr r="T131" s="4"/>
      </tp>
      <tp>
        <v>85.140624569216286</v>
        <stp/>
        <stp>##V3_BDPV12</stp>
        <stp>912810RQ Govt</stp>
        <stp>YAS_BOND_PX</stp>
        <stp>[BondPricer-0.2.xlsm]US_TREASURY_TYPE1!R129C20</stp>
        <stp>YAS_BOND_YLD=3.3324254</stp>
        <stp>YAS_YLD_CONV=2</stp>
        <tr r="T129" s="4"/>
      </tp>
      <tp>
        <v>22.579000000030508</v>
        <stp/>
        <stp>##V3_BDPV12</stp>
        <stp>AN2011814 Govt</stp>
        <stp>PX_ASK</stp>
        <stp>[BondPricer-0.2.xlsm]ITALIAN_BTPS_TYPE523!R186C22</stp>
        <stp>YAS_BOND_YLD=4.11843626439896</stp>
        <stp>YAS_YLD_CONV=1</stp>
        <tr r="V186" s="5"/>
      </tp>
      <tp>
        <v>46.206999998257125</v>
        <stp/>
        <stp>##V3_BDPV12</stp>
        <stp>EK0224411 Govt</stp>
        <stp>PX_ASK</stp>
        <stp>[BondPricer-0.2.xlsm]ITALIAN_BTPS_TYPE523!R138C22</stp>
        <stp>YAS_BOND_YLD=3.96132546221823</stp>
        <stp>YAS_YLD_CONV=1</stp>
        <tr r="V138" s="5"/>
      </tp>
      <tp>
        <v>2.3832366708857604</v>
        <stp/>
        <stp>##V3_BDPV12</stp>
        <stp>EC3680336 Govt</stp>
        <stp>YAS_MOD_DUR</stp>
        <stp>[BondPricer-0.2.xlsm]JAPAN_JGB_TYPE51!R10C28</stp>
        <stp>YLD_YTM_ASK=-0.119</stp>
        <stp>YAS_YLD_CONV=3</stp>
        <tr r="AB10" s="7"/>
      </tp>
      <tp>
        <v>34.565999977949559</v>
        <stp/>
        <stp>##V3_BDPV12</stp>
        <stp>EK0225855 Govt</stp>
        <stp>PX_ASK</stp>
        <stp>[BondPricer-0.2.xlsm]ITALIAN_BTPS_TYPE523!R162C22</stp>
        <stp>YAS_BOND_YLD=4.19128956056747</stp>
        <stp>YAS_YLD_CONV=1</stp>
        <tr r="V162" s="5"/>
      </tp>
      <tp>
        <v>49.112999999336289</v>
        <stp/>
        <stp>##V3_BDPV12</stp>
        <stp>EF1312489 Govt</stp>
        <stp>PX_ASK</stp>
        <stp>[BondPricer-0.2.xlsm]ITALIAN_BTPS_TYPE523!R133C22</stp>
        <stp>YAS_BOND_YLD=3.96340248138782</stp>
        <stp>YAS_YLD_CONV=1</stp>
        <tr r="V133" s="5"/>
      </tp>
      <tp>
        <v>54.879999999872936</v>
        <stp/>
        <stp>##V3_BDPV12</stp>
        <stp>EJ4853937 Govt</stp>
        <stp>PX_ASK</stp>
        <stp>[BondPricer-0.2.xlsm]ITALIAN_BTPS_TYPE523!R118C22</stp>
        <stp>YAS_BOND_YLD=3.87294100590416</stp>
        <stp>YAS_YLD_CONV=1</stp>
        <tr r="V118" s="5"/>
      </tp>
      <tp>
        <v>25.268999664171496</v>
        <stp/>
        <stp>##V3_BDPV12</stp>
        <stp>AN1982643 Govt</stp>
        <stp>PX_ASK</stp>
        <stp>[BondPricer-0.2.xlsm]ITALIAN_BTPS_TYPE523!R179C22</stp>
        <stp>YAS_BOND_YLD=4.20800814609426</stp>
        <stp>YAS_YLD_CONV=1</stp>
        <tr r="V179" s="5"/>
      </tp>
      <tp>
        <v>2.8560686142870586</v>
        <stp/>
        <stp>##V3_BDPV12</stp>
        <stp>EC4603477 Govt</stp>
        <stp>YAS_MOD_DUR</stp>
        <stp>[BondPricer-0.2.xlsm]JAPAN_JGB_TYPE51!R19C28</stp>
        <stp>YLD_YTM_ASK=-0.115</stp>
        <stp>YAS_YLD_CONV=3</stp>
        <tr r="AB19" s="7"/>
      </tp>
      <tp>
        <v>17.583513275201312</v>
        <stp/>
        <stp>##V3_BDPV12</stp>
        <stp>AM8503287 Govt</stp>
        <stp>YAS_RISK</stp>
        <stp>[BondPricer-0.2.xlsm]JAPAN_JGB_TYPE51!R181C25</stp>
        <stp>YLD_YTM_ASK=0.592999999999999</stp>
        <stp>YAS_YLD_CONV=3</stp>
        <tr r="Y181" s="7"/>
      </tp>
      <tp>
        <v>6.3465273296798461</v>
        <stp/>
        <stp>##V3_BDPV12</stp>
        <stp>EK7837587 Govt</stp>
        <stp>YAS_MOD_DUR</stp>
        <stp>[BondPricer-0.2.xlsm]JAPAN_JGB_TYPE51!R63C28</stp>
        <stp>YLD_YTM_ASK=-0.0170000000000009</stp>
        <stp>YAS_YLD_CONV=3</stp>
        <tr r="AB63" s="7"/>
      </tp>
      <tp>
        <v>4.7326935357967077</v>
        <stp/>
        <stp>##V3_BDPV12</stp>
        <stp>ED1845145 Govt</stp>
        <stp>YAS_MOD_DUR</stp>
        <stp>[BondPricer-0.2.xlsm]JAPAN_JGB_TYPE51!R46C28</stp>
        <stp>YLD_YTM_ASK=-0.0699999999999997</stp>
        <stp>YAS_YLD_CONV=3</stp>
        <tr r="AB46" s="7"/>
      </tp>
      <tp>
        <v>103.517</v>
        <stp/>
        <stp>##V3_BDPV12</stp>
        <stp>EI9594942 Govt</stp>
        <stp>YAS_BOND_PX</stp>
        <stp>[BondPricer-0.2.xlsm]JAPAN_JGB_TYPE51!R21C20</stp>
        <stp>YAS_BOND_SPL_YLD=-0.104</stp>
        <stp>YAS_YLD_CONV=2</stp>
        <tr r="T21" s="7"/>
      </tp>
      <tp>
        <v>3.2481127000000001</v>
        <stp/>
        <stp>##V3_BDPV12</stp>
        <stp>912810PX Govt</stp>
        <stp>YLD_YTM_ASK</stp>
        <stp>[BondPricer-0.2.xlsm]US_TREASURY_TYPE1!R100C13</stp>
        <tr r="M100" s="4"/>
      </tp>
      <tp>
        <v>3.3213898999999998</v>
        <stp/>
        <stp>##V3_BDPV12</stp>
        <stp>912810QX Govt</stp>
        <stp>YLD_YTM_ASK</stp>
        <stp>[BondPricer-0.2.xlsm]US_TREASURY_TYPE1!R115C13</stp>
        <tr r="M115" s="4"/>
      </tp>
      <tp>
        <v>3.3253686999999998</v>
        <stp/>
        <stp>##V3_BDPV12</stp>
        <stp>912810QY Govt</stp>
        <stp>YLD_YTM_ASK</stp>
        <stp>[BondPricer-0.2.xlsm]US_TREASURY_TYPE1!R116C13</stp>
        <tr r="M116" s="4"/>
      </tp>
      <tp>
        <v>3.3244407000000002</v>
        <stp/>
        <stp>##V3_BDPV12</stp>
        <stp>912810QZ Govt</stp>
        <stp>YLD_YTM_ASK</stp>
        <stp>[BondPricer-0.2.xlsm]US_TREASURY_TYPE1!R117C13</stp>
        <tr r="M117" s="4"/>
      </tp>
      <tp>
        <v>3.3027587999999999</v>
        <stp/>
        <stp>##V3_BDPV12</stp>
        <stp>912810QQ Govt</stp>
        <stp>YLD_YTM_ASK</stp>
        <stp>[BondPricer-0.2.xlsm]US_TREASURY_TYPE1!R110C13</stp>
        <tr r="M110" s="4"/>
      </tp>
      <tp>
        <v>3.3085743999999999</v>
        <stp/>
        <stp>##V3_BDPV12</stp>
        <stp>912810QS Govt</stp>
        <stp>YLD_YTM_ASK</stp>
        <stp>[BondPricer-0.2.xlsm]US_TREASURY_TYPE1!R111C13</stp>
        <tr r="M111" s="4"/>
      </tp>
      <tp>
        <v>3.3118333999999998</v>
        <stp/>
        <stp>##V3_BDPV12</stp>
        <stp>912810QT Govt</stp>
        <stp>YLD_YTM_ASK</stp>
        <stp>[BondPricer-0.2.xlsm]US_TREASURY_TYPE1!R112C13</stp>
        <tr r="M112" s="4"/>
      </tp>
      <tp>
        <v>3.3143427999999999</v>
        <stp/>
        <stp>##V3_BDPV12</stp>
        <stp>912810QU Govt</stp>
        <stp>YLD_YTM_ASK</stp>
        <stp>[BondPricer-0.2.xlsm]US_TREASURY_TYPE1!R113C13</stp>
        <tr r="M113" s="4"/>
      </tp>
      <tp>
        <v>3.3178120999999998</v>
        <stp/>
        <stp>##V3_BDPV12</stp>
        <stp>912810QW Govt</stp>
        <stp>YLD_YTM_ASK</stp>
        <stp>[BondPricer-0.2.xlsm]US_TREASURY_TYPE1!R114C13</stp>
        <tr r="M114" s="4"/>
      </tp>
      <tp>
        <v>3.2889143999999999</v>
        <stp/>
        <stp>##V3_BDPV12</stp>
        <stp>912810QH Govt</stp>
        <stp>YLD_YTM_ASK</stp>
        <stp>[BondPricer-0.2.xlsm]US_TREASURY_TYPE1!R106C13</stp>
        <tr r="M106" s="4"/>
      </tp>
      <tp>
        <v>3.2944200000000001</v>
        <stp/>
        <stp>##V3_BDPV12</stp>
        <stp>912810QK Govt</stp>
        <stp>YLD_YTM_ASK</stp>
        <stp>[BondPricer-0.2.xlsm]US_TREASURY_TYPE1!R107C13</stp>
        <tr r="M107" s="4"/>
      </tp>
      <tp>
        <v>3.2971826000000002</v>
        <stp/>
        <stp>##V3_BDPV12</stp>
        <stp>912810QL Govt</stp>
        <stp>YLD_YTM_ASK</stp>
        <stp>[BondPricer-0.2.xlsm]US_TREASURY_TYPE1!R108C13</stp>
        <tr r="M108" s="4"/>
      </tp>
      <tp>
        <v>3.2973159000000001</v>
        <stp/>
        <stp>##V3_BDPV12</stp>
        <stp>912810QN Govt</stp>
        <stp>YLD_YTM_ASK</stp>
        <stp>[BondPricer-0.2.xlsm]US_TREASURY_TYPE1!R109C13</stp>
        <tr r="M109" s="4"/>
      </tp>
      <tp>
        <v>3.2629201999999999</v>
        <stp/>
        <stp>##V3_BDPV12</stp>
        <stp>912810QA Govt</stp>
        <stp>YLD_YTM_ASK</stp>
        <stp>[BondPricer-0.2.xlsm]US_TREASURY_TYPE1!R101C13</stp>
        <tr r="M101" s="4"/>
      </tp>
      <tp>
        <v>3.2748549000000002</v>
        <stp/>
        <stp>##V3_BDPV12</stp>
        <stp>912810QC Govt</stp>
        <stp>YLD_YTM_ASK</stp>
        <stp>[BondPricer-0.2.xlsm]US_TREASURY_TYPE1!R103C13</stp>
        <tr r="M103" s="4"/>
      </tp>
      <tp>
        <v>3.2700271999999999</v>
        <stp/>
        <stp>##V3_BDPV12</stp>
        <stp>912810QB Govt</stp>
        <stp>YLD_YTM_ASK</stp>
        <stp>[BondPricer-0.2.xlsm]US_TREASURY_TYPE1!R102C13</stp>
        <tr r="M102" s="4"/>
      </tp>
      <tp>
        <v>3.2845792999999999</v>
        <stp/>
        <stp>##V3_BDPV12</stp>
        <stp>912810QE Govt</stp>
        <stp>YLD_YTM_ASK</stp>
        <stp>[BondPricer-0.2.xlsm]US_TREASURY_TYPE1!R105C13</stp>
        <tr r="M105" s="4"/>
      </tp>
      <tp>
        <v>3.2821799999999999</v>
        <stp/>
        <stp>##V3_BDPV12</stp>
        <stp>912810QD Govt</stp>
        <stp>YLD_YTM_ASK</stp>
        <stp>[BondPricer-0.2.xlsm]US_TREASURY_TYPE1!R104C13</stp>
        <tr r="M104" s="4"/>
      </tp>
      <tp>
        <v>3.3350578</v>
        <stp/>
        <stp>##V3_BDPV12</stp>
        <stp>912810RS Govt</stp>
        <stp>YLD_YTM_ASK</stp>
        <stp>[BondPricer-0.2.xlsm]US_TREASURY_TYPE1!R130C13</stp>
        <tr r="M130" s="4"/>
      </tp>
      <tp>
        <v>3.3343653999999998</v>
        <stp/>
        <stp>##V3_BDPV12</stp>
        <stp>912810RQ Govt</stp>
        <stp>YLD_YTM_ASK</stp>
        <stp>[BondPricer-0.2.xlsm]US_TREASURY_TYPE1!R129C13</stp>
        <tr r="M129" s="4"/>
      </tp>
      <tp>
        <v>3.3290562000000001</v>
        <stp/>
        <stp>##V3_BDPV12</stp>
        <stp>912810RP Govt</stp>
        <stp>YLD_YTM_ASK</stp>
        <stp>[BondPricer-0.2.xlsm]US_TREASURY_TYPE1!R128C13</stp>
        <tr r="M128" s="4"/>
      </tp>
      <tp>
        <v>3.3350502999999998</v>
        <stp/>
        <stp>##V3_BDPV12</stp>
        <stp>912810RT Govt</stp>
        <stp>YLD_YTM_ASK</stp>
        <stp>[BondPricer-0.2.xlsm]US_TREASURY_TYPE1!R131C13</stp>
        <tr r="M131" s="4"/>
      </tp>
      <tp>
        <v>3.3312217</v>
        <stp/>
        <stp>##V3_BDPV12</stp>
        <stp>912810RU Govt</stp>
        <stp>YLD_YTM_ASK</stp>
        <stp>[BondPricer-0.2.xlsm]US_TREASURY_TYPE1!R132C13</stp>
        <tr r="M132" s="4"/>
      </tp>
      <tp>
        <v>3.3312073</v>
        <stp/>
        <stp>##V3_BDPV12</stp>
        <stp>912810RK Govt</stp>
        <stp>YLD_YTM_ASK</stp>
        <stp>[BondPricer-0.2.xlsm]US_TREASURY_TYPE1!R125C13</stp>
        <tr r="M125" s="4"/>
      </tp>
      <tp>
        <v>3.3278252999999998</v>
        <stp/>
        <stp>##V3_BDPV12</stp>
        <stp>912810RJ Govt</stp>
        <stp>YLD_YTM_ASK</stp>
        <stp>[BondPricer-0.2.xlsm]US_TREASURY_TYPE1!R124C13</stp>
        <tr r="M124" s="4"/>
      </tp>
      <tp>
        <v>3.3269375999999999</v>
        <stp/>
        <stp>##V3_BDPV12</stp>
        <stp>912810RH Govt</stp>
        <stp>YLD_YTM_ASK</stp>
        <stp>[BondPricer-0.2.xlsm]US_TREASURY_TYPE1!R123C13</stp>
        <tr r="M123" s="4"/>
      </tp>
      <tp>
        <v>3.3307991000000001</v>
        <stp/>
        <stp>##V3_BDPV12</stp>
        <stp>912810RN Govt</stp>
        <stp>YLD_YTM_ASK</stp>
        <stp>[BondPricer-0.2.xlsm]US_TREASURY_TYPE1!R127C13</stp>
        <tr r="M127" s="4"/>
      </tp>
      <tp>
        <v>3.3284143999999998</v>
        <stp/>
        <stp>##V3_BDPV12</stp>
        <stp>912810RM Govt</stp>
        <stp>YLD_YTM_ASK</stp>
        <stp>[BondPricer-0.2.xlsm]US_TREASURY_TYPE1!R126C13</stp>
        <tr r="M126" s="4"/>
      </tp>
      <tp>
        <v>3.3267834000000001</v>
        <stp/>
        <stp>##V3_BDPV12</stp>
        <stp>912810RB Govt</stp>
        <stp>YLD_YTM_ASK</stp>
        <stp>[BondPricer-0.2.xlsm]US_TREASURY_TYPE1!R118C13</stp>
        <tr r="M118" s="4"/>
      </tp>
      <tp>
        <v>3.3255541000000002</v>
        <stp/>
        <stp>##V3_BDPV12</stp>
        <stp>912810RC Govt</stp>
        <stp>YLD_YTM_ASK</stp>
        <stp>[BondPricer-0.2.xlsm]US_TREASURY_TYPE1!R119C13</stp>
        <tr r="M119" s="4"/>
      </tp>
      <tp>
        <v>3.3256527</v>
        <stp/>
        <stp>##V3_BDPV12</stp>
        <stp>912810RG Govt</stp>
        <stp>YLD_YTM_ASK</stp>
        <stp>[BondPricer-0.2.xlsm]US_TREASURY_TYPE1!R122C13</stp>
        <tr r="M122" s="4"/>
      </tp>
      <tp>
        <v>3.3256921999999998</v>
        <stp/>
        <stp>##V3_BDPV12</stp>
        <stp>912810RE Govt</stp>
        <stp>YLD_YTM_ASK</stp>
        <stp>[BondPricer-0.2.xlsm]US_TREASURY_TYPE1!R121C13</stp>
        <tr r="M121" s="4"/>
      </tp>
      <tp>
        <v>3.3251477</v>
        <stp/>
        <stp>##V3_BDPV12</stp>
        <stp>912810RD Govt</stp>
        <stp>YLD_YTM_ASK</stp>
        <stp>[BondPricer-0.2.xlsm]US_TREASURY_TYPE1!R120C13</stp>
        <tr r="M120" s="4"/>
      </tp>
      <tp>
        <v>100.70699999999999</v>
        <stp/>
        <stp>##V3_BDPV12</stp>
        <stp>AM7968010 Govt</stp>
        <stp>YAS_BOND_PX</stp>
        <stp>[BondPricer-0.2.xlsm]JAPAN_JGB_TYPE51!R25C20</stp>
        <stp>YAS_BOND_SPL_YLD=-0.105999999999999</stp>
        <stp>YAS_YLD_CONV=2</stp>
        <tr r="T25" s="7"/>
      </tp>
      <tp>
        <v>9.1212805075166159</v>
        <stp/>
        <stp>##V3_BDPV12</stp>
        <stp>EG2785954 Govt</stp>
        <stp>YAS_RISK</stp>
        <stp>[BondPricer-0.2.xlsm]JAPAN_JGB_TYPE51!R90C25</stp>
        <stp>YLD_YTM_ASK=0.0610000000000009</stp>
        <stp>YAS_YLD_CONV=3</stp>
        <tr r="Y90" s="7"/>
      </tp>
      <tp>
        <v>100.66200000000001</v>
        <stp/>
        <stp>##V3_BDPV12</stp>
        <stp>AL7220364 Govt</stp>
        <stp>YAS_BOND_PX</stp>
        <stp>[BondPricer-0.2.xlsm]JAPAN_JGB_TYPE51!R20C20</stp>
        <stp>YAS_BOND_SPL_YLD=-0.108000000000002</stp>
        <stp>YAS_YLD_CONV=2</stp>
        <tr r="T20" s="7"/>
      </tp>
      <tp>
        <v>107.755</v>
        <stp/>
        <stp>##V3_BDPV12</stp>
        <stp>EC5799480 Govt</stp>
        <stp>YAS_BOND_PX</stp>
        <stp>[BondPricer-0.2.xlsm]JAPAN_JGB_TYPE51!R32C20</stp>
        <stp>YAS_BOND_SPL_YLD=-0.102999999999998</stp>
        <stp>YAS_YLD_CONV=2</stp>
        <tr r="T32" s="7"/>
      </tp>
      <tp>
        <v>107.042</v>
        <stp/>
        <stp>##V3_BDPV12</stp>
        <stp>EC4877683 Govt</stp>
        <stp>YAS_BOND_PX</stp>
        <stp>[BondPricer-0.2.xlsm]JAPAN_JGB_TYPE51!R24C20</stp>
        <stp>YAS_BOND_SPL_YLD=-0.110000000000004</stp>
        <stp>YAS_YLD_CONV=2</stp>
        <tr r="T24" s="7"/>
      </tp>
      <tp>
        <v>97.103999999999999</v>
        <stp/>
        <stp>##V3_BDPV12</stp>
        <stp>QZ5429456 Corp</stp>
        <stp>YAS_BOND_PX</stp>
        <stp>[BondPricer-0.2.xlsm]AUSTRALIAN_GOVT_TYPE23!R62C22</stp>
        <stp>YAS_BOND_YLD=3.15499244391522</stp>
        <stp>YAS_YLD_CONV=3</stp>
        <tr r="V62" s="9"/>
      </tp>
      <tp>
        <v>100.80199999900637</v>
        <stp/>
        <stp>##V3_BDPV12</stp>
        <stp>JK030916 Corp</stp>
        <stp>YAS_BOND_PX</stp>
        <stp>[BondPricer-0.2.xlsm]UK_GILT_TYPE26!R16C20</stp>
        <stp>YAS_BOND_YLD=1.39061028442077</stp>
        <stp>YAS_YLD_CONV=2</stp>
        <tr r="T16" s="13"/>
      </tp>
      <tp t="s">
        <v>#N/A Invalid Override</v>
        <stp/>
        <stp>##V3_BDPV12</stp>
        <stp>EJ9223300 Govt</stp>
        <stp>YAS_BOND_YLD</stp>
        <stp>[BondPricer-0.2.xlsm]JAPAN_JGB_TYPE51!R45C31</stp>
        <stp>YAS_BOND_PX=#N/A Requesting Data...</stp>
        <tr r="AE45" s="7"/>
      </tp>
      <tp>
        <v>96.340999999999994</v>
        <stp/>
        <stp>##V3_BDPV12</stp>
        <stp>LW0207677 Corp</stp>
        <stp>YAS_BOND_PX</stp>
        <stp>[BondPricer-0.2.xlsm]AUSTRALIAN_GOVT_TYPE23!R46C22</stp>
        <stp>YAS_BOND_YLD=2.68497162186878</stp>
        <stp>YAS_YLD_CONV=3</stp>
        <tr r="V46" s="9"/>
      </tp>
      <tp>
        <v>101.006</v>
        <stp/>
        <stp>##V3_BDPV12</stp>
        <stp>JK8199578 Corp</stp>
        <stp>YAS_BOND_PX</stp>
        <stp>[BondPricer-0.2.xlsm]AUSTRALIAN_GOVT_TYPE23!R17C22</stp>
        <stp>YAS_BOND_YLD=2.48491129621638</stp>
        <stp>YAS_YLD_CONV=3</stp>
        <tr r="V17" s="9"/>
      </tp>
      <tp>
        <v>100.40900000000001</v>
        <stp/>
        <stp>##V3_BDPV12</stp>
        <stp>AQ7629332 Corp</stp>
        <stp>YAS_BOND_PX</stp>
        <stp>[BondPricer-0.2.xlsm]AUSTRALIAN_GOVT_TYPE23!R52C22</stp>
        <stp>YAS_BOND_YLD=2.70697511793726</stp>
        <stp>YAS_YLD_CONV=3</stp>
        <tr r="V52" s="9"/>
      </tp>
      <tp>
        <v>82.011999966060117</v>
        <stp/>
        <stp>##V3_BDPV12</stp>
        <stp>JV9105265 Govt</stp>
        <stp>PX_ASK</stp>
        <stp>[BondPricer-0.2.xlsm]ITALIAN_BTPS_TYPE523!R168C22</stp>
        <stp>YAS_BOND_YLD=3.76790028562364</stp>
        <stp>YAS_YLD_CONV=1</stp>
        <tr r="V168" s="5"/>
      </tp>
      <tp>
        <v>131.28399999999999</v>
        <stp/>
        <stp>##V3_BDPV12</stp>
        <stp>ED6591066 Govt</stp>
        <stp>YAS_BOND_PX</stp>
        <stp>[BondPricer-0.2.xlsm]JAPAN_JGB_TYPE51!R162C20</stp>
        <stp>YAS_BOND_SPL_YLD=0.408000000000001</stp>
        <stp>YAS_YLD_CONV=2</stp>
        <tr r="T162" s="7"/>
      </tp>
      <tp>
        <v>102.521</v>
        <stp/>
        <stp>##V3_BDPV12</stp>
        <stp>AM5647731 Corp</stp>
        <stp>YAS_BOND_PX</stp>
        <stp>[BondPricer-0.2.xlsm]AUSTRALIAN_GOVT_TYPE23!R49C22</stp>
        <stp>YAS_BOND_YLD=2.59049578903437</stp>
        <stp>YAS_YLD_CONV=3</stp>
        <tr r="V49" s="9"/>
      </tp>
      <tp>
        <v>123.58199999999999</v>
        <stp/>
        <stp>##V3_BDPV12</stp>
        <stp>EI6132563 Govt</stp>
        <stp>YAS_BOND_PX</stp>
        <stp>[BondPricer-0.2.xlsm]JAPAN_JGB_TYPE51!R125C20</stp>
        <stp>YAS_BOND_SPL_YLD=0.244000000000001</stp>
        <stp>YAS_YLD_CONV=2</stp>
        <tr r="T125" s="7"/>
      </tp>
      <tp t="s">
        <v>#N/A Invalid Override</v>
        <stp/>
        <stp>##V3_BDPV12</stp>
        <stp>EJ2273187 Govt</stp>
        <stp>YAS_BOND_YLD</stp>
        <stp>[BondPricer-0.2.xlsm]JAPAN_JGB_TYPE51!R30C31</stp>
        <stp>YAS_BOND_PX=#N/A Requesting Data...</stp>
        <tr r="AE30" s="7"/>
      </tp>
      <tp t="s">
        <v>#N/A Invalid Override</v>
        <stp/>
        <stp>##V3_BDPV12</stp>
        <stp>JK2982615 Govt</stp>
        <stp>YAS_BOND_YLD</stp>
        <stp>[BondPricer-0.2.xlsm]JAPAN_JGB_TYPE51!R77C31</stp>
        <stp>YAS_BOND_PX=#N/A Requesting Data...</stp>
        <tr r="AE77" s="7"/>
      </tp>
      <tp t="s">
        <v>#N/A Invalid Override</v>
        <stp/>
        <stp>##V3_BDPV12</stp>
        <stp>EJ4693028 Govt</stp>
        <stp>YAS_BOND_YLD</stp>
        <stp>[BondPricer-0.2.xlsm]JAPAN_JGB_TYPE51!R36C31</stp>
        <stp>YAS_BOND_PX=#N/A Requesting Data...</stp>
        <tr r="AE36" s="7"/>
      </tp>
      <tp>
        <v>96.853999999999999</v>
        <stp/>
        <stp>##V3_BDPV12</stp>
        <stp>LW0753340 Corp</stp>
        <stp>YAS_BOND_PX</stp>
        <stp>[BondPricer-0.2.xlsm]AUSTRALIAN_GOVT_TYPE23!R47C22</stp>
        <stp>YAS_BOND_YLD=2.73341459524215</stp>
        <stp>YAS_YLD_CONV=3</stp>
        <tr r="V47" s="9"/>
      </tp>
      <tp>
        <v>97.37</v>
        <stp/>
        <stp>##V3_BDPV12</stp>
        <stp>LW1235313 Corp</stp>
        <stp>YAS_BOND_PX</stp>
        <stp>[BondPricer-0.2.xlsm]AUSTRALIAN_GOVT_TYPE23!R36C22</stp>
        <stp>YAS_BOND_YLD=2.88795317324307</stp>
        <stp>YAS_YLD_CONV=3</stp>
        <tr r="V36" s="9"/>
      </tp>
      <tp>
        <v>118.75700000000001</v>
        <stp/>
        <stp>##V3_BDPV12</stp>
        <stp>EJ6777233 Corp</stp>
        <stp>YAS_BOND_PX</stp>
        <stp>[BondPricer-0.2.xlsm]AUSTRALIAN_GOVT_TYPE23!R41C22</stp>
        <stp>YAS_BOND_YLD=2.30368101716303</stp>
        <stp>YAS_YLD_CONV=3</stp>
        <tr r="V41" s="9"/>
      </tp>
      <tp>
        <v>105.005</v>
        <stp/>
        <stp>##V3_BDPV12</stp>
        <stp>EJ3938531 Corp</stp>
        <stp>YAS_BOND_PX</stp>
        <stp>[BondPricer-0.2.xlsm]AUSTRALIAN_GOVT_TYPE23!R50C22</stp>
        <stp>YAS_BOND_YLD=2.69996472235818</stp>
        <stp>YAS_YLD_CONV=3</stp>
        <tr r="V50" s="9"/>
      </tp>
      <tp t="s">
        <v>#N/A Invalid Override</v>
        <stp/>
        <stp>##V3_BDPV12</stp>
        <stp>EK1072785 Govt</stp>
        <stp>YAS_BOND_YLD</stp>
        <stp>[BondPricer-0.2.xlsm]JAPAN_JGB_TYPE51!R50C31</stp>
        <stp>YAS_BOND_PX=#N/A Requesting Data...</stp>
        <tr r="AE50" s="7"/>
      </tp>
      <tp>
        <v>109.27500000000001</v>
        <stp/>
        <stp>##V3_BDPV12</stp>
        <stp>EG8211609 Corp</stp>
        <stp>YAS_BOND_PX</stp>
        <stp>[BondPricer-0.2.xlsm]AUSTRALIAN_GOVT_TYPE23!R7C22</stp>
        <stp>YAS_BOND_YLD=2.03886820665823</stp>
        <stp>YAS_YLD_CONV=3</stp>
        <tr r="V7" s="9"/>
      </tp>
      <tp t="s">
        <v>#N/A Invalid Override</v>
        <stp/>
        <stp>##V3_BDPV12</stp>
        <stp>EC6386048 Govt</stp>
        <stp>YLD_CMPD_JPN_ASK_NOTRUNC</stp>
        <stp>[BondPricer-0.2.xlsm]JAPAN_JGB_TYPE51!R31C35</stp>
        <stp>PX_ASK=#N/A Requesting Data...</stp>
        <tr r="AI31" s="7"/>
      </tp>
      <tp t="s">
        <v>#N/A Invalid Override</v>
        <stp/>
        <stp>##V3_BDPV12</stp>
        <stp>EF2077933 Govt</stp>
        <stp>YLD_CMPD_JPN_ASK_NOTRUNC</stp>
        <stp>[BondPricer-0.2.xlsm]JAPAN_JGB_TYPE51!R75C35</stp>
        <stp>PX_ASK=#N/A Requesting Data...</stp>
        <tr r="AI75" s="7"/>
      </tp>
      <tp t="s">
        <v>#N/A Invalid Override</v>
        <stp/>
        <stp>##V3_BDPV12</stp>
        <stp>EC3321972 Govt</stp>
        <stp>YLD_CMPD_JPN_ASK_NOTRUNC</stp>
        <stp>[BondPricer-0.2.xlsm]JAPAN_JGB_TYPE51!R11C35</stp>
        <stp>PX_ASK=#N/A Requesting Data...</stp>
        <tr r="AI11" s="7"/>
      </tp>
      <tp t="s">
        <v>#N/A Invalid Override</v>
        <stp/>
        <stp>##V3_BDPV12</stp>
        <stp>EI7714344 Govt</stp>
        <stp>YLD_CMPD_JPN_ASK_NOTRUNC</stp>
        <stp>[BondPricer-0.2.xlsm]JAPAN_JGB_TYPE51!R14C35</stp>
        <stp>PX_ASK=#N/A Requesting Data...</stp>
        <tr r="AI14" s="7"/>
      </tp>
      <tp>
        <v>9.7709071557694926</v>
        <stp/>
        <stp>##V3_BDPV12</stp>
        <stp>EG8573362 Govt</stp>
        <stp>YAS_RISK</stp>
        <stp>[BondPricer-0.2.xlsm]JAPAN_JGB_TYPE51!R93C25</stp>
        <stp>YLD_YTM_ASK=0.0830000000000003</stp>
        <stp>YAS_YLD_CONV=3</stp>
        <tr r="Y93" s="7"/>
      </tp>
      <tp>
        <v>10.017536328911092</v>
        <stp/>
        <stp>##V3_BDPV12</stp>
        <stp>EH1313798 Govt</stp>
        <stp>YAS_RISK</stp>
        <stp>[BondPricer-0.2.xlsm]JAPAN_JGB_TYPE51!R95C25</stp>
        <stp>YLD_YTM_ASK=0.0879999999999998</stp>
        <stp>YAS_YLD_CONV=3</stp>
        <tr r="Y95" s="7"/>
      </tp>
      <tp>
        <v>149.81299998648234</v>
        <stp/>
        <stp>##V3_BDPV12</stp>
        <stp>EJ712548 Corp</stp>
        <stp>YAS_BOND_PX</stp>
        <stp>[BondPricer-0.2.xlsm]UK_GILT_TYPE26!R40C20</stp>
        <stp>YAS_BOND_YLD=1.93605070782293</stp>
        <stp>YAS_YLD_CONV=2</stp>
        <tr r="T40" s="13"/>
      </tp>
      <tp>
        <v>103.51562549211341</v>
        <stp/>
        <stp>##V3_BDPV12</stp>
        <stp>912810QA Govt</stp>
        <stp>YAS_BOND_PX</stp>
        <stp>[BondPricer-0.2.xlsm]US_TREASURY_TYPE1!R101C20</stp>
        <stp>YAS_BOND_YLD=3.2618854</stp>
        <stp>YAS_YLD_CONV=2</stp>
        <tr r="T101" s="4"/>
      </tp>
      <tp>
        <v>94.496999981869408</v>
        <stp/>
        <stp>##V3_BDPV12</stp>
        <stp>AM064544 Corp</stp>
        <stp>YAS_BOND_PX</stp>
        <stp>[BondPricer-0.2.xlsm]UK_GILT_TYPE26!R37C20</stp>
        <stp>YAS_BOND_YLD=1.95302873670346</stp>
        <stp>YAS_YLD_CONV=2</stp>
        <tr r="T37" s="13"/>
      </tp>
      <tp>
        <v>126.871</v>
        <stp/>
        <stp>##V3_BDPV12</stp>
        <stp>EC4745393 Govt</stp>
        <stp>YAS_BOND_PX</stp>
        <stp>[BondPricer-0.2.xlsm]JAPAN_JGB_TYPE51!R133C20</stp>
        <stp>YAS_BOND_SPL_YLD=0.273999999999999</stp>
        <stp>YAS_YLD_CONV=2</stp>
        <tr r="T133" s="7"/>
      </tp>
      <tp t="s">
        <v>#N/A Invalid Override</v>
        <stp/>
        <stp>##V3_BDPV12</stp>
        <stp>EI8951218 Govt</stp>
        <stp>YAS_BOND_YLD</stp>
        <stp>[BondPricer-0.2.xlsm]JAPAN_JGB_TYPE51!R22C31</stp>
        <stp>YAS_BOND_PX=#N/A Requesting Data...</stp>
        <tr r="AE22" s="7"/>
      </tp>
      <tp t="s">
        <v>#N/A Invalid Override</v>
        <stp/>
        <stp>##V3_BDPV12</stp>
        <stp>EK6363973 Govt</stp>
        <stp>YAS_BOND_YLD</stp>
        <stp>[BondPricer-0.2.xlsm]JAPAN_JGB_TYPE51!R60C31</stp>
        <stp>YAS_BOND_PX=#N/A Requesting Data...</stp>
        <tr r="AE60" s="7"/>
      </tp>
      <tp t="s">
        <v>#N/A Invalid Override</v>
        <stp/>
        <stp>##V3_BDPV12</stp>
        <stp>EH2690319 Govt</stp>
        <stp>YAS_BOND_YLD</stp>
        <stp>[BondPricer-0.2.xlsm]JAPAN_JGB_TYPE51!R96C31</stp>
        <stp>YAS_BOND_PX=#N/A Requesting Data...</stp>
        <tr r="AE96" s="7"/>
      </tp>
      <tp>
        <v>97.403999999999996</v>
        <stp/>
        <stp>##V3_BDPV12</stp>
        <stp>EK8211675 Corp</stp>
        <stp>YAS_BOND_PX</stp>
        <stp>[BondPricer-0.2.xlsm]AUSTRALIAN_GOVT_TYPE23!R56C22</stp>
        <stp>YAS_BOND_YLD=2.94796152507814</stp>
        <stp>YAS_YLD_CONV=3</stp>
        <tr r="V56" s="9"/>
      </tp>
      <tp>
        <v>115.908</v>
        <stp/>
        <stp>##V3_BDPV12</stp>
        <stp>EF2711531 Corp</stp>
        <stp>YAS_BOND_PX</stp>
        <stp>[BondPricer-0.2.xlsm]AUSTRALIAN_GOVT_TYPE23!R22C22</stp>
        <stp>YAS_BOND_YLD=2.58609607942536</stp>
        <stp>YAS_YLD_CONV=3</stp>
        <tr r="V22" s="9"/>
      </tp>
      <tp t="s">
        <v>#N/A Invalid Override</v>
        <stp/>
        <stp>##V3_BDPV12</stp>
        <stp>EC4877683 Govt</stp>
        <stp>YLD_CMPD_JPN_ASK_NOTRUNC</stp>
        <stp>[BondPricer-0.2.xlsm]JAPAN_JGB_TYPE51!R24C35</stp>
        <stp>PX_ASK=#N/A Requesting Data...</stp>
        <tr r="AI24" s="7"/>
      </tp>
      <tp t="s">
        <v>#N/A Invalid Override</v>
        <stp/>
        <stp>##V3_BDPV12</stp>
        <stp>EF3812189 Govt</stp>
        <stp>YLD_CMPD_JPN_ASK_NOTRUNC</stp>
        <stp>[BondPricer-0.2.xlsm]JAPAN_JGB_TYPE51!R78C35</stp>
        <stp>PX_ASK=#N/A Requesting Data...</stp>
        <tr r="AI78" s="7"/>
      </tp>
      <tp t="s">
        <v>#N/A Invalid Override</v>
        <stp/>
        <stp>##V3_BDPV12</stp>
        <stp>ED9861136 Govt</stp>
        <stp>YLD_CMPD_JPN_ASK_NOTRUNC</stp>
        <stp>[BondPricer-0.2.xlsm]JAPAN_JGB_TYPE51!R70C35</stp>
        <stp>PX_ASK=#N/A Requesting Data...</stp>
        <tr r="AI70" s="7"/>
      </tp>
      <tp t="s">
        <v>#N/A Invalid Override</v>
        <stp/>
        <stp>##V3_BDPV12</stp>
        <stp>EC9351635 Govt</stp>
        <stp>YLD_CMPD_JPN_ASK_NOTRUNC</stp>
        <stp>[BondPricer-0.2.xlsm]JAPAN_JGB_TYPE51!R40C35</stp>
        <stp>PX_ASK=#N/A Requesting Data...</stp>
        <tr r="AI40" s="7"/>
      </tp>
      <tp t="s">
        <v>#N/A Invalid Override</v>
        <stp/>
        <stp>##V3_BDPV12</stp>
        <stp>ED4356637 Govt</stp>
        <stp>YLD_CMPD_JPN_ASK_NOTRUNC</stp>
        <stp>[BondPricer-0.2.xlsm]JAPAN_JGB_TYPE51!R52C35</stp>
        <stp>PX_ASK=#N/A Requesting Data...</stp>
        <tr r="AI52" s="7"/>
      </tp>
      <tp t="s">
        <v>#N/A Invalid Override</v>
        <stp/>
        <stp>##V3_BDPV12</stp>
        <stp>EK3119055 Govt</stp>
        <stp>YLD_CMPD_JPN_ASK_NOTRUNC</stp>
        <stp>[BondPricer-0.2.xlsm]JAPAN_JGB_TYPE51!R54C35</stp>
        <stp>PX_ASK=#N/A Requesting Data...</stp>
        <tr r="AI54" s="7"/>
      </tp>
      <tp t="s">
        <v>#N/A Invalid Override</v>
        <stp/>
        <stp>##V3_BDPV12</stp>
        <stp>EG0574590 Govt</stp>
        <stp>YLD_CMPD_JPN_ASK_NOTRUNC</stp>
        <stp>[BondPricer-0.2.xlsm]JAPAN_JGB_TYPE51!R87C35</stp>
        <stp>PX_ASK=#N/A Requesting Data...</stp>
        <tr r="AI87" s="7"/>
      </tp>
      <tp t="s">
        <v>#N/A Invalid Override</v>
        <stp/>
        <stp>##V3_BDPV12</stp>
        <stp>EJ2273187 Govt</stp>
        <stp>YLD_CMPD_JPN_ASK_NOTRUNC</stp>
        <stp>[BondPricer-0.2.xlsm]JAPAN_JGB_TYPE51!R30C35</stp>
        <stp>PX_ASK=#N/A Requesting Data...</stp>
        <tr r="AI30" s="7"/>
      </tp>
      <tp t="s">
        <v>#N/A Invalid Override</v>
        <stp/>
        <stp>##V3_BDPV12</stp>
        <stp>EI6972224 Govt</stp>
        <stp>YLD_CMPD_JPN_ASK_NOTRUNC</stp>
        <stp>[BondPricer-0.2.xlsm]JAPAN_JGB_TYPE51!R13C35</stp>
        <stp>PX_ASK=#N/A Requesting Data...</stp>
        <tr r="AI13" s="7"/>
      </tp>
      <tp>
        <v>-0.12399999999999525</v>
        <stp/>
        <stp>##V3_BDPV12</stp>
        <stp>JK4133670 Govt</stp>
        <stp>YLD_YTM_ASK</stp>
        <stp>[BondPricer-0.2.xlsm]JAPAN_JGB_TYPE51!R8C13</stp>
        <tr r="M8" s="7"/>
      </tp>
      <tp>
        <v>7.9305917654131974</v>
        <stp/>
        <stp>##V3_BDPV12</stp>
        <stp>QZ4138504 Govt</stp>
        <stp>YAS_RISK</stp>
        <stp>[BondPricer-0.2.xlsm]JAPAN_JGB_TYPE51!R84C25</stp>
        <stp>YLD_YTM_ASK=0.0430000000000018</stp>
        <stp>YAS_YLD_CONV=3</stp>
        <tr r="Y84" s="7"/>
      </tp>
      <tp>
        <v>8.4097611720871157</v>
        <stp/>
        <stp>##V3_BDPV12</stp>
        <stp>AM7131296 Govt</stp>
        <stp>YAS_RISK</stp>
        <stp>[BondPricer-0.2.xlsm]JAPAN_JGB_TYPE51!R88C25</stp>
        <stp>YLD_YTM_ASK=0.0659999999999998</stp>
        <stp>YAS_YLD_CONV=3</stp>
        <tr r="Y88" s="7"/>
      </tp>
      <tp>
        <v>96.425999109567428</v>
        <stp/>
        <stp>##V3_BDPV12</stp>
        <stp>AL083268 Corp</stp>
        <stp>YAS_BOND_PX</stp>
        <stp>[BondPricer-0.2.xlsm]UK_GILT_TYPE26!R24C20</stp>
        <stp>YAS_BOND_YLD=1.97758969354163</stp>
        <stp>YAS_YLD_CONV=2</stp>
        <tr r="T24" s="13"/>
      </tp>
      <tp>
        <v>118.4062504250508</v>
        <stp/>
        <stp>##V3_BDPV12</stp>
        <stp>912810QC Govt</stp>
        <stp>YAS_BOND_PX</stp>
        <stp>[BondPricer-0.2.xlsm]US_TREASURY_TYPE1!R103C20</stp>
        <stp>YAS_BOND_YLD=3.2739213</stp>
        <stp>YAS_YLD_CONV=2</stp>
        <tr r="T103" s="4"/>
      </tp>
      <tp>
        <v>94.265624931172212</v>
        <stp/>
        <stp>##V3_BDPV12</stp>
        <stp>912810RM Govt</stp>
        <stp>YAS_BOND_PX</stp>
        <stp>[BondPricer-0.2.xlsm]US_TREASURY_TYPE1!R126C20</stp>
        <stp>YAS_BOND_YLD=3.3265649</stp>
        <stp>YAS_YLD_CONV=2</stp>
        <tr r="T126" s="4"/>
      </tp>
      <tp>
        <v>105.2310000000074</v>
        <stp/>
        <stp>##V3_BDPV12</stp>
        <stp>EJ707218 Corp</stp>
        <stp>YAS_BOND_PX</stp>
        <stp>[BondPricer-0.2.xlsm]UK_GILT_TYPE26!R12C20</stp>
        <stp>YAS_BOND_YLD=1.14729525790025</stp>
        <stp>YAS_YLD_CONV=2</stp>
        <tr r="T12" s="13"/>
      </tp>
      <tp>
        <v>96.531249731410895</v>
        <stp/>
        <stp>##V3_BDPV12</stp>
        <stp>912810RH Govt</stp>
        <stp>YAS_BOND_PX</stp>
        <stp>[BondPricer-0.2.xlsm]US_TREASURY_TYPE1!R123C20</stp>
        <stp>YAS_BOND_YLD=3.3260106</stp>
        <stp>YAS_YLD_CONV=2</stp>
        <tr r="T123" s="4"/>
      </tp>
      <tp>
        <v>123.77799998923504</v>
        <stp/>
        <stp>##V3_BDPV12</stp>
        <stp>EF670373 Corp</stp>
        <stp>YAS_BOND_PX</stp>
        <stp>[BondPricer-0.2.xlsm]UK_GILT_TYPE26!R18C20</stp>
        <stp>YAS_BOND_YLD=1.46173970534642</stp>
        <stp>YAS_YLD_CONV=2</stp>
        <tr r="T18" s="13"/>
      </tp>
      <tp t="s">
        <v>#N/A Invalid Override</v>
        <stp/>
        <stp>##V3_BDPV12</stp>
        <stp>EI8332047 Govt</stp>
        <stp>YAS_BOND_YLD</stp>
        <stp>[BondPricer-0.2.xlsm]JAPAN_JGB_TYPE51!R17C31</stp>
        <stp>YAS_BOND_PX=#N/A Requesting Data...</stp>
        <tr r="AE17" s="7"/>
      </tp>
      <tp>
        <v>113.97799999999999</v>
        <stp/>
        <stp>##V3_BDPV12</stp>
        <stp>EI6831487 Corp</stp>
        <stp>YAS_BOND_PX</stp>
        <stp>[BondPricer-0.2.xlsm]AUSTRALIAN_GOVT_TYPE23!R20C22</stp>
        <stp>YAS_BOND_YLD=2.22598233655487</stp>
        <stp>YAS_YLD_CONV=3</stp>
        <tr r="V20" s="9"/>
      </tp>
      <tp>
        <v>115.899</v>
        <stp/>
        <stp>##V3_BDPV12</stp>
        <stp>EK3390219 Govt</stp>
        <stp>YAS_BOND_PX</stp>
        <stp>[BondPricer-0.2.xlsm]JAPAN_JGB_TYPE51!R159C20</stp>
        <stp>YAS_BOND_SPL_YLD=0.419000000000001</stp>
        <stp>YAS_YLD_CONV=2</stp>
        <tr r="T159" s="7"/>
      </tp>
      <tp>
        <v>114.286</v>
        <stp/>
        <stp>##V3_BDPV12</stp>
        <stp>EJ6777035 Corp</stp>
        <stp>YAS_BOND_PX</stp>
        <stp>[BondPricer-0.2.xlsm]AUSTRALIAN_GOVT_TYPE23!R21C22</stp>
        <stp>YAS_BOND_YLD=2.14631460667196</stp>
        <stp>YAS_YLD_CONV=3</stp>
        <tr r="V21" s="9"/>
      </tp>
      <tp>
        <v>114.934</v>
        <stp/>
        <stp>##V3_BDPV12</stp>
        <stp>EJ6776680 Corp</stp>
        <stp>YAS_BOND_PX</stp>
        <stp>[BondPricer-0.2.xlsm]AUSTRALIAN_GOVT_TYPE23!R15C22</stp>
        <stp>YAS_BOND_YLD=1.99887344163833</stp>
        <stp>YAS_YLD_CONV=3</stp>
        <tr r="V15" s="9"/>
      </tp>
      <tp t="s">
        <v>#N/A Invalid Override</v>
        <stp/>
        <stp>##V3_BDPV12</stp>
        <stp>EJ5801505 Govt</stp>
        <stp>YAS_BOND_YLD</stp>
        <stp>[BondPricer-0.2.xlsm]JAPAN_JGB_TYPE51!R39C31</stp>
        <stp>YAS_BOND_PX=#N/A Requesting Data...</stp>
        <tr r="AE39" s="7"/>
      </tp>
      <tp>
        <v>115.911</v>
        <stp/>
        <stp>##V3_BDPV12</stp>
        <stp>EK1340612 Govt</stp>
        <stp>YAS_BOND_PX</stp>
        <stp>[BondPricer-0.2.xlsm]JAPAN_JGB_TYPE51!R157C20</stp>
        <stp>YAS_BOND_SPL_YLD=0.404000000000001</stp>
        <stp>YAS_YLD_CONV=2</stp>
        <tr r="T157" s="7"/>
      </tp>
      <tp>
        <v>4.2731775900001878</v>
        <stp/>
        <stp>##V3_BDPV12</stp>
        <stp>EJ3845777 Govt</stp>
        <stp>YAS_RISK</stp>
        <stp>[BondPricer-0.2.xlsm]FRENCH_BTAN_TYPE89!R31C24</stp>
        <stp>YLD_YTM_ASK=-0.11233393413629</stp>
        <stp>YAS_YLD_CONV=1</stp>
        <tr r="X31" s="8"/>
      </tp>
      <tp t="s">
        <v>#N/A Invalid Override</v>
        <stp/>
        <stp>##V3_BDPV12</stp>
        <stp>EI6972224 Govt</stp>
        <stp>YAS_BOND_YLD</stp>
        <stp>[BondPricer-0.2.xlsm]JAPAN_JGB_TYPE51!R13C31</stp>
        <stp>YAS_BOND_PX=#N/A Requesting Data...</stp>
        <tr r="AE13" s="7"/>
      </tp>
      <tp t="s">
        <v>#N/A Invalid Override</v>
        <stp/>
        <stp>##V3_BDPV12</stp>
        <stp>EK4690054 Govt</stp>
        <stp>YAS_BOND_YLD</stp>
        <stp>[BondPricer-0.2.xlsm]JAPAN_JGB_TYPE51!R57C31</stp>
        <stp>YAS_BOND_PX=#N/A Requesting Data...</stp>
        <tr r="AE57" s="7"/>
      </tp>
      <tp t="s">
        <v>#N/A Invalid Override</v>
        <stp/>
        <stp>##V3_BDPV12</stp>
        <stp>EH0633659 Govt</stp>
        <stp>YAS_BOND_YLD</stp>
        <stp>[BondPricer-0.2.xlsm]JAPAN_JGB_TYPE51!R94C31</stp>
        <stp>YAS_BOND_PX=#N/A Requesting Data...</stp>
        <tr r="AE94" s="7"/>
      </tp>
      <tp t="s">
        <v>#N/A Invalid Override</v>
        <stp/>
        <stp>##V3_BDPV12</stp>
        <stp>EH1313798 Govt</stp>
        <stp>YAS_BOND_YLD</stp>
        <stp>[BondPricer-0.2.xlsm]JAPAN_JGB_TYPE51!R95C31</stp>
        <stp>YAS_BOND_PX=#N/A Requesting Data...</stp>
        <tr r="AE95" s="7"/>
      </tp>
      <tp>
        <v>2.6070353415224989</v>
        <stp/>
        <stp>##V3_BDPV12</stp>
        <stp>EC4285754 Govt</stp>
        <stp>YAS_MOD_DUR</stp>
        <stp>[BondPricer-0.2.xlsm]JAPAN_JGB_TYPE51!R15C28</stp>
        <stp>YLD_YTM_ASK=-0.12</stp>
        <stp>YAS_YLD_CONV=3</stp>
        <tr r="AB15" s="7"/>
      </tp>
      <tp t="s">
        <v>#N/A Invalid Override</v>
        <stp/>
        <stp>##V3_BDPV12</stp>
        <stp>EC5195879 Govt</stp>
        <stp>YLD_CMPD_JPN_ASK_NOTRUNC</stp>
        <stp>[BondPricer-0.2.xlsm]JAPAN_JGB_TYPE51!R23C35</stp>
        <stp>PX_ASK=#N/A Requesting Data...</stp>
        <tr r="AI23" s="7"/>
      </tp>
      <tp t="s">
        <v>#N/A Invalid Override</v>
        <stp/>
        <stp>##V3_BDPV12</stp>
        <stp>EF1466236 Govt</stp>
        <stp>YLD_CMPD_JPN_ASK_NOTRUNC</stp>
        <stp>[BondPricer-0.2.xlsm]JAPAN_JGB_TYPE51!R73C35</stp>
        <stp>PX_ASK=#N/A Requesting Data...</stp>
        <tr r="AI73" s="7"/>
      </tp>
      <tp t="s">
        <v>#N/A Invalid Override</v>
        <stp/>
        <stp>##V3_BDPV12</stp>
        <stp>EG7807761 Govt</stp>
        <stp>YLD_CMPD_JPN_ASK_NOTRUNC</stp>
        <stp>[BondPricer-0.2.xlsm]JAPAN_JGB_TYPE51!R92C35</stp>
        <stp>PX_ASK=#N/A Requesting Data...</stp>
        <tr r="AI92" s="7"/>
      </tp>
      <tp t="s">
        <v>#N/A Invalid Override</v>
        <stp/>
        <stp>##V3_BDPV12</stp>
        <stp>EF4527968 Govt</stp>
        <stp>YLD_CMPD_JPN_ASK_NOTRUNC</stp>
        <stp>[BondPricer-0.2.xlsm]JAPAN_JGB_TYPE51!R79C35</stp>
        <stp>PX_ASK=#N/A Requesting Data...</stp>
        <tr r="AI79" s="7"/>
      </tp>
      <tp t="s">
        <v>#N/A Invalid Override</v>
        <stp/>
        <stp>##V3_BDPV12</stp>
        <stp>ED8277235 Govt</stp>
        <stp>YLD_CMPD_JPN_ASK_NOTRUNC</stp>
        <stp>[BondPricer-0.2.xlsm]JAPAN_JGB_TYPE51!R61C35</stp>
        <stp>PX_ASK=#N/A Requesting Data...</stp>
        <tr r="AI61" s="7"/>
      </tp>
      <tp t="s">
        <v>#N/A Invalid Override</v>
        <stp/>
        <stp>##V3_BDPV12</stp>
        <stp>ED3828602 Govt</stp>
        <stp>YLD_CMPD_JPN_ASK_NOTRUNC</stp>
        <stp>[BondPricer-0.2.xlsm]JAPAN_JGB_TYPE51!R53C35</stp>
        <stp>PX_ASK=#N/A Requesting Data...</stp>
        <tr r="AI53" s="7"/>
      </tp>
      <tp t="s">
        <v>#N/A Invalid Override</v>
        <stp/>
        <stp>##V3_BDPV12</stp>
        <stp>EI8332047 Govt</stp>
        <stp>YLD_CMPD_JPN_ASK_NOTRUNC</stp>
        <stp>[BondPricer-0.2.xlsm]JAPAN_JGB_TYPE51!R17C35</stp>
        <stp>PX_ASK=#N/A Requesting Data...</stp>
        <tr r="AI17" s="7"/>
      </tp>
      <tp>
        <v>16.18593054931452</v>
        <stp/>
        <stp>##V3_BDPV12</stp>
        <stp>912810RS Govt</stp>
        <stp>YAS_RISK</stp>
        <stp>[BondPricer-0.2.xlsm]US_TREASURY_TYPE1!R130C24</stp>
        <stp>YLD_YTM_ASK=3.3331266</stp>
        <stp>YAS_YLD_CONV=3</stp>
        <tr r="X130" s="4"/>
      </tp>
      <tp>
        <v>17.08376174654731</v>
        <stp/>
        <stp>##V3_BDPV12</stp>
        <stp>912810RP Govt</stp>
        <stp>YAS_RISK</stp>
        <stp>[BondPricer-0.2.xlsm]US_TREASURY_TYPE1!R128C24</stp>
        <stp>YLD_YTM_ASK=3.3272266</stp>
        <stp>YAS_YLD_CONV=3</stp>
        <tr r="X128" s="4"/>
      </tp>
      <tp>
        <v>103.258</v>
        <stp/>
        <stp>##V3_BDPV12</stp>
        <stp>EI7714344 Govt</stp>
        <stp>YAS_BOND_PX</stp>
        <stp>[BondPricer-0.2.xlsm]JAPAN_JGB_TYPE51!R14C20</stp>
        <stp>YAS_BOND_SPL_YLD=-0.115000000000001</stp>
        <stp>YAS_YLD_CONV=2</stp>
        <tr r="T14" s="7"/>
      </tp>
      <tp>
        <v>141.86699972017547</v>
        <stp/>
        <stp>##V3_BDPV12</stp>
        <stp>GG737572 Corp</stp>
        <stp>YAS_BOND_PX</stp>
        <stp>[BondPricer-0.2.xlsm]UK_GILT_TYPE26!R19C20</stp>
        <stp>YAS_BOND_YLD=1.52788767933086</stp>
        <stp>YAS_YLD_CONV=2</stp>
        <tr r="T19" s="13"/>
      </tp>
      <tp>
        <v>85.515624822668002</v>
        <stp/>
        <stp>##V3_BDPV12</stp>
        <stp>912810RK Govt</stp>
        <stp>YAS_BOND_PX</stp>
        <stp>[BondPricer-0.2.xlsm]US_TREASURY_TYPE1!R125C20</stp>
        <stp>YAS_BOND_YLD=3.3302184</stp>
        <stp>YAS_YLD_CONV=2</stp>
        <tr r="T125" s="4"/>
      </tp>
      <tp>
        <v>92.484375528559696</v>
        <stp/>
        <stp>##V3_BDPV12</stp>
        <stp>912810RB Govt</stp>
        <stp>YAS_BOND_PX</stp>
        <stp>[BondPricer-0.2.xlsm]US_TREASURY_TYPE1!R118C20</stp>
        <stp>YAS_BOND_YLD=3.3248175</stp>
        <stp>YAS_YLD_CONV=2</stp>
        <tr r="T118" s="4"/>
      </tp>
      <tp>
        <v>122.8593758000226</v>
        <stp/>
        <stp>##V3_BDPV12</stp>
        <stp>912810QN Govt</stp>
        <stp>YAS_BOND_PX</stp>
        <stp>[BondPricer-0.2.xlsm]US_TREASURY_TYPE1!R109C20</stp>
        <stp>YAS_BOND_YLD=3.2955782</stp>
        <stp>YAS_YLD_CONV=2</stp>
        <tr r="T109" s="4"/>
      </tp>
      <tp>
        <v>102.599</v>
        <stp/>
        <stp>##V3_BDPV12</stp>
        <stp>EJ6776938 Corp</stp>
        <stp>YAS_BOND_PX</stp>
        <stp>[BondPricer-0.2.xlsm]AUSTRALIAN_GOVT_TYPE23!R26C22</stp>
        <stp>YAS_BOND_YLD=2.24025307096385</stp>
        <stp>YAS_YLD_CONV=3</stp>
        <tr r="V26" s="9"/>
      </tp>
      <tp>
        <v>123.392</v>
        <stp/>
        <stp>##V3_BDPV12</stp>
        <stp>EJ9440870 Corp</stp>
        <stp>YAS_BOND_PX</stp>
        <stp>[BondPricer-0.2.xlsm]AUSTRALIAN_GOVT_TYPE23!R55C22</stp>
        <stp>YAS_BOND_YLD=2.55632749053041</stp>
        <stp>YAS_YLD_CONV=3</stp>
        <tr r="V55" s="9"/>
      </tp>
      <tp>
        <v>129.352</v>
        <stp/>
        <stp>##V3_BDPV12</stp>
        <stp>ED4240013 Govt</stp>
        <stp>YAS_BOND_PX</stp>
        <stp>[BondPricer-0.2.xlsm]JAPAN_JGB_TYPE51!R158C20</stp>
        <stp>YAS_BOND_SPL_YLD=0.384000000000001</stp>
        <stp>YAS_YLD_CONV=2</stp>
        <tr r="T158" s="7"/>
      </tp>
      <tp t="s">
        <v>#N/A Invalid Override</v>
        <stp/>
        <stp>##V3_BDPV12</stp>
        <stp>EJ3490954 Govt</stp>
        <stp>YAS_BOND_YLD</stp>
        <stp>[BondPricer-0.2.xlsm]JAPAN_JGB_TYPE51!R33C31</stp>
        <stp>YAS_BOND_PX=#N/A Requesting Data...</stp>
        <tr r="AE33" s="7"/>
      </tp>
      <tp>
        <v>32.978999951900654</v>
        <stp/>
        <stp>##V3_BDPV12</stp>
        <stp>UV3555439 Govt</stp>
        <stp>PX_ASK</stp>
        <stp>[BondPricer-0.2.xlsm]ITALIAN_BTPS_TYPE523!R165C22</stp>
        <stp>YAS_BOND_YLD=4.13577723564862</stp>
        <stp>YAS_YLD_CONV=1</stp>
        <tr r="V165" s="5"/>
      </tp>
      <tp>
        <v>132.07599999999999</v>
        <stp/>
        <stp>##V3_BDPV12</stp>
        <stp>EF1386525 Govt</stp>
        <stp>YAS_BOND_PX</stp>
        <stp>[BondPricer-0.2.xlsm]JAPAN_JGB_TYPE51!R170C20</stp>
        <stp>YAS_BOND_SPL_YLD=0.458000000000001</stp>
        <stp>YAS_YLD_CONV=2</stp>
        <tr r="T170" s="7"/>
      </tp>
      <tp t="s">
        <v>#N/A Invalid Override</v>
        <stp/>
        <stp>##V3_BDPV12</stp>
        <stp>EC5799480 Govt</stp>
        <stp>YAS_BOND_YLD</stp>
        <stp>[BondPricer-0.2.xlsm]JAPAN_JGB_TYPE51!R32C31</stp>
        <stp>YAS_BOND_PX=#N/A Requesting Data...</stp>
        <tr r="AE32" s="7"/>
      </tp>
      <tp>
        <v>117.66800000000001</v>
        <stp/>
        <stp>##V3_BDPV12</stp>
        <stp>EH7034067 Govt</stp>
        <stp>YAS_BOND_PX</stp>
        <stp>[BondPricer-0.2.xlsm]JAPAN_JGB_TYPE51!R103C20</stp>
        <stp>YAS_BOND_SPL_YLD=0.139000000000002</stp>
        <stp>YAS_YLD_CONV=2</stp>
        <tr r="T103" s="7"/>
      </tp>
      <tp t="s">
        <v>#N/A Invalid Override</v>
        <stp/>
        <stp>##V3_BDPV12</stp>
        <stp>AH0082315 Govt</stp>
        <stp>YAS_BOND_YLD</stp>
        <stp>[BondPricer-0.2.xlsm]JAPAN_JGB_TYPE51!R74C31</stp>
        <stp>YAS_BOND_PX=#N/A Requesting Data...</stp>
        <tr r="AE74" s="7"/>
      </tp>
      <tp t="s">
        <v>#N/A Invalid Override</v>
        <stp/>
        <stp>##V3_BDPV12</stp>
        <stp>EJ7060233 Govt</stp>
        <stp>YAS_BOND_YLD</stp>
        <stp>[BondPricer-0.2.xlsm]JAPAN_JGB_TYPE51!R41C31</stp>
        <stp>YAS_BOND_PX=#N/A Requesting Data...</stp>
        <tr r="AE41" s="7"/>
      </tp>
      <tp t="s">
        <v>#N/A Invalid Override</v>
        <stp/>
        <stp>##V3_BDPV12</stp>
        <stp>ED8660810 Govt</stp>
        <stp>YLD_CMPD_JPN_ASK_NOTRUNC</stp>
        <stp>[BondPricer-0.2.xlsm]JAPAN_JGB_TYPE51!R64C35</stp>
        <stp>PX_ASK=#N/A Requesting Data...</stp>
        <tr r="AI64" s="7"/>
      </tp>
      <tp t="s">
        <v>#N/A Invalid Override</v>
        <stp/>
        <stp>##V3_BDPV12</stp>
        <stp>EC7836876 Govt</stp>
        <stp>YLD_CMPD_JPN_ASK_NOTRUNC</stp>
        <stp>[BondPricer-0.2.xlsm]JAPAN_JGB_TYPE51!R37C35</stp>
        <stp>PX_ASK=#N/A Requesting Data...</stp>
        <tr r="AI37" s="7"/>
      </tp>
      <tp t="s">
        <v>#N/A Invalid Override</v>
        <stp/>
        <stp>##V3_BDPV12</stp>
        <stp>EF5003670 Govt</stp>
        <stp>YLD_CMPD_JPN_ASK_NOTRUNC</stp>
        <stp>[BondPricer-0.2.xlsm]JAPAN_JGB_TYPE51!R82C35</stp>
        <stp>PX_ASK=#N/A Requesting Data...</stp>
        <tr r="AI82" s="7"/>
      </tp>
      <tp t="s">
        <v>#N/A Invalid Override</v>
        <stp/>
        <stp>##V3_BDPV12</stp>
        <stp>EF7943063 Govt</stp>
        <stp>YLD_CMPD_JPN_ASK_NOTRUNC</stp>
        <stp>[BondPricer-0.2.xlsm]JAPAN_JGB_TYPE51!R85C35</stp>
        <stp>PX_ASK=#N/A Requesting Data...</stp>
        <tr r="AI85" s="7"/>
      </tp>
      <tp t="s">
        <v>#N/A Invalid Override</v>
        <stp/>
        <stp>##V3_BDPV12</stp>
        <stp>AL7220364 Govt</stp>
        <stp>YLD_CMPD_JPN_ASK_NOTRUNC</stp>
        <stp>[BondPricer-0.2.xlsm]JAPAN_JGB_TYPE51!R20C35</stp>
        <stp>PX_ASK=#N/A Requesting Data...</stp>
        <tr r="AI20" s="7"/>
      </tp>
      <tp t="s">
        <v>#N/A Invalid Override</v>
        <stp/>
        <stp>##V3_BDPV12</stp>
        <stp>EK6836028 Govt</stp>
        <stp>YLD_CMPD_JPN_ASK_NOTRUNC</stp>
        <stp>[BondPricer-0.2.xlsm]JAPAN_JGB_TYPE51!R59C35</stp>
        <stp>PX_ASK=#N/A Requesting Data...</stp>
        <tr r="AI59" s="7"/>
      </tp>
      <tp t="s">
        <v>#N/A Invalid Override</v>
        <stp/>
        <stp>##V3_BDPV12</stp>
        <stp>EK1072785 Govt</stp>
        <stp>YLD_CMPD_JPN_ASK_NOTRUNC</stp>
        <stp>[BondPricer-0.2.xlsm]JAPAN_JGB_TYPE51!R50C35</stp>
        <stp>PX_ASK=#N/A Requesting Data...</stp>
        <tr r="AI50" s="7"/>
      </tp>
      <tp>
        <v>-0.1199999999999999</v>
        <stp/>
        <stp>##V3_BDPV12</stp>
        <stp>EI5952292 Govt</stp>
        <stp>YLD_YTM_ASK</stp>
        <stp>[BondPricer-0.2.xlsm]JAPAN_JGB_TYPE51!R9C13</stp>
        <tr r="M9" s="7"/>
      </tp>
      <tp>
        <v>16.653160138706369</v>
        <stp/>
        <stp>##V3_BDPV12</stp>
        <stp>912810QS Govt</stp>
        <stp>YAS_RISK</stp>
        <stp>[BondPricer-0.2.xlsm]US_TREASURY_TYPE1!R111C24</stp>
        <stp>YLD_YTM_ASK=3.3066975</stp>
        <stp>YAS_YLD_CONV=3</stp>
        <tr r="X111" s="4"/>
      </tp>
      <tp>
        <v>16.111586414594115</v>
        <stp/>
        <stp>##V3_BDPV12</stp>
        <stp>912810RQ Govt</stp>
        <stp>YAS_RISK</stp>
        <stp>[BondPricer-0.2.xlsm]US_TREASURY_TYPE1!R129C24</stp>
        <stp>YLD_YTM_ASK=3.3324254</stp>
        <stp>YAS_YLD_CONV=3</stp>
        <tr r="X129" s="4"/>
      </tp>
      <tp>
        <v>7.6883240411262932</v>
        <stp/>
        <stp>##V3_BDPV12</stp>
        <stp>LW3164867 Govt</stp>
        <stp>YAS_RISK</stp>
        <stp>[BondPricer-0.2.xlsm]JAPAN_JGB_TYPE51!R81C25</stp>
        <stp>YLD_YTM_ASK=0.0270000000000024</stp>
        <stp>YAS_YLD_CONV=3</stp>
        <tr r="Y81" s="7"/>
      </tp>
      <tp>
        <v>7.4406195596488089</v>
        <stp/>
        <stp>##V3_BDPV12</stp>
        <stp>JK2982615 Govt</stp>
        <stp>YAS_RISK</stp>
        <stp>[BondPricer-0.2.xlsm]JAPAN_JGB_TYPE51!R77C25</stp>
        <stp>YLD_YTM_ASK=0.0180000000000014</stp>
        <stp>YAS_YLD_CONV=3</stp>
        <tr r="Y77" s="7"/>
      </tp>
      <tp>
        <v>8.3722947091736444</v>
        <stp/>
        <stp>##V3_BDPV12</stp>
        <stp>EF5003670 Govt</stp>
        <stp>YAS_RISK</stp>
        <stp>[BondPricer-0.2.xlsm]JAPAN_JGB_TYPE51!R82C25</stp>
        <stp>YLD_YTM_ASK=0.0320000000000006</stp>
        <stp>YAS_YLD_CONV=3</stp>
        <tr r="Y82" s="7"/>
      </tp>
      <tp>
        <v>103.74299999999999</v>
        <stp/>
        <stp>##V3_BDPV12</stp>
        <stp>QJ1755850 Corp</stp>
        <stp>YAS_BOND_PX</stp>
        <stp>[BondPricer-0.2.xlsm]AUSTRALIAN_GOVT_TYPE23!R61C22</stp>
        <stp>YAS_BOND_YLD=3.07274041660228</stp>
        <stp>YAS_YLD_CONV=3</stp>
        <tr r="V61" s="9"/>
      </tp>
      <tp>
        <v>98.765000000000001</v>
        <stp/>
        <stp>##V3_BDPV12</stp>
        <stp>QZ5415422 Govt</stp>
        <stp>YAS_BOND_PX</stp>
        <stp>[BondPricer-0.2.xlsm]JAPAN_JGB_TYPE51!R177C20</stp>
        <stp>YAS_BOND_SPL_YLD=0.576000000000001</stp>
        <stp>YAS_YLD_CONV=2</stp>
        <tr r="T177" s="7"/>
      </tp>
      <tp>
        <v>122.83199999761112</v>
        <stp/>
        <stp>##V3_BDPV12</stp>
        <stp>EC453273 Corp</stp>
        <stp>YAS_BOND_PX</stp>
        <stp>[BondPricer-0.2.xlsm]UK_GILT_TYPE26!R14C20</stp>
        <stp>YAS_BOND_YLD=1.26973173438745</stp>
        <stp>YAS_YLD_CONV=2</stp>
        <tr r="T14" s="13"/>
      </tp>
      <tp t="s">
        <v>#N/A Invalid Override</v>
        <stp/>
        <stp>##V3_BDPV12</stp>
        <stp>EI8014132 Govt</stp>
        <stp>YAS_BOND_YLD</stp>
        <stp>[BondPricer-0.2.xlsm]JAPAN_JGB_TYPE51!R18C31</stp>
        <stp>YAS_BOND_PX=#N/A Requesting Data...</stp>
        <tr r="AE18" s="7"/>
      </tp>
      <tp>
        <v>111.482</v>
        <stp/>
        <stp>##V3_BDPV12</stp>
        <stp>EK5450789 Corp</stp>
        <stp>YAS_BOND_PX</stp>
        <stp>[BondPricer-0.2.xlsm]AUSTRALIAN_GOVT_TYPE23!R59C22</stp>
        <stp>YAS_BOND_YLD=2.93849876226276</stp>
        <stp>YAS_YLD_CONV=3</stp>
        <tr r="V59" s="9"/>
      </tp>
      <tp>
        <v>106.71599999999999</v>
        <stp/>
        <stp>##V3_BDPV12</stp>
        <stp>EJ6935351 Corp</stp>
        <stp>YAS_BOND_PX</stp>
        <stp>[BondPricer-0.2.xlsm]AUSTRALIAN_GOVT_TYPE23!R32C22</stp>
        <stp>YAS_BOND_YLD=2.13386523578523</stp>
        <stp>YAS_YLD_CONV=3</stp>
        <tr r="V32" s="9"/>
      </tp>
      <tp>
        <v>115.53400000000001</v>
        <stp/>
        <stp>##V3_BDPV12</stp>
        <stp>EJ3001454 Govt</stp>
        <stp>YAS_BOND_PX</stp>
        <stp>[BondPricer-0.2.xlsm]JAPAN_JGB_TYPE51!R141C20</stp>
        <stp>YAS_BOND_SPL_YLD=0.315000000000001</stp>
        <stp>YAS_YLD_CONV=2</stp>
        <tr r="T141" s="7"/>
      </tp>
      <tp t="s">
        <v>#N/A Invalid Override</v>
        <stp/>
        <stp>##V3_BDPV12</stp>
        <stp>EH5285554 Govt</stp>
        <stp>YAS_BOND_YLD</stp>
        <stp>[BondPricer-0.2.xlsm]JAPAN_JGB_TYPE51!R99C31</stp>
        <stp>YAS_BOND_PX=#N/A Requesting Data...</stp>
        <tr r="AE99" s="7"/>
      </tp>
      <tp t="s">
        <v>#N/A Invalid Override</v>
        <stp/>
        <stp>##V3_BDPV12</stp>
        <stp>EI9594942 Govt</stp>
        <stp>YAS_BOND_YLD</stp>
        <stp>[BondPricer-0.2.xlsm]JAPAN_JGB_TYPE51!R21C31</stp>
        <stp>YAS_BOND_PX=#N/A Requesting Data...</stp>
        <tr r="AE21" s="7"/>
      </tp>
      <tp>
        <v>110.744</v>
        <stp/>
        <stp>##V3_BDPV12</stp>
        <stp>EK5446753 Corp</stp>
        <stp>YAS_BOND_PX</stp>
        <stp>[BondPricer-0.2.xlsm]AUSTRALIAN_GOVT_TYPE23!R58C22</stp>
        <stp>YAS_BOND_YLD=2.99002331927359</stp>
        <stp>YAS_YLD_CONV=3</stp>
        <tr r="V58" s="9"/>
      </tp>
      <tp t="s">
        <v>#N/A Invalid Override</v>
        <stp/>
        <stp>##V3_BDPV12</stp>
        <stp>EI7714344 Govt</stp>
        <stp>YAS_BOND_YLD</stp>
        <stp>[BondPricer-0.2.xlsm]JAPAN_JGB_TYPE51!R14C31</stp>
        <stp>YAS_BOND_PX=#N/A Requesting Data...</stp>
        <tr r="AE14" s="7"/>
      </tp>
      <tp>
        <v>121.298</v>
        <stp/>
        <stp>##V3_BDPV12</stp>
        <stp>EI2321434 Govt</stp>
        <stp>YAS_BOND_PX</stp>
        <stp>[BondPricer-0.2.xlsm]JAPAN_JGB_TYPE51!R114C20</stp>
        <stp>YAS_BOND_SPL_YLD=0.194000000000001</stp>
        <stp>YAS_YLD_CONV=2</stp>
        <tr r="T114" s="7"/>
      </tp>
      <tp t="s">
        <v>#N/A Invalid Override</v>
        <stp/>
        <stp>##V3_BDPV12</stp>
        <stp>EK6836028 Govt</stp>
        <stp>YAS_BOND_YLD</stp>
        <stp>[BondPricer-0.2.xlsm]JAPAN_JGB_TYPE51!R59C31</stp>
        <stp>YAS_BOND_PX=#N/A Requesting Data...</stp>
        <tr r="AE59" s="7"/>
      </tp>
      <tp t="s">
        <v>#N/A Invalid Override</v>
        <stp/>
        <stp>##V3_BDPV12</stp>
        <stp>EF1062381 Govt</stp>
        <stp>YLD_CMPD_JPN_ASK_NOTRUNC</stp>
        <stp>[BondPricer-0.2.xlsm]JAPAN_JGB_TYPE51!R72C35</stp>
        <stp>PX_ASK=#N/A Requesting Data...</stp>
        <tr r="AI72" s="7"/>
      </tp>
      <tp t="s">
        <v>#N/A Invalid Override</v>
        <stp/>
        <stp>##V3_BDPV12</stp>
        <stp>EF7153796 Govt</stp>
        <stp>YLD_CMPD_JPN_ASK_NOTRUNC</stp>
        <stp>[BondPricer-0.2.xlsm]JAPAN_JGB_TYPE51!R86C35</stp>
        <stp>PX_ASK=#N/A Requesting Data...</stp>
        <tr r="AI86" s="7"/>
      </tp>
      <tp t="s">
        <v>#N/A Invalid Override</v>
        <stp/>
        <stp>##V3_BDPV12</stp>
        <stp>EJ5046614 Govt</stp>
        <stp>YLD_CMPD_JPN_ASK_NOTRUNC</stp>
        <stp>[BondPricer-0.2.xlsm]JAPAN_JGB_TYPE51!R35C35</stp>
        <stp>PX_ASK=#N/A Requesting Data...</stp>
        <tr r="AI35" s="7"/>
      </tp>
      <tp t="s">
        <v>#N/A Invalid Override</v>
        <stp/>
        <stp>##V3_BDPV12</stp>
        <stp>EH5285554 Govt</stp>
        <stp>YLD_CMPD_JPN_ASK_NOTRUNC</stp>
        <stp>[BondPricer-0.2.xlsm]JAPAN_JGB_TYPE51!R99C35</stp>
        <stp>PX_ASK=#N/A Requesting Data...</stp>
        <tr r="AI99" s="7"/>
      </tp>
      <tp t="s">
        <v>#N/A Invalid Override</v>
        <stp/>
        <stp>##V3_BDPV12</stp>
        <stp>EK6363973 Govt</stp>
        <stp>YLD_CMPD_JPN_ASK_NOTRUNC</stp>
        <stp>[BondPricer-0.2.xlsm]JAPAN_JGB_TYPE51!R60C35</stp>
        <stp>PX_ASK=#N/A Requesting Data...</stp>
        <tr r="AI60" s="7"/>
      </tp>
      <tp t="s">
        <v>#N/A Invalid Override</v>
        <stp/>
        <stp>##V3_BDPV12</stp>
        <stp>JK2982615 Govt</stp>
        <stp>YLD_CMPD_JPN_ASK_NOTRUNC</stp>
        <stp>[BondPricer-0.2.xlsm]JAPAN_JGB_TYPE51!R77C35</stp>
        <stp>PX_ASK=#N/A Requesting Data...</stp>
        <tr r="AI77" s="7"/>
      </tp>
      <tp>
        <v>104.91500000000001</v>
        <stp/>
        <stp>##V3_BDPV12</stp>
        <stp>EC3680336 Govt</stp>
        <stp>YAS_BOND_PX</stp>
        <stp>[BondPricer-0.2.xlsm]JAPAN_JGB_TYPE51!R10C20</stp>
        <stp>YAS_BOND_SPL_YLD=-0.119</stp>
        <stp>YAS_YLD_CONV=2</stp>
        <tr r="T10" s="7"/>
      </tp>
      <tp>
        <v>15.727603920224453</v>
        <stp/>
        <stp>##V3_BDPV12</stp>
        <stp>912810RT Govt</stp>
        <stp>YAS_RISK</stp>
        <stp>[BondPricer-0.2.xlsm]US_TREASURY_TYPE1!R131C24</stp>
        <stp>YLD_YTM_ASK=3.3330628</stp>
        <stp>YAS_YLD_CONV=3</stp>
        <tr r="X131" s="4"/>
      </tp>
      <tp>
        <v>8.6625542329201721</v>
        <stp/>
        <stp>##V3_BDPV12</stp>
        <stp>EF7943063 Govt</stp>
        <stp>YAS_RISK</stp>
        <stp>[BondPricer-0.2.xlsm]JAPAN_JGB_TYPE51!R85C25</stp>
        <stp>YLD_YTM_ASK=0.0409999999999994</stp>
        <stp>YAS_YLD_CONV=3</stp>
        <tr r="Y85" s="7"/>
      </tp>
      <tp>
        <v>10.343849171741226</v>
        <stp/>
        <stp>##V3_BDPV12</stp>
        <stp>EH2690319 Govt</stp>
        <stp>YAS_RISK</stp>
        <stp>[BondPricer-0.2.xlsm]JAPAN_JGB_TYPE51!R96C25</stp>
        <stp>YLD_YTM_ASK=0.0980000000000009</stp>
        <stp>YAS_YLD_CONV=3</stp>
        <tr r="Y96" s="7"/>
      </tp>
      <tp>
        <v>103.524</v>
        <stp/>
        <stp>##V3_BDPV12</stp>
        <stp>EI6972224 Govt</stp>
        <stp>YAS_BOND_PX</stp>
        <stp>[BondPricer-0.2.xlsm]JAPAN_JGB_TYPE51!R13C20</stp>
        <stp>YAS_BOND_SPL_YLD=-0.113999999999998</stp>
        <stp>YAS_YLD_CONV=2</stp>
        <tr r="T13" s="7"/>
      </tp>
      <tp>
        <v>8.0832769987303266</v>
        <stp/>
        <stp>##V3_BDPV12</stp>
        <stp>EF3812189 Govt</stp>
        <stp>YAS_RISK</stp>
        <stp>[BondPricer-0.2.xlsm]JAPAN_JGB_TYPE51!R78C25</stp>
        <stp>YLD_YTM_ASK=0.0219999999999981</stp>
        <stp>YAS_YLD_CONV=3</stp>
        <tr r="Y78" s="7"/>
      </tp>
      <tp>
        <v>100.87500047418315</v>
        <stp/>
        <stp>##V3_BDPV12</stp>
        <stp>912810RG Govt</stp>
        <stp>YAS_BOND_PX</stp>
        <stp>[BondPricer-0.2.xlsm]US_TREASURY_TYPE1!R122C20</stp>
        <stp>YAS_BOND_YLD=3.3238394</stp>
        <stp>YAS_YLD_CONV=2</stp>
        <tr r="T122" s="4"/>
      </tp>
      <tp>
        <v>90.30999948110707</v>
        <stp/>
        <stp>##V3_BDPV12</stp>
        <stp>AS462336 Corp</stp>
        <stp>YAS_BOND_PX</stp>
        <stp>[BondPricer-0.2.xlsm]UK_GILT_TYPE26!R41C20</stp>
        <stp>YAS_BOND_YLD=1.91692272542244</stp>
        <stp>YAS_YLD_CONV=2</stp>
        <tr r="T41" s="13"/>
      </tp>
      <tp>
        <v>117.53999995964206</v>
        <stp/>
        <stp>##V3_BDPV12</stp>
        <stp>QJ158195 Corp</stp>
        <stp>YAS_BOND_PX</stp>
        <stp>[BondPricer-0.2.xlsm]UK_GILT_TYPE26!R39C20</stp>
        <stp>YAS_BOND_YLD=1.92894223126473</stp>
        <stp>YAS_YLD_CONV=2</stp>
        <tr r="T39" s="13"/>
      </tp>
      <tp>
        <v>138.74899999965854</v>
        <stp/>
        <stp>##V3_BDPV12</stp>
        <stp>EH736811 Corp</stp>
        <stp>YAS_BOND_PX</stp>
        <stp>[BondPricer-0.2.xlsm]UK_GILT_TYPE26!R26C20</stp>
        <stp>YAS_BOND_YLD=1.97686952161677</stp>
        <stp>YAS_YLD_CONV=2</stp>
        <tr r="T26" s="13"/>
      </tp>
      <tp>
        <v>96.382999999999996</v>
        <stp/>
        <stp>##V3_BDPV12</stp>
        <stp>QZ2551245 Corp</stp>
        <stp>YAS_BOND_PX</stp>
        <stp>[BondPricer-0.2.xlsm]AUSTRALIAN_GOVT_TYPE23!R16C22</stp>
        <stp>YAS_BOND_YLD=2.47095815704508</stp>
        <stp>YAS_YLD_CONV=3</stp>
        <tr r="V16" s="9"/>
      </tp>
      <tp>
        <v>21.237125562894235</v>
        <stp/>
        <stp>##V3_BDPV12</stp>
        <stp>EK0809500 Govt</stp>
        <stp>DUR_ADJ_ASK</stp>
        <stp>[BondPricer-0.2.xlsm]GERMAN_BUND_TYPE60!R36C27</stp>
        <stp>YLD_YTM_ASK=1.0763534112302</stp>
        <stp>YAS_YLD_CONV=1</stp>
        <tr r="AA36" s="6"/>
      </tp>
      <tp>
        <v>129.68299985452788</v>
        <stp/>
        <stp>##V3_BDPV12</stp>
        <stp>EK333934 Corp</stp>
        <stp>YAS_BOND_PX</stp>
        <stp>[BondPricer-0.2.xlsm]UK_GILT_TYPE26!R30C20</stp>
        <stp>YAS_BOND_YLD=2.03534237041425</stp>
        <stp>YAS_YLD_CONV=2</stp>
        <tr r="T30" s="13"/>
      </tp>
      <tp>
        <v>97.94899999619966</v>
        <stp/>
        <stp>##V3_BDPV12</stp>
        <stp>AM781675 Corp</stp>
        <stp>YAS_BOND_PX</stp>
        <stp>[BondPricer-0.2.xlsm]UK_GILT_TYPE26!R17C20</stp>
        <stp>YAS_BOND_YLD=1.50049311625929</stp>
        <stp>YAS_YLD_CONV=2</stp>
        <tr r="T17" s="13"/>
      </tp>
      <tp>
        <v>118.13</v>
        <stp/>
        <stp>##V3_BDPV12</stp>
        <stp>EI3325426 Govt</stp>
        <stp>YAS_BOND_PX</stp>
        <stp>[BondPricer-0.2.xlsm]JAPAN_JGB_TYPE51!R119C20</stp>
        <stp>YAS_BOND_SPL_YLD=0.209000000000001</stp>
        <stp>YAS_YLD_CONV=2</stp>
        <tr r="T119" s="7"/>
      </tp>
      <tp t="s">
        <v>#N/A Invalid Override</v>
        <stp/>
        <stp>##V3_BDPV12</stp>
        <stp>ED9108231 Govt</stp>
        <stp>YAS_BOND_YLD</stp>
        <stp>[BondPricer-0.2.xlsm]JAPAN_JGB_TYPE51!R65C31</stp>
        <stp>YAS_BOND_PX=#N/A Requesting Data...</stp>
        <tr r="AE65" s="7"/>
      </tp>
      <tp t="s">
        <v>#N/A Invalid Override</v>
        <stp/>
        <stp>##V3_BDPV12</stp>
        <stp>EJ9766399 Govt</stp>
        <stp>YAS_BOND_YLD</stp>
        <stp>[BondPricer-0.2.xlsm]JAPAN_JGB_TYPE51!R47C31</stp>
        <stp>YAS_BOND_PX=#N/A Requesting Data...</stp>
        <tr r="AE47" s="7"/>
      </tp>
      <tp>
        <v>105.044</v>
        <stp/>
        <stp>##V3_BDPV12</stp>
        <stp>EJ6777381 Corp</stp>
        <stp>YAS_BOND_PX</stp>
        <stp>[BondPricer-0.2.xlsm]AUSTRALIAN_GOVT_TYPE23!R51C22</stp>
        <stp>YAS_BOND_YLD=2.69195323978796</stp>
        <stp>YAS_YLD_CONV=3</stp>
        <tr r="V51" s="9"/>
      </tp>
      <tp>
        <v>59.312999999971041</v>
        <stp/>
        <stp>##V3_BDPV12</stp>
        <stp>JV8619506 Govt</stp>
        <stp>PX_ASK</stp>
        <stp>[BondPricer-0.2.xlsm]ITALIAN_BTPS_TYPE523!R106C22</stp>
        <stp>YAS_BOND_YLD=3.82609995481775</stp>
        <stp>YAS_YLD_CONV=1</stp>
        <tr r="V106" s="5"/>
      </tp>
      <tp t="s">
        <v>#N/A Invalid Override</v>
        <stp/>
        <stp>##V3_BDPV12</stp>
        <stp>EH3854096 Govt</stp>
        <stp>YAS_BOND_YLD</stp>
        <stp>[BondPricer-0.2.xlsm]JAPAN_JGB_TYPE51!R97C31</stp>
        <stp>YAS_BOND_PX=#N/A Requesting Data...</stp>
        <tr r="AE97" s="7"/>
      </tp>
      <tp t="s">
        <v>#N/A Invalid Override</v>
        <stp/>
        <stp>##V3_BDPV12</stp>
        <stp>EJ5046614 Govt</stp>
        <stp>YAS_BOND_YLD</stp>
        <stp>[BondPricer-0.2.xlsm]JAPAN_JGB_TYPE51!R35C31</stp>
        <stp>YAS_BOND_PX=#N/A Requesting Data...</stp>
        <tr r="AE35" s="7"/>
      </tp>
      <tp t="s">
        <v>#N/A Invalid Override</v>
        <stp/>
        <stp>##V3_BDPV12</stp>
        <stp>ED3268197 Govt</stp>
        <stp>YAS_BOND_YLD</stp>
        <stp>[BondPricer-0.2.xlsm]JAPAN_JGB_TYPE51!R48C31</stp>
        <stp>YAS_BOND_PX=#N/A Requesting Data...</stp>
        <tr r="AE48" s="7"/>
      </tp>
      <tp t="s">
        <v>#N/A Invalid Override</v>
        <stp/>
        <stp>##V3_BDPV12</stp>
        <stp>EK7837587 Govt</stp>
        <stp>YAS_BOND_YLD</stp>
        <stp>[BondPricer-0.2.xlsm]JAPAN_JGB_TYPE51!R63C31</stp>
        <stp>YAS_BOND_PX=#N/A Requesting Data...</stp>
        <tr r="AE63" s="7"/>
      </tp>
      <tp>
        <v>112.276</v>
        <stp/>
        <stp>##V3_BDPV12</stp>
        <stp>EK1150847 Corp</stp>
        <stp>YAS_BOND_PX</stp>
        <stp>[BondPricer-0.2.xlsm]AUSTRALIAN_GOVT_TYPE23!R35C22</stp>
        <stp>YAS_BOND_YLD=2.44426105325754</stp>
        <stp>YAS_YLD_CONV=3</stp>
        <tr r="V35" s="9"/>
      </tp>
      <tp t="s">
        <v>#N/A Invalid Override</v>
        <stp/>
        <stp>##V3_BDPV12</stp>
        <stp>ED3828602 Govt</stp>
        <stp>YAS_BOND_YLD</stp>
        <stp>[BondPricer-0.2.xlsm]JAPAN_JGB_TYPE51!R53C31</stp>
        <stp>YAS_BOND_PX=#N/A Requesting Data...</stp>
        <tr r="AE53" s="7"/>
      </tp>
      <tp t="s">
        <v>#N/A Invalid Override</v>
        <stp/>
        <stp>##V3_BDPV12</stp>
        <stp>AM7131296 Govt</stp>
        <stp>YAS_BOND_YLD</stp>
        <stp>[BondPricer-0.2.xlsm]JAPAN_JGB_TYPE51!R88C31</stp>
        <stp>YAS_BOND_PX=#N/A Requesting Data...</stp>
        <tr r="AE88" s="7"/>
      </tp>
      <tp t="s">
        <v>#N/A Invalid Override</v>
        <stp/>
        <stp>##V3_BDPV12</stp>
        <stp>AL7220364 Govt</stp>
        <stp>YAS_BOND_YLD</stp>
        <stp>[BondPricer-0.2.xlsm]JAPAN_JGB_TYPE51!R20C31</stp>
        <stp>YAS_BOND_PX=#N/A Requesting Data...</stp>
        <tr r="AE20" s="7"/>
      </tp>
      <tp>
        <v>122.41500000000001</v>
        <stp/>
        <stp>##V3_BDPV12</stp>
        <stp>EI1908785 Govt</stp>
        <stp>YAS_BOND_PX</stp>
        <stp>[BondPricer-0.2.xlsm]JAPAN_JGB_TYPE51!R115C20</stp>
        <stp>YAS_BOND_SPL_YLD=0.194000000000001</stp>
        <stp>YAS_YLD_CONV=2</stp>
        <tr r="T115" s="7"/>
      </tp>
      <tp>
        <v>102.828</v>
        <stp/>
        <stp>##V3_BDPV12</stp>
        <stp>AL4159805 Corp</stp>
        <stp>YAS_BOND_PX</stp>
        <stp>[BondPricer-0.2.xlsm]AUSTRALIAN_GOVT_TYPE23!R39C22</stp>
        <stp>YAS_BOND_YLD=3.59500377166565</stp>
        <stp>YAS_YLD_CONV=3</stp>
        <tr r="V39" s="9"/>
      </tp>
      <tp t="s">
        <v>#N/A Invalid Override</v>
        <stp/>
        <stp>##V3_BDPV12</stp>
        <stp>EG5864293 Govt</stp>
        <stp>YLD_CMPD_JPN_ASK_NOTRUNC</stp>
        <stp>[BondPricer-0.2.xlsm]JAPAN_JGB_TYPE51!R91C35</stp>
        <stp>PX_ASK=#N/A Requesting Data...</stp>
        <tr r="AI91" s="7"/>
      </tp>
      <tp t="s">
        <v>#N/A Invalid Override</v>
        <stp/>
        <stp>##V3_BDPV12</stp>
        <stp>ED9108231 Govt</stp>
        <stp>YLD_CMPD_JPN_ASK_NOTRUNC</stp>
        <stp>[BondPricer-0.2.xlsm]JAPAN_JGB_TYPE51!R65C35</stp>
        <stp>PX_ASK=#N/A Requesting Data...</stp>
        <tr r="AI65" s="7"/>
      </tp>
      <tp t="s">
        <v>#N/A Invalid Override</v>
        <stp/>
        <stp>##V3_BDPV12</stp>
        <stp>EH3854096 Govt</stp>
        <stp>YLD_CMPD_JPN_ASK_NOTRUNC</stp>
        <stp>[BondPricer-0.2.xlsm]JAPAN_JGB_TYPE51!R97C35</stp>
        <stp>PX_ASK=#N/A Requesting Data...</stp>
        <tr r="AI97" s="7"/>
      </tp>
      <tp t="s">
        <v>#N/A Invalid Override</v>
        <stp/>
        <stp>##V3_BDPV12</stp>
        <stp>EK9515322 Govt</stp>
        <stp>YLD_CMPD_JPN_ASK_NOTRUNC</stp>
        <stp>[BondPricer-0.2.xlsm]JAPAN_JGB_TYPE51!R67C35</stp>
        <stp>PX_ASK=#N/A Requesting Data...</stp>
        <tr r="AI67" s="7"/>
      </tp>
      <tp t="s">
        <v>#N/A Invalid Override</v>
        <stp/>
        <stp>##V3_BDPV12</stp>
        <stp>EJ7060233 Govt</stp>
        <stp>YLD_CMPD_JPN_ASK_NOTRUNC</stp>
        <stp>[BondPricer-0.2.xlsm]JAPAN_JGB_TYPE51!R41C35</stp>
        <stp>PX_ASK=#N/A Requesting Data...</stp>
        <tr r="AI41" s="7"/>
      </tp>
      <tp>
        <v>100.06400000000001</v>
        <stp/>
        <stp>##V3_BDPV12</stp>
        <stp>EI0418851 Govt</stp>
        <stp>YAS_BOND_PX</stp>
        <stp>[BondPricer-0.2.xlsm]FRENCH_BTAN_TYPE89!R38C20</stp>
        <stp>YAS_BOND_YLD=-0.0141520457689004</stp>
        <stp>YAS_YLD_CONV=1</stp>
        <tr r="T38" s="8"/>
      </tp>
      <tp>
        <v>100.628</v>
        <stp/>
        <stp>##V3_BDPV12</stp>
        <stp>QZ4977943 Govt</stp>
        <stp>YAS_BOND_PX</stp>
        <stp>[BondPricer-0.2.xlsm]JAPAN_JGB_TYPE51!R16C20</stp>
        <stp>YAS_BOND_SPL_YLD=-0.113999999999995</stp>
        <stp>YAS_YLD_CONV=2</stp>
        <tr r="T16" s="7"/>
      </tp>
      <tp>
        <v>9.1576758886695586</v>
        <stp/>
        <stp>##V3_BDPV12</stp>
        <stp>EG3969052 Govt</stp>
        <stp>YAS_RISK</stp>
        <stp>[BondPricer-0.2.xlsm]JAPAN_JGB_TYPE51!R89C25</stp>
        <stp>YLD_YTM_ASK=0.0619999999999995</stp>
        <stp>YAS_YLD_CONV=3</stp>
        <tr r="Y89" s="7"/>
      </tp>
      <tp>
        <v>105.12499917310376</v>
        <stp/>
        <stp>##V3_BDPV12</stp>
        <stp>912810RE Govt</stp>
        <stp>YAS_BOND_PX</stp>
        <stp>[BondPricer-0.2.xlsm]US_TREASURY_TYPE1!R121C20</stp>
        <stp>YAS_BOND_YLD=3.3239161</stp>
        <stp>YAS_YLD_CONV=2</stp>
        <tr r="T121" s="4"/>
      </tp>
      <tp>
        <v>143.49799885317626</v>
        <stp/>
        <stp>##V3_BDPV12</stp>
        <stp>EI825311 Corp</stp>
        <stp>YAS_BOND_PX</stp>
        <stp>[BondPricer-0.2.xlsm]UK_GILT_TYPE26!R35C20</stp>
        <stp>YAS_BOND_YLD=1.97787298230267</stp>
        <stp>YAS_YLD_CONV=2</stp>
        <tr r="T35" s="13"/>
      </tp>
      <tp>
        <v>36.343999882295371</v>
        <stp/>
        <stp>##V3_BDPV12</stp>
        <stp>LW2047824 Govt</stp>
        <stp>PX_ASK</stp>
        <stp>[BondPricer-0.2.xlsm]ITALIAN_BTPS_TYPE523!R169C22</stp>
        <stp>YAS_BOND_YLD=3.63166814662448</stp>
        <stp>YAS_YLD_CONV=1</stp>
        <tr r="V169" s="5"/>
      </tp>
      <tp>
        <v>101.559</v>
        <stp/>
        <stp>##V3_BDPV12</stp>
        <stp>AP4429340 Corp</stp>
        <stp>YAS_BOND_PX</stp>
        <stp>[BondPricer-0.2.xlsm]AUSTRALIAN_GOVT_TYPE23!R19C22</stp>
        <stp>YAS_BOND_YLD=2.08386346800016</stp>
        <stp>YAS_YLD_CONV=3</stp>
        <tr r="V19" s="9"/>
      </tp>
      <tp>
        <v>98.046000000000006</v>
        <stp/>
        <stp>##V3_BDPV12</stp>
        <stp>EK8238157 Corp</stp>
        <stp>YAS_BOND_PX</stp>
        <stp>[BondPricer-0.2.xlsm]AUSTRALIAN_GOVT_TYPE23!R57C22</stp>
        <stp>YAS_BOND_YLD=2.96698417617188</stp>
        <stp>YAS_YLD_CONV=3</stp>
        <tr r="V57" s="9"/>
      </tp>
      <tp>
        <v>118.90900000000001</v>
        <stp/>
        <stp>##V3_BDPV12</stp>
        <stp>EI7953108 Govt</stp>
        <stp>YAS_BOND_PX</stp>
        <stp>[BondPricer-0.2.xlsm]JAPAN_JGB_TYPE51!R130C20</stp>
        <stp>YAS_BOND_SPL_YLD=0.258999999999998</stp>
        <stp>YAS_YLD_CONV=2</stp>
        <tr r="T130" s="7"/>
      </tp>
      <tp>
        <v>117.96899999999999</v>
        <stp/>
        <stp>##V3_BDPV12</stp>
        <stp>EH7611252 Govt</stp>
        <stp>YAS_BOND_PX</stp>
        <stp>[BondPricer-0.2.xlsm]JAPAN_JGB_TYPE51!R106C20</stp>
        <stp>YAS_BOND_SPL_YLD=0.149000000000001</stp>
        <stp>YAS_YLD_CONV=2</stp>
        <tr r="T106" s="7"/>
      </tp>
      <tp>
        <v>112.947</v>
        <stp/>
        <stp>##V3_BDPV12</stp>
        <stp>EI2142814 Corp</stp>
        <stp>YAS_BOND_PX</stp>
        <stp>[BondPricer-0.2.xlsm]AUSTRALIAN_GOVT_TYPE23!R14C22</stp>
        <stp>YAS_BOND_YLD=2.13300831107669</stp>
        <stp>YAS_YLD_CONV=3</stp>
        <tr r="V14" s="9"/>
      </tp>
      <tp t="s">
        <v>#N/A Invalid Override</v>
        <stp/>
        <stp>##V3_BDPV12</stp>
        <stp>EH4237085 Govt</stp>
        <stp>YAS_BOND_YLD</stp>
        <stp>[BondPricer-0.2.xlsm]JAPAN_JGB_TYPE51!R98C31</stp>
        <stp>YAS_BOND_PX=#N/A Requesting Data...</stp>
        <tr r="AE98" s="7"/>
      </tp>
      <tp>
        <v>120.355</v>
        <stp/>
        <stp>##V3_BDPV12</stp>
        <stp>EH6066235 Govt</stp>
        <stp>YAS_BOND_PX</stp>
        <stp>[BondPricer-0.2.xlsm]JAPAN_JGB_TYPE51!R102C20</stp>
        <stp>YAS_BOND_SPL_YLD=0.124000000000001</stp>
        <stp>YAS_YLD_CONV=2</stp>
        <tr r="T102" s="7"/>
      </tp>
      <tp>
        <v>2.3786860607919027</v>
        <stp/>
        <stp>##V3_BDPV12</stp>
        <stp>EC3321972 Govt</stp>
        <stp>YAS_MOD_DUR</stp>
        <stp>[BondPricer-0.2.xlsm]JAPAN_JGB_TYPE51!R11C28</stp>
        <stp>YLD_YTM_ASK=-0.12</stp>
        <stp>YAS_YLD_CONV=3</stp>
        <tr r="AB11" s="7"/>
      </tp>
      <tp t="s">
        <v>#N/A Invalid Override</v>
        <stp/>
        <stp>##V3_BDPV12</stp>
        <stp>EC7067035 Govt</stp>
        <stp>YLD_CMPD_JPN_ASK_NOTRUNC</stp>
        <stp>[BondPricer-0.2.xlsm]JAPAN_JGB_TYPE51!R34C35</stp>
        <stp>PX_ASK=#N/A Requesting Data...</stp>
        <tr r="AI34" s="7"/>
      </tp>
      <tp t="s">
        <v>#N/A Invalid Override</v>
        <stp/>
        <stp>##V3_BDPV12</stp>
        <stp>ED6160219 Govt</stp>
        <stp>YLD_CMPD_JPN_ASK_NOTRUNC</stp>
        <stp>[BondPricer-0.2.xlsm]JAPAN_JGB_TYPE51!R58C35</stp>
        <stp>PX_ASK=#N/A Requesting Data...</stp>
        <tr r="AI58" s="7"/>
      </tp>
      <tp t="s">
        <v>#N/A Invalid Override</v>
        <stp/>
        <stp>##V3_BDPV12</stp>
        <stp>ED5910010 Govt</stp>
        <stp>YLD_CMPD_JPN_ASK_NOTRUNC</stp>
        <stp>[BondPricer-0.2.xlsm]JAPAN_JGB_TYPE51!R56C35</stp>
        <stp>PX_ASK=#N/A Requesting Data...</stp>
        <tr r="AI56" s="7"/>
      </tp>
      <tp>
        <v>6.2745001895995838</v>
        <stp/>
        <stp>##V3_BDPV12</stp>
        <stp>EF0357980 Govt</stp>
        <stp>YAS_MOD_DUR</stp>
        <stp>[BondPricer-0.2.xlsm]JAPAN_JGB_TYPE51!R69C28</stp>
        <stp>YLD_YTM_ASK=-0.00300000000000046</stp>
        <stp>YAS_YLD_CONV=3</stp>
        <tr r="AB69" s="7"/>
      </tp>
      <tp t="s">
        <v>#N/A Invalid Override</v>
        <stp/>
        <stp>##V3_BDPV12</stp>
        <stp>AM7968010 Govt</stp>
        <stp>YLD_CMPD_JPN_ASK_NOTRUNC</stp>
        <stp>[BondPricer-0.2.xlsm]JAPAN_JGB_TYPE51!R25C35</stp>
        <stp>PX_ASK=#N/A Requesting Data...</stp>
        <tr r="AI25" s="7"/>
      </tp>
      <tp t="s">
        <v>#N/A Invalid Override</v>
        <stp/>
        <stp>##V3_BDPV12</stp>
        <stp>ED0114584 Govt</stp>
        <stp>YLD_CMPD_JPN_ASK_NOTRUNC</stp>
        <stp>[BondPricer-0.2.xlsm]JAPAN_JGB_TYPE51!R42C35</stp>
        <stp>PX_ASK=#N/A Requesting Data...</stp>
        <tr r="AI42" s="7"/>
      </tp>
      <tp t="s">
        <v>#N/A Invalid Override</v>
        <stp/>
        <stp>##V3_BDPV12</stp>
        <stp>ED1845145 Govt</stp>
        <stp>YLD_CMPD_JPN_ASK_NOTRUNC</stp>
        <stp>[BondPricer-0.2.xlsm]JAPAN_JGB_TYPE51!R46C35</stp>
        <stp>PX_ASK=#N/A Requesting Data...</stp>
        <tr r="AI46" s="7"/>
      </tp>
      <tp t="s">
        <v>#N/A Invalid Override</v>
        <stp/>
        <stp>##V3_BDPV12</stp>
        <stp>ED7357210 Govt</stp>
        <stp>YLD_CMPD_JPN_ASK_NOTRUNC</stp>
        <stp>[BondPricer-0.2.xlsm]JAPAN_JGB_TYPE51!R62C35</stp>
        <stp>PX_ASK=#N/A Requesting Data...</stp>
        <tr r="AI62" s="7"/>
      </tp>
      <tp t="s">
        <v>#N/A Invalid Override</v>
        <stp/>
        <stp>##V3_BDPV12</stp>
        <stp>EK7837587 Govt</stp>
        <stp>YLD_CMPD_JPN_ASK_NOTRUNC</stp>
        <stp>[BondPricer-0.2.xlsm]JAPAN_JGB_TYPE51!R63C35</stp>
        <stp>PX_ASK=#N/A Requesting Data...</stp>
        <tr r="AI63" s="7"/>
      </tp>
      <tp t="s">
        <v>#N/A Invalid Override</v>
        <stp/>
        <stp>##V3_BDPV12</stp>
        <stp>EJ9223300 Govt</stp>
        <stp>YLD_CMPD_JPN_ASK_NOTRUNC</stp>
        <stp>[BondPricer-0.2.xlsm]JAPAN_JGB_TYPE51!R45C35</stp>
        <stp>PX_ASK=#N/A Requesting Data...</stp>
        <tr r="AI45" s="7"/>
      </tp>
      <tp t="s">
        <v>#N/A Invalid Override</v>
        <stp/>
        <stp>##V3_BDPV12</stp>
        <stp>EJ4693028 Govt</stp>
        <stp>YLD_CMPD_JPN_ASK_NOTRUNC</stp>
        <stp>[BondPricer-0.2.xlsm]JAPAN_JGB_TYPE51!R36C35</stp>
        <stp>PX_ASK=#N/A Requesting Data...</stp>
        <tr r="AI36" s="7"/>
      </tp>
      <tp>
        <v>-0.11899999999999304</v>
        <stp/>
        <stp>##V3_BDPV12</stp>
        <stp>EI6755942 Govt</stp>
        <stp>YLD_YTM_ASK</stp>
        <stp>[BondPricer-0.2.xlsm]JAPAN_JGB_TYPE51!R7C13</stp>
        <tr r="M7" s="7"/>
      </tp>
      <tp>
        <v>17.162981514601228</v>
        <stp/>
        <stp>##V3_BDPV12</stp>
        <stp>912810RU Govt</stp>
        <stp>YAS_RISK</stp>
        <stp>[BondPricer-0.2.xlsm]US_TREASURY_TYPE1!R132C24</stp>
        <stp>YLD_YTM_ASK=3.3303112</stp>
        <stp>YAS_YLD_CONV=3</stp>
        <tr r="X132" s="4"/>
      </tp>
      <tp>
        <v>15.852340965467704</v>
        <stp/>
        <stp>##V3_BDPV12</stp>
        <stp>912810QU Govt</stp>
        <stp>YAS_RISK</stp>
        <stp>[BondPricer-0.2.xlsm]US_TREASURY_TYPE1!R113C24</stp>
        <stp>YLD_YTM_ASK=3.3123711</stp>
        <stp>YAS_YLD_CONV=3</stp>
        <tr r="X113" s="4"/>
      </tp>
      <tp>
        <v>100.584</v>
        <stp/>
        <stp>##V3_BDPV12</stp>
        <stp>LW3943617 Govt</stp>
        <stp>YAS_BOND_PX</stp>
        <stp>[BondPricer-0.2.xlsm]JAPAN_JGB_TYPE51!R12C20</stp>
        <stp>YAS_BOND_SPL_YLD=-0.117999999999999</stp>
        <stp>YAS_YLD_CONV=2</stp>
        <tr r="T12" s="7"/>
      </tp>
      <tp>
        <v>108.99999971525065</v>
        <stp/>
        <stp>##V3_BDPV12</stp>
        <stp>912810QK Govt</stp>
        <stp>YAS_BOND_PX</stp>
        <stp>[BondPricer-0.2.xlsm]US_TREASURY_TYPE1!R107C20</stp>
        <stp>YAS_BOND_YLD=3.2934648</stp>
        <stp>YAS_YLD_CONV=2</stp>
        <tr r="T107" s="4"/>
      </tp>
      <tp>
        <v>151.82599995096663</v>
        <stp/>
        <stp>##V3_BDPV12</stp>
        <stp>EH529579 Corp</stp>
        <stp>YAS_BOND_PX</stp>
        <stp>[BondPricer-0.2.xlsm]UK_GILT_TYPE26!R34C20</stp>
        <stp>YAS_BOND_YLD=2.00453470544072</stp>
        <stp>YAS_YLD_CONV=2</stp>
        <tr r="T34" s="13"/>
      </tp>
      <tp>
        <v>104.59899999998004</v>
        <stp/>
        <stp>##V3_BDPV12</stp>
        <stp>EK799307 Corp</stp>
        <stp>YAS_BOND_PX</stp>
        <stp>[BondPricer-0.2.xlsm]UK_GILT_TYPE26!R15C20</stp>
        <stp>YAS_BOND_YLD=1.30013877426366</stp>
        <stp>YAS_YLD_CONV=2</stp>
        <tr r="T15" s="13"/>
      </tp>
      <tp>
        <v>129.85399996798805</v>
        <stp/>
        <stp>##V3_BDPV12</stp>
        <stp>EC256595 Corp</stp>
        <stp>YAS_BOND_PX</stp>
        <stp>[BondPricer-0.2.xlsm]UK_GILT_TYPE26!R21C20</stp>
        <stp>YAS_BOND_YLD=1.77601028279371</stp>
        <stp>YAS_YLD_CONV=2</stp>
        <tr r="T21" s="13"/>
      </tp>
      <tp>
        <v>160.1679989825183</v>
        <stp/>
        <stp>##V3_BDPV12</stp>
        <stp>ED946246 Corp</stp>
        <stp>YAS_BOND_PX</stp>
        <stp>[BondPricer-0.2.xlsm]UK_GILT_TYPE26!R36C20</stp>
        <stp>YAS_BOND_YLD=1.96132827628212</stp>
        <stp>YAS_YLD_CONV=2</stp>
        <tr r="T36" s="13"/>
      </tp>
      <tp>
        <v>147.60799999542326</v>
        <stp/>
        <stp>##V3_BDPV12</stp>
        <stp>EF396423 Corp</stp>
        <stp>YAS_BOND_PX</stp>
        <stp>[BondPricer-0.2.xlsm]UK_GILT_TYPE26!R31C20</stp>
        <stp>YAS_BOND_YLD=2.02290536535053</stp>
        <stp>YAS_YLD_CONV=2</stp>
        <tr r="T31" s="13"/>
      </tp>
      <tp>
        <v>133.56799987192875</v>
        <stp/>
        <stp>##V3_BDPV12</stp>
        <stp>EG872949 Corp</stp>
        <stp>YAS_BOND_PX</stp>
        <stp>[BondPricer-0.2.xlsm]UK_GILT_TYPE26!R20C20</stp>
        <stp>YAS_BOND_YLD=1.68177699482798</stp>
        <stp>YAS_YLD_CONV=2</stp>
        <tr r="T20" s="13"/>
      </tp>
      <tp>
        <v>102.97</v>
        <stp/>
        <stp>##V3_BDPV12</stp>
        <stp>QJ1521823 Corp</stp>
        <stp>YAS_BOND_PX</stp>
        <stp>[BondPricer-0.2.xlsm]AUSTRALIAN_GOVT_TYPE23!R60C22</stp>
        <stp>YAS_BOND_YLD=3.05499848360431</stp>
        <stp>YAS_YLD_CONV=3</stp>
        <tr r="V60" s="9"/>
      </tp>
      <tp>
        <v>114.89062471943153</v>
        <stp/>
        <stp>##V3_BDPV12</stp>
        <stp>912810QL Govt</stp>
        <stp>YAS_BOND_PX</stp>
        <stp>[BondPricer-0.2.xlsm]US_TREASURY_TYPE1!R108C20</stp>
        <stp>YAS_BOND_YLD=3.2953508</stp>
        <stp>YAS_YLD_CONV=2</stp>
        <tr r="T108" s="4"/>
      </tp>
      <tp>
        <v>98.94</v>
        <stp/>
        <stp>##V3_BDPV12</stp>
        <stp>LW2811898 Corp</stp>
        <stp>YAS_BOND_PX</stp>
        <stp>[BondPricer-0.2.xlsm]AUSTRALIAN_GOVT_TYPE23!R43C22</stp>
        <stp>YAS_BOND_YLD=3.13601204250855</stp>
        <stp>YAS_YLD_CONV=3</stp>
        <tr r="V43" s="9"/>
      </tp>
      <tp t="s">
        <v>#N/A Invalid Override</v>
        <stp/>
        <stp>##V3_BDPV12</stp>
        <stp>EK9515322 Govt</stp>
        <stp>YAS_BOND_YLD</stp>
        <stp>[BondPricer-0.2.xlsm]JAPAN_JGB_TYPE51!R67C31</stp>
        <stp>YAS_BOND_PX=#N/A Requesting Data...</stp>
        <tr r="AE67" s="7"/>
      </tp>
      <tp t="s">
        <v>#N/A Invalid Override</v>
        <stp/>
        <stp>##V3_BDPV12</stp>
        <stp>EJ8154217 Govt</stp>
        <stp>YAS_BOND_YLD</stp>
        <stp>[BondPricer-0.2.xlsm]JAPAN_JGB_TYPE51!R44C31</stp>
        <stp>YAS_BOND_PX=#N/A Requesting Data...</stp>
        <tr r="AE44" s="7"/>
      </tp>
      <tp>
        <v>2.5538794396176456</v>
        <stp/>
        <stp>##V3_BDPV12</stp>
        <stp>ED9336279 Govt</stp>
        <stp>YAS_RISK</stp>
        <stp>[BondPricer-0.2.xlsm]FRENCH_BTAN_TYPE89!R12C24</stp>
        <stp>YLD_YTM_ASK=-0.37246270081509</stp>
        <stp>YAS_YLD_CONV=1</stp>
        <tr r="X12" s="8"/>
      </tp>
      <tp>
        <v>116.247</v>
        <stp/>
        <stp>##V3_BDPV12</stp>
        <stp>EI8492650 Corp</stp>
        <stp>YAS_BOND_PX</stp>
        <stp>[BondPricer-0.2.xlsm]AUSTRALIAN_GOVT_TYPE23!R40C22</stp>
        <stp>YAS_BOND_YLD=2.60895093986867</stp>
        <stp>YAS_YLD_CONV=3</stp>
        <tr r="V40" s="9"/>
      </tp>
      <tp>
        <v>124.571</v>
        <stp/>
        <stp>##V3_BDPV12</stp>
        <stp>EC2220316 Govt</stp>
        <stp>YAS_BOND_PX</stp>
        <stp>[BondPricer-0.2.xlsm]JAPAN_JGB_TYPE51!R113C20</stp>
        <stp>YAS_BOND_SPL_YLD=0.188000000000001</stp>
        <stp>YAS_YLD_CONV=2</stp>
        <tr r="T113" s="7"/>
      </tp>
      <tp t="s">
        <v>#N/A Invalid Override</v>
        <stp/>
        <stp>##V3_BDPV12</stp>
        <stp>EG3969052 Govt</stp>
        <stp>YAS_BOND_YLD</stp>
        <stp>[BondPricer-0.2.xlsm]JAPAN_JGB_TYPE51!R89C31</stp>
        <stp>YAS_BOND_PX=#N/A Requesting Data...</stp>
        <tr r="AE89" s="7"/>
      </tp>
      <tp t="s">
        <v>#N/A Invalid Override</v>
        <stp/>
        <stp>##V3_BDPV12</stp>
        <stp>EG8573362 Govt</stp>
        <stp>YLD_CMPD_JPN_ASK_NOTRUNC</stp>
        <stp>[BondPricer-0.2.xlsm]JAPAN_JGB_TYPE51!R93C35</stp>
        <stp>PX_ASK=#N/A Requesting Data...</stp>
        <tr r="AI93" s="7"/>
      </tp>
      <tp t="s">
        <v>#N/A Invalid Override</v>
        <stp/>
        <stp>##V3_BDPV12</stp>
        <stp>ED1010344 Govt</stp>
        <stp>YLD_CMPD_JPN_ASK_NOTRUNC</stp>
        <stp>[BondPricer-0.2.xlsm]JAPAN_JGB_TYPE51!R43C35</stp>
        <stp>PX_ASK=#N/A Requesting Data...</stp>
        <tr r="AI43" s="7"/>
      </tp>
      <tp t="s">
        <v>#N/A Invalid Override</v>
        <stp/>
        <stp>##V3_BDPV12</stp>
        <stp>ED2593686 Govt</stp>
        <stp>YLD_CMPD_JPN_ASK_NOTRUNC</stp>
        <stp>[BondPricer-0.2.xlsm]JAPAN_JGB_TYPE51!R49C35</stp>
        <stp>PX_ASK=#N/A Requesting Data...</stp>
        <tr r="AI49" s="7"/>
      </tp>
      <tp t="s">
        <v>#N/A Invalid Override</v>
        <stp/>
        <stp>##V3_BDPV12</stp>
        <stp>EJ8154217 Govt</stp>
        <stp>YLD_CMPD_JPN_ASK_NOTRUNC</stp>
        <stp>[BondPricer-0.2.xlsm]JAPAN_JGB_TYPE51!R44C35</stp>
        <stp>PX_ASK=#N/A Requesting Data...</stp>
        <tr r="AI44" s="7"/>
      </tp>
      <tp t="s">
        <v>#N/A Invalid Override</v>
        <stp/>
        <stp>##V3_BDPV12</stp>
        <stp>EH2690319 Govt</stp>
        <stp>YLD_CMPD_JPN_ASK_NOTRUNC</stp>
        <stp>[BondPricer-0.2.xlsm]JAPAN_JGB_TYPE51!R96C35</stp>
        <stp>PX_ASK=#N/A Requesting Data...</stp>
        <tr r="AI96" s="7"/>
      </tp>
      <tp>
        <v>106.509</v>
        <stp/>
        <stp>##V3_BDPV12</stp>
        <stp>EC4603477 Govt</stp>
        <stp>YAS_BOND_PX</stp>
        <stp>[BondPricer-0.2.xlsm]JAPAN_JGB_TYPE51!R19C20</stp>
        <stp>YAS_BOND_SPL_YLD=-0.115</stp>
        <stp>YAS_YLD_CONV=2</stp>
        <tr r="T19" s="7"/>
      </tp>
      <tp>
        <v>4.7430013365350572</v>
        <stp/>
        <stp>##V3_BDPV12</stp>
        <stp>912828T9 Govt</stp>
        <stp>DUR_ADJ_ASK</stp>
        <stp>[BondPricer-0.2.xlsm]US_TREASURY_TYPE1!R64C28</stp>
        <stp>YLD_YTM_ASK=3.00918</stp>
        <stp>YAS_YLD_CONV=3</stp>
        <tr r="AB64" s="4"/>
      </tp>
      <tp>
        <v>16.009104500056281</v>
        <stp/>
        <stp>##V3_BDPV12</stp>
        <stp>912810PX Govt</stp>
        <stp>YAS_RISK</stp>
        <stp>[BondPricer-0.2.xlsm]US_TREASURY_TYPE1!R100C24</stp>
        <stp>YLD_YTM_ASK=3.2471366</stp>
        <stp>YAS_YLD_CONV=3</stp>
        <tr r="X100" s="4"/>
      </tp>
      <tp>
        <v>9.730264687440382</v>
        <stp/>
        <stp>##V3_BDPV12</stp>
        <stp>EH0633659 Govt</stp>
        <stp>YAS_RISK</stp>
        <stp>[BondPricer-0.2.xlsm]JAPAN_JGB_TYPE51!R94C25</stp>
        <stp>YLD_YTM_ASK=0.0819999999999993</stp>
        <stp>YAS_YLD_CONV=3</stp>
        <tr r="Y94" s="7"/>
      </tp>
      <tp>
        <v>107.364</v>
        <stp/>
        <stp>##V3_BDPV12</stp>
        <stp>EC5195879 Govt</stp>
        <stp>YAS_BOND_PX</stp>
        <stp>[BondPricer-0.2.xlsm]JAPAN_JGB_TYPE51!R23C20</stp>
        <stp>YAS_BOND_SPL_YLD=-0.110999999999998</stp>
        <stp>YAS_YLD_CONV=2</stp>
        <tr r="T23" s="7"/>
      </tp>
      <tp>
        <v>158.26999999981919</v>
        <stp/>
        <stp>##V3_BDPV12</stp>
        <stp>EH998789 Corp</stp>
        <stp>YAS_BOND_PX</stp>
        <stp>[BondPricer-0.2.xlsm]UK_GILT_TYPE26!R38C20</stp>
        <stp>YAS_BOND_YLD=1.94112399410243</stp>
        <stp>YAS_YLD_CONV=2</stp>
        <tr r="T38" s="13"/>
      </tp>
      <tp>
        <v>98.10799999995821</v>
        <stp/>
        <stp>##V3_BDPV12</stp>
        <stp>AO326331 Corp</stp>
        <stp>YAS_BOND_PX</stp>
        <stp>[BondPricer-0.2.xlsm]UK_GILT_TYPE26!R11C20</stp>
        <stp>YAS_BOND_YLD=1.15910994279218</stp>
        <stp>YAS_YLD_CONV=2</stp>
        <tr r="T11" s="13"/>
      </tp>
      <tp>
        <v>147.58999999995368</v>
        <stp/>
        <stp>##V3_BDPV12</stp>
        <stp>EG506481 Corp</stp>
        <stp>YAS_BOND_PX</stp>
        <stp>[BondPricer-0.2.xlsm]UK_GILT_TYPE26!R28C20</stp>
        <stp>YAS_BOND_YLD=2.00385113315829</stp>
        <stp>YAS_YLD_CONV=2</stp>
        <tr r="T28" s="13"/>
      </tp>
      <tp t="s">
        <v>#N/A Invalid Override</v>
        <stp/>
        <stp>##V3_BDPV12</stp>
        <stp>EF0357980 Govt</stp>
        <stp>YAS_BOND_YLD</stp>
        <stp>[BondPricer-0.2.xlsm]JAPAN_JGB_TYPE51!R69C31</stp>
        <stp>YAS_BOND_PX=#N/A Requesting Data...</stp>
        <tr r="AE69" s="7"/>
      </tp>
      <tp t="s">
        <v>#N/A Invalid Override</v>
        <stp/>
        <stp>##V3_BDPV12</stp>
        <stp>EF2077933 Govt</stp>
        <stp>YAS_BOND_YLD</stp>
        <stp>[BondPricer-0.2.xlsm]JAPAN_JGB_TYPE51!R75C31</stp>
        <stp>YAS_BOND_PX=#N/A Requesting Data...</stp>
        <tr r="AE75" s="7"/>
      </tp>
      <tp>
        <v>119.687</v>
        <stp/>
        <stp>##V3_BDPV12</stp>
        <stp>EH6604720 Govt</stp>
        <stp>YAS_BOND_PX</stp>
        <stp>[BondPricer-0.2.xlsm]JAPAN_JGB_TYPE51!R104C20</stp>
        <stp>YAS_BOND_SPL_YLD=0.137999999999999</stp>
        <stp>YAS_YLD_CONV=2</stp>
        <tr r="T104" s="7"/>
      </tp>
      <tp t="s">
        <v>#N/A Invalid Override</v>
        <stp/>
        <stp>##V3_BDPV12</stp>
        <stp>EF4527968 Govt</stp>
        <stp>YAS_BOND_YLD</stp>
        <stp>[BondPricer-0.2.xlsm]JAPAN_JGB_TYPE51!R79C31</stp>
        <stp>YAS_BOND_PX=#N/A Requesting Data...</stp>
        <tr r="AE79" s="7"/>
      </tp>
      <tp>
        <v>111.619</v>
        <stp/>
        <stp>##V3_BDPV12</stp>
        <stp>EK1150607 Corp</stp>
        <stp>YAS_BOND_PX</stp>
        <stp>[BondPricer-0.2.xlsm]AUSTRALIAN_GOVT_TYPE23!R34C22</stp>
        <stp>YAS_BOND_YLD=2.54094684100301</stp>
        <stp>YAS_YLD_CONV=3</stp>
        <tr r="V34" s="9"/>
      </tp>
      <tp t="s">
        <v>#N/A Invalid Override</v>
        <stp/>
        <stp>##V3_BDPV12</stp>
        <stp>EC8612631 Govt</stp>
        <stp>YAS_BOND_YLD</stp>
        <stp>[BondPricer-0.2.xlsm]JAPAN_JGB_TYPE51!R38C31</stp>
        <stp>YAS_BOND_PX=#N/A Requesting Data...</stp>
        <tr r="AE38" s="7"/>
      </tp>
      <tp>
        <v>131.58500000000001</v>
        <stp/>
        <stp>##V3_BDPV12</stp>
        <stp>EC3066569 Govt</stp>
        <stp>YAS_BOND_PX</stp>
        <stp>[BondPricer-0.2.xlsm]JAPAN_JGB_TYPE51!R122C20</stp>
        <stp>YAS_BOND_SPL_YLD=0.218999999999998</stp>
        <stp>YAS_YLD_CONV=2</stp>
        <tr r="T122" s="7"/>
      </tp>
      <tp t="s">
        <v>#N/A Invalid Override</v>
        <stp/>
        <stp>##V3_BDPV12</stp>
        <stp>ED1845145 Govt</stp>
        <stp>YAS_BOND_YLD</stp>
        <stp>[BondPricer-0.2.xlsm]JAPAN_JGB_TYPE51!R46C31</stp>
        <stp>YAS_BOND_PX=#N/A Requesting Data...</stp>
        <tr r="AE46" s="7"/>
      </tp>
      <tp t="s">
        <v>#N/A Invalid Override</v>
        <stp/>
        <stp>##V3_BDPV12</stp>
        <stp>EC5472575 Govt</stp>
        <stp>YAS_BOND_YLD</stp>
        <stp>[BondPricer-0.2.xlsm]JAPAN_JGB_TYPE51!R28C31</stp>
        <stp>YAS_BOND_PX=#N/A Requesting Data...</stp>
        <tr r="AE28" s="7"/>
      </tp>
      <tp>
        <v>119.56399999999999</v>
        <stp/>
        <stp>##V3_BDPV12</stp>
        <stp>EJ9437272 Corp</stp>
        <stp>YAS_BOND_PX</stp>
        <stp>[BondPricer-0.2.xlsm]AUSTRALIAN_GOVT_TYPE23!R54C22</stp>
        <stp>YAS_BOND_YLD=2.84496798207182</stp>
        <stp>YAS_YLD_CONV=3</stp>
        <tr r="V54" s="9"/>
      </tp>
      <tp>
        <v>132.31899999999999</v>
        <stp/>
        <stp>##V3_BDPV12</stp>
        <stp>EH5985450 Govt</stp>
        <stp>YAS_BOND_PX</stp>
        <stp>[BondPricer-0.2.xlsm]JAPAN_JGB_TYPE51!R185C20</stp>
        <stp>YAS_BOND_SPL_YLD=0.587999999999999</stp>
        <stp>YAS_YLD_CONV=2</stp>
        <tr r="T185" s="7"/>
      </tp>
      <tp>
        <v>14.656933355267654</v>
        <stp/>
        <stp>##V3_BDPV12</stp>
        <stp>EC2153012 Govt</stp>
        <stp>YAS_RISK</stp>
        <stp>[BondPricer-0.2.xlsm]GERMAN_BUND_TYPE60!R28C24</stp>
        <stp>YLD_YTM_ASK=0.50005262511657</stp>
        <stp>YAS_YLD_CONV=1</stp>
        <tr r="X28" s="6"/>
      </tp>
      <tp t="s">
        <v>#N/A Invalid Override</v>
        <stp/>
        <stp>##V3_BDPV12</stp>
        <stp>LW3164867 Govt</stp>
        <stp>YLD_CMPD_JPN_ASK_NOTRUNC</stp>
        <stp>[BondPricer-0.2.xlsm]JAPAN_JGB_TYPE51!R81C35</stp>
        <stp>PX_ASK=#N/A Requesting Data...</stp>
        <tr r="AI81" s="7"/>
      </tp>
      <tp t="s">
        <v>#N/A Invalid Override</v>
        <stp/>
        <stp>##V3_BDPV12</stp>
        <stp>EC4285754 Govt</stp>
        <stp>YLD_CMPD_JPN_ASK_NOTRUNC</stp>
        <stp>[BondPricer-0.2.xlsm]JAPAN_JGB_TYPE51!R15C35</stp>
        <stp>PX_ASK=#N/A Requesting Data...</stp>
        <tr r="AI15" s="7"/>
      </tp>
      <tp t="s">
        <v>#N/A Invalid Override</v>
        <stp/>
        <stp>##V3_BDPV12</stp>
        <stp>EF2594176 Govt</stp>
        <stp>YLD_CMPD_JPN_ASK_NOTRUNC</stp>
        <stp>[BondPricer-0.2.xlsm]JAPAN_JGB_TYPE51!R76C35</stp>
        <stp>PX_ASK=#N/A Requesting Data...</stp>
        <tr r="AI76" s="7"/>
      </tp>
      <tp t="s">
        <v>#N/A Invalid Override</v>
        <stp/>
        <stp>##V3_BDPV12</stp>
        <stp>ED3268197 Govt</stp>
        <stp>YLD_CMPD_JPN_ASK_NOTRUNC</stp>
        <stp>[BondPricer-0.2.xlsm]JAPAN_JGB_TYPE51!R48C35</stp>
        <stp>PX_ASK=#N/A Requesting Data...</stp>
        <tr r="AI48" s="7"/>
      </tp>
      <tp t="s">
        <v>#N/A Invalid Override</v>
        <stp/>
        <stp>##V3_BDPV12</stp>
        <stp>AM7131296 Govt</stp>
        <stp>YLD_CMPD_JPN_ASK_NOTRUNC</stp>
        <stp>[BondPricer-0.2.xlsm]JAPAN_JGB_TYPE51!R88C35</stp>
        <stp>PX_ASK=#N/A Requesting Data...</stp>
        <tr r="AI88" s="7"/>
      </tp>
      <tp>
        <v>8.0246361420762469</v>
        <stp/>
        <stp>##V3_BDPV12</stp>
        <stp>EF3295013 Govt</stp>
        <stp>YAS_RISK</stp>
        <stp>[BondPricer-0.2.xlsm]JAPAN_JGB_TYPE51!R80C25</stp>
        <stp>YLD_YTM_ASK=0.0219999999999983</stp>
        <stp>YAS_YLD_CONV=3</stp>
        <tr r="Y80" s="7"/>
      </tp>
      <tp>
        <v>94.343750054634057</v>
        <stp/>
        <stp>##V3_BDPV12</stp>
        <stp>912810RJ Govt</stp>
        <stp>YAS_BOND_PX</stp>
        <stp>[BondPricer-0.2.xlsm]US_TREASURY_TYPE1!R124C20</stp>
        <stp>YAS_BOND_YLD=3.3259549</stp>
        <stp>YAS_YLD_CONV=2</stp>
        <tr r="T124" s="4"/>
      </tp>
      <tp>
        <v>88.892999999322839</v>
        <stp/>
        <stp>##V3_BDPV12</stp>
        <stp>QZ554181 Corp</stp>
        <stp>YAS_BOND_PX</stp>
        <stp>[BondPricer-0.2.xlsm]UK_GILT_TYPE26!R32C20</stp>
        <stp>YAS_BOND_YLD=2.01029543252704</stp>
        <stp>YAS_YLD_CONV=2</stp>
        <tr r="T32" s="13"/>
      </tp>
      <tp>
        <v>101.777</v>
        <stp/>
        <stp>##V3_BDPV12</stp>
        <stp>AM8503287 Govt</stp>
        <stp>YAS_BOND_PX</stp>
        <stp>[BondPricer-0.2.xlsm]JAPAN_JGB_TYPE51!R181C20</stp>
        <stp>YAS_BOND_SPL_YLD=0.592999999999999</stp>
        <stp>YAS_YLD_CONV=2</stp>
        <tr r="T181" s="7"/>
      </tp>
      <tp>
        <v>123.79900000000001</v>
        <stp/>
        <stp>##V3_BDPV12</stp>
        <stp>EC2565314 Govt</stp>
        <stp>YAS_BOND_PX</stp>
        <stp>[BondPricer-0.2.xlsm]JAPAN_JGB_TYPE51!R116C20</stp>
        <stp>YAS_BOND_SPL_YLD=0.198999999999999</stp>
        <stp>YAS_YLD_CONV=2</stp>
        <tr r="T116" s="7"/>
      </tp>
      <tp>
        <v>99.713999999999999</v>
        <stp/>
        <stp>##V3_BDPV12</stp>
        <stp>AM1528661 Corp</stp>
        <stp>YAS_BOND_PX</stp>
        <stp>[BondPricer-0.2.xlsm]AUSTRALIAN_GOVT_TYPE23!R11C22</stp>
        <stp>YAS_BOND_YLD=2.09304888100036</stp>
        <stp>YAS_YLD_CONV=3</stp>
        <tr r="V11" s="9"/>
      </tp>
      <tp t="s">
        <v>#N/A Invalid Override</v>
        <stp/>
        <stp>##V3_BDPV12</stp>
        <stp>EC4603477 Govt</stp>
        <stp>YAS_BOND_YLD</stp>
        <stp>[BondPricer-0.2.xlsm]JAPAN_JGB_TYPE51!R19C31</stp>
        <stp>YAS_BOND_PX=#N/A Requesting Data...</stp>
        <tr r="AE19" s="7"/>
      </tp>
      <tp t="s">
        <v>#N/A Invalid Override</v>
        <stp/>
        <stp>##V3_BDPV12</stp>
        <stp>EG7807761 Govt</stp>
        <stp>YAS_BOND_YLD</stp>
        <stp>[BondPricer-0.2.xlsm]JAPAN_JGB_TYPE51!R92C31</stp>
        <stp>YAS_BOND_PX=#N/A Requesting Data...</stp>
        <tr r="AE92" s="7"/>
      </tp>
      <tp t="s">
        <v>#N/A Invalid Override</v>
        <stp/>
        <stp>##V3_BDPV12</stp>
        <stp>EF1466236 Govt</stp>
        <stp>YAS_BOND_YLD</stp>
        <stp>[BondPricer-0.2.xlsm]JAPAN_JGB_TYPE51!R73C31</stp>
        <stp>YAS_BOND_PX=#N/A Requesting Data...</stp>
        <tr r="AE73" s="7"/>
      </tp>
      <tp>
        <v>111.145</v>
        <stp/>
        <stp>##V3_BDPV12</stp>
        <stp>EJ9131404 Corp</stp>
        <stp>YAS_BOND_PX</stp>
        <stp>[BondPricer-0.2.xlsm]AUSTRALIAN_GOVT_TYPE23!R23C22</stp>
        <stp>YAS_BOND_YLD=3.10802983598692</stp>
        <stp>YAS_YLD_CONV=3</stp>
        <tr r="V23" s="9"/>
      </tp>
      <tp>
        <v>4.0477471433582934</v>
        <stp/>
        <stp>##V3_BDPV12</stp>
        <stp>EI0428835 Govt</stp>
        <stp>YAS_RISK</stp>
        <stp>[BondPricer-0.2.xlsm]FRENCH_BTAN_TYPE89!R33C24</stp>
        <stp>YLD_YTM_ASK=-0.12739119181534</stp>
        <stp>YAS_YLD_CONV=1</stp>
        <tr r="X33" s="8"/>
      </tp>
      <tp>
        <v>99.796000000000006</v>
        <stp/>
        <stp>##V3_BDPV12</stp>
        <stp>AN7790412 Corp</stp>
        <stp>YAS_BOND_PX</stp>
        <stp>[BondPricer-0.2.xlsm]AUSTRALIAN_GOVT_TYPE23!R38C22</stp>
        <stp>YAS_BOND_YLD=3.02893666511293</stp>
        <stp>YAS_YLD_CONV=3</stp>
        <tr r="V38" s="9"/>
      </tp>
      <tp t="s">
        <v>#N/A Invalid Override</v>
        <stp/>
        <stp>##V3_BDPV12</stp>
        <stp>ED0114584 Govt</stp>
        <stp>YAS_BOND_YLD</stp>
        <stp>[BondPricer-0.2.xlsm]JAPAN_JGB_TYPE51!R42C31</stp>
        <stp>YAS_BOND_PX=#N/A Requesting Data...</stp>
        <tr r="AE42" s="7"/>
      </tp>
      <tp>
        <v>35.837999901995303</v>
        <stp/>
        <stp>##V3_BDPV12</stp>
        <stp>UV3555454 Govt</stp>
        <stp>PX_ASK</stp>
        <stp>[BondPricer-0.2.xlsm]ITALIAN_BTPS_TYPE523!R167C22</stp>
        <stp>YAS_BOND_YLD=3.74942236664719</stp>
        <stp>YAS_YLD_CONV=1</stp>
        <tr r="V167" s="5"/>
      </tp>
      <tp t="s">
        <v>#N/A Invalid Override</v>
        <stp/>
        <stp>##V3_BDPV12</stp>
        <stp>LW3943617 Govt</stp>
        <stp>YLD_CMPD_JPN_ASK_NOTRUNC</stp>
        <stp>[BondPricer-0.2.xlsm]JAPAN_JGB_TYPE51!R12C35</stp>
        <stp>PX_ASK=#N/A Requesting Data...</stp>
        <tr r="AI12" s="7"/>
      </tp>
      <tp t="s">
        <v>#N/A Invalid Override</v>
        <stp/>
        <stp>##V3_BDPV12</stp>
        <stp>EF0693129 Govt</stp>
        <stp>YLD_CMPD_JPN_ASK_NOTRUNC</stp>
        <stp>[BondPricer-0.2.xlsm]JAPAN_JGB_TYPE51!R68C35</stp>
        <stp>PX_ASK=#N/A Requesting Data...</stp>
        <tr r="AI68" s="7"/>
      </tp>
      <tp>
        <v>4.3120986273621043</v>
        <stp/>
        <stp>##V3_BDPV12</stp>
        <stp>9128282D Govt</stp>
        <stp>YAS_RISK</stp>
        <stp>[BondPricer-0.2.xlsm]US_TREASURY_TYPE1!R62C24</stp>
        <stp>YLD_YTM_ASK=3.0043788</stp>
        <stp>YAS_YLD_CONV=3</stp>
        <tr r="X62" s="4"/>
      </tp>
      <tp>
        <v>6.5855994407452947</v>
        <stp/>
        <stp>##V3_BDPV12</stp>
        <stp>EK9515322 Govt</stp>
        <stp>YAS_MOD_DUR</stp>
        <stp>[BondPricer-0.2.xlsm]JAPAN_JGB_TYPE51!R67C28</stp>
        <stp>YLD_YTM_ASK=-0.00699999999999945</stp>
        <stp>YAS_YLD_CONV=3</stp>
        <tr r="AB67" s="7"/>
      </tp>
      <tp t="s">
        <v>#N/A Invalid Override</v>
        <stp/>
        <stp>##V3_BDPV12</stp>
        <stp>EC8612631 Govt</stp>
        <stp>YLD_CMPD_JPN_ASK_NOTRUNC</stp>
        <stp>[BondPricer-0.2.xlsm]JAPAN_JGB_TYPE51!R38C35</stp>
        <stp>PX_ASK=#N/A Requesting Data...</stp>
        <tr r="AI38" s="7"/>
      </tp>
      <tp t="s">
        <v>#N/A Invalid Override</v>
        <stp/>
        <stp>##V3_BDPV12</stp>
        <stp>EJ9766399 Govt</stp>
        <stp>YLD_CMPD_JPN_ASK_NOTRUNC</stp>
        <stp>[BondPricer-0.2.xlsm]JAPAN_JGB_TYPE51!R47C35</stp>
        <stp>PX_ASK=#N/A Requesting Data...</stp>
        <tr r="AI47" s="7"/>
      </tp>
      <tp>
        <v>103.78400000000001</v>
        <stp/>
        <stp>##V3_BDPV12</stp>
        <stp>EJ0489983 Govt</stp>
        <stp>YAS_BOND_PX</stp>
        <stp>[BondPricer-0.2.xlsm]JAPAN_JGB_TYPE51!R26C20</stp>
        <stp>YAS_BOND_SPL_YLD=-0.102</stp>
        <stp>YAS_YLD_CONV=2</stp>
        <tr r="T26" s="7"/>
      </tp>
      <tp>
        <v>103.83499999999999</v>
        <stp/>
        <stp>##V3_BDPV12</stp>
        <stp>EI8951218 Govt</stp>
        <stp>YAS_BOND_PX</stp>
        <stp>[BondPricer-0.2.xlsm]JAPAN_JGB_TYPE51!R22C20</stp>
        <stp>YAS_BOND_SPL_YLD=-0.104</stp>
        <stp>YAS_YLD_CONV=2</stp>
        <tr r="T22" s="7"/>
      </tp>
      <tp>
        <v>15.401922827635417</v>
        <stp/>
        <stp>##V3_BDPV12</stp>
        <stp>912810QX Govt</stp>
        <stp>YAS_RISK</stp>
        <stp>[BondPricer-0.2.xlsm]US_TREASURY_TYPE1!R115C24</stp>
        <stp>YLD_YTM_ASK=3.3203753</stp>
        <stp>YAS_YLD_CONV=3</stp>
        <tr r="X115" s="4"/>
      </tp>
      <tp>
        <v>9.5217878955793367</v>
        <stp/>
        <stp>##V3_BDPV12</stp>
        <stp>EG5864293 Govt</stp>
        <stp>YAS_RISK</stp>
        <stp>[BondPricer-0.2.xlsm]JAPAN_JGB_TYPE51!R91C25</stp>
        <stp>YLD_YTM_ASK=0.0729999999999995</stp>
        <stp>YAS_YLD_CONV=3</stp>
        <tr r="Y91" s="7"/>
      </tp>
      <tp>
        <v>120.46874914785606</v>
        <stp/>
        <stp>##V3_BDPV12</stp>
        <stp>912810QE Govt</stp>
        <stp>YAS_BOND_PX</stp>
        <stp>[BondPricer-0.2.xlsm]US_TREASURY_TYPE1!R105C20</stp>
        <stp>YAS_BOND_YLD=3.2827628</stp>
        <stp>YAS_YLD_CONV=2</stp>
        <tr r="T105" s="4"/>
      </tp>
      <tp>
        <v>94.01599999877854</v>
        <stp/>
        <stp>##V3_BDPV12</stp>
        <stp>AU379648 Corp</stp>
        <stp>YAS_BOND_PX</stp>
        <stp>[BondPricer-0.2.xlsm]UK_GILT_TYPE26!R33C20</stp>
        <stp>YAS_BOND_YLD=2.01506738829025</stp>
        <stp>YAS_YLD_CONV=2</stp>
        <tr r="T33" s="13"/>
      </tp>
      <tp>
        <v>108.56399976519437</v>
        <stp/>
        <stp>##V3_BDPV12</stp>
        <stp>EK109396 Corp</stp>
        <stp>YAS_BOND_PX</stp>
        <stp>[BondPricer-0.2.xlsm]UK_GILT_TYPE26!R13C20</stp>
        <stp>YAS_BOND_YLD=1.23828191602073</stp>
        <stp>YAS_YLD_CONV=2</stp>
        <tr r="T13" s="13"/>
      </tp>
      <tp t="s">
        <v>#N/A Invalid Override</v>
        <stp/>
        <stp>##V3_BDPV12</stp>
        <stp>EJ0489983 Govt</stp>
        <stp>YAS_BOND_YLD</stp>
        <stp>[BondPricer-0.2.xlsm]JAPAN_JGB_TYPE51!R26C31</stp>
        <stp>YAS_BOND_PX=#N/A Requesting Data...</stp>
        <tr r="AE26" s="7"/>
      </tp>
      <tp t="s">
        <v>#N/A Invalid Override</v>
        <stp/>
        <stp>##V3_BDPV12</stp>
        <stp>ED8277235 Govt</stp>
        <stp>YAS_BOND_YLD</stp>
        <stp>[BondPricer-0.2.xlsm]JAPAN_JGB_TYPE51!R61C31</stp>
        <stp>YAS_BOND_PX=#N/A Requesting Data...</stp>
        <tr r="AE61" s="7"/>
      </tp>
      <tp t="s">
        <v>#N/A Invalid Override</v>
        <stp/>
        <stp>##V3_BDPV12</stp>
        <stp>ED9517639 Govt</stp>
        <stp>YAS_BOND_YLD</stp>
        <stp>[BondPricer-0.2.xlsm]JAPAN_JGB_TYPE51!R66C31</stp>
        <stp>YAS_BOND_PX=#N/A Requesting Data...</stp>
        <tr r="AE66" s="7"/>
      </tp>
      <tp t="s">
        <v>#N/A Invalid Override</v>
        <stp/>
        <stp>##V3_BDPV12</stp>
        <stp>EC3680336 Govt</stp>
        <stp>YAS_BOND_YLD</stp>
        <stp>[BondPricer-0.2.xlsm]JAPAN_JGB_TYPE51!R10C31</stp>
        <stp>YAS_BOND_PX=#N/A Requesting Data...</stp>
        <tr r="AE10" s="7"/>
      </tp>
      <tp>
        <v>98.605000000000004</v>
        <stp/>
        <stp>##V3_BDPV12</stp>
        <stp>AL0875834 Corp</stp>
        <stp>YAS_BOND_PX</stp>
        <stp>[BondPricer-0.2.xlsm]AUSTRALIAN_GOVT_TYPE23!R28C22</stp>
        <stp>YAS_BOND_YLD=2.76301220941696</stp>
        <stp>YAS_YLD_CONV=3</stp>
        <tr r="V28" s="9"/>
      </tp>
      <tp t="s">
        <v>#N/A Invalid Override</v>
        <stp/>
        <stp>##V3_BDPV12</stp>
        <stp>EF3295013 Govt</stp>
        <stp>YAS_BOND_YLD</stp>
        <stp>[BondPricer-0.2.xlsm]JAPAN_JGB_TYPE51!R80C31</stp>
        <stp>YAS_BOND_PX=#N/A Requesting Data...</stp>
        <tr r="AE80" s="7"/>
      </tp>
      <tp t="s">
        <v>#N/A Invalid Override</v>
        <stp/>
        <stp>##V3_BDPV12</stp>
        <stp>EJ1749369 Govt</stp>
        <stp>YAS_BOND_YLD</stp>
        <stp>[BondPricer-0.2.xlsm]JAPAN_JGB_TYPE51!R27C31</stp>
        <stp>YAS_BOND_PX=#N/A Requesting Data...</stp>
        <tr r="AE27" s="7"/>
      </tp>
      <tp t="s">
        <v>#N/A Invalid Override</v>
        <stp/>
        <stp>##V3_BDPV12</stp>
        <stp>ED7357210 Govt</stp>
        <stp>YAS_BOND_YLD</stp>
        <stp>[BondPricer-0.2.xlsm]JAPAN_JGB_TYPE51!R62C31</stp>
        <stp>YAS_BOND_PX=#N/A Requesting Data...</stp>
        <tr r="AE62" s="7"/>
      </tp>
      <tp t="s">
        <v>#N/A Invalid Override</v>
        <stp/>
        <stp>##V3_BDPV12</stp>
        <stp>EG0574590 Govt</stp>
        <stp>YAS_BOND_YLD</stp>
        <stp>[BondPricer-0.2.xlsm]JAPAN_JGB_TYPE51!R87C31</stp>
        <stp>YAS_BOND_PX=#N/A Requesting Data...</stp>
        <tr r="AE87" s="7"/>
      </tp>
      <tp t="s">
        <v>#N/A Invalid Override</v>
        <stp/>
        <stp>##V3_BDPV12</stp>
        <stp>EG5864293 Govt</stp>
        <stp>YAS_BOND_YLD</stp>
        <stp>[BondPricer-0.2.xlsm]JAPAN_JGB_TYPE51!R91C31</stp>
        <stp>YAS_BOND_PX=#N/A Requesting Data...</stp>
        <tr r="AE91" s="7"/>
      </tp>
      <tp>
        <v>32.38099998610528</v>
        <stp/>
        <stp>##V3_BDPV12</stp>
        <stp>UV3555355 Govt</stp>
        <stp>PX_ASK</stp>
        <stp>[BondPricer-0.2.xlsm]ITALIAN_BTPS_TYPE523!R163C22</stp>
        <stp>YAS_BOND_YLD=4.36831036991503</stp>
        <stp>YAS_YLD_CONV=1</stp>
        <tr r="V163" s="5"/>
      </tp>
      <tp t="s">
        <v>#N/A Invalid Override</v>
        <stp/>
        <stp>##V3_BDPV12</stp>
        <stp>EJ2679425 Govt</stp>
        <stp>YAS_BOND_YLD</stp>
        <stp>[BondPricer-0.2.xlsm]JAPAN_JGB_TYPE51!R29C31</stp>
        <stp>YAS_BOND_PX=#N/A Requesting Data...</stp>
        <tr r="AE29" s="7"/>
      </tp>
      <tp t="s">
        <v>#N/A Invalid Override</v>
        <stp/>
        <stp>##V3_BDPV12</stp>
        <stp>EJ2679425 Govt</stp>
        <stp>YLD_CMPD_JPN_ASK_NOTRUNC</stp>
        <stp>[BondPricer-0.2.xlsm]JAPAN_JGB_TYPE51!R29C35</stp>
        <stp>PX_ASK=#N/A Requesting Data...</stp>
        <tr r="AI29" s="7"/>
      </tp>
      <tp t="s">
        <v>#N/A Invalid Override</v>
        <stp/>
        <stp>##V3_BDPV12</stp>
        <stp>EI8014132 Govt</stp>
        <stp>YLD_CMPD_JPN_ASK_NOTRUNC</stp>
        <stp>[BondPricer-0.2.xlsm]JAPAN_JGB_TYPE51!R18C35</stp>
        <stp>PX_ASK=#N/A Requesting Data...</stp>
        <tr r="AI18" s="7"/>
      </tp>
      <tp>
        <v>6.2921370503427276</v>
        <stp/>
        <stp>##V3_BDPV12</stp>
        <stp>ED9861136 Govt</stp>
        <stp>YAS_MOD_DUR</stp>
        <stp>[BondPricer-0.2.xlsm]JAPAN_JGB_TYPE51!R70C28</stp>
        <stp>YLD_YTM_ASK=-0.00299999999999979</stp>
        <stp>YAS_YLD_CONV=3</stp>
        <tr r="AB70" s="7"/>
      </tp>
      <tp t="s">
        <v>#N/A Invalid Override</v>
        <stp/>
        <stp>##V3_BDPV12</stp>
        <stp>EC5799480 Govt</stp>
        <stp>YLD_CMPD_JPN_ASK_NOTRUNC</stp>
        <stp>[BondPricer-0.2.xlsm]JAPAN_JGB_TYPE51!R32C35</stp>
        <stp>PX_ASK=#N/A Requesting Data...</stp>
        <tr r="AI32" s="7"/>
      </tp>
      <tp>
        <v>6.2570313261632249</v>
        <stp/>
        <stp>##V3_BDPV12</stp>
        <stp>EF0693129 Govt</stp>
        <stp>YAS_MOD_DUR</stp>
        <stp>[BondPricer-0.2.xlsm]JAPAN_JGB_TYPE51!R68C28</stp>
        <stp>YLD_YTM_ASK=-0.00199999999999926</stp>
        <stp>YAS_YLD_CONV=3</stp>
        <tr r="AB68" s="7"/>
      </tp>
      <tp>
        <v>138.64200000000008</v>
        <stp/>
        <stp>##V3_BDPV12</stp>
        <stp>GG7112335 Govt</stp>
        <stp>YAS_BOND_PX</stp>
        <stp>[BondPricer-0.2.xlsm]FRENCH_BTAN_TYPE89!R36C20</stp>
        <stp>YAS_BOND_YLD=-0.0388283024668626</stp>
        <stp>YAS_YLD_CONV=1</stp>
        <tr r="T36" s="8"/>
      </tp>
      <tp>
        <v>107.249</v>
        <stp/>
        <stp>##V3_BDPV12</stp>
        <stp>EC5472575 Govt</stp>
        <stp>YAS_BOND_PX</stp>
        <stp>[BondPricer-0.2.xlsm]JAPAN_JGB_TYPE51!R28C20</stp>
        <stp>YAS_BOND_SPL_YLD=-0.109</stp>
        <stp>YAS_YLD_CONV=2</stp>
        <tr r="T28" s="7"/>
      </tp>
      <tp>
        <v>15.489095795663133</v>
        <stp/>
        <stp>##V3_BDPV12</stp>
        <stp>912810QY Govt</stp>
        <stp>YAS_RISK</stp>
        <stp>[BondPricer-0.2.xlsm]US_TREASURY_TYPE1!R116C24</stp>
        <stp>YLD_YTM_ASK=3.3233507</stp>
        <stp>YAS_YLD_CONV=3</stp>
        <tr r="X116" s="4"/>
      </tp>
      <tp>
        <v>107.386</v>
        <stp/>
        <stp>##V3_BDPV12</stp>
        <stp>EC6386048 Govt</stp>
        <stp>YAS_BOND_PX</stp>
        <stp>[BondPricer-0.2.xlsm]JAPAN_JGB_TYPE51!R31C20</stp>
        <stp>YAS_BOND_SPL_YLD=-0.102999999999998</stp>
        <stp>YAS_YLD_CONV=2</stp>
        <tr r="T31" s="7"/>
      </tp>
      <tp>
        <v>103.44</v>
        <stp/>
        <stp>##V3_BDPV12</stp>
        <stp>EJ1749369 Govt</stp>
        <stp>YAS_BOND_PX</stp>
        <stp>[BondPricer-0.2.xlsm]JAPAN_JGB_TYPE51!R27C20</stp>
        <stp>YAS_BOND_SPL_YLD=-0.101999999999997</stp>
        <stp>YAS_YLD_CONV=2</stp>
        <tr r="T27" s="7"/>
      </tp>
      <tp>
        <v>114.62500041770868</v>
        <stp/>
        <stp>##V3_BDPV12</stp>
        <stp>912810QB Govt</stp>
        <stp>YAS_BOND_PX</stp>
        <stp>[BondPricer-0.2.xlsm]US_TREASURY_TYPE1!R102C20</stp>
        <stp>YAS_BOND_YLD=3.2681039</stp>
        <stp>YAS_YLD_CONV=2</stp>
        <tr r="T102" s="4"/>
      </tp>
      <tp t="s">
        <v>#N/A Invalid Override</v>
        <stp/>
        <stp>##V3_BDPV12</stp>
        <stp>EG2785954 Govt</stp>
        <stp>YAS_BOND_YLD</stp>
        <stp>[BondPricer-0.2.xlsm]JAPAN_JGB_TYPE51!R90C31</stp>
        <stp>YAS_BOND_PX=#N/A Requesting Data...</stp>
        <tr r="AE90" s="7"/>
      </tp>
      <tp t="s">
        <v>#N/A Invalid Override</v>
        <stp/>
        <stp>##V3_BDPV12</stp>
        <stp>EC3321972 Govt</stp>
        <stp>YAS_BOND_YLD</stp>
        <stp>[BondPricer-0.2.xlsm]JAPAN_JGB_TYPE51!R11C31</stp>
        <stp>YAS_BOND_PX=#N/A Requesting Data...</stp>
        <tr r="AE11" s="7"/>
      </tp>
      <tp>
        <v>7.1435188010738671</v>
        <stp/>
        <stp>##V3_BDPV12</stp>
        <stp>UV7155053 Govt</stp>
        <stp>YAS_RISK</stp>
        <stp>[BondPricer-0.2.xlsm]FRENCH_BTAN_TYPE89!R69C24</stp>
        <stp>YLD_YTM_ASK=0.432660143758812</stp>
        <stp>YAS_YLD_CONV=1</stp>
        <tr r="X69" s="8"/>
      </tp>
      <tp>
        <v>114.40600000000001</v>
        <stp/>
        <stp>##V3_BDPV12</stp>
        <stp>EK4996816 Govt</stp>
        <stp>YAS_BOND_PX</stp>
        <stp>[BondPricer-0.2.xlsm]JAPAN_JGB_TYPE51!R161C20</stp>
        <stp>YAS_BOND_SPL_YLD=0.433000000000001</stp>
        <stp>YAS_YLD_CONV=2</stp>
        <tr r="T161" s="7"/>
      </tp>
      <tp>
        <v>107.20399999999999</v>
        <stp/>
        <stp>##V3_BDPV12</stp>
        <stp>EK2751312 Corp</stp>
        <stp>YAS_BOND_PX</stp>
        <stp>[BondPricer-0.2.xlsm]AUSTRALIAN_GOVT_TYPE23!R27C22</stp>
        <stp>YAS_BOND_YLD=2.60803432057903</stp>
        <stp>YAS_YLD_CONV=3</stp>
        <tr r="V27" s="9"/>
      </tp>
      <tp t="s">
        <v>#N/A Invalid Override</v>
        <stp/>
        <stp>##V3_BDPV12</stp>
        <stp>EC9351635 Govt</stp>
        <stp>YAS_BOND_YLD</stp>
        <stp>[BondPricer-0.2.xlsm]JAPAN_JGB_TYPE51!R40C31</stp>
        <stp>YAS_BOND_PX=#N/A Requesting Data...</stp>
        <tr r="AE40" s="7"/>
      </tp>
      <tp>
        <v>104.745</v>
        <stp/>
        <stp>##V3_BDPV12</stp>
        <stp>EJ6791309 Corp</stp>
        <stp>YAS_BOND_PX</stp>
        <stp>[BondPricer-0.2.xlsm]AUSTRALIAN_GOVT_TYPE23!R31C22</stp>
        <stp>YAS_BOND_YLD=2.45703786432855</stp>
        <stp>YAS_YLD_CONV=3</stp>
        <tr r="V31" s="9"/>
      </tp>
      <tp>
        <v>7.7761193986468413</v>
        <stp/>
        <stp>##V3_BDPV12</stp>
        <stp>QZ3583536 Govt</stp>
        <stp>YAS_RISK</stp>
        <stp>[BondPricer-0.2.xlsm]FRENCH_BTAN_TYPE89!R80C24</stp>
        <stp>YLD_YTM_ASK=0.585266836557533</stp>
        <stp>YAS_YLD_CONV=1</stp>
        <tr r="X80" s="8"/>
      </tp>
      <tp>
        <v>132.67099999999999</v>
        <stp/>
        <stp>##V3_BDPV12</stp>
        <stp>EF5597655 Govt</stp>
        <stp>YAS_BOND_PX</stp>
        <stp>[BondPricer-0.2.xlsm]JAPAN_JGB_TYPE51!R176C20</stp>
        <stp>YAS_BOND_SPL_YLD=0.490999999999999</stp>
        <stp>YAS_YLD_CONV=2</stp>
        <tr r="T176" s="7"/>
      </tp>
      <tp>
        <v>129.977</v>
        <stp/>
        <stp>##V3_BDPV12</stp>
        <stp>EI6037572 Govt</stp>
        <stp>YAS_BOND_PX</stp>
        <stp>[BondPricer-0.2.xlsm]JAPAN_JGB_TYPE51!R190C20</stp>
        <stp>YAS_BOND_SPL_YLD=0.664000000000001</stp>
        <stp>YAS_YLD_CONV=2</stp>
        <tr r="T190" s="7"/>
      </tp>
      <tp t="s">
        <v>#N/A Invalid Override</v>
        <stp/>
        <stp>##V3_BDPV12</stp>
        <stp>EK3119055 Govt</stp>
        <stp>YAS_BOND_YLD</stp>
        <stp>[BondPricer-0.2.xlsm]JAPAN_JGB_TYPE51!R54C31</stp>
        <stp>YAS_BOND_PX=#N/A Requesting Data...</stp>
        <tr r="AE54" s="7"/>
      </tp>
      <tp t="s">
        <v>#N/A Invalid Override</v>
        <stp/>
        <stp>##V3_BDPV12</stp>
        <stp>EF2594176 Govt</stp>
        <stp>YAS_BOND_YLD</stp>
        <stp>[BondPricer-0.2.xlsm]JAPAN_JGB_TYPE51!R76C31</stp>
        <stp>YAS_BOND_PX=#N/A Requesting Data...</stp>
        <tr r="AE76" s="7"/>
      </tp>
      <tp t="s">
        <v>#N/A Invalid Override</v>
        <stp/>
        <stp>##V3_BDPV12</stp>
        <stp>ED4356637 Govt</stp>
        <stp>YAS_BOND_YLD</stp>
        <stp>[BondPricer-0.2.xlsm]JAPAN_JGB_TYPE51!R52C31</stp>
        <stp>YAS_BOND_PX=#N/A Requesting Data...</stp>
        <tr r="AE52" s="7"/>
      </tp>
      <tp>
        <v>32.598999973164531</v>
        <stp/>
        <stp>##V3_BDPV12</stp>
        <stp>UV3555405 Govt</stp>
        <stp>PX_ASK</stp>
        <stp>[BondPricer-0.2.xlsm]ITALIAN_BTPS_TYPE523!R164C22</stp>
        <stp>YAS_BOND_YLD=4.25928102402502</stp>
        <stp>YAS_YLD_CONV=1</stp>
        <tr r="V164" s="5"/>
      </tp>
      <tp>
        <v>121.098</v>
        <stp/>
        <stp>##V3_BDPV12</stp>
        <stp>EI6535294 Govt</stp>
        <stp>YAS_BOND_PX</stp>
        <stp>[BondPricer-0.2.xlsm]JAPAN_JGB_TYPE51!R126C20</stp>
        <stp>YAS_BOND_SPL_YLD=0.249000000000001</stp>
        <stp>YAS_YLD_CONV=2</stp>
        <tr r="T126" s="7"/>
      </tp>
      <tp>
        <v>16.977524815759182</v>
        <stp/>
        <stp>##V3_BDPV12</stp>
        <stp>912810QH Govt</stp>
        <stp>YAS_RISK</stp>
        <stp>[BondPricer-0.2.xlsm]US_TREASURY_TYPE1!R106C24</stp>
        <stp>YLD_YTM_ASK=3.287994</stp>
        <stp>YAS_YLD_CONV=3</stp>
        <tr r="X106" s="4"/>
      </tp>
      <tp t="s">
        <v>#N/A Invalid Override</v>
        <stp/>
        <stp>##V3_BDPV12</stp>
        <stp>ED4832348 Govt</stp>
        <stp>YLD_CMPD_JPN_ASK_NOTRUNC</stp>
        <stp>[BondPricer-0.2.xlsm]JAPAN_JGB_TYPE51!R51C35</stp>
        <stp>PX_ASK=#N/A Requesting Data...</stp>
        <tr r="AI51" s="7"/>
      </tp>
      <tp t="s">
        <v>#N/A Invalid Override</v>
        <stp/>
        <stp>##V3_BDPV12</stp>
        <stp>EC5472575 Govt</stp>
        <stp>YLD_CMPD_JPN_ASK_NOTRUNC</stp>
        <stp>[BondPricer-0.2.xlsm]JAPAN_JGB_TYPE51!R28C35</stp>
        <stp>PX_ASK=#N/A Requesting Data...</stp>
        <tr r="AI28" s="7"/>
      </tp>
      <tp t="s">
        <v>#N/A Invalid Override</v>
        <stp/>
        <stp>##V3_BDPV12</stp>
        <stp>EJ1749369 Govt</stp>
        <stp>YLD_CMPD_JPN_ASK_NOTRUNC</stp>
        <stp>[BondPricer-0.2.xlsm]JAPAN_JGB_TYPE51!R27C35</stp>
        <stp>PX_ASK=#N/A Requesting Data...</stp>
        <tr r="AI27" s="7"/>
      </tp>
      <tp t="s">
        <v>#N/A Invalid Override</v>
        <stp/>
        <stp>##V3_BDPV12</stp>
        <stp>EF3295013 Govt</stp>
        <stp>YLD_CMPD_JPN_ASK_NOTRUNC</stp>
        <stp>[BondPricer-0.2.xlsm]JAPAN_JGB_TYPE51!R80C35</stp>
        <stp>PX_ASK=#N/A Requesting Data...</stp>
        <tr r="AI80" s="7"/>
      </tp>
      <tp t="s">
        <v>#N/A Invalid Override</v>
        <stp/>
        <stp>##V3_BDPV12</stp>
        <stp>EI9594942 Govt</stp>
        <stp>YLD_CMPD_JPN_ASK_NOTRUNC</stp>
        <stp>[BondPricer-0.2.xlsm]JAPAN_JGB_TYPE51!R21C35</stp>
        <stp>PX_ASK=#N/A Requesting Data...</stp>
        <tr r="AI21" s="7"/>
      </tp>
      <tp t="s">
        <v>#N/A Invalid Override</v>
        <stp/>
        <stp>##V3_BDPV12</stp>
        <stp>EK4690054 Govt</stp>
        <stp>YLD_CMPD_JPN_ASK_NOTRUNC</stp>
        <stp>[BondPricer-0.2.xlsm]JAPAN_JGB_TYPE51!R57C35</stp>
        <stp>PX_ASK=#N/A Requesting Data...</stp>
        <tr r="AI57" s="7"/>
      </tp>
      <tp>
        <v>9.443914306715584</v>
        <stp/>
        <stp>##V3_BDPV12</stp>
        <stp>EG7807761 Govt</stp>
        <stp>YAS_RISK</stp>
        <stp>[BondPricer-0.2.xlsm]JAPAN_JGB_TYPE51!R92C25</stp>
        <stp>YLD_YTM_ASK=0.0720000000000012</stp>
        <stp>YAS_YLD_CONV=3</stp>
        <tr r="Y92" s="7"/>
      </tp>
      <tp>
        <v>140.3499999999884</v>
        <stp/>
        <stp>##V3_BDPV12</stp>
        <stp>EI291005 Corp</stp>
        <stp>YAS_BOND_PX</stp>
        <stp>[BondPricer-0.2.xlsm]UK_GILT_TYPE26!R27C20</stp>
        <stp>YAS_BOND_YLD=1.98820271080695</stp>
        <stp>YAS_YLD_CONV=2</stp>
        <tr r="T27" s="13"/>
      </tp>
      <tp>
        <v>146.51099989708123</v>
        <stp/>
        <stp>##V3_BDPV12</stp>
        <stp>ED422520 Corp</stp>
        <stp>YAS_BOND_PX</stp>
        <stp>[BondPricer-0.2.xlsm]UK_GILT_TYPE26!R25C20</stp>
        <stp>YAS_BOND_YLD=1.94725986094168</stp>
        <stp>YAS_YLD_CONV=2</stp>
        <tr r="T25" s="13"/>
      </tp>
      <tp t="s">
        <v>#N/A Invalid Override</v>
        <stp/>
        <stp>##V3_BDPV12</stp>
        <stp>ED9861136 Govt</stp>
        <stp>YAS_BOND_YLD</stp>
        <stp>[BondPricer-0.2.xlsm]JAPAN_JGB_TYPE51!R70C31</stp>
        <stp>YAS_BOND_PX=#N/A Requesting Data...</stp>
        <tr r="AE70" s="7"/>
      </tp>
      <tp>
        <v>3.0632526802847337</v>
        <stp/>
        <stp>##V3_BDPV12</stp>
        <stp>EI0428751 Govt</stp>
        <stp>YAS_RISK</stp>
        <stp>[BondPricer-0.2.xlsm]FRENCH_BTAN_TYPE89!R18C24</stp>
        <stp>YLD_YTM_ASK=-0.33721971266758</stp>
        <stp>YAS_YLD_CONV=1</stp>
        <tr r="X18" s="8"/>
      </tp>
      <tp t="s">
        <v>#N/A Invalid Override</v>
        <stp/>
        <stp>##V3_BDPV12</stp>
        <stp>EC7836876 Govt</stp>
        <stp>YAS_BOND_YLD</stp>
        <stp>[BondPricer-0.2.xlsm]JAPAN_JGB_TYPE51!R37C31</stp>
        <stp>YAS_BOND_PX=#N/A Requesting Data...</stp>
        <tr r="AE37" s="7"/>
      </tp>
      <tp t="s">
        <v>#N/A Invalid Override</v>
        <stp/>
        <stp>##V3_BDPV12</stp>
        <stp>EF0693129 Govt</stp>
        <stp>YAS_BOND_YLD</stp>
        <stp>[BondPricer-0.2.xlsm]JAPAN_JGB_TYPE51!R68C31</stp>
        <stp>YAS_BOND_PX=#N/A Requesting Data...</stp>
        <tr r="AE68" s="7"/>
      </tp>
      <tp t="s">
        <v>#N/A Invalid Override</v>
        <stp/>
        <stp>##V3_BDPV12</stp>
        <stp>EF7153796 Govt</stp>
        <stp>YAS_BOND_YLD</stp>
        <stp>[BondPricer-0.2.xlsm]JAPAN_JGB_TYPE51!R86C31</stp>
        <stp>YAS_BOND_PX=#N/A Requesting Data...</stp>
        <tr r="AE86" s="7"/>
      </tp>
      <tp t="s">
        <v>#N/A Invalid Override</v>
        <stp/>
        <stp>##V3_BDPV12</stp>
        <stp>EF5003670 Govt</stp>
        <stp>YAS_BOND_YLD</stp>
        <stp>[BondPricer-0.2.xlsm]JAPAN_JGB_TYPE51!R82C31</stp>
        <stp>YAS_BOND_PX=#N/A Requesting Data...</stp>
        <tr r="AE82" s="7"/>
      </tp>
      <tp>
        <v>99.569000000000003</v>
        <stp/>
        <stp>##V3_BDPV12</stp>
        <stp>EK8553563 Corp</stp>
        <stp>YAS_BOND_PX</stp>
        <stp>[BondPricer-0.2.xlsm]AUSTRALIAN_GOVT_TYPE23!R30C22</stp>
        <stp>YAS_BOND_YLD=2.82298654169903</stp>
        <stp>YAS_YLD_CONV=3</stp>
        <tr r="V30" s="9"/>
      </tp>
      <tp t="s">
        <v>#N/A Invalid Override</v>
        <stp/>
        <stp>##V3_BDPV12</stp>
        <stp>AM7968010 Govt</stp>
        <stp>YAS_BOND_YLD</stp>
        <stp>[BondPricer-0.2.xlsm]JAPAN_JGB_TYPE51!R25C31</stp>
        <stp>YAS_BOND_PX=#N/A Requesting Data...</stp>
        <tr r="AE25" s="7"/>
      </tp>
      <tp t="s">
        <v>#N/A Invalid Override</v>
        <stp/>
        <stp>##V3_BDPV12</stp>
        <stp>ED5111288 Govt</stp>
        <stp>YAS_BOND_YLD</stp>
        <stp>[BondPricer-0.2.xlsm]JAPAN_JGB_TYPE51!R55C31</stp>
        <stp>YAS_BOND_PX=#N/A Requesting Data...</stp>
        <tr r="AE55" s="7"/>
      </tp>
      <tp t="s">
        <v>#N/A Invalid Override</v>
        <stp/>
        <stp>##V3_BDPV12</stp>
        <stp>EF7943063 Govt</stp>
        <stp>YAS_BOND_YLD</stp>
        <stp>[BondPricer-0.2.xlsm]JAPAN_JGB_TYPE51!R85C31</stp>
        <stp>YAS_BOND_PX=#N/A Requesting Data...</stp>
        <tr r="AE85" s="7"/>
      </tp>
      <tp t="s">
        <v>#N/A Invalid Override</v>
        <stp/>
        <stp>##V3_BDPV12</stp>
        <stp>EC6386048 Govt</stp>
        <stp>YAS_BOND_YLD</stp>
        <stp>[BondPricer-0.2.xlsm]JAPAN_JGB_TYPE51!R31C31</stp>
        <stp>YAS_BOND_PX=#N/A Requesting Data...</stp>
        <tr r="AE31" s="7"/>
      </tp>
      <tp>
        <v>26.560352508064966</v>
        <stp/>
        <stp>##V3_BDPV12</stp>
        <stp>EJ1358112 Govt</stp>
        <stp>YAS_RISK</stp>
        <stp>[BondPricer-0.2.xlsm]GERMAN_BUND_TYPE60!R35C24</stp>
        <stp>YLD_YTM_ASK=1.04811086700724</stp>
        <stp>YAS_YLD_CONV=1</stp>
        <tr r="X35" s="6"/>
      </tp>
      <tp t="s">
        <v>#N/A Invalid Override</v>
        <stp/>
        <stp>##V3_BDPV12</stp>
        <stp>EJ0489983 Govt</stp>
        <stp>YLD_CMPD_JPN_ASK_NOTRUNC</stp>
        <stp>[BondPricer-0.2.xlsm]JAPAN_JGB_TYPE51!R26C35</stp>
        <stp>PX_ASK=#N/A Requesting Data...</stp>
        <tr r="AI26" s="7"/>
      </tp>
      <tp t="s">
        <v>#N/A Invalid Override</v>
        <stp/>
        <stp>##V3_BDPV12</stp>
        <stp>EG3969052 Govt</stp>
        <stp>YLD_CMPD_JPN_ASK_NOTRUNC</stp>
        <stp>[BondPricer-0.2.xlsm]JAPAN_JGB_TYPE51!R89C35</stp>
        <stp>PX_ASK=#N/A Requesting Data...</stp>
        <tr r="AI89" s="7"/>
      </tp>
      <tp t="s">
        <v>#N/A Invalid Override</v>
        <stp/>
        <stp>##V3_BDPV12</stp>
        <stp>AH0082315 Govt</stp>
        <stp>YLD_CMPD_JPN_ASK_NOTRUNC</stp>
        <stp>[BondPricer-0.2.xlsm]JAPAN_JGB_TYPE51!R74C35</stp>
        <stp>PX_ASK=#N/A Requesting Data...</stp>
        <tr r="AI74" s="7"/>
      </tp>
      <tp>
        <v>17.531203300201526</v>
        <stp/>
        <stp>##V3_BDPV12</stp>
        <stp>912810QQ Govt</stp>
        <stp>YAS_RISK</stp>
        <stp>[BondPricer-0.2.xlsm]US_TREASURY_TYPE1!R110C24</stp>
        <stp>YLD_YTM_ASK=3.300976</stp>
        <stp>YAS_YLD_CONV=3</stp>
        <tr r="X110" s="4"/>
      </tp>
      <tp>
        <v>15.752654277822842</v>
        <stp/>
        <stp>##V3_BDPV12</stp>
        <stp>912810QT Govt</stp>
        <stp>YAS_RISK</stp>
        <stp>[BondPricer-0.2.xlsm]US_TREASURY_TYPE1!R112C24</stp>
        <stp>YLD_YTM_ASK=3.3088568</stp>
        <stp>YAS_YLD_CONV=3</stp>
        <tr r="X112" s="4"/>
      </tp>
      <tp>
        <v>103.255</v>
        <stp/>
        <stp>##V3_BDPV12</stp>
        <stp>EI8332047 Govt</stp>
        <stp>YAS_BOND_PX</stp>
        <stp>[BondPricer-0.2.xlsm]JAPAN_JGB_TYPE51!R17C20</stp>
        <stp>YAS_BOND_SPL_YLD=-0.108999999999997</stp>
        <stp>YAS_YLD_CONV=2</stp>
        <tr r="T17" s="7"/>
      </tp>
      <tp>
        <v>91.984375244551913</v>
        <stp/>
        <stp>##V3_BDPV12</stp>
        <stp>912810RN Govt</stp>
        <stp>YAS_BOND_PX</stp>
        <stp>[BondPricer-0.2.xlsm]US_TREASURY_TYPE1!R127C20</stp>
        <stp>YAS_BOND_YLD=3.3289308</stp>
        <stp>YAS_YLD_CONV=2</stp>
        <tr r="T127" s="4"/>
      </tp>
      <tp>
        <v>107.21875045862546</v>
        <stp/>
        <stp>##V3_BDPV12</stp>
        <stp>912810RD Govt</stp>
        <stp>YAS_BOND_PX</stp>
        <stp>[BondPricer-0.2.xlsm]US_TREASURY_TYPE1!R120C20</stp>
        <stp>YAS_BOND_YLD=3.3233832</stp>
        <stp>YAS_YLD_CONV=2</stp>
        <tr r="T120" s="4"/>
      </tp>
      <tp>
        <v>105.06249931422845</v>
        <stp/>
        <stp>##V3_BDPV12</stp>
        <stp>912810RC Govt</stp>
        <stp>YAS_BOND_PX</stp>
        <stp>[BondPricer-0.2.xlsm]US_TREASURY_TYPE1!R119C20</stp>
        <stp>YAS_BOND_YLD=3.3237542</stp>
        <stp>YAS_YLD_CONV=2</stp>
        <tr r="T119" s="4"/>
      </tp>
      <tp>
        <v>99.224000000000004</v>
        <stp/>
        <stp>##V3_BDPV12</stp>
        <stp>AM6907472 Corp</stp>
        <stp>YAS_BOND_PX</stp>
        <stp>[BondPricer-0.2.xlsm]AUSTRALIAN_GOVT_TYPE23!R42C22</stp>
        <stp>YAS_BOND_YLD=3.09997233719218</stp>
        <stp>YAS_YLD_CONV=3</stp>
        <tr r="V42" s="9"/>
      </tp>
      <tp>
        <v>106.364</v>
        <stp/>
        <stp>##V3_BDPV12</stp>
        <stp>EJ6195758 Corp</stp>
        <stp>YAS_BOND_PX</stp>
        <stp>[BondPricer-0.2.xlsm]AUSTRALIAN_GOVT_TYPE23!R13C22</stp>
        <stp>YAS_BOND_YLD=2.33698993207162</stp>
        <stp>YAS_YLD_CONV=3</stp>
        <tr r="V13" s="9"/>
      </tp>
      <tp t="s">
        <v>#N/A Invalid Override</v>
        <stp/>
        <stp>##V3_BDPV12</stp>
        <stp>EG8573362 Govt</stp>
        <stp>YAS_BOND_YLD</stp>
        <stp>[BondPricer-0.2.xlsm]JAPAN_JGB_TYPE51!R93C31</stp>
        <stp>YAS_BOND_PX=#N/A Requesting Data...</stp>
        <tr r="AE93" s="7"/>
      </tp>
      <tp>
        <v>111.196</v>
        <stp/>
        <stp>##V3_BDPV12</stp>
        <stp>EK8137466 Govt</stp>
        <stp>YAS_BOND_PX</stp>
        <stp>[BondPricer-0.2.xlsm]JAPAN_JGB_TYPE51!R165C20</stp>
        <stp>YAS_BOND_SPL_YLD=0.465999999999999</stp>
        <stp>YAS_YLD_CONV=2</stp>
        <tr r="T165" s="7"/>
      </tp>
      <tp>
        <v>107.791</v>
        <stp/>
        <stp>##V3_BDPV12</stp>
        <stp>EK1791483 Corp</stp>
        <stp>YAS_BOND_PX</stp>
        <stp>[BondPricer-0.2.xlsm]AUSTRALIAN_GOVT_TYPE23!R24C22</stp>
        <stp>YAS_BOND_YLD=2.60601043331407</stp>
        <stp>YAS_YLD_CONV=3</stp>
        <tr r="V24" s="9"/>
      </tp>
      <tp t="s">
        <v>#N/A Invalid Override</v>
        <stp/>
        <stp>##V3_BDPV12</stp>
        <stp>EF6592994 Govt</stp>
        <stp>YAS_BOND_YLD</stp>
        <stp>[BondPricer-0.2.xlsm]JAPAN_JGB_TYPE51!R83C31</stp>
        <stp>YAS_BOND_PX=#N/A Requesting Data...</stp>
        <tr r="AE83" s="7"/>
      </tp>
      <tp t="s">
        <v>#N/A Invalid Override</v>
        <stp/>
        <stp>##V3_BDPV12</stp>
        <stp>ED8660810 Govt</stp>
        <stp>YAS_BOND_YLD</stp>
        <stp>[BondPricer-0.2.xlsm]JAPAN_JGB_TYPE51!R64C31</stp>
        <stp>YAS_BOND_PX=#N/A Requesting Data...</stp>
        <tr r="AE64" s="7"/>
      </tp>
      <tp t="s">
        <v>#N/A Invalid Override</v>
        <stp/>
        <stp>##V3_BDPV12</stp>
        <stp>EF1062381 Govt</stp>
        <stp>YAS_BOND_YLD</stp>
        <stp>[BondPricer-0.2.xlsm]JAPAN_JGB_TYPE51!R72C31</stp>
        <stp>YAS_BOND_PX=#N/A Requesting Data...</stp>
        <tr r="AE72" s="7"/>
      </tp>
      <tp t="s">
        <v>#N/A Invalid Override</v>
        <stp/>
        <stp>##V3_BDPV12</stp>
        <stp>EC4877683 Govt</stp>
        <stp>YAS_BOND_YLD</stp>
        <stp>[BondPricer-0.2.xlsm]JAPAN_JGB_TYPE51!R24C31</stp>
        <stp>YAS_BOND_PX=#N/A Requesting Data...</stp>
        <tr r="AE24" s="7"/>
      </tp>
      <tp t="s">
        <v>#N/A Invalid Override</v>
        <stp/>
        <stp>##V3_BDPV12</stp>
        <stp>ED1010344 Govt</stp>
        <stp>YAS_BOND_YLD</stp>
        <stp>[BondPricer-0.2.xlsm]JAPAN_JGB_TYPE51!R43C31</stp>
        <stp>YAS_BOND_PX=#N/A Requesting Data...</stp>
        <tr r="AE43" s="7"/>
      </tp>
      <tp t="s">
        <v>#N/A Invalid Override</v>
        <stp/>
        <stp>##V3_BDPV12</stp>
        <stp>EF3812189 Govt</stp>
        <stp>YAS_BOND_YLD</stp>
        <stp>[BondPricer-0.2.xlsm]JAPAN_JGB_TYPE51!R78C31</stp>
        <stp>YAS_BOND_PX=#N/A Requesting Data...</stp>
        <tr r="AE78" s="7"/>
      </tp>
      <tp t="s">
        <v>#N/A Invalid Override</v>
        <stp/>
        <stp>##V3_BDPV12</stp>
        <stp>ED5910010 Govt</stp>
        <stp>YAS_BOND_YLD</stp>
        <stp>[BondPricer-0.2.xlsm]JAPAN_JGB_TYPE51!R56C31</stp>
        <stp>YAS_BOND_PX=#N/A Requesting Data...</stp>
        <tr r="AE56" s="7"/>
      </tp>
      <tp t="s">
        <v>#N/A Invalid Override</v>
        <stp/>
        <stp>##V3_BDPV12</stp>
        <stp>ED6160219 Govt</stp>
        <stp>YAS_BOND_YLD</stp>
        <stp>[BondPricer-0.2.xlsm]JAPAN_JGB_TYPE51!R58C31</stp>
        <stp>YAS_BOND_PX=#N/A Requesting Data...</stp>
        <tr r="AE58" s="7"/>
      </tp>
      <tp>
        <v>100.22499999999999</v>
        <stp/>
        <stp>##V3_BDPV12</stp>
        <stp>AP3642968 Corp</stp>
        <stp>YAS_BOND_PX</stp>
        <stp>[BondPricer-0.2.xlsm]AUSTRALIAN_GOVT_TYPE23!R18C22</stp>
        <stp>YAS_BOND_YLD=2.19201187986942</stp>
        <stp>YAS_YLD_CONV=3</stp>
        <tr r="V18" s="9"/>
      </tp>
      <tp t="s">
        <v>#N/A Invalid Override</v>
        <stp/>
        <stp>##V3_BDPV12</stp>
        <stp>EC7067035 Govt</stp>
        <stp>YAS_BOND_YLD</stp>
        <stp>[BondPricer-0.2.xlsm]JAPAN_JGB_TYPE51!R34C31</stp>
        <stp>YAS_BOND_PX=#N/A Requesting Data...</stp>
        <tr r="AE34" s="7"/>
      </tp>
      <tp>
        <v>106.946</v>
        <stp/>
        <stp>##V3_BDPV12</stp>
        <stp>EI7993450 Corp</stp>
        <stp>YAS_BOND_PX</stp>
        <stp>[BondPricer-0.2.xlsm]AUSTRALIAN_GOVT_TYPE23!R9C22</stp>
        <stp>YAS_BOND_YLD=2.22683790700587</stp>
        <stp>YAS_YLD_CONV=3</stp>
        <tr r="V9" s="9"/>
      </tp>
      <tp t="s">
        <v>#N/A Invalid Override</v>
        <stp/>
        <stp>##V3_BDPV12</stp>
        <stp>ED5111288 Govt</stp>
        <stp>YLD_CMPD_JPN_ASK_NOTRUNC</stp>
        <stp>[BondPricer-0.2.xlsm]JAPAN_JGB_TYPE51!R55C35</stp>
        <stp>PX_ASK=#N/A Requesting Data...</stp>
        <tr r="AI55" s="7"/>
      </tp>
      <tp t="s">
        <v>#N/A Invalid Override</v>
        <stp/>
        <stp>##V3_BDPV12</stp>
        <stp>EF0357980 Govt</stp>
        <stp>YLD_CMPD_JPN_ASK_NOTRUNC</stp>
        <stp>[BondPricer-0.2.xlsm]JAPAN_JGB_TYPE51!R69C35</stp>
        <stp>PX_ASK=#N/A Requesting Data...</stp>
        <tr r="AI69" s="7"/>
      </tp>
      <tp t="s">
        <v>#N/A Invalid Override</v>
        <stp/>
        <stp>##V3_BDPV12</stp>
        <stp>EG2785954 Govt</stp>
        <stp>YLD_CMPD_JPN_ASK_NOTRUNC</stp>
        <stp>[BondPricer-0.2.xlsm]JAPAN_JGB_TYPE51!R90C35</stp>
        <stp>PX_ASK=#N/A Requesting Data...</stp>
        <tr r="AI90" s="7"/>
      </tp>
      <tp t="s">
        <v>#N/A Invalid Override</v>
        <stp/>
        <stp>##V3_BDPV12</stp>
        <stp>EJ5801505 Govt</stp>
        <stp>YLD_CMPD_JPN_ASK_NOTRUNC</stp>
        <stp>[BondPricer-0.2.xlsm]JAPAN_JGB_TYPE51!R39C35</stp>
        <stp>PX_ASK=#N/A Requesting Data...</stp>
        <tr r="AI39" s="7"/>
      </tp>
      <tp t="s">
        <v>#N/A Invalid Override</v>
        <stp/>
        <stp>##V3_BDPV12</stp>
        <stp>EH1313798 Govt</stp>
        <stp>YLD_CMPD_JPN_ASK_NOTRUNC</stp>
        <stp>[BondPricer-0.2.xlsm]JAPAN_JGB_TYPE51!R95C35</stp>
        <stp>PX_ASK=#N/A Requesting Data...</stp>
        <tr r="AI95" s="7"/>
      </tp>
      <tp>
        <v>100.35499999999986</v>
        <stp/>
        <stp>##V3_BDPV12</stp>
        <stp>EK3918563 Govt</stp>
        <stp>YAS_BOND_PX</stp>
        <stp>[BondPricer-0.2.xlsm]FRENCH_BTAN_TYPE89!R34C20</stp>
        <stp>YAS_BOND_YLD=-0.0862506728008361</stp>
        <stp>YAS_YLD_CONV=1</stp>
        <tr r="T34" s="8"/>
      </tp>
      <tp>
        <v>15.736227510406309</v>
        <stp/>
        <stp>##V3_BDPV12</stp>
        <stp>912810QW Govt</stp>
        <stp>YAS_RISK</stp>
        <stp>[BondPricer-0.2.xlsm]US_TREASURY_TYPE1!R114C24</stp>
        <stp>YLD_YTM_ASK=3.3168191</stp>
        <stp>YAS_YLD_CONV=3</stp>
        <tr r="X114" s="4"/>
      </tp>
      <tp>
        <v>7.7186577411289647</v>
        <stp/>
        <stp>##V3_BDPV12</stp>
        <stp>EF2594176 Govt</stp>
        <stp>YAS_RISK</stp>
        <stp>[BondPricer-0.2.xlsm]JAPAN_JGB_TYPE51!R76C25</stp>
        <stp>YLD_YTM_ASK=0.0120000000000017</stp>
        <stp>YAS_YLD_CONV=3</stp>
        <tr r="Y76" s="7"/>
      </tp>
      <tp>
        <v>136.07399992047198</v>
        <stp/>
        <stp>##V3_BDPV12</stp>
        <stp>EH867755 Corp</stp>
        <stp>YAS_BOND_PX</stp>
        <stp>[BondPricer-0.2.xlsm]UK_GILT_TYPE26!R22C20</stp>
        <stp>YAS_BOND_YLD=1.86623668092469</stp>
        <stp>YAS_YLD_CONV=2</stp>
        <tr r="T22" s="13"/>
      </tp>
      <tp>
        <v>94.706000000000003</v>
        <stp/>
        <stp>##V3_BDPV12</stp>
        <stp>QZ8542552 Corp</stp>
        <stp>YAS_BOND_PX</stp>
        <stp>[BondPricer-0.2.xlsm]AUSTRALIAN_GOVT_TYPE23!R63C22</stp>
        <stp>YAS_BOND_YLD=3.30012463828751</stp>
        <stp>YAS_YLD_CONV=3</stp>
        <tr r="V63" s="9"/>
      </tp>
      <tp>
        <v>100.73</v>
        <stp/>
        <stp>##V3_BDPV12</stp>
        <stp>JV3198662 Corp</stp>
        <stp>YAS_BOND_PX</stp>
        <stp>[BondPricer-0.2.xlsm]AUSTRALIAN_GOVT_TYPE23!R44C22</stp>
        <stp>YAS_BOND_YLD=2.65899293319141</stp>
        <stp>YAS_YLD_CONV=3</stp>
        <tr r="V44" s="9"/>
      </tp>
      <tp>
        <v>120.136</v>
        <stp/>
        <stp>##V3_BDPV12</stp>
        <stp>EI7138619 Govt</stp>
        <stp>YAS_BOND_PX</stp>
        <stp>[BondPricer-0.2.xlsm]JAPAN_JGB_TYPE51!R129C20</stp>
        <stp>YAS_BOND_SPL_YLD=0.258999999999999</stp>
        <stp>YAS_YLD_CONV=2</stp>
        <tr r="T129" s="7"/>
      </tp>
      <tp>
        <v>112.43</v>
        <stp/>
        <stp>##V3_BDPV12</stp>
        <stp>EC9870790 Corp</stp>
        <stp>YAS_BOND_PX</stp>
        <stp>[BondPricer-0.2.xlsm]AUSTRALIAN_GOVT_TYPE23!R10C22</stp>
        <stp>YAS_BOND_YLD=2.29883169740607</stp>
        <stp>YAS_YLD_CONV=3</stp>
        <tr r="V10" s="9"/>
      </tp>
      <tp t="s">
        <v>#N/A Invalid Override</v>
        <stp/>
        <stp>##V3_BDPV12</stp>
        <stp>ED2593686 Govt</stp>
        <stp>YAS_BOND_YLD</stp>
        <stp>[BondPricer-0.2.xlsm]JAPAN_JGB_TYPE51!R49C31</stp>
        <stp>YAS_BOND_PX=#N/A Requesting Data...</stp>
        <tr r="AE49" s="7"/>
      </tp>
      <tp t="s">
        <v>#N/A Invalid Override</v>
        <stp/>
        <stp>##V3_BDPV12</stp>
        <stp>EI8951218 Govt</stp>
        <stp>YLD_CMPD_JPN_ASK_NOTRUNC</stp>
        <stp>[BondPricer-0.2.xlsm]JAPAN_JGB_TYPE51!R22C35</stp>
        <stp>PX_ASK=#N/A Requesting Data...</stp>
        <tr r="AI22" s="7"/>
      </tp>
      <tp>
        <v>2.6563898943123831</v>
        <stp/>
        <stp>##V3_BDPV12</stp>
        <stp>9128282F Govt</stp>
        <stp>YAS_RISK</stp>
        <stp>[BondPricer-0.2.xlsm]US_TREASURY_TYPE1!R23C24</stp>
        <stp>YLD_YTM_ASK=2.9174576</stp>
        <stp>YAS_YLD_CONV=3</stp>
        <tr r="X23" s="4"/>
      </tp>
      <tp>
        <v>100.32699999999971</v>
        <stp/>
        <stp>##V3_BDPV12</stp>
        <stp>GG7190232 Govt</stp>
        <stp>YAS_BOND_PX</stp>
        <stp>[BondPricer-0.2.xlsm]FRENCH_BTAN_TYPE89!R32C20</stp>
        <stp>YAS_BOND_YLD=-0.0811389167108767</stp>
        <stp>YAS_YLD_CONV=1</stp>
        <tr r="T32" s="8"/>
      </tp>
      <tp>
        <v>16.246922807351893</v>
        <stp/>
        <stp>##V3_BDPV12</stp>
        <stp>912810QZ Govt</stp>
        <stp>YAS_RISK</stp>
        <stp>[BondPricer-0.2.xlsm]US_TREASURY_TYPE1!R117C24</stp>
        <stp>YLD_YTM_ASK=3.3234789</stp>
        <stp>YAS_YLD_CONV=3</stp>
        <tr r="X117" s="4"/>
      </tp>
      <tp>
        <v>8.3410987666482583</v>
        <stp/>
        <stp>##V3_BDPV12</stp>
        <stp>EF6592994 Govt</stp>
        <stp>YAS_RISK</stp>
        <stp>[BondPricer-0.2.xlsm]JAPAN_JGB_TYPE51!R83C25</stp>
        <stp>YLD_YTM_ASK=0.0320000000000006</stp>
        <stp>YAS_YLD_CONV=3</stp>
        <tr r="Y83" s="7"/>
      </tp>
      <tp>
        <v>103.548</v>
        <stp/>
        <stp>##V3_BDPV12</stp>
        <stp>EI8014132 Govt</stp>
        <stp>YAS_BOND_PX</stp>
        <stp>[BondPricer-0.2.xlsm]JAPAN_JGB_TYPE51!R18C20</stp>
        <stp>YAS_BOND_SPL_YLD=-0.109000000000001</stp>
        <stp>YAS_YLD_CONV=2</stp>
        <tr r="T18" s="7"/>
      </tp>
      <tp>
        <v>8.8780626831038489</v>
        <stp/>
        <stp>##V3_BDPV12</stp>
        <stp>EG0574590 Govt</stp>
        <stp>YAS_RISK</stp>
        <stp>[BondPricer-0.2.xlsm]JAPAN_JGB_TYPE51!R87C25</stp>
        <stp>YLD_YTM_ASK=0.0520000000000023</stp>
        <stp>YAS_YLD_CONV=3</stp>
        <tr r="Y87" s="7"/>
      </tp>
      <tp>
        <v>8.0546527660857237</v>
        <stp/>
        <stp>##V3_BDPV12</stp>
        <stp>EF4527968 Govt</stp>
        <stp>YAS_RISK</stp>
        <stp>[BondPricer-0.2.xlsm]JAPAN_JGB_TYPE51!R79C25</stp>
        <stp>YLD_YTM_ASK=0.0210000000000009</stp>
        <stp>YAS_YLD_CONV=3</stp>
        <tr r="Y79" s="7"/>
      </tp>
      <tp>
        <v>7.745485685472886</v>
        <stp/>
        <stp>##V3_BDPV12</stp>
        <stp>EF2077933 Govt</stp>
        <stp>YAS_RISK</stp>
        <stp>[BondPricer-0.2.xlsm]JAPAN_JGB_TYPE51!R75C25</stp>
        <stp>YLD_YTM_ASK=0.0130000000000013</stp>
        <stp>YAS_YLD_CONV=3</stp>
        <tr r="Y75" s="7"/>
      </tp>
      <tp>
        <v>116.56249922406862</v>
        <stp/>
        <stp>##V3_BDPV12</stp>
        <stp>912810QD Govt</stp>
        <stp>YAS_BOND_PX</stp>
        <stp>[BondPricer-0.2.xlsm]US_TREASURY_TYPE1!R104C20</stp>
        <stp>YAS_BOND_YLD=3.2803081</stp>
        <stp>YAS_YLD_CONV=2</stp>
        <tr r="T104" s="4"/>
      </tp>
      <tp>
        <v>100.07899999999999</v>
        <stp/>
        <stp>##V3_BDPV12</stp>
        <stp>JV9205164 Corp</stp>
        <stp>YAS_BOND_PX</stp>
        <stp>[BondPricer-0.2.xlsm]AUSTRALIAN_GOVT_TYPE23!R37C22</stp>
        <stp>YAS_BOND_YLD=2.98804566984636</stp>
        <stp>YAS_YLD_CONV=3</stp>
        <tr r="V37" s="9"/>
      </tp>
      <tp t="s">
        <v>#N/A Invalid Override</v>
        <stp/>
        <stp>##V3_BDPV12</stp>
        <stp>EC5195879 Govt</stp>
        <stp>YAS_BOND_YLD</stp>
        <stp>[BondPricer-0.2.xlsm]JAPAN_JGB_TYPE51!R23C31</stp>
        <stp>YAS_BOND_PX=#N/A Requesting Data...</stp>
        <tr r="AE23" s="7"/>
      </tp>
      <tp>
        <v>100.535</v>
        <stp/>
        <stp>##V3_BDPV12</stp>
        <stp>AM5647400 Corp</stp>
        <stp>YAS_BOND_PX</stp>
        <stp>[BondPricer-0.2.xlsm]AUSTRALIAN_GOVT_TYPE23!R48C22</stp>
        <stp>YAS_BOND_YLD=2.68902273356955</stp>
        <stp>YAS_YLD_CONV=3</stp>
        <tr r="V48" s="9"/>
      </tp>
      <tp>
        <v>100.831</v>
        <stp/>
        <stp>##V3_BDPV12</stp>
        <stp>AM1708602 Corp</stp>
        <stp>YAS_BOND_PX</stp>
        <stp>[BondPricer-0.2.xlsm]AUSTRALIAN_GOVT_TYPE23!R12C22</stp>
        <stp>YAS_BOND_YLD=1.93893753447242</stp>
        <stp>YAS_YLD_CONV=3</stp>
        <tr r="V12" s="9"/>
      </tp>
      <tp>
        <v>111.291</v>
        <stp/>
        <stp>##V3_BDPV12</stp>
        <stp>EK6660931 Govt</stp>
        <stp>YAS_BOND_PX</stp>
        <stp>[BondPricer-0.2.xlsm]JAPAN_JGB_TYPE51!R163C20</stp>
        <stp>YAS_BOND_SPL_YLD=0.450999999999999</stp>
        <stp>YAS_YLD_CONV=2</stp>
        <tr r="T163" s="7"/>
      </tp>
      <tp>
        <v>113.241</v>
        <stp/>
        <stp>##V3_BDPV12</stp>
        <stp>EJ8955977 Corp</stp>
        <stp>YAS_BOND_PX</stp>
        <stp>[BondPricer-0.2.xlsm]AUSTRALIAN_GOVT_TYPE23!R33C22</stp>
        <stp>YAS_BOND_YLD=2.83497810335585</stp>
        <stp>YAS_YLD_CONV=3</stp>
        <tr r="V33" s="9"/>
      </tp>
      <tp>
        <v>102.02500000000001</v>
        <stp/>
        <stp>##V3_BDPV12</stp>
        <stp>EJ2445694 Corp</stp>
        <stp>YAS_BOND_PX</stp>
        <stp>[BondPricer-0.2.xlsm]AUSTRALIAN_GOVT_TYPE23!R25C22</stp>
        <stp>YAS_BOND_YLD=2.35604450630056</stp>
        <stp>YAS_YLD_CONV=3</stp>
        <tr r="V25" s="9"/>
      </tp>
      <tp t="s">
        <v>#N/A Invalid Override</v>
        <stp/>
        <stp>##V3_BDPV12</stp>
        <stp>EC4285754 Govt</stp>
        <stp>YAS_BOND_YLD</stp>
        <stp>[BondPricer-0.2.xlsm]JAPAN_JGB_TYPE51!R15C31</stp>
        <stp>YAS_BOND_PX=#N/A Requesting Data...</stp>
        <tr r="AE15" s="7"/>
      </tp>
      <tp>
        <v>118.233</v>
        <stp/>
        <stp>##V3_BDPV12</stp>
        <stp>EJ2397945 Govt</stp>
        <stp>YAS_BOND_PX</stp>
        <stp>[BondPricer-0.2.xlsm]JAPAN_JGB_TYPE51!R142C20</stp>
        <stp>YAS_BOND_SPL_YLD=0.309999999999999</stp>
        <stp>YAS_YLD_CONV=2</stp>
        <tr r="T142" s="7"/>
      </tp>
      <tp t="s">
        <v>#N/A Invalid Override</v>
        <stp/>
        <stp>##V3_BDPV12</stp>
        <stp>ED4832348 Govt</stp>
        <stp>YAS_BOND_YLD</stp>
        <stp>[BondPricer-0.2.xlsm]JAPAN_JGB_TYPE51!R51C31</stp>
        <stp>YAS_BOND_PX=#N/A Requesting Data...</stp>
        <tr r="AE51" s="7"/>
      </tp>
      <tp>
        <v>101.774</v>
        <stp/>
        <stp>##V3_BDPV12</stp>
        <stp>JV7193115 Corp</stp>
        <stp>YAS_BOND_PX</stp>
        <stp>[BondPricer-0.2.xlsm]AUSTRALIAN_GOVT_TYPE23!R45C22</stp>
        <stp>YAS_BOND_YLD=2.66755110308787</stp>
        <stp>YAS_YLD_CONV=3</stp>
        <tr r="V45" s="9"/>
      </tp>
      <tp>
        <v>111.72</v>
        <stp/>
        <stp>##V3_BDPV12</stp>
        <stp>EJ6773588 Corp</stp>
        <stp>YAS_BOND_PX</stp>
        <stp>[BondPricer-0.2.xlsm]AUSTRALIAN_GOVT_TYPE23!R8C22</stp>
        <stp>YAS_BOND_YLD=2.03016090314518</stp>
        <stp>YAS_YLD_CONV=3</stp>
        <tr r="V8" s="9"/>
      </tp>
      <tp t="s">
        <v>#N/A Invalid Override</v>
        <stp/>
        <stp>##V3_BDPV12</stp>
        <stp>EF6592994 Govt</stp>
        <stp>YLD_CMPD_JPN_ASK_NOTRUNC</stp>
        <stp>[BondPricer-0.2.xlsm]JAPAN_JGB_TYPE51!R83C35</stp>
        <stp>PX_ASK=#N/A Requesting Data...</stp>
        <tr r="AI83" s="7"/>
      </tp>
      <tp t="s">
        <v>#N/A Invalid Override</v>
        <stp/>
        <stp>##V3_BDPV12</stp>
        <stp>EC4603477 Govt</stp>
        <stp>YLD_CMPD_JPN_ASK_NOTRUNC</stp>
        <stp>[BondPricer-0.2.xlsm]JAPAN_JGB_TYPE51!R19C35</stp>
        <stp>PX_ASK=#N/A Requesting Data...</stp>
        <tr r="AI19" s="7"/>
      </tp>
      <tp t="s">
        <v>#N/A Invalid Override</v>
        <stp/>
        <stp>##V3_BDPV12</stp>
        <stp>ED9517639 Govt</stp>
        <stp>YLD_CMPD_JPN_ASK_NOTRUNC</stp>
        <stp>[BondPricer-0.2.xlsm]JAPAN_JGB_TYPE51!R66C35</stp>
        <stp>PX_ASK=#N/A Requesting Data...</stp>
        <tr r="AI66" s="7"/>
      </tp>
      <tp t="s">
        <v>#N/A Invalid Override</v>
        <stp/>
        <stp>##V3_BDPV12</stp>
        <stp>EC3680336 Govt</stp>
        <stp>YLD_CMPD_JPN_ASK_NOTRUNC</stp>
        <stp>[BondPricer-0.2.xlsm]JAPAN_JGB_TYPE51!R10C35</stp>
        <stp>PX_ASK=#N/A Requesting Data...</stp>
        <tr r="AI10" s="7"/>
      </tp>
      <tp t="s">
        <v>#N/A Invalid Override</v>
        <stp/>
        <stp>##V3_BDPV12</stp>
        <stp>EH4237085 Govt</stp>
        <stp>YLD_CMPD_JPN_ASK_NOTRUNC</stp>
        <stp>[BondPricer-0.2.xlsm]JAPAN_JGB_TYPE51!R98C35</stp>
        <stp>PX_ASK=#N/A Requesting Data...</stp>
        <tr r="AI98" s="7"/>
      </tp>
      <tp t="s">
        <v>#N/A Invalid Override</v>
        <stp/>
        <stp>##V3_BDPV12</stp>
        <stp>EJ3490954 Govt</stp>
        <stp>YLD_CMPD_JPN_ASK_NOTRUNC</stp>
        <stp>[BondPricer-0.2.xlsm]JAPAN_JGB_TYPE51!R33C35</stp>
        <stp>PX_ASK=#N/A Requesting Data...</stp>
        <tr r="AI33" s="7"/>
      </tp>
      <tp t="s">
        <v>#N/A Invalid Override</v>
        <stp/>
        <stp>##V3_BDPV12</stp>
        <stp>EH0633659 Govt</stp>
        <stp>YLD_CMPD_JPN_ASK_NOTRUNC</stp>
        <stp>[BondPricer-0.2.xlsm]JAPAN_JGB_TYPE51!R94C35</stp>
        <stp>PX_ASK=#N/A Requesting Data...</stp>
        <tr r="AI94" s="7"/>
      </tp>
      <tp>
        <v>6.4581017778984062</v>
        <stp/>
        <stp>##V3_BDPV12</stp>
        <stp>9128282A Govt</stp>
        <stp>YAS_RISK</stp>
        <stp>[BondPricer-0.2.xlsm]US_TREASURY_TYPE1!R83C24</stp>
        <stp>YLD_YTM_ASK=3.1235071</stp>
        <stp>YAS_YLD_CONV=3</stp>
        <tr r="X83" s="4"/>
      </tp>
      <tp>
        <v>31.965887890049778</v>
        <stp/>
        <stp>##V3_BDPV12</stp>
        <stp>JK8068229 Govt</stp>
        <stp>DUR_ADJ_ASK</stp>
        <stp>[BondPricer-0.2.xlsm]FRENCH_BTAN_TYPE89!R208C27</stp>
        <stp>YLD_YTM_ASK=</stp>
        <stp>YAS_YLD_CONV=1</stp>
        <tr r="AA208" s="8"/>
      </tp>
      <tp>
        <v>2.4766634072719285</v>
        <stp/>
        <stp>##V3_BDPV12</stp>
        <stp>EI5952292 Govt</stp>
        <stp>YAS_RISK</stp>
        <stp>[BondPricer-0.2.xlsm]JAPAN_JGB_TYPE51!R9C25</stp>
        <stp>YLD_YTM_ASK=-0.12</stp>
        <stp>YAS_YLD_CONV=3</stp>
        <tr r="Y9" s="7"/>
      </tp>
      <tp>
        <v>158.0120000004475</v>
        <stp/>
        <stp>##V3_BDPV12</stp>
        <stp>EH8786723 Govt</stp>
        <stp>YAS_BOND_PX</stp>
        <stp>[BondPricer-0.2.xlsm]FRENCH_BTAN_TYPE89!R169C20</stp>
        <stp>YAS_BOND_YLD=1.4587782392609</stp>
        <stp>YAS_YLD_CONV=1</stp>
        <tr r="T169" s="8"/>
      </tp>
      <tp>
        <v>158.0120000004475</v>
        <stp/>
        <stp>##V3_BDPV12</stp>
        <stp>EH8786723 Govt</stp>
        <stp>YAS_BOND_PX</stp>
        <stp>[BondPricer-0.2.xlsm]FRENCH_BTAN_TYPE89!R173C20</stp>
        <stp>YAS_BOND_YLD=1.4587782392609</stp>
        <stp>YAS_YLD_CONV=1</stp>
        <tr r="T173" s="8"/>
      </tp>
      <tp>
        <v>158.0120000004475</v>
        <stp/>
        <stp>##V3_BDPV12</stp>
        <stp>EH8786723 Govt</stp>
        <stp>YAS_BOND_PX</stp>
        <stp>[BondPricer-0.2.xlsm]FRENCH_BTAN_TYPE89!R174C20</stp>
        <stp>YAS_BOND_YLD=1.4587782392609</stp>
        <stp>YAS_YLD_CONV=1</stp>
        <tr r="T174" s="8"/>
      </tp>
      <tp>
        <v>0.18379455325709579</v>
        <stp/>
        <stp>##V3_BDPV12</stp>
        <stp>EJ9139449 Govt</stp>
        <stp>YLD_YTM_ASK</stp>
        <stp>[BondPricer-0.2.xlsm]FRENCH_BTAN_TYPE89!R54C13</stp>
        <tr r="M54" s="8"/>
      </tp>
      <tp>
        <v>0.18379455325709579</v>
        <stp/>
        <stp>##V3_BDPV12</stp>
        <stp>EJ9139449 Govt</stp>
        <stp>YLD_YTM_ASK</stp>
        <stp>[BondPricer-0.2.xlsm]FRENCH_BTAN_TYPE89!R51C13</stp>
        <tr r="M51" s="8"/>
      </tp>
      <tp>
        <v>0.18379455325709579</v>
        <stp/>
        <stp>##V3_BDPV12</stp>
        <stp>EJ9139449 Govt</stp>
        <stp>YLD_YTM_ASK</stp>
        <stp>[BondPricer-0.2.xlsm]FRENCH_BTAN_TYPE89!R53C13</stp>
        <tr r="M53" s="8"/>
      </tp>
      <tp>
        <v>30.025551453456213</v>
        <stp/>
        <stp>##V3_BDPV12</stp>
        <stp>JK8068120 Govt</stp>
        <stp>DUR_ADJ_ASK</stp>
        <stp>[BondPricer-0.2.xlsm]FRENCH_BTAN_TYPE89!R202C27</stp>
        <stp>YLD_YTM_ASK=</stp>
        <stp>YAS_YLD_CONV=1</stp>
        <tr r="AA202" s="8"/>
      </tp>
      <tp>
        <v>55.836000000000169</v>
        <stp/>
        <stp>##V3_BDPV12</stp>
        <stp>JK8068120 Govt</stp>
        <stp>YAS_BOND_PX</stp>
        <stp>[BondPricer-0.2.xlsm]FRENCH_BTAN_TYPE89!R202C20</stp>
        <stp>YAS_BOND_YLD=1.9224921198453</stp>
        <stp>YAS_YLD_CONV=1</stp>
        <tr r="T202" s="8"/>
      </tp>
      <tp>
        <v>4.6035244053676649</v>
        <stp/>
        <stp>##V3_BDPV12</stp>
        <stp>EJ6177897 Govt</stp>
        <stp>YAS_RISK</stp>
        <stp>[BondPricer-0.2.xlsm]FRENCH_BTAN_TYPE89!R41C24</stp>
        <stp>YLD_YTM_ASK=-0.00304140751813398</stp>
        <stp>YAS_YLD_CONV=1</stp>
        <tr r="X41" s="8"/>
      </tp>
      <tp>
        <v>17.094000002802787</v>
        <stp/>
        <stp>##V3_BDPV12</stp>
        <stp>AN2025442 Govt</stp>
        <stp>PX_ASK</stp>
        <stp>[BondPricer-0.2.xlsm]ITALIAN_BTPS_TYPE523!R204C22</stp>
        <stp>YAS_BOND_YLD=3.9258316137059</stp>
        <stp>YAS_YLD_CONV=1</stp>
        <tr r="V204" s="5"/>
      </tp>
      <tp>
        <v>22.192654250009841</v>
        <stp/>
        <stp>##V3_BDPV12</stp>
        <stp>EH8794248 Govt</stp>
        <stp>DUR_ADJ_ASK</stp>
        <stp>[BondPricer-0.2.xlsm]FRENCH_BTAN_TYPE89!R171C27</stp>
        <stp>YLD_YTM_ASK=</stp>
        <stp>YAS_YLD_CONV=1</stp>
        <tr r="AA171" s="8"/>
      </tp>
      <tp>
        <v>20.212158779792489</v>
        <stp/>
        <stp>##V3_BDPV12</stp>
        <stp>EI0431672 Govt</stp>
        <stp>DUR_ADJ_ASK</stp>
        <stp>[BondPricer-0.2.xlsm]FRENCH_BTAN_TYPE89!R163C27</stp>
        <stp>YLD_YTM_ASK=</stp>
        <stp>YAS_YLD_CONV=1</stp>
        <tr r="AA163" s="8"/>
      </tp>
      <tp>
        <v>11.897606078351032</v>
        <stp/>
        <stp>##V3_BDPV12</stp>
        <stp>EI0429072 Govt</stp>
        <stp>DUR_ADJ_ASK</stp>
        <stp>[BondPricer-0.2.xlsm]FRENCH_BTAN_TYPE89!R108C27</stp>
        <stp>YLD_YTM_ASK=</stp>
        <stp>YAS_YLD_CONV=1</stp>
        <tr r="AA108" s="8"/>
      </tp>
      <tp>
        <v>29.960932734395943</v>
        <stp/>
        <stp>##V3_BDPV12</stp>
        <stp>EI0432472 Govt</stp>
        <stp>DUR_ADJ_ASK</stp>
        <stp>[BondPricer-0.2.xlsm]FRENCH_BTAN_TYPE89!R200C27</stp>
        <stp>YLD_YTM_ASK=</stp>
        <stp>YAS_YLD_CONV=1</stp>
        <tr r="AA200" s="8"/>
      </tp>
      <tp>
        <v>12.385738114008197</v>
        <stp/>
        <stp>##V3_BDPV12</stp>
        <stp>EI0429270 Govt</stp>
        <stp>DUR_ADJ_ASK</stp>
        <stp>[BondPricer-0.2.xlsm]FRENCH_BTAN_TYPE89!R110C27</stp>
        <stp>YLD_YTM_ASK=</stp>
        <stp>YAS_YLD_CONV=1</stp>
        <tr r="AA110" s="8"/>
      </tp>
      <tp>
        <v>18.304490684049313</v>
        <stp/>
        <stp>##V3_BDPV12</stp>
        <stp>AL9974240 Govt</stp>
        <stp>YAS_RISK</stp>
        <stp>[BondPricer-0.2.xlsm]FRENCH_BTAN_TYPE89!R165C24</stp>
        <stp>YLD_YTM_ASK=1.4508295832051</stp>
        <stp>YAS_YLD_CONV=1</stp>
        <tr r="X165" s="8"/>
      </tp>
      <tp>
        <v>24.109423228322516</v>
        <stp/>
        <stp>##V3_BDPV12</stp>
        <stp>EI0432076 Govt</stp>
        <stp>DUR_ADJ_ASK</stp>
        <stp>[BondPricer-0.2.xlsm]FRENCH_BTAN_TYPE89!R179C27</stp>
        <stp>YLD_YTM_ASK=</stp>
        <stp>YAS_YLD_CONV=1</stp>
        <tr r="AA179" s="8"/>
      </tp>
      <tp>
        <v>17.772297935586014</v>
        <stp/>
        <stp>##V3_BDPV12</stp>
        <stp>EI0430476 Govt</stp>
        <stp>DUR_ADJ_ASK</stp>
        <stp>[BondPricer-0.2.xlsm]FRENCH_BTAN_TYPE89!R148C27</stp>
        <stp>YLD_YTM_ASK=</stp>
        <stp>YAS_YLD_CONV=1</stp>
        <tr r="AA148" s="8"/>
      </tp>
      <tp>
        <v>10.503087271206368</v>
        <stp/>
        <stp>##V3_BDPV12</stp>
        <stp>EI0429072 Govt</stp>
        <stp>YAS_RISK</stp>
        <stp>[BondPricer-0.2.xlsm]FRENCH_BTAN_TYPE89!R108C24</stp>
        <stp>YLD_YTM_ASK=1.0425913148193</stp>
        <stp>YAS_YLD_CONV=1</stp>
        <tr r="X108" s="8"/>
      </tp>
      <tp>
        <v>27.036208756578493</v>
        <stp/>
        <stp>##V3_BDPV12</stp>
        <stp>EI0432274 Govt</stp>
        <stp>DUR_ADJ_ASK</stp>
        <stp>[BondPricer-0.2.xlsm]FRENCH_BTAN_TYPE89!R191C27</stp>
        <stp>YLD_YTM_ASK=</stp>
        <stp>YAS_YLD_CONV=1</stp>
        <tr r="AA191" s="8"/>
      </tp>
      <tp>
        <v>32.986477930230272</v>
        <stp/>
        <stp>##V3_BDPV12</stp>
        <stp>ED8389402 Govt</stp>
        <stp>DUR_ADJ_ASK</stp>
        <stp>[BondPricer-0.2.xlsm]FRENCH_BTAN_TYPE89!R210C27</stp>
        <stp>YLD_YTM_ASK=</stp>
        <stp>YAS_YLD_CONV=1</stp>
        <tr r="AA210" s="8"/>
      </tp>
      <tp>
        <v>15.817483196003144</v>
        <stp/>
        <stp>##V3_BDPV12</stp>
        <stp>EI0430278 Govt</stp>
        <stp>DUR_ADJ_ASK</stp>
        <stp>[BondPricer-0.2.xlsm]FRENCH_BTAN_TYPE89!R133C27</stp>
        <stp>YLD_YTM_ASK=</stp>
        <stp>YAS_YLD_CONV=1</stp>
        <tr r="AA133" s="8"/>
      </tp>
      <tp>
        <v>22.173779842557231</v>
        <stp/>
        <stp>##V3_BDPV12</stp>
        <stp>ED8388602 Govt</stp>
        <stp>DUR_ADJ_ASK</stp>
        <stp>[BondPricer-0.2.xlsm]FRENCH_BTAN_TYPE89!R172C27</stp>
        <stp>YLD_YTM_ASK=</stp>
        <stp>YAS_YLD_CONV=1</stp>
        <tr r="AA172" s="8"/>
      </tp>
      <tp>
        <v>35.858572618098769</v>
        <stp/>
        <stp>##V3_BDPV12</stp>
        <stp>JK8068435 Govt</stp>
        <stp>DUR_ADJ_ASK</stp>
        <stp>[BondPricer-0.2.xlsm]FRENCH_BTAN_TYPE89!R222C27</stp>
        <stp>YLD_YTM_ASK=</stp>
        <stp>YAS_YLD_CONV=1</stp>
        <tr r="AA222" s="8"/>
      </tp>
      <tp>
        <v>56.869999999999955</v>
        <stp/>
        <stp>##V3_BDPV12</stp>
        <stp>EI0432472 Govt</stp>
        <stp>YAS_BOND_PX</stp>
        <stp>[BondPricer-0.2.xlsm]FRENCH_BTAN_TYPE89!R200C20</stp>
        <stp>YAS_BOND_YLD=1.8664578259258</stp>
        <stp>YAS_YLD_CONV=1</stp>
        <tr r="T200" s="8"/>
      </tp>
      <tp>
        <v>26.089699348796017</v>
        <stp/>
        <stp>##V3_BDPV12</stp>
        <stp>ED8389006 Govt</stp>
        <stp>DUR_ADJ_ASK</stp>
        <stp>[BondPricer-0.2.xlsm]FRENCH_BTAN_TYPE89!R186C27</stp>
        <stp>YLD_YTM_ASK=</stp>
        <stp>YAS_YLD_CONV=1</stp>
        <tr r="AA186" s="8"/>
      </tp>
      <tp>
        <v>3.5288520477060104</v>
        <stp/>
        <stp>##V3_BDPV12</stp>
        <stp>EH728200 Corp</stp>
        <stp>YAS_RISK</stp>
        <stp>[BondPricer-0.2.xlsm]UK_GILT_TYPE26!R8C24</stp>
        <stp>YLD_YTM_ASK=0.936947485316396</stp>
        <stp>YAS_YLD_CONV=3</stp>
        <tr r="X8" s="13"/>
      </tp>
      <tp>
        <v>3.5187399750810755</v>
        <stp/>
        <stp>##V3_BDPV12</stp>
        <stp>GG7182585 Govt</stp>
        <stp>YAS_RISK</stp>
        <stp>[BondPricer-0.2.xlsm]FRENCH_BTAN_TYPE89!R26C24</stp>
        <stp>YLD_YTM_ASK=0.0113647864268929</stp>
        <stp>YAS_YLD_CONV=1</stp>
        <tr r="X26" s="8"/>
      </tp>
      <tp>
        <v>119.035</v>
        <stp/>
        <stp>##V3_BDPV12</stp>
        <stp>EI8131969 Govt</stp>
        <stp>YAS_BOND_PX</stp>
        <stp>[BondPricer-0.2.xlsm]JAPAN_JGB_TYPE51!R131C20</stp>
        <stp>YAS_BOND_SPL_YLD=0.275</stp>
        <stp>YAS_YLD_CONV=2</stp>
        <tr r="T131" s="7"/>
      </tp>
      <tp>
        <v>4.4734364650373948</v>
        <stp/>
        <stp>##V3_BDPV12</stp>
        <stp>912828T9 Govt</stp>
        <stp>YAS_RISK</stp>
        <stp>[BondPricer-0.2.xlsm]US_TREASURY_TYPE1!R64C24</stp>
        <stp>YLD_YTM_ASK=3.00918</stp>
        <stp>YAS_YLD_CONV=3</stp>
        <tr r="X64" s="4"/>
      </tp>
      <tp>
        <v>5.0978272435548719</v>
        <stp/>
        <stp>##V3_BDPV12</stp>
        <stp>EK0378027 Govt</stp>
        <stp>DUR_ADJ_ASK</stp>
        <stp>[BondPricer-0.2.xlsm]GERMAN_BUND_TYPE60!R17C27</stp>
        <stp>YLD_YTM_ASK=-0.0655741869147272</stp>
        <stp>YAS_YLD_CONV=1</stp>
        <tr r="AA17" s="6"/>
      </tp>
      <tp>
        <v>46.264999998961557</v>
        <stp/>
        <stp>##V3_BDPV12</stp>
        <stp>EH2420832 Govt</stp>
        <stp>PX_ASK</stp>
        <stp>[BondPricer-0.2.xlsm]ITALIAN_BTPS_TYPE523!R136C22</stp>
        <stp>YAS_BOND_YLD=4.0765131075795</stp>
        <stp>YAS_YLD_CONV=1</stp>
        <tr r="V136" s="5"/>
      </tp>
      <tp>
        <v>2.8899398000000001</v>
        <stp/>
        <stp>##V3_BDPV12</stp>
        <stp>912828N8 Govt</stp>
        <stp>YLD_YTM_ASK</stp>
        <stp>[BondPricer-0.2.xlsm]US_TREASURY_TYPE1!R7C13</stp>
        <tr r="M7" s="4"/>
      </tp>
      <tp>
        <v>5.6854737149390813</v>
        <stp/>
        <stp>##V3_BDPV12</stp>
        <stp>EK4694379 Govt</stp>
        <stp>DUR_ADJ_ASK</stp>
        <stp>[BondPricer-0.2.xlsm]GERMAN_BUND_TYPE60!R19C27</stp>
        <stp>YLD_YTM_ASK=0.00670419076857581</stp>
        <stp>YAS_YLD_CONV=1</stp>
        <tr r="AA19" s="6"/>
      </tp>
      <tp>
        <v>40.739456755771144</v>
        <stp/>
        <stp>##V3_BDPV12</stp>
        <stp>JK8069003 Govt</stp>
        <stp>DUR_ADJ_ASK</stp>
        <stp>[BondPricer-0.2.xlsm]FRENCH_BTAN_TYPE89!R233C27</stp>
        <stp>YLD_YTM_ASK=</stp>
        <stp>YAS_YLD_CONV=1</stp>
        <tr r="AA233" s="8"/>
      </tp>
      <tp>
        <v>34.886594877394849</v>
        <stp/>
        <stp>##V3_BDPV12</stp>
        <stp>JK8068302 Govt</stp>
        <stp>DUR_ADJ_ASK</stp>
        <stp>[BondPricer-0.2.xlsm]FRENCH_BTAN_TYPE89!R217C27</stp>
        <stp>YLD_YTM_ASK=</stp>
        <stp>YAS_YLD_CONV=1</stp>
        <tr r="AA217" s="8"/>
      </tp>
      <tp>
        <v>16.787529794474793</v>
        <stp/>
        <stp>##V3_BDPV12</stp>
        <stp>EF6782173 Govt</stp>
        <stp>DUR_ADJ_ASK</stp>
        <stp>[BondPricer-0.2.xlsm]FRENCH_BTAN_TYPE89!R141C27</stp>
        <stp>YLD_YTM_ASK=</stp>
        <stp>YAS_YLD_CONV=1</stp>
        <tr r="AA141" s="8"/>
      </tp>
      <tp>
        <v>12.190474557394992</v>
        <stp/>
        <stp>##V3_BDPV12</stp>
        <stp>EF6781894 Govt</stp>
        <stp>YAS_RISK</stp>
        <stp>[BondPricer-0.2.xlsm]FRENCH_BTAN_TYPE89!R129C24</stp>
        <stp>YLD_YTM_ASK=1.3120970504187</stp>
        <stp>YAS_YLD_CONV=1</stp>
        <tr r="X129" s="8"/>
      </tp>
      <tp>
        <v>10.155882679322056</v>
        <stp/>
        <stp>##V3_BDPV12</stp>
        <stp>EK2432749 Govt</stp>
        <stp>DUR_ADJ_ASK</stp>
        <stp>[BondPricer-0.2.xlsm]FRENCH_BTAN_TYPE89!R106C27</stp>
        <stp>YLD_YTM_ASK=</stp>
        <stp>YAS_YLD_CONV=1</stp>
        <tr r="AA106" s="8"/>
      </tp>
      <tp>
        <v>13.362013178940822</v>
        <stp/>
        <stp>##V3_BDPV12</stp>
        <stp>ED3948798 Govt</stp>
        <stp>DUR_ADJ_ASK</stp>
        <stp>[BondPricer-0.2.xlsm]FRENCH_BTAN_TYPE89!R119C27</stp>
        <stp>YLD_YTM_ASK=</stp>
        <stp>YAS_YLD_CONV=1</stp>
        <tr r="AA119" s="8"/>
      </tp>
      <tp>
        <v>119.253</v>
        <stp/>
        <stp>##V3_BDPV12</stp>
        <stp>EJ0014849 Govt</stp>
        <stp>YAS_BOND_PX</stp>
        <stp>[BondPricer-0.2.xlsm]JAPAN_JGB_TYPE51!R134C20</stp>
        <stp>YAS_BOND_SPL_YLD=0.284</stp>
        <stp>YAS_YLD_CONV=2</stp>
        <tr r="T134" s="7"/>
      </tp>
      <tp>
        <v>119.809</v>
        <stp/>
        <stp>##V3_BDPV12</stp>
        <stp>EJ5659150 Govt</stp>
        <stp>YAS_BOND_PX</stp>
        <stp>[BondPricer-0.2.xlsm]JAPAN_JGB_TYPE51!R145C20</stp>
        <stp>YAS_BOND_SPL_YLD=0.336</stp>
        <stp>YAS_YLD_CONV=2</stp>
        <tr r="T145" s="7"/>
      </tp>
      <tp>
        <v>119.83499999999999</v>
        <stp/>
        <stp>##V3_BDPV12</stp>
        <stp>EC7486078 Govt</stp>
        <stp>YAS_BOND_PX</stp>
        <stp>[BondPricer-0.2.xlsm]JAPAN_JGB_TYPE51!R144C20</stp>
        <stp>YAS_BOND_SPL_YLD=0.328</stp>
        <stp>YAS_YLD_CONV=2</stp>
        <tr r="T144" s="7"/>
      </tp>
      <tp>
        <v>119.375</v>
        <stp/>
        <stp>##V3_BDPV12</stp>
        <stp>EH5622715 Govt</stp>
        <stp>YAS_BOND_PX</stp>
        <stp>[BondPricer-0.2.xlsm]JAPAN_JGB_TYPE51!R101C20</stp>
        <stp>YAS_BOND_SPL_YLD=0.124</stp>
        <stp>YAS_YLD_CONV=2</stp>
        <tr r="T101" s="7"/>
      </tp>
      <tp>
        <v>7.8117608580155951</v>
        <stp/>
        <stp>##V3_BDPV12</stp>
        <stp>EG3969052 Govt</stp>
        <stp>YAS_MOD_DUR</stp>
        <stp>[BondPricer-0.2.xlsm]JAPAN_JGB_TYPE51!R89C28</stp>
        <stp>YLD_YTM_ASK=0.0619999999999995</stp>
        <stp>YAS_YLD_CONV=3</stp>
        <tr r="AB89" s="7"/>
      </tp>
      <tp>
        <v>8.2163879425347659</v>
        <stp/>
        <stp>##V3_BDPV12</stp>
        <stp>EG8573362 Govt</stp>
        <stp>YAS_MOD_DUR</stp>
        <stp>[BondPricer-0.2.xlsm]JAPAN_JGB_TYPE51!R93C28</stp>
        <stp>YLD_YTM_ASK=0.0830000000000003</stp>
        <stp>YAS_YLD_CONV=3</stp>
        <tr r="AB93" s="7"/>
      </tp>
      <tp>
        <v>6.9445897598334065</v>
        <stp/>
        <stp>##V3_BDPV12</stp>
        <stp>EF3295013 Govt</stp>
        <stp>YAS_MOD_DUR</stp>
        <stp>[BondPricer-0.2.xlsm]JAPAN_JGB_TYPE51!R80C28</stp>
        <stp>YLD_YTM_ASK=0.0219999999999983</stp>
        <stp>YAS_YLD_CONV=3</stp>
        <tr r="AB80" s="7"/>
      </tp>
      <tp>
        <v>44.8069999987773</v>
        <stp/>
        <stp>##V3_BDPV12</stp>
        <stp>EH2420956 Govt</stp>
        <stp>PX_ASK</stp>
        <stp>[BondPricer-0.2.xlsm]ITALIAN_BTPS_TYPE523!R137C22</stp>
        <stp>YAS_BOND_YLD=4.1392861813043</stp>
        <stp>YAS_YLD_CONV=1</stp>
        <tr r="V137" s="5"/>
      </tp>
      <tp>
        <v>20.556000000161511</v>
        <stp/>
        <stp>##V3_BDPV12</stp>
        <stp>AN2017233 Govt</stp>
        <stp>PX_ASK</stp>
        <stp>[BondPricer-0.2.xlsm]ITALIAN_BTPS_TYPE523!R192C22</stp>
        <stp>YAS_BOND_YLD=4.0471242534204</stp>
        <stp>YAS_YLD_CONV=1</stp>
        <tr r="V192" s="5"/>
      </tp>
      <tp>
        <v>5.3708942209904471</v>
        <stp/>
        <stp>##V3_BDPV12</stp>
        <stp>EK2728906 Govt</stp>
        <stp>DUR_ADJ_ASK</stp>
        <stp>[BondPricer-0.2.xlsm]GERMAN_BUND_TYPE60!R18C27</stp>
        <stp>YLD_YTM_ASK=-0.0324302885161033</stp>
        <stp>YAS_YLD_CONV=1</stp>
        <tr r="AA18" s="6"/>
      </tp>
      <tp>
        <v>7.8365592742529957</v>
        <stp/>
        <stp>##V3_BDPV12</stp>
        <stp>EG2785954 Govt</stp>
        <stp>YAS_MOD_DUR</stp>
        <stp>[BondPricer-0.2.xlsm]JAPAN_JGB_TYPE51!R90C28</stp>
        <stp>YLD_YTM_ASK=0.0610000000000009</stp>
        <stp>YAS_YLD_CONV=3</stp>
        <tr r="AB90" s="7"/>
      </tp>
      <tp>
        <v>33.846697038070644</v>
        <stp/>
        <stp>##V3_BDPV12</stp>
        <stp>EI0432951 Govt</stp>
        <stp>DUR_ADJ_ASK</stp>
        <stp>[BondPricer-0.2.xlsm]FRENCH_BTAN_TYPE89!R212C27</stp>
        <stp>YLD_YTM_ASK=</stp>
        <stp>YAS_YLD_CONV=1</stp>
        <tr r="AA212" s="8"/>
      </tp>
      <tp>
        <v>21.196319595078432</v>
        <stp/>
        <stp>##V3_BDPV12</stp>
        <stp>ED8388529 Govt</stp>
        <stp>DUR_ADJ_ASK</stp>
        <stp>[BondPricer-0.2.xlsm]FRENCH_BTAN_TYPE89!R167C27</stp>
        <stp>YLD_YTM_ASK=</stp>
        <stp>YAS_YLD_CONV=1</stp>
        <tr r="AA167" s="8"/>
      </tp>
      <tp>
        <v>13.364086033845572</v>
        <stp/>
        <stp>##V3_BDPV12</stp>
        <stp>EI0429353 Govt</stp>
        <stp>DUR_ADJ_ASK</stp>
        <stp>[BondPricer-0.2.xlsm]FRENCH_BTAN_TYPE89!R118C27</stp>
        <stp>YLD_YTM_ASK=</stp>
        <stp>YAS_YLD_CONV=1</stp>
        <tr r="AA118" s="8"/>
      </tp>
      <tp>
        <v>11.894495350236165</v>
        <stp/>
        <stp>##V3_BDPV12</stp>
        <stp>EC3971487 Govt</stp>
        <stp>DUR_ADJ_ASK</stp>
        <stp>[BondPricer-0.2.xlsm]FRENCH_BTAN_TYPE89!R109C27</stp>
        <stp>YLD_YTM_ASK=</stp>
        <stp>YAS_YLD_CONV=1</stp>
        <tr r="AA109" s="8"/>
      </tp>
      <tp>
        <v>14.836233836988283</v>
        <stp/>
        <stp>##V3_BDPV12</stp>
        <stp>EI0429551 Govt</stp>
        <stp>DUR_ADJ_ASK</stp>
        <stp>[BondPricer-0.2.xlsm]FRENCH_BTAN_TYPE89!R128C27</stp>
        <stp>YLD_YTM_ASK=</stp>
        <stp>YAS_YLD_CONV=1</stp>
        <tr r="AA128" s="8"/>
      </tp>
      <tp>
        <v>12.471641914203243</v>
        <stp/>
        <stp>##V3_BDPV12</stp>
        <stp>ED3871594 Govt</stp>
        <stp>DUR_ADJ_ASK</stp>
        <stp>[BondPricer-0.2.xlsm]FRENCH_BTAN_TYPE89!R135C27</stp>
        <stp>YLD_YTM_ASK=</stp>
        <stp>YAS_YLD_CONV=1</stp>
        <tr r="AA135" s="8"/>
      </tp>
      <tp>
        <v>36.834945282611514</v>
        <stp/>
        <stp>##V3_BDPV12</stp>
        <stp>JK8068518 Govt</stp>
        <stp>DUR_ADJ_ASK</stp>
        <stp>[BondPricer-0.2.xlsm]FRENCH_BTAN_TYPE89!R224C27</stp>
        <stp>YLD_YTM_ASK=</stp>
        <stp>YAS_YLD_CONV=1</stp>
        <tr r="AA224" s="8"/>
      </tp>
      <tp>
        <v>31.903933484013493</v>
        <stp/>
        <stp>##V3_BDPV12</stp>
        <stp>EI0432555 Govt</stp>
        <stp>DUR_ADJ_ASK</stp>
        <stp>[BondPricer-0.2.xlsm]FRENCH_BTAN_TYPE89!R206C27</stp>
        <stp>YLD_YTM_ASK=</stp>
        <stp>YAS_YLD_CONV=1</stp>
        <tr r="AA206" s="8"/>
      </tp>
      <tp>
        <v>-6.5177381364245335E-4</v>
        <stp/>
        <stp>##V3_BDPV12</stp>
        <stp>EJ6177897 Govt</stp>
        <stp>YLD_YTM_ASK</stp>
        <stp>[BondPricer-0.2.xlsm]FRENCH_BTAN_TYPE89!R41C13</stp>
        <tr r="M41" s="8"/>
      </tp>
      <tp>
        <v>28.013655318480772</v>
        <stp/>
        <stp>##V3_BDPV12</stp>
        <stp>EI0432357 Govt</stp>
        <stp>DUR_ADJ_ASK</stp>
        <stp>[BondPricer-0.2.xlsm]FRENCH_BTAN_TYPE89!R194C27</stp>
        <stp>YLD_YTM_ASK=</stp>
        <stp>YAS_YLD_CONV=1</stp>
        <tr r="AA194" s="8"/>
      </tp>
      <tp>
        <v>39.695187429491284</v>
        <stp/>
        <stp>##V3_BDPV12</stp>
        <stp>EI1868591 Govt</stp>
        <stp>DUR_ADJ_ASK</stp>
        <stp>[BondPricer-0.2.xlsm]FRENCH_BTAN_TYPE89!R229C27</stp>
        <stp>YLD_YTM_ASK=</stp>
        <stp>YAS_YLD_CONV=1</stp>
        <tr r="AA229" s="8"/>
      </tp>
      <tp>
        <v>13.854932857585339</v>
        <stp/>
        <stp>##V3_BDPV12</stp>
        <stp>EI0429155 Govt</stp>
        <stp>DUR_ADJ_ASK</stp>
        <stp>[BondPricer-0.2.xlsm]FRENCH_BTAN_TYPE89!R123C27</stp>
        <stp>YLD_YTM_ASK=</stp>
        <stp>YAS_YLD_CONV=1</stp>
        <tr r="AA123" s="8"/>
      </tp>
      <tp>
        <v>37.745071058460596</v>
        <stp/>
        <stp>##V3_BDPV12</stp>
        <stp>EI1868393 Govt</stp>
        <stp>DUR_ADJ_ASK</stp>
        <stp>[BondPricer-0.2.xlsm]FRENCH_BTAN_TYPE89!R225C27</stp>
        <stp>YLD_YTM_ASK=</stp>
        <stp>YAS_YLD_CONV=1</stp>
        <tr r="AA225" s="8"/>
      </tp>
      <tp>
        <v>29.042893589688596</v>
        <stp/>
        <stp>##V3_BDPV12</stp>
        <stp>ED8389121 Govt</stp>
        <stp>DUR_ADJ_ASK</stp>
        <stp>[BondPricer-0.2.xlsm]FRENCH_BTAN_TYPE89!R198C27</stp>
        <stp>YLD_YTM_ASK=</stp>
        <stp>YAS_YLD_CONV=1</stp>
        <tr r="AA198" s="8"/>
      </tp>
      <tp>
        <v>17.276375088399014</v>
        <stp/>
        <stp>##V3_BDPV12</stp>
        <stp>ED8388123 Govt</stp>
        <stp>DUR_ADJ_ASK</stp>
        <stp>[BondPricer-0.2.xlsm]FRENCH_BTAN_TYPE89!R143C27</stp>
        <stp>YLD_YTM_ASK=</stp>
        <stp>YAS_YLD_CONV=1</stp>
        <tr r="AA143" s="8"/>
      </tp>
      <tp>
        <v>29.07779329929479</v>
        <stp/>
        <stp>##V3_BDPV12</stp>
        <stp>JK8068112 Govt</stp>
        <stp>DUR_ADJ_ASK</stp>
        <stp>[BondPricer-0.2.xlsm]FRENCH_BTAN_TYPE89!R199C27</stp>
        <stp>YLD_YTM_ASK=</stp>
        <stp>YAS_YLD_CONV=1</stp>
        <tr r="AA199" s="8"/>
      </tp>
      <tp>
        <v>25.14174701362834</v>
        <stp/>
        <stp>##V3_BDPV12</stp>
        <stp>ED8388925 Govt</stp>
        <stp>DUR_ADJ_ASK</stp>
        <stp>[BondPricer-0.2.xlsm]FRENCH_BTAN_TYPE89!R183C27</stp>
        <stp>YLD_YTM_ASK=</stp>
        <stp>YAS_YLD_CONV=1</stp>
        <tr r="AA183" s="8"/>
      </tp>
      <tp>
        <v>26.007975420708362</v>
        <stp/>
        <stp>##V3_BDPV12</stp>
        <stp>EJ6098374 Govt</stp>
        <stp>YAS_RISK</stp>
        <stp>[BondPricer-0.2.xlsm]FRENCH_BTAN_TYPE89!R187C24</stp>
        <stp>YLD_YTM_ASK=1.6036825976362</stp>
        <stp>YAS_YLD_CONV=1</stp>
        <tr r="X187" s="8"/>
      </tp>
      <tp>
        <v>24.161357437590947</v>
        <stp/>
        <stp>##V3_BDPV12</stp>
        <stp>ED8388727 Govt</stp>
        <stp>DUR_ADJ_ASK</stp>
        <stp>[BondPricer-0.2.xlsm]FRENCH_BTAN_TYPE89!R180C27</stp>
        <stp>YLD_YTM_ASK=</stp>
        <stp>YAS_YLD_CONV=1</stp>
        <tr r="AA180" s="8"/>
      </tp>
      <tp>
        <v>33.966567083070309</v>
        <stp/>
        <stp>##V3_BDPV12</stp>
        <stp>ED8390525 Govt</stp>
        <stp>DUR_ADJ_ASK</stp>
        <stp>[BondPricer-0.2.xlsm]FRENCH_BTAN_TYPE89!R213C27</stp>
        <stp>YLD_YTM_ASK=</stp>
        <stp>YAS_YLD_CONV=1</stp>
        <tr r="AA213" s="8"/>
      </tp>
      <tp>
        <v>11.42327746690933</v>
        <stp/>
        <stp>##V3_BDPV12</stp>
        <stp>UV9949289 Govt</stp>
        <stp>DUR_ADJ_ASK</stp>
        <stp>[BondPricer-0.2.xlsm]FRENCH_BTAN_TYPE89!R114C27</stp>
        <stp>YLD_YTM_ASK=</stp>
        <stp>YAS_YLD_CONV=1</stp>
        <tr r="AA114" s="8"/>
      </tp>
      <tp>
        <v>11.42327746690933</v>
        <stp/>
        <stp>##V3_BDPV12</stp>
        <stp>UV9949289 Govt</stp>
        <stp>DUR_ADJ_ASK</stp>
        <stp>[BondPricer-0.2.xlsm]FRENCH_BTAN_TYPE89!R115C27</stp>
        <stp>YLD_YTM_ASK=</stp>
        <stp>YAS_YLD_CONV=1</stp>
        <tr r="AA115" s="8"/>
      </tp>
      <tp>
        <v>11.42327746690933</v>
        <stp/>
        <stp>##V3_BDPV12</stp>
        <stp>UV9949289 Govt</stp>
        <stp>DUR_ADJ_ASK</stp>
        <stp>[BondPricer-0.2.xlsm]FRENCH_BTAN_TYPE89!R112C27</stp>
        <stp>YLD_YTM_ASK=</stp>
        <stp>YAS_YLD_CONV=1</stp>
        <tr r="AA112" s="8"/>
      </tp>
      <tp>
        <v>122.075</v>
        <stp/>
        <stp>##V3_BDPV12</stp>
        <stp>EI1590526 Govt</stp>
        <stp>YAS_BOND_PX</stp>
        <stp>[BondPricer-0.2.xlsm]JAPAN_JGB_TYPE51!R112C20</stp>
        <stp>YAS_BOND_SPL_YLD=0.184</stp>
        <stp>YAS_YLD_CONV=2</stp>
        <tr r="T112" s="7"/>
      </tp>
      <tp>
        <v>131.03100000000001</v>
        <stp/>
        <stp>##V3_BDPV12</stp>
        <stp>ED5806184 Govt</stp>
        <stp>YAS_BOND_PX</stp>
        <stp>[BondPricer-0.2.xlsm]JAPAN_JGB_TYPE51!R160C20</stp>
        <stp>YAS_BOND_SPL_YLD=0.397</stp>
        <stp>YAS_YLD_CONV=2</stp>
        <tr r="T160" s="7"/>
      </tp>
      <tp>
        <v>118.306</v>
        <stp/>
        <stp>##V3_BDPV12</stp>
        <stp>EI4443103 Govt</stp>
        <stp>YAS_BOND_PX</stp>
        <stp>[BondPricer-0.2.xlsm]JAPAN_JGB_TYPE51!R121C20</stp>
        <stp>YAS_BOND_SPL_YLD=0.224</stp>
        <stp>YAS_YLD_CONV=2</stp>
        <tr r="T121" s="7"/>
      </tp>
      <tp>
        <v>116.86</v>
        <stp/>
        <stp>##V3_BDPV12</stp>
        <stp>EJ3365511 Govt</stp>
        <stp>YAS_BOND_PX</stp>
        <stp>[BondPricer-0.2.xlsm]JAPAN_JGB_TYPE51!R140C20</stp>
        <stp>YAS_BOND_SPL_YLD=0.314</stp>
        <stp>YAS_YLD_CONV=2</stp>
        <tr r="T140" s="7"/>
      </tp>
      <tp>
        <v>117.983</v>
        <stp/>
        <stp>##V3_BDPV12</stp>
        <stp>EI9104742 Govt</stp>
        <stp>YAS_BOND_PX</stp>
        <stp>[BondPricer-0.2.xlsm]JAPAN_JGB_TYPE51!R135C20</stp>
        <stp>YAS_BOND_SPL_YLD=0.284</stp>
        <stp>YAS_YLD_CONV=2</stp>
        <tr r="T135" s="7"/>
      </tp>
      <tp>
        <v>7.3951837535422529</v>
        <stp/>
        <stp>##V3_BDPV12</stp>
        <stp>JK2982615 Govt</stp>
        <stp>YAS_MOD_DUR</stp>
        <stp>[BondPricer-0.2.xlsm]JAPAN_JGB_TYPE51!R77C28</stp>
        <stp>YLD_YTM_ASK=0.0180000000000014</stp>
        <stp>YAS_YLD_CONV=3</stp>
        <tr r="AB77" s="7"/>
      </tp>
      <tp>
        <v>7.6431072097328183</v>
        <stp/>
        <stp>##V3_BDPV12</stp>
        <stp>LW3164867 Govt</stp>
        <stp>YAS_MOD_DUR</stp>
        <stp>[BondPricer-0.2.xlsm]JAPAN_JGB_TYPE51!R81C28</stp>
        <stp>YLD_YTM_ASK=0.0270000000000024</stp>
        <stp>YAS_YLD_CONV=3</stp>
        <tr r="AB81" s="7"/>
      </tp>
      <tp>
        <v>88.276999999999973</v>
        <stp/>
        <stp>##V3_BDPV12</stp>
        <stp>EI0429072 Govt</stp>
        <stp>YAS_BOND_PX</stp>
        <stp>[BondPricer-0.2.xlsm]FRENCH_BTAN_TYPE89!R108C20</stp>
        <stp>YAS_BOND_YLD=1.0425913148193</stp>
        <stp>YAS_YLD_CONV=1</stp>
        <tr r="T108" s="8"/>
      </tp>
      <tp>
        <v>37.811267973005286</v>
        <stp/>
        <stp>##V3_BDPV12</stp>
        <stp>JK8068369 Govt</stp>
        <stp>DUR_ADJ_ASK</stp>
        <stp>[BondPricer-0.2.xlsm]FRENCH_BTAN_TYPE89!R226C27</stp>
        <stp>YLD_YTM_ASK=</stp>
        <stp>YAS_YLD_CONV=1</stp>
        <tr r="AA226" s="8"/>
      </tp>
      <tp>
        <v>25.459954103045845</v>
        <stp/>
        <stp>##V3_BDPV12</stp>
        <stp>EH8786723 Govt</stp>
        <stp>YAS_RISK</stp>
        <stp>[BondPricer-0.2.xlsm]FRENCH_BTAN_TYPE89!R169C24</stp>
        <stp>YLD_YTM_ASK=1.4587782392609</stp>
        <stp>YAS_YLD_CONV=1</stp>
        <tr r="X169" s="8"/>
      </tp>
      <tp>
        <v>0.70899034315492493</v>
        <stp/>
        <stp>##V3_BDPV12</stp>
        <stp>EI0428918 Govt</stp>
        <stp>YLD_YTM_ASK</stp>
        <stp>[BondPricer-0.2.xlsm]FRENCH_BTAN_TYPE89!R89C13</stp>
        <tr r="M89" s="8"/>
      </tp>
      <tp>
        <v>30.99462643896808</v>
        <stp/>
        <stp>##V3_BDPV12</stp>
        <stp>JK8068161 Govt</stp>
        <stp>DUR_ADJ_ASK</stp>
        <stp>[BondPricer-0.2.xlsm]FRENCH_BTAN_TYPE89!R205C27</stp>
        <stp>YLD_YTM_ASK=</stp>
        <stp>YAS_YLD_CONV=1</stp>
        <tr r="AA205" s="8"/>
      </tp>
      <tp>
        <v>45.643674904127849</v>
        <stp/>
        <stp>##V3_BDPV12</stp>
        <stp>JK8070761 Govt</stp>
        <stp>DUR_ADJ_ASK</stp>
        <stp>[BondPricer-0.2.xlsm]FRENCH_BTAN_TYPE89!R238C27</stp>
        <stp>YLD_YTM_ASK=</stp>
        <stp>YAS_YLD_CONV=1</stp>
        <tr r="AA238" s="8"/>
      </tp>
      <tp>
        <v>32.94204473080584</v>
        <stp/>
        <stp>##V3_BDPV12</stp>
        <stp>JK8068260 Govt</stp>
        <stp>DUR_ADJ_ASK</stp>
        <stp>[BondPricer-0.2.xlsm]FRENCH_BTAN_TYPE89!R211C27</stp>
        <stp>YLD_YTM_ASK=</stp>
        <stp>YAS_YLD_CONV=1</stp>
        <tr r="AA211" s="8"/>
      </tp>
      <tp>
        <v>0.85177299467258383</v>
        <stp/>
        <stp>##V3_BDPV12</stp>
        <stp>EI0428959 Govt</stp>
        <stp>YLD_YTM_ASK</stp>
        <stp>[BondPricer-0.2.xlsm]FRENCH_BTAN_TYPE89!R94C13</stp>
        <tr r="M94" s="8"/>
      </tp>
      <tp>
        <v>26.007975420708362</v>
        <stp/>
        <stp>##V3_BDPV12</stp>
        <stp>EJ6098374 Govt</stp>
        <stp>YAS_RISK</stp>
        <stp>[BondPricer-0.2.xlsm]FRENCH_BTAN_TYPE89!R190C24</stp>
        <stp>YLD_YTM_ASK=1.6036825976362</stp>
        <stp>YAS_YLD_CONV=1</stp>
        <tr r="X190" s="8"/>
      </tp>
      <tp>
        <v>6.8041520995487659E-2</v>
        <stp/>
        <stp>##V3_BDPV12</stp>
        <stp>EI0418976 Govt</stp>
        <stp>YLD_YTM_ASK</stp>
        <stp>[BondPricer-0.2.xlsm]FRENCH_BTAN_TYPE89!R45C13</stp>
        <tr r="M45" s="8"/>
      </tp>
      <tp>
        <v>-0.24449059516331287</v>
        <stp/>
        <stp>##V3_BDPV12</stp>
        <stp>EJ5732965 Govt</stp>
        <stp>YLD_YTM_ASK</stp>
        <stp>[BondPricer-0.2.xlsm]FRENCH_BTAN_TYPE89!R8C13</stp>
        <tr r="M8" s="8"/>
      </tp>
      <tp>
        <v>3.7405060702880633</v>
        <stp/>
        <stp>##V3_BDPV12</stp>
        <stp>EJ0529135 Govt</stp>
        <stp>YAS_RISK</stp>
        <stp>[BondPricer-0.2.xlsm]FRENCH_BTAN_TYPE89!R21C24</stp>
        <stp>YLD_YTM_ASK=0.0121608886815106</stp>
        <stp>YAS_YLD_CONV=1</stp>
        <tr r="X21" s="8"/>
      </tp>
      <tp>
        <v>4.5128758343217612</v>
        <stp/>
        <stp>##V3_BDPV12</stp>
        <stp>GG7127275 Govt</stp>
        <stp>YAS_RISK</stp>
        <stp>[BondPricer-0.2.xlsm]FRENCH_BTAN_TYPE89!R37C24</stp>
        <stp>YLD_YTM_ASK=0.0307746092807371</stp>
        <stp>YAS_YLD_CONV=1</stp>
        <tr r="X37" s="8"/>
      </tp>
      <tp>
        <v>4.5128758343217612</v>
        <stp/>
        <stp>##V3_BDPV12</stp>
        <stp>GG7127267 Govt</stp>
        <stp>YAS_RISK</stp>
        <stp>[BondPricer-0.2.xlsm]FRENCH_BTAN_TYPE89!R39C24</stp>
        <stp>YLD_YTM_ASK=0.0307746092807371</stp>
        <stp>YAS_YLD_CONV=1</stp>
        <tr r="X39" s="8"/>
      </tp>
      <tp>
        <v>120.02200000000001</v>
        <stp/>
        <stp>##V3_BDPV12</stp>
        <stp>EH7995887 Govt</stp>
        <stp>YAS_BOND_PX</stp>
        <stp>[BondPricer-0.2.xlsm]JAPAN_JGB_TYPE51!R105C20</stp>
        <stp>YAS_BOND_SPL_YLD=0.149</stp>
        <stp>YAS_YLD_CONV=2</stp>
        <tr r="T105" s="7"/>
      </tp>
      <tp>
        <v>124.57599999999999</v>
        <stp/>
        <stp>##V3_BDPV12</stp>
        <stp>ED2161351 Govt</stp>
        <stp>YAS_BOND_PX</stp>
        <stp>[BondPricer-0.2.xlsm]JAPAN_JGB_TYPE51!R154C20</stp>
        <stp>YAS_BOND_SPL_YLD=0.364</stp>
        <stp>YAS_YLD_CONV=2</stp>
        <tr r="T154" s="7"/>
      </tp>
      <tp>
        <v>119.467</v>
        <stp/>
        <stp>##V3_BDPV12</stp>
        <stp>EI4040636 Govt</stp>
        <stp>YAS_BOND_PX</stp>
        <stp>[BondPricer-0.2.xlsm]JAPAN_JGB_TYPE51!R120C20</stp>
        <stp>YAS_BOND_SPL_YLD=0.224</stp>
        <stp>YAS_YLD_CONV=2</stp>
        <tr r="T120" s="7"/>
      </tp>
      <tp>
        <v>93.968000000000004</v>
        <stp/>
        <stp>##V3_BDPV12</stp>
        <stp>LW5453029 Govt</stp>
        <stp>YAS_BOND_PX</stp>
        <stp>[BondPricer-0.2.xlsm]JAPAN_JGB_TYPE51!R175C20</stp>
        <stp>YAS_BOND_SPL_YLD=0.576</stp>
        <stp>YAS_YLD_CONV=2</stp>
        <tr r="T175" s="7"/>
      </tp>
      <tp>
        <v>58.6449999999396</v>
        <stp/>
        <stp>##V3_BDPV12</stp>
        <stp>EK0223637 Govt</stp>
        <stp>PX_ASK</stp>
        <stp>[BondPricer-0.2.xlsm]ITALIAN_BTPS_TYPE523!R115C22</stp>
        <stp>YAS_BOND_YLD=3.6533351101858</stp>
        <stp>YAS_YLD_CONV=1</stp>
        <tr r="V115" s="5"/>
      </tp>
      <tp>
        <v>4.3000000000001808E-2</v>
        <stp/>
        <stp>##V3_BDPV12</stp>
        <stp>QZ4138504 Govt</stp>
        <stp>YLD_YTM_ASK</stp>
        <stp>[BondPricer-0.2.xlsm]JAPAN_JGB_TYPE51!R84C13</stp>
        <tr r="M84" s="7"/>
      </tp>
      <tp>
        <v>8.3853265602767078</v>
        <stp/>
        <stp>##V3_BDPV12</stp>
        <stp>AM7131296 Govt</stp>
        <stp>YAS_MOD_DUR</stp>
        <stp>[BondPricer-0.2.xlsm]JAPAN_JGB_TYPE51!R88C28</stp>
        <stp>YLD_YTM_ASK=0.0659999999999998</stp>
        <stp>YAS_YLD_CONV=3</stp>
        <tr r="AB88" s="7"/>
      </tp>
      <tp>
        <v>6.717480732044498</v>
        <stp/>
        <stp>##V3_BDPV12</stp>
        <stp>EF2594176 Govt</stp>
        <stp>YAS_MOD_DUR</stp>
        <stp>[BondPricer-0.2.xlsm]JAPAN_JGB_TYPE51!R76C28</stp>
        <stp>YLD_YTM_ASK=0.0120000000000017</stp>
        <stp>YAS_YLD_CONV=3</stp>
        <tr r="AB76" s="7"/>
      </tp>
      <tp>
        <v>19.726840723737794</v>
        <stp/>
        <stp>##V3_BDPV12</stp>
        <stp>EI0431433 Govt</stp>
        <stp>DUR_ADJ_ASK</stp>
        <stp>[BondPricer-0.2.xlsm]FRENCH_BTAN_TYPE89!R159C27</stp>
        <stp>YLD_YTM_ASK=</stp>
        <stp>YAS_YLD_CONV=1</stp>
        <tr r="AA159" s="8"/>
      </tp>
      <tp>
        <v>27.107190051619778</v>
        <stp/>
        <stp>##V3_BDPV12</stp>
        <stp>ED8389048 Govt</stp>
        <stp>DUR_ADJ_ASK</stp>
        <stp>[BondPricer-0.2.xlsm]FRENCH_BTAN_TYPE89!R192C27</stp>
        <stp>YLD_YTM_ASK=</stp>
        <stp>YAS_YLD_CONV=1</stp>
        <tr r="AA192" s="8"/>
      </tp>
      <tp>
        <v>35.798124427868082</v>
        <stp/>
        <stp>##V3_BDPV12</stp>
        <stp>EI0433033 Govt</stp>
        <stp>DUR_ADJ_ASK</stp>
        <stp>[BondPricer-0.2.xlsm]FRENCH_BTAN_TYPE89!R219C27</stp>
        <stp>YLD_YTM_ASK=</stp>
        <stp>YAS_YLD_CONV=1</stp>
        <tr r="AA219" s="8"/>
      </tp>
      <tp>
        <v>19.237678952148922</v>
        <stp/>
        <stp>##V3_BDPV12</stp>
        <stp>EI0431631 Govt</stp>
        <stp>DUR_ADJ_ASK</stp>
        <stp>[BondPricer-0.2.xlsm]FRENCH_BTAN_TYPE89!R155C27</stp>
        <stp>YLD_YTM_ASK=</stp>
        <stp>YAS_YLD_CONV=1</stp>
        <tr r="AA155" s="8"/>
      </tp>
      <tp>
        <v>15.324955662958862</v>
        <stp/>
        <stp>##V3_BDPV12</stp>
        <stp>EI0429437 Govt</stp>
        <stp>DUR_ADJ_ASK</stp>
        <stp>[BondPricer-0.2.xlsm]FRENCH_BTAN_TYPE89!R130C27</stp>
        <stp>YLD_YTM_ASK=</stp>
        <stp>YAS_YLD_CONV=1</stp>
        <tr r="AA130" s="8"/>
      </tp>
      <tp>
        <v>-0.21300237686595294</v>
        <stp/>
        <stp>##V3_BDPV12</stp>
        <stp>EJ0036891 Govt</stp>
        <stp>YLD_YTM_ASK</stp>
        <stp>[BondPricer-0.2.xlsm]FRENCH_BTAN_TYPE89!R22C13</stp>
        <tr r="M22" s="8"/>
      </tp>
      <tp>
        <v>31.421803760964426</v>
        <stp/>
        <stp>##V3_BDPV12</stp>
        <stp>JK7597822 Govt</stp>
        <stp>DUR_ADJ_ASK</stp>
        <stp>[BondPricer-0.2.xlsm]FRENCH_BTAN_TYPE89!R241C27</stp>
        <stp>YLD_YTM_ASK=</stp>
        <stp>YAS_YLD_CONV=1</stp>
        <tr r="AA241" s="8"/>
      </tp>
      <tp>
        <v>31.421803760964426</v>
        <stp/>
        <stp>##V3_BDPV12</stp>
        <stp>JK7597822 Govt</stp>
        <stp>DUR_ADJ_ASK</stp>
        <stp>[BondPricer-0.2.xlsm]FRENCH_BTAN_TYPE89!R242C27</stp>
        <stp>YLD_YTM_ASK=</stp>
        <stp>YAS_YLD_CONV=1</stp>
        <tr r="AA242" s="8"/>
      </tp>
      <tp>
        <v>31.421803760964426</v>
        <stp/>
        <stp>##V3_BDPV12</stp>
        <stp>JK7597822 Govt</stp>
        <stp>DUR_ADJ_ASK</stp>
        <stp>[BondPricer-0.2.xlsm]FRENCH_BTAN_TYPE89!R239C27</stp>
        <stp>YLD_YTM_ASK=</stp>
        <stp>YAS_YLD_CONV=1</stp>
        <tr r="AA239" s="8"/>
      </tp>
      <tp>
        <v>-0.22720187547682347</v>
        <stp/>
        <stp>##V3_BDPV12</stp>
        <stp>EI0418810 Govt</stp>
        <stp>YLD_YTM_ASK</stp>
        <stp>[BondPricer-0.2.xlsm]FRENCH_BTAN_TYPE89!R24C13</stp>
        <tr r="M24" s="8"/>
      </tp>
      <tp>
        <v>11.405749739207224</v>
        <stp/>
        <stp>##V3_BDPV12</stp>
        <stp>EI0429239 Govt</stp>
        <stp>DUR_ADJ_ASK</stp>
        <stp>[BondPricer-0.2.xlsm]FRENCH_BTAN_TYPE89!R104C27</stp>
        <stp>YLD_YTM_ASK=</stp>
        <stp>YAS_YLD_CONV=1</stp>
        <tr r="AA104" s="8"/>
      </tp>
      <tp>
        <v>14.670173942171326</v>
        <stp/>
        <stp>##V3_BDPV12</stp>
        <stp>EF6625018 Govt</stp>
        <stp>DUR_ADJ_ASK</stp>
        <stp>[BondPricer-0.2.xlsm]FRENCH_BTAN_TYPE89!R158C27</stp>
        <stp>YLD_YTM_ASK=</stp>
        <stp>YAS_YLD_CONV=1</stp>
        <tr r="AA158" s="8"/>
      </tp>
      <tp>
        <v>-0.12492052817858479</v>
        <stp/>
        <stp>##V3_BDPV12</stp>
        <stp>EI0428835 Govt</stp>
        <stp>YLD_YTM_ASK</stp>
        <stp>[BondPricer-0.2.xlsm]FRENCH_BTAN_TYPE89!R33C13</stp>
        <tr r="M33" s="8"/>
      </tp>
      <tp>
        <v>19.022441909374415</v>
        <stp/>
        <stp>##V3_BDPV12</stp>
        <stp>EJ6098374 Govt</stp>
        <stp>DUR_ADJ_ASK</stp>
        <stp>[BondPricer-0.2.xlsm]FRENCH_BTAN_TYPE89!R187C27</stp>
        <stp>YLD_YTM_ASK=</stp>
        <stp>YAS_YLD_CONV=1</stp>
        <tr r="AA187" s="8"/>
      </tp>
      <tp>
        <v>19.022441909374415</v>
        <stp/>
        <stp>##V3_BDPV12</stp>
        <stp>EJ6098374 Govt</stp>
        <stp>DUR_ADJ_ASK</stp>
        <stp>[BondPricer-0.2.xlsm]FRENCH_BTAN_TYPE89!R189C27</stp>
        <stp>YLD_YTM_ASK=</stp>
        <stp>YAS_YLD_CONV=1</stp>
        <tr r="AA189" s="8"/>
      </tp>
      <tp>
        <v>19.022441909374415</v>
        <stp/>
        <stp>##V3_BDPV12</stp>
        <stp>EJ6098374 Govt</stp>
        <stp>DUR_ADJ_ASK</stp>
        <stp>[BondPricer-0.2.xlsm]FRENCH_BTAN_TYPE89!R190C27</stp>
        <stp>YLD_YTM_ASK=</stp>
        <stp>YAS_YLD_CONV=1</stp>
        <tr r="AA190" s="8"/>
      </tp>
      <tp>
        <v>31.012071948795249</v>
        <stp/>
        <stp>##V3_BDPV12</stp>
        <stp>ED8389246 Govt</stp>
        <stp>DUR_ADJ_ASK</stp>
        <stp>[BondPricer-0.2.xlsm]FRENCH_BTAN_TYPE89!R204C27</stp>
        <stp>YLD_YTM_ASK=</stp>
        <stp>YAS_YLD_CONV=1</stp>
        <tr r="AA204" s="8"/>
      </tp>
      <tp>
        <v>41.719221759429118</v>
        <stp/>
        <stp>##V3_BDPV12</stp>
        <stp>JK8069276 Govt</stp>
        <stp>DUR_ADJ_ASK</stp>
        <stp>[BondPricer-0.2.xlsm]FRENCH_BTAN_TYPE89!R234C27</stp>
        <stp>YLD_YTM_ASK=</stp>
        <stp>YAS_YLD_CONV=1</stp>
        <tr r="AA234" s="8"/>
      </tp>
      <tp>
        <v>-1.083615200170307E-2</v>
        <stp/>
        <stp>##V3_BDPV12</stp>
        <stp>EI0418851 Govt</stp>
        <stp>YLD_YTM_ASK</stp>
        <stp>[BondPricer-0.2.xlsm]FRENCH_BTAN_TYPE89!R38C13</stp>
        <tr r="M38" s="8"/>
      </tp>
      <tp>
        <v>27.104260819124725</v>
        <stp/>
        <stp>##V3_BDPV12</stp>
        <stp>JK8061976 Govt</stp>
        <stp>DUR_ADJ_ASK</stp>
        <stp>[BondPricer-0.2.xlsm]FRENCH_BTAN_TYPE89!R193C27</stp>
        <stp>YLD_YTM_ASK=</stp>
        <stp>YAS_YLD_CONV=1</stp>
        <tr r="AA193" s="8"/>
      </tp>
      <tp>
        <v>73.647000000000119</v>
        <stp/>
        <stp>##V3_BDPV12</stp>
        <stp>ED8388487 Govt</stp>
        <stp>YAS_BOND_PX</stp>
        <stp>[BondPricer-0.2.xlsm]FRENCH_BTAN_TYPE89!R162C20</stp>
        <stp>YAS_BOND_YLD=1.5018018925856</stp>
        <stp>YAS_YLD_CONV=1</stp>
        <tr r="T162" s="8"/>
      </tp>
      <tp>
        <v>19.23824228523474</v>
        <stp/>
        <stp>##V3_BDPV12</stp>
        <stp>ED8388446 Govt</stp>
        <stp>DUR_ADJ_ASK</stp>
        <stp>[BondPricer-0.2.xlsm]FRENCH_BTAN_TYPE89!R156C27</stp>
        <stp>YLD_YTM_ASK=</stp>
        <stp>YAS_YLD_CONV=1</stp>
        <tr r="AA156" s="8"/>
      </tp>
      <tp>
        <v>38.787193667668348</v>
        <stp/>
        <stp>##V3_BDPV12</stp>
        <stp>JK8068674 Govt</stp>
        <stp>DUR_ADJ_ASK</stp>
        <stp>[BondPricer-0.2.xlsm]FRENCH_BTAN_TYPE89!R228C27</stp>
        <stp>YLD_YTM_ASK=</stp>
        <stp>YAS_YLD_CONV=1</stp>
        <tr r="AA228" s="8"/>
      </tp>
      <tp>
        <v>0.56932725232201609</v>
        <stp/>
        <stp>##V3_BDPV12</stp>
        <stp>EI0428876 Govt</stp>
        <stp>YLD_YTM_ASK</stp>
        <stp>[BondPricer-0.2.xlsm]FRENCH_BTAN_TYPE89!R78C13</stp>
        <tr r="M78" s="8"/>
      </tp>
      <tp>
        <v>2.4299830421272324</v>
        <stp/>
        <stp>##V3_BDPV12</stp>
        <stp>ED9255313 Govt</stp>
        <stp>DUR_ADJ_ASK</stp>
        <stp>[BondPricer-0.2.xlsm]FRENCH_BTAN_TYPE89!R9C27</stp>
        <stp>YLD_YTM_ASK=</stp>
        <stp>YAS_YLD_CONV=1</stp>
        <tr r="AA9" s="8"/>
      </tp>
      <tp>
        <v>10.888163880384383</v>
        <stp/>
        <stp>##V3_BDPV12</stp>
        <stp>EJ6183499 Govt</stp>
        <stp>YAS_RISK</stp>
        <stp>[BondPricer-0.2.xlsm]FRENCH_BTAN_TYPE89!R113C24</stp>
        <stp>YLD_YTM_ASK=1.080864160045</stp>
        <stp>YAS_YLD_CONV=1</stp>
        <tr r="X113" s="8"/>
      </tp>
      <tp>
        <v>88.796875157413808</v>
        <stp/>
        <stp>##V3_BDPV12</stp>
        <stp>9128282A Govt</stp>
        <stp>YAS_BOND_PX</stp>
        <stp>[BondPricer-0.2.xlsm]US_TREASURY_TYPE1!R83C20</stp>
        <stp>YAS_BOND_YLD=3.1235071</stp>
        <stp>YAS_YLD_CONV=2</stp>
        <tr r="T83" s="4"/>
      </tp>
      <tp>
        <v>114.381</v>
        <stp/>
        <stp>##V3_BDPV12</stp>
        <stp>EC8204264 Govt</stp>
        <stp>YAS_BOND_PX</stp>
        <stp>[BondPricer-0.2.xlsm]JAPAN_JGB_TYPE51!R147C20</stp>
        <stp>YAS_BOND_SPL_YLD=0.337</stp>
        <stp>YAS_YLD_CONV=2</stp>
        <tr r="T147" s="7"/>
      </tp>
      <tp>
        <v>120.372</v>
        <stp/>
        <stp>##V3_BDPV12</stp>
        <stp>EH9141712 Govt</stp>
        <stp>YAS_BOND_PX</stp>
        <stp>[BondPricer-0.2.xlsm]JAPAN_JGB_TYPE51!R107C20</stp>
        <stp>YAS_BOND_SPL_YLD=0.159</stp>
        <stp>YAS_YLD_CONV=2</stp>
        <tr r="T107" s="7"/>
      </tp>
      <tp>
        <v>118.709</v>
        <stp/>
        <stp>##V3_BDPV12</stp>
        <stp>ED0670437 Govt</stp>
        <stp>YAS_BOND_PX</stp>
        <stp>[BondPricer-0.2.xlsm]JAPAN_JGB_TYPE51!R152C20</stp>
        <stp>YAS_BOND_SPL_YLD=0.358</stp>
        <stp>YAS_YLD_CONV=2</stp>
        <tr r="T152" s="7"/>
      </tp>
      <tp>
        <v>123.261</v>
        <stp/>
        <stp>##V3_BDPV12</stp>
        <stp>ED3357065 Govt</stp>
        <stp>YAS_BOND_PX</stp>
        <stp>[BondPricer-0.2.xlsm]JAPAN_JGB_TYPE51!R156C20</stp>
        <stp>YAS_BOND_SPL_YLD=0.379</stp>
        <stp>YAS_YLD_CONV=2</stp>
        <tr r="T156" s="7"/>
      </tp>
      <tp>
        <v>17.768690632098529</v>
        <stp/>
        <stp>##V3_BDPV12</stp>
        <stp>EF6782538 Govt</stp>
        <stp>DUR_ADJ_ASK</stp>
        <stp>[BondPricer-0.2.xlsm]FRENCH_BTAN_TYPE89!R149C27</stp>
        <stp>YLD_YTM_ASK=</stp>
        <stp>YAS_YLD_CONV=1</stp>
        <tr r="AA149" s="8"/>
      </tp>
      <tp>
        <v>39.763118918243769</v>
        <stp/>
        <stp>##V3_BDPV12</stp>
        <stp>JK8068849 Govt</stp>
        <stp>DUR_ADJ_ASK</stp>
        <stp>[BondPricer-0.2.xlsm]FRENCH_BTAN_TYPE89!R230C27</stp>
        <stp>YLD_YTM_ASK=</stp>
        <stp>YAS_YLD_CONV=1</stp>
        <tr r="AA230" s="8"/>
      </tp>
      <tp>
        <v>0.27815724400492847</v>
        <stp/>
        <stp>##V3_BDPV12</stp>
        <stp>EK3918860 Govt</stp>
        <stp>YLD_YTM_ASK</stp>
        <stp>[BondPricer-0.2.xlsm]FRENCH_BTAN_TYPE89!R58C13</stp>
        <tr r="M58" s="8"/>
      </tp>
      <tp>
        <v>-0.37246270081509048</v>
        <stp/>
        <stp>##V3_BDPV12</stp>
        <stp>ED9336279 Govt</stp>
        <stp>YLD_YTM_ASK</stp>
        <stp>[BondPricer-0.2.xlsm]FRENCH_BTAN_TYPE89!R12C13</stp>
        <tr r="M12" s="8"/>
      </tp>
      <tp>
        <v>42.697860556861841</v>
        <stp/>
        <stp>##V3_BDPV12</stp>
        <stp>JK8069441 Govt</stp>
        <stp>DUR_ADJ_ASK</stp>
        <stp>[BondPricer-0.2.xlsm]FRENCH_BTAN_TYPE89!R235C27</stp>
        <stp>YLD_YTM_ASK=</stp>
        <stp>YAS_YLD_CONV=1</stp>
        <tr r="AA235" s="8"/>
      </tp>
      <tp>
        <v>46.672898316237394</v>
        <stp/>
        <stp>##V3_BDPV12</stp>
        <stp>JK8071041 Govt</stp>
        <stp>DUR_ADJ_ASK</stp>
        <stp>[BondPricer-0.2.xlsm]FRENCH_BTAN_TYPE89!R240C27</stp>
        <stp>YLD_YTM_ASK=</stp>
        <stp>YAS_YLD_CONV=1</stp>
        <tr r="AA240" s="8"/>
      </tp>
      <tp>
        <v>22.611448633024381</v>
        <stp/>
        <stp>##V3_BDPV12</stp>
        <stp>ED8307479 Govt</stp>
        <stp>DUR_ADJ_ASK</stp>
        <stp>[BondPricer-0.2.xlsm]FRENCH_BTAN_TYPE89!R218C27</stp>
        <stp>YLD_YTM_ASK=</stp>
        <stp>YAS_YLD_CONV=1</stp>
        <tr r="AA218" s="8"/>
      </tp>
      <tp>
        <v>14.285315451347458</v>
        <stp/>
        <stp>##V3_BDPV12</stp>
        <stp>EF6782736 Govt</stp>
        <stp>YAS_RISK</stp>
        <stp>[BondPricer-0.2.xlsm]FRENCH_BTAN_TYPE89!R154C24</stp>
        <stp>YLD_YTM_ASK=1.4405116474109</stp>
        <stp>YAS_YLD_CONV=1</stp>
        <tr r="X154" s="8"/>
      </tp>
      <tp>
        <v>18.751808786111319</v>
        <stp/>
        <stp>##V3_BDPV12</stp>
        <stp>EF6782736 Govt</stp>
        <stp>DUR_ADJ_ASK</stp>
        <stp>[BondPricer-0.2.xlsm]FRENCH_BTAN_TYPE89!R154C27</stp>
        <stp>YLD_YTM_ASK=</stp>
        <stp>YAS_YLD_CONV=1</stp>
        <tr r="AA154" s="8"/>
      </tp>
      <tp>
        <v>82.216000000000051</v>
        <stp/>
        <stp>##V3_BDPV12</stp>
        <stp>EF6781894 Govt</stp>
        <stp>YAS_BOND_PX</stp>
        <stp>[BondPricer-0.2.xlsm]FRENCH_BTAN_TYPE89!R129C20</stp>
        <stp>YAS_BOND_YLD=1.3120970504187</stp>
        <stp>YAS_YLD_CONV=1</stp>
        <tr r="T129" s="8"/>
      </tp>
      <tp>
        <v>85.863999999548625</v>
        <stp/>
        <stp>##V3_BDPV12</stp>
        <stp>EJ4852830 Govt</stp>
        <stp>PX_ASK</stp>
        <stp>[BondPricer-0.2.xlsm]ITALIAN_BTPS_TYPE523!R19C22</stp>
        <stp>YAS_BOND_YLD=3.0696337254406</stp>
        <stp>YAS_YLD_CONV=1</stp>
        <tr r="V19" s="5"/>
      </tp>
      <tp>
        <v>5.0023532658237002</v>
        <stp/>
        <stp>##V3_BDPV12</stp>
        <stp>EI0418976 Govt</stp>
        <stp>YAS_RISK</stp>
        <stp>[BondPricer-0.2.xlsm]FRENCH_BTAN_TYPE89!R45C24</stp>
        <stp>YLD_YTM_ASK=0.0648427182831313</stp>
        <stp>YAS_YLD_CONV=1</stp>
        <tr r="X45" s="8"/>
      </tp>
      <tp>
        <v>126.16200000000001</v>
        <stp/>
        <stp>##V3_BDPV12</stp>
        <stp>EC5650865 Govt</stp>
        <stp>YAS_BOND_PX</stp>
        <stp>[BondPricer-0.2.xlsm]JAPAN_JGB_TYPE51!R139C20</stp>
        <stp>YAS_BOND_SPL_YLD=0.297</stp>
        <stp>YAS_YLD_CONV=2</stp>
        <tr r="T139" s="7"/>
      </tp>
      <tp>
        <v>131.42099999999999</v>
        <stp/>
        <stp>##V3_BDPV12</stp>
        <stp>EI1819230 Govt</stp>
        <stp>YAS_BOND_PX</stp>
        <stp>[BondPricer-0.2.xlsm]JAPAN_JGB_TYPE51!R188C20</stp>
        <stp>YAS_BOND_SPL_YLD=0.634</stp>
        <stp>YAS_YLD_CONV=2</stp>
        <tr r="T188" s="7"/>
      </tp>
      <tp>
        <v>133.494</v>
        <stp/>
        <stp>##V3_BDPV12</stp>
        <stp>EG9384082 Govt</stp>
        <stp>YAS_BOND_PX</stp>
        <stp>[BondPricer-0.2.xlsm]JAPAN_JGB_TYPE51!R183C20</stp>
        <stp>YAS_BOND_SPL_YLD=0.547</stp>
        <stp>YAS_YLD_CONV=2</stp>
        <tr r="T183" s="7"/>
      </tp>
      <tp>
        <v>98.10199999999378</v>
        <stp/>
        <stp>##V3_BDPV12</stp>
        <stp>QZ032122 Corp</stp>
        <stp>YAS_BOND_PX</stp>
        <stp>[BondPricer-0.2.xlsm]UK_GILT_TYPE26!R9C20</stp>
        <stp>YAS_BOND_YLD=1.01486937313188</stp>
        <stp>YAS_YLD_CONV=2</stp>
        <tr r="T9" s="13"/>
      </tp>
      <tp>
        <v>56.448999999943865</v>
        <stp/>
        <stp>##V3_BDPV12</stp>
        <stp>ED1666434 Govt</stp>
        <stp>PX_ASK</stp>
        <stp>[BondPricer-0.2.xlsm]ITALIAN_BTPS_TYPE523!R113C22</stp>
        <stp>YAS_BOND_YLD=3.9418553425713</stp>
        <stp>YAS_YLD_CONV=1</stp>
        <tr r="V113" s="5"/>
      </tp>
      <tp>
        <v>8.4183342095031044</v>
        <stp/>
        <stp>##V3_BDPV12</stp>
        <stp>EH1313798 Govt</stp>
        <stp>YAS_MOD_DUR</stp>
        <stp>[BondPricer-0.2.xlsm]JAPAN_JGB_TYPE51!R95C28</stp>
        <stp>YLD_YTM_ASK=0.0879999999999998</stp>
        <stp>YAS_YLD_CONV=3</stp>
        <tr r="AB95" s="7"/>
      </tp>
      <tp>
        <v>4.5406586695806519</v>
        <stp/>
        <stp>##V3_BDPV12</stp>
        <stp>GG7182429 Govt</stp>
        <stp>DUR_ADJ_ASK</stp>
        <stp>[BondPricer-0.2.xlsm]GERMAN_BUND_TYPE60!R16C27</stp>
        <stp>YLD_YTM_ASK=-0.0918482412053952</stp>
        <stp>YAS_YLD_CONV=1</stp>
        <tr r="AA16" s="6"/>
      </tp>
      <tp>
        <v>7.3401438602036713</v>
        <stp/>
        <stp>##V3_BDPV12</stp>
        <stp>EF7943063 Govt</stp>
        <stp>YAS_MOD_DUR</stp>
        <stp>[BondPricer-0.2.xlsm]JAPAN_JGB_TYPE51!R85C28</stp>
        <stp>YLD_YTM_ASK=0.0409999999999994</stp>
        <stp>YAS_YLD_CONV=3</stp>
        <tr r="AB85" s="7"/>
      </tp>
      <tp>
        <v>8.24344814867937</v>
        <stp/>
        <stp>##V3_BDPV12</stp>
        <stp>EH0633659 Govt</stp>
        <stp>YAS_MOD_DUR</stp>
        <stp>[BondPricer-0.2.xlsm]JAPAN_JGB_TYPE51!R94C28</stp>
        <stp>YLD_YTM_ASK=0.0819999999999993</stp>
        <stp>YAS_YLD_CONV=3</stp>
        <tr r="AB94" s="7"/>
      </tp>
      <tp>
        <v>22.158387681610616</v>
        <stp/>
        <stp>##V3_BDPV12</stp>
        <stp>EI0431912 Govt</stp>
        <stp>DUR_ADJ_ASK</stp>
        <stp>[BondPricer-0.2.xlsm]FRENCH_BTAN_TYPE89!R170C27</stp>
        <stp>YLD_YTM_ASK=</stp>
        <stp>YAS_YLD_CONV=1</stp>
        <tr r="AA170" s="8"/>
      </tp>
      <tp>
        <v>25.161086300745364</v>
        <stp/>
        <stp>##V3_BDPV12</stp>
        <stp>EJ6186849 Govt</stp>
        <stp>DUR_ADJ_ASK</stp>
        <stp>[BondPricer-0.2.xlsm]FRENCH_BTAN_TYPE89!R184C27</stp>
        <stp>YLD_YTM_ASK=</stp>
        <stp>YAS_YLD_CONV=1</stp>
        <tr r="AA184" s="8"/>
      </tp>
      <tp>
        <v>32.87479451188397</v>
        <stp/>
        <stp>##V3_BDPV12</stp>
        <stp>EI0432910 Govt</stp>
        <stp>DUR_ADJ_ASK</stp>
        <stp>[BondPricer-0.2.xlsm]FRENCH_BTAN_TYPE89!R209C27</stp>
        <stp>YLD_YTM_ASK=</stp>
        <stp>YAS_YLD_CONV=1</stp>
        <tr r="AA209" s="8"/>
      </tp>
      <tp>
        <v>10.502612859075148</v>
        <stp/>
        <stp>##V3_BDPV12</stp>
        <stp>EJ6178747 Govt</stp>
        <stp>DUR_ADJ_ASK</stp>
        <stp>[BondPricer-0.2.xlsm]FRENCH_BTAN_TYPE89!R100C27</stp>
        <stp>YLD_YTM_ASK=</stp>
        <stp>YAS_YLD_CONV=1</stp>
        <tr r="AA100" s="8"/>
      </tp>
      <tp>
        <v>26.150978607747717</v>
        <stp/>
        <stp>##V3_BDPV12</stp>
        <stp>EJ6186948 Govt</stp>
        <stp>DUR_ADJ_ASK</stp>
        <stp>[BondPricer-0.2.xlsm]FRENCH_BTAN_TYPE89!R188C27</stp>
        <stp>YLD_YTM_ASK=</stp>
        <stp>YAS_YLD_CONV=1</stp>
        <tr r="AA188" s="8"/>
      </tp>
      <tp>
        <v>16.306078459034435</v>
        <stp/>
        <stp>##V3_BDPV12</stp>
        <stp>EI0429510 Govt</stp>
        <stp>DUR_ADJ_ASK</stp>
        <stp>[BondPricer-0.2.xlsm]FRENCH_BTAN_TYPE89!R136C27</stp>
        <stp>YLD_YTM_ASK=</stp>
        <stp>YAS_YLD_CONV=1</stp>
        <tr r="AA136" s="8"/>
      </tp>
      <tp>
        <v>15.605324393672051</v>
        <stp/>
        <stp>##V3_BDPV12</stp>
        <stp>JK7596303 Govt</stp>
        <stp>DUR_ADJ_ASK</stp>
        <stp>[BondPricer-0.2.xlsm]FRENCH_BTAN_TYPE89!R147C27</stp>
        <stp>YLD_YTM_ASK=</stp>
        <stp>YAS_YLD_CONV=1</stp>
        <tr r="AA147" s="8"/>
      </tp>
      <tp>
        <v>15.605324393672051</v>
        <stp/>
        <stp>##V3_BDPV12</stp>
        <stp>JK7596303 Govt</stp>
        <stp>DUR_ADJ_ASK</stp>
        <stp>[BondPricer-0.2.xlsm]FRENCH_BTAN_TYPE89!R146C27</stp>
        <stp>YLD_YTM_ASK=</stp>
        <stp>YAS_YLD_CONV=1</stp>
        <tr r="AA146" s="8"/>
      </tp>
      <tp>
        <v>15.605324393672051</v>
        <stp/>
        <stp>##V3_BDPV12</stp>
        <stp>JK7596303 Govt</stp>
        <stp>DUR_ADJ_ASK</stp>
        <stp>[BondPricer-0.2.xlsm]FRENCH_BTAN_TYPE89!R144C27</stp>
        <stp>YLD_YTM_ASK=</stp>
        <stp>YAS_YLD_CONV=1</stp>
        <tr r="AA144" s="8"/>
      </tp>
      <tp>
        <v>17.281808265856416</v>
        <stp/>
        <stp>##V3_BDPV12</stp>
        <stp>EI0431516 Govt</stp>
        <stp>DUR_ADJ_ASK</stp>
        <stp>[BondPricer-0.2.xlsm]FRENCH_BTAN_TYPE89!R142C27</stp>
        <stp>YLD_YTM_ASK=</stp>
        <stp>YAS_YLD_CONV=1</stp>
        <tr r="AA142" s="8"/>
      </tp>
      <tp>
        <v>30.933878806470844</v>
        <stp/>
        <stp>##V3_BDPV12</stp>
        <stp>EI0432514 Govt</stp>
        <stp>DUR_ADJ_ASK</stp>
        <stp>[BondPricer-0.2.xlsm]FRENCH_BTAN_TYPE89!R203C27</stp>
        <stp>YLD_YTM_ASK=</stp>
        <stp>YAS_YLD_CONV=1</stp>
        <tr r="AA203" s="8"/>
      </tp>
      <tp>
        <v>21.185530449371729</v>
        <stp/>
        <stp>##V3_BDPV12</stp>
        <stp>EI0431714 Govt</stp>
        <stp>DUR_ADJ_ASK</stp>
        <stp>[BondPricer-0.2.xlsm]FRENCH_BTAN_TYPE89!R166C27</stp>
        <stp>YLD_YTM_ASK=</stp>
        <stp>YAS_YLD_CONV=1</stp>
        <tr r="AA166" s="8"/>
      </tp>
      <tp>
        <v>12.877083505469196</v>
        <stp/>
        <stp>##V3_BDPV12</stp>
        <stp>EI0429114 Govt</stp>
        <stp>DUR_ADJ_ASK</stp>
        <stp>[BondPricer-0.2.xlsm]FRENCH_BTAN_TYPE89!R116C27</stp>
        <stp>YLD_YTM_ASK=</stp>
        <stp>YAS_YLD_CONV=1</stp>
        <tr r="AA116" s="8"/>
      </tp>
      <tp>
        <v>22.2345407452503</v>
        <stp/>
        <stp>##V3_BDPV12</stp>
        <stp>EJ6186641 Govt</stp>
        <stp>DUR_ADJ_ASK</stp>
        <stp>[BondPricer-0.2.xlsm]FRENCH_BTAN_TYPE89!R175C27</stp>
        <stp>YLD_YTM_ASK=</stp>
        <stp>YAS_YLD_CONV=1</stp>
        <tr r="AA175" s="8"/>
      </tp>
      <tp>
        <v>16.380604283710497</v>
        <stp/>
        <stp>##V3_BDPV12</stp>
        <stp>EJ6185841 Govt</stp>
        <stp>DUR_ADJ_ASK</stp>
        <stp>[BondPricer-0.2.xlsm]FRENCH_BTAN_TYPE89!R139C27</stp>
        <stp>YLD_YTM_ASK=</stp>
        <stp>YAS_YLD_CONV=1</stp>
        <tr r="AA139" s="8"/>
      </tp>
      <tp>
        <v>30.031137005687825</v>
        <stp/>
        <stp>##V3_BDPV12</stp>
        <stp>ED8389162 Govt</stp>
        <stp>DUR_ADJ_ASK</stp>
        <stp>[BondPricer-0.2.xlsm]FRENCH_BTAN_TYPE89!R201C27</stp>
        <stp>YLD_YTM_ASK=</stp>
        <stp>YAS_YLD_CONV=1</stp>
        <tr r="AA201" s="8"/>
      </tp>
      <tp>
        <v>0.68232991474477722</v>
        <stp/>
        <stp>##V3_BDPV12</stp>
        <stp>EJ3468919 Govt</stp>
        <stp>YLD_YTM_ASK</stp>
        <stp>[BondPricer-0.2.xlsm]FRENCH_BTAN_TYPE89!R88C13</stp>
        <tr r="M88" s="8"/>
      </tp>
      <tp>
        <v>15.893884820359579</v>
        <stp/>
        <stp>##V3_BDPV12</stp>
        <stp>EH8786723 Govt</stp>
        <stp>DUR_ADJ_ASK</stp>
        <stp>[BondPricer-0.2.xlsm]FRENCH_BTAN_TYPE89!R169C27</stp>
        <stp>YLD_YTM_ASK=</stp>
        <stp>YAS_YLD_CONV=1</stp>
        <tr r="AA169" s="8"/>
      </tp>
      <tp>
        <v>15.893884820359579</v>
        <stp/>
        <stp>##V3_BDPV12</stp>
        <stp>EH8786723 Govt</stp>
        <stp>DUR_ADJ_ASK</stp>
        <stp>[BondPricer-0.2.xlsm]FRENCH_BTAN_TYPE89!R173C27</stp>
        <stp>YLD_YTM_ASK=</stp>
        <stp>YAS_YLD_CONV=1</stp>
        <tr r="AA173" s="8"/>
      </tp>
      <tp>
        <v>15.893884820359579</v>
        <stp/>
        <stp>##V3_BDPV12</stp>
        <stp>EH8786723 Govt</stp>
        <stp>DUR_ADJ_ASK</stp>
        <stp>[BondPricer-0.2.xlsm]FRENCH_BTAN_TYPE89!R174C27</stp>
        <stp>YLD_YTM_ASK=</stp>
        <stp>YAS_YLD_CONV=1</stp>
        <tr r="AA174" s="8"/>
      </tp>
      <tp>
        <v>18.75103208107133</v>
        <stp/>
        <stp>##V3_BDPV12</stp>
        <stp>EI0430518 Govt</stp>
        <stp>DUR_ADJ_ASK</stp>
        <stp>[BondPricer-0.2.xlsm]FRENCH_BTAN_TYPE89!R153C27</stp>
        <stp>YLD_YTM_ASK=</stp>
        <stp>YAS_YLD_CONV=1</stp>
        <tr r="AA153" s="8"/>
      </tp>
      <tp>
        <v>25.083086702793732</v>
        <stp/>
        <stp>##V3_BDPV12</stp>
        <stp>EI0432118 Govt</stp>
        <stp>DUR_ADJ_ASK</stp>
        <stp>[BondPricer-0.2.xlsm]FRENCH_BTAN_TYPE89!R182C27</stp>
        <stp>YLD_YTM_ASK=</stp>
        <stp>YAS_YLD_CONV=1</stp>
        <tr r="AA182" s="8"/>
      </tp>
      <tp>
        <v>20.289977641984517</v>
        <stp/>
        <stp>##V3_BDPV12</stp>
        <stp>EJ6186245 Govt</stp>
        <stp>DUR_ADJ_ASK</stp>
        <stp>[BondPricer-0.2.xlsm]FRENCH_BTAN_TYPE89!R164C27</stp>
        <stp>YLD_YTM_ASK=</stp>
        <stp>YAS_YLD_CONV=1</stp>
        <tr r="AA164" s="8"/>
      </tp>
      <tp>
        <v>14.423400923347337</v>
        <stp/>
        <stp>##V3_BDPV12</stp>
        <stp>EJ6185445 Govt</stp>
        <stp>DUR_ADJ_ASK</stp>
        <stp>[BondPricer-0.2.xlsm]FRENCH_BTAN_TYPE89!R127C27</stp>
        <stp>YLD_YTM_ASK=</stp>
        <stp>YAS_YLD_CONV=1</stp>
        <tr r="AA127" s="8"/>
      </tp>
      <tp>
        <v>21.262136250655658</v>
        <stp/>
        <stp>##V3_BDPV12</stp>
        <stp>EJ6186344 Govt</stp>
        <stp>DUR_ADJ_ASK</stp>
        <stp>[BondPricer-0.2.xlsm]FRENCH_BTAN_TYPE89!R168C27</stp>
        <stp>YLD_YTM_ASK=</stp>
        <stp>YAS_YLD_CONV=1</stp>
        <tr r="AA168" s="8"/>
      </tp>
      <tp>
        <v>34.946444057156256</v>
        <stp/>
        <stp>##V3_BDPV12</stp>
        <stp>ED8390566 Govt</stp>
        <stp>DUR_ADJ_ASK</stp>
        <stp>[BondPricer-0.2.xlsm]FRENCH_BTAN_TYPE89!R216C27</stp>
        <stp>YLD_YTM_ASK=</stp>
        <stp>YAS_YLD_CONV=1</stp>
        <tr r="AA216" s="8"/>
      </tp>
      <tp>
        <v>18.335102471997342</v>
        <stp/>
        <stp>##V3_BDPV12</stp>
        <stp>EJ6186047 Govt</stp>
        <stp>DUR_ADJ_ASK</stp>
        <stp>[BondPricer-0.2.xlsm]FRENCH_BTAN_TYPE89!R152C27</stp>
        <stp>YLD_YTM_ASK=</stp>
        <stp>YAS_YLD_CONV=1</stp>
        <tr r="AA152" s="8"/>
      </tp>
      <tp>
        <v>19.312286143618433</v>
        <stp/>
        <stp>##V3_BDPV12</stp>
        <stp>EJ6186146 Govt</stp>
        <stp>DUR_ADJ_ASK</stp>
        <stp>[BondPricer-0.2.xlsm]FRENCH_BTAN_TYPE89!R157C27</stp>
        <stp>YLD_YTM_ASK=</stp>
        <stp>YAS_YLD_CONV=1</stp>
        <tr r="AA157" s="8"/>
      </tp>
      <tp>
        <v>13.443376037105462</v>
        <stp/>
        <stp>##V3_BDPV12</stp>
        <stp>EJ6185346 Govt</stp>
        <stp>DUR_ADJ_ASK</stp>
        <stp>[BondPricer-0.2.xlsm]FRENCH_BTAN_TYPE89!R120C27</stp>
        <stp>YLD_YTM_ASK=</stp>
        <stp>YAS_YLD_CONV=1</stp>
        <tr r="AA120" s="8"/>
      </tp>
      <tp>
        <v>-0.58828028125258447</v>
        <stp/>
        <stp>##V3_BDPV12</stp>
        <stp>AM1546788 Govt</stp>
        <stp>YLD_YTM_ASK</stp>
        <stp>[BondPricer-0.2.xlsm]FRENCH_BTAN_TYPE89!R7C13</stp>
        <tr r="M7" s="8"/>
      </tp>
      <tp t="s">
        <v>#N/A Invalid Override</v>
        <stp/>
        <stp>##V3_BDPV12</stp>
        <stp>LW5453029 Govt</stp>
        <stp>YLD_CMPD_JPN_ASK_NOTRUNC</stp>
        <stp>[BondPricer-0.2.xlsm]JAPAN_JGB_TYPE51!R175C35</stp>
        <stp>PX_ASK=#N/A Requesting Data...</stp>
        <tr r="AI175" s="7"/>
      </tp>
      <tp>
        <v>107.70399999999999</v>
        <stp/>
        <stp>##V3_BDPV12</stp>
        <stp>JV3368661 Govt</stp>
        <stp>YAS_BOND_PX</stp>
        <stp>[BondPricer-0.2.xlsm]JAPAN_JGB_TYPE51!R171C20</stp>
        <stp>YAS_BOND_SPL_YLD=0.512</stp>
        <stp>YAS_YLD_CONV=2</stp>
        <tr r="T171" s="7"/>
      </tp>
      <tp>
        <v>128.15600000000001</v>
        <stp/>
        <stp>##V3_BDPV12</stp>
        <stp>EC1745347 Govt</stp>
        <stp>YAS_BOND_PX</stp>
        <stp>[BondPricer-0.2.xlsm]JAPAN_JGB_TYPE51!R110C20</stp>
        <stp>YAS_BOND_SPL_YLD=0.174</stp>
        <stp>YAS_YLD_CONV=2</stp>
        <tr r="T110" s="7"/>
      </tp>
      <tp>
        <v>128.584</v>
        <stp/>
        <stp>##V3_BDPV12</stp>
        <stp>ED9034742 Govt</stp>
        <stp>YAS_BOND_PX</stp>
        <stp>[BondPricer-0.2.xlsm]JAPAN_JGB_TYPE51!R166C20</stp>
        <stp>YAS_BOND_SPL_YLD=0.435</stp>
        <stp>YAS_YLD_CONV=2</stp>
        <tr r="T166" s="7"/>
      </tp>
      <tp>
        <v>119.384</v>
        <stp/>
        <stp>##V3_BDPV12</stp>
        <stp>EJ0963383 Govt</stp>
        <stp>YAS_BOND_PX</stp>
        <stp>[BondPricer-0.2.xlsm]JAPAN_JGB_TYPE51!R137C20</stp>
        <stp>YAS_BOND_SPL_YLD=0.298</stp>
        <stp>YAS_YLD_CONV=2</stp>
        <tr r="T137" s="7"/>
      </tp>
      <tp>
        <v>118.319</v>
        <stp/>
        <stp>##V3_BDPV12</stp>
        <stp>EJ3633405 Govt</stp>
        <stp>YAS_BOND_PX</stp>
        <stp>[BondPricer-0.2.xlsm]JAPAN_JGB_TYPE51!R143C20</stp>
        <stp>YAS_BOND_SPL_YLD=0.325</stp>
        <stp>YAS_YLD_CONV=2</stp>
        <tr r="T143" s="7"/>
      </tp>
      <tp>
        <v>120.90600000000001</v>
        <stp/>
        <stp>##V3_BDPV12</stp>
        <stp>EI5876087 Govt</stp>
        <stp>YAS_BOND_PX</stp>
        <stp>[BondPricer-0.2.xlsm]JAPAN_JGB_TYPE51!R124C20</stp>
        <stp>YAS_BOND_SPL_YLD=0.234</stp>
        <stp>YAS_YLD_CONV=2</stp>
        <tr r="T124" s="7"/>
      </tp>
      <tp>
        <v>7.9384707745599057</v>
        <stp/>
        <stp>##V3_BDPV12</stp>
        <stp>EG5864293 Govt</stp>
        <stp>YAS_MOD_DUR</stp>
        <stp>[BondPricer-0.2.xlsm]JAPAN_JGB_TYPE51!R91C28</stp>
        <stp>YLD_YTM_ASK=0.0729999999999995</stp>
        <stp>YAS_YLD_CONV=3</stp>
        <tr r="AB91" s="7"/>
      </tp>
      <tp>
        <v>121.76699999998552</v>
        <stp/>
        <stp>##V3_BDPV12</stp>
        <stp>EC5346845 Govt</stp>
        <stp>PX_ASK</stp>
        <stp>[BondPricer-0.2.xlsm]ITALIAN_BTPS_TYPE523!R107C22</stp>
        <stp>YAS_BOND_YLD=3.8010247032769</stp>
        <stp>YAS_YLD_CONV=1</stp>
        <tr r="V107" s="5"/>
      </tp>
      <tp>
        <v>7.1101073717111429</v>
        <stp/>
        <stp>##V3_BDPV12</stp>
        <stp>EF6592994 Govt</stp>
        <stp>YAS_MOD_DUR</stp>
        <stp>[BondPricer-0.2.xlsm]JAPAN_JGB_TYPE51!R83C28</stp>
        <stp>YLD_YTM_ASK=0.0320000000000006</stp>
        <stp>YAS_YLD_CONV=3</stp>
        <tr r="AB83" s="7"/>
      </tp>
      <tp>
        <v>-0.11399999999999547</v>
        <stp/>
        <stp>##V3_BDPV12</stp>
        <stp>QZ4977943 Govt</stp>
        <stp>YLD_YTM_ASK</stp>
        <stp>[BondPricer-0.2.xlsm]JAPAN_JGB_TYPE51!R16C13</stp>
        <tr r="M16" s="7"/>
      </tp>
      <tp>
        <v>0.49795365868559038</v>
        <stp/>
        <stp>##V3_BDPV12</stp>
        <stp>EJ6178390 Govt</stp>
        <stp>YLD_YTM_ASK</stp>
        <stp>[BondPricer-0.2.xlsm]FRENCH_BTAN_TYPE89!R75C13</stp>
        <tr r="M75" s="8"/>
      </tp>
      <tp>
        <v>14.341369079991448</v>
        <stp/>
        <stp>##V3_BDPV12</stp>
        <stp>ED3948830 Govt</stp>
        <stp>DUR_ADJ_ASK</stp>
        <stp>[BondPricer-0.2.xlsm]FRENCH_BTAN_TYPE89!R126C27</stp>
        <stp>YLD_YTM_ASK=</stp>
        <stp>YAS_YLD_CONV=1</stp>
        <tr r="AA126" s="8"/>
      </tp>
      <tp>
        <v>0.22528813102915546</v>
        <stp/>
        <stp>##V3_BDPV12</stp>
        <stp>GG7190257 Govt</stp>
        <stp>YLD_YTM_ASK</stp>
        <stp>[BondPricer-0.2.xlsm]FRENCH_BTAN_TYPE89!R56C13</stp>
        <tr r="M56" s="8"/>
      </tp>
      <tp>
        <v>-0.25894795934099379</v>
        <stp/>
        <stp>##V3_BDPV12</stp>
        <stp>GG7127259 Govt</stp>
        <stp>YLD_YTM_ASK</stp>
        <stp>[BondPricer-0.2.xlsm]FRENCH_BTAN_TYPE89!R25C13</stp>
        <tr r="M25" s="8"/>
      </tp>
      <tp>
        <v>0.82562212757559428</v>
        <stp/>
        <stp>##V3_BDPV12</stp>
        <stp>GG7384272 Govt</stp>
        <stp>YLD_YTM_ASK</stp>
        <stp>[BondPricer-0.2.xlsm]FRENCH_BTAN_TYPE89!R96C13</stp>
        <tr r="M96" s="8"/>
      </tp>
      <tp>
        <v>8.7447455240829974E-2</v>
        <stp/>
        <stp>##V3_BDPV12</stp>
        <stp>GG7190240 Govt</stp>
        <stp>YLD_YTM_ASK</stp>
        <stp>[BondPricer-0.2.xlsm]FRENCH_BTAN_TYPE89!R46C13</stp>
        <tr r="M46" s="8"/>
      </tp>
      <tp>
        <v>0.46018886428913497</v>
        <stp/>
        <stp>##V3_BDPV12</stp>
        <stp>EI0428512 Govt</stp>
        <stp>YLD_YTM_ASK</stp>
        <stp>[BondPricer-0.2.xlsm]FRENCH_BTAN_TYPE89!R72C13</stp>
        <tr r="M72" s="8"/>
      </tp>
      <tp>
        <v>0.45079830347509731</v>
        <stp/>
        <stp>##V3_BDPV12</stp>
        <stp>GG7190273 Govt</stp>
        <stp>YLD_YTM_ASK</stp>
        <stp>[BondPricer-0.2.xlsm]FRENCH_BTAN_TYPE89!R67C13</stp>
        <tr r="M67" s="8"/>
      </tp>
      <tp>
        <v>3.0774609280737053E-2</v>
        <stp/>
        <stp>##V3_BDPV12</stp>
        <stp>GG7127275 Govt</stp>
        <stp>YLD_YTM_ASK</stp>
        <stp>[BondPricer-0.2.xlsm]FRENCH_BTAN_TYPE89!R37C13</stp>
        <tr r="M37" s="8"/>
      </tp>
      <tp>
        <v>0.44976484190695221</v>
        <stp/>
        <stp>##V3_BDPV12</stp>
        <stp>GG7190265 Govt</stp>
        <stp>YLD_YTM_ASK</stp>
        <stp>[BondPricer-0.2.xlsm]FRENCH_BTAN_TYPE89!R68C13</stp>
        <tr r="M68" s="8"/>
      </tp>
      <tp>
        <v>3.0774609280737053E-2</v>
        <stp/>
        <stp>##V3_BDPV12</stp>
        <stp>GG7127267 Govt</stp>
        <stp>YLD_YTM_ASK</stp>
        <stp>[BondPricer-0.2.xlsm]FRENCH_BTAN_TYPE89!R39C13</stp>
        <tr r="M39" s="8"/>
      </tp>
      <tp>
        <v>-0.24288646106445747</v>
        <stp/>
        <stp>##V3_BDPV12</stp>
        <stp>GG7115262 Govt</stp>
        <stp>YLD_YTM_ASK</stp>
        <stp>[BondPricer-0.2.xlsm]FRENCH_BTAN_TYPE89!R23C13</stp>
        <tr r="M23" s="8"/>
      </tp>
      <tp>
        <v>0.66363732319669744</v>
        <stp/>
        <stp>##V3_BDPV12</stp>
        <stp>EI0428553 Govt</stp>
        <stp>YLD_YTM_ASK</stp>
        <stp>[BondPricer-0.2.xlsm]FRENCH_BTAN_TYPE89!R82C13</stp>
        <tr r="M82" s="8"/>
      </tp>
      <tp>
        <v>-8.1138916710876696E-2</v>
        <stp/>
        <stp>##V3_BDPV12</stp>
        <stp>GG7190232 Govt</stp>
        <stp>YLD_YTM_ASK</stp>
        <stp>[BondPricer-0.2.xlsm]FRENCH_BTAN_TYPE89!R32C13</stp>
        <tr r="M32" s="8"/>
      </tp>
      <tp>
        <v>-0.3783355089560958</v>
        <stp/>
        <stp>##V3_BDPV12</stp>
        <stp>GG7127234 Govt</stp>
        <stp>YLD_YTM_ASK</stp>
        <stp>[BondPricer-0.2.xlsm]FRENCH_BTAN_TYPE89!R11C13</stp>
        <tr r="M11" s="8"/>
      </tp>
      <tp>
        <v>-0.34896914067515938</v>
        <stp/>
        <stp>##V3_BDPV12</stp>
        <stp>GG7190224 Govt</stp>
        <stp>YLD_YTM_ASK</stp>
        <stp>[BondPricer-0.2.xlsm]FRENCH_BTAN_TYPE89!R19C13</stp>
        <tr r="M19" s="8"/>
      </tp>
      <tp>
        <v>19.926414964969062</v>
        <stp/>
        <stp>##V3_BDPV12</stp>
        <stp>EJ1358112 Govt</stp>
        <stp>DUR_ADJ_ASK</stp>
        <stp>[BondPricer-0.2.xlsm]GERMAN_BUND_TYPE60!R35C27</stp>
        <stp>YLD_YTM_ASK=1.04811086700724</stp>
        <stp>YAS_YLD_CONV=1</stp>
        <tr r="AA35" s="6"/>
      </tp>
      <tp>
        <v>68.325999750880513</v>
        <stp/>
        <stp>##V3_BDPV12</stp>
        <stp>EK0222795 Govt</stp>
        <stp>PX_ASK</stp>
        <stp>[BondPricer-0.2.xlsm]ITALIAN_BTPS_TYPE523!R79C22</stp>
        <stp>YAS_BOND_YLD=3.7401097252338</stp>
        <stp>YAS_YLD_CONV=1</stp>
        <tr r="V79" s="5"/>
      </tp>
      <tp>
        <v>74.534999952596422</v>
        <stp/>
        <stp>##V3_BDPV12</stp>
        <stp>EK0222431 Govt</stp>
        <stp>PX_ASK</stp>
        <stp>[BondPricer-0.2.xlsm]ITALIAN_BTPS_TYPE523!R57C22</stp>
        <stp>YAS_BOND_YLD=3.5724710103729</stp>
        <stp>YAS_YLD_CONV=1</stp>
        <tr r="V57" s="5"/>
      </tp>
      <tp>
        <v>111.062</v>
        <stp/>
        <stp>##V3_BDPV12</stp>
        <stp>UV8902925 Govt</stp>
        <stp>YAS_BOND_PX</stp>
        <stp>[BondPricer-0.2.xlsm]JAPAN_JGB_TYPE51!R169C20</stp>
        <stp>YAS_BOND_SPL_YLD=0.492</stp>
        <stp>YAS_YLD_CONV=2</stp>
        <tr r="T169" s="7"/>
      </tp>
      <tp>
        <v>129.16999999999999</v>
        <stp/>
        <stp>##V3_BDPV12</stp>
        <stp>EI0048054 Govt</stp>
        <stp>YAS_BOND_PX</stp>
        <stp>[BondPricer-0.2.xlsm]JAPAN_JGB_TYPE51!R187C20</stp>
        <stp>YAS_BOND_SPL_YLD=0.624</stp>
        <stp>YAS_YLD_CONV=2</stp>
        <tr r="T187" s="7"/>
      </tp>
      <tp>
        <v>117.80200000000001</v>
        <stp/>
        <stp>##V3_BDPV12</stp>
        <stp>EI8863967 Govt</stp>
        <stp>YAS_BOND_PX</stp>
        <stp>[BondPricer-0.2.xlsm]JAPAN_JGB_TYPE51!R132C20</stp>
        <stp>YAS_BOND_SPL_YLD=0.274</stp>
        <stp>YAS_YLD_CONV=2</stp>
        <tr r="T132" s="7"/>
      </tp>
      <tp>
        <v>56.845999999962977</v>
        <stp/>
        <stp>##V3_BDPV12</stp>
        <stp>EK0223579 Govt</stp>
        <stp>PX_ASK</stp>
        <stp>[BondPricer-0.2.xlsm]ITALIAN_BTPS_TYPE523!R111C22</stp>
        <stp>YAS_BOND_YLD=4.0080164145212</stp>
        <stp>YAS_YLD_CONV=1</stp>
        <tr r="V111" s="5"/>
      </tp>
      <tp>
        <v>8.6352926450559817</v>
        <stp/>
        <stp>##V3_BDPV12</stp>
        <stp>EH2690319 Govt</stp>
        <stp>YAS_MOD_DUR</stp>
        <stp>[BondPricer-0.2.xlsm]JAPAN_JGB_TYPE51!R96C28</stp>
        <stp>YLD_YTM_ASK=0.0980000000000009</stp>
        <stp>YAS_YLD_CONV=3</stp>
        <tr r="AB96" s="7"/>
      </tp>
      <tp>
        <v>18.257850097425333</v>
        <stp/>
        <stp>##V3_BDPV12</stp>
        <stp>ED8388289 Govt</stp>
        <stp>DUR_ADJ_ASK</stp>
        <stp>[BondPricer-0.2.xlsm]FRENCH_BTAN_TYPE89!R151C27</stp>
        <stp>YLD_YTM_ASK=</stp>
        <stp>YAS_YLD_CONV=1</stp>
        <tr r="AA151" s="8"/>
      </tp>
      <tp>
        <v>28.092830799658721</v>
        <stp/>
        <stp>##V3_BDPV12</stp>
        <stp>ED8389089 Govt</stp>
        <stp>DUR_ADJ_ASK</stp>
        <stp>[BondPricer-0.2.xlsm]FRENCH_BTAN_TYPE89!R195C27</stp>
        <stp>YLD_YTM_ASK=</stp>
        <stp>YAS_YLD_CONV=1</stp>
        <tr r="AA195" s="8"/>
      </tp>
      <tp>
        <v>0.10687147136965169</v>
        <stp/>
        <stp>##V3_BDPV12</stp>
        <stp>EK3918746 Govt</stp>
        <stp>YLD_YTM_ASK</stp>
        <stp>[BondPricer-0.2.xlsm]FRENCH_BTAN_TYPE89!R48C13</stp>
        <tr r="M48" s="8"/>
      </tp>
      <tp>
        <v>35.964129072458995</v>
        <stp/>
        <stp>##V3_BDPV12</stp>
        <stp>ED8324482 Govt</stp>
        <stp>DUR_ADJ_ASK</stp>
        <stp>[BondPricer-0.2.xlsm]FRENCH_BTAN_TYPE89!R220C27</stp>
        <stp>YLD_YTM_ASK=</stp>
        <stp>YAS_YLD_CONV=1</stp>
        <tr r="AA220" s="8"/>
      </tp>
      <tp>
        <v>25.459954103045845</v>
        <stp/>
        <stp>##V3_BDPV12</stp>
        <stp>EH8786723 Govt</stp>
        <stp>YAS_RISK</stp>
        <stp>[BondPricer-0.2.xlsm]FRENCH_BTAN_TYPE89!R174C24</stp>
        <stp>YLD_YTM_ASK=1.4587782392609</stp>
        <stp>YAS_YLD_CONV=1</stp>
        <tr r="X174" s="8"/>
      </tp>
      <tp>
        <v>36.76696945868099</v>
        <stp/>
        <stp>##V3_BDPV12</stp>
        <stp>EI1868237 Govt</stp>
        <stp>DUR_ADJ_ASK</stp>
        <stp>[BondPricer-0.2.xlsm]FRENCH_BTAN_TYPE89!R223C27</stp>
        <stp>YLD_YTM_ASK=</stp>
        <stp>YAS_YLD_CONV=1</stp>
        <tr r="AA223" s="8"/>
      </tp>
      <tp>
        <v>-0.11022766271018984</v>
        <stp/>
        <stp>##V3_BDPV12</stp>
        <stp>EJ3845777 Govt</stp>
        <stp>YLD_YTM_ASK</stp>
        <stp>[BondPricer-0.2.xlsm]FRENCH_BTAN_TYPE89!R31C13</stp>
        <tr r="M31" s="8"/>
      </tp>
      <tp>
        <v>105.31099999999985</v>
        <stp/>
        <stp>##V3_BDPV12</stp>
        <stp>AL9974240 Govt</stp>
        <stp>YAS_BOND_PX</stp>
        <stp>[BondPricer-0.2.xlsm]FRENCH_BTAN_TYPE89!R165C20</stp>
        <stp>YAS_BOND_YLD=1.4508295832051</stp>
        <stp>YAS_YLD_CONV=1</stp>
        <tr r="T165" s="8"/>
      </tp>
      <tp>
        <v>40.685240827599401</v>
        <stp/>
        <stp>##V3_BDPV12</stp>
        <stp>EI1868633 Govt</stp>
        <stp>DUR_ADJ_ASK</stp>
        <stp>[BondPricer-0.2.xlsm]FRENCH_BTAN_TYPE89!R232C27</stp>
        <stp>YLD_YTM_ASK=</stp>
        <stp>YAS_YLD_CONV=1</stp>
        <tr r="AA232" s="8"/>
      </tp>
      <tp>
        <v>35.930126731617527</v>
        <stp/>
        <stp>##V3_BDPV12</stp>
        <stp>ED8324888 Govt</stp>
        <stp>DUR_ADJ_ASK</stp>
        <stp>[BondPricer-0.2.xlsm]FRENCH_BTAN_TYPE89!R221C27</stp>
        <stp>YLD_YTM_ASK=</stp>
        <stp>YAS_YLD_CONV=1</stp>
        <tr r="AA221" s="8"/>
      </tp>
      <tp>
        <v>135.41899999982726</v>
        <stp/>
        <stp>##V3_BDPV12</stp>
        <stp>EJ6098374 Govt</stp>
        <stp>YAS_BOND_PX</stp>
        <stp>[BondPricer-0.2.xlsm]FRENCH_BTAN_TYPE89!R190C20</stp>
        <stp>YAS_BOND_YLD=1.6036825976362</stp>
        <stp>YAS_YLD_CONV=1</stp>
        <tr r="T190" s="8"/>
      </tp>
      <tp>
        <v>135.41899999982726</v>
        <stp/>
        <stp>##V3_BDPV12</stp>
        <stp>EJ6098374 Govt</stp>
        <stp>YAS_BOND_PX</stp>
        <stp>[BondPricer-0.2.xlsm]FRENCH_BTAN_TYPE89!R187C20</stp>
        <stp>YAS_BOND_YLD=1.6036825976362</stp>
        <stp>YAS_YLD_CONV=1</stp>
        <tr r="T187" s="8"/>
      </tp>
      <tp>
        <v>135.41899999982726</v>
        <stp/>
        <stp>##V3_BDPV12</stp>
        <stp>EJ6098374 Govt</stp>
        <stp>YAS_BOND_PX</stp>
        <stp>[BondPricer-0.2.xlsm]FRENCH_BTAN_TYPE89!R189C20</stp>
        <stp>YAS_BOND_YLD=1.6036825976362</stp>
        <stp>YAS_YLD_CONV=1</stp>
        <tr r="T189" s="8"/>
      </tp>
      <tp>
        <v>0.34789770943965959</v>
        <stp/>
        <stp>##V3_BDPV12</stp>
        <stp>EJ6178242 Govt</stp>
        <stp>YLD_YTM_ASK</stp>
        <stp>[BondPricer-0.2.xlsm]FRENCH_BTAN_TYPE89!R62C13</stp>
        <tr r="M62" s="8"/>
      </tp>
      <tp>
        <v>0.34190161655949236</v>
        <stp/>
        <stp>##V3_BDPV12</stp>
        <stp>EI0428439 Govt</stp>
        <stp>YLD_YTM_ASK</stp>
        <stp>[BondPricer-0.2.xlsm]FRENCH_BTAN_TYPE89!R59C13</stp>
        <tr r="M59" s="8"/>
      </tp>
      <tp>
        <v>23.144212241752648</v>
        <stp/>
        <stp>##V3_BDPV12</stp>
        <stp>ED8388685 Govt</stp>
        <stp>DUR_ADJ_ASK</stp>
        <stp>[BondPricer-0.2.xlsm]FRENCH_BTAN_TYPE89!R177C27</stp>
        <stp>YLD_YTM_ASK=</stp>
        <stp>YAS_YLD_CONV=1</stp>
        <tr r="AA177" s="8"/>
      </tp>
      <tp>
        <v>32.004675903800425</v>
        <stp/>
        <stp>##V3_BDPV12</stp>
        <stp>ED8389287 Govt</stp>
        <stp>DUR_ADJ_ASK</stp>
        <stp>[BondPricer-0.2.xlsm]FRENCH_BTAN_TYPE89!R207C27</stp>
        <stp>YLD_YTM_ASK=</stp>
        <stp>YAS_YLD_CONV=1</stp>
        <tr r="AA207" s="8"/>
      </tp>
      <tp>
        <v>20.216945562879651</v>
        <stp/>
        <stp>##V3_BDPV12</stp>
        <stp>ED8388487 Govt</stp>
        <stp>DUR_ADJ_ASK</stp>
        <stp>[BondPricer-0.2.xlsm]FRENCH_BTAN_TYPE89!R162C27</stp>
        <stp>YLD_YTM_ASK=</stp>
        <stp>YAS_YLD_CONV=1</stp>
        <tr r="AA162" s="8"/>
      </tp>
      <tp>
        <v>-3.6329600444004573E-2</v>
        <stp/>
        <stp>##V3_BDPV12</stp>
        <stp>GG7112335 Govt</stp>
        <stp>YLD_YTM_ASK</stp>
        <stp>[BondPricer-0.2.xlsm]FRENCH_BTAN_TYPE89!R36C13</stp>
        <tr r="M36" s="8"/>
      </tp>
      <tp>
        <v>13.852123932962686</v>
        <stp/>
        <stp>##V3_BDPV12</stp>
        <stp>EC3971529 Govt</stp>
        <stp>DUR_ADJ_ASK</stp>
        <stp>[BondPricer-0.2.xlsm]FRENCH_BTAN_TYPE89!R124C27</stp>
        <stp>YLD_YTM_ASK=</stp>
        <stp>YAS_YLD_CONV=1</stp>
        <tr r="AA124" s="8"/>
      </tp>
      <tp t="s">
        <v>#N/A Invalid Override</v>
        <stp/>
        <stp>##V3_BDPV12</stp>
        <stp>JV3368661 Govt</stp>
        <stp>YLD_CMPD_JPN_ASK_NOTRUNC</stp>
        <stp>[BondPricer-0.2.xlsm]JAPAN_JGB_TYPE51!R171C35</stp>
        <stp>PX_ASK=#N/A Requesting Data...</stp>
        <tr r="AI171" s="7"/>
      </tp>
      <tp>
        <v>100.229</v>
        <stp/>
        <stp>##V3_BDPV12</stp>
        <stp>AL7975124 Govt</stp>
        <stp>YAS_BOND_PX</stp>
        <stp>[BondPricer-0.2.xlsm]JAPAN_JGB_TYPE51!R179C20</stp>
        <stp>YAS_BOND_SPL_YLD=0.586</stp>
        <stp>YAS_YLD_CONV=2</stp>
        <tr r="T179" s="7"/>
      </tp>
      <tp>
        <v>120.98</v>
        <stp/>
        <stp>##V3_BDPV12</stp>
        <stp>EI0835450 Govt</stp>
        <stp>YAS_BOND_PX</stp>
        <stp>[BondPricer-0.2.xlsm]JAPAN_JGB_TYPE51!R111C20</stp>
        <stp>YAS_BOND_SPL_YLD=0.184</stp>
        <stp>YAS_YLD_CONV=2</stp>
        <tr r="T111" s="7"/>
      </tp>
      <tp>
        <v>115.785</v>
        <stp/>
        <stp>##V3_BDPV12</stp>
        <stp>EI3854854 Govt</stp>
        <stp>YAS_BOND_PX</stp>
        <stp>[BondPricer-0.2.xlsm]JAPAN_JGB_TYPE51!R117C20</stp>
        <stp>YAS_BOND_SPL_YLD=0.214</stp>
        <stp>YAS_YLD_CONV=2</stp>
        <tr r="T117" s="7"/>
      </tp>
      <tp>
        <v>7.9920972844743545</v>
        <stp/>
        <stp>##V3_BDPV12</stp>
        <stp>EG7807761 Govt</stp>
        <stp>YAS_MOD_DUR</stp>
        <stp>[BondPricer-0.2.xlsm]JAPAN_JGB_TYPE51!R92C28</stp>
        <stp>YLD_YTM_ASK=0.0720000000000012</stp>
        <stp>YAS_YLD_CONV=3</stp>
        <tr r="AB92" s="7"/>
      </tp>
      <tp>
        <v>114.34099999928364</v>
        <stp/>
        <stp>##V3_BDPV12</stp>
        <stp>EG9398371 Govt</stp>
        <stp>PX_ASK</stp>
        <stp>[BondPricer-0.2.xlsm]ITALIAN_BTPS_TYPE523!R141C22</stp>
        <stp>YAS_BOND_YLD=4.0184516541143</stp>
        <stp>YAS_YLD_CONV=1</stp>
        <tr r="V141" s="5"/>
      </tp>
      <tp>
        <v>7.8944826183549921</v>
        <stp/>
        <stp>##V3_BDPV12</stp>
        <stp>QZ4138504 Govt</stp>
        <stp>YAS_MOD_DUR</stp>
        <stp>[BondPricer-0.2.xlsm]JAPAN_JGB_TYPE51!R84C28</stp>
        <stp>YLD_YTM_ASK=0.0430000000000018</stp>
        <stp>YAS_YLD_CONV=3</stp>
        <tr r="AB84" s="7"/>
      </tp>
      <tp>
        <v>53.18699999981294</v>
        <stp/>
        <stp>##V3_BDPV12</stp>
        <stp>EK0223819 Govt</stp>
        <stp>PX_ASK</stp>
        <stp>[BondPricer-0.2.xlsm]ITALIAN_BTPS_TYPE523!R122C22</stp>
        <stp>YAS_BOND_YLD=3.9314105351115</stp>
        <stp>YAS_YLD_CONV=1</stp>
        <tr r="V122" s="5"/>
      </tp>
      <tp>
        <v>7.6692792371485297</v>
        <stp/>
        <stp>##V3_BDPV12</stp>
        <stp>AN2021185 Govt</stp>
        <stp>YAS_RISK</stp>
        <stp>[BondPricer-0.2.xlsm]ITALIAN_BTPS_TYPE523!R198C26</stp>
        <stp>YLD_YTM_ASK=4.000695608621</stp>
        <stp>YAS_YLD_CONV=33</stp>
        <tr r="Z198" s="5"/>
      </tp>
      <tp>
        <v>12.467743936979844</v>
        <stp/>
        <stp>##V3_BDPV12</stp>
        <stp>EJ6183499 Govt</stp>
        <stp>DUR_ADJ_ASK</stp>
        <stp>[BondPricer-0.2.xlsm]FRENCH_BTAN_TYPE89!R113C27</stp>
        <stp>YLD_YTM_ASK=</stp>
        <stp>YAS_YLD_CONV=1</stp>
        <tr r="AA113" s="8"/>
      </tp>
      <tp>
        <v>28.07651775767755</v>
        <stp/>
        <stp>##V3_BDPV12</stp>
        <stp>JK8068088 Govt</stp>
        <stp>DUR_ADJ_ASK</stp>
        <stp>[BondPricer-0.2.xlsm]FRENCH_BTAN_TYPE89!R196C27</stp>
        <stp>YLD_YTM_ASK=</stp>
        <stp>YAS_YLD_CONV=1</stp>
        <tr r="AA196" s="8"/>
      </tp>
      <tp>
        <v>17.365634658646446</v>
        <stp/>
        <stp>##V3_BDPV12</stp>
        <stp>EJ6185999 Govt</stp>
        <stp>DUR_ADJ_ASK</stp>
        <stp>[BondPricer-0.2.xlsm]FRENCH_BTAN_TYPE89!R145C27</stp>
        <stp>YLD_YTM_ASK=</stp>
        <stp>YAS_YLD_CONV=1</stp>
        <tr r="AA145" s="8"/>
      </tp>
      <tp>
        <v>12.383265700998745</v>
        <stp/>
        <stp>##V3_BDPV12</stp>
        <stp>ED3948715 Govt</stp>
        <stp>DUR_ADJ_ASK</stp>
        <stp>[BondPricer-0.2.xlsm]FRENCH_BTAN_TYPE89!R111C27</stp>
        <stp>YLD_YTM_ASK=</stp>
        <stp>YAS_YLD_CONV=1</stp>
        <tr r="AA111" s="8"/>
      </tp>
      <tp>
        <v>11.487159403659197</v>
        <stp/>
        <stp>##V3_BDPV12</stp>
        <stp>EJ6178796 Govt</stp>
        <stp>DUR_ADJ_ASK</stp>
        <stp>[BondPricer-0.2.xlsm]FRENCH_BTAN_TYPE89!R107C27</stp>
        <stp>YLD_YTM_ASK=</stp>
        <stp>YAS_YLD_CONV=1</stp>
        <tr r="AA107" s="8"/>
      </tp>
      <tp>
        <v>24.186260859000001</v>
        <stp/>
        <stp>##V3_BDPV12</stp>
        <stp>EJ6186799 Govt</stp>
        <stp>DUR_ADJ_ASK</stp>
        <stp>[BondPricer-0.2.xlsm]FRENCH_BTAN_TYPE89!R181C27</stp>
        <stp>YLD_YTM_ASK=</stp>
        <stp>YAS_YLD_CONV=1</stp>
        <tr r="AA181" s="8"/>
      </tp>
      <tp>
        <v>0.59350700061886474</v>
        <stp/>
        <stp>##V3_BDPV12</stp>
        <stp>AM0114794 Govt</stp>
        <stp>YLD_YTM_ASK</stp>
        <stp>[BondPricer-0.2.xlsm]FRENCH_BTAN_TYPE89!R81C13</stp>
        <tr r="M81" s="8"/>
      </tp>
      <tp>
        <v>16.295120351983122</v>
        <stp/>
        <stp>##V3_BDPV12</stp>
        <stp>ED3948913 Govt</stp>
        <stp>DUR_ADJ_ASK</stp>
        <stp>[BondPricer-0.2.xlsm]FRENCH_BTAN_TYPE89!R138C27</stp>
        <stp>YLD_YTM_ASK=</stp>
        <stp>YAS_YLD_CONV=1</stp>
        <tr r="AA138" s="8"/>
      </tp>
      <tp>
        <v>0.824751815764313</v>
        <stp/>
        <stp>##V3_BDPV12</stp>
        <stp>EC3971420 Govt</stp>
        <stp>YLD_YTM_ASK</stp>
        <stp>[BondPricer-0.2.xlsm]FRENCH_BTAN_TYPE89!R95C13</stp>
        <tr r="M95" s="8"/>
      </tp>
      <tp>
        <v>15.405781570237773</v>
        <stp/>
        <stp>##V3_BDPV12</stp>
        <stp>EJ6185791 Govt</stp>
        <stp>DUR_ADJ_ASK</stp>
        <stp>[BondPricer-0.2.xlsm]FRENCH_BTAN_TYPE89!R132C27</stp>
        <stp>YLD_YTM_ASK=</stp>
        <stp>YAS_YLD_CONV=1</stp>
        <tr r="AA132" s="8"/>
      </tp>
      <tp>
        <v>0.43448010774160783</v>
        <stp/>
        <stp>##V3_BDPV12</stp>
        <stp>UV7155053 Govt</stp>
        <stp>YLD_YTM_ASK</stp>
        <stp>[BondPricer-0.2.xlsm]FRENCH_BTAN_TYPE89!R69C13</stp>
        <tr r="M69" s="8"/>
      </tp>
      <tp>
        <v>23.211925582740207</v>
        <stp/>
        <stp>##V3_BDPV12</stp>
        <stp>EJ6186690 Govt</stp>
        <stp>DUR_ADJ_ASK</stp>
        <stp>[BondPricer-0.2.xlsm]FRENCH_BTAN_TYPE89!R178C27</stp>
        <stp>YLD_YTM_ASK=</stp>
        <stp>YAS_YLD_CONV=1</stp>
        <tr r="AA178" s="8"/>
      </tp>
      <tp>
        <v>-0.38990809292864803</v>
        <stp/>
        <stp>##V3_BDPV12</stp>
        <stp>EJ6177145 Govt</stp>
        <stp>YLD_YTM_ASK</stp>
        <stp>[BondPricer-0.2.xlsm]FRENCH_BTAN_TYPE89!R14C13</stp>
        <tr r="M14" s="8"/>
      </tp>
      <tp>
        <v>43.678777152716933</v>
        <stp/>
        <stp>##V3_BDPV12</stp>
        <stp>JK8070480 Govt</stp>
        <stp>DUR_ADJ_ASK</stp>
        <stp>[BondPricer-0.2.xlsm]FRENCH_BTAN_TYPE89!R236C27</stp>
        <stp>YLD_YTM_ASK=</stp>
        <stp>YAS_YLD_CONV=1</stp>
        <tr r="AA236" s="8"/>
      </tp>
      <tp>
        <v>12.311650512287287</v>
        <stp/>
        <stp>##V3_BDPV12</stp>
        <stp>EI0429551 Govt</stp>
        <stp>YAS_RISK</stp>
        <stp>[BondPricer-0.2.xlsm]FRENCH_BTAN_TYPE89!R128C24</stp>
        <stp>YLD_YTM_ASK=1.2495712921722</stp>
        <stp>YAS_YLD_CONV=1</stp>
        <tr r="X128" s="8"/>
      </tp>
      <tp>
        <v>14.889173898693997</v>
        <stp/>
        <stp>##V3_BDPV12</stp>
        <stp>ED8388487 Govt</stp>
        <stp>YAS_RISK</stp>
        <stp>[BondPricer-0.2.xlsm]FRENCH_BTAN_TYPE89!R162C24</stp>
        <stp>YLD_YTM_ASK=1.5018018925856</stp>
        <stp>YAS_YLD_CONV=1</stp>
        <tr r="X162" s="8"/>
      </tp>
      <tp>
        <v>0.36116796171422455</v>
        <stp/>
        <stp>##V3_BDPV12</stp>
        <stp>EK7289029 Govt</stp>
        <stp>YLD_YTM_ASK</stp>
        <stp>[BondPricer-0.2.xlsm]FRENCH_BTAN_TYPE89!R64C13</stp>
        <tr r="M64" s="8"/>
      </tp>
      <tp>
        <v>0.36116796171422455</v>
        <stp/>
        <stp>##V3_BDPV12</stp>
        <stp>EK7289029 Govt</stp>
        <stp>YLD_YTM_ASK</stp>
        <stp>[BondPricer-0.2.xlsm]FRENCH_BTAN_TYPE89!R61C13</stp>
        <tr r="M61" s="8"/>
      </tp>
      <tp>
        <v>0.36116796171422455</v>
        <stp/>
        <stp>##V3_BDPV12</stp>
        <stp>EK7289029 Govt</stp>
        <stp>YLD_YTM_ASK</stp>
        <stp>[BondPricer-0.2.xlsm]FRENCH_BTAN_TYPE89!R63C13</stp>
        <tr r="M63" s="8"/>
      </tp>
      <tp>
        <v>-0.33526093290880965</v>
        <stp/>
        <stp>##V3_BDPV12</stp>
        <stp>EI0428751 Govt</stp>
        <stp>YLD_YTM_ASK</stp>
        <stp>[BondPricer-0.2.xlsm]FRENCH_BTAN_TYPE89!R18C13</stp>
        <tr r="M18" s="8"/>
      </tp>
      <tp>
        <v>126.05500000000001</v>
        <stp/>
        <stp>##V3_BDPV12</stp>
        <stp>EI8055663 Govt</stp>
        <stp>YAS_BOND_PX</stp>
        <stp>[BondPricer-0.2.xlsm]JAPAN_JGB_TYPE51!R191C20</stp>
        <stp>YAS_BOND_SPL_YLD=0.685</stp>
        <stp>YAS_YLD_CONV=2</stp>
        <tr r="T191" s="7"/>
      </tp>
      <tp>
        <v>6.9251747833980319</v>
        <stp/>
        <stp>##V3_BDPV12</stp>
        <stp>EF4527968 Govt</stp>
        <stp>YAS_MOD_DUR</stp>
        <stp>[BondPricer-0.2.xlsm]JAPAN_JGB_TYPE51!R79C28</stp>
        <stp>YLD_YTM_ASK=0.0210000000000009</stp>
        <stp>YAS_YLD_CONV=3</stp>
        <tr r="AB79" s="7"/>
      </tp>
      <tp>
        <v>10.442847975324066</v>
        <stp/>
        <stp>##V3_BDPV12</stp>
        <stp>EC3954004 Govt</stp>
        <stp>DUR_ADJ_ASK</stp>
        <stp>[BondPricer-0.2.xlsm]FRENCH_BTAN_TYPE89!R121C27</stp>
        <stp>YLD_YTM_ASK=</stp>
        <stp>YAS_YLD_CONV=1</stp>
        <tr r="AA121" s="8"/>
      </tp>
      <tp>
        <v>-0.41784737865080412</v>
        <stp/>
        <stp>##V3_BDPV12</stp>
        <stp>EI0418695 Govt</stp>
        <stp>YLD_YTM_ASK</stp>
        <stp>[BondPricer-0.2.xlsm]FRENCH_BTAN_TYPE89!R10C13</stp>
        <tr r="M10" s="8"/>
      </tp>
      <tp>
        <v>-8.4553623934213729E-2</v>
        <stp/>
        <stp>##V3_BDPV12</stp>
        <stp>EK3918563 Govt</stp>
        <stp>YLD_YTM_ASK</stp>
        <stp>[BondPricer-0.2.xlsm]FRENCH_BTAN_TYPE89!R34C13</stp>
        <tr r="M34" s="8"/>
      </tp>
      <tp>
        <v>0.18297550013262054</v>
        <stp/>
        <stp>##V3_BDPV12</stp>
        <stp>EJ6178093 Govt</stp>
        <stp>YLD_YTM_ASK</stp>
        <stp>[BondPricer-0.2.xlsm]FRENCH_BTAN_TYPE89!R52C13</stp>
        <tr r="M52" s="8"/>
      </tp>
      <tp>
        <v>9.2672407929120215</v>
        <stp/>
        <stp>##V3_BDPV12</stp>
        <stp>EK2935907 Govt</stp>
        <stp>DUR_ADJ_ASK</stp>
        <stp>[BondPricer-0.2.xlsm]FRENCH_BTAN_TYPE89!R101C27</stp>
        <stp>YLD_YTM_ASK=</stp>
        <stp>YAS_YLD_CONV=1</stp>
        <tr r="AA101" s="8"/>
      </tp>
      <tp>
        <v>12.875263116952224</v>
        <stp/>
        <stp>##V3_BDPV12</stp>
        <stp>EC3971503 Govt</stp>
        <stp>DUR_ADJ_ASK</stp>
        <stp>[BondPricer-0.2.xlsm]FRENCH_BTAN_TYPE89!R117C27</stp>
        <stp>YLD_YTM_ASK=</stp>
        <stp>YAS_YLD_CONV=1</stp>
        <tr r="AA117" s="8"/>
      </tp>
      <tp>
        <v>0.48352997395799679</v>
        <stp/>
        <stp>##V3_BDPV12</stp>
        <stp>JV1835729 Govt</stp>
        <stp>YLD_YTM_ASK</stp>
        <stp>[BondPricer-0.2.xlsm]FRENCH_BTAN_TYPE89!R70C13</stp>
        <tr r="M70" s="8"/>
      </tp>
      <tp>
        <v>0.58771048453355001</v>
        <stp/>
        <stp>##V3_BDPV12</stp>
        <stp>QZ3583536 Govt</stp>
        <stp>YLD_YTM_ASK</stp>
        <stp>[BondPricer-0.2.xlsm]FRENCH_BTAN_TYPE89!R80C13</stp>
        <tr r="M80" s="8"/>
      </tp>
      <tp>
        <v>0.13401172011145249</v>
        <stp/>
        <stp>##V3_BDPV12</stp>
        <stp>EJ5733310 Govt</stp>
        <stp>YLD_YTM_ASK</stp>
        <stp>[BondPricer-0.2.xlsm]FRENCH_BTAN_TYPE89!R35C13</stp>
        <tr r="M35" s="8"/>
      </tp>
      <tp>
        <v>0.78213800280519941</v>
        <stp/>
        <stp>##V3_BDPV12</stp>
        <stp>EI0428637 Govt</stp>
        <stp>YLD_YTM_ASK</stp>
        <stp>[BondPricer-0.2.xlsm]FRENCH_BTAN_TYPE89!R91C13</stp>
        <tr r="M91" s="8"/>
      </tp>
      <tp>
        <v>44.660313704041229</v>
        <stp/>
        <stp>##V3_BDPV12</stp>
        <stp>JK8070696 Govt</stp>
        <stp>DUR_ADJ_ASK</stp>
        <stp>[BondPricer-0.2.xlsm]FRENCH_BTAN_TYPE89!R237C27</stp>
        <stp>YLD_YTM_ASK=</stp>
        <stp>YAS_YLD_CONV=1</stp>
        <tr r="AA237" s="8"/>
      </tp>
      <tp>
        <v>0.66632619112125258</v>
        <stp/>
        <stp>##V3_BDPV12</stp>
        <stp>AN0904697 Govt</stp>
        <stp>YLD_YTM_ASK</stp>
        <stp>[BondPricer-0.2.xlsm]FRENCH_BTAN_TYPE89!R84C13</stp>
        <tr r="M84" s="8"/>
      </tp>
      <tp>
        <v>0.66632619112125258</v>
        <stp/>
        <stp>##V3_BDPV12</stp>
        <stp>AN0904697 Govt</stp>
        <stp>YLD_YTM_ASK</stp>
        <stp>[BondPricer-0.2.xlsm]FRENCH_BTAN_TYPE89!R87C13</stp>
        <tr r="M87" s="8"/>
      </tp>
      <tp>
        <v>0.66632619112125258</v>
        <stp/>
        <stp>##V3_BDPV12</stp>
        <stp>AN0904697 Govt</stp>
        <stp>YLD_YTM_ASK</stp>
        <stp>[BondPricer-0.2.xlsm]FRENCH_BTAN_TYPE89!R86C13</stp>
        <tr r="M86" s="8"/>
      </tp>
      <tp>
        <v>0.44234245196713273</v>
        <stp/>
        <stp>##V3_BDPV12</stp>
        <stp>EI3077506 Govt</stp>
        <stp>YLD_YTM_ASK</stp>
        <stp>[BondPricer-0.2.xlsm]FRENCH_BTAN_TYPE89!R71C13</stp>
        <tr r="M71" s="8"/>
      </tp>
      <tp>
        <v>33.914499138336168</v>
        <stp/>
        <stp>##V3_BDPV12</stp>
        <stp>JK8068294 Govt</stp>
        <stp>DUR_ADJ_ASK</stp>
        <stp>[BondPricer-0.2.xlsm]FRENCH_BTAN_TYPE89!R214C27</stp>
        <stp>YLD_YTM_ASK=</stp>
        <stp>YAS_YLD_CONV=1</stp>
        <tr r="AA214" s="8"/>
      </tp>
      <tp>
        <v>16.309246035111421</v>
        <stp/>
        <stp>##V3_BDPV12</stp>
        <stp>ED3871719 Govt</stp>
        <stp>DUR_ADJ_ASK</stp>
        <stp>[BondPricer-0.2.xlsm]FRENCH_BTAN_TYPE89!R137C27</stp>
        <stp>YLD_YTM_ASK=</stp>
        <stp>YAS_YLD_CONV=1</stp>
        <tr r="AA137" s="8"/>
      </tp>
      <tp>
        <v>68.930999770687606</v>
        <stp/>
        <stp>##V3_BDPV12</stp>
        <stp>EC5588628 Govt</stp>
        <stp>PX_ASK</stp>
        <stp>[BondPricer-0.2.xlsm]ITALIAN_BTPS_TYPE523!R78C22</stp>
        <stp>YAS_BOND_YLD=3.6816714479927</stp>
        <stp>YAS_YLD_CONV=1</stp>
        <tr r="V78" s="5"/>
      </tp>
      <tp t="s">
        <v>#N/A Invalid Override</v>
        <stp/>
        <stp>##V3_BDPV12</stp>
        <stp>UV8902925 Govt</stp>
        <stp>YLD_CMPD_JPN_ASK_NOTRUNC</stp>
        <stp>[BondPricer-0.2.xlsm]JAPAN_JGB_TYPE51!R169C35</stp>
        <stp>PX_ASK=#N/A Requesting Data...</stp>
        <tr r="AI169" s="7"/>
      </tp>
      <tp>
        <v>121.422</v>
        <stp/>
        <stp>##V3_BDPV12</stp>
        <stp>EH8715490 Govt</stp>
        <stp>YAS_BOND_PX</stp>
        <stp>[BondPricer-0.2.xlsm]JAPAN_JGB_TYPE51!R108C20</stp>
        <stp>YAS_BOND_SPL_YLD=0.159</stp>
        <stp>YAS_YLD_CONV=2</stp>
        <tr r="T108" s="7"/>
      </tp>
      <tp>
        <v>123.81399999999999</v>
        <stp/>
        <stp>##V3_BDPV12</stp>
        <stp>EC3875944 Govt</stp>
        <stp>YAS_BOND_PX</stp>
        <stp>[BondPricer-0.2.xlsm]JAPAN_JGB_TYPE51!R128C20</stp>
        <stp>YAS_BOND_SPL_YLD=0.249</stp>
        <stp>YAS_YLD_CONV=2</stp>
        <tr r="T128" s="7"/>
      </tp>
      <tp>
        <v>119.893</v>
        <stp/>
        <stp>##V3_BDPV12</stp>
        <stp>EI6924050 Govt</stp>
        <stp>YAS_BOND_PX</stp>
        <stp>[BondPricer-0.2.xlsm]JAPAN_JGB_TYPE51!R127C20</stp>
        <stp>YAS_BOND_SPL_YLD=0.249</stp>
        <stp>YAS_YLD_CONV=2</stp>
        <tr r="T127" s="7"/>
      </tp>
      <tp>
        <v>7.0885052362233205</v>
        <stp/>
        <stp>##V3_BDPV12</stp>
        <stp>EF5003670 Govt</stp>
        <stp>YAS_MOD_DUR</stp>
        <stp>[BondPricer-0.2.xlsm]JAPAN_JGB_TYPE51!R82C28</stp>
        <stp>YLD_YTM_ASK=0.0320000000000006</stp>
        <stp>YAS_YLD_CONV=3</stp>
        <tr r="AB82" s="7"/>
      </tp>
      <tp>
        <v>16.908889470989408</v>
        <stp/>
        <stp>##V3_BDPV12</stp>
        <stp>EJ6794667 Govt</stp>
        <stp>YAS_RISK</stp>
        <stp>[BondPricer-0.2.xlsm]ITALIAN_BTPS_TYPE523!R161C26</stp>
        <stp>YLD_YTM_ASK=4.061817037819</stp>
        <stp>YAS_YLD_CONV=33</stp>
        <tr r="Z161" s="5"/>
      </tp>
      <tp>
        <v>0.56119522179491899</v>
        <stp/>
        <stp>##V3_BDPV12</stp>
        <stp>EC3971255 Govt</stp>
        <stp>YLD_YTM_ASK</stp>
        <stp>[BondPricer-0.2.xlsm]FRENCH_BTAN_TYPE89!R79C13</stp>
        <tr r="M79" s="8"/>
      </tp>
      <tp>
        <v>15.321523791506468</v>
        <stp/>
        <stp>##V3_BDPV12</stp>
        <stp>ED3948871 Govt</stp>
        <stp>DUR_ADJ_ASK</stp>
        <stp>[BondPricer-0.2.xlsm]FRENCH_BTAN_TYPE89!R131C27</stp>
        <stp>YLD_YTM_ASK=</stp>
        <stp>YAS_YLD_CONV=1</stp>
        <tr r="AA131" s="8"/>
      </tp>
      <tp>
        <v>24.533923018400984</v>
        <stp/>
        <stp>##V3_BDPV12</stp>
        <stp>EI1823166 Govt</stp>
        <stp>DUR_ADJ_ASK</stp>
        <stp>[BondPricer-0.2.xlsm]FRENCH_BTAN_TYPE89!R231C27</stp>
        <stp>YLD_YTM_ASK=</stp>
        <stp>YAS_YLD_CONV=1</stp>
        <tr r="AA231" s="8"/>
      </tp>
      <tp>
        <v>11.402868127423741</v>
        <stp/>
        <stp>##V3_BDPV12</stp>
        <stp>ED3948673 Govt</stp>
        <stp>DUR_ADJ_ASK</stp>
        <stp>[BondPricer-0.2.xlsm]FRENCH_BTAN_TYPE89!R105C27</stp>
        <stp>YLD_YTM_ASK=</stp>
        <stp>YAS_YLD_CONV=1</stp>
        <tr r="AA105" s="8"/>
      </tp>
      <tp>
        <v>17.03903773988813</v>
        <stp/>
        <stp>##V3_BDPV12</stp>
        <stp>EI0432472 Govt</stp>
        <stp>YAS_RISK</stp>
        <stp>[BondPricer-0.2.xlsm]FRENCH_BTAN_TYPE89!R200C24</stp>
        <stp>YLD_YTM_ASK=1.8664578259258</stp>
        <stp>YAS_YLD_CONV=1</stp>
        <tr r="X200" s="8"/>
      </tp>
      <tp>
        <v>15.807405401639285</v>
        <stp/>
        <stp>##V3_BDPV12</stp>
        <stp>EF6782090 Govt</stp>
        <stp>DUR_ADJ_ASK</stp>
        <stp>[BondPricer-0.2.xlsm]FRENCH_BTAN_TYPE89!R134C27</stp>
        <stp>YLD_YTM_ASK=</stp>
        <stp>YAS_YLD_CONV=1</stp>
        <tr r="AA134" s="8"/>
      </tp>
      <tp>
        <v>-0.18435204496202173</v>
        <stp/>
        <stp>##V3_BDPV12</stp>
        <stp>AL2130345 Govt</stp>
        <stp>YLD_YTM_ASK</stp>
        <stp>[BondPricer-0.2.xlsm]FRENCH_BTAN_TYPE89!R30C13</stp>
        <tr r="M30" s="8"/>
      </tp>
      <tp>
        <v>0.51730573795962165</v>
        <stp/>
        <stp>##V3_BDPV12</stp>
        <stp>JK2706329 Govt</stp>
        <stp>YLD_YTM_ASK</stp>
        <stp>[BondPricer-0.2.xlsm]FRENCH_BTAN_TYPE89!R76C13</stp>
        <tr r="M76" s="8"/>
      </tp>
      <tp>
        <v>0.51730573795962165</v>
        <stp/>
        <stp>##V3_BDPV12</stp>
        <stp>JK2706329 Govt</stp>
        <stp>YLD_YTM_ASK</stp>
        <stp>[BondPricer-0.2.xlsm]FRENCH_BTAN_TYPE89!R77C13</stp>
        <tr r="M77" s="8"/>
      </tp>
      <tp>
        <v>0.51730573795962165</v>
        <stp/>
        <stp>##V3_BDPV12</stp>
        <stp>JK2706329 Govt</stp>
        <stp>YLD_YTM_ASK</stp>
        <stp>[BondPricer-0.2.xlsm]FRENCH_BTAN_TYPE89!R74C13</stp>
        <tr r="M74" s="8"/>
      </tp>
      <tp>
        <v>-0.18435204496202173</v>
        <stp/>
        <stp>##V3_BDPV12</stp>
        <stp>AL2130345 Govt</stp>
        <stp>YLD_YTM_ASK</stp>
        <stp>[BondPricer-0.2.xlsm]FRENCH_BTAN_TYPE89!R27C13</stp>
        <tr r="M27" s="8"/>
      </tp>
      <tp>
        <v>-0.18435204496202173</v>
        <stp/>
        <stp>##V3_BDPV12</stp>
        <stp>AL2130345 Govt</stp>
        <stp>YLD_YTM_ASK</stp>
        <stp>[BondPricer-0.2.xlsm]FRENCH_BTAN_TYPE89!R29C13</stp>
        <tr r="M29" s="8"/>
      </tp>
      <tp>
        <v>1.2160888681510565E-2</v>
        <stp/>
        <stp>##V3_BDPV12</stp>
        <stp>EJ0529135 Govt</stp>
        <stp>YLD_YTM_ASK</stp>
        <stp>[BondPricer-0.2.xlsm]FRENCH_BTAN_TYPE89!R21C13</stp>
        <tr r="M21" s="8"/>
      </tp>
      <tp>
        <v>19.730270332428308</v>
        <stp/>
        <stp>##V3_BDPV12</stp>
        <stp>EF6782892 Govt</stp>
        <stp>DUR_ADJ_ASK</stp>
        <stp>[BondPricer-0.2.xlsm]FRENCH_BTAN_TYPE89!R161C27</stp>
        <stp>YLD_YTM_ASK=</stp>
        <stp>YAS_YLD_CONV=1</stp>
        <tr r="AA161" s="8"/>
      </tp>
      <tp>
        <v>0.93172487215549271</v>
        <stp/>
        <stp>##V3_BDPV12</stp>
        <stp>EI0419131 Govt</stp>
        <stp>YLD_YTM_ASK</stp>
        <stp>[BondPricer-0.2.xlsm]FRENCH_BTAN_TYPE89!R97C13</stp>
        <tr r="M97" s="8"/>
      </tp>
      <tp>
        <v>-0.32117902624490896</v>
        <stp/>
        <stp>##V3_BDPV12</stp>
        <stp>EI6940791 Govt</stp>
        <stp>YLD_YTM_ASK</stp>
        <stp>[BondPricer-0.2.xlsm]FRENCH_BTAN_TYPE89!R17C13</stp>
        <tr r="M17" s="8"/>
      </tp>
      <tp>
        <v>14.827374911689917</v>
        <stp/>
        <stp>##V3_BDPV12</stp>
        <stp>EF6781894 Govt</stp>
        <stp>DUR_ADJ_ASK</stp>
        <stp>[BondPricer-0.2.xlsm]FRENCH_BTAN_TYPE89!R129C27</stp>
        <stp>YLD_YTM_ASK=</stp>
        <stp>YAS_YLD_CONV=1</stp>
        <tr r="AA129" s="8"/>
      </tp>
      <tp>
        <v>19.735913059017186</v>
        <stp/>
        <stp>##V3_BDPV12</stp>
        <stp>EF6781696 Govt</stp>
        <stp>DUR_ADJ_ASK</stp>
        <stp>[BondPricer-0.2.xlsm]FRENCH_BTAN_TYPE89!R160C27</stp>
        <stp>YLD_YTM_ASK=</stp>
        <stp>YAS_YLD_CONV=1</stp>
        <tr r="AA160" s="8"/>
      </tp>
      <tp>
        <v>2.2240029084372801</v>
        <stp/>
        <stp>##V3_BDPV12</stp>
        <stp>912828N8 Govt</stp>
        <stp>DUR_ADJ_ASK</stp>
        <stp>[BondPricer-0.2.xlsm]US_TREASURY_TYPE1!R7C28</stp>
        <stp>YLD_YTM_ASK=2.8863167</stp>
        <stp>YAS_YLD_CONV=3</stp>
        <tr r="AB7" s="4"/>
      </tp>
      <tp>
        <v>8.752432252790344</v>
        <stp/>
        <stp>##V3_BDPV12</stp>
        <stp>EC2153012 Govt</stp>
        <stp>DUR_ADJ_ASK</stp>
        <stp>[BondPricer-0.2.xlsm]GERMAN_BUND_TYPE60!R28C27</stp>
        <stp>YLD_YTM_ASK=0.50005262511657</stp>
        <stp>YAS_YLD_CONV=1</stp>
        <tr r="AA28" s="6"/>
      </tp>
      <tp>
        <v>2.4023773017946541</v>
        <stp/>
        <stp>##V3_BDPV12</stp>
        <stp>EJ5732965 Govt</stp>
        <stp>DUR_ADJ_ASK</stp>
        <stp>[BondPricer-0.2.xlsm]FRENCH_BTAN_TYPE89!R8C27</stp>
        <stp>YLD_YTM_ASK=</stp>
        <stp>YAS_YLD_CONV=1</stp>
        <tr r="AA8" s="8"/>
      </tp>
      <tp>
        <v>9.6281131121848773</v>
        <stp/>
        <stp>##V3_BDPV12</stp>
        <stp>AQ7824545 Corp</stp>
        <stp>YAS_RISK</stp>
        <stp>[BondPricer-0.2.xlsm]AUSTRALIAN_GOVT_TYPE23!R53C26</stp>
        <stp>YLD_YTM_ASK=2.6337725105709</stp>
        <stp>YAS_YLD_CONV=3</stp>
        <tr r="Z53" s="9"/>
      </tp>
      <tp>
        <v>118.47199999999999</v>
        <stp/>
        <stp>##V3_BDPV12</stp>
        <stp>EJ4883454 Govt</stp>
        <stp>YAS_BOND_PX</stp>
        <stp>[BondPricer-0.2.xlsm]JAPAN_JGB_TYPE51!R146C20</stp>
        <stp>YAS_BOND_SPL_YLD=0.335</stp>
        <stp>YAS_YLD_CONV=2</stp>
        <tr r="T146" s="7"/>
      </tp>
      <tp>
        <v>120.41</v>
        <stp/>
        <stp>##V3_BDPV12</stp>
        <stp>EI2903413 Govt</stp>
        <stp>YAS_BOND_PX</stp>
        <stp>[BondPricer-0.2.xlsm]JAPAN_JGB_TYPE51!R118C20</stp>
        <stp>YAS_BOND_SPL_YLD=0.209</stp>
        <stp>YAS_YLD_CONV=2</stp>
        <tr r="T118" s="7"/>
      </tp>
      <tp>
        <v>130.71299999999999</v>
        <stp/>
        <stp>##V3_BDPV12</stp>
        <stp>EH7911181 Govt</stp>
        <stp>YAS_BOND_PX</stp>
        <stp>[BondPricer-0.2.xlsm]JAPAN_JGB_TYPE51!R186C20</stp>
        <stp>YAS_BOND_SPL_YLD=0.609</stp>
        <stp>YAS_YLD_CONV=2</stp>
        <tr r="T186" s="7"/>
      </tp>
      <tp>
        <v>126.286</v>
        <stp/>
        <stp>##V3_BDPV12</stp>
        <stp>EJ0538250 Govt</stp>
        <stp>YAS_BOND_PX</stp>
        <stp>[BondPricer-0.2.xlsm]JAPAN_JGB_TYPE51!R192C20</stp>
        <stp>YAS_BOND_SPL_YLD=0.695</stp>
        <stp>YAS_YLD_CONV=2</stp>
        <tr r="T192" s="7"/>
      </tp>
      <tp>
        <v>112.746</v>
        <stp/>
        <stp>##V3_BDPV12</stp>
        <stp>EK9722886 Govt</stp>
        <stp>YAS_BOND_PX</stp>
        <stp>[BondPricer-0.2.xlsm]JAPAN_JGB_TYPE51!R167C20</stp>
        <stp>YAS_BOND_SPL_YLD=0.475</stp>
        <stp>YAS_YLD_CONV=2</stp>
        <tr r="T167" s="7"/>
      </tp>
      <tp>
        <v>3.1896650091080416</v>
        <stp/>
        <stp>##V3_BDPV12</stp>
        <stp>EH728200 Corp</stp>
        <stp>DUR_ADJ_ASK</stp>
        <stp>[BondPricer-0.2.xlsm]UK_GILT_TYPE26!R8C28</stp>
        <stp>YLD_YTM_ASK=0.936947485316396</stp>
        <stp>YAS_YLD_CONV=3</stp>
        <tr r="AB8" s="13"/>
      </tp>
      <tp>
        <v>6.9058834664808648</v>
        <stp/>
        <stp>##V3_BDPV12</stp>
        <stp>EF3812189 Govt</stp>
        <stp>YAS_MOD_DUR</stp>
        <stp>[BondPricer-0.2.xlsm]JAPAN_JGB_TYPE51!R78C28</stp>
        <stp>YLD_YTM_ASK=0.0219999999999981</stp>
        <stp>YAS_YLD_CONV=3</stp>
        <tr r="AB78" s="7"/>
      </tp>
      <tp>
        <v>6.6976597541606866</v>
        <stp/>
        <stp>##V3_BDPV12</stp>
        <stp>EF2077933 Govt</stp>
        <stp>YAS_MOD_DUR</stp>
        <stp>[BondPricer-0.2.xlsm]JAPAN_JGB_TYPE51!R75C28</stp>
        <stp>YLD_YTM_ASK=0.0130000000000013</stp>
        <stp>YAS_YLD_CONV=3</stp>
        <tr r="AB75" s="7"/>
      </tp>
      <tp>
        <v>2.8871961000000002</v>
        <stp/>
        <stp>##V3_BDPV12</stp>
        <stp>912828B5 Govt</stp>
        <stp>YLD_YTM_ASK</stp>
        <stp>[BondPricer-0.2.xlsm]US_TREASURY_TYPE1!R8C13</stp>
        <tr r="M8" s="4"/>
      </tp>
      <tp>
        <v>0.70589750414331576</v>
        <stp/>
        <stp>##V3_BDPV12</stp>
        <stp>EC3971347 Govt</stp>
        <stp>YLD_YTM_ASK</stp>
        <stp>[BondPricer-0.2.xlsm]FRENCH_BTAN_TYPE89!R90C13</stp>
        <tr r="M90" s="8"/>
      </tp>
      <tp>
        <v>38.720287238770148</v>
        <stp/>
        <stp>##V3_BDPV12</stp>
        <stp>EI1868476 Govt</stp>
        <stp>DUR_ADJ_ASK</stp>
        <stp>[BondPricer-0.2.xlsm]FRENCH_BTAN_TYPE89!R227C27</stp>
        <stp>YLD_YTM_ASK=</stp>
        <stp>YAS_YLD_CONV=1</stp>
        <tr r="AA227" s="8"/>
      </tp>
      <tp>
        <v>5.7493224270129019E-2</v>
        <stp/>
        <stp>##V3_BDPV12</stp>
        <stp>EG3953361 Govt</stp>
        <stp>YLD_YTM_ASK</stp>
        <stp>[BondPricer-0.2.xlsm]FRENCH_BTAN_TYPE89!R44C13</stp>
        <tr r="M44" s="8"/>
      </tp>
      <tp>
        <v>0.80745752803372817</v>
        <stp/>
        <stp>##V3_BDPV12</stp>
        <stp>EJ6178697 Govt</stp>
        <stp>YLD_YTM_ASK</stp>
        <stp>[BondPricer-0.2.xlsm]FRENCH_BTAN_TYPE89!R93C13</stp>
        <tr r="M93" s="8"/>
      </tp>
      <tp>
        <v>13.858375365545243</v>
        <stp/>
        <stp>##V3_BDPV12</stp>
        <stp>EC3973863 Govt</stp>
        <stp>DUR_ADJ_ASK</stp>
        <stp>[BondPricer-0.2.xlsm]FRENCH_BTAN_TYPE89!R122C27</stp>
        <stp>YLD_YTM_ASK=</stp>
        <stp>YAS_YLD_CONV=1</stp>
        <tr r="AA122" s="8"/>
      </tp>
      <tp>
        <v>10.913479421722867</v>
        <stp/>
        <stp>##V3_BDPV12</stp>
        <stp>EC3971461 Govt</stp>
        <stp>DUR_ADJ_ASK</stp>
        <stp>[BondPricer-0.2.xlsm]FRENCH_BTAN_TYPE89!R103C27</stp>
        <stp>YLD_YTM_ASK=</stp>
        <stp>YAS_YLD_CONV=1</stp>
        <tr r="AA103" s="8"/>
      </tp>
      <tp>
        <v>0.42572403871024012</v>
        <stp/>
        <stp>##V3_BDPV12</stp>
        <stp>EI0419057 Govt</stp>
        <stp>YLD_YTM_ASK</stp>
        <stp>[BondPricer-0.2.xlsm]FRENCH_BTAN_TYPE89!R66C13</stp>
        <tr r="M66" s="8"/>
      </tp>
      <tp>
        <v>-0.2825633420152629</v>
        <stp/>
        <stp>##V3_BDPV12</stp>
        <stp>EK3918381 Govt</stp>
        <stp>YLD_YTM_ASK</stp>
        <stp>[BondPricer-0.2.xlsm]FRENCH_BTAN_TYPE89!R20C13</stp>
        <tr r="M20" s="8"/>
      </tp>
      <tp>
        <v>26.007975420708362</v>
        <stp/>
        <stp>##V3_BDPV12</stp>
        <stp>EJ6098374 Govt</stp>
        <stp>YAS_RISK</stp>
        <stp>[BondPricer-0.2.xlsm]FRENCH_BTAN_TYPE89!R189C24</stp>
        <stp>YLD_YTM_ASK=1.6036825976362</stp>
        <stp>YAS_YLD_CONV=1</stp>
        <tr r="X189" s="8"/>
      </tp>
      <tp>
        <v>-0.38801382450800448</v>
        <stp/>
        <stp>##V3_BDPV12</stp>
        <stp>JK8202802 Govt</stp>
        <stp>YLD_YTM_ASK</stp>
        <stp>[BondPricer-0.2.xlsm]FRENCH_BTAN_TYPE89!R16C13</stp>
        <tr r="M16" s="8"/>
      </tp>
      <tp>
        <v>-0.38801382450800448</v>
        <stp/>
        <stp>##V3_BDPV12</stp>
        <stp>JK8202802 Govt</stp>
        <stp>YLD_YTM_ASK</stp>
        <stp>[BondPricer-0.2.xlsm]FRENCH_BTAN_TYPE89!R15C13</stp>
        <tr r="M15" s="8"/>
      </tp>
      <tp>
        <v>-0.38801382450800448</v>
        <stp/>
        <stp>##V3_BDPV12</stp>
        <stp>JK8202802 Govt</stp>
        <stp>YLD_YTM_ASK</stp>
        <stp>[BondPricer-0.2.xlsm]FRENCH_BTAN_TYPE89!R13C13</stp>
        <tr r="M13" s="8"/>
      </tp>
      <tp>
        <v>-0.40796827731259111</v>
        <stp/>
        <stp>##V3_BDPV12</stp>
        <stp>ED9255313 Govt</stp>
        <stp>YLD_YTM_ASK</stp>
        <stp>[BondPricer-0.2.xlsm]FRENCH_BTAN_TYPE89!R9C13</stp>
        <tr r="M9" s="8"/>
      </tp>
      <tp>
        <v>4.8277189459177805</v>
        <stp/>
        <stp>##V3_BDPV12</stp>
        <stp>EJ6548493 Govt</stp>
        <stp>YAS_RISK</stp>
        <stp>[BondPricer-0.2.xlsm]FRENCH_BTAN_TYPE89!R42C24</stp>
        <stp>YLD_YTM_ASK=0.0103113439977258</stp>
        <stp>YAS_YLD_CONV=1</stp>
        <tr r="X42" s="8"/>
      </tp>
      <tp>
        <v>4.8277189459177805</v>
        <stp/>
        <stp>##V3_BDPV12</stp>
        <stp>EJ6548493 Govt</stp>
        <stp>YAS_RISK</stp>
        <stp>[BondPricer-0.2.xlsm]FRENCH_BTAN_TYPE89!R43C24</stp>
        <stp>YLD_YTM_ASK=0.0103113439977258</stp>
        <stp>YAS_YLD_CONV=1</stp>
        <tr r="X43" s="8"/>
      </tp>
      <tp>
        <v>4.8277189459177805</v>
        <stp/>
        <stp>##V3_BDPV12</stp>
        <stp>EJ6548493 Govt</stp>
        <stp>YAS_RISK</stp>
        <stp>[BondPricer-0.2.xlsm]FRENCH_BTAN_TYPE89!R40C24</stp>
        <stp>YLD_YTM_ASK=0.0103113439977258</stp>
        <stp>YAS_YLD_CONV=1</stp>
        <tr r="X40" s="8"/>
      </tp>
      <tp>
        <v>83.043999997983533</v>
        <stp/>
        <stp>##V3_BDPV12</stp>
        <stp>EC5587349 Govt</stp>
        <stp>PX_ASK</stp>
        <stp>[BondPricer-0.2.xlsm]ITALIAN_BTPS_TYPE523!R28C22</stp>
        <stp>YAS_BOND_YLD=3.2605814347286</stp>
        <stp>YAS_YLD_CONV=1</stp>
        <tr r="V28" s="5"/>
      </tp>
      <tp>
        <v>5.6466325390012173</v>
        <stp/>
        <stp>##V3_BDPV12</stp>
        <stp>EG3953361 Govt</stp>
        <stp>YAS_RISK</stp>
        <stp>[BondPricer-0.2.xlsm]FRENCH_BTAN_TYPE89!R44C24</stp>
        <stp>YLD_YTM_ASK=0.0553679312294949</stp>
        <stp>YAS_YLD_CONV=1</stp>
        <tr r="X44" s="8"/>
      </tp>
      <tp>
        <v>92.664062555018631</v>
        <stp/>
        <stp>##V3_BDPV12</stp>
        <stp>9128282D Govt</stp>
        <stp>YAS_BOND_PX</stp>
        <stp>[BondPricer-0.2.xlsm]US_TREASURY_TYPE1!R62C20</stp>
        <stp>YAS_BOND_YLD=3.0043788</stp>
        <stp>YAS_YLD_CONV=2</stp>
        <tr r="T62" s="4"/>
      </tp>
      <tp>
        <v>132.85900000000001</v>
        <stp/>
        <stp>##V3_BDPV12</stp>
        <stp>EF7785084 Govt</stp>
        <stp>YAS_BOND_PX</stp>
        <stp>[BondPricer-0.2.xlsm]JAPAN_JGB_TYPE51!R178C20</stp>
        <stp>YAS_BOND_SPL_YLD=0.502</stp>
        <stp>YAS_YLD_CONV=2</stp>
        <tr r="T178" s="7"/>
      </tp>
      <tp>
        <v>131.428</v>
        <stp/>
        <stp>##V3_BDPV12</stp>
        <stp>EG3757374 Govt</stp>
        <stp>YAS_BOND_PX</stp>
        <stp>[BondPricer-0.2.xlsm]JAPAN_JGB_TYPE51!R182C20</stp>
        <stp>YAS_BOND_SPL_YLD=0.528</stp>
        <stp>YAS_YLD_CONV=2</stp>
        <tr r="T182" s="7"/>
      </tp>
      <tp>
        <v>118.72799999999999</v>
        <stp/>
        <stp>##V3_BDPV12</stp>
        <stp>EJ8434395 Govt</stp>
        <stp>YAS_BOND_PX</stp>
        <stp>[BondPricer-0.2.xlsm]JAPAN_JGB_TYPE51!R153C20</stp>
        <stp>YAS_BOND_SPL_YLD=0.375</stp>
        <stp>YAS_YLD_CONV=2</stp>
        <tr r="T153" s="7"/>
      </tp>
      <tp>
        <v>120.916</v>
        <stp/>
        <stp>##V3_BDPV12</stp>
        <stp>EH4829006 Govt</stp>
        <stp>YAS_BOND_PX</stp>
        <stp>[BondPricer-0.2.xlsm]JAPAN_JGB_TYPE51!R100C20</stp>
        <stp>YAS_BOND_SPL_YLD=0.114</stp>
        <stp>YAS_YLD_CONV=2</stp>
        <tr r="T100" s="7"/>
      </tp>
      <tp>
        <v>7.5650268760048212</v>
        <stp/>
        <stp>##V3_BDPV12</stp>
        <stp>EG0574590 Govt</stp>
        <stp>YAS_MOD_DUR</stp>
        <stp>[BondPricer-0.2.xlsm]JAPAN_JGB_TYPE51!R87C28</stp>
        <stp>YLD_YTM_ASK=0.0520000000000023</stp>
        <stp>YAS_YLD_CONV=3</stp>
        <tr r="AB87" s="7"/>
      </tp>
      <tp>
        <v>7.7112146764605427</v>
        <stp/>
        <stp>##V3_BDPV12</stp>
        <stp>AN2019718 Govt</stp>
        <stp>YAS_RISK</stp>
        <stp>[BondPricer-0.2.xlsm]ITALIAN_BTPS_TYPE523!R196C26</stp>
        <stp>YLD_YTM_ASK=4.025376369588</stp>
        <stp>YAS_YLD_CONV=33</stp>
        <tr r="Z196" s="5"/>
      </tp>
      <tp>
        <v>25.459954103045845</v>
        <stp/>
        <stp>##V3_BDPV12</stp>
        <stp>EH8786723 Govt</stp>
        <stp>YAS_RISK</stp>
        <stp>[BondPricer-0.2.xlsm]FRENCH_BTAN_TYPE89!R173C24</stp>
        <stp>YLD_YTM_ASK=1.4587782392609</stp>
        <stp>YAS_YLD_CONV=1</stp>
        <tr r="X173" s="8"/>
      </tp>
      <tp>
        <v>0.25264452762907563</v>
        <stp/>
        <stp>##V3_BDPV12</stp>
        <stp>EI0428314 Govt</stp>
        <stp>YLD_YTM_ASK</stp>
        <stp>[BondPricer-0.2.xlsm]FRENCH_BTAN_TYPE89!R55C13</stp>
        <tr r="M55" s="8"/>
      </tp>
      <tp>
        <v>0.17543827548516244</v>
        <stp/>
        <stp>##V3_BDPV12</stp>
        <stp>EI0428355 Govt</stp>
        <stp>YLD_YTM_ASK</stp>
        <stp>[BondPricer-0.2.xlsm]FRENCH_BTAN_TYPE89!R49C13</stp>
        <tr r="M49" s="8"/>
      </tp>
      <tp>
        <v>2.2063213369532724</v>
        <stp/>
        <stp>##V3_BDPV12</stp>
        <stp>912828B5 Govt</stp>
        <stp>DUR_ADJ_ASK</stp>
        <stp>[BondPricer-0.2.xlsm]US_TREASURY_TYPE1!R8C28</stp>
        <stp>YLD_YTM_ASK=2.8871961</stp>
        <stp>YAS_YLD_CONV=3</stp>
        <tr r="AB8" s="4"/>
      </tp>
      <tp>
        <v>67.375999627661955</v>
        <stp/>
        <stp>##V3_BDPV12</stp>
        <stp>EC1044535 Govt</stp>
        <stp>PX_ASK</stp>
        <stp>[BondPricer-0.2.xlsm]ITALIAN_BTPS_TYPE523!R88C22</stp>
        <stp>YAS_BOND_YLD=3.6413059610005</stp>
        <stp>YAS_YLD_CONV=1</stp>
        <tr r="V88" s="5"/>
      </tp>
      <tp t="s">
        <v>#N/A Invalid Override</v>
        <stp/>
        <stp>##V3_BDPV12</stp>
        <stp>QZ5415422 Govt</stp>
        <stp>YLD_CMPD_JPN_ASK_NOTRUNC</stp>
        <stp>[BondPricer-0.2.xlsm]JAPAN_JGB_TYPE51!R177C35</stp>
        <stp>PX_ASK=#N/A Requesting Data...</stp>
        <tr r="AI177" s="7"/>
      </tp>
      <tp>
        <v>5.2699747297481281</v>
        <stp/>
        <stp>##V3_BDPV12</stp>
        <stp>AL0690951 Corp</stp>
        <stp>YAS_RISK</stp>
        <stp>[BondPricer-0.2.xlsm]AUSTRALIAN_GOVT_TYPE23!R29C26</stp>
        <stp>YLD_YTM_ASK=2.7529533001374</stp>
        <stp>YAS_YLD_CONV=3</stp>
        <tr r="Z29" s="9"/>
      </tp>
      <tp>
        <v>6.41274170441406</v>
        <stp/>
        <stp>##V3_BDPV12</stp>
        <stp>EK6841549 Govt</stp>
        <stp>YAS_RISK</stp>
        <stp>[BondPricer-0.2.xlsm]GERMAN_BUND_TYPE60!R20C24</stp>
        <stp>YLD_YTM_ASK=0.0753845649068273</stp>
        <stp>YAS_YLD_CONV=1</stp>
        <tr r="X20" s="6"/>
      </tp>
      <tp>
        <v>95.093750063107109</v>
        <stp/>
        <stp>##V3_BDPV12</stp>
        <stp>9128282F Govt</stp>
        <stp>YAS_BOND_PX</stp>
        <stp>[BondPricer-0.2.xlsm]US_TREASURY_TYPE1!R23C20</stp>
        <stp>YAS_BOND_YLD=2.9174576</stp>
        <stp>YAS_YLD_CONV=2</stp>
        <tr r="T23" s="4"/>
      </tp>
      <tp>
        <v>1.2382834684984167E-2</v>
        <stp/>
        <stp>##V3_BDPV12</stp>
        <stp>EJ6548493 Govt</stp>
        <stp>YLD_YTM_ASK</stp>
        <stp>[BondPricer-0.2.xlsm]FRENCH_BTAN_TYPE89!R40C13</stp>
        <tr r="M40" s="8"/>
      </tp>
      <tp>
        <v>1.2382834684984167E-2</v>
        <stp/>
        <stp>##V3_BDPV12</stp>
        <stp>EJ6548493 Govt</stp>
        <stp>YLD_YTM_ASK</stp>
        <stp>[BondPricer-0.2.xlsm]FRENCH_BTAN_TYPE89!R43C13</stp>
        <tr r="M43" s="8"/>
      </tp>
      <tp>
        <v>1.2382834684984167E-2</v>
        <stp/>
        <stp>##V3_BDPV12</stp>
        <stp>EJ6548493 Govt</stp>
        <stp>YLD_YTM_ASK</stp>
        <stp>[BondPricer-0.2.xlsm]FRENCH_BTAN_TYPE89!R42C13</stp>
        <tr r="M42" s="8"/>
      </tp>
      <tp>
        <v>16.795293312406649</v>
        <stp/>
        <stp>##V3_BDPV12</stp>
        <stp>EI0430393 Govt</stp>
        <stp>DUR_ADJ_ASK</stp>
        <stp>[BondPricer-0.2.xlsm]FRENCH_BTAN_TYPE89!R140C27</stp>
        <stp>YLD_YTM_ASK=</stp>
        <stp>YAS_YLD_CONV=1</stp>
        <tr r="AA140" s="8"/>
      </tp>
      <tp>
        <v>34.818800634009733</v>
        <stp/>
        <stp>##V3_BDPV12</stp>
        <stp>EI0432993 Govt</stp>
        <stp>DUR_ADJ_ASK</stp>
        <stp>[BondPricer-0.2.xlsm]FRENCH_BTAN_TYPE89!R215C27</stp>
        <stp>YLD_YTM_ASK=</stp>
        <stp>YAS_YLD_CONV=1</stp>
        <tr r="AA215" s="8"/>
      </tp>
      <tp>
        <v>17.290468827557799</v>
        <stp/>
        <stp>##V3_BDPV12</stp>
        <stp>AL9974240 Govt</stp>
        <stp>DUR_ADJ_ASK</stp>
        <stp>[BondPricer-0.2.xlsm]FRENCH_BTAN_TYPE89!R165C27</stp>
        <stp>YLD_YTM_ASK=</stp>
        <stp>YAS_YLD_CONV=1</stp>
        <tr r="AA165" s="8"/>
      </tp>
      <tp>
        <v>10.916643780443062</v>
        <stp/>
        <stp>##V3_BDPV12</stp>
        <stp>EI0428991 Govt</stp>
        <stp>DUR_ADJ_ASK</stp>
        <stp>[BondPricer-0.2.xlsm]FRENCH_BTAN_TYPE89!R102C27</stp>
        <stp>YLD_YTM_ASK=</stp>
        <stp>YAS_YLD_CONV=1</stp>
        <tr r="AA102" s="8"/>
      </tp>
      <tp>
        <v>26.060610781812549</v>
        <stp/>
        <stp>##V3_BDPV12</stp>
        <stp>EI0432191 Govt</stp>
        <stp>DUR_ADJ_ASK</stp>
        <stp>[BondPricer-0.2.xlsm]FRENCH_BTAN_TYPE89!R185C27</stp>
        <stp>YLD_YTM_ASK=</stp>
        <stp>YAS_YLD_CONV=1</stp>
        <tr r="AA185" s="8"/>
      </tp>
      <tp>
        <v>0.66978627426603765</v>
        <stp/>
        <stp>##V3_BDPV12</stp>
        <stp>EJ6178499 Govt</stp>
        <stp>YLD_YTM_ASK</stp>
        <stp>[BondPricer-0.2.xlsm]FRENCH_BTAN_TYPE89!R85C13</stp>
        <tr r="M85" s="8"/>
      </tp>
      <tp>
        <v>1.136478642689287E-2</v>
        <stp/>
        <stp>##V3_BDPV12</stp>
        <stp>GG7182585 Govt</stp>
        <stp>YLD_YTM_ASK</stp>
        <stp>[BondPricer-0.2.xlsm]FRENCH_BTAN_TYPE89!R26C13</stp>
        <tr r="M26" s="8"/>
      </tp>
      <tp>
        <v>0.37625038219398921</v>
        <stp/>
        <stp>##V3_BDPV12</stp>
        <stp>GG7185588 Govt</stp>
        <stp>YLD_YTM_ASK</stp>
        <stp>[BondPricer-0.2.xlsm]FRENCH_BTAN_TYPE89!R65C13</stp>
        <tr r="M65" s="8"/>
      </tp>
      <tp>
        <v>14.344793664444303</v>
        <stp/>
        <stp>##V3_BDPV12</stp>
        <stp>EI0429395 Govt</stp>
        <stp>DUR_ADJ_ASK</stp>
        <stp>[BondPricer-0.2.xlsm]FRENCH_BTAN_TYPE89!R125C27</stp>
        <stp>YLD_YTM_ASK=</stp>
        <stp>YAS_YLD_CONV=1</stp>
        <tr r="AA125" s="8"/>
      </tp>
      <tp>
        <v>23.133820425579145</v>
        <stp/>
        <stp>##V3_BDPV12</stp>
        <stp>EI0431995 Govt</stp>
        <stp>DUR_ADJ_ASK</stp>
        <stp>[BondPricer-0.2.xlsm]FRENCH_BTAN_TYPE89!R176C27</stp>
        <stp>YLD_YTM_ASK=</stp>
        <stp>YAS_YLD_CONV=1</stp>
        <tr r="AA176" s="8"/>
      </tp>
      <tp>
        <v>76.180999999999969</v>
        <stp/>
        <stp>##V3_BDPV12</stp>
        <stp>EF6782736 Govt</stp>
        <stp>YAS_BOND_PX</stp>
        <stp>[BondPricer-0.2.xlsm]FRENCH_BTAN_TYPE89!R154C20</stp>
        <stp>YAS_BOND_YLD=1.4405116474109</stp>
        <stp>YAS_YLD_CONV=1</stp>
        <tr r="T154" s="8"/>
      </tp>
      <tp>
        <v>0.95354064899320079</v>
        <stp/>
        <stp>##V3_BDPV12</stp>
        <stp>GG7396565 Govt</stp>
        <stp>YLD_YTM_ASK</stp>
        <stp>[BondPricer-0.2.xlsm]FRENCH_BTAN_TYPE89!R99C13</stp>
        <tr r="M99" s="8"/>
      </tp>
      <tp>
        <v>-0.18104916391199488</v>
        <stp/>
        <stp>##V3_BDPV12</stp>
        <stp>EJ6177442 Govt</stp>
        <stp>YLD_YTM_ASK</stp>
        <stp>[BondPricer-0.2.xlsm]FRENCH_BTAN_TYPE89!R28C13</stp>
        <tr r="M28" s="8"/>
      </tp>
      <tp>
        <v>0.75686162265971024</v>
        <stp/>
        <stp>##V3_BDPV12</stp>
        <stp>GG7396557 Govt</stp>
        <stp>YLD_YTM_ASK</stp>
        <stp>[BondPricer-0.2.xlsm]FRENCH_BTAN_TYPE89!R92C13</stp>
        <tr r="M92" s="8"/>
      </tp>
      <tp>
        <v>18.260300454398248</v>
        <stp/>
        <stp>##V3_BDPV12</stp>
        <stp>EI0431599 Govt</stp>
        <stp>DUR_ADJ_ASK</stp>
        <stp>[BondPricer-0.2.xlsm]FRENCH_BTAN_TYPE89!R150C27</stp>
        <stp>YLD_YTM_ASK=</stp>
        <stp>YAS_YLD_CONV=1</stp>
        <tr r="AA150" s="8"/>
      </tp>
      <tp>
        <v>28.986649740171764</v>
        <stp/>
        <stp>##V3_BDPV12</stp>
        <stp>EI0432399 Govt</stp>
        <stp>DUR_ADJ_ASK</stp>
        <stp>[BondPricer-0.2.xlsm]FRENCH_BTAN_TYPE89!R197C27</stp>
        <stp>YLD_YTM_ASK=</stp>
        <stp>YAS_YLD_CONV=1</stp>
        <tr r="AA197" s="8"/>
      </tp>
      <tp>
        <v>0.63467893098749784</v>
        <stp/>
        <stp>##V3_BDPV12</stp>
        <stp>GG7396540 Govt</stp>
        <stp>YLD_YTM_ASK</stp>
        <stp>[BondPricer-0.2.xlsm]FRENCH_BTAN_TYPE89!R83C13</stp>
        <tr r="M83" s="8"/>
      </tp>
      <tp>
        <v>16.765066909551862</v>
        <stp/>
        <stp>##V3_BDPV12</stp>
        <stp>JK8068120 Govt</stp>
        <stp>YAS_RISK</stp>
        <stp>[BondPricer-0.2.xlsm]FRENCH_BTAN_TYPE89!R202C24</stp>
        <stp>YLD_YTM_ASK=1.9224921198453</stp>
        <stp>YAS_YLD_CONV=1</stp>
        <tr r="X202" s="8"/>
      </tp>
      <tp>
        <v>0.47430125047476235</v>
        <stp/>
        <stp>##V3_BDPV12</stp>
        <stp>GG7396532 Govt</stp>
        <stp>YLD_YTM_ASK</stp>
        <stp>[BondPricer-0.2.xlsm]FRENCH_BTAN_TYPE89!R73C13</stp>
        <tr r="M73" s="8"/>
      </tp>
      <tp>
        <v>0.30481885346262949</v>
        <stp/>
        <stp>##V3_BDPV12</stp>
        <stp>GG7396524 Govt</stp>
        <stp>YLD_YTM_ASK</stp>
        <stp>[BondPricer-0.2.xlsm]FRENCH_BTAN_TYPE89!R60C13</stp>
        <tr r="M60" s="8"/>
      </tp>
      <tp>
        <v>0.2011110266694649</v>
        <stp/>
        <stp>##V3_BDPV12</stp>
        <stp>GG7396516 Govt</stp>
        <stp>YLD_YTM_ASK</stp>
        <stp>[BondPricer-0.2.xlsm]FRENCH_BTAN_TYPE89!R50C13</stp>
        <tr r="M50" s="8"/>
      </tp>
      <tp>
        <v>82.981999999999871</v>
        <stp/>
        <stp>##V3_BDPV12</stp>
        <stp>EI0429551 Govt</stp>
        <stp>YAS_BOND_PX</stp>
        <stp>[BondPricer-0.2.xlsm]FRENCH_BTAN_TYPE89!R128C20</stp>
        <stp>YAS_BOND_YLD=1.2495712921722</stp>
        <stp>YAS_YLD_CONV=1</stp>
        <tr r="T128" s="8"/>
      </tp>
      <tp>
        <v>0.14138274653914262</v>
        <stp/>
        <stp>##V3_BDPV12</stp>
        <stp>EG4069639 Govt</stp>
        <stp>YLD_YTM_ASK</stp>
        <stp>[BondPricer-0.2.xlsm]FRENCH_BTAN_TYPE89!R47C13</stp>
        <tr r="M47" s="8"/>
      </tp>
      <tp>
        <v>0.90954126327558171</v>
        <stp/>
        <stp>##V3_BDPV12</stp>
        <stp>GG7396508 Govt</stp>
        <stp>YLD_YTM_ASK</stp>
        <stp>[BondPricer-0.2.xlsm]FRENCH_BTAN_TYPE89!R98C13</stp>
        <tr r="M98" s="8"/>
      </tp>
      <tp>
        <v>0.26667436835009878</v>
        <stp/>
        <stp>##V3_BDPV12</stp>
        <stp>EK3074136 Govt</stp>
        <stp>YLD_YTM_ASK</stp>
        <stp>[BondPricer-0.2.xlsm]FRENCH_BTAN_TYPE89!R57C13</stp>
        <tr r="M57" s="8"/>
      </tp>
      <tp>
        <v>2.2130686355454925</v>
        <stp/>
        <stp>##V3_BDPV12</stp>
        <stp>912828PX Govt</stp>
        <stp>DUR_ADJ_ASK</stp>
        <stp>[BondPricer-0.2.xlsm]US_TREASURY_TYPE1!R9C28</stp>
        <stp>YLD_YTM_ASK=2.8840743</stp>
        <stp>YAS_YLD_CONV=3</stp>
        <tr r="AB9" s="4"/>
      </tp>
      <tp>
        <v>86.831999999757997</v>
        <stp/>
        <stp>##V3_BDPV12</stp>
        <stp>EJ4854737 Govt</stp>
        <stp>PX_ASK</stp>
        <stp>[BondPricer-0.2.xlsm]ITALIAN_BTPS_TYPE523!R15C22</stp>
        <stp>YAS_BOND_YLD=2.9910955364945</stp>
        <stp>YAS_YLD_CONV=1</stp>
        <tr r="V15" s="5"/>
      </tp>
      <tp>
        <v>1.3669455991626942</v>
        <stp/>
        <stp>##V3_BDPV12</stp>
        <stp>AM1546788 Govt</stp>
        <stp>DUR_ADJ_ASK</stp>
        <stp>[BondPricer-0.2.xlsm]FRENCH_BTAN_TYPE89!R7C27</stp>
        <stp>YLD_YTM_ASK=</stp>
        <stp>YAS_YLD_CONV=1</stp>
        <tr r="AA7" s="8"/>
      </tp>
      <tp>
        <v>129.042</v>
        <stp/>
        <stp>##V3_BDPV12</stp>
        <stp>EF2502187 Govt</stp>
        <stp>YAS_BOND_PX</stp>
        <stp>[BondPricer-0.2.xlsm]JAPAN_JGB_TYPE51!R172C20</stp>
        <stp>YAS_BOND_SPL_YLD=0.472</stp>
        <stp>YAS_YLD_CONV=2</stp>
        <tr r="T172" s="7"/>
      </tp>
      <tp>
        <v>122.089</v>
        <stp/>
        <stp>##V3_BDPV12</stp>
        <stp>EI5130493 Govt</stp>
        <stp>YAS_BOND_PX</stp>
        <stp>[BondPricer-0.2.xlsm]JAPAN_JGB_TYPE51!R123C20</stp>
        <stp>YAS_BOND_SPL_YLD=0.234</stp>
        <stp>YAS_YLD_CONV=2</stp>
        <tr r="T123" s="7"/>
      </tp>
      <tp>
        <v>117.352</v>
        <stp/>
        <stp>##V3_BDPV12</stp>
        <stp>EJ9943964 Govt</stp>
        <stp>YAS_BOND_PX</stp>
        <stp>[BondPricer-0.2.xlsm]JAPAN_JGB_TYPE51!R155C20</stp>
        <stp>YAS_BOND_SPL_YLD=0.389</stp>
        <stp>YAS_YLD_CONV=2</stp>
        <tr r="T155" s="7"/>
      </tp>
      <tp>
        <v>133.77099999999999</v>
        <stp/>
        <stp>##V3_BDPV12</stp>
        <stp>EH3146931 Govt</stp>
        <stp>YAS_BOND_PX</stp>
        <stp>[BondPricer-0.2.xlsm]JAPAN_JGB_TYPE51!R184C20</stp>
        <stp>YAS_BOND_SPL_YLD=0.569</stp>
        <stp>YAS_YLD_CONV=2</stp>
        <tr r="T184" s="7"/>
      </tp>
      <tp>
        <v>110.175</v>
        <stp/>
        <stp>##V3_BDPV12</stp>
        <stp>EC9747782 Govt</stp>
        <stp>YAS_BOND_PX</stp>
        <stp>[BondPricer-0.2.xlsm]JAPAN_JGB_TYPE51!R150C20</stp>
        <stp>YAS_BOND_SPL_YLD=0.358</stp>
        <stp>YAS_YLD_CONV=2</stp>
        <tr r="T150" s="7"/>
      </tp>
      <tp>
        <v>-1.000000000000092E-3</v>
        <stp/>
        <stp>##V3_BDPV12</stp>
        <stp>UV7412959 Govt</stp>
        <stp>YLD_YTM_ASK</stp>
        <stp>[BondPricer-0.2.xlsm]JAPAN_JGB_TYPE51!R71C13</stp>
        <tr r="M71" s="7"/>
      </tp>
      <tp>
        <v>86.763999999965549</v>
        <stp/>
        <stp>##V3_BDPV12</stp>
        <stp>AM2016153 Govt</stp>
        <stp>PX_ASK</stp>
        <stp>[BondPricer-0.2.xlsm]ITALIAN_BTPS_TYPE523!R114C22</stp>
        <stp>YAS_BOND_YLD=3.6400087545595</stp>
        <stp>YAS_YLD_CONV=1</stp>
        <tr r="V114" s="5"/>
      </tp>
      <tp>
        <v>-0.4738552401136284</v>
        <stp/>
        <stp>##V3_BDPV12</stp>
        <stp>EI7852649 Govt</stp>
        <stp>YLD_YTM_ASK</stp>
        <stp>[BondPricer-0.2.xlsm]GERMAN_BUND_TYPE60!R9C13</stp>
        <tr r="M9" s="6"/>
      </tp>
      <tp>
        <v>0.29738963743195512</v>
        <stp/>
        <stp>##V3_BDPV12</stp>
        <stp>GG7291790 Govt</stp>
        <stp>YLD_YTM_ASK</stp>
        <stp>[BondPricer-0.2.xlsm]GERMAN_BUND_TYPE60!R25C13</stp>
        <tr r="M25" s="6"/>
      </tp>
      <tp>
        <v>0.9790753485338145</v>
        <stp/>
        <stp>##V3_BDPV12</stp>
        <stp>EI3229347 Govt</stp>
        <stp>YLD_YTM_ASK</stp>
        <stp>[BondPricer-0.2.xlsm]GERMAN_BUND_TYPE60!R34C13</stp>
        <tr r="M34" s="6"/>
      </tp>
      <tp>
        <v>1.0481861679765272</v>
        <stp/>
        <stp>##V3_BDPV12</stp>
        <stp>EJ1358112 Govt</stp>
        <stp>YLD_YTM_ASK</stp>
        <stp>[BondPricer-0.2.xlsm]GERMAN_BUND_TYPE60!R35C13</stp>
        <tr r="M35" s="6"/>
      </tp>
      <tp>
        <v>-6.2743056580645662E-2</v>
        <stp/>
        <stp>##V3_BDPV12</stp>
        <stp>EK0378027 Govt</stp>
        <stp>YLD_YTM_ASK</stp>
        <stp>[BondPricer-0.2.xlsm]GERMAN_BUND_TYPE60!R17C13</stp>
        <tr r="M17" s="6"/>
      </tp>
      <tp>
        <v>3.6338835468257003</v>
        <stp/>
        <stp>##V3_BDPV12</stp>
        <stp>AL2130345 Govt</stp>
        <stp>YAS_RISK</stp>
        <stp>[BondPricer-0.2.xlsm]FRENCH_BTAN_TYPE89!R27C24</stp>
        <stp>YLD_YTM_ASK=-0.186828875671485</stp>
        <stp>YAS_YLD_CONV=1</stp>
        <tr r="X27" s="8"/>
      </tp>
      <tp>
        <v>3.6338835468257003</v>
        <stp/>
        <stp>##V3_BDPV12</stp>
        <stp>AL2130345 Govt</stp>
        <stp>YAS_RISK</stp>
        <stp>[BondPricer-0.2.xlsm]FRENCH_BTAN_TYPE89!R29C24</stp>
        <stp>YLD_YTM_ASK=-0.186828875671485</stp>
        <stp>YAS_YLD_CONV=1</stp>
        <tr r="X29" s="8"/>
      </tp>
      <tp>
        <v>3.6332379695352301</v>
        <stp/>
        <stp>##V3_BDPV12</stp>
        <stp>EJ6177442 Govt</stp>
        <stp>YAS_RISK</stp>
        <stp>[BondPricer-0.2.xlsm]FRENCH_BTAN_TYPE89!R28C24</stp>
        <stp>YLD_YTM_ASK=-0.182975905656535</stp>
        <stp>YAS_YLD_CONV=1</stp>
        <tr r="X28" s="8"/>
      </tp>
      <tp>
        <v>3.8245095133297133</v>
        <stp/>
        <stp>##V3_BDPV12</stp>
        <stp>EJ3845777 Govt</stp>
        <stp>DUR_ADJ_ASK</stp>
        <stp>[BondPricer-0.2.xlsm]FRENCH_BTAN_TYPE89!R31C27</stp>
        <stp>YLD_YTM_ASK=</stp>
        <stp>YAS_YLD_CONV=1</stp>
        <tr r="AA31" s="8"/>
      </tp>
      <tp>
        <v>1.4492349985191222</v>
        <stp/>
        <stp>##V3_BDPV12</stp>
        <stp>EF6781696 Govt</stp>
        <stp>YLD_YTM_ASK</stp>
        <stp>[BondPricer-0.2.xlsm]FRENCH_BTAN_TYPE89!R160C13</stp>
        <tr r="M160" s="8"/>
      </tp>
      <tp>
        <v>5.1013977448489127</v>
        <stp/>
        <stp>##V3_BDPV12</stp>
        <stp>EK3918746 Govt</stp>
        <stp>DUR_ADJ_ASK</stp>
        <stp>[BondPricer-0.2.xlsm]FRENCH_BTAN_TYPE89!R48C27</stp>
        <stp>YLD_YTM_ASK=</stp>
        <stp>YAS_YLD_CONV=1</stp>
        <tr r="AA48" s="8"/>
      </tp>
      <tp>
        <v>1.3120970504187035</v>
        <stp/>
        <stp>##V3_BDPV12</stp>
        <stp>EF6781894 Govt</stp>
        <stp>YLD_YTM_ASK</stp>
        <stp>[BondPricer-0.2.xlsm]FRENCH_BTAN_TYPE89!R129C13</stp>
        <tr r="M129" s="8"/>
      </tp>
      <tp t="s">
        <v>#N/A Invalid Override</v>
        <stp/>
        <stp>##V3_BDPV12</stp>
        <stp>ED0670437 Govt</stp>
        <stp>YLD_CMPD_JPN_ASK_NOTRUNC</stp>
        <stp>[BondPricer-0.2.xlsm]JAPAN_JGB_TYPE51!R152C35</stp>
        <stp>PX_ASK=#N/A Requesting Data...</stp>
        <tr r="AI152" s="7"/>
      </tp>
      <tp t="s">
        <v>#N/A Invalid Override</v>
        <stp/>
        <stp>##V3_BDPV12</stp>
        <stp>EJ5659150 Govt</stp>
        <stp>YLD_CMPD_JPN_ASK_NOTRUNC</stp>
        <stp>[BondPricer-0.2.xlsm]JAPAN_JGB_TYPE51!R145C35</stp>
        <stp>PX_ASK=#N/A Requesting Data...</stp>
        <tr r="AI145" s="7"/>
      </tp>
      <tp>
        <v>1.4782487640735198</v>
        <stp/>
        <stp>##V3_BDPV12</stp>
        <stp>EF6782892 Govt</stp>
        <stp>YLD_YTM_ASK</stp>
        <stp>[BondPricer-0.2.xlsm]FRENCH_BTAN_TYPE89!R161C13</stp>
        <tr r="M161" s="8"/>
      </tp>
      <tp t="s">
        <v>#N/A Invalid Override</v>
        <stp/>
        <stp>##V3_BDPV12</stp>
        <stp>EC1745347 Govt</stp>
        <stp>YLD_CMPD_JPN_ASK_NOTRUNC</stp>
        <stp>[BondPricer-0.2.xlsm]JAPAN_JGB_TYPE51!R110C35</stp>
        <stp>PX_ASK=#N/A Requesting Data...</stp>
        <tr r="AI110" s="7"/>
      </tp>
      <tp t="s">
        <v>#N/A Invalid Override</v>
        <stp/>
        <stp>##V3_BDPV12</stp>
        <stp>EF2502187 Govt</stp>
        <stp>YLD_CMPD_JPN_ASK_NOTRUNC</stp>
        <stp>[BondPricer-0.2.xlsm]JAPAN_JGB_TYPE51!R172C35</stp>
        <stp>PX_ASK=#N/A Requesting Data...</stp>
        <tr r="AI172" s="7"/>
      </tp>
      <tp>
        <v>1.3570878642891859</v>
        <stp/>
        <stp>##V3_BDPV12</stp>
        <stp>EF6782090 Govt</stp>
        <stp>YLD_YTM_ASK</stp>
        <stp>[BondPricer-0.2.xlsm]FRENCH_BTAN_TYPE89!R134C13</stp>
        <tr r="M134" s="8"/>
      </tp>
      <tp t="s">
        <v>#N/A Invalid Override</v>
        <stp/>
        <stp>##V3_BDPV12</stp>
        <stp>EI0048054 Govt</stp>
        <stp>YLD_CMPD_JPN_ASK_NOTRUNC</stp>
        <stp>[BondPricer-0.2.xlsm]JAPAN_JGB_TYPE51!R187C35</stp>
        <stp>PX_ASK=#N/A Requesting Data...</stp>
        <tr r="AI187" s="7"/>
      </tp>
      <tp>
        <v>6.4983307390056968</v>
        <stp/>
        <stp>##V3_BDPV12</stp>
        <stp>EI0428439 Govt</stp>
        <stp>DUR_ADJ_ASK</stp>
        <stp>[BondPricer-0.2.xlsm]FRENCH_BTAN_TYPE89!R59C27</stp>
        <stp>YLD_YTM_ASK=</stp>
        <stp>YAS_YLD_CONV=1</stp>
        <tr r="AA59" s="8"/>
      </tp>
      <tp t="s">
        <v>#N/A Invalid Override</v>
        <stp/>
        <stp>##V3_BDPV12</stp>
        <stp>ED9034742 Govt</stp>
        <stp>YLD_CMPD_JPN_ASK_NOTRUNC</stp>
        <stp>[BondPricer-0.2.xlsm]JAPAN_JGB_TYPE51!R166C35</stp>
        <stp>PX_ASK=#N/A Requesting Data...</stp>
        <tr r="AI166" s="7"/>
      </tp>
      <tp>
        <v>1.0320473833288935</v>
        <stp/>
        <stp>##V3_BDPV12</stp>
        <stp>ED3948673 Govt</stp>
        <stp>YLD_YTM_ASK</stp>
        <stp>[BondPricer-0.2.xlsm]FRENCH_BTAN_TYPE89!R105C13</stp>
        <tr r="M105" s="8"/>
      </tp>
      <tp>
        <v>1.8376473901516903</v>
        <stp/>
        <stp>##V3_BDPV12</stp>
        <stp>EI1823166 Govt</stp>
        <stp>YLD_YTM_ASK</stp>
        <stp>[BondPricer-0.2.xlsm]FRENCH_BTAN_TYPE89!R231C13</stp>
        <tr r="M231" s="8"/>
      </tp>
      <tp>
        <v>6.5798085091439127</v>
        <stp/>
        <stp>##V3_BDPV12</stp>
        <stp>EJ6178242 Govt</stp>
        <stp>DUR_ADJ_ASK</stp>
        <stp>[BondPricer-0.2.xlsm]FRENCH_BTAN_TYPE89!R62C27</stp>
        <stp>YLD_YTM_ASK=</stp>
        <stp>YAS_YLD_CONV=1</stp>
        <tr r="AA62" s="8"/>
      </tp>
      <tp>
        <v>1.2990316952430803</v>
        <stp/>
        <stp>##V3_BDPV12</stp>
        <stp>ED3948871 Govt</stp>
        <stp>YLD_YTM_ASK</stp>
        <stp>[BondPricer-0.2.xlsm]FRENCH_BTAN_TYPE89!R131C13</stp>
        <tr r="M131" s="8"/>
      </tp>
      <tp>
        <v>3.9260039719629218</v>
        <stp/>
        <stp>##V3_BDPV12</stp>
        <stp>GG7112335 Govt</stp>
        <stp>DUR_ADJ_ASK</stp>
        <stp>[BondPricer-0.2.xlsm]FRENCH_BTAN_TYPE89!R36C27</stp>
        <stp>YLD_YTM_ASK=</stp>
        <stp>YAS_YLD_CONV=1</stp>
        <tr r="AA36" s="8"/>
      </tp>
      <tp>
        <v>17.134889826922972</v>
        <stp/>
        <stp>##V3_BDPV12</stp>
        <stp>UV8902925 Govt</stp>
        <stp>YAS_RISK</stp>
        <stp>[BondPricer-0.2.xlsm]JAPAN_JGB_TYPE51!R169C25</stp>
        <stp>YLD_YTM_ASK=0.492</stp>
        <stp>YAS_YLD_CONV=3</stp>
        <tr r="Y169" s="7"/>
      </tp>
      <tp>
        <v>23.174832810977364</v>
        <stp/>
        <stp>##V3_BDPV12</stp>
        <stp>EI1819230 Govt</stp>
        <stp>YAS_RISK</stp>
        <stp>[BondPricer-0.2.xlsm]JAPAN_JGB_TYPE51!R188C25</stp>
        <stp>YLD_YTM_ASK=0.634</stp>
        <stp>YAS_YLD_CONV=3</stp>
        <tr r="Y188" s="7"/>
      </tp>
      <tp>
        <v>21.010808695879746</v>
        <stp/>
        <stp>##V3_BDPV12</stp>
        <stp>EG9384082 Govt</stp>
        <stp>YAS_RISK</stp>
        <stp>[BondPricer-0.2.xlsm]JAPAN_JGB_TYPE51!R183C25</stp>
        <stp>YLD_YTM_ASK=0.547</stp>
        <stp>YAS_YLD_CONV=3</stp>
        <tr r="Y183" s="7"/>
      </tp>
      <tp>
        <v>17.236875256264739</v>
        <stp/>
        <stp>##V3_BDPV12</stp>
        <stp>AL7975124 Govt</stp>
        <stp>YAS_RISK</stp>
        <stp>[BondPricer-0.2.xlsm]JAPAN_JGB_TYPE51!R179C25</stp>
        <stp>YLD_YTM_ASK=0.586</stp>
        <stp>YAS_YLD_CONV=3</stp>
        <tr r="Y179" s="7"/>
      </tp>
      <tp>
        <v>5.2000000000002308E-2</v>
        <stp/>
        <stp>##V3_BDPV12</stp>
        <stp>EG0574590 Govt</stp>
        <stp>YLD_YTM_ASK</stp>
        <stp>[BondPricer-0.2.xlsm]JAPAN_JGB_TYPE51!R87C13</stp>
        <tr r="M87" s="7"/>
      </tp>
      <tp>
        <v>-0.115</v>
        <stp/>
        <stp>##V3_BDPV12</stp>
        <stp>EC4603477 Govt</stp>
        <stp>YLD_YTM_ASK</stp>
        <stp>[BondPricer-0.2.xlsm]JAPAN_JGB_TYPE51!R19C13</stp>
        <tr r="M19" s="7"/>
      </tp>
      <tp>
        <v>4.0999999999999419E-2</v>
        <stp/>
        <stp>##V3_BDPV12</stp>
        <stp>EF7943063 Govt</stp>
        <stp>YLD_YTM_ASK</stp>
        <stp>[BondPricer-0.2.xlsm]JAPAN_JGB_TYPE51!R85C13</stp>
        <tr r="M85" s="7"/>
      </tp>
      <tp>
        <v>2.0000000000005365E-3</v>
        <stp/>
        <stp>##V3_BDPV12</stp>
        <stp>EF1062381 Govt</stp>
        <stp>YLD_YTM_ASK</stp>
        <stp>[BondPricer-0.2.xlsm]JAPAN_JGB_TYPE51!R72C13</stp>
        <tr r="M72" s="7"/>
      </tp>
      <tp>
        <v>-0.18983329932942547</v>
        <stp/>
        <stp>##V3_BDPV12</stp>
        <stp>EJ6775781 Govt</stp>
        <stp>YLD_YTM_ASK</stp>
        <stp>[BondPricer-0.2.xlsm]GERMAN_BUND_TYPE60!R14C13</stp>
        <tr r="M14" s="6"/>
      </tp>
      <tp>
        <v>-0.14871265981447274</v>
        <stp/>
        <stp>##V3_BDPV12</stp>
        <stp>EJ8158960 Govt</stp>
        <stp>YLD_YTM_ASK</stp>
        <stp>[BondPricer-0.2.xlsm]GERMAN_BUND_TYPE60!R15C13</stp>
        <tr r="M15" s="6"/>
      </tp>
      <tp>
        <v>0.90501355406220274</v>
        <stp/>
        <stp>##V3_BDPV12</stp>
        <stp>EG1209048 Govt</stp>
        <stp>YLD_YTM_ASK</stp>
        <stp>[BondPricer-0.2.xlsm]GERMAN_BUND_TYPE60!R32C13</stp>
        <tr r="M32" s="6"/>
      </tp>
      <tp>
        <v>0.12952128563157475</v>
        <stp/>
        <stp>##V3_BDPV12</stp>
        <stp>AF2056345 Govt</stp>
        <stp>YLD_YTM_ASK</stp>
        <stp>[BondPricer-0.2.xlsm]GERMAN_BUND_TYPE60!R21C13</stp>
        <tr r="M21" s="6"/>
      </tp>
      <tp>
        <v>2.5037223431461086</v>
        <stp/>
        <stp>##V3_BDPV12</stp>
        <stp>EC3680336 Govt</stp>
        <stp>YAS_RISK</stp>
        <stp>[BondPricer-0.2.xlsm]JAPAN_JGB_TYPE51!R10C25</stp>
        <stp>YLD_YTM_ASK=-0.119</stp>
        <stp>YAS_YLD_CONV=3</stp>
        <tr r="Y10" s="7"/>
      </tp>
      <tp>
        <v>0.26078871624206634</v>
        <stp/>
        <stp>##V3_BDPV12</stp>
        <stp>LW7430652 Govt</stp>
        <stp>YLD_YTM_ASK</stp>
        <stp>[BondPricer-0.2.xlsm]GERMAN_BUND_TYPE60!R23C13</stp>
        <tr r="M23" s="6"/>
      </tp>
      <tp>
        <v>3.6338835468257003</v>
        <stp/>
        <stp>##V3_BDPV12</stp>
        <stp>AL2130345 Govt</stp>
        <stp>YAS_RISK</stp>
        <stp>[BondPricer-0.2.xlsm]FRENCH_BTAN_TYPE89!R30C24</stp>
        <stp>YLD_YTM_ASK=-0.186828875671485</stp>
        <stp>YAS_YLD_CONV=1</stp>
        <tr r="X30" s="8"/>
      </tp>
      <tp>
        <v>2.6397766126045497</v>
        <stp/>
        <stp>##V3_BDPV12</stp>
        <stp>EJ6177145 Govt</stp>
        <stp>YAS_RISK</stp>
        <stp>[BondPricer-0.2.xlsm]FRENCH_BTAN_TYPE89!R14C24</stp>
        <stp>YLD_YTM_ASK=-0.391423414228176</stp>
        <stp>YAS_YLD_CONV=1</stp>
        <tr r="X14" s="8"/>
      </tp>
      <tp t="s">
        <v>#N/A Invalid Override</v>
        <stp/>
        <stp>##V3_BDPV12</stp>
        <stp>EC3066569 Govt</stp>
        <stp>YLD_CMPD_JPN_ASK_NOTRUNC</stp>
        <stp>[BondPricer-0.2.xlsm]JAPAN_JGB_TYPE51!R122C35</stp>
        <stp>PX_ASK=#N/A Requesting Data...</stp>
        <tr r="AI122" s="7"/>
      </tp>
      <tp t="s">
        <v>#N/A Invalid Override</v>
        <stp/>
        <stp>##V3_BDPV12</stp>
        <stp>ED6591066 Govt</stp>
        <stp>YLD_CMPD_JPN_ASK_NOTRUNC</stp>
        <stp>[BondPricer-0.2.xlsm]JAPAN_JGB_TYPE51!R162C35</stp>
        <stp>PX_ASK=#N/A Requesting Data...</stp>
        <tr r="AI162" s="7"/>
      </tp>
      <tp>
        <v>4.0857991040390118</v>
        <stp/>
        <stp>##V3_BDPV12</stp>
        <stp>EJ3422718 Govt</stp>
        <stp>YAS_RISK</stp>
        <stp>[BondPricer-0.2.xlsm]GERMAN_BUND_TYPE60!R12C24</stp>
        <stp>YLD_YTM_ASK=-0.308162373312628</stp>
        <stp>YAS_YLD_CONV=1</stp>
        <tr r="X12" s="6"/>
      </tp>
      <tp t="s">
        <v>#N/A Invalid Override</v>
        <stp/>
        <stp>##V3_BDPV12</stp>
        <stp>EF5597655 Govt</stp>
        <stp>YLD_CMPD_JPN_ASK_NOTRUNC</stp>
        <stp>[BondPricer-0.2.xlsm]JAPAN_JGB_TYPE51!R176C35</stp>
        <stp>PX_ASK=#N/A Requesting Data...</stp>
        <tr r="AI176" s="7"/>
      </tp>
      <tp>
        <v>3.9284171500227671</v>
        <stp/>
        <stp>##V3_BDPV12</stp>
        <stp>EJ1202419 Govt</stp>
        <stp>YAS_RISK</stp>
        <stp>[BondPricer-0.2.xlsm]GERMAN_BUND_TYPE60!R11C24</stp>
        <stp>YLD_YTM_ASK=-0.335434324242254</stp>
        <stp>YAS_YLD_CONV=1</stp>
        <tr r="X11" s="6"/>
      </tp>
      <tp>
        <v>7.5650702185133545</v>
        <stp/>
        <stp>##V3_BDPV12</stp>
        <stp>EJ6178390 Govt</stp>
        <stp>DUR_ADJ_ASK</stp>
        <stp>[BondPricer-0.2.xlsm]FRENCH_BTAN_TYPE89!R75C27</stp>
        <stp>YLD_YTM_ASK=</stp>
        <stp>YAS_YLD_CONV=1</stp>
        <tr r="AA75" s="8"/>
      </tp>
      <tp>
        <v>3.157817668360388</v>
        <stp/>
        <stp>##V3_BDPV12</stp>
        <stp>GG7115262 Govt</stp>
        <stp>DUR_ADJ_ASK</stp>
        <stp>[BondPricer-0.2.xlsm]FRENCH_BTAN_TYPE89!R23C27</stp>
        <stp>YLD_YTM_ASK=</stp>
        <stp>YAS_YLD_CONV=1</stp>
        <tr r="AA23" s="8"/>
      </tp>
      <tp>
        <v>4.5191574631956</v>
        <stp/>
        <stp>##V3_BDPV12</stp>
        <stp>GG7127267 Govt</stp>
        <stp>DUR_ADJ_ASK</stp>
        <stp>[BondPricer-0.2.xlsm]FRENCH_BTAN_TYPE89!R39C27</stp>
        <stp>YLD_YTM_ASK=</stp>
        <stp>YAS_YLD_CONV=1</stp>
        <tr r="AA39" s="8"/>
      </tp>
      <tp>
        <v>6.99047793561106</v>
        <stp/>
        <stp>##V3_BDPV12</stp>
        <stp>GG7190265 Govt</stp>
        <stp>DUR_ADJ_ASK</stp>
        <stp>[BondPricer-0.2.xlsm]FRENCH_BTAN_TYPE89!R68C27</stp>
        <stp>YLD_YTM_ASK=</stp>
        <stp>YAS_YLD_CONV=1</stp>
        <tr r="AA68" s="8"/>
      </tp>
      <tp>
        <v>0.99364466426106191</v>
        <stp/>
        <stp>##V3_BDPV12</stp>
        <stp>EC3971461 Govt</stp>
        <stp>YLD_YTM_ASK</stp>
        <stp>[BondPricer-0.2.xlsm]FRENCH_BTAN_TYPE89!R103C13</stp>
        <tr r="M103" s="8"/>
      </tp>
      <tp>
        <v>14.413765536874516</v>
        <stp/>
        <stp>##V3_BDPV12</stp>
        <stp>EK4996816 Govt</stp>
        <stp>YAS_MOD_DUR</stp>
        <stp>[BondPricer-0.2.xlsm]JAPAN_JGB_TYPE51!R161C28</stp>
        <stp>YLD_YTM_ASK=0.433000000000001</stp>
        <stp>YAS_YLD_CONV=3</stp>
        <tr r="AB161" s="7"/>
      </tp>
      <tp>
        <v>4.5191574631956</v>
        <stp/>
        <stp>##V3_BDPV12</stp>
        <stp>GG7127275 Govt</stp>
        <stp>DUR_ADJ_ASK</stp>
        <stp>[BondPricer-0.2.xlsm]FRENCH_BTAN_TYPE89!R37C27</stp>
        <stp>YLD_YTM_ASK=</stp>
        <stp>YAS_YLD_CONV=1</stp>
        <tr r="AA37" s="8"/>
      </tp>
      <tp>
        <v>6.9904060159040009</v>
        <stp/>
        <stp>##V3_BDPV12</stp>
        <stp>GG7190273 Govt</stp>
        <stp>DUR_ADJ_ASK</stp>
        <stp>[BondPricer-0.2.xlsm]FRENCH_BTAN_TYPE89!R67C27</stp>
        <stp>YLD_YTM_ASK=</stp>
        <stp>YAS_YLD_CONV=1</stp>
        <tr r="AA67" s="8"/>
      </tp>
      <tp>
        <v>7.4860987598290762</v>
        <stp/>
        <stp>##V3_BDPV12</stp>
        <stp>EI0428512 Govt</stp>
        <stp>DUR_ADJ_ASK</stp>
        <stp>[BondPricer-0.2.xlsm]FRENCH_BTAN_TYPE89!R72C27</stp>
        <stp>YLD_YTM_ASK=</stp>
        <stp>YAS_YLD_CONV=1</stp>
        <tr r="AA72" s="8"/>
      </tp>
      <tp>
        <v>5.0175304588215512</v>
        <stp/>
        <stp>##V3_BDPV12</stp>
        <stp>GG7190240 Govt</stp>
        <stp>DUR_ADJ_ASK</stp>
        <stp>[BondPricer-0.2.xlsm]FRENCH_BTAN_TYPE89!R46C27</stp>
        <stp>YLD_YTM_ASK=</stp>
        <stp>YAS_YLD_CONV=1</stp>
        <tr r="AA46" s="8"/>
      </tp>
      <tp>
        <v>1.1801378774339844</v>
        <stp/>
        <stp>##V3_BDPV12</stp>
        <stp>EC3973863 Govt</stp>
        <stp>YLD_YTM_ASK</stp>
        <stp>[BondPricer-0.2.xlsm]FRENCH_BTAN_TYPE89!R122C13</stp>
        <tr r="M122" s="8"/>
      </tp>
      <tp>
        <v>8.4850498856041252</v>
        <stp/>
        <stp>##V3_BDPV12</stp>
        <stp>GG7384272 Govt</stp>
        <stp>DUR_ADJ_ASK</stp>
        <stp>[BondPricer-0.2.xlsm]FRENCH_BTAN_TYPE89!R96C27</stp>
        <stp>YLD_YTM_ASK=</stp>
        <stp>YAS_YLD_CONV=1</stp>
        <tr r="AA96" s="8"/>
      </tp>
      <tp>
        <v>6.0083821990671931</v>
        <stp/>
        <stp>##V3_BDPV12</stp>
        <stp>GG7190257 Govt</stp>
        <stp>DUR_ADJ_ASK</stp>
        <stp>[BondPricer-0.2.xlsm]FRENCH_BTAN_TYPE89!R56C27</stp>
        <stp>YLD_YTM_ASK=</stp>
        <stp>YAS_YLD_CONV=1</stp>
        <tr r="AA56" s="8"/>
      </tp>
      <tp>
        <v>3.5296881478273603</v>
        <stp/>
        <stp>##V3_BDPV12</stp>
        <stp>GG7127259 Govt</stp>
        <stp>DUR_ADJ_ASK</stp>
        <stp>[BondPricer-0.2.xlsm]FRENCH_BTAN_TYPE89!R25C27</stp>
        <stp>YLD_YTM_ASK=</stp>
        <stp>YAS_YLD_CONV=1</stp>
        <tr r="AA25" s="8"/>
      </tp>
      <tp>
        <v>3.0325004012501613</v>
        <stp/>
        <stp>##V3_BDPV12</stp>
        <stp>GG7190224 Govt</stp>
        <stp>DUR_ADJ_ASK</stp>
        <stp>[BondPricer-0.2.xlsm]FRENCH_BTAN_TYPE89!R19C27</stp>
        <stp>YLD_YTM_ASK=</stp>
        <stp>YAS_YLD_CONV=1</stp>
        <tr r="AA19" s="8"/>
      </tp>
      <tp>
        <v>2.5301203562978878</v>
        <stp/>
        <stp>##V3_BDPV12</stp>
        <stp>GG7127234 Govt</stp>
        <stp>DUR_ADJ_ASK</stp>
        <stp>[BondPricer-0.2.xlsm]FRENCH_BTAN_TYPE89!R11C27</stp>
        <stp>YLD_YTM_ASK=</stp>
        <stp>YAS_YLD_CONV=1</stp>
        <tr r="AA11" s="8"/>
      </tp>
      <tp>
        <v>4.0251840019572169</v>
        <stp/>
        <stp>##V3_BDPV12</stp>
        <stp>GG7190232 Govt</stp>
        <stp>DUR_ADJ_ASK</stp>
        <stp>[BondPricer-0.2.xlsm]FRENCH_BTAN_TYPE89!R32C27</stp>
        <stp>YLD_YTM_ASK=</stp>
        <stp>YAS_YLD_CONV=1</stp>
        <tr r="AA32" s="8"/>
      </tp>
      <tp>
        <v>2.0670484091317443</v>
        <stp/>
        <stp>##V3_BDPV12</stp>
        <stp>EI1868476 Govt</stp>
        <stp>YLD_YTM_ASK</stp>
        <stp>[BondPricer-0.2.xlsm]FRENCH_BTAN_TYPE89!R227C13</stp>
        <tr r="M227" s="8"/>
      </tp>
      <tp>
        <v>8.4643765866898981</v>
        <stp/>
        <stp>##V3_BDPV12</stp>
        <stp>EI0428553 Govt</stp>
        <stp>DUR_ADJ_ASK</stp>
        <stp>[BondPricer-0.2.xlsm]FRENCH_BTAN_TYPE89!R82C27</stp>
        <stp>YLD_YTM_ASK=</stp>
        <stp>YAS_YLD_CONV=1</stp>
        <tr r="AA82" s="8"/>
      </tp>
      <tp>
        <v>3.6461634308366797</v>
        <stp/>
        <stp>##V3_BDPV12</stp>
        <stp>QZ032122 Corp</stp>
        <stp>YAS_RISK</stp>
        <stp>[BondPricer-0.2.xlsm]UK_GILT_TYPE26!R9C24</stp>
        <stp>YLD_YTM_ASK=1.01486937313188</stp>
        <stp>YAS_YLD_CONV=3</stp>
        <tr r="X9" s="13"/>
      </tp>
      <tp>
        <v>-1.2999999999998827E-2</v>
        <stp/>
        <stp>##V3_BDPV12</stp>
        <stp>ED8660810 Govt</stp>
        <stp>YLD_YTM_ASK</stp>
        <stp>[BondPricer-0.2.xlsm]JAPAN_JGB_TYPE51!R64C13</stp>
        <tr r="M64" s="7"/>
      </tp>
      <tp>
        <v>0.11300000000000028</v>
        <stp/>
        <stp>##V3_BDPV12</stp>
        <stp>EH4237085 Govt</stp>
        <stp>YLD_YTM_ASK</stp>
        <stp>[BondPricer-0.2.xlsm]JAPAN_JGB_TYPE51!R98C13</stp>
        <tr r="M98" s="7"/>
      </tp>
      <tp>
        <v>0.5020314305019784</v>
        <stp/>
        <stp>##V3_BDPV12</stp>
        <stp>EC2153012 Govt</stp>
        <stp>YLD_YTM_ASK</stp>
        <stp>[BondPricer-0.2.xlsm]GERMAN_BUND_TYPE60!R28C13</stp>
        <tr r="M28" s="6"/>
      </tp>
      <tp>
        <v>4.1103249576019421</v>
        <stp/>
        <stp>##V3_BDPV12</stp>
        <stp>EK3918563 Govt</stp>
        <stp>DUR_ADJ_ASK</stp>
        <stp>[BondPricer-0.2.xlsm]FRENCH_BTAN_TYPE89!R34C27</stp>
        <stp>YLD_YTM_ASK=</stp>
        <stp>YAS_YLD_CONV=1</stp>
        <tr r="AA34" s="8"/>
      </tp>
      <tp t="s">
        <v>#N/A Invalid Override</v>
        <stp/>
        <stp>##V3_BDPV12</stp>
        <stp>EI1908785 Govt</stp>
        <stp>YLD_CMPD_JPN_ASK_NOTRUNC</stp>
        <stp>[BondPricer-0.2.xlsm]JAPAN_JGB_TYPE51!R115C35</stp>
        <stp>PX_ASK=#N/A Requesting Data...</stp>
        <tr r="AI115" s="7"/>
      </tp>
      <tp>
        <v>2.5311242489491814</v>
        <stp/>
        <stp>##V3_BDPV12</stp>
        <stp>EI0418695 Govt</stp>
        <stp>DUR_ADJ_ASK</stp>
        <stp>[BondPricer-0.2.xlsm]FRENCH_BTAN_TYPE89!R10C27</stp>
        <stp>YLD_YTM_ASK=</stp>
        <stp>YAS_YLD_CONV=1</stp>
        <tr r="AA10" s="8"/>
      </tp>
      <tp>
        <v>11.447780336464854</v>
        <stp/>
        <stp>##V3_BDPV12</stp>
        <stp>EI7953108 Govt</stp>
        <stp>YAS_MOD_DUR</stp>
        <stp>[BondPricer-0.2.xlsm]JAPAN_JGB_TYPE51!R130C28</stp>
        <stp>YLD_YTM_ASK=0.258999999999998</stp>
        <stp>YAS_YLD_CONV=3</stp>
        <tr r="AB130" s="7"/>
      </tp>
      <tp>
        <v>7.0726517897870673</v>
        <stp/>
        <stp>##V3_BDPV12</stp>
        <stp>JV1835729 Govt</stp>
        <stp>DUR_ADJ_ASK</stp>
        <stp>[BondPricer-0.2.xlsm]FRENCH_BTAN_TYPE89!R70C27</stp>
        <stp>YLD_YTM_ASK=</stp>
        <stp>YAS_YLD_CONV=1</stp>
        <tr r="AA70" s="8"/>
      </tp>
      <tp>
        <v>5.5925072749120472</v>
        <stp/>
        <stp>##V3_BDPV12</stp>
        <stp>EJ6178093 Govt</stp>
        <stp>DUR_ADJ_ASK</stp>
        <stp>[BondPricer-0.2.xlsm]FRENCH_BTAN_TYPE89!R52C27</stp>
        <stp>YLD_YTM_ASK=</stp>
        <stp>YAS_YLD_CONV=1</stp>
        <tr r="AA52" s="8"/>
      </tp>
      <tp>
        <v>9.4466638903761009</v>
        <stp/>
        <stp>##V3_BDPV12</stp>
        <stp>EI0428637 Govt</stp>
        <stp>DUR_ADJ_ASK</stp>
        <stp>[BondPricer-0.2.xlsm]FRENCH_BTAN_TYPE89!R91C27</stp>
        <stp>YLD_YTM_ASK=</stp>
        <stp>YAS_YLD_CONV=1</stp>
        <tr r="AA91" s="8"/>
      </tp>
      <tp t="s">
        <v>#N/A Invalid Override</v>
        <stp/>
        <stp>##V3_BDPV12</stp>
        <stp>EC9747782 Govt</stp>
        <stp>YLD_CMPD_JPN_ASK_NOTRUNC</stp>
        <stp>[BondPricer-0.2.xlsm]JAPAN_JGB_TYPE51!R150C35</stp>
        <stp>PX_ASK=#N/A Requesting Data...</stp>
        <tr r="AI150" s="7"/>
      </tp>
      <tp>
        <v>4.211976677208785</v>
        <stp/>
        <stp>##V3_BDPV12</stp>
        <stp>EJ5733310 Govt</stp>
        <stp>DUR_ADJ_ASK</stp>
        <stp>[BondPricer-0.2.xlsm]FRENCH_BTAN_TYPE89!R35C27</stp>
        <stp>YLD_YTM_ASK=</stp>
        <stp>YAS_YLD_CONV=1</stp>
        <tr r="AA35" s="8"/>
      </tp>
      <tp>
        <v>7.9690657117411261</v>
        <stp/>
        <stp>##V3_BDPV12</stp>
        <stp>QZ3583536 Govt</stp>
        <stp>DUR_ADJ_ASK</stp>
        <stp>[BondPricer-0.2.xlsm]FRENCH_BTAN_TYPE89!R80C27</stp>
        <stp>YLD_YTM_ASK=</stp>
        <stp>YAS_YLD_CONV=1</stp>
        <tr r="AA80" s="8"/>
      </tp>
      <tp>
        <v>10.45640318390072</v>
        <stp/>
        <stp>##V3_BDPV12</stp>
        <stp>EC3066569 Govt</stp>
        <stp>YAS_MOD_DUR</stp>
        <stp>[BondPricer-0.2.xlsm]JAPAN_JGB_TYPE51!R122C28</stp>
        <stp>YLD_YTM_ASK=0.218999999999998</stp>
        <stp>YAS_YLD_CONV=3</stp>
        <tr r="AB122" s="7"/>
      </tp>
      <tp>
        <v>6.7107977045009468</v>
        <stp/>
        <stp>##V3_BDPV12</stp>
        <stp>EI3077506 Govt</stp>
        <stp>DUR_ADJ_ASK</stp>
        <stp>[BondPricer-0.2.xlsm]FRENCH_BTAN_TYPE89!R71C27</stp>
        <stp>YLD_YTM_ASK=</stp>
        <stp>YAS_YLD_CONV=1</stp>
        <tr r="AA71" s="8"/>
      </tp>
      <tp>
        <v>8.205857493196639</v>
        <stp/>
        <stp>##V3_BDPV12</stp>
        <stp>AN0904697 Govt</stp>
        <stp>DUR_ADJ_ASK</stp>
        <stp>[BondPricer-0.2.xlsm]FRENCH_BTAN_TYPE89!R84C27</stp>
        <stp>YLD_YTM_ASK=</stp>
        <stp>YAS_YLD_CONV=1</stp>
        <tr r="AA84" s="8"/>
      </tp>
      <tp>
        <v>8.205857493196639</v>
        <stp/>
        <stp>##V3_BDPV12</stp>
        <stp>AN0904697 Govt</stp>
        <stp>DUR_ADJ_ASK</stp>
        <stp>[BondPricer-0.2.xlsm]FRENCH_BTAN_TYPE89!R86C27</stp>
        <stp>YLD_YTM_ASK=</stp>
        <stp>YAS_YLD_CONV=1</stp>
        <tr r="AA86" s="8"/>
      </tp>
      <tp>
        <v>8.205857493196639</v>
        <stp/>
        <stp>##V3_BDPV12</stp>
        <stp>AN0904697 Govt</stp>
        <stp>DUR_ADJ_ASK</stp>
        <stp>[BondPricer-0.2.xlsm]FRENCH_BTAN_TYPE89!R87C27</stp>
        <stp>YLD_YTM_ASK=</stp>
        <stp>YAS_YLD_CONV=1</stp>
        <tr r="AA87" s="8"/>
      </tp>
      <tp>
        <v>3.5520616583430211</v>
        <stp/>
        <stp>##V3_BDPV12</stp>
        <stp>EC6386048 Govt</stp>
        <stp>YAS_MOD_DUR</stp>
        <stp>[BondPricer-0.2.xlsm]JAPAN_JGB_TYPE51!R31C28</stp>
        <stp>YLD_YTM_ASK=-0.102999999999998</stp>
        <stp>YAS_YLD_CONV=3</stp>
        <tr r="AB31" s="7"/>
      </tp>
      <tp>
        <v>2.6318191292343034</v>
        <stp/>
        <stp>##V3_BDPV12</stp>
        <stp>EI6972224 Govt</stp>
        <stp>YAS_MOD_DUR</stp>
        <stp>[BondPricer-0.2.xlsm]JAPAN_JGB_TYPE51!R13C28</stp>
        <stp>YLD_YTM_ASK=-0.113999999999998</stp>
        <stp>YAS_YLD_CONV=3</stp>
        <tr r="AB13" s="7"/>
      </tp>
      <tp>
        <v>3.418510731895807</v>
        <stp/>
        <stp>##V3_BDPV12</stp>
        <stp>AM7968010 Govt</stp>
        <stp>YAS_MOD_DUR</stp>
        <stp>[BondPricer-0.2.xlsm]JAPAN_JGB_TYPE51!R25C28</stp>
        <stp>YLD_YTM_ASK=-0.105999999999999</stp>
        <stp>YAS_YLD_CONV=3</stp>
        <tr r="AB25" s="7"/>
      </tp>
      <tp>
        <v>-1.800000000000072E-2</v>
        <stp/>
        <stp>##V3_BDPV12</stp>
        <stp>ED7357210 Govt</stp>
        <stp>YLD_YTM_ASK</stp>
        <stp>[BondPricer-0.2.xlsm]JAPAN_JGB_TYPE51!R62C13</stp>
        <tr r="M62" s="7"/>
      </tp>
      <tp>
        <v>7.2999999999999537E-2</v>
        <stp/>
        <stp>##V3_BDPV12</stp>
        <stp>EG5864293 Govt</stp>
        <stp>YLD_YTM_ASK</stp>
        <stp>[BondPricer-0.2.xlsm]JAPAN_JGB_TYPE51!R91C13</stp>
        <tr r="M91" s="7"/>
      </tp>
      <tp>
        <v>-3.0000000000004641E-3</v>
        <stp/>
        <stp>##V3_BDPV12</stp>
        <stp>EF0357980 Govt</stp>
        <stp>YLD_YTM_ASK</stp>
        <stp>[BondPricer-0.2.xlsm]JAPAN_JGB_TYPE51!R69C13</stp>
        <tr r="M69" s="7"/>
      </tp>
      <tp>
        <v>-8.1000000000000127E-2</v>
        <stp/>
        <stp>##V3_BDPV12</stp>
        <stp>ED0114584 Govt</stp>
        <stp>YLD_YTM_ASK</stp>
        <stp>[BondPricer-0.2.xlsm]JAPAN_JGB_TYPE51!R42C13</stp>
        <tr r="M42" s="7"/>
      </tp>
      <tp>
        <v>-9.3999999999999709E-2</v>
        <stp/>
        <stp>##V3_BDPV12</stp>
        <stp>EC7836876 Govt</stp>
        <stp>YLD_YTM_ASK</stp>
        <stp>[BondPricer-0.2.xlsm]JAPAN_JGB_TYPE51!R37C13</stp>
        <tr r="M37" s="7"/>
      </tp>
      <tp>
        <v>8.3000000000000268E-2</v>
        <stp/>
        <stp>##V3_BDPV12</stp>
        <stp>EG8573362 Govt</stp>
        <stp>YLD_YTM_ASK</stp>
        <stp>[BondPricer-0.2.xlsm]JAPAN_JGB_TYPE51!R93C13</stp>
        <tr r="M93" s="7"/>
      </tp>
      <tp>
        <v>-8.1000000000000683E-2</v>
        <stp/>
        <stp>##V3_BDPV12</stp>
        <stp>ED1010344 Govt</stp>
        <stp>YLD_YTM_ASK</stp>
        <stp>[BondPricer-0.2.xlsm]JAPAN_JGB_TYPE51!R43C13</stp>
        <tr r="M43" s="7"/>
      </tp>
      <tp>
        <v>-8.0999999999998518E-2</v>
        <stp/>
        <stp>##V3_BDPV12</stp>
        <stp>EJ5801505 Govt</stp>
        <stp>YLD_YTM_ASK</stp>
        <stp>[BondPricer-0.2.xlsm]JAPAN_JGB_TYPE51!R39C13</stp>
        <tr r="M39" s="7"/>
      </tp>
      <tp>
        <v>-7.6999999999999361E-2</v>
        <stp/>
        <stp>##V3_BDPV12</stp>
        <stp>EJ7060233 Govt</stp>
        <stp>YLD_YTM_ASK</stp>
        <stp>[BondPricer-0.2.xlsm]JAPAN_JGB_TYPE51!R41C13</stp>
        <tr r="M41" s="7"/>
      </tp>
      <tp>
        <v>-2.0999999999999446E-2</v>
        <stp/>
        <stp>##V3_BDPV12</stp>
        <stp>EK6363973 Govt</stp>
        <stp>YLD_YTM_ASK</stp>
        <stp>[BondPricer-0.2.xlsm]JAPAN_JGB_TYPE51!R60C13</stp>
        <tr r="M60" s="7"/>
      </tp>
      <tp>
        <v>-0.11500000000000124</v>
        <stp/>
        <stp>##V3_BDPV12</stp>
        <stp>EI7714344 Govt</stp>
        <stp>YLD_YTM_ASK</stp>
        <stp>[BondPricer-0.2.xlsm]JAPAN_JGB_TYPE51!R14C13</stp>
        <tr r="M14" s="7"/>
      </tp>
      <tp>
        <v>12.159143312581079</v>
        <stp/>
        <stp>##V3_BDPV12</stp>
        <stp>EJ1461163 Govt</stp>
        <stp>YAS_MOD_DUR</stp>
        <stp>[BondPricer-0.2.xlsm]JAPAN_JGB_TYPE51!R138C28</stp>
        <stp>YLD_YTM_ASK=0.3</stp>
        <stp>YAS_YLD_CONV=3</stp>
        <tr r="AB138" s="7"/>
      </tp>
      <tp>
        <v>7.8503710789057948E-2</v>
        <stp/>
        <stp>##V3_BDPV12</stp>
        <stp>EK6841549 Govt</stp>
        <stp>YLD_YTM_ASK</stp>
        <stp>[BondPricer-0.2.xlsm]GERMAN_BUND_TYPE60!R20C13</stp>
        <tr r="M20" s="6"/>
      </tp>
      <tp>
        <v>-9.0093617653559166E-2</v>
        <stp/>
        <stp>##V3_BDPV12</stp>
        <stp>GG7182429 Govt</stp>
        <stp>YLD_YTM_ASK</stp>
        <stp>[BondPricer-0.2.xlsm]GERMAN_BUND_TYPE60!R16C13</stp>
        <tr r="M16" s="6"/>
      </tp>
      <tp t="s">
        <v>#N/A Invalid Override</v>
        <stp/>
        <stp>##V3_BDPV12</stp>
        <stp>JK4133670 Govt</stp>
        <stp>YAS_BOND_YLD</stp>
        <stp>[BondPricer-0.2.xlsm]JAPAN_JGB_TYPE51!R8C31</stp>
        <stp>YAS_BOND_PX=#N/A Requesting Data...</stp>
        <tr r="AE8" s="7"/>
      </tp>
      <tp>
        <v>118.063</v>
        <stp/>
        <stp>##V3_BDPV12</stp>
        <stp>EJ1461163 Govt</stp>
        <stp>YAS_BOND_PX</stp>
        <stp>[BondPricer-0.2.xlsm]JAPAN_JGB_TYPE51!R138C20</stp>
        <stp>YAS_BOND_SPL_YLD=0.3</stp>
        <stp>YAS_YLD_CONV=2</stp>
        <tr r="T138" s="7"/>
      </tp>
      <tp>
        <v>4.8195459757955916</v>
        <stp/>
        <stp>##V3_BDPV12</stp>
        <stp>EJ6775781 Govt</stp>
        <stp>YAS_RISK</stp>
        <stp>[BondPricer-0.2.xlsm]GERMAN_BUND_TYPE60!R14C24</stp>
        <stp>YLD_YTM_ASK=-0.192530850441345</stp>
        <stp>YAS_YLD_CONV=1</stp>
        <tr r="X14" s="6"/>
      </tp>
      <tp t="s">
        <v>#N/A Invalid Override</v>
        <stp/>
        <stp>##V3_BDPV12</stp>
        <stp>EC4745393 Govt</stp>
        <stp>YLD_CMPD_JPN_ASK_NOTRUNC</stp>
        <stp>[BondPricer-0.2.xlsm]JAPAN_JGB_TYPE51!R133C35</stp>
        <stp>PX_ASK=#N/A Requesting Data...</stp>
        <tr r="AI133" s="7"/>
      </tp>
      <tp t="s">
        <v>#N/A Invalid Override</v>
        <stp/>
        <stp>##V3_BDPV12</stp>
        <stp>EI3325426 Govt</stp>
        <stp>YLD_CMPD_JPN_ASK_NOTRUNC</stp>
        <stp>[BondPricer-0.2.xlsm]JAPAN_JGB_TYPE51!R119C35</stp>
        <stp>PX_ASK=#N/A Requesting Data...</stp>
        <tr r="AI119" s="7"/>
      </tp>
      <tp t="s">
        <v>#N/A Invalid Override</v>
        <stp/>
        <stp>##V3_BDPV12</stp>
        <stp>EG1252618 Govt</stp>
        <stp>YLD_CMPD_JPN_ASK_NOTRUNC</stp>
        <stp>[BondPricer-0.2.xlsm]JAPAN_JGB_TYPE51!R180C35</stp>
        <stp>PX_ASK=#N/A Requesting Data...</stp>
        <tr r="AI180" s="7"/>
      </tp>
      <tp>
        <v>9.9399401485471799</v>
        <stp/>
        <stp>##V3_BDPV12</stp>
        <stp>EC3971420 Govt</stp>
        <stp>DUR_ADJ_ASK</stp>
        <stp>[BondPricer-0.2.xlsm]FRENCH_BTAN_TYPE89!R95C27</stp>
        <stp>YLD_YTM_ASK=</stp>
        <stp>YAS_YLD_CONV=1</stp>
        <tr r="AA95" s="8"/>
      </tp>
      <tp>
        <v>1.4252750719486285</v>
        <stp/>
        <stp>##V3_BDPV12</stp>
        <stp>EI0431599 Govt</stp>
        <stp>YLD_YTM_ASK</stp>
        <stp>[BondPricer-0.2.xlsm]FRENCH_BTAN_TYPE89!R150C13</stp>
        <tr r="M150" s="8"/>
      </tp>
      <tp>
        <v>1.8420336450832631</v>
        <stp/>
        <stp>##V3_BDPV12</stp>
        <stp>EI0432399 Govt</stp>
        <stp>YLD_YTM_ASK</stp>
        <stp>[BondPricer-0.2.xlsm]FRENCH_BTAN_TYPE89!R197C13</stp>
        <tr r="M197" s="8"/>
      </tp>
      <tp>
        <v>11.448338159232136</v>
        <stp/>
        <stp>##V3_BDPV12</stp>
        <stp>EC4745393 Govt</stp>
        <stp>YAS_MOD_DUR</stp>
        <stp>[BondPricer-0.2.xlsm]JAPAN_JGB_TYPE51!R133C28</stp>
        <stp>YLD_YTM_ASK=0.273999999999999</stp>
        <stp>YAS_YLD_CONV=3</stp>
        <tr r="AB133" s="7"/>
      </tp>
      <tp t="s">
        <v>#N/A Invalid Override</v>
        <stp/>
        <stp>##V3_BDPV12</stp>
        <stp>ED3357065 Govt</stp>
        <stp>YLD_CMPD_JPN_ASK_NOTRUNC</stp>
        <stp>[BondPricer-0.2.xlsm]JAPAN_JGB_TYPE51!R156C35</stp>
        <stp>PX_ASK=#N/A Requesting Data...</stp>
        <tr r="AI156" s="7"/>
      </tp>
      <tp t="s">
        <v>#N/A Invalid Override</v>
        <stp/>
        <stp>##V3_BDPV12</stp>
        <stp>EI3995376 Govt</stp>
        <stp>YLD_CMPD_JPN_ASK_NOTRUNC</stp>
        <stp>[BondPricer-0.2.xlsm]JAPAN_JGB_TYPE51!R189C35</stp>
        <stp>PX_ASK=#N/A Requesting Data...</stp>
        <tr r="AI189" s="7"/>
      </tp>
      <tp>
        <v>8.0590196979600872</v>
        <stp/>
        <stp>##V3_BDPV12</stp>
        <stp>AM0114794 Govt</stp>
        <stp>DUR_ADJ_ASK</stp>
        <stp>[BondPricer-0.2.xlsm]FRENCH_BTAN_TYPE89!R81C27</stp>
        <stp>YLD_YTM_ASK=</stp>
        <stp>YAS_YLD_CONV=1</stp>
        <tr r="AA81" s="8"/>
      </tp>
      <tp>
        <v>1.6718001760110957</v>
        <stp/>
        <stp>##V3_BDPV12</stp>
        <stp>EI0431995 Govt</stp>
        <stp>YLD_YTM_ASK</stp>
        <stp>[BondPricer-0.2.xlsm]FRENCH_BTAN_TYPE89!R176C13</stp>
        <tr r="M176" s="8"/>
      </tp>
      <tp>
        <v>1.2252552449824705</v>
        <stp/>
        <stp>##V3_BDPV12</stp>
        <stp>EI0429395 Govt</stp>
        <stp>YLD_YTM_ASK</stp>
        <stp>[BondPricer-0.2.xlsm]FRENCH_BTAN_TYPE89!R125C13</stp>
        <tr r="M125" s="8"/>
      </tp>
      <tp>
        <v>2.612927815539543</v>
        <stp/>
        <stp>##V3_BDPV12</stp>
        <stp>EJ6177145 Govt</stp>
        <stp>DUR_ADJ_ASK</stp>
        <stp>[BondPricer-0.2.xlsm]FRENCH_BTAN_TYPE89!R14C27</stp>
        <stp>YLD_YTM_ASK=</stp>
        <stp>YAS_YLD_CONV=1</stp>
        <tr r="AA14" s="8"/>
      </tp>
      <tp t="s">
        <v>#N/A Invalid Override</v>
        <stp/>
        <stp>##V3_BDPV12</stp>
        <stp>EH8715490 Govt</stp>
        <stp>YLD_CMPD_JPN_ASK_NOTRUNC</stp>
        <stp>[BondPricer-0.2.xlsm]JAPAN_JGB_TYPE51!R108C35</stp>
        <stp>PX_ASK=#N/A Requesting Data...</stp>
        <tr r="AI108" s="7"/>
      </tp>
      <tp>
        <v>6.8125921785293269</v>
        <stp/>
        <stp>##V3_BDPV12</stp>
        <stp>UV7155053 Govt</stp>
        <stp>DUR_ADJ_ASK</stp>
        <stp>[BondPricer-0.2.xlsm]FRENCH_BTAN_TYPE89!R69C27</stp>
        <stp>YLD_YTM_ASK=</stp>
        <stp>YAS_YLD_CONV=1</stp>
        <tr r="AA69" s="8"/>
      </tp>
      <tp>
        <v>1.7650033899879292</v>
        <stp/>
        <stp>##V3_BDPV12</stp>
        <stp>EI0432191 Govt</stp>
        <stp>YLD_YTM_ASK</stp>
        <stp>[BondPricer-0.2.xlsm]FRENCH_BTAN_TYPE89!R185C13</stp>
        <tr r="M185" s="8"/>
      </tp>
      <tp>
        <v>1.4531792926286418</v>
        <stp/>
        <stp>##V3_BDPV12</stp>
        <stp>AL9974240 Govt</stp>
        <stp>YLD_YTM_ASK</stp>
        <stp>[BondPricer-0.2.xlsm]FRENCH_BTAN_TYPE89!R165C13</stp>
        <tr r="M165" s="8"/>
      </tp>
      <tp>
        <v>2.0156502975481772</v>
        <stp/>
        <stp>##V3_BDPV12</stp>
        <stp>EI0432993 Govt</stp>
        <stp>YLD_YTM_ASK</stp>
        <stp>[BondPricer-0.2.xlsm]FRENCH_BTAN_TYPE89!R215C13</stp>
        <tr r="M215" s="8"/>
      </tp>
      <tp>
        <v>0.96437010303587201</v>
        <stp/>
        <stp>##V3_BDPV12</stp>
        <stp>EI0428991 Govt</stp>
        <stp>YLD_YTM_ASK</stp>
        <stp>[BondPricer-0.2.xlsm]FRENCH_BTAN_TYPE89!R102C13</stp>
        <tr r="M102" s="8"/>
      </tp>
      <tp>
        <v>3.0320833013932247</v>
        <stp/>
        <stp>##V3_BDPV12</stp>
        <stp>EI0428751 Govt</stp>
        <stp>DUR_ADJ_ASK</stp>
        <stp>[BondPricer-0.2.xlsm]FRENCH_BTAN_TYPE89!R18C27</stp>
        <stp>YLD_YTM_ASK=</stp>
        <stp>YAS_YLD_CONV=1</stp>
        <tr r="AA18" s="8"/>
      </tp>
      <tp>
        <v>1.3493897359188489</v>
        <stp/>
        <stp>##V3_BDPV12</stp>
        <stp>EI0430393 Govt</stp>
        <stp>YLD_YTM_ASK</stp>
        <stp>[BondPricer-0.2.xlsm]FRENCH_BTAN_TYPE89!R140C13</stp>
        <tr r="M140" s="8"/>
      </tp>
      <tp>
        <v>6.4763398418665954</v>
        <stp/>
        <stp>##V3_BDPV12</stp>
        <stp>EK7289029 Govt</stp>
        <stp>DUR_ADJ_ASK</stp>
        <stp>[BondPricer-0.2.xlsm]FRENCH_BTAN_TYPE89!R64C27</stp>
        <stp>YLD_YTM_ASK=</stp>
        <stp>YAS_YLD_CONV=1</stp>
        <tr r="AA64" s="8"/>
      </tp>
      <tp>
        <v>6.4763398418665954</v>
        <stp/>
        <stp>##V3_BDPV12</stp>
        <stp>EK7289029 Govt</stp>
        <stp>DUR_ADJ_ASK</stp>
        <stp>[BondPricer-0.2.xlsm]FRENCH_BTAN_TYPE89!R61C27</stp>
        <stp>YLD_YTM_ASK=</stp>
        <stp>YAS_YLD_CONV=1</stp>
        <tr r="AA61" s="8"/>
      </tp>
      <tp>
        <v>6.4763398418665954</v>
        <stp/>
        <stp>##V3_BDPV12</stp>
        <stp>EK7289029 Govt</stp>
        <stp>DUR_ADJ_ASK</stp>
        <stp>[BondPricer-0.2.xlsm]FRENCH_BTAN_TYPE89!R63C27</stp>
        <stp>YLD_YTM_ASK=</stp>
        <stp>YAS_YLD_CONV=1</stp>
        <tr r="AA63" s="8"/>
      </tp>
      <tp>
        <v>12.74964210335412</v>
        <stp/>
        <stp>##V3_BDPV12</stp>
        <stp>EI2903413 Govt</stp>
        <stp>YAS_RISK</stp>
        <stp>[BondPricer-0.2.xlsm]JAPAN_JGB_TYPE51!R118C25</stp>
        <stp>YLD_YTM_ASK=0.209</stp>
        <stp>YAS_YLD_CONV=3</stp>
        <tr r="Y118" s="7"/>
      </tp>
      <tp>
        <v>13.371062151860258</v>
        <stp/>
        <stp>##V3_BDPV12</stp>
        <stp>EI5130493 Govt</stp>
        <stp>YAS_RISK</stp>
        <stp>[BondPricer-0.2.xlsm]JAPAN_JGB_TYPE51!R123C25</stp>
        <stp>YLD_YTM_ASK=0.234</stp>
        <stp>YAS_YLD_CONV=3</stp>
        <tr r="Y123" s="7"/>
      </tp>
      <tp>
        <v>10.674427217247739</v>
        <stp/>
        <stp>##V3_BDPV12</stp>
        <stp>EH4829006 Govt</stp>
        <stp>YAS_RISK</stp>
        <stp>[BondPricer-0.2.xlsm]JAPAN_JGB_TYPE51!R100C25</stp>
        <stp>YLD_YTM_ASK=0.114</stp>
        <stp>YAS_YLD_CONV=3</stp>
        <tr r="Y100" s="7"/>
      </tp>
      <tp>
        <v>2.6717900999934643</v>
        <stp/>
        <stp>##V3_BDPV12</stp>
        <stp>LW3943617 Govt</stp>
        <stp>YAS_MOD_DUR</stp>
        <stp>[BondPricer-0.2.xlsm]JAPAN_JGB_TYPE51!R12C28</stp>
        <stp>YLD_YTM_ASK=-0.117999999999999</stp>
        <stp>YAS_YLD_CONV=3</stp>
        <tr r="AB12" s="7"/>
      </tp>
      <tp>
        <v>-3.7000000000002448E-2</v>
        <stp/>
        <stp>##V3_BDPV12</stp>
        <stp>EK3119055 Govt</stp>
        <stp>YLD_YTM_ASK</stp>
        <stp>[BondPricer-0.2.xlsm]JAPAN_JGB_TYPE51!R54C13</stp>
        <tr r="M54" s="7"/>
      </tp>
      <tp>
        <v>1.3000000000001278E-2</v>
        <stp/>
        <stp>##V3_BDPV12</stp>
        <stp>EF2077933 Govt</stp>
        <stp>YLD_YTM_ASK</stp>
        <stp>[BondPricer-0.2.xlsm]JAPAN_JGB_TYPE51!R75C13</stp>
        <tr r="M75" s="7"/>
      </tp>
      <tp>
        <v>-0.11000000000000355</v>
        <stp/>
        <stp>##V3_BDPV12</stp>
        <stp>EC4877683 Govt</stp>
        <stp>YLD_YTM_ASK</stp>
        <stp>[BondPricer-0.2.xlsm]JAPAN_JGB_TYPE51!R24C13</stp>
        <tr r="M24" s="7"/>
      </tp>
      <tp>
        <v>-0.1089999999999971</v>
        <stp/>
        <stp>##V3_BDPV12</stp>
        <stp>EI8332047 Govt</stp>
        <stp>YLD_YTM_ASK</stp>
        <stp>[BondPricer-0.2.xlsm]JAPAN_JGB_TYPE51!R17C13</stp>
        <tr r="M17" s="7"/>
      </tp>
      <tp>
        <v>6.1999999999999472E-2</v>
        <stp/>
        <stp>##V3_BDPV12</stp>
        <stp>EG3969052 Govt</stp>
        <stp>YLD_YTM_ASK</stp>
        <stp>[BondPricer-0.2.xlsm]JAPAN_JGB_TYPE51!R89C13</stp>
        <tr r="M89" s="7"/>
      </tp>
      <tp>
        <v>-1.700000000000091E-2</v>
        <stp/>
        <stp>##V3_BDPV12</stp>
        <stp>EK7837587 Govt</stp>
        <stp>YLD_YTM_ASK</stp>
        <stp>[BondPricer-0.2.xlsm]JAPAN_JGB_TYPE51!R63C13</stp>
        <tr r="M63" s="7"/>
      </tp>
      <tp>
        <v>3.5746073238321685</v>
        <stp/>
        <stp>##V3_BDPV12</stp>
        <stp>EC5472575 Govt</stp>
        <stp>YAS_RISK</stp>
        <stp>[BondPricer-0.2.xlsm]JAPAN_JGB_TYPE51!R28C25</stp>
        <stp>YLD_YTM_ASK=-0.109</stp>
        <stp>YAS_YLD_CONV=3</stp>
        <tr r="Y28" s="7"/>
      </tp>
      <tp>
        <v>-0.30571472590169757</v>
        <stp/>
        <stp>##V3_BDPV12</stp>
        <stp>EJ3422718 Govt</stp>
        <stp>YLD_YTM_ASK</stp>
        <stp>[BondPricer-0.2.xlsm]GERMAN_BUND_TYPE60!R12C13</stp>
        <tr r="M12" s="6"/>
      </tp>
      <tp>
        <v>116.773</v>
        <stp/>
        <stp>##V3_BDPV12</stp>
        <stp>EJ2136277 Govt</stp>
        <stp>YAS_BOND_PX</stp>
        <stp>[BondPricer-0.2.xlsm]JAPAN_JGB_TYPE51!R136C20</stp>
        <stp>YAS_BOND_SPL_YLD=0.3</stp>
        <stp>YAS_YLD_CONV=2</stp>
        <tr r="T136" s="7"/>
      </tp>
      <tp>
        <v>3.2614195774371524</v>
        <stp/>
        <stp>##V3_BDPV12</stp>
        <stp>EI6940791 Govt</stp>
        <stp>YAS_RISK</stp>
        <stp>[BondPricer-0.2.xlsm]FRENCH_BTAN_TYPE89!R17C24</stp>
        <stp>YLD_YTM_ASK=-0.322405516119847</stp>
        <stp>YAS_YLD_CONV=1</stp>
        <tr r="X17" s="8"/>
      </tp>
      <tp>
        <v>2.5544095117190579</v>
        <stp/>
        <stp>##V3_BDPV12</stp>
        <stp>GG7127234 Govt</stp>
        <stp>YAS_RISK</stp>
        <stp>[BondPricer-0.2.xlsm]FRENCH_BTAN_TYPE89!R11C24</stp>
        <stp>YLD_YTM_ASK=-0.378335508956096</stp>
        <stp>YAS_YLD_CONV=1</stp>
        <tr r="X11" s="8"/>
      </tp>
      <tp>
        <v>4.5104337350942219</v>
        <stp/>
        <stp>##V3_BDPV12</stp>
        <stp>EG3953361 Govt</stp>
        <stp>DUR_ADJ_ASK</stp>
        <stp>[BondPricer-0.2.xlsm]FRENCH_BTAN_TYPE89!R44C27</stp>
        <stp>YLD_YTM_ASK=</stp>
        <stp>YAS_YLD_CONV=1</stp>
        <tr r="AA44" s="8"/>
      </tp>
      <tp>
        <v>12.192620947207189</v>
        <stp/>
        <stp>##V3_BDPV12</stp>
        <stp>EC5346845 Govt</stp>
        <stp>YAS_RISK</stp>
        <stp>[BondPricer-0.2.xlsm]ITALIAN_BTPS_TYPE523!R107C26</stp>
        <stp>YLD_YTM_ASK=3.8010247032769</stp>
        <stp>YAS_YLD_CONV=33</stp>
        <tr r="Z107" s="5"/>
      </tp>
      <tp t="s">
        <v>#N/A Invalid Override</v>
        <stp/>
        <stp>##V3_BDPV12</stp>
        <stp>EI2903413 Govt</stp>
        <stp>YLD_CMPD_JPN_ASK_NOTRUNC</stp>
        <stp>[BondPricer-0.2.xlsm]JAPAN_JGB_TYPE51!R118C35</stp>
        <stp>PX_ASK=#N/A Requesting Data...</stp>
        <tr r="AI118" s="7"/>
      </tp>
      <tp>
        <v>4.5617254937575069</v>
        <stp/>
        <stp>##V3_BDPV12</stp>
        <stp>EJ5066257 Govt</stp>
        <stp>YAS_RISK</stp>
        <stp>[BondPricer-0.2.xlsm]GERMAN_BUND_TYPE60!R13C24</stp>
        <stp>YLD_YTM_ASK=-0.230644960395777</stp>
        <stp>YAS_YLD_CONV=1</stp>
        <tr r="X13" s="6"/>
      </tp>
      <tp>
        <v>8.9586803450042556</v>
        <stp/>
        <stp>##V3_BDPV12</stp>
        <stp>EC3971347 Govt</stp>
        <stp>DUR_ADJ_ASK</stp>
        <stp>[BondPricer-0.2.xlsm]FRENCH_BTAN_TYPE89!R90C27</stp>
        <stp>YLD_YTM_ASK=</stp>
        <stp>YAS_YLD_CONV=1</stp>
        <tr r="AA90" s="8"/>
      </tp>
      <tp t="s">
        <v>#N/A Invalid Override</v>
        <stp/>
        <stp>##V3_BDPV12</stp>
        <stp>ED5806184 Govt</stp>
        <stp>YLD_CMPD_JPN_ASK_NOTRUNC</stp>
        <stp>[BondPricer-0.2.xlsm]JAPAN_JGB_TYPE51!R160C35</stp>
        <stp>PX_ASK=#N/A Requesting Data...</stp>
        <tr r="AI160" s="7"/>
      </tp>
      <tp>
        <v>7.8555847918774901</v>
        <stp/>
        <stp>##V3_BDPV12</stp>
        <stp>EK0223579 Govt</stp>
        <stp>YAS_RISK</stp>
        <stp>[BondPricer-0.2.xlsm]ITALIAN_BTPS_TYPE523!R111C26</stp>
        <stp>YLD_YTM_ASK=4.0080164145212</stp>
        <stp>YAS_YLD_CONV=33</stp>
        <tr r="Z111" s="5"/>
      </tp>
      <tp t="s">
        <v>#N/A Invalid Override</v>
        <stp/>
        <stp>##V3_BDPV12</stp>
        <stp>EG3757374 Govt</stp>
        <stp>YLD_CMPD_JPN_ASK_NOTRUNC</stp>
        <stp>[BondPricer-0.2.xlsm]JAPAN_JGB_TYPE51!R182C35</stp>
        <stp>PX_ASK=#N/A Requesting Data...</stp>
        <tr r="AI182" s="7"/>
      </tp>
      <tp>
        <v>9.525824675060182</v>
        <stp/>
        <stp>##V3_BDPV12</stp>
        <stp>EJ6178697 Govt</stp>
        <stp>DUR_ADJ_ASK</stp>
        <stp>[BondPricer-0.2.xlsm]FRENCH_BTAN_TYPE89!R93C27</stp>
        <stp>YLD_YTM_ASK=</stp>
        <stp>YAS_YLD_CONV=1</stp>
        <tr r="AA93" s="8"/>
      </tp>
      <tp>
        <v>8.4148111044711982</v>
        <stp/>
        <stp>##V3_BDPV12</stp>
        <stp>EK0223637 Govt</stp>
        <stp>YAS_RISK</stp>
        <stp>[BondPricer-0.2.xlsm]ITALIAN_BTPS_TYPE523!R115C26</stp>
        <stp>YLD_YTM_ASK=3.6533351101858</stp>
        <stp>YAS_YLD_CONV=33</stp>
        <tr r="Z115" s="5"/>
      </tp>
      <tp t="s">
        <v>#N/A Invalid Override</v>
        <stp/>
        <stp>##V3_BDPV12</stp>
        <stp>EK3390219 Govt</stp>
        <stp>YLD_CMPD_JPN_ASK_NOTRUNC</stp>
        <stp>[BondPricer-0.2.xlsm]JAPAN_JGB_TYPE51!R159C35</stp>
        <stp>PX_ASK=#N/A Requesting Data...</stp>
        <tr r="AI159" s="7"/>
      </tp>
      <tp>
        <v>1.2494268665463881</v>
        <stp/>
        <stp>##V3_BDPV12</stp>
        <stp>ED3948830 Govt</stp>
        <stp>YLD_YTM_ASK</stp>
        <stp>[BondPricer-0.2.xlsm]FRENCH_BTAN_TYPE89!R126C13</stp>
        <tr r="M126" s="8"/>
      </tp>
      <tp t="s">
        <v>#N/A Invalid Override</v>
        <stp/>
        <stp>##V3_BDPV12</stp>
        <stp>EH9753441 Govt</stp>
        <stp>YLD_CMPD_JPN_ASK_NOTRUNC</stp>
        <stp>[BondPricer-0.2.xlsm]JAPAN_JGB_TYPE51!R109C35</stp>
        <stp>PX_ASK=#N/A Requesting Data...</stp>
        <tr r="AI109" s="7"/>
      </tp>
      <tp>
        <v>2.6128781268711072</v>
        <stp/>
        <stp>##V3_BDPV12</stp>
        <stp>JK8202802 Govt</stp>
        <stp>DUR_ADJ_ASK</stp>
        <stp>[BondPricer-0.2.xlsm]FRENCH_BTAN_TYPE89!R16C27</stp>
        <stp>YLD_YTM_ASK=</stp>
        <stp>YAS_YLD_CONV=1</stp>
        <tr r="AA16" s="8"/>
      </tp>
      <tp>
        <v>2.6128781268711072</v>
        <stp/>
        <stp>##V3_BDPV12</stp>
        <stp>JK8202802 Govt</stp>
        <stp>DUR_ADJ_ASK</stp>
        <stp>[BondPricer-0.2.xlsm]FRENCH_BTAN_TYPE89!R15C27</stp>
        <stp>YLD_YTM_ASK=</stp>
        <stp>YAS_YLD_CONV=1</stp>
        <tr r="AA15" s="8"/>
      </tp>
      <tp>
        <v>2.6128781268711072</v>
        <stp/>
        <stp>##V3_BDPV12</stp>
        <stp>JK8202802 Govt</stp>
        <stp>DUR_ADJ_ASK</stp>
        <stp>[BondPricer-0.2.xlsm]FRENCH_BTAN_TYPE89!R13C27</stp>
        <stp>YLD_YTM_ASK=</stp>
        <stp>YAS_YLD_CONV=1</stp>
        <tr r="AA13" s="8"/>
      </tp>
      <tp>
        <v>6.9921513788061267</v>
        <stp/>
        <stp>##V3_BDPV12</stp>
        <stp>EI0419057 Govt</stp>
        <stp>DUR_ADJ_ASK</stp>
        <stp>[BondPricer-0.2.xlsm]FRENCH_BTAN_TYPE89!R66C27</stp>
        <stp>YLD_YTM_ASK=</stp>
        <stp>YAS_YLD_CONV=1</stp>
        <tr r="AA66" s="8"/>
      </tp>
      <tp>
        <v>3.115653117859559</v>
        <stp/>
        <stp>##V3_BDPV12</stp>
        <stp>EK3918381 Govt</stp>
        <stp>DUR_ADJ_ASK</stp>
        <stp>[BondPricer-0.2.xlsm]FRENCH_BTAN_TYPE89!R20C27</stp>
        <stp>YLD_YTM_ASK=</stp>
        <stp>YAS_YLD_CONV=1</stp>
        <tr r="AA20" s="8"/>
      </tp>
      <tp>
        <v>19.987643573226421</v>
        <stp/>
        <stp>##V3_BDPV12</stp>
        <stp>EF7785084 Govt</stp>
        <stp>YAS_RISK</stp>
        <stp>[BondPricer-0.2.xlsm]JAPAN_JGB_TYPE51!R178C25</stp>
        <stp>YLD_YTM_ASK=0.502</stp>
        <stp>YAS_YLD_CONV=3</stp>
        <tr r="Y178" s="7"/>
      </tp>
      <tp>
        <v>14.777663042434597</v>
        <stp/>
        <stp>##V3_BDPV12</stp>
        <stp>EC9747782 Govt</stp>
        <stp>YAS_RISK</stp>
        <stp>[BondPricer-0.2.xlsm]JAPAN_JGB_TYPE51!R150C25</stp>
        <stp>YLD_YTM_ASK=0.358</stp>
        <stp>YAS_YLD_CONV=3</stp>
        <tr r="Y150" s="7"/>
      </tp>
      <tp>
        <v>16.03171152766123</v>
        <stp/>
        <stp>##V3_BDPV12</stp>
        <stp>EJ9943964 Govt</stp>
        <stp>YAS_RISK</stp>
        <stp>[BondPricer-0.2.xlsm]JAPAN_JGB_TYPE51!R155C25</stp>
        <stp>YLD_YTM_ASK=0.389</stp>
        <stp>YAS_YLD_CONV=3</stp>
        <tr r="Y155" s="7"/>
      </tp>
      <tp>
        <v>17.052774756437827</v>
        <stp/>
        <stp>##V3_BDPV12</stp>
        <stp>EK9722886 Govt</stp>
        <stp>YAS_RISK</stp>
        <stp>[BondPricer-0.2.xlsm]JAPAN_JGB_TYPE51!R167C25</stp>
        <stp>YLD_YTM_ASK=0.475</stp>
        <stp>YAS_YLD_CONV=3</stp>
        <tr r="Y167" s="7"/>
      </tp>
      <tp>
        <v>4.0999999999998989E-2</v>
        <stp/>
        <stp>##V3_BDPV12</stp>
        <stp>EF7153796 Govt</stp>
        <stp>YLD_YTM_ASK</stp>
        <stp>[BondPricer-0.2.xlsm]JAPAN_JGB_TYPE51!R86C13</stp>
        <tr r="M86" s="7"/>
      </tp>
      <tp>
        <v>-9.9000000000001254E-2</v>
        <stp/>
        <stp>##V3_BDPV12</stp>
        <stp>EC7067035 Govt</stp>
        <stp>YLD_YTM_ASK</stp>
        <stp>[BondPricer-0.2.xlsm]JAPAN_JGB_TYPE51!R34C13</stp>
        <tr r="M34" s="7"/>
      </tp>
      <tp>
        <v>-0.11399999999999832</v>
        <stp/>
        <stp>##V3_BDPV12</stp>
        <stp>EI6972224 Govt</stp>
        <stp>YLD_YTM_ASK</stp>
        <stp>[BondPricer-0.2.xlsm]JAPAN_JGB_TYPE51!R13C13</stp>
        <tr r="M13" s="7"/>
      </tp>
      <tp>
        <v>79.835000000112842</v>
        <stp/>
        <stp>##V3_BDPV12</stp>
        <stp>QZ7665156 Govt</stp>
        <stp>PX_ASK</stp>
        <stp>[BondPricer-0.2.xlsm]ITALIAN_BTPS_TYPE523!R209C22</stp>
        <stp>YAS_BOND_YLD=3.7323265755516</stp>
        <stp>YAS_YLD_CONV=1</stp>
        <tr r="V209" s="5"/>
      </tp>
      <tp>
        <v>-6.999999999999445E-3</v>
        <stp/>
        <stp>##V3_BDPV12</stp>
        <stp>EK9515322 Govt</stp>
        <stp>YLD_YTM_ASK</stp>
        <stp>[BondPricer-0.2.xlsm]JAPAN_JGB_TYPE51!R67C13</stp>
        <tr r="M67" s="7"/>
      </tp>
      <tp>
        <v>-0.10900000000000079</v>
        <stp/>
        <stp>##V3_BDPV12</stp>
        <stp>EI8014132 Govt</stp>
        <stp>YLD_YTM_ASK</stp>
        <stp>[BondPricer-0.2.xlsm]JAPAN_JGB_TYPE51!R18C13</stp>
        <tr r="M18" s="7"/>
      </tp>
      <tp>
        <v>9.6999999999999961E-2</v>
        <stp/>
        <stp>##V3_BDPV12</stp>
        <stp>EH3854096 Govt</stp>
        <stp>YLD_YTM_ASK</stp>
        <stp>[BondPricer-0.2.xlsm]JAPAN_JGB_TYPE51!R97C13</stp>
        <tr r="M97" s="7"/>
      </tp>
      <tp>
        <v>1.0765284528532593</v>
        <stp/>
        <stp>##V3_BDPV12</stp>
        <stp>EK0809500 Govt</stp>
        <stp>YLD_YTM_ASK</stp>
        <stp>[BondPricer-0.2.xlsm]GERMAN_BUND_TYPE60!R36C13</stp>
        <tr r="M36" s="6"/>
      </tp>
      <tp>
        <v>0.91130388461369249</v>
        <stp/>
        <stp>##V3_BDPV12</stp>
        <stp>EH4697106 Govt</stp>
        <stp>YLD_YTM_ASK</stp>
        <stp>[BondPricer-0.2.xlsm]GERMAN_BUND_TYPE60!R33C13</stp>
        <tr r="M33" s="6"/>
      </tp>
      <tp>
        <v>0.41705594491981451</v>
        <stp/>
        <stp>##V3_BDPV12</stp>
        <stp>EC0518513 Govt</stp>
        <stp>YLD_YTM_ASK</stp>
        <stp>[BondPricer-0.2.xlsm]GERMAN_BUND_TYPE60!R27C13</stp>
        <tr r="M27" s="6"/>
      </tp>
      <tp>
        <v>3.0464068063075445</v>
        <stp/>
        <stp>##V3_BDPV12</stp>
        <stp>EC4603477 Govt</stp>
        <stp>YAS_RISK</stp>
        <stp>[BondPricer-0.2.xlsm]JAPAN_JGB_TYPE51!R19C25</stp>
        <stp>YLD_YTM_ASK=-0.115</stp>
        <stp>YAS_YLD_CONV=3</stp>
        <tr r="Y19" s="7"/>
      </tp>
      <tp>
        <v>-0.33263403024394178</v>
        <stp/>
        <stp>##V3_BDPV12</stp>
        <stp>EJ1202419 Govt</stp>
        <stp>YLD_YTM_ASK</stp>
        <stp>[BondPricer-0.2.xlsm]GERMAN_BUND_TYPE60!R11C13</stp>
        <tr r="M11" s="6"/>
      </tp>
      <tp>
        <v>3.5571612650763029</v>
        <stp/>
        <stp>##V3_BDPV12</stp>
        <stp>EI0418810 Govt</stp>
        <stp>YAS_RISK</stp>
        <stp>[BondPricer-0.2.xlsm]FRENCH_BTAN_TYPE89!R24C24</stp>
        <stp>YLD_YTM_ASK=-0.228607535513037</stp>
        <stp>YAS_YLD_CONV=1</stp>
        <tr r="X24" s="8"/>
      </tp>
      <tp>
        <v>1.2258002118418654</v>
        <stp/>
        <stp>##V3_BDPV12</stp>
        <stp>EC3971529 Govt</stp>
        <stp>YLD_YTM_ASK</stp>
        <stp>[BondPricer-0.2.xlsm]FRENCH_BTAN_TYPE89!R124C13</stp>
        <tr r="M124" s="8"/>
      </tp>
      <tp>
        <v>1.5018018925855969</v>
        <stp/>
        <stp>##V3_BDPV12</stp>
        <stp>ED8388487 Govt</stp>
        <stp>YLD_YTM_ASK</stp>
        <stp>[BondPricer-0.2.xlsm]FRENCH_BTAN_TYPE89!R162C13</stp>
        <tr r="M162" s="8"/>
      </tp>
      <tp t="s">
        <v>#N/A Invalid Override</v>
        <stp/>
        <stp>##V3_BDPV12</stp>
        <stp>EF3711449 Govt</stp>
        <stp>YLD_CMPD_JPN_ASK_NOTRUNC</stp>
        <stp>[BondPricer-0.2.xlsm]JAPAN_JGB_TYPE51!R174C35</stp>
        <stp>PX_ASK=#N/A Requesting Data...</stp>
        <tr r="AI174" s="7"/>
      </tp>
      <tp>
        <v>1.6120543985707059</v>
        <stp/>
        <stp>##V3_BDPV12</stp>
        <stp>ED8389287 Govt</stp>
        <stp>YLD_YTM_ASK</stp>
        <stp>[BondPricer-0.2.xlsm]FRENCH_BTAN_TYPE89!R207C13</stp>
        <tr r="M207" s="8"/>
      </tp>
      <tp>
        <v>7.9771516099545439</v>
        <stp/>
        <stp>##V3_BDPV12</stp>
        <stp>EC3971255 Govt</stp>
        <stp>DUR_ADJ_ASK</stp>
        <stp>[BondPricer-0.2.xlsm]FRENCH_BTAN_TYPE89!R79C27</stp>
        <stp>YLD_YTM_ASK=</stp>
        <stp>YAS_YLD_CONV=1</stp>
        <tr r="AA79" s="8"/>
      </tp>
      <tp>
        <v>1.6261493448743503</v>
        <stp/>
        <stp>##V3_BDPV12</stp>
        <stp>ED8388685 Govt</stp>
        <stp>YLD_YTM_ASK</stp>
        <stp>[BondPricer-0.2.xlsm]FRENCH_BTAN_TYPE89!R177C13</stp>
        <tr r="M177" s="8"/>
      </tp>
      <tp>
        <v>8.3788659783582631</v>
        <stp/>
        <stp>##V3_BDPV12</stp>
        <stp>EK0223819 Govt</stp>
        <stp>YAS_RISK</stp>
        <stp>[BondPricer-0.2.xlsm]ITALIAN_BTPS_TYPE523!R122C26</stp>
        <stp>YLD_YTM_ASK=3.9314105351115</stp>
        <stp>YAS_YLD_CONV=33</stp>
        <tr r="Z122" s="5"/>
      </tp>
      <tp t="s">
        <v>#N/A Invalid Override</v>
        <stp/>
        <stp>##V3_BDPV12</stp>
        <stp>EJ7248408 Govt</stp>
        <stp>YLD_CMPD_JPN_ASK_NOTRUNC</stp>
        <stp>[BondPricer-0.2.xlsm]JAPAN_JGB_TYPE51!R151C35</stp>
        <stp>PX_ASK=#N/A Requesting Data...</stp>
        <tr r="AI151" s="7"/>
      </tp>
      <tp t="s">
        <v>#N/A Invalid Override</v>
        <stp/>
        <stp>##V3_BDPV12</stp>
        <stp>EJ1461163 Govt</stp>
        <stp>YLD_CMPD_JPN_ASK_NOTRUNC</stp>
        <stp>[BondPricer-0.2.xlsm]JAPAN_JGB_TYPE51!R138C35</stp>
        <stp>PX_ASK=#N/A Requesting Data...</stp>
        <tr r="AI138" s="7"/>
      </tp>
      <tp>
        <v>1.6434853370484115</v>
        <stp/>
        <stp>##V3_BDPV12</stp>
        <stp>ED8324888 Govt</stp>
        <stp>YLD_YTM_ASK</stp>
        <stp>[BondPricer-0.2.xlsm]FRENCH_BTAN_TYPE89!R221C13</stp>
        <tr r="M221" s="8"/>
      </tp>
      <tp t="s">
        <v>#N/A Invalid Override</v>
        <stp/>
        <stp>##V3_BDPV12</stp>
        <stp>ED8193903 Govt</stp>
        <stp>YLD_CMPD_JPN_ASK_NOTRUNC</stp>
        <stp>[BondPricer-0.2.xlsm]JAPAN_JGB_TYPE51!R164C35</stp>
        <stp>PX_ASK=#N/A Requesting Data...</stp>
        <tr r="AI164" s="7"/>
      </tp>
      <tp>
        <v>10.423432712808658</v>
        <stp/>
        <stp>##V3_BDPV12</stp>
        <stp>EI0419131 Govt</stp>
        <stp>DUR_ADJ_ASK</stp>
        <stp>[BondPricer-0.2.xlsm]FRENCH_BTAN_TYPE89!R97C27</stp>
        <stp>YLD_YTM_ASK=</stp>
        <stp>YAS_YLD_CONV=1</stp>
        <tr r="AA97" s="8"/>
      </tp>
      <tp>
        <v>2.0533983745186779</v>
        <stp/>
        <stp>##V3_BDPV12</stp>
        <stp>EI1868633 Govt</stp>
        <stp>YLD_YTM_ASK</stp>
        <stp>[BondPricer-0.2.xlsm]FRENCH_BTAN_TYPE89!R232C13</stp>
        <tr r="M232" s="8"/>
      </tp>
      <tp>
        <v>3.2539013830004815</v>
        <stp/>
        <stp>##V3_BDPV12</stp>
        <stp>EJ0529135 Govt</stp>
        <stp>DUR_ADJ_ASK</stp>
        <stp>[BondPricer-0.2.xlsm]FRENCH_BTAN_TYPE89!R21C27</stp>
        <stp>YLD_YTM_ASK=</stp>
        <stp>YAS_YLD_CONV=1</stp>
        <tr r="AA21" s="8"/>
      </tp>
      <tp>
        <v>3.6093938728607307</v>
        <stp/>
        <stp>##V3_BDPV12</stp>
        <stp>AL2130345 Govt</stp>
        <stp>DUR_ADJ_ASK</stp>
        <stp>[BondPricer-0.2.xlsm]FRENCH_BTAN_TYPE89!R30C27</stp>
        <stp>YLD_YTM_ASK=</stp>
        <stp>YAS_YLD_CONV=1</stp>
        <tr r="AA30" s="8"/>
      </tp>
      <tp>
        <v>7.4262823126989685</v>
        <stp/>
        <stp>##V3_BDPV12</stp>
        <stp>JK2706329 Govt</stp>
        <stp>DUR_ADJ_ASK</stp>
        <stp>[BondPricer-0.2.xlsm]FRENCH_BTAN_TYPE89!R77C27</stp>
        <stp>YLD_YTM_ASK=</stp>
        <stp>YAS_YLD_CONV=1</stp>
        <tr r="AA77" s="8"/>
      </tp>
      <tp>
        <v>7.4262823126989685</v>
        <stp/>
        <stp>##V3_BDPV12</stp>
        <stp>JK2706329 Govt</stp>
        <stp>DUR_ADJ_ASK</stp>
        <stp>[BondPricer-0.2.xlsm]FRENCH_BTAN_TYPE89!R76C27</stp>
        <stp>YLD_YTM_ASK=</stp>
        <stp>YAS_YLD_CONV=1</stp>
        <tr r="AA76" s="8"/>
      </tp>
      <tp>
        <v>7.4262823126989685</v>
        <stp/>
        <stp>##V3_BDPV12</stp>
        <stp>JK2706329 Govt</stp>
        <stp>DUR_ADJ_ASK</stp>
        <stp>[BondPricer-0.2.xlsm]FRENCH_BTAN_TYPE89!R74C27</stp>
        <stp>YLD_YTM_ASK=</stp>
        <stp>YAS_YLD_CONV=1</stp>
        <tr r="AA74" s="8"/>
      </tp>
      <tp>
        <v>3.6093938728607307</v>
        <stp/>
        <stp>##V3_BDPV12</stp>
        <stp>AL2130345 Govt</stp>
        <stp>DUR_ADJ_ASK</stp>
        <stp>[BondPricer-0.2.xlsm]FRENCH_BTAN_TYPE89!R29C27</stp>
        <stp>YLD_YTM_ASK=</stp>
        <stp>YAS_YLD_CONV=1</stp>
        <tr r="AA29" s="8"/>
      </tp>
      <tp>
        <v>3.6093938728607307</v>
        <stp/>
        <stp>##V3_BDPV12</stp>
        <stp>AL2130345 Govt</stp>
        <stp>DUR_ADJ_ASK</stp>
        <stp>[BondPricer-0.2.xlsm]FRENCH_BTAN_TYPE89!R27C27</stp>
        <stp>YLD_YTM_ASK=</stp>
        <stp>YAS_YLD_CONV=1</stp>
        <tr r="AA27" s="8"/>
      </tp>
      <tp>
        <v>8.575303093724429</v>
        <stp/>
        <stp>##V3_BDPV12</stp>
        <stp>EH2420832 Govt</stp>
        <stp>YAS_RISK</stp>
        <stp>[BondPricer-0.2.xlsm]ITALIAN_BTPS_TYPE523!R136C26</stp>
        <stp>YLD_YTM_ASK=4.0765131075795</stp>
        <stp>YAS_YLD_CONV=33</stp>
        <tr r="Z136" s="5"/>
      </tp>
      <tp>
        <v>16.492175037039701</v>
        <stp/>
        <stp>##V3_BDPV12</stp>
        <stp>EH5985450 Govt</stp>
        <stp>YAS_MOD_DUR</stp>
        <stp>[BondPricer-0.2.xlsm]JAPAN_JGB_TYPE51!R185C28</stp>
        <stp>YLD_YTM_ASK=0.587999999999999</stp>
        <stp>YAS_YLD_CONV=3</stp>
        <tr r="AB185" s="7"/>
      </tp>
      <tp>
        <v>3.412007683746765</v>
        <stp/>
        <stp>##V3_BDPV12</stp>
        <stp>EI8792380 Govt</stp>
        <stp>YAS_RISK</stp>
        <stp>[BondPricer-0.2.xlsm]GERMAN_BUND_TYPE60!R10C24</stp>
        <stp>YLD_YTM_ASK=-0.410645875972094</stp>
        <stp>YAS_YLD_CONV=1</stp>
        <tr r="X10" s="6"/>
      </tp>
      <tp>
        <v>11.393943757163397</v>
        <stp/>
        <stp>##V3_BDPV12</stp>
        <stp>EI7138619 Govt</stp>
        <stp>YAS_MOD_DUR</stp>
        <stp>[BondPricer-0.2.xlsm]JAPAN_JGB_TYPE51!R129C28</stp>
        <stp>YLD_YTM_ASK=0.258999999999999</stp>
        <stp>YAS_YLD_CONV=3</stp>
        <tr r="AB129" s="7"/>
      </tp>
      <tp>
        <v>2.0498559190849308</v>
        <stp/>
        <stp>##V3_BDPV12</stp>
        <stp>EI1868237 Govt</stp>
        <stp>YLD_YTM_ASK</stp>
        <stp>[BondPricer-0.2.xlsm]FRENCH_BTAN_TYPE89!R223C13</stp>
        <tr r="M223" s="8"/>
      </tp>
      <tp>
        <v>1.547386796699679</v>
        <stp/>
        <stp>##V3_BDPV12</stp>
        <stp>ED8324482 Govt</stp>
        <stp>YLD_YTM_ASK</stp>
        <stp>[BondPricer-0.2.xlsm]FRENCH_BTAN_TYPE89!R220C13</stp>
        <tr r="M220" s="8"/>
      </tp>
      <tp>
        <v>9.2563180747008555</v>
        <stp/>
        <stp>##V3_BDPV12</stp>
        <stp>EH6604720 Govt</stp>
        <stp>YAS_MOD_DUR</stp>
        <stp>[BondPricer-0.2.xlsm]JAPAN_JGB_TYPE51!R104C28</stp>
        <stp>YLD_YTM_ASK=0.137999999999999</stp>
        <stp>YAS_YLD_CONV=3</stp>
        <tr r="AB104" s="7"/>
      </tp>
      <tp>
        <v>2.8597315934660288</v>
        <stp/>
        <stp>##V3_BDPV12</stp>
        <stp>EI6940791 Govt</stp>
        <stp>DUR_ADJ_ASK</stp>
        <stp>[BondPricer-0.2.xlsm]FRENCH_BTAN_TYPE89!R17C27</stp>
        <stp>YLD_YTM_ASK=</stp>
        <stp>YAS_YLD_CONV=1</stp>
        <tr r="AA17" s="8"/>
      </tp>
      <tp>
        <v>1.4388871788537871</v>
        <stp/>
        <stp>##V3_BDPV12</stp>
        <stp>ED8388289 Govt</stp>
        <stp>YLD_YTM_ASK</stp>
        <stp>[BondPricer-0.2.xlsm]FRENCH_BTAN_TYPE89!R151C13</stp>
        <tr r="M151" s="8"/>
      </tp>
      <tp>
        <v>1.5226614260968496</v>
        <stp/>
        <stp>##V3_BDPV12</stp>
        <stp>ED8389089 Govt</stp>
        <stp>YLD_YTM_ASK</stp>
        <stp>[BondPricer-0.2.xlsm]FRENCH_BTAN_TYPE89!R195C13</stp>
        <tr r="M195" s="8"/>
      </tp>
      <tp>
        <v>10.315590339998208</v>
        <stp/>
        <stp>##V3_BDPV12</stp>
        <stp>EC2565314 Govt</stp>
        <stp>YAS_MOD_DUR</stp>
        <stp>[BondPricer-0.2.xlsm]JAPAN_JGB_TYPE51!R116C28</stp>
        <stp>YLD_YTM_ASK=0.198999999999999</stp>
        <stp>YAS_YLD_CONV=3</stp>
        <tr r="AB116" s="7"/>
      </tp>
      <tp>
        <v>11.763464886875852</v>
        <stp/>
        <stp>##V3_BDPV12</stp>
        <stp>EH8715490 Govt</stp>
        <stp>YAS_RISK</stp>
        <stp>[BondPricer-0.2.xlsm]JAPAN_JGB_TYPE51!R108C25</stp>
        <stp>YLD_YTM_ASK=0.159</stp>
        <stp>YAS_YLD_CONV=3</stp>
        <tr r="Y108" s="7"/>
      </tp>
      <tp>
        <v>13.859255622156041</v>
        <stp/>
        <stp>##V3_BDPV12</stp>
        <stp>EI8863967 Govt</stp>
        <stp>YAS_RISK</stp>
        <stp>[BondPricer-0.2.xlsm]JAPAN_JGB_TYPE51!R132C25</stp>
        <stp>YLD_YTM_ASK=0.274</stp>
        <stp>YAS_YLD_CONV=3</stp>
        <tr r="Y132" s="7"/>
      </tp>
      <tp>
        <v>3.5460291531178689</v>
        <stp/>
        <stp>##V3_BDPV12</stp>
        <stp>EC5799480 Govt</stp>
        <stp>YAS_MOD_DUR</stp>
        <stp>[BondPricer-0.2.xlsm]JAPAN_JGB_TYPE51!R32C28</stp>
        <stp>YLD_YTM_ASK=-0.102999999999998</stp>
        <stp>YAS_YLD_CONV=3</stp>
        <tr r="AB32" s="7"/>
      </tp>
      <tp>
        <v>-9.9000000000000768E-2</v>
        <stp/>
        <stp>##V3_BDPV12</stp>
        <stp>EJ2679425 Govt</stp>
        <stp>YLD_YTM_ASK</stp>
        <stp>[BondPricer-0.2.xlsm]JAPAN_JGB_TYPE51!R29C13</stp>
        <tr r="M29" s="7"/>
      </tp>
      <tp>
        <v>-1.7999999999999523E-2</v>
        <stp/>
        <stp>##V3_BDPV12</stp>
        <stp>ED8277235 Govt</stp>
        <stp>YLD_YTM_ASK</stp>
        <stp>[BondPricer-0.2.xlsm]JAPAN_JGB_TYPE51!R61C13</stp>
        <tr r="M61" s="7"/>
      </tp>
      <tp>
        <v>-5.100000000000017E-2</v>
        <stp/>
        <stp>##V3_BDPV12</stp>
        <stp>ED4356637 Govt</stp>
        <stp>YLD_YTM_ASK</stp>
        <stp>[BondPricer-0.2.xlsm]JAPAN_JGB_TYPE51!R52C13</stp>
        <tr r="M52" s="7"/>
      </tp>
      <tp>
        <v>-0.109</v>
        <stp/>
        <stp>##V3_BDPV12</stp>
        <stp>EC5472575 Govt</stp>
        <stp>YLD_YTM_ASK</stp>
        <stp>[BondPricer-0.2.xlsm]JAPAN_JGB_TYPE51!R28C13</stp>
        <tr r="M28" s="7"/>
      </tp>
      <tp>
        <v>-0.10599999999999875</v>
        <stp/>
        <stp>##V3_BDPV12</stp>
        <stp>AM7968010 Govt</stp>
        <stp>YLD_YTM_ASK</stp>
        <stp>[BondPricer-0.2.xlsm]JAPAN_JGB_TYPE51!R25C13</stp>
        <tr r="M25" s="7"/>
      </tp>
      <tp>
        <v>1.8000000000001386E-2</v>
        <stp/>
        <stp>##V3_BDPV12</stp>
        <stp>JK2982615 Govt</stp>
        <stp>YLD_YTM_ASK</stp>
        <stp>[BondPricer-0.2.xlsm]JAPAN_JGB_TYPE51!R77C13</stp>
        <tr r="M77" s="7"/>
      </tp>
      <tp>
        <v>-4.7000000000001152E-2</v>
        <stp/>
        <stp>##V3_BDPV12</stp>
        <stp>EK1072785 Govt</stp>
        <stp>YLD_YTM_ASK</stp>
        <stp>[BondPricer-0.2.xlsm]JAPAN_JGB_TYPE51!R50C13</stp>
        <tr r="M50" s="7"/>
      </tp>
      <tp>
        <v>-6.7999999999999783E-2</v>
        <stp/>
        <stp>##V3_BDPV12</stp>
        <stp>EJ9223300 Govt</stp>
        <stp>YLD_YTM_ASK</stp>
        <stp>[BondPricer-0.2.xlsm]JAPAN_JGB_TYPE51!R45C13</stp>
        <tr r="M45" s="7"/>
      </tp>
      <tp>
        <v>-6.9000000000000547E-2</v>
        <stp/>
        <stp>##V3_BDPV12</stp>
        <stp>EJ8154217 Govt</stp>
        <stp>YLD_YTM_ASK</stp>
        <stp>[BondPricer-0.2.xlsm]JAPAN_JGB_TYPE51!R44C13</stp>
        <tr r="M44" s="7"/>
      </tp>
      <tp>
        <v>-0.10800000000000196</v>
        <stp/>
        <stp>##V3_BDPV12</stp>
        <stp>AL7220364 Govt</stp>
        <stp>YLD_YTM_ASK</stp>
        <stp>[BondPricer-0.2.xlsm]JAPAN_JGB_TYPE51!R20C13</stp>
        <tr r="M20" s="7"/>
      </tp>
      <tp>
        <v>3.2462003514211801</v>
        <stp/>
        <stp>##V3_BDPV12</stp>
        <stp>EI9594942 Govt</stp>
        <stp>YAS_RISK</stp>
        <stp>[BondPricer-0.2.xlsm]JAPAN_JGB_TYPE51!R21C25</stp>
        <stp>YLD_YTM_ASK=-0.104</stp>
        <stp>YAS_YLD_CONV=3</stp>
        <tr r="Y21" s="7"/>
      </tp>
      <tp t="s">
        <v>#N/A Invalid Override</v>
        <stp/>
        <stp>##V3_BDPV12</stp>
        <stp>AL7975124 Govt</stp>
        <stp>YLD_CMPD_JPN_ASK_NOTRUNC</stp>
        <stp>[BondPricer-0.2.xlsm]JAPAN_JGB_TYPE51!R179C35</stp>
        <stp>PX_ASK=#N/A Requesting Data...</stp>
        <tr r="AI179" s="7"/>
      </tp>
      <tp t="s">
        <v>#N/A Invalid Override</v>
        <stp/>
        <stp>##V3_BDPV12</stp>
        <stp>EJ6432110 Govt</stp>
        <stp>YLD_CMPD_JPN_ASK_NOTRUNC</stp>
        <stp>[BondPricer-0.2.xlsm]JAPAN_JGB_TYPE51!R148C35</stp>
        <stp>PX_ASK=#N/A Requesting Data...</stp>
        <tr r="AI148" s="7"/>
      </tp>
      <tp t="s">
        <v>#N/A Invalid Override</v>
        <stp/>
        <stp>##V3_BDPV12</stp>
        <stp>EF1386525 Govt</stp>
        <stp>YLD_CMPD_JPN_ASK_NOTRUNC</stp>
        <stp>[BondPricer-0.2.xlsm]JAPAN_JGB_TYPE51!R170C35</stp>
        <stp>PX_ASK=#N/A Requesting Data...</stp>
        <tr r="AI170" s="7"/>
      </tp>
      <tp>
        <v>4.4412139268148367</v>
        <stp/>
        <stp>##V3_BDPV12</stp>
        <stp>EJ6548493 Govt</stp>
        <stp>DUR_ADJ_ASK</stp>
        <stp>[BondPricer-0.2.xlsm]FRENCH_BTAN_TYPE89!R40C27</stp>
        <stp>YLD_YTM_ASK=</stp>
        <stp>YAS_YLD_CONV=1</stp>
        <tr r="AA40" s="8"/>
      </tp>
      <tp>
        <v>4.4412139268148367</v>
        <stp/>
        <stp>##V3_BDPV12</stp>
        <stp>EJ6548493 Govt</stp>
        <stp>DUR_ADJ_ASK</stp>
        <stp>[BondPricer-0.2.xlsm]FRENCH_BTAN_TYPE89!R42C27</stp>
        <stp>YLD_YTM_ASK=</stp>
        <stp>YAS_YLD_CONV=1</stp>
        <tr r="AA42" s="8"/>
      </tp>
      <tp>
        <v>4.4412139268148367</v>
        <stp/>
        <stp>##V3_BDPV12</stp>
        <stp>EJ6548493 Govt</stp>
        <stp>DUR_ADJ_ASK</stp>
        <stp>[BondPricer-0.2.xlsm]FRENCH_BTAN_TYPE89!R43C27</stp>
        <stp>YLD_YTM_ASK=</stp>
        <stp>YAS_YLD_CONV=1</stp>
        <tr r="AA43" s="8"/>
      </tp>
      <tp t="s">
        <v>#N/A Invalid Override</v>
        <stp/>
        <stp>##V3_BDPV12</stp>
        <stp>EJ0538250 Govt</stp>
        <stp>YLD_CMPD_JPN_ASK_NOTRUNC</stp>
        <stp>[BondPricer-0.2.xlsm]JAPAN_JGB_TYPE51!R192C35</stp>
        <stp>PX_ASK=#N/A Requesting Data...</stp>
        <tr r="AI192" s="7"/>
      </tp>
      <tp>
        <v>2.1157050149552381</v>
        <stp/>
        <stp>##V3_BDPV12</stp>
        <stp>JK8070480 Govt</stp>
        <stp>YLD_YTM_ASK</stp>
        <stp>[BondPricer-0.2.xlsm]FRENCH_BTAN_TYPE89!R236C13</stp>
        <tr r="M236" s="8"/>
      </tp>
      <tp>
        <v>5.8481951038736311</v>
        <stp/>
        <stp>##V3_BDPV12</stp>
        <stp>GG7185588 Govt</stp>
        <stp>DUR_ADJ_ASK</stp>
        <stp>[BondPricer-0.2.xlsm]FRENCH_BTAN_TYPE89!R65C27</stp>
        <stp>YLD_YTM_ASK=</stp>
        <stp>YAS_YLD_CONV=1</stp>
        <tr r="AA65" s="8"/>
      </tp>
      <tp>
        <v>3.5201480342947922</v>
        <stp/>
        <stp>##V3_BDPV12</stp>
        <stp>GG7182585 Govt</stp>
        <stp>DUR_ADJ_ASK</stp>
        <stp>[BondPricer-0.2.xlsm]FRENCH_BTAN_TYPE89!R26C27</stp>
        <stp>YLD_YTM_ASK=</stp>
        <stp>YAS_YLD_CONV=1</stp>
        <tr r="AA26" s="8"/>
      </tp>
      <tp>
        <v>1.6841009722664779</v>
        <stp/>
        <stp>##V3_BDPV12</stp>
        <stp>EJ6186690 Govt</stp>
        <stp>YLD_YTM_ASK</stp>
        <stp>[BondPricer-0.2.xlsm]FRENCH_BTAN_TYPE89!R178C13</stp>
        <tr r="M178" s="8"/>
      </tp>
      <tp>
        <v>8.5455045499420699</v>
        <stp/>
        <stp>##V3_BDPV12</stp>
        <stp>EJ6178499 Govt</stp>
        <stp>DUR_ADJ_ASK</stp>
        <stp>[BondPricer-0.2.xlsm]FRENCH_BTAN_TYPE89!R85C27</stp>
        <stp>YLD_YTM_ASK=</stp>
        <stp>YAS_YLD_CONV=1</stp>
        <tr r="AA85" s="8"/>
      </tp>
      <tp>
        <v>1.2785171862522482</v>
        <stp/>
        <stp>##V3_BDPV12</stp>
        <stp>EJ6185791 Govt</stp>
        <stp>YLD_YTM_ASK</stp>
        <stp>[BondPricer-0.2.xlsm]FRENCH_BTAN_TYPE89!R132C13</stp>
        <tr r="M132" s="8"/>
      </tp>
      <tp t="s">
        <v>#N/A Invalid Override</v>
        <stp/>
        <stp>##V3_BDPV12</stp>
        <stp>EC2565314 Govt</stp>
        <stp>YLD_CMPD_JPN_ASK_NOTRUNC</stp>
        <stp>[BondPricer-0.2.xlsm]JAPAN_JGB_TYPE51!R116C35</stp>
        <stp>PX_ASK=#N/A Requesting Data...</stp>
        <tr r="AI116" s="7"/>
      </tp>
      <tp t="s">
        <v>#N/A Invalid Override</v>
        <stp/>
        <stp>##V3_BDPV12</stp>
        <stp>EC2220316 Govt</stp>
        <stp>YLD_CMPD_JPN_ASK_NOTRUNC</stp>
        <stp>[BondPricer-0.2.xlsm]JAPAN_JGB_TYPE51!R113C35</stp>
        <stp>PX_ASK=#N/A Requesting Data...</stp>
        <tr r="AI113" s="7"/>
      </tp>
      <tp>
        <v>8.4668122760598798</v>
        <stp/>
        <stp>##V3_BDPV12</stp>
        <stp>GG7396540 Govt</stp>
        <stp>DUR_ADJ_ASK</stp>
        <stp>[BondPricer-0.2.xlsm]FRENCH_BTAN_TYPE89!R83C27</stp>
        <stp>YLD_YTM_ASK=</stp>
        <stp>YAS_YLD_CONV=1</stp>
        <tr r="AA83" s="8"/>
      </tp>
      <tp>
        <v>9.4490337295996216</v>
        <stp/>
        <stp>##V3_BDPV12</stp>
        <stp>GG7396557 Govt</stp>
        <stp>DUR_ADJ_ASK</stp>
        <stp>[BondPricer-0.2.xlsm]FRENCH_BTAN_TYPE89!R92C27</stp>
        <stp>YLD_YTM_ASK=</stp>
        <stp>YAS_YLD_CONV=1</stp>
        <tr r="AA92" s="8"/>
      </tp>
      <tp>
        <v>1.3834588561997707</v>
        <stp/>
        <stp>##V3_BDPV12</stp>
        <stp>ED3948913 Govt</stp>
        <stp>YLD_YTM_ASK</stp>
        <stp>[BondPricer-0.2.xlsm]FRENCH_BTAN_TYPE89!R138C13</stp>
        <tr r="M138" s="8"/>
      </tp>
      <tp>
        <v>3.6092744426350825</v>
        <stp/>
        <stp>##V3_BDPV12</stp>
        <stp>EJ6177442 Govt</stp>
        <stp>DUR_ADJ_ASK</stp>
        <stp>[BondPricer-0.2.xlsm]FRENCH_BTAN_TYPE89!R28C27</stp>
        <stp>YLD_YTM_ASK=</stp>
        <stp>YAS_YLD_CONV=1</stp>
        <tr r="AA28" s="8"/>
      </tp>
      <tp>
        <v>10.421180237187418</v>
        <stp/>
        <stp>##V3_BDPV12</stp>
        <stp>GG7396565 Govt</stp>
        <stp>DUR_ADJ_ASK</stp>
        <stp>[BondPricer-0.2.xlsm]FRENCH_BTAN_TYPE89!R99C27</stp>
        <stp>YLD_YTM_ASK=</stp>
        <stp>YAS_YLD_CONV=1</stp>
        <tr r="AA99" s="8"/>
      </tp>
      <tp>
        <v>5.7605810574495449</v>
        <stp/>
        <stp>##V3_BDPV12</stp>
        <stp>EK3074136 Govt</stp>
        <stp>DUR_ADJ_ASK</stp>
        <stp>[BondPricer-0.2.xlsm]FRENCH_BTAN_TYPE89!R57C27</stp>
        <stp>YLD_YTM_ASK=</stp>
        <stp>YAS_YLD_CONV=1</stp>
        <tr r="AA57" s="8"/>
      </tp>
      <tp>
        <v>5.0148280594966748</v>
        <stp/>
        <stp>##V3_BDPV12</stp>
        <stp>EG4069639 Govt</stp>
        <stp>DUR_ADJ_ASK</stp>
        <stp>[BondPricer-0.2.xlsm]FRENCH_BTAN_TYPE89!R47C27</stp>
        <stp>YLD_YTM_ASK=</stp>
        <stp>YAS_YLD_CONV=1</stp>
        <tr r="AA47" s="8"/>
      </tp>
      <tp>
        <v>10.425724165736531</v>
        <stp/>
        <stp>##V3_BDPV12</stp>
        <stp>GG7396508 Govt</stp>
        <stp>DUR_ADJ_ASK</stp>
        <stp>[BondPricer-0.2.xlsm]FRENCH_BTAN_TYPE89!R98C27</stp>
        <stp>YLD_YTM_ASK=</stp>
        <stp>YAS_YLD_CONV=1</stp>
        <tr r="AA98" s="8"/>
      </tp>
      <tp t="s">
        <v>#N/A Invalid Override</v>
        <stp/>
        <stp>##V3_BDPV12</stp>
        <stp>EC8204264 Govt</stp>
        <stp>YLD_CMPD_JPN_ASK_NOTRUNC</stp>
        <stp>[BondPricer-0.2.xlsm]JAPAN_JGB_TYPE51!R147C35</stp>
        <stp>PX_ASK=#N/A Requesting Data...</stp>
        <tr r="AI147" s="7"/>
      </tp>
      <tp>
        <v>5.5094682464360352</v>
        <stp/>
        <stp>##V3_BDPV12</stp>
        <stp>GG7396516 Govt</stp>
        <stp>DUR_ADJ_ASK</stp>
        <stp>[BondPricer-0.2.xlsm]FRENCH_BTAN_TYPE89!R50C27</stp>
        <stp>YLD_YTM_ASK=</stp>
        <stp>YAS_YLD_CONV=1</stp>
        <tr r="AA50" s="8"/>
      </tp>
      <tp>
        <v>6.5007331770276986</v>
        <stp/>
        <stp>##V3_BDPV12</stp>
        <stp>GG7396524 Govt</stp>
        <stp>DUR_ADJ_ASK</stp>
        <stp>[BondPricer-0.2.xlsm]FRENCH_BTAN_TYPE89!R60C27</stp>
        <stp>YLD_YTM_ASK=</stp>
        <stp>YAS_YLD_CONV=1</stp>
        <tr r="AA60" s="8"/>
      </tp>
      <tp>
        <v>7.4850472795635845</v>
        <stp/>
        <stp>##V3_BDPV12</stp>
        <stp>GG7396532 Govt</stp>
        <stp>DUR_ADJ_ASK</stp>
        <stp>[BondPricer-0.2.xlsm]FRENCH_BTAN_TYPE89!R73C27</stp>
        <stp>YLD_YTM_ASK=</stp>
        <stp>YAS_YLD_CONV=1</stp>
        <tr r="AA73" s="8"/>
      </tp>
      <tp>
        <v>1.1086433499360782</v>
        <stp/>
        <stp>##V3_BDPV12</stp>
        <stp>ED3948715 Govt</stp>
        <stp>YLD_YTM_ASK</stp>
        <stp>[BondPricer-0.2.xlsm]FRENCH_BTAN_TYPE89!R111C13</stp>
        <tr r="M111" s="8"/>
      </tp>
      <tp>
        <v>1.0830687161365704</v>
        <stp/>
        <stp>##V3_BDPV12</stp>
        <stp>EJ6183499 Govt</stp>
        <stp>YLD_YTM_ASK</stp>
        <stp>[BondPricer-0.2.xlsm]FRENCH_BTAN_TYPE89!R113C13</stp>
        <tr r="M113" s="8"/>
      </tp>
      <tp>
        <v>1.8743904956667556</v>
        <stp/>
        <stp>##V3_BDPV12</stp>
        <stp>JK8068088 Govt</stp>
        <stp>YLD_YTM_ASK</stp>
        <stp>[BondPricer-0.2.xlsm]FRENCH_BTAN_TYPE89!R196C13</stp>
        <tr r="M196" s="8"/>
      </tp>
      <tp>
        <v>1.3660143167797845</v>
        <stp/>
        <stp>##V3_BDPV12</stp>
        <stp>EJ6185999 Govt</stp>
        <stp>YLD_YTM_ASK</stp>
        <stp>[BondPricer-0.2.xlsm]FRENCH_BTAN_TYPE89!R145C13</stp>
        <tr r="M145" s="8"/>
      </tp>
      <tp>
        <v>1.7223909342174881</v>
        <stp/>
        <stp>##V3_BDPV12</stp>
        <stp>EJ6186799 Govt</stp>
        <stp>YLD_YTM_ASK</stp>
        <stp>[BondPricer-0.2.xlsm]FRENCH_BTAN_TYPE89!R181C13</stp>
        <tr r="M181" s="8"/>
      </tp>
      <tp>
        <v>1.0065891486687795</v>
        <stp/>
        <stp>##V3_BDPV12</stp>
        <stp>EJ6178796 Govt</stp>
        <stp>YLD_YTM_ASK</stp>
        <stp>[BondPricer-0.2.xlsm]FRENCH_BTAN_TYPE89!R107C13</stp>
        <tr r="M107" s="8"/>
      </tp>
      <tp t="s">
        <v>#N/A Invalid Override</v>
        <stp/>
        <stp>##V3_BDPV12</stp>
        <stp>EG9384082 Govt</stp>
        <stp>YLD_CMPD_JPN_ASK_NOTRUNC</stp>
        <stp>[BondPricer-0.2.xlsm]JAPAN_JGB_TYPE51!R183C35</stp>
        <stp>PX_ASK=#N/A Requesting Data...</stp>
        <tr r="AI183" s="7"/>
      </tp>
      <tp>
        <v>7.3617428146367372</v>
        <stp/>
        <stp>##V3_BDPV12</stp>
        <stp>EF7153796 Govt</stp>
        <stp>YAS_MOD_DUR</stp>
        <stp>[BondPricer-0.2.xlsm]JAPAN_JGB_TYPE51!R86C28</stp>
        <stp>YLD_YTM_ASK=0.040999999999999</stp>
        <stp>YAS_YLD_CONV=3</stp>
        <tr r="AB86" s="7"/>
      </tp>
      <tp>
        <v>15.147435018695177</v>
        <stp/>
        <stp>##V3_BDPV12</stp>
        <stp>EJ4883454 Govt</stp>
        <stp>YAS_RISK</stp>
        <stp>[BondPricer-0.2.xlsm]JAPAN_JGB_TYPE51!R146C25</stp>
        <stp>YLD_YTM_ASK=0.335</stp>
        <stp>YAS_YLD_CONV=3</stp>
        <tr r="Y146" s="7"/>
      </tp>
      <tp>
        <v>12.264694286193389</v>
        <stp/>
        <stp>##V3_BDPV12</stp>
        <stp>EI0835450 Govt</stp>
        <stp>YAS_RISK</stp>
        <stp>[BondPricer-0.2.xlsm]JAPAN_JGB_TYPE51!R111C25</stp>
        <stp>YLD_YTM_ASK=0.184</stp>
        <stp>YAS_YLD_CONV=3</stp>
        <tr r="Y111" s="7"/>
      </tp>
      <tp>
        <v>12.468507782016047</v>
        <stp/>
        <stp>##V3_BDPV12</stp>
        <stp>EI3854854 Govt</stp>
        <stp>YAS_RISK</stp>
        <stp>[BondPricer-0.2.xlsm]JAPAN_JGB_TYPE51!R117C25</stp>
        <stp>YLD_YTM_ASK=0.214</stp>
        <stp>YAS_YLD_CONV=3</stp>
        <tr r="Y117" s="7"/>
      </tp>
      <tp>
        <v>15.896457815991738</v>
        <stp/>
        <stp>##V3_BDPV12</stp>
        <stp>EJ8434395 Govt</stp>
        <stp>YAS_RISK</stp>
        <stp>[BondPricer-0.2.xlsm]JAPAN_JGB_TYPE51!R153C25</stp>
        <stp>YLD_YTM_ASK=0.375</stp>
        <stp>YAS_YLD_CONV=3</stp>
        <tr r="Y153" s="7"/>
      </tp>
      <tp>
        <v>18.919942748996732</v>
        <stp/>
        <stp>##V3_BDPV12</stp>
        <stp>EF2502187 Govt</stp>
        <stp>YAS_RISK</stp>
        <stp>[BondPricer-0.2.xlsm]JAPAN_JGB_TYPE51!R172C25</stp>
        <stp>YLD_YTM_ASK=0.472</stp>
        <stp>YAS_YLD_CONV=3</stp>
        <tr r="Y172" s="7"/>
      </tp>
      <tp>
        <v>2.8875995515951267</v>
        <stp/>
        <stp>##V3_BDPV12</stp>
        <stp>EI8014132 Govt</stp>
        <stp>YAS_MOD_DUR</stp>
        <stp>[BondPricer-0.2.xlsm]JAPAN_JGB_TYPE51!R18C28</stp>
        <stp>YLD_YTM_ASK=-0.109000000000001</stp>
        <stp>YAS_YLD_CONV=3</stp>
        <tr r="AB18" s="7"/>
      </tp>
      <tp>
        <v>-6.9999999999999729E-2</v>
        <stp/>
        <stp>##V3_BDPV12</stp>
        <stp>ED1845145 Govt</stp>
        <stp>YLD_YTM_ASK</stp>
        <stp>[BondPricer-0.2.xlsm]JAPAN_JGB_TYPE51!R46C13</stp>
        <tr r="M46" s="7"/>
      </tp>
      <tp>
        <v>7.2000000000001202E-2</v>
        <stp/>
        <stp>##V3_BDPV12</stp>
        <stp>EG7807761 Govt</stp>
        <stp>YLD_YTM_ASK</stp>
        <stp>[BondPricer-0.2.xlsm]JAPAN_JGB_TYPE51!R92C13</stp>
        <tr r="M92" s="7"/>
      </tp>
      <tp>
        <v>-3.8000000000000207E-2</v>
        <stp/>
        <stp>##V3_BDPV12</stp>
        <stp>ED5910010 Govt</stp>
        <stp>YLD_YTM_ASK</stp>
        <stp>[BondPricer-0.2.xlsm]JAPAN_JGB_TYPE51!R56C13</stp>
        <tr r="M56" s="7"/>
      </tp>
      <tp>
        <v>-8.7000000000002506E-2</v>
        <stp/>
        <stp>##V3_BDPV12</stp>
        <stp>EJ4693028 Govt</stp>
        <stp>YLD_YTM_ASK</stp>
        <stp>[BondPricer-0.2.xlsm]JAPAN_JGB_TYPE51!R36C13</stp>
        <tr r="M36" s="7"/>
      </tp>
      <tp>
        <v>-6.0999999999998562E-2</v>
        <stp/>
        <stp>##V3_BDPV12</stp>
        <stp>ED3268197 Govt</stp>
        <stp>YLD_YTM_ASK</stp>
        <stp>[BondPricer-0.2.xlsm]JAPAN_JGB_TYPE51!R48C13</stp>
        <tr r="M48" s="7"/>
      </tp>
      <tp>
        <v>-1.3000000000000247E-2</v>
        <stp/>
        <stp>##V3_BDPV12</stp>
        <stp>ED9108231 Govt</stp>
        <stp>YLD_YTM_ASK</stp>
        <stp>[BondPricer-0.2.xlsm]JAPAN_JGB_TYPE51!R65C13</stp>
        <tr r="M65" s="7"/>
      </tp>
      <tp>
        <v>6.5999999999999767E-2</v>
        <stp/>
        <stp>##V3_BDPV12</stp>
        <stp>AM7131296 Govt</stp>
        <stp>YLD_YTM_ASK</stp>
        <stp>[BondPricer-0.2.xlsm]JAPAN_JGB_TYPE51!R88C13</stp>
        <tr r="M88" s="7"/>
      </tp>
      <tp>
        <v>-0.49725620553032779</v>
        <stp/>
        <stp>##V3_BDPV12</stp>
        <stp>EI6505420 Govt</stp>
        <stp>YLD_YTM_ASK</stp>
        <stp>[BondPricer-0.2.xlsm]GERMAN_BUND_TYPE60!R8C13</stp>
        <tr r="M8" s="6"/>
      </tp>
      <tp>
        <v>-0.2282334379250322</v>
        <stp/>
        <stp>##V3_BDPV12</stp>
        <stp>EJ5066257 Govt</stp>
        <stp>YLD_YTM_ASK</stp>
        <stp>[BondPricer-0.2.xlsm]GERMAN_BUND_TYPE60!R13C13</stp>
        <tr r="M13" s="6"/>
      </tp>
      <tp>
        <v>0.19404236791089663</v>
        <stp/>
        <stp>##V3_BDPV12</stp>
        <stp>JV5034238 Govt</stp>
        <stp>YLD_YTM_ASK</stp>
        <stp>[BondPricer-0.2.xlsm]GERMAN_BUND_TYPE60!R22C13</stp>
        <tr r="M22" s="6"/>
      </tp>
      <tp>
        <v>9.5263628339561004E-3</v>
        <stp/>
        <stp>##V3_BDPV12</stp>
        <stp>EK4694379 Govt</stp>
        <stp>YLD_YTM_ASK</stp>
        <stp>[BondPricer-0.2.xlsm]GERMAN_BUND_TYPE60!R19C13</stp>
        <tr r="M19" s="6"/>
      </tp>
      <tp>
        <v>0.84743891941937965</v>
        <stp/>
        <stp>##V3_BDPV12</stp>
        <stp>ED7838094 Govt</stp>
        <stp>YLD_YTM_ASK</stp>
        <stp>[BondPricer-0.2.xlsm]GERMAN_BUND_TYPE60!R31C13</stp>
        <tr r="M31" s="6"/>
      </tp>
      <tp>
        <v>1.2956492110872242</v>
        <stp/>
        <stp>##V3_BDPV12</stp>
        <stp>ED3871719 Govt</stp>
        <stp>YLD_YTM_ASK</stp>
        <stp>[BondPricer-0.2.xlsm]FRENCH_BTAN_TYPE89!R137C13</stp>
        <tr r="M137" s="8"/>
      </tp>
      <tp>
        <v>2.0295531402602318</v>
        <stp/>
        <stp>##V3_BDPV12</stp>
        <stp>JK8068294 Govt</stp>
        <stp>YLD_YTM_ASK</stp>
        <stp>[BondPricer-0.2.xlsm]FRENCH_BTAN_TYPE89!R214C13</stp>
        <tr r="M214" s="8"/>
      </tp>
      <tp t="s">
        <v>#N/A Invalid Override</v>
        <stp/>
        <stp>##V3_BDPV12</stp>
        <stp>EC7486078 Govt</stp>
        <stp>YLD_CMPD_JPN_ASK_NOTRUNC</stp>
        <stp>[BondPricer-0.2.xlsm]JAPAN_JGB_TYPE51!R144C35</stp>
        <stp>PX_ASK=#N/A Requesting Data...</stp>
        <tr r="AI144" s="7"/>
      </tp>
      <tp t="s">
        <v>#N/A Invalid Override</v>
        <stp/>
        <stp>##V3_BDPV12</stp>
        <stp>EH4829006 Govt</stp>
        <stp>YLD_CMPD_JPN_ASK_NOTRUNC</stp>
        <stp>[BondPricer-0.2.xlsm]JAPAN_JGB_TYPE51!R100C35</stp>
        <stp>PX_ASK=#N/A Requesting Data...</stp>
        <tr r="AI100" s="7"/>
      </tp>
      <tp>
        <v>2.1105712337772697</v>
        <stp/>
        <stp>##V3_BDPV12</stp>
        <stp>JK8070696 Govt</stp>
        <stp>YLD_YTM_ASK</stp>
        <stp>[BondPricer-0.2.xlsm]FRENCH_BTAN_TYPE89!R237C13</stp>
        <tr r="M237" s="8"/>
      </tp>
      <tp t="s">
        <v>#N/A Invalid Override</v>
        <stp/>
        <stp>##V3_BDPV12</stp>
        <stp>ED2161351 Govt</stp>
        <stp>YLD_CMPD_JPN_ASK_NOTRUNC</stp>
        <stp>[BondPricer-0.2.xlsm]JAPAN_JGB_TYPE51!R154C35</stp>
        <stp>PX_ASK=#N/A Requesting Data...</stp>
        <tr r="AI154" s="7"/>
      </tp>
      <tp>
        <v>14.775974948708939</v>
        <stp/>
        <stp>##V3_BDPV12</stp>
        <stp>EF5597655 Govt</stp>
        <stp>YAS_MOD_DUR</stp>
        <stp>[BondPricer-0.2.xlsm]JAPAN_JGB_TYPE51!R176C28</stp>
        <stp>YLD_YTM_ASK=0.490999999999999</stp>
        <stp>YAS_YLD_CONV=3</stp>
        <tr r="AB176" s="7"/>
      </tp>
      <tp>
        <v>6.006742664092549</v>
        <stp/>
        <stp>##V3_BDPV12</stp>
        <stp>EI0428314 Govt</stp>
        <stp>DUR_ADJ_ASK</stp>
        <stp>[BondPricer-0.2.xlsm]FRENCH_BTAN_TYPE89!R55C27</stp>
        <stp>YLD_YTM_ASK=</stp>
        <stp>YAS_YLD_CONV=1</stp>
        <tr r="AA55" s="8"/>
      </tp>
      <tp>
        <v>1.0185593019837416</v>
        <stp/>
        <stp>##V3_BDPV12</stp>
        <stp>EK2935907 Govt</stp>
        <stp>YLD_YTM_ASK</stp>
        <stp>[BondPricer-0.2.xlsm]FRENCH_BTAN_TYPE89!R101C13</stp>
        <tr r="M101" s="8"/>
      </tp>
      <tp>
        <v>1.1390769960956337</v>
        <stp/>
        <stp>##V3_BDPV12</stp>
        <stp>EC3971503 Govt</stp>
        <stp>YLD_YTM_ASK</stp>
        <stp>[BondPricer-0.2.xlsm]FRENCH_BTAN_TYPE89!R117C13</stp>
        <tr r="M117" s="8"/>
      </tp>
      <tp>
        <v>5.5108802016321494</v>
        <stp/>
        <stp>##V3_BDPV12</stp>
        <stp>EI0428355 Govt</stp>
        <stp>DUR_ADJ_ASK</stp>
        <stp>[BondPricer-0.2.xlsm]FRENCH_BTAN_TYPE89!R49C27</stp>
        <stp>YLD_YTM_ASK=</stp>
        <stp>YAS_YLD_CONV=1</stp>
        <tr r="AA49" s="8"/>
      </tp>
      <tp>
        <v>1.0643669773118849</v>
        <stp/>
        <stp>##V3_BDPV12</stp>
        <stp>EC3954004 Govt</stp>
        <stp>YLD_YTM_ASK</stp>
        <stp>[BondPricer-0.2.xlsm]FRENCH_BTAN_TYPE89!R121C13</stp>
        <tr r="M121" s="8"/>
      </tp>
      <tp>
        <v>8.8378448325377565</v>
        <stp/>
        <stp>##V3_BDPV12</stp>
        <stp>EH5285554 Govt</stp>
        <stp>YAS_MOD_DUR</stp>
        <stp>[BondPricer-0.2.xlsm]JAPAN_JGB_TYPE51!R99C28</stp>
        <stp>YLD_YTM_ASK=0.114000000000001</stp>
        <stp>YAS_YLD_CONV=3</stp>
        <tr r="AB99" s="7"/>
      </tp>
      <tp>
        <v>13.913682378170478</v>
        <stp/>
        <stp>##V3_BDPV12</stp>
        <stp>EC3875944 Govt</stp>
        <stp>YAS_RISK</stp>
        <stp>[BondPricer-0.2.xlsm]JAPAN_JGB_TYPE51!R128C25</stp>
        <stp>YLD_YTM_ASK=0.249</stp>
        <stp>YAS_YLD_CONV=3</stp>
        <tr r="Y128" s="7"/>
      </tp>
      <tp>
        <v>13.484136917858081</v>
        <stp/>
        <stp>##V3_BDPV12</stp>
        <stp>EI6924050 Govt</stp>
        <stp>YAS_RISK</stp>
        <stp>[BondPricer-0.2.xlsm]JAPAN_JGB_TYPE51!R127C25</stp>
        <stp>YLD_YTM_ASK=0.249</stp>
        <stp>YAS_YLD_CONV=3</stp>
        <tr r="Y127" s="7"/>
      </tp>
      <tp>
        <v>3.37793279491747</v>
        <stp/>
        <stp>##V3_BDPV12</stp>
        <stp>EJ1749369 Govt</stp>
        <stp>YAS_MOD_DUR</stp>
        <stp>[BondPricer-0.2.xlsm]JAPAN_JGB_TYPE51!R27C28</stp>
        <stp>YLD_YTM_ASK=-0.101999999999997</stp>
        <stp>YAS_YLD_CONV=3</stp>
        <tr r="AB27" s="7"/>
      </tp>
      <tp>
        <v>-0.12</v>
        <stp/>
        <stp>##V3_BDPV12</stp>
        <stp>EC3321972 Govt</stp>
        <stp>YLD_YTM_ASK</stp>
        <stp>[BondPricer-0.2.xlsm]JAPAN_JGB_TYPE51!R11C13</stp>
        <tr r="M11" s="7"/>
      </tp>
      <tp>
        <v>-8.5999999999999591E-2</v>
        <stp/>
        <stp>##V3_BDPV12</stp>
        <stp>EC9351635 Govt</stp>
        <stp>YLD_YTM_ASK</stp>
        <stp>[BondPricer-0.2.xlsm]JAPAN_JGB_TYPE51!R40C13</stp>
        <tr r="M40" s="7"/>
      </tp>
      <tp>
        <v>-8.9999999999998553E-2</v>
        <stp/>
        <stp>##V3_BDPV12</stp>
        <stp>EC8612631 Govt</stp>
        <stp>YLD_YTM_ASK</stp>
        <stp>[BondPricer-0.2.xlsm]JAPAN_JGB_TYPE51!R38C13</stp>
        <tr r="M38" s="7"/>
      </tp>
      <tp>
        <v>2.9999999999994436E-3</v>
        <stp/>
        <stp>##V3_BDPV12</stp>
        <stp>EF1466236 Govt</stp>
        <stp>YLD_YTM_ASK</stp>
        <stp>[BondPricer-0.2.xlsm]JAPAN_JGB_TYPE51!R73C13</stp>
        <tr r="M73" s="7"/>
      </tp>
      <tp>
        <v>-0.11099999999999836</v>
        <stp/>
        <stp>##V3_BDPV12</stp>
        <stp>EC5195879 Govt</stp>
        <stp>YLD_YTM_ASK</stp>
        <stp>[BondPricer-0.2.xlsm]JAPAN_JGB_TYPE51!R23C13</stp>
        <tr r="M23" s="7"/>
      </tp>
      <tp>
        <v>-0.10299999999999802</v>
        <stp/>
        <stp>##V3_BDPV12</stp>
        <stp>EC6386048 Govt</stp>
        <stp>YLD_YTM_ASK</stp>
        <stp>[BondPricer-0.2.xlsm]JAPAN_JGB_TYPE51!R31C13</stp>
        <tr r="M31" s="7"/>
      </tp>
      <tp>
        <v>-1.9999999999992576E-3</v>
        <stp/>
        <stp>##V3_BDPV12</stp>
        <stp>EF0693129 Govt</stp>
        <stp>YLD_YTM_ASK</stp>
        <stp>[BondPricer-0.2.xlsm]JAPAN_JGB_TYPE51!R68C13</stp>
        <tr r="M68" s="7"/>
      </tp>
      <tp>
        <v>3.2000000000000577E-2</v>
        <stp/>
        <stp>##V3_BDPV12</stp>
        <stp>EF5003670 Govt</stp>
        <stp>YLD_YTM_ASK</stp>
        <stp>[BondPricer-0.2.xlsm]JAPAN_JGB_TYPE51!R82C13</stp>
        <tr r="M82" s="7"/>
      </tp>
      <tp>
        <v>-2.9999999999997889E-3</v>
        <stp/>
        <stp>##V3_BDPV12</stp>
        <stp>ED9861136 Govt</stp>
        <stp>YLD_YTM_ASK</stp>
        <stp>[BondPricer-0.2.xlsm]JAPAN_JGB_TYPE51!R70C13</stp>
        <tr r="M70" s="7"/>
      </tp>
      <tp>
        <v>-9.9000000000000823E-2</v>
        <stp/>
        <stp>##V3_BDPV12</stp>
        <stp>EJ2273187 Govt</stp>
        <stp>YLD_YTM_ASK</stp>
        <stp>[BondPricer-0.2.xlsm]JAPAN_JGB_TYPE51!R30C13</stp>
        <tr r="M30" s="7"/>
      </tp>
      <tp>
        <v>9.800000000000092E-2</v>
        <stp/>
        <stp>##V3_BDPV12</stp>
        <stp>EH2690319 Govt</stp>
        <stp>YLD_YTM_ASK</stp>
        <stp>[BondPricer-0.2.xlsm]JAPAN_JGB_TYPE51!R96C13</stp>
        <tr r="M96" s="7"/>
      </tp>
      <tp>
        <v>-8.7000000000001743E-2</v>
        <stp/>
        <stp>##V3_BDPV12</stp>
        <stp>EJ5046614 Govt</stp>
        <stp>YLD_YTM_ASK</stp>
        <stp>[BondPricer-0.2.xlsm]JAPAN_JGB_TYPE51!R35C13</stp>
        <tr r="M35" s="7"/>
      </tp>
      <tp>
        <v>-5.0999999999998831E-2</v>
        <stp/>
        <stp>##V3_BDPV12</stp>
        <stp>ED3828602 Govt</stp>
        <stp>YLD_YTM_ASK</stp>
        <stp>[BondPricer-0.2.xlsm]JAPAN_JGB_TYPE51!R53C13</stp>
        <tr r="M53" s="7"/>
      </tp>
      <tp t="s">
        <v>#N/A Invalid Override</v>
        <stp/>
        <stp>##V3_BDPV12</stp>
        <stp>EI6755942 Govt</stp>
        <stp>YAS_BOND_YLD</stp>
        <stp>[BondPricer-0.2.xlsm]JAPAN_JGB_TYPE51!R7C31</stp>
        <stp>YAS_BOND_PX=#N/A Requesting Data...</stp>
        <tr r="AE7" s="7"/>
      </tp>
      <tp t="s">
        <v>#N/A Invalid Override</v>
        <stp/>
        <stp>##V3_BDPV12</stp>
        <stp>EI5952292 Govt</stp>
        <stp>YAS_BOND_YLD</stp>
        <stp>[BondPricer-0.2.xlsm]JAPAN_JGB_TYPE51!R9C31</stp>
        <stp>YAS_BOND_PX=#N/A Requesting Data...</stp>
        <tr r="AE9" s="7"/>
      </tp>
      <tp>
        <v>2.4209257627129888</v>
        <stp/>
        <stp>##V3_BDPV12</stp>
        <stp>JK4133670 Govt</stp>
        <stp>YAS_MOD_DUR</stp>
        <stp>[BondPricer-0.2.xlsm]JAPAN_JGB_TYPE51!R8C28</stp>
        <stp>YLD_YTM_ASK=-0.123999999999995</stp>
        <stp>YAS_YLD_CONV=3</stp>
        <tr r="AB8" s="7"/>
      </tp>
      <tp>
        <v>9.574939549969276</v>
        <stp/>
        <stp>##V3_BDPV12</stp>
        <stp>EH7611252 Govt</stp>
        <stp>YAS_MOD_DUR</stp>
        <stp>[BondPricer-0.2.xlsm]JAPAN_JGB_TYPE51!R106C28</stp>
        <stp>YLD_YTM_ASK=0.149000000000001</stp>
        <stp>YAS_YLD_CONV=3</stp>
        <tr r="AB106" s="7"/>
      </tp>
      <tp t="s">
        <v>#N/A Invalid Override</v>
        <stp/>
        <stp>##V3_BDPV12</stp>
        <stp>JK5016049 Govt</stp>
        <stp>YLD_CMPD_JPN_ASK_NOTRUNC</stp>
        <stp>[BondPricer-0.2.xlsm]JAPAN_JGB_TYPE51!R173C35</stp>
        <stp>PX_ASK=#N/A Requesting Data...</stp>
        <tr r="AI173" s="7"/>
      </tp>
      <tp>
        <v>2.1015775012858118</v>
        <stp/>
        <stp>##V3_BDPV12</stp>
        <stp>JK8070761 Govt</stp>
        <stp>YLD_YTM_ASK</stp>
        <stp>[BondPricer-0.2.xlsm]FRENCH_BTAN_TYPE89!R238C13</stp>
        <tr r="M238" s="8"/>
      </tp>
      <tp>
        <v>2.0058296589682723</v>
        <stp/>
        <stp>##V3_BDPV12</stp>
        <stp>JK8068260 Govt</stp>
        <stp>YLD_YTM_ASK</stp>
        <stp>[BondPricer-0.2.xlsm]FRENCH_BTAN_TYPE89!R211C13</stp>
        <tr r="M211" s="8"/>
      </tp>
      <tp>
        <v>1.9621749346203421</v>
        <stp/>
        <stp>##V3_BDPV12</stp>
        <stp>JK8068161 Govt</stp>
        <stp>YLD_YTM_ASK</stp>
        <stp>[BondPricer-0.2.xlsm]FRENCH_BTAN_TYPE89!R205C13</stp>
        <tr r="M205" s="8"/>
      </tp>
      <tp t="s">
        <v>#N/A Invalid Override</v>
        <stp/>
        <stp>##V3_BDPV12</stp>
        <stp>EI6037572 Govt</stp>
        <stp>YLD_CMPD_JPN_ASK_NOTRUNC</stp>
        <stp>[BondPricer-0.2.xlsm]JAPAN_JGB_TYPE51!R190C35</stp>
        <stp>PX_ASK=#N/A Requesting Data...</stp>
        <tr r="AI190" s="7"/>
      </tp>
      <tp t="s">
        <v>#N/A Invalid Override</v>
        <stp/>
        <stp>##V3_BDPV12</stp>
        <stp>EI6132563 Govt</stp>
        <stp>YLD_CMPD_JPN_ASK_NOTRUNC</stp>
        <stp>[BondPricer-0.2.xlsm]JAPAN_JGB_TYPE51!R125C35</stp>
        <stp>PX_ASK=#N/A Requesting Data...</stp>
        <tr r="AI125" s="7"/>
      </tp>
      <tp t="s">
        <v>#N/A Invalid Override</v>
        <stp/>
        <stp>##V3_BDPV12</stp>
        <stp>EJ0963383 Govt</stp>
        <stp>YLD_CMPD_JPN_ASK_NOTRUNC</stp>
        <stp>[BondPricer-0.2.xlsm]JAPAN_JGB_TYPE51!R137C35</stp>
        <stp>PX_ASK=#N/A Requesting Data...</stp>
        <tr r="AI137" s="7"/>
      </tp>
      <tp>
        <v>7.8780347085144697</v>
        <stp/>
        <stp>##V3_BDPV12</stp>
        <stp>AN2017233 Govt</stp>
        <stp>YAS_RISK</stp>
        <stp>[BondPricer-0.2.xlsm]ITALIAN_BTPS_TYPE523!R192C26</stp>
        <stp>YLD_YTM_ASK=4.0471242534204</stp>
        <stp>YAS_YLD_CONV=33</stp>
        <tr r="Z192" s="5"/>
      </tp>
      <tp t="s">
        <v>#N/A Invalid Override</v>
        <stp/>
        <stp>##V3_BDPV12</stp>
        <stp>EK9722886 Govt</stp>
        <stp>YLD_CMPD_JPN_ASK_NOTRUNC</stp>
        <stp>[BondPricer-0.2.xlsm]JAPAN_JGB_TYPE51!R167C35</stp>
        <stp>PX_ASK=#N/A Requesting Data...</stp>
        <tr r="AI167" s="7"/>
      </tp>
      <tp t="s">
        <v>#N/A Invalid Override</v>
        <stp/>
        <stp>##V3_BDPV12</stp>
        <stp>EH9141712 Govt</stp>
        <stp>YLD_CMPD_JPN_ASK_NOTRUNC</stp>
        <stp>[BondPricer-0.2.xlsm]JAPAN_JGB_TYPE51!R107C35</stp>
        <stp>PX_ASK=#N/A Requesting Data...</stp>
        <tr r="AI107" s="7"/>
      </tp>
      <tp>
        <v>8.0326062977228219</v>
        <stp/>
        <stp>##V3_BDPV12</stp>
        <stp>ED1666434 Govt</stp>
        <stp>YAS_RISK</stp>
        <stp>[BondPricer-0.2.xlsm]ITALIAN_BTPS_TYPE523!R113C26</stp>
        <stp>YLD_YTM_ASK=3.9418553425713</stp>
        <stp>YAS_YLD_CONV=33</stp>
        <tr r="Z113" s="5"/>
      </tp>
      <tp t="s">
        <v>#N/A Invalid Override</v>
        <stp/>
        <stp>##V3_BDPV12</stp>
        <stp>EC3875944 Govt</stp>
        <stp>YLD_CMPD_JPN_ASK_NOTRUNC</stp>
        <stp>[BondPricer-0.2.xlsm]JAPAN_JGB_TYPE51!R128C35</stp>
        <stp>PX_ASK=#N/A Requesting Data...</stp>
        <tr r="AI128" s="7"/>
      </tp>
      <tp>
        <v>2.0934791407950737</v>
        <stp/>
        <stp>##V3_BDPV12</stp>
        <stp>JK8068369 Govt</stp>
        <stp>YLD_YTM_ASK</stp>
        <stp>[BondPricer-0.2.xlsm]FRENCH_BTAN_TYPE89!R226C13</stp>
        <tr r="M226" s="8"/>
      </tp>
      <tp>
        <v>15.000494303814607</v>
        <stp/>
        <stp>##V3_BDPV12</stp>
        <stp>EK8137466 Govt</stp>
        <stp>YAS_MOD_DUR</stp>
        <stp>[BondPricer-0.2.xlsm]JAPAN_JGB_TYPE51!R165C28</stp>
        <stp>YLD_YTM_ASK=0.465999999999999</stp>
        <stp>YAS_YLD_CONV=3</stp>
        <tr r="AB165" s="7"/>
      </tp>
      <tp>
        <v>12.407231735535618</v>
        <stp/>
        <stp>##V3_BDPV12</stp>
        <stp>EC1745347 Govt</stp>
        <stp>YAS_RISK</stp>
        <stp>[BondPricer-0.2.xlsm]JAPAN_JGB_TYPE51!R110C25</stp>
        <stp>YLD_YTM_ASK=0.174</stp>
        <stp>YAS_YLD_CONV=3</stp>
        <tr r="Y110" s="7"/>
      </tp>
      <tp>
        <v>15.241575199276269</v>
        <stp/>
        <stp>##V3_BDPV12</stp>
        <stp>EJ5659150 Govt</stp>
        <stp>YAS_RISK</stp>
        <stp>[BondPricer-0.2.xlsm]JAPAN_JGB_TYPE51!R145C25</stp>
        <stp>YLD_YTM_ASK=0.336</stp>
        <stp>YAS_YLD_CONV=3</stp>
        <tr r="Y145" s="7"/>
      </tp>
      <tp>
        <v>12.950326929616551</v>
        <stp/>
        <stp>##V3_BDPV12</stp>
        <stp>EI4040636 Govt</stp>
        <stp>YAS_RISK</stp>
        <stp>[BondPricer-0.2.xlsm]JAPAN_JGB_TYPE51!R120C25</stp>
        <stp>YLD_YTM_ASK=0.224</stp>
        <stp>YAS_YLD_CONV=3</stp>
        <tr r="Y120" s="7"/>
      </tp>
      <tp>
        <v>15.172090060342924</v>
        <stp/>
        <stp>##V3_BDPV12</stp>
        <stp>EC7486078 Govt</stp>
        <stp>YAS_RISK</stp>
        <stp>[BondPricer-0.2.xlsm]JAPAN_JGB_TYPE51!R144C25</stp>
        <stp>YLD_YTM_ASK=0.328</stp>
        <stp>YAS_YLD_CONV=3</stp>
        <tr r="Y144" s="7"/>
      </tp>
      <tp>
        <v>3.0694428989027696</v>
        <stp/>
        <stp>##V3_BDPV12</stp>
        <stp>EC5195879 Govt</stp>
        <stp>YAS_MOD_DUR</stp>
        <stp>[BondPricer-0.2.xlsm]JAPAN_JGB_TYPE51!R23C28</stp>
        <stp>YLD_YTM_ASK=-0.110999999999998</stp>
        <stp>YAS_YLD_CONV=3</stp>
        <tr r="AB23" s="7"/>
      </tp>
      <tp>
        <v>3.1718044310898086</v>
        <stp/>
        <stp>##V3_BDPV12</stp>
        <stp>AL7220364 Govt</stp>
        <stp>YAS_MOD_DUR</stp>
        <stp>[BondPricer-0.2.xlsm]JAPAN_JGB_TYPE51!R20C28</stp>
        <stp>YLD_YTM_ASK=-0.108000000000002</stp>
        <stp>YAS_YLD_CONV=3</stp>
        <tr r="AB20" s="7"/>
      </tp>
      <tp>
        <v>1.2000000000001683E-2</v>
        <stp/>
        <stp>##V3_BDPV12</stp>
        <stp>EF2594176 Govt</stp>
        <stp>YLD_YTM_ASK</stp>
        <stp>[BondPricer-0.2.xlsm]JAPAN_JGB_TYPE51!R76C13</stp>
        <tr r="M76" s="7"/>
      </tp>
      <tp>
        <v>-6.1000000000001151E-2</v>
        <stp/>
        <stp>##V3_BDPV12</stp>
        <stp>ED2593686 Govt</stp>
        <stp>YLD_YTM_ASK</stp>
        <stp>[BondPricer-0.2.xlsm]JAPAN_JGB_TYPE51!R49C13</stp>
        <tr r="M49" s="7"/>
      </tp>
      <tp>
        <v>-3.4999999999999261E-2</v>
        <stp/>
        <stp>##V3_BDPV12</stp>
        <stp>ED6160219 Govt</stp>
        <stp>YLD_YTM_ASK</stp>
        <stp>[BondPricer-0.2.xlsm]JAPAN_JGB_TYPE51!R58C13</stp>
        <tr r="M58" s="7"/>
      </tp>
      <tp>
        <v>9.500625916872707</v>
        <stp/>
        <stp>##V3_BDPV12</stp>
        <stp>EJ6178747 Govt</stp>
        <stp>YAS_RISK</stp>
        <stp>[BondPricer-0.2.xlsm]FRENCH_BTAN_TYPE89!R100C24</stp>
        <stp>YLD_YTM_ASK=0.950428440094364</stp>
        <stp>YAS_YLD_CONV=1</stp>
        <tr r="X100" s="8"/>
      </tp>
      <tp>
        <v>-5.5999999999999502E-2</v>
        <stp/>
        <stp>##V3_BDPV12</stp>
        <stp>EJ9766399 Govt</stp>
        <stp>YLD_YTM_ASK</stp>
        <stp>[BondPricer-0.2.xlsm]JAPAN_JGB_TYPE51!R47C13</stp>
        <tr r="M47" s="7"/>
      </tp>
      <tp>
        <v>134.07499999972219</v>
        <stp/>
        <stp>##V3_BDPV12</stp>
        <stp>EK0809500 Govt</stp>
        <stp>YAS_BOND_PX</stp>
        <stp>[BondPricer-0.2.xlsm]GERMAN_BUND_TYPE60!R36C20</stp>
        <stp>YAS_BOND_YLD=1.0763534112302</stp>
        <stp>YAS_YLD_CONV=1</stp>
        <tr r="T36" s="6"/>
      </tp>
      <tp>
        <v>1.4674917321716663</v>
        <stp/>
        <stp>##V3_BDPV12</stp>
        <stp>ED8388446 Govt</stp>
        <stp>YLD_YTM_ASK</stp>
        <stp>[BondPricer-0.2.xlsm]FRENCH_BTAN_TYPE89!R156C13</stp>
        <tr r="M156" s="8"/>
      </tp>
      <tp>
        <v>2.1028925527681652</v>
        <stp/>
        <stp>##V3_BDPV12</stp>
        <stp>JK8068674 Govt</stp>
        <stp>YLD_YTM_ASK</stp>
        <stp>[BondPricer-0.2.xlsm]FRENCH_BTAN_TYPE89!R228C13</stp>
        <tr r="M228" s="8"/>
      </tp>
      <tp>
        <v>9.0565297349134521</v>
        <stp/>
        <stp>##V3_BDPV12</stp>
        <stp>EH6066235 Govt</stp>
        <stp>YAS_MOD_DUR</stp>
        <stp>[BondPricer-0.2.xlsm]JAPAN_JGB_TYPE51!R102C28</stp>
        <stp>YLD_YTM_ASK=0.124000000000001</stp>
        <stp>YAS_YLD_CONV=3</stp>
        <tr r="AB102" s="7"/>
      </tp>
      <tp t="s">
        <v>#N/A Invalid Override</v>
        <stp/>
        <stp>##V3_BDPV12</stp>
        <stp>EH7911181 Govt</stp>
        <stp>YLD_CMPD_JPN_ASK_NOTRUNC</stp>
        <stp>[BondPricer-0.2.xlsm]JAPAN_JGB_TYPE51!R186C35</stp>
        <stp>PX_ASK=#N/A Requesting Data...</stp>
        <tr r="AI186" s="7"/>
      </tp>
      <tp>
        <v>14.314925021193616</v>
        <stp/>
        <stp>##V3_BDPV12</stp>
        <stp>EF1386525 Govt</stp>
        <stp>YAS_MOD_DUR</stp>
        <stp>[BondPricer-0.2.xlsm]JAPAN_JGB_TYPE51!R170C28</stp>
        <stp>YLD_YTM_ASK=0.458000000000001</stp>
        <stp>YAS_YLD_CONV=3</stp>
        <tr r="AB170" s="7"/>
      </tp>
      <tp t="s">
        <v>#N/A Invalid Override</v>
        <stp/>
        <stp>##V3_BDPV12</stp>
        <stp>EJ3365511 Govt</stp>
        <stp>YLD_CMPD_JPN_ASK_NOTRUNC</stp>
        <stp>[BondPricer-0.2.xlsm]JAPAN_JGB_TYPE51!R140C35</stp>
        <stp>PX_ASK=#N/A Requesting Data...</stp>
        <tr r="AI140" s="7"/>
      </tp>
      <tp>
        <v>1.8396821135544528</v>
        <stp/>
        <stp>##V3_BDPV12</stp>
        <stp>JK8061976 Govt</stp>
        <stp>YLD_YTM_ASK</stp>
        <stp>[BondPricer-0.2.xlsm]FRENCH_BTAN_TYPE89!R193C13</stp>
        <tr r="M193" s="8"/>
      </tp>
      <tp t="s">
        <v>#N/A Invalid Override</v>
        <stp/>
        <stp>##V3_BDPV12</stp>
        <stp>EH7034067 Govt</stp>
        <stp>YLD_CMPD_JPN_ASK_NOTRUNC</stp>
        <stp>[BondPricer-0.2.xlsm]JAPAN_JGB_TYPE51!R103C35</stp>
        <stp>PX_ASK=#N/A Requesting Data...</stp>
        <tr r="AI103" s="7"/>
      </tp>
      <tp>
        <v>2.1180893369285192</v>
        <stp/>
        <stp>##V3_BDPV12</stp>
        <stp>JK8069276 Govt</stp>
        <stp>YLD_YTM_ASK</stp>
        <stp>[BondPricer-0.2.xlsm]FRENCH_BTAN_TYPE89!R234C13</stp>
        <tr r="M234" s="8"/>
      </tp>
      <tp>
        <v>1.6397854108917809</v>
        <stp/>
        <stp>##V3_BDPV12</stp>
        <stp>ED8389246 Govt</stp>
        <stp>YLD_YTM_ASK</stp>
        <stp>[BondPricer-0.2.xlsm]FRENCH_BTAN_TYPE89!R204C13</stp>
        <tr r="M204" s="8"/>
      </tp>
      <tp>
        <v>1.6055285975335896</v>
        <stp/>
        <stp>##V3_BDPV12</stp>
        <stp>EJ6098374 Govt</stp>
        <stp>YLD_YTM_ASK</stp>
        <stp>[BondPricer-0.2.xlsm]FRENCH_BTAN_TYPE89!R189C13</stp>
        <tr r="M189" s="8"/>
      </tp>
      <tp>
        <v>1.6055285975335896</v>
        <stp/>
        <stp>##V3_BDPV12</stp>
        <stp>EJ6098374 Govt</stp>
        <stp>YLD_YTM_ASK</stp>
        <stp>[BondPricer-0.2.xlsm]FRENCH_BTAN_TYPE89!R187C13</stp>
        <tr r="M187" s="8"/>
      </tp>
      <tp>
        <v>1.6055285975335896</v>
        <stp/>
        <stp>##V3_BDPV12</stp>
        <stp>EJ6098374 Govt</stp>
        <stp>YLD_YTM_ASK</stp>
        <stp>[BondPricer-0.2.xlsm]FRENCH_BTAN_TYPE89!R190C13</stp>
        <tr r="M190" s="8"/>
      </tp>
      <tp t="s">
        <v>#N/A Invalid Override</v>
        <stp/>
        <stp>##V3_BDPV12</stp>
        <stp>EH7611252 Govt</stp>
        <stp>YLD_CMPD_JPN_ASK_NOTRUNC</stp>
        <stp>[BondPricer-0.2.xlsm]JAPAN_JGB_TYPE51!R106C35</stp>
        <stp>PX_ASK=#N/A Requesting Data...</stp>
        <tr r="AI106" s="7"/>
      </tp>
      <tp>
        <v>1.3587833000098721</v>
        <stp/>
        <stp>##V3_BDPV12</stp>
        <stp>EF6625018 Govt</stp>
        <stp>YLD_YTM_ASK</stp>
        <stp>[BondPricer-0.2.xlsm]FRENCH_BTAN_TYPE89!R158C13</stp>
        <tr r="M158" s="8"/>
      </tp>
      <tp>
        <v>1.0065221014362136</v>
        <stp/>
        <stp>##V3_BDPV12</stp>
        <stp>EI0429239 Govt</stp>
        <stp>YLD_YTM_ASK</stp>
        <stp>[BondPricer-0.2.xlsm]FRENCH_BTAN_TYPE89!R104C13</stp>
        <tr r="M104" s="8"/>
      </tp>
      <tp t="s">
        <v>#N/A Invalid Override</v>
        <stp/>
        <stp>##V3_BDPV12</stp>
        <stp>EJ4883454 Govt</stp>
        <stp>YLD_CMPD_JPN_ASK_NOTRUNC</stp>
        <stp>[BondPricer-0.2.xlsm]JAPAN_JGB_TYPE51!R146C35</stp>
        <stp>PX_ASK=#N/A Requesting Data...</stp>
        <tr r="AI146" s="7"/>
      </tp>
      <tp>
        <v>13.288114076863838</v>
        <stp/>
        <stp>##V3_BDPV12</stp>
        <stp>ED4240013 Govt</stp>
        <stp>YAS_MOD_DUR</stp>
        <stp>[BondPricer-0.2.xlsm]JAPAN_JGB_TYPE51!R158C28</stp>
        <stp>YLD_YTM_ASK=0.384000000000001</stp>
        <stp>YAS_YLD_CONV=3</stp>
        <tr r="AB158" s="7"/>
      </tp>
      <tp>
        <v>5.1549649193773917</v>
        <stp/>
        <stp>##V3_BDPV12</stp>
        <stp>EJ8158960 Govt</stp>
        <stp>YAS_RISK</stp>
        <stp>[BondPricer-0.2.xlsm]GERMAN_BUND_TYPE60!R15C24</stp>
        <stp>YLD_YTM_ASK=-0.151622720202418</stp>
        <stp>YAS_YLD_CONV=1</stp>
        <tr r="X15" s="6"/>
      </tp>
      <tp>
        <v>10.333026646689092</v>
        <stp/>
        <stp>##V3_BDPV12</stp>
        <stp>AM2016153 Govt</stp>
        <stp>YAS_RISK</stp>
        <stp>[BondPricer-0.2.xlsm]ITALIAN_BTPS_TYPE523!R114C26</stp>
        <stp>YLD_YTM_ASK=3.6400087545595</stp>
        <stp>YAS_YLD_CONV=33</stp>
        <tr r="Z114" s="5"/>
      </tp>
      <tp>
        <v>1.9083950453426475</v>
        <stp/>
        <stp>##V3_BDPV12</stp>
        <stp>JK7597822 Govt</stp>
        <stp>YLD_YTM_ASK</stp>
        <stp>[BondPricer-0.2.xlsm]FRENCH_BTAN_TYPE89!R239C13</stp>
        <tr r="M239" s="8"/>
      </tp>
      <tp>
        <v>1.9083950453426475</v>
        <stp/>
        <stp>##V3_BDPV12</stp>
        <stp>JK7597822 Govt</stp>
        <stp>YLD_YTM_ASK</stp>
        <stp>[BondPricer-0.2.xlsm]FRENCH_BTAN_TYPE89!R241C13</stp>
        <tr r="M241" s="8"/>
      </tp>
      <tp>
        <v>1.9083950453426475</v>
        <stp/>
        <stp>##V3_BDPV12</stp>
        <stp>JK7597822 Govt</stp>
        <stp>YLD_YTM_ASK</stp>
        <stp>[BondPricer-0.2.xlsm]FRENCH_BTAN_TYPE89!R242C13</stp>
        <tr r="M242" s="8"/>
      </tp>
      <tp>
        <v>5.2938078938056847</v>
        <stp/>
        <stp>##V3_BDPV12</stp>
        <stp>EJ9139449 Govt</stp>
        <stp>DUR_ADJ_ASK</stp>
        <stp>[BondPricer-0.2.xlsm]FRENCH_BTAN_TYPE89!R54C27</stp>
        <stp>YLD_YTM_ASK=</stp>
        <stp>YAS_YLD_CONV=1</stp>
        <tr r="AA54" s="8"/>
      </tp>
      <tp>
        <v>5.2938078938056847</v>
        <stp/>
        <stp>##V3_BDPV12</stp>
        <stp>EJ9139449 Govt</stp>
        <stp>DUR_ADJ_ASK</stp>
        <stp>[BondPricer-0.2.xlsm]FRENCH_BTAN_TYPE89!R51C27</stp>
        <stp>YLD_YTM_ASK=</stp>
        <stp>YAS_YLD_CONV=1</stp>
        <tr r="AA51" s="8"/>
      </tp>
      <tp>
        <v>5.2938078938056847</v>
        <stp/>
        <stp>##V3_BDPV12</stp>
        <stp>EJ9139449 Govt</stp>
        <stp>DUR_ADJ_ASK</stp>
        <stp>[BondPricer-0.2.xlsm]FRENCH_BTAN_TYPE89!R53C27</stp>
        <stp>YLD_YTM_ASK=</stp>
        <stp>YAS_YLD_CONV=1</stp>
        <tr r="AA53" s="8"/>
      </tp>
      <tp>
        <v>1.2763468055836391</v>
        <stp/>
        <stp>##V3_BDPV12</stp>
        <stp>EI0429437 Govt</stp>
        <stp>YLD_YTM_ASK</stp>
        <stp>[BondPricer-0.2.xlsm]FRENCH_BTAN_TYPE89!R130C13</stp>
        <tr r="M130" s="8"/>
      </tp>
      <tp>
        <v>1.4704629800889935</v>
        <stp/>
        <stp>##V3_BDPV12</stp>
        <stp>EI0431631 Govt</stp>
        <stp>YLD_YTM_ASK</stp>
        <stp>[BondPricer-0.2.xlsm]FRENCH_BTAN_TYPE89!R155C13</stp>
        <tr r="M155" s="8"/>
      </tp>
      <tp t="s">
        <v>#N/A Invalid Override</v>
        <stp/>
        <stp>##V3_BDPV12</stp>
        <stp>AM8503287 Govt</stp>
        <stp>YLD_CMPD_JPN_ASK_NOTRUNC</stp>
        <stp>[BondPricer-0.2.xlsm]JAPAN_JGB_TYPE51!R181C35</stp>
        <stp>PX_ASK=#N/A Requesting Data...</stp>
        <tr r="AI181" s="7"/>
      </tp>
      <tp>
        <v>2.0182846313941072</v>
        <stp/>
        <stp>##V3_BDPV12</stp>
        <stp>EI0433033 Govt</stp>
        <stp>YLD_YTM_ASK</stp>
        <stp>[BondPricer-0.2.xlsm]FRENCH_BTAN_TYPE89!R219C13</stp>
        <tr r="M219" s="8"/>
      </tp>
      <tp t="s">
        <v>#N/A Invalid Override</v>
        <stp/>
        <stp>##V3_BDPV12</stp>
        <stp>EJ2397945 Govt</stp>
        <stp>YLD_CMPD_JPN_ASK_NOTRUNC</stp>
        <stp>[BondPricer-0.2.xlsm]JAPAN_JGB_TYPE51!R142C35</stp>
        <stp>PX_ASK=#N/A Requesting Data...</stp>
        <tr r="AI142" s="7"/>
      </tp>
      <tp>
        <v>1.4958912323810747</v>
        <stp/>
        <stp>##V3_BDPV12</stp>
        <stp>EI0431433 Govt</stp>
        <stp>YLD_YTM_ASK</stp>
        <stp>[BondPricer-0.2.xlsm]FRENCH_BTAN_TYPE89!R159C13</stp>
        <tr r="M159" s="8"/>
      </tp>
      <tp>
        <v>1.5250395160707253</v>
        <stp/>
        <stp>##V3_BDPV12</stp>
        <stp>ED8389048 Govt</stp>
        <stp>YLD_YTM_ASK</stp>
        <stp>[BondPricer-0.2.xlsm]FRENCH_BTAN_TYPE89!R192C13</stp>
        <tr r="M192" s="8"/>
      </tp>
      <tp>
        <v>11.184308007985718</v>
        <stp/>
        <stp>##V3_BDPV12</stp>
        <stp>EI6535294 Govt</stp>
        <stp>YAS_MOD_DUR</stp>
        <stp>[BondPricer-0.2.xlsm]JAPAN_JGB_TYPE51!R126C28</stp>
        <stp>YLD_YTM_ASK=0.249000000000001</stp>
        <stp>YAS_YLD_CONV=3</stp>
        <tr r="AB126" s="7"/>
      </tp>
      <tp>
        <v>21.508577118471806</v>
        <stp/>
        <stp>##V3_BDPV12</stp>
        <stp>EH3146931 Govt</stp>
        <stp>YAS_RISK</stp>
        <stp>[BondPricer-0.2.xlsm]JAPAN_JGB_TYPE51!R184C25</stp>
        <stp>YLD_YTM_ASK=0.569</stp>
        <stp>YAS_YLD_CONV=3</stp>
        <tr r="Y184" s="7"/>
      </tp>
      <tp>
        <v>14.536453914949021</v>
        <stp/>
        <stp>##V3_BDPV12</stp>
        <stp>EJ3365511 Govt</stp>
        <stp>YAS_RISK</stp>
        <stp>[BondPricer-0.2.xlsm]JAPAN_JGB_TYPE51!R140C25</stp>
        <stp>YLD_YTM_ASK=0.314</stp>
        <stp>YAS_YLD_CONV=3</stp>
        <tr r="Y140" s="7"/>
      </tp>
      <tp>
        <v>-0.11899999999999999</v>
        <stp/>
        <stp>##V3_BDPV12</stp>
        <stp>EC3680336 Govt</stp>
        <stp>YLD_YTM_ASK</stp>
        <stp>[BondPricer-0.2.xlsm]JAPAN_JGB_TYPE51!R10C13</stp>
        <tr r="M10" s="7"/>
      </tp>
      <tp>
        <v>40.252725771913148</v>
        <stp/>
        <stp>##V3_BDPV12</stp>
        <stp>AN2019718 Govt</stp>
        <stp>DUR_ADJ_ASK</stp>
        <stp>[BondPricer-0.2.xlsm]ITALIAN_BTPS_TYPE523!R196C29</stp>
        <stp>YLD_YTM_ASK=4.025376369588</stp>
        <stp>YAS_YLD_CONV=1</stp>
        <tr r="AC196" s="5"/>
      </tp>
      <tp>
        <v>3.7993154433294762</v>
        <stp/>
        <stp>##V3_BDPV12</stp>
        <stp>EJ0036891 Govt</stp>
        <stp>YAS_RISK</stp>
        <stp>[BondPricer-0.2.xlsm]FRENCH_BTAN_TYPE89!R22C24</stp>
        <stp>YLD_YTM_ASK=-0.214844890045923</stp>
        <stp>YAS_YLD_CONV=1</stp>
        <tr r="X22" s="8"/>
      </tp>
      <tp>
        <v>4.2325684348853088</v>
        <stp/>
        <stp>##V3_BDPV12</stp>
        <stp>GG7115262 Govt</stp>
        <stp>YAS_RISK</stp>
        <stp>[BondPricer-0.2.xlsm]FRENCH_BTAN_TYPE89!R23C24</stp>
        <stp>YLD_YTM_ASK=-0.245012928888669</stp>
        <stp>YAS_YLD_CONV=1</stp>
        <tr r="X23" s="8"/>
      </tp>
      <tp>
        <v>1.4405116474109025</v>
        <stp/>
        <stp>##V3_BDPV12</stp>
        <stp>EF6782736 Govt</stp>
        <stp>YLD_YTM_ASK</stp>
        <stp>[BondPricer-0.2.xlsm]FRENCH_BTAN_TYPE89!R154C13</stp>
        <tr r="M154" s="8"/>
      </tp>
      <tp>
        <v>15.056782065381213</v>
        <stp/>
        <stp>##V3_BDPV12</stp>
        <stp>EG9398371 Govt</stp>
        <stp>YAS_RISK</stp>
        <stp>[BondPricer-0.2.xlsm]ITALIAN_BTPS_TYPE523!R141C26</stp>
        <stp>YLD_YTM_ASK=4.0184516541143</stp>
        <stp>YAS_YLD_CONV=33</stp>
        <tr r="Z141" s="5"/>
      </tp>
      <tp>
        <v>12.449209824993641</v>
        <stp/>
        <stp>##V3_BDPV12</stp>
        <stp>EJ3001454 Govt</stp>
        <stp>YAS_MOD_DUR</stp>
        <stp>[BondPricer-0.2.xlsm]JAPAN_JGB_TYPE51!R141C28</stp>
        <stp>YLD_YTM_ASK=0.315000000000001</stp>
        <stp>YAS_YLD_CONV=3</stp>
        <tr r="AB141" s="7"/>
      </tp>
      <tp>
        <v>10.624363634388668</v>
        <stp/>
        <stp>##V3_BDPV12</stp>
        <stp>EI3325426 Govt</stp>
        <stp>YAS_MOD_DUR</stp>
        <stp>[BondPricer-0.2.xlsm]JAPAN_JGB_TYPE51!R119C28</stp>
        <stp>YLD_YTM_ASK=0.209000000000001</stp>
        <stp>YAS_YLD_CONV=3</stp>
        <tr r="AB119" s="7"/>
      </tp>
      <tp t="s">
        <v>#N/A Invalid Override</v>
        <stp/>
        <stp>##V3_BDPV12</stp>
        <stp>EI2321434 Govt</stp>
        <stp>YLD_CMPD_JPN_ASK_NOTRUNC</stp>
        <stp>[BondPricer-0.2.xlsm]JAPAN_JGB_TYPE51!R114C35</stp>
        <stp>PX_ASK=#N/A Requesting Data...</stp>
        <tr r="AI114" s="7"/>
      </tp>
      <tp>
        <v>13.923021280722349</v>
        <stp/>
        <stp>##V3_BDPV12</stp>
        <stp>EK1340612 Govt</stp>
        <stp>YAS_MOD_DUR</stp>
        <stp>[BondPricer-0.2.xlsm]JAPAN_JGB_TYPE51!R157C28</stp>
        <stp>YLD_YTM_ASK=0.404000000000001</stp>
        <stp>YAS_YLD_CONV=3</stp>
        <tr r="AB157" s="7"/>
      </tp>
      <tp t="s">
        <v>#N/A Invalid Override</v>
        <stp/>
        <stp>##V3_BDPV12</stp>
        <stp>EK1340612 Govt</stp>
        <stp>YLD_CMPD_JPN_ASK_NOTRUNC</stp>
        <stp>[BondPricer-0.2.xlsm]JAPAN_JGB_TYPE51!R157C35</stp>
        <stp>PX_ASK=#N/A Requesting Data...</stp>
        <tr r="AI157" s="7"/>
      </tp>
      <tp t="s">
        <v>#N/A Invalid Override</v>
        <stp/>
        <stp>##V3_BDPV12</stp>
        <stp>EH6066235 Govt</stp>
        <stp>YLD_CMPD_JPN_ASK_NOTRUNC</stp>
        <stp>[BondPricer-0.2.xlsm]JAPAN_JGB_TYPE51!R102C35</stp>
        <stp>PX_ASK=#N/A Requesting Data...</stp>
        <tr r="AI102" s="7"/>
      </tp>
      <tp t="s">
        <v>#N/A Invalid Override</v>
        <stp/>
        <stp>##V3_BDPV12</stp>
        <stp>ED4240013 Govt</stp>
        <stp>YLD_CMPD_JPN_ASK_NOTRUNC</stp>
        <stp>[BondPricer-0.2.xlsm]JAPAN_JGB_TYPE51!R158C35</stp>
        <stp>PX_ASK=#N/A Requesting Data...</stp>
        <tr r="AI158" s="7"/>
      </tp>
      <tp>
        <v>1.9937964921234785</v>
        <stp/>
        <stp>##V3_BDPV12</stp>
        <stp>JK8071041 Govt</stp>
        <stp>YLD_YTM_ASK</stp>
        <stp>[BondPricer-0.2.xlsm]FRENCH_BTAN_TYPE89!R240C13</stp>
        <tr r="M240" s="8"/>
      </tp>
      <tp>
        <v>1.7932729226296635</v>
        <stp/>
        <stp>##V3_BDPV12</stp>
        <stp>ED8307479 Govt</stp>
        <stp>YLD_YTM_ASK</stp>
        <stp>[BondPricer-0.2.xlsm]FRENCH_BTAN_TYPE89!R218C13</stp>
        <tr r="M218" s="8"/>
      </tp>
      <tp>
        <v>2.1196515602348143</v>
        <stp/>
        <stp>##V3_BDPV12</stp>
        <stp>JK8069441 Govt</stp>
        <stp>YLD_YTM_ASK</stp>
        <stp>[BondPricer-0.2.xlsm]FRENCH_BTAN_TYPE89!R235C13</stp>
        <tr r="M235" s="8"/>
      </tp>
      <tp>
        <v>9.3285897364660784</v>
        <stp/>
        <stp>##V3_BDPV12</stp>
        <stp>EH7034067 Govt</stp>
        <stp>YAS_MOD_DUR</stp>
        <stp>[BondPricer-0.2.xlsm]JAPAN_JGB_TYPE51!R103C28</stp>
        <stp>YLD_YTM_ASK=0.139000000000002</stp>
        <stp>YAS_YLD_CONV=3</stp>
        <tr r="AB103" s="7"/>
      </tp>
      <tp t="s">
        <v>#N/A Invalid Override</v>
        <stp/>
        <stp>##V3_BDPV12</stp>
        <stp>EJ9943964 Govt</stp>
        <stp>YLD_CMPD_JPN_ASK_NOTRUNC</stp>
        <stp>[BondPricer-0.2.xlsm]JAPAN_JGB_TYPE51!R155C35</stp>
        <stp>PX_ASK=#N/A Requesting Data...</stp>
        <tr r="AI155" s="7"/>
      </tp>
      <tp>
        <v>4.6027100094547588</v>
        <stp/>
        <stp>##V3_BDPV12</stp>
        <stp>EJ6177897 Govt</stp>
        <stp>DUR_ADJ_ASK</stp>
        <stp>[BondPricer-0.2.xlsm]FRENCH_BTAN_TYPE89!R41C27</stp>
        <stp>YLD_YTM_ASK=</stp>
        <stp>YAS_YLD_CONV=1</stp>
        <tr r="AA41" s="8"/>
      </tp>
      <tp t="s">
        <v>#N/A Invalid Override</v>
        <stp/>
        <stp>##V3_BDPV12</stp>
        <stp>EK4996816 Govt</stp>
        <stp>YLD_CMPD_JPN_ASK_NOTRUNC</stp>
        <stp>[BondPricer-0.2.xlsm]JAPAN_JGB_TYPE51!R161C35</stp>
        <stp>PX_ASK=#N/A Requesting Data...</stp>
        <tr r="AI161" s="7"/>
      </tp>
      <tp>
        <v>2.1118460039808218</v>
        <stp/>
        <stp>##V3_BDPV12</stp>
        <stp>JK8068849 Govt</stp>
        <stp>YLD_YTM_ASK</stp>
        <stp>[BondPricer-0.2.xlsm]FRENCH_BTAN_TYPE89!R230C13</stp>
        <tr r="M230" s="8"/>
      </tp>
      <tp>
        <v>1.4251939082283949</v>
        <stp/>
        <stp>##V3_BDPV12</stp>
        <stp>EF6782538 Govt</stp>
        <stp>YLD_YTM_ASK</stp>
        <stp>[BondPricer-0.2.xlsm]FRENCH_BTAN_TYPE89!R149C13</stp>
        <tr r="M149" s="8"/>
      </tp>
      <tp t="s">
        <v>#N/A Invalid Override</v>
        <stp/>
        <stp>##V3_BDPV12</stp>
        <stp>EF0212920 Govt</stp>
        <stp>YLD_CMPD_JPN_ASK_NOTRUNC</stp>
        <stp>[BondPricer-0.2.xlsm]JAPAN_JGB_TYPE51!R168C35</stp>
        <stp>PX_ASK=#N/A Requesting Data...</stp>
        <tr r="AI168" s="7"/>
      </tp>
      <tp>
        <v>11.419966560335837</v>
        <stp/>
        <stp>##V3_BDPV12</stp>
        <stp>EH7995887 Govt</stp>
        <stp>YAS_RISK</stp>
        <stp>[BondPricer-0.2.xlsm]JAPAN_JGB_TYPE51!R105C25</stp>
        <stp>YLD_YTM_ASK=0.149</stp>
        <stp>YAS_YLD_CONV=3</stp>
        <tr r="Y105" s="7"/>
      </tp>
      <tp>
        <v>22.155224161797094</v>
        <stp/>
        <stp>##V3_BDPV12</stp>
        <stp>EH7911181 Govt</stp>
        <stp>YAS_RISK</stp>
        <stp>[BondPricer-0.2.xlsm]JAPAN_JGB_TYPE51!R186C25</stp>
        <stp>YLD_YTM_ASK=0.609</stp>
        <stp>YAS_YLD_CONV=3</stp>
        <tr r="Y186" s="7"/>
      </tp>
      <tp>
        <v>14.462464994723945</v>
        <stp/>
        <stp>##V3_BDPV12</stp>
        <stp>EJ0963383 Govt</stp>
        <stp>YAS_RISK</stp>
        <stp>[BondPricer-0.2.xlsm]JAPAN_JGB_TYPE51!R137C25</stp>
        <stp>YLD_YTM_ASK=0.298</stp>
        <stp>YAS_YLD_CONV=3</stp>
        <tr r="Y137" s="7"/>
      </tp>
      <tp>
        <v>-0.10199999999999729</v>
        <stp/>
        <stp>##V3_BDPV12</stp>
        <stp>EJ1749369 Govt</stp>
        <stp>YLD_YTM_ASK</stp>
        <stp>[BondPricer-0.2.xlsm]JAPAN_JGB_TYPE51!R27C13</stp>
        <tr r="M27" s="7"/>
      </tp>
      <tp>
        <v>3.2000000000000639E-2</v>
        <stp/>
        <stp>##V3_BDPV12</stp>
        <stp>EF6592994 Govt</stp>
        <stp>YLD_YTM_ASK</stp>
        <stp>[BondPricer-0.2.xlsm]JAPAN_JGB_TYPE51!R83C13</stp>
        <tr r="M83" s="7"/>
      </tp>
      <tp>
        <v>-3.0999999999999642E-2</v>
        <stp/>
        <stp>##V3_BDPV12</stp>
        <stp>EK4690054 Govt</stp>
        <stp>YLD_YTM_ASK</stp>
        <stp>[BondPricer-0.2.xlsm]JAPAN_JGB_TYPE51!R57C13</stp>
        <tr r="M57" s="7"/>
      </tp>
      <tp>
        <v>-9.3000000000003566E-2</v>
        <stp/>
        <stp>##V3_BDPV12</stp>
        <stp>EJ3490954 Govt</stp>
        <stp>YLD_YTM_ASK</stp>
        <stp>[BondPricer-0.2.xlsm]JAPAN_JGB_TYPE51!R33C13</stp>
        <tr r="M33" s="7"/>
      </tp>
      <tp>
        <v>-0.10400000000000008</v>
        <stp/>
        <stp>##V3_BDPV12</stp>
        <stp>EI8951218 Govt</stp>
        <stp>YLD_YTM_ASK</stp>
        <stp>[BondPricer-0.2.xlsm]JAPAN_JGB_TYPE51!R22C13</stp>
        <tr r="M22" s="7"/>
      </tp>
      <tp>
        <v>-0.40830109976496837</v>
        <stp/>
        <stp>##V3_BDPV12</stp>
        <stp>EI8792380 Govt</stp>
        <stp>YLD_YTM_ASK</stp>
        <stp>[BondPricer-0.2.xlsm]GERMAN_BUND_TYPE60!R10C13</stp>
        <tr r="M10" s="6"/>
      </tp>
      <tp>
        <v>-0.58167490342709738</v>
        <stp/>
        <stp>##V3_BDPV12</stp>
        <stp>EI4719627 Govt</stp>
        <stp>YLD_YTM_ASK</stp>
        <stp>[BondPricer-0.2.xlsm]GERMAN_BUND_TYPE60!R7C13</stp>
        <tr r="M7" s="6"/>
      </tp>
      <tp>
        <v>-3.0042848994217674E-2</v>
        <stp/>
        <stp>##V3_BDPV12</stp>
        <stp>EK2728906 Govt</stp>
        <stp>YLD_YTM_ASK</stp>
        <stp>[BondPricer-0.2.xlsm]GERMAN_BUND_TYPE60!R18C13</stp>
        <tr r="M18" s="6"/>
      </tp>
      <tp>
        <v>3.5031567733405211</v>
        <stp/>
        <stp>##V3_BDPV12</stp>
        <stp>EJ0489983 Govt</stp>
        <stp>YAS_RISK</stp>
        <stp>[BondPricer-0.2.xlsm]JAPAN_JGB_TYPE51!R26C25</stp>
        <stp>YLD_YTM_ASK=-0.102</stp>
        <stp>YAS_YLD_CONV=3</stp>
        <tr r="Y26" s="7"/>
      </tp>
      <tp>
        <v>0.5746844339674605</v>
        <stp/>
        <stp>##V3_BDPV12</stp>
        <stp>EC3022802 Govt</stp>
        <stp>YLD_YTM_ASK</stp>
        <stp>[BondPricer-0.2.xlsm]GERMAN_BUND_TYPE60!R29C13</stp>
        <tr r="M29" s="6"/>
      </tp>
      <tp>
        <v>1.1854814864163954</v>
        <stp/>
        <stp>##V3_BDPV12</stp>
        <stp>EJ6185346 Govt</stp>
        <stp>YLD_YTM_ASK</stp>
        <stp>[BondPricer-0.2.xlsm]FRENCH_BTAN_TYPE89!R120C13</stp>
        <tr r="M120" s="8"/>
      </tp>
      <tp>
        <v>1.5038483566842897</v>
        <stp/>
        <stp>##V3_BDPV12</stp>
        <stp>EJ6186146 Govt</stp>
        <stp>YLD_YTM_ASK</stp>
        <stp>[BondPricer-0.2.xlsm]FRENCH_BTAN_TYPE89!R157C13</stp>
        <tr r="M157" s="8"/>
      </tp>
      <tp>
        <v>1.4601221478086179</v>
        <stp/>
        <stp>##V3_BDPV12</stp>
        <stp>EJ6186047 Govt</stp>
        <stp>YLD_YTM_ASK</stp>
        <stp>[BondPricer-0.2.xlsm]FRENCH_BTAN_TYPE89!R152C13</stp>
        <tr r="M152" s="8"/>
      </tp>
      <tp>
        <v>1.6020125088302306</v>
        <stp/>
        <stp>##V3_BDPV12</stp>
        <stp>EJ6186344 Govt</stp>
        <stp>YLD_YTM_ASK</stp>
        <stp>[BondPricer-0.2.xlsm]FRENCH_BTAN_TYPE89!R168C13</stp>
        <tr r="M168" s="8"/>
      </tp>
      <tp>
        <v>1.643035288629946</v>
        <stp/>
        <stp>##V3_BDPV12</stp>
        <stp>ED8390566 Govt</stp>
        <stp>YLD_YTM_ASK</stp>
        <stp>[BondPricer-0.2.xlsm]FRENCH_BTAN_TYPE89!R216C13</stp>
        <tr r="M216" s="8"/>
      </tp>
      <tp t="s">
        <v>#N/A Invalid Override</v>
        <stp/>
        <stp>##V3_BDPV12</stp>
        <stp>EI0835450 Govt</stp>
        <stp>YLD_CMPD_JPN_ASK_NOTRUNC</stp>
        <stp>[BondPricer-0.2.xlsm]JAPAN_JGB_TYPE51!R111C35</stp>
        <stp>PX_ASK=#N/A Requesting Data...</stp>
        <tr r="AI111" s="7"/>
      </tp>
      <tp>
        <v>10.326899938383521</v>
        <stp/>
        <stp>##V3_BDPV12</stp>
        <stp>EI2321434 Govt</stp>
        <stp>YAS_MOD_DUR</stp>
        <stp>[BondPricer-0.2.xlsm]JAPAN_JGB_TYPE51!R114C28</stp>
        <stp>YLD_YTM_ASK=0.194000000000001</stp>
        <stp>YAS_YLD_CONV=3</stp>
        <tr r="AB114" s="7"/>
      </tp>
      <tp>
        <v>1.2433473690137919</v>
        <stp/>
        <stp>##V3_BDPV12</stp>
        <stp>EJ6185445 Govt</stp>
        <stp>YLD_YTM_ASK</stp>
        <stp>[BondPricer-0.2.xlsm]FRENCH_BTAN_TYPE89!R127C13</stp>
        <tr r="M127" s="8"/>
      </tp>
      <tp>
        <v>1.5415411041713512</v>
        <stp/>
        <stp>##V3_BDPV12</stp>
        <stp>EJ6186245 Govt</stp>
        <stp>YLD_YTM_ASK</stp>
        <stp>[BondPricer-0.2.xlsm]FRENCH_BTAN_TYPE89!R164C13</stp>
        <tr r="M164" s="8"/>
      </tp>
      <tp>
        <v>13.594228107908178</v>
        <stp/>
        <stp>##V3_BDPV12</stp>
        <stp>ED6591066 Govt</stp>
        <stp>YAS_MOD_DUR</stp>
        <stp>[BondPricer-0.2.xlsm]JAPAN_JGB_TYPE51!R162C28</stp>
        <stp>YLD_YTM_ASK=0.408000000000001</stp>
        <stp>YAS_YLD_CONV=3</stp>
        <tr r="AB162" s="7"/>
      </tp>
      <tp>
        <v>10.285731546712643</v>
        <stp/>
        <stp>##V3_BDPV12</stp>
        <stp>EI1908785 Govt</stp>
        <stp>YAS_MOD_DUR</stp>
        <stp>[BondPricer-0.2.xlsm]JAPAN_JGB_TYPE51!R115C28</stp>
        <stp>YLD_YTM_ASK=0.194000000000001</stp>
        <stp>YAS_YLD_CONV=3</stp>
        <tr r="AB115" s="7"/>
      </tp>
      <tp>
        <v>1.4447135094289854</v>
        <stp/>
        <stp>##V3_BDPV12</stp>
        <stp>EI0430518 Govt</stp>
        <stp>YLD_YTM_ASK</stp>
        <stp>[BondPricer-0.2.xlsm]FRENCH_BTAN_TYPE89!R153C13</stp>
        <tr r="M153" s="8"/>
      </tp>
      <tp>
        <v>1.4613319351922411</v>
        <stp/>
        <stp>##V3_BDPV12</stp>
        <stp>EH8786723 Govt</stp>
        <stp>YLD_YTM_ASK</stp>
        <stp>[BondPricer-0.2.xlsm]FRENCH_BTAN_TYPE89!R169C13</stp>
        <tr r="M169" s="8"/>
      </tp>
      <tp>
        <v>1.4613319351922411</v>
        <stp/>
        <stp>##V3_BDPV12</stp>
        <stp>EH8786723 Govt</stp>
        <stp>YLD_YTM_ASK</stp>
        <stp>[BondPricer-0.2.xlsm]FRENCH_BTAN_TYPE89!R173C13</stp>
        <tr r="M173" s="8"/>
      </tp>
      <tp>
        <v>1.4613319351922411</v>
        <stp/>
        <stp>##V3_BDPV12</stp>
        <stp>EH8786723 Govt</stp>
        <stp>YLD_YTM_ASK</stp>
        <stp>[BondPricer-0.2.xlsm]FRENCH_BTAN_TYPE89!R174C13</stp>
        <tr r="M174" s="8"/>
      </tp>
      <tp>
        <v>1.7441682374085055</v>
        <stp/>
        <stp>##V3_BDPV12</stp>
        <stp>EI0432118 Govt</stp>
        <stp>YLD_YTM_ASK</stp>
        <stp>[BondPricer-0.2.xlsm]FRENCH_BTAN_TYPE89!R182C13</stp>
        <tr r="M182" s="8"/>
      </tp>
      <tp>
        <v>1.3561420495517451</v>
        <stp/>
        <stp>##V3_BDPV12</stp>
        <stp>EJ6185841 Govt</stp>
        <stp>YLD_YTM_ASK</stp>
        <stp>[BondPricer-0.2.xlsm]FRENCH_BTAN_TYPE89!R139C13</stp>
        <tr r="M139" s="8"/>
      </tp>
      <tp>
        <v>1.6298464591281148</v>
        <stp/>
        <stp>##V3_BDPV12</stp>
        <stp>ED8389162 Govt</stp>
        <stp>YLD_YTM_ASK</stp>
        <stp>[BondPricer-0.2.xlsm]FRENCH_BTAN_TYPE89!R201C13</stp>
        <tr r="M201" s="8"/>
      </tp>
      <tp>
        <v>1.6560726549356142</v>
        <stp/>
        <stp>##V3_BDPV12</stp>
        <stp>EJ6186641 Govt</stp>
        <stp>YLD_YTM_ASK</stp>
        <stp>[BondPricer-0.2.xlsm]FRENCH_BTAN_TYPE89!R175C13</stp>
        <tr r="M175" s="8"/>
      </tp>
      <tp>
        <v>1.1247793262702199</v>
        <stp/>
        <stp>##V3_BDPV12</stp>
        <stp>EI0429114 Govt</stp>
        <stp>YLD_YTM_ASK</stp>
        <stp>[BondPricer-0.2.xlsm]FRENCH_BTAN_TYPE89!R116C13</stp>
        <tr r="M116" s="8"/>
      </tp>
      <tp t="s">
        <v>#N/A Invalid Override</v>
        <stp/>
        <stp>##V3_BDPV12</stp>
        <stp>EI8055663 Govt</stp>
        <stp>YLD_CMPD_JPN_ASK_NOTRUNC</stp>
        <stp>[BondPricer-0.2.xlsm]JAPAN_JGB_TYPE51!R191C35</stp>
        <stp>PX_ASK=#N/A Requesting Data...</stp>
        <tr r="AI191" s="7"/>
      </tp>
      <tp>
        <v>1.5814374277123733</v>
        <stp/>
        <stp>##V3_BDPV12</stp>
        <stp>EI0431714 Govt</stp>
        <stp>YLD_YTM_ASK</stp>
        <stp>[BondPricer-0.2.xlsm]FRENCH_BTAN_TYPE89!R166C13</stp>
        <tr r="M166" s="8"/>
      </tp>
      <tp>
        <v>1.8967045750532874</v>
        <stp/>
        <stp>##V3_BDPV12</stp>
        <stp>EI0432514 Govt</stp>
        <stp>YLD_YTM_ASK</stp>
        <stp>[BondPricer-0.2.xlsm]FRENCH_BTAN_TYPE89!R203C13</stp>
        <tr r="M203" s="8"/>
      </tp>
      <tp>
        <v>1.38151023875559</v>
        <stp/>
        <stp>##V3_BDPV12</stp>
        <stp>EI0431516 Govt</stp>
        <stp>YLD_YTM_ASK</stp>
        <stp>[BondPricer-0.2.xlsm]FRENCH_BTAN_TYPE89!R142C13</stp>
        <tr r="M142" s="8"/>
      </tp>
      <tp>
        <v>1.3468617974248802</v>
        <stp/>
        <stp>##V3_BDPV12</stp>
        <stp>JK7596303 Govt</stp>
        <stp>YLD_YTM_ASK</stp>
        <stp>[BondPricer-0.2.xlsm]FRENCH_BTAN_TYPE89!R147C13</stp>
        <tr r="M147" s="8"/>
      </tp>
      <tp>
        <v>1.3468617974248802</v>
        <stp/>
        <stp>##V3_BDPV12</stp>
        <stp>JK7596303 Govt</stp>
        <stp>YLD_YTM_ASK</stp>
        <stp>[BondPricer-0.2.xlsm]FRENCH_BTAN_TYPE89!R146C13</stp>
        <tr r="M146" s="8"/>
      </tp>
      <tp>
        <v>1.3468617974248802</v>
        <stp/>
        <stp>##V3_BDPV12</stp>
        <stp>JK7596303 Govt</stp>
        <stp>YLD_YTM_ASK</stp>
        <stp>[BondPricer-0.2.xlsm]FRENCH_BTAN_TYPE89!R144C13</stp>
        <tr r="M144" s="8"/>
      </tp>
      <tp>
        <v>1.3153266177410528</v>
        <stp/>
        <stp>##V3_BDPV12</stp>
        <stp>EI0429510 Govt</stp>
        <stp>YLD_YTM_ASK</stp>
        <stp>[BondPricer-0.2.xlsm]FRENCH_BTAN_TYPE89!R136C13</stp>
        <tr r="M136" s="8"/>
      </tp>
      <tp>
        <v>14.75669340685552</v>
        <stp/>
        <stp>##V3_BDPV12</stp>
        <stp>EK6660931 Govt</stp>
        <stp>YAS_MOD_DUR</stp>
        <stp>[BondPricer-0.2.xlsm]JAPAN_JGB_TYPE51!R163C28</stp>
        <stp>YLD_YTM_ASK=0.450999999999999</stp>
        <stp>YAS_YLD_CONV=3</stp>
        <tr r="AB163" s="7"/>
      </tp>
      <tp t="s">
        <v>#N/A Invalid Override</v>
        <stp/>
        <stp>##V3_BDPV12</stp>
        <stp>EJ8434395 Govt</stp>
        <stp>YLD_CMPD_JPN_ASK_NOTRUNC</stp>
        <stp>[BondPricer-0.2.xlsm]JAPAN_JGB_TYPE51!R153C35</stp>
        <stp>PX_ASK=#N/A Requesting Data...</stp>
        <tr r="AI153" s="7"/>
      </tp>
      <tp>
        <v>1.9644817037775431</v>
        <stp/>
        <stp>##V3_BDPV12</stp>
        <stp>EI0432910 Govt</stp>
        <stp>YLD_YTM_ASK</stp>
        <stp>[BondPricer-0.2.xlsm]FRENCH_BTAN_TYPE89!R209C13</stp>
        <tr r="M209" s="8"/>
      </tp>
      <tp>
        <v>1.727640680540321</v>
        <stp/>
        <stp>##V3_BDPV12</stp>
        <stp>EJ6186948 Govt</stp>
        <stp>YLD_YTM_ASK</stp>
        <stp>[BondPricer-0.2.xlsm]FRENCH_BTAN_TYPE89!R188C13</stp>
        <tr r="M188" s="8"/>
      </tp>
      <tp>
        <v>0.95337611430423852</v>
        <stp/>
        <stp>##V3_BDPV12</stp>
        <stp>EJ6178747 Govt</stp>
        <stp>YLD_YTM_ASK</stp>
        <stp>[BondPricer-0.2.xlsm]FRENCH_BTAN_TYPE89!R100C13</stp>
        <tr r="M100" s="8"/>
      </tp>
      <tp>
        <v>1.6345107121650049</v>
        <stp/>
        <stp>##V3_BDPV12</stp>
        <stp>EI0431912 Govt</stp>
        <stp>YLD_YTM_ASK</stp>
        <stp>[BondPricer-0.2.xlsm]FRENCH_BTAN_TYPE89!R170C13</stp>
        <tr r="M170" s="8"/>
      </tp>
      <tp>
        <v>1.7554237606488776</v>
        <stp/>
        <stp>##V3_BDPV12</stp>
        <stp>EJ6186849 Govt</stp>
        <stp>YLD_YTM_ASK</stp>
        <stp>[BondPricer-0.2.xlsm]FRENCH_BTAN_TYPE89!R184C13</stp>
        <tr r="M184" s="8"/>
      </tp>
      <tp>
        <v>20.333833982219573</v>
        <stp/>
        <stp>##V3_BDPV12</stp>
        <stp>EG3757374 Govt</stp>
        <stp>YAS_RISK</stp>
        <stp>[BondPricer-0.2.xlsm]JAPAN_JGB_TYPE51!R182C25</stp>
        <stp>YLD_YTM_ASK=0.528</stp>
        <stp>YAS_YLD_CONV=3</stp>
        <tr r="Y182" s="7"/>
      </tp>
      <tp>
        <v>24.430841212067378</v>
        <stp/>
        <stp>##V3_BDPV12</stp>
        <stp>EJ0538250 Govt</stp>
        <stp>YAS_RISK</stp>
        <stp>[BondPricer-0.2.xlsm]JAPAN_JGB_TYPE51!R192C25</stp>
        <stp>YLD_YTM_ASK=0.695</stp>
        <stp>YAS_YLD_CONV=3</stp>
        <tr r="Y192" s="7"/>
      </tp>
      <tp>
        <v>15.105128918374788</v>
        <stp/>
        <stp>##V3_BDPV12</stp>
        <stp>EC5650865 Govt</stp>
        <stp>YAS_RISK</stp>
        <stp>[BondPricer-0.2.xlsm]JAPAN_JGB_TYPE51!R139C25</stp>
        <stp>YLD_YTM_ASK=0.297</stp>
        <stp>YAS_YLD_CONV=3</stp>
        <tr r="Y139" s="7"/>
      </tp>
      <tp>
        <v>17.595867546219779</v>
        <stp/>
        <stp>##V3_BDPV12</stp>
        <stp>ED5806184 Govt</stp>
        <stp>YAS_RISK</stp>
        <stp>[BondPricer-0.2.xlsm]JAPAN_JGB_TYPE51!R160C25</stp>
        <stp>YLD_YTM_ASK=0.397</stp>
        <stp>YAS_YLD_CONV=3</stp>
        <tr r="Y160" s="7"/>
      </tp>
      <tp>
        <v>13.297443342347748</v>
        <stp/>
        <stp>##V3_BDPV12</stp>
        <stp>EI5876087 Govt</stp>
        <stp>YAS_RISK</stp>
        <stp>[BondPricer-0.2.xlsm]JAPAN_JGB_TYPE51!R124C25</stp>
        <stp>YLD_YTM_ASK=0.234</stp>
        <stp>YAS_YLD_CONV=3</stp>
        <tr r="Y124" s="7"/>
      </tp>
      <tp>
        <v>11.705397716208665</v>
        <stp/>
        <stp>##V3_BDPV12</stp>
        <stp>EH9141712 Govt</stp>
        <stp>YAS_RISK</stp>
        <stp>[BondPricer-0.2.xlsm]JAPAN_JGB_TYPE51!R107C25</stp>
        <stp>YLD_YTM_ASK=0.159</stp>
        <stp>YAS_YLD_CONV=3</stp>
        <tr r="Y107" s="7"/>
      </tp>
      <tp>
        <v>2.9239505372037766</v>
        <stp/>
        <stp>##V3_BDPV12</stp>
        <stp>QZ4977943 Govt</stp>
        <stp>YAS_MOD_DUR</stp>
        <stp>[BondPricer-0.2.xlsm]JAPAN_JGB_TYPE51!R16C28</stp>
        <stp>YLD_YTM_ASK=-0.113999999999995</stp>
        <stp>YAS_YLD_CONV=3</stp>
        <tr r="AB16" s="7"/>
      </tp>
      <tp>
        <v>2.6353541083674292</v>
        <stp/>
        <stp>##V3_BDPV12</stp>
        <stp>EI7714344 Govt</stp>
        <stp>YAS_MOD_DUR</stp>
        <stp>[BondPricer-0.2.xlsm]JAPAN_JGB_TYPE51!R14C28</stp>
        <stp>YLD_YTM_ASK=-0.115000000000001</stp>
        <stp>YAS_YLD_CONV=3</stp>
        <tr r="AB14" s="7"/>
      </tp>
      <tp>
        <v>6.1000000000000887E-2</v>
        <stp/>
        <stp>##V3_BDPV12</stp>
        <stp>EG2785954 Govt</stp>
        <stp>YLD_YTM_ASK</stp>
        <stp>[BondPricer-0.2.xlsm]JAPAN_JGB_TYPE51!R90C13</stp>
        <tr r="M90" s="7"/>
      </tp>
      <tp>
        <v>-0.12</v>
        <stp/>
        <stp>##V3_BDPV12</stp>
        <stp>EC4285754 Govt</stp>
        <stp>YLD_YTM_ASK</stp>
        <stp>[BondPricer-0.2.xlsm]JAPAN_JGB_TYPE51!R15C13</stp>
        <tr r="M15" s="7"/>
      </tp>
      <tp>
        <v>0.11400000000000081</v>
        <stp/>
        <stp>##V3_BDPV12</stp>
        <stp>EH5285554 Govt</stp>
        <stp>YLD_YTM_ASK</stp>
        <stp>[BondPricer-0.2.xlsm]JAPAN_JGB_TYPE51!R99C13</stp>
        <tr r="M99" s="7"/>
      </tp>
      <tp>
        <v>12.219195325177919</v>
        <stp/>
        <stp>##V3_BDPV12</stp>
        <stp>EJ2136277 Govt</stp>
        <stp>YAS_MOD_DUR</stp>
        <stp>[BondPricer-0.2.xlsm]JAPAN_JGB_TYPE51!R136C28</stp>
        <stp>YLD_YTM_ASK=0.3</stp>
        <stp>YAS_YLD_CONV=3</stp>
        <tr r="AB136" s="7"/>
      </tp>
      <tp>
        <v>2.3965691658802903</v>
        <stp/>
        <stp>##V3_BDPV12</stp>
        <stp>EI6755942 Govt</stp>
        <stp>YAS_MOD_DUR</stp>
        <stp>[BondPricer-0.2.xlsm]JAPAN_JGB_TYPE51!R7C28</stp>
        <stp>YLD_YTM_ASK=-0.118999999999993</stp>
        <stp>YAS_YLD_CONV=3</stp>
        <tr r="AB7" s="7"/>
      </tp>
      <tp>
        <v>41.223818730291981</v>
        <stp/>
        <stp>##V3_BDPV12</stp>
        <stp>AN2021185 Govt</stp>
        <stp>DUR_ADJ_ASK</stp>
        <stp>[BondPricer-0.2.xlsm]ITALIAN_BTPS_TYPE523!R198C29</stp>
        <stp>YLD_YTM_ASK=4.000695608621</stp>
        <stp>YAS_YLD_CONV=1</stp>
        <tr r="AC198" s="5"/>
      </tp>
      <tp>
        <v>3.1434526321909573</v>
        <stp/>
        <stp>##V3_BDPV12</stp>
        <stp>EK3918381 Govt</stp>
        <stp>YAS_RISK</stp>
        <stp>[BondPricer-0.2.xlsm]FRENCH_BTAN_TYPE89!R20C24</stp>
        <stp>YLD_YTM_ASK=-0.284790295013626</stp>
        <stp>YAS_YLD_CONV=1</stp>
        <tr r="X20" s="8"/>
      </tp>
      <tp t="s">
        <v>#N/A Invalid Override</v>
        <stp/>
        <stp>##V3_BDPV12</stp>
        <stp>EI6924050 Govt</stp>
        <stp>YLD_CMPD_JPN_ASK_NOTRUNC</stp>
        <stp>[BondPricer-0.2.xlsm]JAPAN_JGB_TYPE51!R127C35</stp>
        <stp>PX_ASK=#N/A Requesting Data...</stp>
        <tr r="AI127" s="7"/>
      </tp>
      <tp t="s">
        <v>#N/A Invalid Override</v>
        <stp/>
        <stp>##V3_BDPV12</stp>
        <stp>EI7953108 Govt</stp>
        <stp>YLD_CMPD_JPN_ASK_NOTRUNC</stp>
        <stp>[BondPricer-0.2.xlsm]JAPAN_JGB_TYPE51!R130C35</stp>
        <stp>PX_ASK=#N/A Requesting Data...</stp>
        <tr r="AI130" s="7"/>
      </tp>
      <tp t="s">
        <v>#N/A Invalid Override</v>
        <stp/>
        <stp>##V3_BDPV12</stp>
        <stp>EJ3001454 Govt</stp>
        <stp>YLD_CMPD_JPN_ASK_NOTRUNC</stp>
        <stp>[BondPricer-0.2.xlsm]JAPAN_JGB_TYPE51!R141C35</stp>
        <stp>PX_ASK=#N/A Requesting Data...</stp>
        <tr r="AI141" s="7"/>
      </tp>
      <tp>
        <v>10.128047706776634</v>
        <stp/>
        <stp>##V3_BDPV12</stp>
        <stp>EC2220316 Govt</stp>
        <stp>YAS_MOD_DUR</stp>
        <stp>[BondPricer-0.2.xlsm]JAPAN_JGB_TYPE51!R113C28</stp>
        <stp>YLD_YTM_ASK=0.188000000000001</stp>
        <stp>YAS_YLD_CONV=3</stp>
        <tr r="AB113" s="7"/>
      </tp>
      <tp t="s">
        <v>#N/A Invalid Override</v>
        <stp/>
        <stp>##V3_BDPV12</stp>
        <stp>EJ3633405 Govt</stp>
        <stp>YLD_CMPD_JPN_ASK_NOTRUNC</stp>
        <stp>[BondPricer-0.2.xlsm]JAPAN_JGB_TYPE51!R143C35</stp>
        <stp>PX_ASK=#N/A Requesting Data...</stp>
        <tr r="AI143" s="7"/>
      </tp>
      <tp>
        <v>14.080311419297111</v>
        <stp/>
        <stp>##V3_BDPV12</stp>
        <stp>EK3390219 Govt</stp>
        <stp>YAS_MOD_DUR</stp>
        <stp>[BondPricer-0.2.xlsm]JAPAN_JGB_TYPE51!R159C28</stp>
        <stp>YLD_YTM_ASK=0.419000000000001</stp>
        <stp>YAS_YLD_CONV=3</stp>
        <tr r="AB159" s="7"/>
      </tp>
      <tp t="s">
        <v>#N/A Invalid Override</v>
        <stp/>
        <stp>##V3_BDPV12</stp>
        <stp>EI6535294 Govt</stp>
        <stp>YLD_CMPD_JPN_ASK_NOTRUNC</stp>
        <stp>[BondPricer-0.2.xlsm]JAPAN_JGB_TYPE51!R126C35</stp>
        <stp>PX_ASK=#N/A Requesting Data...</stp>
        <tr r="AI126" s="7"/>
      </tp>
      <tp>
        <v>18.611597951154124</v>
        <stp/>
        <stp>##V3_BDPV12</stp>
        <stp>QZ7665156 Govt</stp>
        <stp>YAS_RISK</stp>
        <stp>[BondPricer-0.2.xlsm]ITALIAN_BTPS_TYPE523!R209C26</stp>
        <stp>YLD_YTM_ASK=3.7323265755516</stp>
        <stp>YAS_YLD_CONV=33</stp>
        <tr r="Z209" s="5"/>
      </tp>
      <tp>
        <v>1.9224921198452982</v>
        <stp/>
        <stp>##V3_BDPV12</stp>
        <stp>JK8068120 Govt</stp>
        <stp>YLD_YTM_ASK</stp>
        <stp>[BondPricer-0.2.xlsm]FRENCH_BTAN_TYPE89!R202C13</stp>
        <tr r="M202" s="8"/>
      </tp>
      <tp t="s">
        <v>#N/A Invalid Override</v>
        <stp/>
        <stp>##V3_BDPV12</stp>
        <stp>EJ5939602 Govt</stp>
        <stp>YLD_CMPD_JPN_ASK_NOTRUNC</stp>
        <stp>[BondPricer-0.2.xlsm]JAPAN_JGB_TYPE51!R149C35</stp>
        <stp>PX_ASK=#N/A Requesting Data...</stp>
        <tr r="AI149" s="7"/>
      </tp>
      <tp>
        <v>3.3677499226010235</v>
        <stp/>
        <stp>##V3_BDPV12</stp>
        <stp>EJ0036891 Govt</stp>
        <stp>DUR_ADJ_ASK</stp>
        <stp>[BondPricer-0.2.xlsm]FRENCH_BTAN_TYPE89!R22C27</stp>
        <stp>YLD_YTM_ASK=</stp>
        <stp>YAS_YLD_CONV=1</stp>
        <tr r="AA22" s="8"/>
      </tp>
      <tp t="s">
        <v>#N/A Invalid Override</v>
        <stp/>
        <stp>##V3_BDPV12</stp>
        <stp>EJ2136277 Govt</stp>
        <stp>YLD_CMPD_JPN_ASK_NOTRUNC</stp>
        <stp>[BondPricer-0.2.xlsm]JAPAN_JGB_TYPE51!R136C35</stp>
        <stp>PX_ASK=#N/A Requesting Data...</stp>
        <tr r="AI136" s="7"/>
      </tp>
      <tp>
        <v>17.10699335078893</v>
        <stp/>
        <stp>##V3_BDPV12</stp>
        <stp>QZ5415422 Govt</stp>
        <stp>YAS_MOD_DUR</stp>
        <stp>[BondPricer-0.2.xlsm]JAPAN_JGB_TYPE51!R177C28</stp>
        <stp>YLD_YTM_ASK=0.576000000000001</stp>
        <stp>YAS_YLD_CONV=3</stp>
        <tr r="AB177" s="7"/>
      </tp>
      <tp t="s">
        <v>#N/A Invalid Override</v>
        <stp/>
        <stp>##V3_BDPV12</stp>
        <stp>EI5130493 Govt</stp>
        <stp>YLD_CMPD_JPN_ASK_NOTRUNC</stp>
        <stp>[BondPricer-0.2.xlsm]JAPAN_JGB_TYPE51!R123C35</stp>
        <stp>PX_ASK=#N/A Requesting Data...</stp>
        <tr r="AI123" s="7"/>
      </tp>
      <tp>
        <v>4.0269484967734011</v>
        <stp/>
        <stp>##V3_BDPV12</stp>
        <stp>EI0428835 Govt</stp>
        <stp>DUR_ADJ_ASK</stp>
        <stp>[BondPricer-0.2.xlsm]FRENCH_BTAN_TYPE89!R33C27</stp>
        <stp>YLD_YTM_ASK=</stp>
        <stp>YAS_YLD_CONV=1</stp>
        <tr r="AA33" s="8"/>
      </tp>
      <tp>
        <v>3.5285650582944048</v>
        <stp/>
        <stp>##V3_BDPV12</stp>
        <stp>EI0418810 Govt</stp>
        <stp>DUR_ADJ_ASK</stp>
        <stp>[BondPricer-0.2.xlsm]FRENCH_BTAN_TYPE89!R24C27</stp>
        <stp>YLD_YTM_ASK=</stp>
        <stp>YAS_YLD_CONV=1</stp>
        <tr r="AA24" s="8"/>
      </tp>
      <tp t="s">
        <v>#N/A Invalid Override</v>
        <stp/>
        <stp>##V3_BDPV12</stp>
        <stp>EC5650865 Govt</stp>
        <stp>YLD_CMPD_JPN_ASK_NOTRUNC</stp>
        <stp>[BondPricer-0.2.xlsm]JAPAN_JGB_TYPE51!R139C35</stp>
        <stp>PX_ASK=#N/A Requesting Data...</stp>
        <tr r="AI139" s="7"/>
      </tp>
      <tp>
        <v>7.9765065777005137</v>
        <stp/>
        <stp>##V3_BDPV12</stp>
        <stp>EI0428876 Govt</stp>
        <stp>DUR_ADJ_ASK</stp>
        <stp>[BondPricer-0.2.xlsm]FRENCH_BTAN_TYPE89!R78C27</stp>
        <stp>YLD_YTM_ASK=</stp>
        <stp>YAS_YLD_CONV=1</stp>
        <tr r="AA78" s="8"/>
      </tp>
      <tp t="s">
        <v>#N/A Invalid Override</v>
        <stp/>
        <stp>##V3_BDPV12</stp>
        <stp>EH3146931 Govt</stp>
        <stp>YLD_CMPD_JPN_ASK_NOTRUNC</stp>
        <stp>[BondPricer-0.2.xlsm]JAPAN_JGB_TYPE51!R184C35</stp>
        <stp>PX_ASK=#N/A Requesting Data...</stp>
        <tr r="AI184" s="7"/>
      </tp>
      <tp>
        <v>1.9924757759908207</v>
        <stp/>
        <stp>##V3_BDPV12</stp>
        <stp>JK8068229 Govt</stp>
        <stp>YLD_YTM_ASK</stp>
        <stp>[BondPricer-0.2.xlsm]FRENCH_BTAN_TYPE89!R208C13</stp>
        <tr r="M208" s="8"/>
      </tp>
      <tp t="s">
        <v>#N/A Invalid Override</v>
        <stp/>
        <stp>##V3_BDPV12</stp>
        <stp>EI3854854 Govt</stp>
        <stp>YLD_CMPD_JPN_ASK_NOTRUNC</stp>
        <stp>[BondPricer-0.2.xlsm]JAPAN_JGB_TYPE51!R117C35</stp>
        <stp>PX_ASK=#N/A Requesting Data...</stp>
        <tr r="AI117" s="7"/>
      </tp>
      <tp>
        <v>4.5210381230376449</v>
        <stp/>
        <stp>##V3_BDPV12</stp>
        <stp>EI0418851 Govt</stp>
        <stp>DUR_ADJ_ASK</stp>
        <stp>[BondPricer-0.2.xlsm]FRENCH_BTAN_TYPE89!R38C27</stp>
        <stp>YLD_YTM_ASK=</stp>
        <stp>YAS_YLD_CONV=1</stp>
        <tr r="AA38" s="8"/>
      </tp>
      <tp>
        <v>8.5163537273555079</v>
        <stp/>
        <stp>##V3_BDPV12</stp>
        <stp>EH2420956 Govt</stp>
        <stp>YAS_RISK</stp>
        <stp>[BondPricer-0.2.xlsm]ITALIAN_BTPS_TYPE523!R137C26</stp>
        <stp>YLD_YTM_ASK=4.1392861813043</stp>
        <stp>YAS_YLD_CONV=33</stp>
        <tr r="Z137" s="5"/>
      </tp>
      <tp t="s">
        <v>#N/A Invalid Override</v>
        <stp/>
        <stp>##V3_BDPV12</stp>
        <stp>EJ0014849 Govt</stp>
        <stp>YLD_CMPD_JPN_ASK_NOTRUNC</stp>
        <stp>[BondPricer-0.2.xlsm]JAPAN_JGB_TYPE51!R134C35</stp>
        <stp>PX_ASK=#N/A Requesting Data...</stp>
        <tr r="AI134" s="7"/>
      </tp>
      <tp>
        <v>13.939240862449509</v>
        <stp/>
        <stp>##V3_BDPV12</stp>
        <stp>EI8131969 Govt</stp>
        <stp>YAS_RISK</stp>
        <stp>[BondPricer-0.2.xlsm]JAPAN_JGB_TYPE51!R131C25</stp>
        <stp>YLD_YTM_ASK=0.275</stp>
        <stp>YAS_YLD_CONV=3</stp>
        <tr r="Y131" s="7"/>
      </tp>
      <tp>
        <v>12.32780485738374</v>
        <stp/>
        <stp>##V3_BDPV12</stp>
        <stp>EI1590526 Govt</stp>
        <stp>YAS_RISK</stp>
        <stp>[BondPricer-0.2.xlsm]JAPAN_JGB_TYPE51!R112C25</stp>
        <stp>YLD_YTM_ASK=0.184</stp>
        <stp>YAS_YLD_CONV=3</stp>
        <tr r="Y112" s="7"/>
      </tp>
      <tp>
        <v>10.864057684673867</v>
        <stp/>
        <stp>##V3_BDPV12</stp>
        <stp>EH5622715 Govt</stp>
        <stp>YAS_RISK</stp>
        <stp>[BondPricer-0.2.xlsm]JAPAN_JGB_TYPE51!R101C25</stp>
        <stp>YLD_YTM_ASK=0.124</stp>
        <stp>YAS_YLD_CONV=3</stp>
        <tr r="Y101" s="7"/>
      </tp>
      <tp>
        <v>-0.10200000000000017</v>
        <stp/>
        <stp>##V3_BDPV12</stp>
        <stp>EJ0489983 Govt</stp>
        <stp>YLD_YTM_ASK</stp>
        <stp>[BondPricer-0.2.xlsm]JAPAN_JGB_TYPE51!R26C13</stp>
        <tr r="M26" s="7"/>
      </tp>
      <tp>
        <v>-5.0000000000000919E-2</v>
        <stp/>
        <stp>##V3_BDPV12</stp>
        <stp>ED4832348 Govt</stp>
        <stp>YLD_YTM_ASK</stp>
        <stp>[BondPricer-0.2.xlsm]JAPAN_JGB_TYPE51!R51C13</stp>
        <tr r="M51" s="7"/>
      </tp>
      <tp>
        <v>-2.1999999999998503E-2</v>
        <stp/>
        <stp>##V3_BDPV12</stp>
        <stp>EK6836028 Govt</stp>
        <stp>YLD_YTM_ASK</stp>
        <stp>[BondPricer-0.2.xlsm]JAPAN_JGB_TYPE51!R59C13</stp>
        <tr r="M59" s="7"/>
      </tp>
      <tp>
        <v>-0.10399999999999994</v>
        <stp/>
        <stp>##V3_BDPV12</stp>
        <stp>EI9594942 Govt</stp>
        <stp>YLD_YTM_ASK</stp>
        <stp>[BondPricer-0.2.xlsm]JAPAN_JGB_TYPE51!R21C13</stp>
        <tr r="M21" s="7"/>
      </tp>
      <tp>
        <v>0.31686171435877902</v>
        <stp/>
        <stp>##V3_BDPV12</stp>
        <stp>AL9975494 Govt</stp>
        <stp>YLD_YTM_ASK</stp>
        <stp>[BondPricer-0.2.xlsm]GERMAN_BUND_TYPE60!R24C13</stp>
        <tr r="M24" s="6"/>
      </tp>
      <tp>
        <v>15.064056109028048</v>
        <stp/>
        <stp>##V3_BDPV12</stp>
        <stp>EJ6794667 Govt</stp>
        <stp>DUR_ADJ_ASK</stp>
        <stp>[BondPricer-0.2.xlsm]ITALIAN_BTPS_TYPE523!R161C29</stp>
        <stp>YLD_YTM_ASK=4.061817037819</stp>
        <stp>YAS_YLD_CONV=1</stp>
        <tr r="AC161" s="5"/>
      </tp>
      <tp>
        <v>2.558156244982257</v>
        <stp/>
        <stp>##V3_BDPV12</stp>
        <stp>EI0418695 Govt</stp>
        <stp>YAS_RISK</stp>
        <stp>[BondPricer-0.2.xlsm]FRENCH_BTAN_TYPE89!R10C24</stp>
        <stp>YLD_YTM_ASK=-0.419801978922485</stp>
        <stp>YAS_YLD_CONV=1</stp>
        <tr r="X10" s="8"/>
      </tp>
      <tp>
        <v>1.6515413452392602</v>
        <stp/>
        <stp>##V3_BDPV12</stp>
        <stp>ED8389006 Govt</stp>
        <stp>YLD_YTM_ASK</stp>
        <stp>[BondPricer-0.2.xlsm]FRENCH_BTAN_TYPE89!R186C13</stp>
        <tr r="M186" s="8"/>
      </tp>
      <tp>
        <v>2.0755206955608285</v>
        <stp/>
        <stp>##V3_BDPV12</stp>
        <stp>JK8068435 Govt</stp>
        <stp>YLD_YTM_ASK</stp>
        <stp>[BondPricer-0.2.xlsm]FRENCH_BTAN_TYPE89!R222C13</stp>
        <tr r="M222" s="8"/>
      </tp>
      <tp t="s">
        <v>#N/A Invalid Override</v>
        <stp/>
        <stp>##V3_BDPV12</stp>
        <stp>EF7785084 Govt</stp>
        <stp>YLD_CMPD_JPN_ASK_NOTRUNC</stp>
        <stp>[BondPricer-0.2.xlsm]JAPAN_JGB_TYPE51!R178C35</stp>
        <stp>PX_ASK=#N/A Requesting Data...</stp>
        <tr r="AI178" s="7"/>
      </tp>
      <tp t="s">
        <v>#N/A Invalid Override</v>
        <stp/>
        <stp>##V3_BDPV12</stp>
        <stp>EI1590526 Govt</stp>
        <stp>YLD_CMPD_JPN_ASK_NOTRUNC</stp>
        <stp>[BondPricer-0.2.xlsm]JAPAN_JGB_TYPE51!R112C35</stp>
        <stp>PX_ASK=#N/A Requesting Data...</stp>
        <tr r="AI112" s="7"/>
      </tp>
      <tp t="s">
        <v>#N/A Invalid Override</v>
        <stp/>
        <stp>##V3_BDPV12</stp>
        <stp>EI4443103 Govt</stp>
        <stp>YLD_CMPD_JPN_ASK_NOTRUNC</stp>
        <stp>[BondPricer-0.2.xlsm]JAPAN_JGB_TYPE51!R121C35</stp>
        <stp>PX_ASK=#N/A Requesting Data...</stp>
        <tr r="AI121" s="7"/>
      </tp>
      <tp t="s">
        <v>#N/A Invalid Override</v>
        <stp/>
        <stp>##V3_BDPV12</stp>
        <stp>EI5876087 Govt</stp>
        <stp>YLD_CMPD_JPN_ASK_NOTRUNC</stp>
        <stp>[BondPricer-0.2.xlsm]JAPAN_JGB_TYPE51!R124C35</stp>
        <stp>PX_ASK=#N/A Requesting Data...</stp>
        <tr r="AI124" s="7"/>
      </tp>
      <tp>
        <v>1.5639601860431229</v>
        <stp/>
        <stp>##V3_BDPV12</stp>
        <stp>ED8388602 Govt</stp>
        <stp>YLD_YTM_ASK</stp>
        <stp>[BondPricer-0.2.xlsm]FRENCH_BTAN_TYPE89!R172C13</stp>
        <tr r="M172" s="8"/>
      </tp>
      <tp t="s">
        <v>#N/A Invalid Override</v>
        <stp/>
        <stp>##V3_BDPV12</stp>
        <stp>EH5622715 Govt</stp>
        <stp>YLD_CMPD_JPN_ASK_NOTRUNC</stp>
        <stp>[BondPricer-0.2.xlsm]JAPAN_JGB_TYPE51!R101C35</stp>
        <stp>PX_ASK=#N/A Requesting Data...</stp>
        <tr r="AI101" s="7"/>
      </tp>
      <tp>
        <v>1.2925102788896581</v>
        <stp/>
        <stp>##V3_BDPV12</stp>
        <stp>EI0430278 Govt</stp>
        <stp>YLD_YTM_ASK</stp>
        <stp>[BondPricer-0.2.xlsm]FRENCH_BTAN_TYPE89!R133C13</stp>
        <tr r="M133" s="8"/>
      </tp>
      <tp>
        <v>1.6192585172914553</v>
        <stp/>
        <stp>##V3_BDPV12</stp>
        <stp>ED8389402 Govt</stp>
        <stp>YLD_YTM_ASK</stp>
        <stp>[BondPricer-0.2.xlsm]FRENCH_BTAN_TYPE89!R210C13</stp>
        <tr r="M210" s="8"/>
      </tp>
      <tp>
        <v>1.7915842543905214</v>
        <stp/>
        <stp>##V3_BDPV12</stp>
        <stp>EI0432274 Govt</stp>
        <stp>YLD_YTM_ASK</stp>
        <stp>[BondPricer-0.2.xlsm]FRENCH_BTAN_TYPE89!R191C13</stp>
        <tr r="M191" s="8"/>
      </tp>
      <tp>
        <v>8.9584052179639464</v>
        <stp/>
        <stp>##V3_BDPV12</stp>
        <stp>EI0428918 Govt</stp>
        <stp>DUR_ADJ_ASK</stp>
        <stp>[BondPricer-0.2.xlsm]FRENCH_BTAN_TYPE89!R89C27</stp>
        <stp>YLD_YTM_ASK=</stp>
        <stp>YAS_YLD_CONV=1</stp>
        <tr r="AA89" s="8"/>
      </tp>
      <tp>
        <v>7.5453286023060784</v>
        <stp/>
        <stp>##V3_BDPV12</stp>
        <stp>AN2025442 Govt</stp>
        <stp>YAS_RISK</stp>
        <stp>[BondPricer-0.2.xlsm]ITALIAN_BTPS_TYPE523!R204C26</stp>
        <stp>YLD_YTM_ASK=3.9258316137059</stp>
        <stp>YAS_YLD_CONV=33</stp>
        <tr r="Z204" s="5"/>
      </tp>
      <tp>
        <v>1.7053558400850655</v>
        <stp/>
        <stp>##V3_BDPV12</stp>
        <stp>EI0432076 Govt</stp>
        <stp>YLD_YTM_ASK</stp>
        <stp>[BondPricer-0.2.xlsm]FRENCH_BTAN_TYPE89!R179C13</stp>
        <tr r="M179" s="8"/>
      </tp>
      <tp>
        <v>1.4046073186163133</v>
        <stp/>
        <stp>##V3_BDPV12</stp>
        <stp>EI0430476 Govt</stp>
        <stp>YLD_YTM_ASK</stp>
        <stp>[BondPricer-0.2.xlsm]FRENCH_BTAN_TYPE89!R148C13</stp>
        <tr r="M148" s="8"/>
      </tp>
      <tp>
        <v>5.0185034955502621</v>
        <stp/>
        <stp>##V3_BDPV12</stp>
        <stp>EI0418976 Govt</stp>
        <stp>DUR_ADJ_ASK</stp>
        <stp>[BondPricer-0.2.xlsm]FRENCH_BTAN_TYPE89!R45C27</stp>
        <stp>YLD_YTM_ASK=</stp>
        <stp>YAS_YLD_CONV=1</stp>
        <tr r="AA45" s="8"/>
      </tp>
      <tp>
        <v>1.8679840965538208</v>
        <stp/>
        <stp>##V3_BDPV12</stp>
        <stp>EI0432472 Govt</stp>
        <stp>YLD_YTM_ASK</stp>
        <stp>[BondPricer-0.2.xlsm]FRENCH_BTAN_TYPE89!R200C13</stp>
        <tr r="M200" s="8"/>
      </tp>
      <tp>
        <v>1.0884602843192148</v>
        <stp/>
        <stp>##V3_BDPV12</stp>
        <stp>EI0429270 Govt</stp>
        <stp>YLD_YTM_ASK</stp>
        <stp>[BondPricer-0.2.xlsm]FRENCH_BTAN_TYPE89!R110C13</stp>
        <tr r="M110" s="8"/>
      </tp>
      <tp>
        <v>9.9372769428367196</v>
        <stp/>
        <stp>##V3_BDPV12</stp>
        <stp>EI0428959 Govt</stp>
        <stp>DUR_ADJ_ASK</stp>
        <stp>[BondPricer-0.2.xlsm]FRENCH_BTAN_TYPE89!R94C27</stp>
        <stp>YLD_YTM_ASK=</stp>
        <stp>YAS_YLD_CONV=1</stp>
        <tr r="AA94" s="8"/>
      </tp>
      <tp>
        <v>1.0448766944449295</v>
        <stp/>
        <stp>##V3_BDPV12</stp>
        <stp>EI0429072 Govt</stp>
        <stp>YLD_YTM_ASK</stp>
        <stp>[BondPricer-0.2.xlsm]FRENCH_BTAN_TYPE89!R108C13</stp>
        <tr r="M108" s="8"/>
      </tp>
      <tp>
        <v>1.525840212884888</v>
        <stp/>
        <stp>##V3_BDPV12</stp>
        <stp>EI0431672 Govt</stp>
        <stp>YLD_YTM_ASK</stp>
        <stp>[BondPricer-0.2.xlsm]FRENCH_BTAN_TYPE89!R163C13</stp>
        <tr r="M163" s="8"/>
      </tp>
      <tp>
        <v>1.4775822354253787</v>
        <stp/>
        <stp>##V3_BDPV12</stp>
        <stp>EH8794248 Govt</stp>
        <stp>YLD_YTM_ASK</stp>
        <stp>[BondPricer-0.2.xlsm]FRENCH_BTAN_TYPE89!R171C13</stp>
        <tr r="M171" s="8"/>
      </tp>
      <tp>
        <v>23.958621466657348</v>
        <stp/>
        <stp>##V3_BDPV12</stp>
        <stp>EI8055663 Govt</stp>
        <stp>YAS_RISK</stp>
        <stp>[BondPricer-0.2.xlsm]JAPAN_JGB_TYPE51!R191C25</stp>
        <stp>YLD_YTM_ASK=0.685</stp>
        <stp>YAS_YLD_CONV=3</stp>
        <tr r="Y191" s="7"/>
      </tp>
      <tp>
        <v>14.88823374808419</v>
        <stp/>
        <stp>##V3_BDPV12</stp>
        <stp>EJ3633405 Govt</stp>
        <stp>YAS_RISK</stp>
        <stp>[BondPricer-0.2.xlsm]JAPAN_JGB_TYPE51!R143C25</stp>
        <stp>YLD_YTM_ASK=0.325</stp>
        <stp>YAS_YLD_CONV=3</stp>
        <tr r="Y143" s="7"/>
      </tp>
      <tp>
        <v>16.2689062188619</v>
        <stp/>
        <stp>##V3_BDPV12</stp>
        <stp>LW5453029 Govt</stp>
        <stp>YAS_RISK</stp>
        <stp>[BondPricer-0.2.xlsm]JAPAN_JGB_TYPE51!R175C25</stp>
        <stp>YLD_YTM_ASK=0.576</stp>
        <stp>YAS_YLD_CONV=3</stp>
        <tr r="Y175" s="7"/>
      </tp>
      <tp>
        <v>-0.11799999999999948</v>
        <stp/>
        <stp>##V3_BDPV12</stp>
        <stp>LW3943617 Govt</stp>
        <stp>YLD_YTM_ASK</stp>
        <stp>[BondPricer-0.2.xlsm]JAPAN_JGB_TYPE51!R12C13</stp>
        <tr r="M12" s="7"/>
      </tp>
      <tp>
        <v>2.1999999999998271E-2</v>
        <stp/>
        <stp>##V3_BDPV12</stp>
        <stp>EF3295013 Govt</stp>
        <stp>YLD_YTM_ASK</stp>
        <stp>[BondPricer-0.2.xlsm]JAPAN_JGB_TYPE51!R80C13</stp>
        <tr r="M80" s="7"/>
      </tp>
      <tp>
        <v>2.1000000000000851E-2</v>
        <stp/>
        <stp>##V3_BDPV12</stp>
        <stp>EF4527968 Govt</stp>
        <stp>YLD_YTM_ASK</stp>
        <stp>[BondPricer-0.2.xlsm]JAPAN_JGB_TYPE51!R79C13</stp>
        <tr r="M79" s="7"/>
      </tp>
      <tp>
        <v>8.199999999999931E-2</v>
        <stp/>
        <stp>##V3_BDPV12</stp>
        <stp>EH0633659 Govt</stp>
        <stp>YLD_YTM_ASK</stp>
        <stp>[BondPricer-0.2.xlsm]JAPAN_JGB_TYPE51!R94C13</stp>
        <tr r="M94" s="7"/>
      </tp>
      <tp>
        <v>9.7866626714299798</v>
        <stp/>
        <stp>##V3_BDPV12</stp>
        <stp>EC3971461 Govt</stp>
        <stp>YAS_RISK</stp>
        <stp>[BondPricer-0.2.xlsm]FRENCH_BTAN_TYPE89!R103C24</stp>
        <stp>YLD_YTM_ASK=0.993644664261062</stp>
        <stp>YAS_YLD_CONV=1</stp>
        <tr r="X103" s="8"/>
      </tp>
      <tp>
        <v>0.36151459957799026</v>
        <stp/>
        <stp>##V3_BDPV12</stp>
        <stp>GG7293994 Govt</stp>
        <stp>YLD_YTM_ASK</stp>
        <stp>[BondPricer-0.2.xlsm]GERMAN_BUND_TYPE60!R26C13</stp>
        <tr r="M26" s="6"/>
      </tp>
      <tp>
        <v>0.75170095867106657</v>
        <stp/>
        <stp>##V3_BDPV12</stp>
        <stp>EC8300625 Govt</stp>
        <stp>YLD_YTM_ASK</stp>
        <stp>[BondPricer-0.2.xlsm]GERMAN_BUND_TYPE60!R30C13</stp>
        <tr r="M30" s="6"/>
      </tp>
      <tp>
        <v>3.5620553881436479</v>
        <stp/>
        <stp>##V3_BDPV12</stp>
        <stp>GG7127259 Govt</stp>
        <stp>YAS_RISK</stp>
        <stp>[BondPricer-0.2.xlsm]FRENCH_BTAN_TYPE89!R25C24</stp>
        <stp>YLD_YTM_ASK=-0.258947959340994</stp>
        <stp>YAS_YLD_CONV=1</stp>
        <tr r="X25" s="8"/>
      </tp>
      <tp>
        <v>3.0647055555114378</v>
        <stp/>
        <stp>##V3_BDPV12</stp>
        <stp>GG7190224 Govt</stp>
        <stp>YAS_RISK</stp>
        <stp>[BondPricer-0.2.xlsm]FRENCH_BTAN_TYPE89!R19C24</stp>
        <stp>YLD_YTM_ASK=-0.348969140675159</stp>
        <stp>YAS_YLD_CONV=1</stp>
        <tr r="X19" s="8"/>
      </tp>
      <tp>
        <v>1.1864958087691724</v>
        <stp/>
        <stp>##V3_BDPV12</stp>
        <stp>ED3948798 Govt</stp>
        <stp>YLD_YTM_ASK</stp>
        <stp>[BondPricer-0.2.xlsm]FRENCH_BTAN_TYPE89!R119C13</stp>
        <tr r="M119" s="8"/>
      </tp>
      <tp>
        <v>0.96107854161393025</v>
        <stp/>
        <stp>##V3_BDPV12</stp>
        <stp>EK2432749 Govt</stp>
        <stp>YLD_YTM_ASK</stp>
        <stp>[BondPricer-0.2.xlsm]FRENCH_BTAN_TYPE89!R106C13</stp>
        <tr r="M106" s="8"/>
      </tp>
      <tp>
        <v>1.3962594623765812</v>
        <stp/>
        <stp>##V3_BDPV12</stp>
        <stp>EF6782173 Govt</stp>
        <stp>YLD_YTM_ASK</stp>
        <stp>[BondPricer-0.2.xlsm]FRENCH_BTAN_TYPE89!R141C13</stp>
        <tr r="M141" s="8"/>
      </tp>
      <tp>
        <v>11.08934670310814</v>
        <stp/>
        <stp>##V3_BDPV12</stp>
        <stp>EI6132563 Govt</stp>
        <stp>YAS_MOD_DUR</stp>
        <stp>[BondPricer-0.2.xlsm]JAPAN_JGB_TYPE51!R125C28</stp>
        <stp>YLD_YTM_ASK=0.244000000000001</stp>
        <stp>YAS_YLD_CONV=3</stp>
        <tr r="AB125" s="7"/>
      </tp>
      <tp t="s">
        <v>#N/A Invalid Override</v>
        <stp/>
        <stp>##V3_BDPV12</stp>
        <stp>EI1819230 Govt</stp>
        <stp>YLD_CMPD_JPN_ASK_NOTRUNC</stp>
        <stp>[BondPricer-0.2.xlsm]JAPAN_JGB_TYPE51!R188C35</stp>
        <stp>PX_ASK=#N/A Requesting Data...</stp>
        <tr r="AI188" s="7"/>
      </tp>
      <tp>
        <v>2.0530042236118984</v>
        <stp/>
        <stp>##V3_BDPV12</stp>
        <stp>JK8068302 Govt</stp>
        <stp>YLD_YTM_ASK</stp>
        <stp>[BondPricer-0.2.xlsm]FRENCH_BTAN_TYPE89!R217C13</stp>
        <tr r="M217" s="8"/>
      </tp>
      <tp>
        <v>2.1193372475622141</v>
        <stp/>
        <stp>##V3_BDPV12</stp>
        <stp>JK8069003 Govt</stp>
        <stp>YLD_YTM_ASK</stp>
        <stp>[BondPricer-0.2.xlsm]FRENCH_BTAN_TYPE89!R233C13</stp>
        <tr r="M233" s="8"/>
      </tp>
      <tp t="s">
        <v>#N/A Invalid Override</v>
        <stp/>
        <stp>##V3_BDPV12</stp>
        <stp>EH5985450 Govt</stp>
        <stp>YLD_CMPD_JPN_ASK_NOTRUNC</stp>
        <stp>[BondPricer-0.2.xlsm]JAPAN_JGB_TYPE51!R185C35</stp>
        <stp>PX_ASK=#N/A Requesting Data...</stp>
        <tr r="AI185" s="7"/>
      </tp>
      <tp t="s">
        <v>#N/A Invalid Override</v>
        <stp/>
        <stp>##V3_BDPV12</stp>
        <stp>EI8863967 Govt</stp>
        <stp>YLD_CMPD_JPN_ASK_NOTRUNC</stp>
        <stp>[BondPricer-0.2.xlsm]JAPAN_JGB_TYPE51!R132C35</stp>
        <stp>PX_ASK=#N/A Requesting Data...</stp>
        <tr r="AI132" s="7"/>
      </tp>
      <tp t="s">
        <v>#N/A Invalid Override</v>
        <stp/>
        <stp>##V3_BDPV12</stp>
        <stp>EH6604720 Govt</stp>
        <stp>YLD_CMPD_JPN_ASK_NOTRUNC</stp>
        <stp>[BondPricer-0.2.xlsm]JAPAN_JGB_TYPE51!R104C35</stp>
        <stp>PX_ASK=#N/A Requesting Data...</stp>
        <tr r="AI104" s="7"/>
      </tp>
      <tp t="s">
        <v>#N/A Invalid Override</v>
        <stp/>
        <stp>##V3_BDPV12</stp>
        <stp>EI7138619 Govt</stp>
        <stp>YLD_CMPD_JPN_ASK_NOTRUNC</stp>
        <stp>[BondPricer-0.2.xlsm]JAPAN_JGB_TYPE51!R129C35</stp>
        <stp>PX_ASK=#N/A Requesting Data...</stp>
        <tr r="AI129" s="7"/>
      </tp>
      <tp t="s">
        <v>#N/A Invalid Override</v>
        <stp/>
        <stp>##V3_BDPV12</stp>
        <stp>EI9104742 Govt</stp>
        <stp>YLD_CMPD_JPN_ASK_NOTRUNC</stp>
        <stp>[BondPricer-0.2.xlsm]JAPAN_JGB_TYPE51!R135C35</stp>
        <stp>PX_ASK=#N/A Requesting Data...</stp>
        <tr r="AI135" s="7"/>
      </tp>
      <tp t="s">
        <v>#N/A Invalid Override</v>
        <stp/>
        <stp>##V3_BDPV12</stp>
        <stp>EK6660931 Govt</stp>
        <stp>YLD_CMPD_JPN_ASK_NOTRUNC</stp>
        <stp>[BondPricer-0.2.xlsm]JAPAN_JGB_TYPE51!R163C35</stp>
        <stp>PX_ASK=#N/A Requesting Data...</stp>
        <tr r="AI163" s="7"/>
      </tp>
      <tp t="s">
        <v>#N/A Invalid Override</v>
        <stp/>
        <stp>##V3_BDPV12</stp>
        <stp>EH7995887 Govt</stp>
        <stp>YLD_CMPD_JPN_ASK_NOTRUNC</stp>
        <stp>[BondPricer-0.2.xlsm]JAPAN_JGB_TYPE51!R105C35</stp>
        <stp>PX_ASK=#N/A Requesting Data...</stp>
        <tr r="AI105" s="7"/>
      </tp>
      <tp>
        <v>7.960971949707667</v>
        <stp/>
        <stp>##V3_BDPV12</stp>
        <stp>EJ3468919 Govt</stp>
        <stp>DUR_ADJ_ASK</stp>
        <stp>[BondPricer-0.2.xlsm]FRENCH_BTAN_TYPE89!R88C27</stp>
        <stp>YLD_YTM_ASK=</stp>
        <stp>YAS_YLD_CONV=1</stp>
        <tr r="AA88" s="8"/>
      </tp>
      <tp>
        <v>18.397387792932435</v>
        <stp/>
        <stp>##V3_BDPV12</stp>
        <stp>EI6037572 Govt</stp>
        <stp>YAS_MOD_DUR</stp>
        <stp>[BondPricer-0.2.xlsm]JAPAN_JGB_TYPE51!R190C28</stp>
        <stp>YLD_YTM_ASK=0.664000000000001</stp>
        <stp>YAS_YLD_CONV=3</stp>
        <tr r="AB190" s="7"/>
      </tp>
      <tp>
        <v>17.267724674736083</v>
        <stp/>
        <stp>##V3_BDPV12</stp>
        <stp>AM8503287 Govt</stp>
        <stp>YAS_MOD_DUR</stp>
        <stp>[BondPricer-0.2.xlsm]JAPAN_JGB_TYPE51!R181C28</stp>
        <stp>YLD_YTM_ASK=0.592999999999999</stp>
        <stp>YAS_YLD_CONV=3</stp>
        <tr r="AB181" s="7"/>
      </tp>
      <tp>
        <v>17.064954333305593</v>
        <stp/>
        <stp>##V3_BDPV12</stp>
        <stp>JV3368661 Govt</stp>
        <stp>YAS_RISK</stp>
        <stp>[BondPricer-0.2.xlsm]JAPAN_JGB_TYPE51!R171C25</stp>
        <stp>YLD_YTM_ASK=0.512</stp>
        <stp>YAS_YLD_CONV=3</stp>
        <tr r="Y171" s="7"/>
      </tp>
      <tp>
        <v>22.475857855908998</v>
        <stp/>
        <stp>##V3_BDPV12</stp>
        <stp>EI0048054 Govt</stp>
        <stp>YAS_RISK</stp>
        <stp>[BondPricer-0.2.xlsm]JAPAN_JGB_TYPE51!R187C25</stp>
        <stp>YLD_YTM_ASK=0.624</stp>
        <stp>YAS_YLD_CONV=3</stp>
        <tr r="Y187" s="7"/>
      </tp>
      <tp>
        <v>14.123128854271272</v>
        <stp/>
        <stp>##V3_BDPV12</stp>
        <stp>EI9104742 Govt</stp>
        <stp>YAS_RISK</stp>
        <stp>[BondPricer-0.2.xlsm]JAPAN_JGB_TYPE51!R135C25</stp>
        <stp>YLD_YTM_ASK=0.284</stp>
        <stp>YAS_YLD_CONV=3</stp>
        <tr r="Y135" s="7"/>
      </tp>
      <tp>
        <v>15.655226260944488</v>
        <stp/>
        <stp>##V3_BDPV12</stp>
        <stp>ED0670437 Govt</stp>
        <stp>YAS_RISK</stp>
        <stp>[BondPricer-0.2.xlsm]JAPAN_JGB_TYPE51!R152C25</stp>
        <stp>YLD_YTM_ASK=0.358</stp>
        <stp>YAS_YLD_CONV=3</stp>
        <tr r="Y152" s="7"/>
      </tp>
      <tp>
        <v>16.491572827765566</v>
        <stp/>
        <stp>##V3_BDPV12</stp>
        <stp>ED3357065 Govt</stp>
        <stp>YAS_RISK</stp>
        <stp>[BondPricer-0.2.xlsm]JAPAN_JGB_TYPE51!R156C25</stp>
        <stp>YLD_YTM_ASK=0.379</stp>
        <stp>YAS_YLD_CONV=3</stp>
        <tr r="Y156" s="7"/>
      </tp>
      <tp>
        <v>2.8911346559657796</v>
        <stp/>
        <stp>##V3_BDPV12</stp>
        <stp>EI8332047 Govt</stp>
        <stp>YAS_MOD_DUR</stp>
        <stp>[BondPricer-0.2.xlsm]JAPAN_JGB_TYPE51!R17C28</stp>
        <stp>YLD_YTM_ASK=-0.108999999999997</stp>
        <stp>YAS_YLD_CONV=3</stp>
        <tr r="AB17" s="7"/>
      </tp>
      <tp>
        <v>3.0739841018583069</v>
        <stp/>
        <stp>##V3_BDPV12</stp>
        <stp>EC4877683 Govt</stp>
        <stp>YAS_MOD_DUR</stp>
        <stp>[BondPricer-0.2.xlsm]JAPAN_JGB_TYPE51!R24C28</stp>
        <stp>YLD_YTM_ASK=-0.110000000000004</stp>
        <stp>YAS_YLD_CONV=3</stp>
        <tr r="AB24" s="7"/>
      </tp>
      <tp>
        <v>-3.7000000000000817E-2</v>
        <stp/>
        <stp>##V3_BDPV12</stp>
        <stp>ED5111288 Govt</stp>
        <stp>YLD_YTM_ASK</stp>
        <stp>[BondPricer-0.2.xlsm]JAPAN_JGB_TYPE51!R55C13</stp>
        <tr r="M55" s="7"/>
      </tp>
      <tp>
        <v>8.7999999999999814E-2</v>
        <stp/>
        <stp>##V3_BDPV12</stp>
        <stp>EH1313798 Govt</stp>
        <stp>YLD_YTM_ASK</stp>
        <stp>[BondPricer-0.2.xlsm]JAPAN_JGB_TYPE51!R95C13</stp>
        <tr r="M95" s="7"/>
      </tp>
      <tp>
        <v>-0.10299999999999834</v>
        <stp/>
        <stp>##V3_BDPV12</stp>
        <stp>EC5799480 Govt</stp>
        <stp>YLD_YTM_ASK</stp>
        <stp>[BondPricer-0.2.xlsm]JAPAN_JGB_TYPE51!R32C13</stp>
        <tr r="M32" s="7"/>
      </tp>
      <tp>
        <v>8.0000000000022761E-3</v>
        <stp/>
        <stp>##V3_BDPV12</stp>
        <stp>AH0082315 Govt</stp>
        <stp>YLD_YTM_ASK</stp>
        <stp>[BondPricer-0.2.xlsm]JAPAN_JGB_TYPE51!R74C13</stp>
        <tr r="M74" s="7"/>
      </tp>
      <tp>
        <v>9.8245223342736665</v>
        <stp/>
        <stp>##V3_BDPV12</stp>
        <stp>EI0428991 Govt</stp>
        <stp>YAS_RISK</stp>
        <stp>[BondPricer-0.2.xlsm]FRENCH_BTAN_TYPE89!R102C24</stp>
        <stp>YLD_YTM_ASK=0.961214139620026</stp>
        <stp>YAS_YLD_CONV=1</stp>
        <tr r="X102" s="8"/>
      </tp>
      <tp>
        <v>3.2520472395965783</v>
        <stp/>
        <stp>##V3_BDPV12</stp>
        <stp>EI8951218 Govt</stp>
        <stp>YAS_RISK</stp>
        <stp>[BondPricer-0.2.xlsm]JAPAN_JGB_TYPE51!R22C25</stp>
        <stp>YLD_YTM_ASK=-0.104</stp>
        <stp>YAS_YLD_CONV=3</stp>
        <tr r="Y22" s="7"/>
      </tp>
      <tp>
        <v>2.6395957694603567</v>
        <stp/>
        <stp>##V3_BDPV12</stp>
        <stp>JK8202802 Govt</stp>
        <stp>YAS_RISK</stp>
        <stp>[BondPricer-0.2.xlsm]FRENCH_BTAN_TYPE89!R13C24</stp>
        <stp>YLD_YTM_ASK=-0.389529249626808</stp>
        <stp>YAS_YLD_CONV=1</stp>
        <tr r="X13" s="8"/>
      </tp>
      <tp>
        <v>1.0615179337282821</v>
        <stp/>
        <stp>##V3_BDPV12</stp>
        <stp>UV9949289 Govt</stp>
        <stp>YLD_YTM_ASK</stp>
        <stp>[BondPricer-0.2.xlsm]FRENCH_BTAN_TYPE89!R114C13</stp>
        <tr r="M114" s="8"/>
      </tp>
      <tp>
        <v>1.0615179337282821</v>
        <stp/>
        <stp>##V3_BDPV12</stp>
        <stp>UV9949289 Govt</stp>
        <stp>YLD_YTM_ASK</stp>
        <stp>[BondPricer-0.2.xlsm]FRENCH_BTAN_TYPE89!R115C13</stp>
        <tr r="M115" s="8"/>
      </tp>
      <tp>
        <v>1.0615179337282821</v>
        <stp/>
        <stp>##V3_BDPV12</stp>
        <stp>UV9949289 Govt</stp>
        <stp>YLD_YTM_ASK</stp>
        <stp>[BondPricer-0.2.xlsm]FRENCH_BTAN_TYPE89!R112C13</stp>
        <tr r="M112" s="8"/>
      </tp>
      <tp>
        <v>2.6395957694603567</v>
        <stp/>
        <stp>##V3_BDPV12</stp>
        <stp>JK8202802 Govt</stp>
        <stp>YAS_RISK</stp>
        <stp>[BondPricer-0.2.xlsm]FRENCH_BTAN_TYPE89!R16C24</stp>
        <stp>YLD_YTM_ASK=-0.389529249626808</stp>
        <stp>YAS_YLD_CONV=1</stp>
        <tr r="X16" s="8"/>
      </tp>
      <tp>
        <v>2.6395957694603567</v>
        <stp/>
        <stp>##V3_BDPV12</stp>
        <stp>JK8202802 Govt</stp>
        <stp>YAS_RISK</stp>
        <stp>[BondPricer-0.2.xlsm]FRENCH_BTAN_TYPE89!R15C24</stp>
        <stp>YLD_YTM_ASK=-0.389529249626808</stp>
        <stp>YAS_YLD_CONV=1</stp>
        <tr r="X15" s="8"/>
      </tp>
      <tp>
        <v>6.0899103713693812</v>
        <stp/>
        <stp>##V3_BDPV12</stp>
        <stp>EK3918860 Govt</stp>
        <stp>DUR_ADJ_ASK</stp>
        <stp>[BondPricer-0.2.xlsm]FRENCH_BTAN_TYPE89!R58C27</stp>
        <stp>YLD_YTM_ASK=</stp>
        <stp>YAS_YLD_CONV=1</stp>
        <tr r="AA58" s="8"/>
      </tp>
      <tp>
        <v>1.4867433008359354</v>
        <stp/>
        <stp>##V3_BDPV12</stp>
        <stp>ED8388727 Govt</stp>
        <stp>YLD_YTM_ASK</stp>
        <stp>[BondPricer-0.2.xlsm]FRENCH_BTAN_TYPE89!R180C13</stp>
        <tr r="M180" s="8"/>
      </tp>
      <tp>
        <v>1.6311719680709658</v>
        <stp/>
        <stp>##V3_BDPV12</stp>
        <stp>ED8390525 Govt</stp>
        <stp>YLD_YTM_ASK</stp>
        <stp>[BondPricer-0.2.xlsm]FRENCH_BTAN_TYPE89!R213C13</stp>
        <tr r="M213" s="8"/>
      </tp>
      <tp>
        <v>1.5067809751746708</v>
        <stp/>
        <stp>##V3_BDPV12</stp>
        <stp>ED8388925 Govt</stp>
        <stp>YLD_YTM_ASK</stp>
        <stp>[BondPricer-0.2.xlsm]FRENCH_BTAN_TYPE89!R183C13</stp>
        <tr r="M183" s="8"/>
      </tp>
      <tp t="s">
        <v>#N/A Invalid Override</v>
        <stp/>
        <stp>##V3_BDPV12</stp>
        <stp>EI4040636 Govt</stp>
        <stp>YLD_CMPD_JPN_ASK_NOTRUNC</stp>
        <stp>[BondPricer-0.2.xlsm]JAPAN_JGB_TYPE51!R120C35</stp>
        <stp>PX_ASK=#N/A Requesting Data...</stp>
        <tr r="AI120" s="7"/>
      </tp>
      <tp>
        <v>1.4133932632538482</v>
        <stp/>
        <stp>##V3_BDPV12</stp>
        <stp>ED8388123 Govt</stp>
        <stp>YLD_YTM_ASK</stp>
        <stp>[BondPricer-0.2.xlsm]FRENCH_BTAN_TYPE89!R143C13</stp>
        <tr r="M143" s="8"/>
      </tp>
      <tp>
        <v>1.8054756084463719</v>
        <stp/>
        <stp>##V3_BDPV12</stp>
        <stp>JK8068112 Govt</stp>
        <stp>YLD_YTM_ASK</stp>
        <stp>[BondPricer-0.2.xlsm]FRENCH_BTAN_TYPE89!R199C13</stp>
        <tr r="M199" s="8"/>
      </tp>
      <tp>
        <v>1.6448091409158705</v>
        <stp/>
        <stp>##V3_BDPV12</stp>
        <stp>ED8389121 Govt</stp>
        <stp>YLD_YTM_ASK</stp>
        <stp>[BondPricer-0.2.xlsm]FRENCH_BTAN_TYPE89!R198C13</stp>
        <tr r="M198" s="8"/>
      </tp>
      <tp t="s">
        <v>#N/A Invalid Override</v>
        <stp/>
        <stp>##V3_BDPV12</stp>
        <stp>EI8131969 Govt</stp>
        <stp>YLD_CMPD_JPN_ASK_NOTRUNC</stp>
        <stp>[BondPricer-0.2.xlsm]JAPAN_JGB_TYPE51!R131C35</stp>
        <stp>PX_ASK=#N/A Requesting Data...</stp>
        <tr r="AI131" s="7"/>
      </tp>
      <tp>
        <v>2.0547731868842734</v>
        <stp/>
        <stp>##V3_BDPV12</stp>
        <stp>EI1868393 Govt</stp>
        <stp>YLD_YTM_ASK</stp>
        <stp>[BondPricer-0.2.xlsm]FRENCH_BTAN_TYPE89!R225C13</stp>
        <tr r="M225" s="8"/>
      </tp>
      <tp>
        <v>1.2052778879032777</v>
        <stp/>
        <stp>##V3_BDPV12</stp>
        <stp>EI0429155 Govt</stp>
        <stp>YLD_YTM_ASK</stp>
        <stp>[BondPricer-0.2.xlsm]FRENCH_BTAN_TYPE89!R123C13</stp>
        <tr r="M123" s="8"/>
      </tp>
      <tp>
        <v>1.8095958546256785</v>
        <stp/>
        <stp>##V3_BDPV12</stp>
        <stp>EI0432357 Govt</stp>
        <stp>YLD_YTM_ASK</stp>
        <stp>[BondPricer-0.2.xlsm]FRENCH_BTAN_TYPE89!R194C13</stp>
        <tr r="M194" s="8"/>
      </tp>
      <tp>
        <v>2.0795340469023982</v>
        <stp/>
        <stp>##V3_BDPV12</stp>
        <stp>EI1868591 Govt</stp>
        <stp>YLD_YTM_ASK</stp>
        <stp>[BondPricer-0.2.xlsm]FRENCH_BTAN_TYPE89!R229C13</stp>
        <tr r="M229" s="8"/>
      </tp>
      <tp t="s">
        <v>#N/A Invalid Override</v>
        <stp/>
        <stp>##V3_BDPV12</stp>
        <stp>EK8137466 Govt</stp>
        <stp>YLD_CMPD_JPN_ASK_NOTRUNC</stp>
        <stp>[BondPricer-0.2.xlsm]JAPAN_JGB_TYPE51!R165C35</stp>
        <stp>PX_ASK=#N/A Requesting Data...</stp>
        <tr r="AI165" s="7"/>
      </tp>
      <tp>
        <v>2.5299712116687969</v>
        <stp/>
        <stp>##V3_BDPV12</stp>
        <stp>ED9336279 Govt</stp>
        <stp>DUR_ADJ_ASK</stp>
        <stp>[BondPricer-0.2.xlsm]FRENCH_BTAN_TYPE89!R12C27</stp>
        <stp>YLD_YTM_ASK=</stp>
        <stp>YAS_YLD_CONV=1</stp>
        <tr r="AA12" s="8"/>
      </tp>
      <tp>
        <v>1.9329115763760951</v>
        <stp/>
        <stp>##V3_BDPV12</stp>
        <stp>EI0432555 Govt</stp>
        <stp>YLD_YTM_ASK</stp>
        <stp>[BondPricer-0.2.xlsm]FRENCH_BTAN_TYPE89!R206C13</stp>
        <tr r="M206" s="8"/>
      </tp>
      <tp>
        <v>12.320670274848256</v>
        <stp/>
        <stp>##V3_BDPV12</stp>
        <stp>EJ2397945 Govt</stp>
        <stp>YAS_MOD_DUR</stp>
        <stp>[BondPricer-0.2.xlsm]JAPAN_JGB_TYPE51!R142C28</stp>
        <stp>YLD_YTM_ASK=0.309999999999999</stp>
        <stp>YAS_YLD_CONV=3</stp>
        <tr r="AB142" s="7"/>
      </tp>
      <tp>
        <v>2.0846681721446325</v>
        <stp/>
        <stp>##V3_BDPV12</stp>
        <stp>JK8068518 Govt</stp>
        <stp>YLD_YTM_ASK</stp>
        <stp>[BondPricer-0.2.xlsm]FRENCH_BTAN_TYPE89!R224C13</stp>
        <tr r="M224" s="8"/>
      </tp>
      <tp>
        <v>1.1941042452653354</v>
        <stp/>
        <stp>##V3_BDPV12</stp>
        <stp>ED3871594 Govt</stp>
        <stp>YLD_YTM_ASK</stp>
        <stp>[BondPricer-0.2.xlsm]FRENCH_BTAN_TYPE89!R135C13</stp>
        <tr r="M135" s="8"/>
      </tp>
      <tp>
        <v>1.2516022163333806</v>
        <stp/>
        <stp>##V3_BDPV12</stp>
        <stp>EI0429551 Govt</stp>
        <stp>YLD_YTM_ASK</stp>
        <stp>[BondPricer-0.2.xlsm]FRENCH_BTAN_TYPE89!R128C13</stp>
        <tr r="M128" s="8"/>
      </tp>
      <tp>
        <v>1.0713026118298385</v>
        <stp/>
        <stp>##V3_BDPV12</stp>
        <stp>EC3971487 Govt</stp>
        <stp>YLD_YTM_ASK</stp>
        <stp>[BondPricer-0.2.xlsm]FRENCH_BTAN_TYPE89!R109C13</stp>
        <tr r="M109" s="8"/>
      </tp>
      <tp>
        <v>1.9911031670517332</v>
        <stp/>
        <stp>##V3_BDPV12</stp>
        <stp>EI0432951 Govt</stp>
        <stp>YLD_YTM_ASK</stp>
        <stp>[BondPricer-0.2.xlsm]FRENCH_BTAN_TYPE89!R212C13</stp>
        <tr r="M212" s="8"/>
      </tp>
      <tp>
        <v>1.5297315148641744</v>
        <stp/>
        <stp>##V3_BDPV12</stp>
        <stp>ED8388529 Govt</stp>
        <stp>YLD_YTM_ASK</stp>
        <stp>[BondPricer-0.2.xlsm]FRENCH_BTAN_TYPE89!R167C13</stp>
        <tr r="M167" s="8"/>
      </tp>
      <tp>
        <v>1.1708011499967252</v>
        <stp/>
        <stp>##V3_BDPV12</stp>
        <stp>EI0429353 Govt</stp>
        <stp>YLD_YTM_ASK</stp>
        <stp>[BondPricer-0.2.xlsm]FRENCH_BTAN_TYPE89!R118C13</stp>
        <tr r="M118" s="8"/>
      </tp>
      <tp>
        <v>14.207972505843713</v>
        <stp/>
        <stp>##V3_BDPV12</stp>
        <stp>EJ0014849 Govt</stp>
        <stp>YAS_RISK</stp>
        <stp>[BondPricer-0.2.xlsm]JAPAN_JGB_TYPE51!R134C25</stp>
        <stp>YLD_YTM_ASK=0.284</stp>
        <stp>YAS_YLD_CONV=3</stp>
        <tr r="Y134" s="7"/>
      </tp>
      <tp>
        <v>18.145756681840908</v>
        <stp/>
        <stp>##V3_BDPV12</stp>
        <stp>ED9034742 Govt</stp>
        <stp>YAS_RISK</stp>
        <stp>[BondPricer-0.2.xlsm]JAPAN_JGB_TYPE51!R166C25</stp>
        <stp>YLD_YTM_ASK=0.435</stp>
        <stp>YAS_YLD_CONV=3</stp>
        <tr r="Y166" s="7"/>
      </tp>
      <tp>
        <v>14.85378603497125</v>
        <stp/>
        <stp>##V3_BDPV12</stp>
        <stp>EC8204264 Govt</stp>
        <stp>YAS_RISK</stp>
        <stp>[BondPricer-0.2.xlsm]JAPAN_JGB_TYPE51!R147C25</stp>
        <stp>YLD_YTM_ASK=0.337</stp>
        <stp>YAS_YLD_CONV=3</stp>
        <tr r="Y147" s="7"/>
      </tp>
      <tp>
        <v>16.346497827754547</v>
        <stp/>
        <stp>##V3_BDPV12</stp>
        <stp>ED2161351 Govt</stp>
        <stp>YAS_RISK</stp>
        <stp>[BondPricer-0.2.xlsm]JAPAN_JGB_TYPE51!R154C25</stp>
        <stp>YLD_YTM_ASK=0.364</stp>
        <stp>YAS_YLD_CONV=3</stp>
        <tr r="Y154" s="7"/>
      </tp>
      <tp>
        <v>12.879420590273583</v>
        <stp/>
        <stp>##V3_BDPV12</stp>
        <stp>EI4443103 Govt</stp>
        <stp>YAS_RISK</stp>
        <stp>[BondPricer-0.2.xlsm]JAPAN_JGB_TYPE51!R121C25</stp>
        <stp>YLD_YTM_ASK=0.224</stp>
        <stp>YAS_YLD_CONV=3</stp>
        <tr r="Y121" s="7"/>
      </tp>
      <tp>
        <v>2.7000000000002373E-2</v>
        <stp/>
        <stp>##V3_BDPV12</stp>
        <stp>LW3164867 Govt</stp>
        <stp>YLD_YTM_ASK</stp>
        <stp>[BondPricer-0.2.xlsm]JAPAN_JGB_TYPE51!R81C13</stp>
        <tr r="M81" s="7"/>
      </tp>
      <tp>
        <v>-1.3000000000000613E-2</v>
        <stp/>
        <stp>##V3_BDPV12</stp>
        <stp>ED9517639 Govt</stp>
        <stp>YLD_YTM_ASK</stp>
        <stp>[BondPricer-0.2.xlsm]JAPAN_JGB_TYPE51!R66C13</stp>
        <tr r="M66" s="7"/>
      </tp>
      <tp>
        <v>2.1999999999998084E-2</v>
        <stp/>
        <stp>##V3_BDPV12</stp>
        <stp>EF3812189 Govt</stp>
        <stp>YLD_YTM_ASK</stp>
        <stp>[BondPricer-0.2.xlsm]JAPAN_JGB_TYPE51!R78C13</stp>
        <tr r="M78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164"/>
  <sheetViews>
    <sheetView showGridLines="0" tabSelected="1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1" width="15.7109375" style="1" customWidth="1"/>
    <col min="12" max="12" width="22.7109375" style="1" customWidth="1"/>
    <col min="13" max="13" width="22.7109375" style="76" customWidth="1"/>
    <col min="14" max="18" width="22.7109375" style="82" customWidth="1"/>
    <col min="19" max="19" width="15.7109375" style="2" hidden="1" customWidth="1" outlineLevel="1"/>
    <col min="20" max="30" width="15.7109375" style="3" hidden="1" customWidth="1" outlineLevel="1"/>
    <col min="31" max="31" width="9.140625" style="1" collapsed="1"/>
    <col min="32" max="16384" width="9.140625" style="1"/>
  </cols>
  <sheetData>
    <row r="1" spans="2:31">
      <c r="J1" s="5" t="s">
        <v>290</v>
      </c>
      <c r="M1" s="79"/>
      <c r="N1" s="79"/>
      <c r="O1" s="79"/>
      <c r="P1" s="79"/>
      <c r="Q1" s="79"/>
      <c r="R1" s="79"/>
      <c r="AE1" s="5" t="s">
        <v>288</v>
      </c>
    </row>
    <row r="2" spans="2:31">
      <c r="M2" s="79"/>
      <c r="N2" s="39" t="s">
        <v>285</v>
      </c>
      <c r="O2" s="39" t="s">
        <v>285</v>
      </c>
      <c r="P2" s="39" t="s">
        <v>285</v>
      </c>
      <c r="Q2" s="39" t="s">
        <v>285</v>
      </c>
      <c r="R2" s="39" t="s">
        <v>285</v>
      </c>
      <c r="S2" s="36"/>
      <c r="W2" s="8"/>
      <c r="X2" s="8" t="s">
        <v>47</v>
      </c>
      <c r="Z2" s="8"/>
      <c r="AA2" s="8"/>
      <c r="AB2" s="8"/>
      <c r="AD2" s="8"/>
    </row>
    <row r="3" spans="2:31">
      <c r="B3" s="5" t="s">
        <v>9</v>
      </c>
      <c r="C3" s="5" t="s">
        <v>10</v>
      </c>
      <c r="D3" s="7"/>
      <c r="L3" s="5" t="s">
        <v>284</v>
      </c>
      <c r="M3" s="80"/>
      <c r="N3" s="41" t="str">
        <f ca="1">IF(ISNUMBER(SUM(V7:V132)),SUM(V7:V132),"BBG WAIT!")</f>
        <v>BBG WAIT!</v>
      </c>
      <c r="O3" s="42" t="s">
        <v>289</v>
      </c>
      <c r="P3" s="41">
        <f ca="1">IF(ISNUMBER(SUM(M7:M132)),SUM(M7:M132)-SUM(P7:P132)*100,"BBG WAIT!")</f>
        <v>-2.4499513529008254E-11</v>
      </c>
      <c r="Q3" s="41" t="str">
        <f ca="1">IF(ISNUMBER(SUM(AC7:AC132)),SUM(AC7:AC132),"BBG WAIT!")</f>
        <v>BBG WAIT!</v>
      </c>
      <c r="R3" s="42" t="s">
        <v>289</v>
      </c>
      <c r="W3" s="8"/>
      <c r="X3" s="40">
        <v>1000000</v>
      </c>
      <c r="Z3" s="8"/>
      <c r="AA3" s="8"/>
      <c r="AB3" s="8"/>
      <c r="AD3" s="8"/>
    </row>
    <row r="4" spans="2:31">
      <c r="B4" s="68">
        <f ca="1">TODAY()</f>
        <v>43388</v>
      </c>
      <c r="C4" s="69">
        <f ca="1">_xll.meDateFromTenor($B$4,$D$4,"MOD_FOLLOWING","NYB")</f>
        <v>43389</v>
      </c>
      <c r="D4" s="9" t="s">
        <v>11</v>
      </c>
      <c r="E4" s="4"/>
      <c r="F4" s="4"/>
      <c r="G4" s="4"/>
      <c r="H4" s="4"/>
      <c r="I4" s="4"/>
      <c r="J4" s="4"/>
      <c r="K4" s="4"/>
      <c r="L4" s="33" t="s">
        <v>283</v>
      </c>
      <c r="M4" s="80"/>
      <c r="N4" s="80"/>
      <c r="O4" s="80"/>
      <c r="P4" s="80"/>
      <c r="Q4" s="80"/>
      <c r="R4" s="80"/>
    </row>
    <row r="5" spans="2:31">
      <c r="B5" s="4"/>
      <c r="C5" s="4"/>
      <c r="D5" s="4"/>
      <c r="E5" s="4"/>
      <c r="F5" s="4"/>
      <c r="G5" s="4"/>
      <c r="H5" s="4"/>
      <c r="I5" s="4"/>
      <c r="J5" s="4"/>
      <c r="K5" s="4"/>
      <c r="M5" s="10" t="s">
        <v>19</v>
      </c>
      <c r="N5" s="79"/>
      <c r="O5" s="79"/>
      <c r="P5" s="79"/>
      <c r="Q5" s="79"/>
      <c r="R5" s="79"/>
      <c r="S5" s="10" t="s">
        <v>12</v>
      </c>
      <c r="T5" s="11" t="s">
        <v>12</v>
      </c>
      <c r="U5" s="12" t="s">
        <v>13</v>
      </c>
      <c r="V5" s="13" t="s">
        <v>14</v>
      </c>
      <c r="W5" s="12" t="s">
        <v>15</v>
      </c>
      <c r="X5" s="11" t="s">
        <v>16</v>
      </c>
      <c r="Y5" s="13" t="s">
        <v>14</v>
      </c>
      <c r="Z5" s="12" t="s">
        <v>15</v>
      </c>
      <c r="AA5" s="12" t="s">
        <v>15</v>
      </c>
      <c r="AB5" s="11" t="s">
        <v>16</v>
      </c>
      <c r="AC5" s="13" t="s">
        <v>14</v>
      </c>
      <c r="AD5" s="12" t="s">
        <v>15</v>
      </c>
    </row>
    <row r="6" spans="2:31" s="14" customFormat="1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18</v>
      </c>
      <c r="M6" s="77" t="s">
        <v>1574</v>
      </c>
      <c r="N6" s="81" t="s">
        <v>286</v>
      </c>
      <c r="O6" s="81" t="s">
        <v>1577</v>
      </c>
      <c r="P6" s="81" t="s">
        <v>1578</v>
      </c>
      <c r="Q6" s="81" t="s">
        <v>287</v>
      </c>
      <c r="R6" s="81" t="s">
        <v>23</v>
      </c>
      <c r="S6" s="10" t="s">
        <v>19</v>
      </c>
      <c r="T6" s="11" t="s">
        <v>20</v>
      </c>
      <c r="U6" s="12" t="s">
        <v>21</v>
      </c>
      <c r="V6" s="34" t="s">
        <v>285</v>
      </c>
      <c r="W6" s="12" t="s">
        <v>23</v>
      </c>
      <c r="X6" s="11" t="s">
        <v>24</v>
      </c>
      <c r="Y6" s="34" t="s">
        <v>285</v>
      </c>
      <c r="Z6" s="12" t="s">
        <v>25</v>
      </c>
      <c r="AA6" s="12" t="s">
        <v>26</v>
      </c>
      <c r="AB6" s="11" t="s">
        <v>27</v>
      </c>
      <c r="AC6" s="34" t="s">
        <v>285</v>
      </c>
      <c r="AD6" s="12" t="s">
        <v>28</v>
      </c>
    </row>
    <row r="7" spans="2:31">
      <c r="B7" s="15" t="s">
        <v>137</v>
      </c>
      <c r="C7" s="15" t="s">
        <v>138</v>
      </c>
      <c r="D7" s="15" t="s">
        <v>138</v>
      </c>
      <c r="E7" s="16">
        <v>42401</v>
      </c>
      <c r="F7" s="19">
        <v>42400</v>
      </c>
      <c r="G7" s="18" t="str">
        <f t="shared" ref="G7:G38" si="0">IF(DAY(K7+1)=1, "EOM","")</f>
        <v>EOM</v>
      </c>
      <c r="H7" s="16">
        <v>42582</v>
      </c>
      <c r="I7" s="16">
        <v>44043</v>
      </c>
      <c r="J7" s="17">
        <v>1.375E-2</v>
      </c>
      <c r="K7" s="16">
        <v>44227</v>
      </c>
      <c r="L7" s="20" t="str">
        <f ca="1">_xll.meLWOBondCreateFromGeneratorLVB(C7,$L$4,_xll.meUtilityLVBFromKeysValues($C$6:$K$6,C7:K7))</f>
        <v>US912828N894:2</v>
      </c>
      <c r="M7" s="92">
        <f ca="1">_xll.BDP($B7,$M$5)</f>
        <v>2.8863167000000001</v>
      </c>
      <c r="N7" s="89">
        <f ca="1">_xll.meLWOBondCleanPrice($L7,$C$4,$M7%)</f>
        <v>96.671874947145469</v>
      </c>
      <c r="O7" s="89">
        <f ca="1">_xll.meLWOBondDirtyPrice($L7,$C$4,$M7%)</f>
        <v>96.959578751493297</v>
      </c>
      <c r="P7" s="88">
        <f ca="1">_xll.meLWOBondYield($L7,$C$4,N7)</f>
        <v>2.8863167000002455E-2</v>
      </c>
      <c r="Q7" s="89">
        <f ca="1">_xll.meLWOBondModifiedDuration($L7,$C$4,$M7%)</f>
        <v>2.2240028755693375</v>
      </c>
      <c r="R7" s="23">
        <f ca="1">_xll.meLWOBondDV01($L7,$C$4,$M7%)</f>
        <v>215.63838195731273</v>
      </c>
      <c r="S7" s="86">
        <f ca="1">M7</f>
        <v>2.8863167000000001</v>
      </c>
      <c r="T7" s="22" t="str">
        <f ca="1">_xll.BDP($B7,T$6, "YAS_BOND_YLD="&amp;$S7,"YAS_YLD_CONV=2")</f>
        <v>#N/A Requesting Data...</v>
      </c>
      <c r="U7" s="23">
        <f ca="1">_xll.meLWOBondCleanPrice($L7,$C$4,$S7%)</f>
        <v>96.671874947145469</v>
      </c>
      <c r="V7" s="24" t="e">
        <f t="shared" ref="V7:V38" ca="1" si="1">ABS(U7-T7)</f>
        <v>#VALUE!</v>
      </c>
      <c r="W7" s="23">
        <f ca="1">_xll.meLWOBondDV01($L7,$C$4,$S7%)</f>
        <v>215.63838195731273</v>
      </c>
      <c r="X7" s="22" t="e">
        <f ca="1">_xll.BDP($B7,X$6, "YLD_YTM_ASK="&amp;$S7,"YAS_YLD_CONV=3")*$X$3*0.0001</f>
        <v>#VALUE!</v>
      </c>
      <c r="Y7" s="24" t="e">
        <f t="shared" ref="Y7:Y38" ca="1" si="2">ABS(X7-W7)</f>
        <v>#VALUE!</v>
      </c>
      <c r="Z7" s="23">
        <f ca="1">_xll.meLWOBondDirtyPrice($L7,$C$4,$S7%)</f>
        <v>96.959578751493297</v>
      </c>
      <c r="AA7" s="23">
        <f ca="1">_xll.meLWOBondModifiedDuration($L7,$C$4,$S7%)</f>
        <v>2.2240028755693375</v>
      </c>
      <c r="AB7" s="22" t="str">
        <f ca="1">_xll.BDP($B7,AB$6,"YLD_YTM_ASK="&amp;$S7,"YAS_YLD_CONV=3")</f>
        <v>#N/A Requesting Data...</v>
      </c>
      <c r="AC7" s="24" t="e">
        <f t="shared" ref="AC7:AC38" ca="1" si="3">ABS(AB7-AA7)</f>
        <v>#VALUE!</v>
      </c>
      <c r="AD7" s="23">
        <f ca="1">_xll.meLWOBondDV01Numerical($L7,$C$4,$S7%,0.5,"CENTRAL")</f>
        <v>215.63838275355354</v>
      </c>
    </row>
    <row r="8" spans="2:31">
      <c r="B8" s="15" t="s">
        <v>153</v>
      </c>
      <c r="C8" s="15" t="s">
        <v>154</v>
      </c>
      <c r="D8" s="15" t="s">
        <v>154</v>
      </c>
      <c r="E8" s="16">
        <v>41670</v>
      </c>
      <c r="F8" s="19">
        <v>41670</v>
      </c>
      <c r="G8" s="18" t="str">
        <f t="shared" si="0"/>
        <v>EOM</v>
      </c>
      <c r="H8" s="16">
        <v>41851</v>
      </c>
      <c r="I8" s="16">
        <v>44043</v>
      </c>
      <c r="J8" s="17">
        <v>2.1250000000000002E-2</v>
      </c>
      <c r="K8" s="16">
        <v>44227</v>
      </c>
      <c r="L8" s="20" t="str">
        <f ca="1">_xll.meLWOBondCreateFromGeneratorLVB(C8,$L$4,_xll.meUtilityLVBFromKeysValues($C$6:$K$6,C8:K8))</f>
        <v>US912828B584:2</v>
      </c>
      <c r="M8" s="92">
        <f ca="1">_xll.BDP($B8,$M$5)</f>
        <v>2.8871961000000002</v>
      </c>
      <c r="N8" s="89">
        <f ca="1">_xll.meLWOBondCleanPrice($L8,$C$4,$M8%)</f>
        <v>98.320312597142888</v>
      </c>
      <c r="O8" s="89">
        <f ca="1">_xll.meLWOBondDirtyPrice($L8,$C$4,$M8%)</f>
        <v>98.764945749316794</v>
      </c>
      <c r="P8" s="88">
        <f ca="1">_xll.meLWOBondYield($L8,$C$4,N8)</f>
        <v>2.8871961000000911E-2</v>
      </c>
      <c r="Q8" s="89">
        <f ca="1">_xll.meLWOBondModifiedDuration($L8,$C$4,$M8%)</f>
        <v>2.2063213044583865</v>
      </c>
      <c r="R8" s="23">
        <f ca="1">_xll.meLWOBondDV01($L8,$C$4,$M8%)</f>
        <v>217.9072039403944</v>
      </c>
      <c r="S8" s="86">
        <f t="shared" ref="S8:S71" ca="1" si="4">M8</f>
        <v>2.8871961000000002</v>
      </c>
      <c r="T8" s="22" t="str">
        <f ca="1">_xll.BDP($B8,T$6, "YAS_BOND_YLD="&amp;$S8,"YAS_YLD_CONV=2")</f>
        <v>#N/A Requesting Data...</v>
      </c>
      <c r="U8" s="23">
        <f ca="1">_xll.meLWOBondCleanPrice($L8,$C$4,$S8%)</f>
        <v>98.320312597142888</v>
      </c>
      <c r="V8" s="24" t="e">
        <f t="shared" ca="1" si="1"/>
        <v>#VALUE!</v>
      </c>
      <c r="W8" s="23">
        <f ca="1">_xll.meLWOBondDV01($L8,$C$4,$S8%)</f>
        <v>217.9072039403944</v>
      </c>
      <c r="X8" s="22" t="e">
        <f ca="1">_xll.BDP($B8,X$6, "YLD_YTM_ASK="&amp;$S8,"YAS_YLD_CONV=3")*$X$3*0.0001</f>
        <v>#VALUE!</v>
      </c>
      <c r="Y8" s="24" t="e">
        <f t="shared" ca="1" si="2"/>
        <v>#VALUE!</v>
      </c>
      <c r="Z8" s="23">
        <f ca="1">_xll.meLWOBondDirtyPrice($L8,$C$4,$S8%)</f>
        <v>98.764945749316794</v>
      </c>
      <c r="AA8" s="23">
        <f ca="1">_xll.meLWOBondModifiedDuration($L8,$C$4,$S8%)</f>
        <v>2.2063213044583865</v>
      </c>
      <c r="AB8" s="22" t="str">
        <f ca="1">_xll.BDP($B8,AB$6,"YLD_YTM_ASK="&amp;$S8,"YAS_YLD_CONV=3")</f>
        <v>#N/A Requesting Data...</v>
      </c>
      <c r="AC8" s="24" t="e">
        <f t="shared" ca="1" si="3"/>
        <v>#VALUE!</v>
      </c>
      <c r="AD8" s="23">
        <f ca="1">_xll.meLWOBondDV01Numerical($L8,$C$4,$S8%,0.5,"CENTRAL")</f>
        <v>217.90720474314188</v>
      </c>
    </row>
    <row r="9" spans="2:31">
      <c r="B9" s="15" t="s">
        <v>71</v>
      </c>
      <c r="C9" s="15" t="s">
        <v>72</v>
      </c>
      <c r="D9" s="15" t="s">
        <v>72</v>
      </c>
      <c r="E9" s="16">
        <v>40589</v>
      </c>
      <c r="F9" s="19">
        <v>40589</v>
      </c>
      <c r="G9" s="18" t="str">
        <f t="shared" si="0"/>
        <v/>
      </c>
      <c r="H9" s="16">
        <v>40770</v>
      </c>
      <c r="I9" s="16">
        <v>44058</v>
      </c>
      <c r="J9" s="17">
        <v>3.6249999999999998E-2</v>
      </c>
      <c r="K9" s="16">
        <v>44242</v>
      </c>
      <c r="L9" s="20" t="str">
        <f ca="1">_xll.meLWOBondCreateFromGeneratorLVB(C9,$L$4,_xll.meUtilityLVBFromKeysValues($C$6:$K$6,C9:K9))</f>
        <v>US912828PX26:2</v>
      </c>
      <c r="M9" s="92">
        <f ca="1">_xll.BDP($B9,$M$5)</f>
        <v>2.8840743</v>
      </c>
      <c r="N9" s="89">
        <f ca="1">_xll.meLWOBondCleanPrice($L9,$C$4,$M9%)</f>
        <v>101.65625006599454</v>
      </c>
      <c r="O9" s="89">
        <f ca="1">_xll.meLWOBondDirtyPrice($L9,$C$4,$M9%)</f>
        <v>102.26698376164671</v>
      </c>
      <c r="P9" s="88">
        <f ca="1">_xll.meLWOBondYield($L9,$C$4,N9)</f>
        <v>2.8840742999999162E-2</v>
      </c>
      <c r="Q9" s="89">
        <f ca="1">_xll.meLWOBondModifiedDuration($L9,$C$4,$M9%)</f>
        <v>2.2130686022981862</v>
      </c>
      <c r="R9" s="23">
        <f ca="1">_xll.meLWOBondDV01($L9,$C$4,$M9%)</f>
        <v>226.3238508146388</v>
      </c>
      <c r="S9" s="86">
        <f t="shared" ca="1" si="4"/>
        <v>2.8840743</v>
      </c>
      <c r="T9" s="22" t="str">
        <f ca="1">_xll.BDP($B9,T$6, "YAS_BOND_YLD="&amp;$S9,"YAS_YLD_CONV=2")</f>
        <v>#N/A Requesting Data...</v>
      </c>
      <c r="U9" s="23">
        <f ca="1">_xll.meLWOBondCleanPrice($L9,$C$4,$S9%)</f>
        <v>101.65625006599454</v>
      </c>
      <c r="V9" s="24" t="e">
        <f t="shared" ca="1" si="1"/>
        <v>#VALUE!</v>
      </c>
      <c r="W9" s="23">
        <f ca="1">_xll.meLWOBondDV01($L9,$C$4,$S9%)</f>
        <v>226.3238508146388</v>
      </c>
      <c r="X9" s="22" t="e">
        <f ca="1">_xll.BDP($B9,X$6, "YLD_YTM_ASK="&amp;$S9,"YAS_YLD_CONV=3")*$X$3*0.0001</f>
        <v>#VALUE!</v>
      </c>
      <c r="Y9" s="24" t="e">
        <f t="shared" ca="1" si="2"/>
        <v>#VALUE!</v>
      </c>
      <c r="Z9" s="23">
        <f ca="1">_xll.meLWOBondDirtyPrice($L9,$C$4,$S9%)</f>
        <v>102.26698376164671</v>
      </c>
      <c r="AA9" s="23">
        <f ca="1">_xll.meLWOBondModifiedDuration($L9,$C$4,$S9%)</f>
        <v>2.2130686022981862</v>
      </c>
      <c r="AB9" s="22" t="str">
        <f ca="1">_xll.BDP($B9,AB$6,"YLD_YTM_ASK="&amp;$S9,"YAS_YLD_CONV=3")</f>
        <v>#N/A Requesting Data...</v>
      </c>
      <c r="AC9" s="24" t="e">
        <f t="shared" ca="1" si="3"/>
        <v>#VALUE!</v>
      </c>
      <c r="AD9" s="23">
        <f ca="1">_xll.meLWOBondDV01Numerical($L9,$C$4,$S9%,0.5,"CENTRAL")</f>
        <v>226.32385166417637</v>
      </c>
    </row>
    <row r="10" spans="2:31">
      <c r="B10" s="15" t="s">
        <v>113</v>
      </c>
      <c r="C10" s="15" t="s">
        <v>114</v>
      </c>
      <c r="D10" s="15" t="s">
        <v>114</v>
      </c>
      <c r="E10" s="16">
        <v>42429</v>
      </c>
      <c r="F10" s="19">
        <v>42429</v>
      </c>
      <c r="G10" s="18" t="str">
        <f t="shared" si="0"/>
        <v>EOM</v>
      </c>
      <c r="H10" s="16">
        <v>42613</v>
      </c>
      <c r="I10" s="16">
        <v>44074</v>
      </c>
      <c r="J10" s="17">
        <v>1.125E-2</v>
      </c>
      <c r="K10" s="16">
        <v>44255</v>
      </c>
      <c r="L10" s="20" t="str">
        <f ca="1">_xll.meLWOBondCreateFromGeneratorLVB(C10,$L$4,_xll.meUtilityLVBFromKeysValues($C$6:$K$6,C10:K10))</f>
        <v>US912828P873:2</v>
      </c>
      <c r="M10" s="92">
        <f ca="1">_xll.BDP($B10,$M$5)</f>
        <v>2.8912735000000001</v>
      </c>
      <c r="N10" s="89">
        <f ca="1">_xll.meLWOBondCleanPrice($L10,$C$4,$M10%)</f>
        <v>95.976562580586219</v>
      </c>
      <c r="O10" s="89">
        <f ca="1">_xll.meLWOBondDirtyPrice($L10,$C$4,$M10%)</f>
        <v>96.119518381691194</v>
      </c>
      <c r="P10" s="88">
        <f ca="1">_xll.meLWOBondYield($L10,$C$4,N10)</f>
        <v>2.8912735000002555E-2</v>
      </c>
      <c r="Q10" s="89">
        <f ca="1">_xll.meLWOBondModifiedDuration($L10,$C$4,$M10%)</f>
        <v>2.3109805155319596</v>
      </c>
      <c r="R10" s="23">
        <f ca="1">_xll.meLWOBondDV01($L10,$C$4,$M10%)</f>
        <v>222.13033414240439</v>
      </c>
      <c r="S10" s="86">
        <f t="shared" ca="1" si="4"/>
        <v>2.8912735000000001</v>
      </c>
      <c r="T10" s="22" t="str">
        <f ca="1">_xll.BDP($B10,T$6, "YAS_BOND_YLD="&amp;$S10,"YAS_YLD_CONV=2")</f>
        <v>#N/A Requesting Data...</v>
      </c>
      <c r="U10" s="23">
        <f ca="1">_xll.meLWOBondCleanPrice($L10,$C$4,$S10%)</f>
        <v>95.976562580586219</v>
      </c>
      <c r="V10" s="24" t="e">
        <f t="shared" ca="1" si="1"/>
        <v>#VALUE!</v>
      </c>
      <c r="W10" s="23">
        <f ca="1">_xll.meLWOBondDV01($L10,$C$4,$S10%)</f>
        <v>222.13033414240439</v>
      </c>
      <c r="X10" s="22" t="e">
        <f ca="1">_xll.BDP($B10,X$6, "YLD_YTM_ASK="&amp;$S10,"YAS_YLD_CONV=3")*$X$3*0.0001</f>
        <v>#VALUE!</v>
      </c>
      <c r="Y10" s="24" t="e">
        <f t="shared" ca="1" si="2"/>
        <v>#VALUE!</v>
      </c>
      <c r="Z10" s="23">
        <f ca="1">_xll.meLWOBondDirtyPrice($L10,$C$4,$S10%)</f>
        <v>96.119518381691194</v>
      </c>
      <c r="AA10" s="23">
        <f ca="1">_xll.meLWOBondModifiedDuration($L10,$C$4,$S10%)</f>
        <v>2.3109805155319596</v>
      </c>
      <c r="AB10" s="22" t="str">
        <f ca="1">_xll.BDP($B10,AB$6,"YLD_YTM_ASK="&amp;$S10,"YAS_YLD_CONV=3")</f>
        <v>#N/A Requesting Data...</v>
      </c>
      <c r="AC10" s="24" t="e">
        <f t="shared" ca="1" si="3"/>
        <v>#VALUE!</v>
      </c>
      <c r="AD10" s="23">
        <f ca="1">_xll.meLWOBondDV01Numerical($L10,$C$4,$S10%,0.5,"CENTRAL")</f>
        <v>222.13033500847246</v>
      </c>
    </row>
    <row r="11" spans="2:31" s="26" customFormat="1">
      <c r="B11" s="15" t="s">
        <v>189</v>
      </c>
      <c r="C11" s="15" t="s">
        <v>190</v>
      </c>
      <c r="D11" s="15" t="s">
        <v>190</v>
      </c>
      <c r="E11" s="16">
        <v>41698</v>
      </c>
      <c r="F11" s="19">
        <v>41698</v>
      </c>
      <c r="G11" s="18" t="str">
        <f t="shared" si="0"/>
        <v>EOM</v>
      </c>
      <c r="H11" s="16">
        <v>41882</v>
      </c>
      <c r="I11" s="16">
        <v>44074</v>
      </c>
      <c r="J11" s="17">
        <v>0.02</v>
      </c>
      <c r="K11" s="16">
        <v>44255</v>
      </c>
      <c r="L11" s="20" t="str">
        <f ca="1">_xll.meLWOBondCreateFromGeneratorLVB(C11,$L$4,_xll.meUtilityLVBFromKeysValues($C$6:$K$6,C11:K11))</f>
        <v>US912828B907:2</v>
      </c>
      <c r="M11" s="92">
        <f ca="1">_xll.BDP($B11,$M$5)</f>
        <v>2.8878110000000001</v>
      </c>
      <c r="N11" s="89">
        <f ca="1">_xll.meLWOBondCleanPrice($L11,$C$4,$M11%)</f>
        <v>97.976562506192039</v>
      </c>
      <c r="O11" s="89">
        <f ca="1">_xll.meLWOBondDirtyPrice($L11,$C$4,$M11%)</f>
        <v>98.230706152600874</v>
      </c>
      <c r="P11" s="88">
        <f ca="1">_xll.meLWOBondYield($L11,$C$4,N11)</f>
        <v>2.887811000000096E-2</v>
      </c>
      <c r="Q11" s="89">
        <f ca="1">_xll.meLWOBondModifiedDuration($L11,$C$4,$M11%)</f>
        <v>2.2902121525213008</v>
      </c>
      <c r="R11" s="23">
        <f ca="1">_xll.meLWOBondDV01($L11,$C$4,$M11%)</f>
        <v>224.96915698143542</v>
      </c>
      <c r="S11" s="86">
        <f t="shared" ca="1" si="4"/>
        <v>2.8878110000000001</v>
      </c>
      <c r="T11" s="22" t="str">
        <f ca="1">_xll.BDP($B11,T$6, "YAS_BOND_YLD="&amp;$S11,"YAS_YLD_CONV=2")</f>
        <v>#N/A Requesting Data...</v>
      </c>
      <c r="U11" s="23">
        <f ca="1">_xll.meLWOBondCleanPrice($L11,$C$4,$S11%)</f>
        <v>97.976562506192039</v>
      </c>
      <c r="V11" s="24" t="e">
        <f t="shared" ca="1" si="1"/>
        <v>#VALUE!</v>
      </c>
      <c r="W11" s="23">
        <f ca="1">_xll.meLWOBondDV01($L11,$C$4,$S11%)</f>
        <v>224.96915698143542</v>
      </c>
      <c r="X11" s="22" t="e">
        <f ca="1">_xll.BDP($B11,X$6, "YLD_YTM_ASK="&amp;$S11,"YAS_YLD_CONV=3")*$X$3*0.0001</f>
        <v>#VALUE!</v>
      </c>
      <c r="Y11" s="24" t="e">
        <f t="shared" ca="1" si="2"/>
        <v>#VALUE!</v>
      </c>
      <c r="Z11" s="23">
        <f ca="1">_xll.meLWOBondDirtyPrice($L11,$C$4,$S11%)</f>
        <v>98.230706152600874</v>
      </c>
      <c r="AA11" s="23">
        <f ca="1">_xll.meLWOBondModifiedDuration($L11,$C$4,$S11%)</f>
        <v>2.2902121525213008</v>
      </c>
      <c r="AB11" s="22" t="str">
        <f ca="1">_xll.BDP($B11,AB$6,"YLD_YTM_ASK="&amp;$S11,"YAS_YLD_CONV=3")</f>
        <v>#N/A Requesting Data...</v>
      </c>
      <c r="AC11" s="24" t="e">
        <f t="shared" ca="1" si="3"/>
        <v>#VALUE!</v>
      </c>
      <c r="AD11" s="23">
        <f ca="1">_xll.meLWOBondDV01Numerical($L11,$C$4,$S11%,0.5,"CENTRAL")</f>
        <v>224.96915785509941</v>
      </c>
    </row>
    <row r="12" spans="2:31">
      <c r="B12" s="15" t="s">
        <v>171</v>
      </c>
      <c r="C12" s="15" t="s">
        <v>172</v>
      </c>
      <c r="D12" s="15" t="s">
        <v>172</v>
      </c>
      <c r="E12" s="16">
        <v>42460</v>
      </c>
      <c r="F12" s="19">
        <v>42460</v>
      </c>
      <c r="G12" s="18" t="str">
        <f t="shared" si="0"/>
        <v>EOM</v>
      </c>
      <c r="H12" s="16">
        <v>42643</v>
      </c>
      <c r="I12" s="16">
        <v>44104</v>
      </c>
      <c r="J12" s="17">
        <v>1.2500000000000001E-2</v>
      </c>
      <c r="K12" s="16">
        <v>44286</v>
      </c>
      <c r="L12" s="20" t="str">
        <f ca="1">_xll.meLWOBondCreateFromGeneratorLVB(C12,$L$4,_xll.meUtilityLVBFromKeysValues($C$6:$K$6,C12:K12))</f>
        <v>US912828Q376:2</v>
      </c>
      <c r="M12" s="92">
        <f ca="1">_xll.BDP($B12,$M$5)</f>
        <v>2.8855523999999999</v>
      </c>
      <c r="N12" s="89">
        <f ca="1">_xll.meLWOBondCleanPrice($L12,$C$4,$M12%)</f>
        <v>96.148437521140181</v>
      </c>
      <c r="O12" s="89">
        <f ca="1">_xll.meLWOBondDirtyPrice($L12,$C$4,$M12%)</f>
        <v>96.203382576085232</v>
      </c>
      <c r="P12" s="88">
        <f ca="1">_xll.meLWOBondYield($L12,$C$4,N12)</f>
        <v>2.8855524000002637E-2</v>
      </c>
      <c r="Q12" s="89">
        <f ca="1">_xll.meLWOBondModifiedDuration($L12,$C$4,$M12%)</f>
        <v>2.3899534215539946</v>
      </c>
      <c r="R12" s="23">
        <f ca="1">_xll.meLWOBondDV01($L12,$C$4,$M12%)</f>
        <v>229.92160335278285</v>
      </c>
      <c r="S12" s="86">
        <f t="shared" ca="1" si="4"/>
        <v>2.8855523999999999</v>
      </c>
      <c r="T12" s="22" t="str">
        <f ca="1">_xll.BDP($B12,T$6, "YAS_BOND_YLD="&amp;$S12,"YAS_YLD_CONV=2")</f>
        <v>#N/A Requesting Data...</v>
      </c>
      <c r="U12" s="23">
        <f ca="1">_xll.meLWOBondCleanPrice($L12,$C$4,$S12%)</f>
        <v>96.148437521140181</v>
      </c>
      <c r="V12" s="24" t="e">
        <f t="shared" ca="1" si="1"/>
        <v>#VALUE!</v>
      </c>
      <c r="W12" s="23">
        <f ca="1">_xll.meLWOBondDV01($L12,$C$4,$S12%)</f>
        <v>229.92160335278285</v>
      </c>
      <c r="X12" s="22" t="e">
        <f ca="1">_xll.BDP($B12,X$6, "YLD_YTM_ASK="&amp;$S12,"YAS_YLD_CONV=3")*$X$3*0.0001</f>
        <v>#VALUE!</v>
      </c>
      <c r="Y12" s="24" t="e">
        <f t="shared" ca="1" si="2"/>
        <v>#VALUE!</v>
      </c>
      <c r="Z12" s="23">
        <f ca="1">_xll.meLWOBondDirtyPrice($L12,$C$4,$S12%)</f>
        <v>96.203382576085232</v>
      </c>
      <c r="AA12" s="23">
        <f ca="1">_xll.meLWOBondModifiedDuration($L12,$C$4,$S12%)</f>
        <v>2.3899534215539946</v>
      </c>
      <c r="AB12" s="22" t="str">
        <f ca="1">_xll.BDP($B12,AB$6,"YLD_YTM_ASK="&amp;$S12,"YAS_YLD_CONV=3")</f>
        <v>#N/A Requesting Data...</v>
      </c>
      <c r="AC12" s="24" t="e">
        <f t="shared" ca="1" si="3"/>
        <v>#VALUE!</v>
      </c>
      <c r="AD12" s="23">
        <f ca="1">_xll.meLWOBondDV01Numerical($L12,$C$4,$S12%,0.5,"CENTRAL")</f>
        <v>229.92160429723185</v>
      </c>
    </row>
    <row r="13" spans="2:31">
      <c r="B13" s="15" t="s">
        <v>187</v>
      </c>
      <c r="C13" s="15" t="s">
        <v>188</v>
      </c>
      <c r="D13" s="15" t="s">
        <v>188</v>
      </c>
      <c r="E13" s="16">
        <v>41729</v>
      </c>
      <c r="F13" s="19">
        <v>41729</v>
      </c>
      <c r="G13" s="18" t="str">
        <f t="shared" si="0"/>
        <v>EOM</v>
      </c>
      <c r="H13" s="16">
        <v>41912</v>
      </c>
      <c r="I13" s="16">
        <v>44104</v>
      </c>
      <c r="J13" s="17">
        <v>2.2499999999999999E-2</v>
      </c>
      <c r="K13" s="16">
        <v>44286</v>
      </c>
      <c r="L13" s="20" t="str">
        <f ca="1">_xll.meLWOBondCreateFromGeneratorLVB(C13,$L$4,_xll.meUtilityLVBFromKeysValues($C$6:$K$6,C13:K13))</f>
        <v>US912828C574:2</v>
      </c>
      <c r="M13" s="92">
        <f ca="1">_xll.BDP($B13,$M$5)</f>
        <v>2.8901146999999998</v>
      </c>
      <c r="N13" s="89">
        <f ca="1">_xll.meLWOBondCleanPrice($L13,$C$4,$M13%)</f>
        <v>98.492187468264262</v>
      </c>
      <c r="O13" s="89">
        <f ca="1">_xll.meLWOBondDirtyPrice($L13,$C$4,$M13%)</f>
        <v>98.591088567165357</v>
      </c>
      <c r="P13" s="88">
        <f ca="1">_xll.meLWOBondYield($L13,$C$4,N13)</f>
        <v>2.8901147000000346E-2</v>
      </c>
      <c r="Q13" s="89">
        <f ca="1">_xll.meLWOBondModifiedDuration($L13,$C$4,$M13%)</f>
        <v>2.3663334319370324</v>
      </c>
      <c r="R13" s="23">
        <f ca="1">_xll.meLWOBondDV01($L13,$C$4,$M13%)</f>
        <v>233.29938896754831</v>
      </c>
      <c r="S13" s="86">
        <f t="shared" ca="1" si="4"/>
        <v>2.8901146999999998</v>
      </c>
      <c r="T13" s="22" t="str">
        <f ca="1">_xll.BDP($B13,T$6, "YAS_BOND_YLD="&amp;$S13,"YAS_YLD_CONV=2")</f>
        <v>#N/A Requesting Data...</v>
      </c>
      <c r="U13" s="23">
        <f ca="1">_xll.meLWOBondCleanPrice($L13,$C$4,$S13%)</f>
        <v>98.492187468264262</v>
      </c>
      <c r="V13" s="24" t="e">
        <f t="shared" ca="1" si="1"/>
        <v>#VALUE!</v>
      </c>
      <c r="W13" s="23">
        <f ca="1">_xll.meLWOBondDV01($L13,$C$4,$S13%)</f>
        <v>233.29938896754831</v>
      </c>
      <c r="X13" s="22" t="e">
        <f ca="1">_xll.BDP($B13,X$6, "YLD_YTM_ASK="&amp;$S13,"YAS_YLD_CONV=3")*$X$3*0.0001</f>
        <v>#VALUE!</v>
      </c>
      <c r="Y13" s="24" t="e">
        <f t="shared" ca="1" si="2"/>
        <v>#VALUE!</v>
      </c>
      <c r="Z13" s="23">
        <f ca="1">_xll.meLWOBondDirtyPrice($L13,$C$4,$S13%)</f>
        <v>98.591088567165357</v>
      </c>
      <c r="AA13" s="23">
        <f ca="1">_xll.meLWOBondModifiedDuration($L13,$C$4,$S13%)</f>
        <v>2.3663334319370324</v>
      </c>
      <c r="AB13" s="22" t="str">
        <f ca="1">_xll.BDP($B13,AB$6,"YLD_YTM_ASK="&amp;$S13,"YAS_YLD_CONV=3")</f>
        <v>#N/A Requesting Data...</v>
      </c>
      <c r="AC13" s="24" t="e">
        <f t="shared" ca="1" si="3"/>
        <v>#VALUE!</v>
      </c>
      <c r="AD13" s="23">
        <f ca="1">_xll.meLWOBondDV01Numerical($L13,$C$4,$S13%,0.5,"CENTRAL")</f>
        <v>233.29938992105784</v>
      </c>
    </row>
    <row r="14" spans="2:31">
      <c r="B14" s="15" t="s">
        <v>227</v>
      </c>
      <c r="C14" s="15" t="s">
        <v>228</v>
      </c>
      <c r="D14" s="15" t="s">
        <v>228</v>
      </c>
      <c r="E14" s="16">
        <v>42492</v>
      </c>
      <c r="F14" s="19">
        <v>42490</v>
      </c>
      <c r="G14" s="18" t="str">
        <f t="shared" si="0"/>
        <v>EOM</v>
      </c>
      <c r="H14" s="16">
        <v>42674</v>
      </c>
      <c r="I14" s="16">
        <v>44135</v>
      </c>
      <c r="J14" s="17">
        <v>1.375E-2</v>
      </c>
      <c r="K14" s="16">
        <v>44316</v>
      </c>
      <c r="L14" s="20" t="str">
        <f ca="1">_xll.meLWOBondCreateFromGeneratorLVB(C14,$L$4,_xll.meUtilityLVBFromKeysValues($C$6:$K$6,C14:K14))</f>
        <v>US912828Q780:2</v>
      </c>
      <c r="M14" s="92">
        <f ca="1">_xll.BDP($B14,$M$5)</f>
        <v>2.8938758</v>
      </c>
      <c r="N14" s="89">
        <f ca="1">_xll.meLWOBondCleanPrice($L14,$C$4,$M14%)</f>
        <v>96.304687608357185</v>
      </c>
      <c r="O14" s="89">
        <f ca="1">_xll.meLWOBondDirtyPrice($L14,$C$4,$M14%)</f>
        <v>96.936141412705012</v>
      </c>
      <c r="P14" s="88">
        <f ca="1">_xll.meLWOBondYield($L14,$C$4,N14)</f>
        <v>2.893875800000174E-2</v>
      </c>
      <c r="Q14" s="89">
        <f ca="1">_xll.meLWOBondModifiedDuration($L14,$C$4,$M14%)</f>
        <v>2.453135193456248</v>
      </c>
      <c r="R14" s="23">
        <f ca="1">_xll.meLWOBondDV01($L14,$C$4,$M14%)</f>
        <v>237.79746001735833</v>
      </c>
      <c r="S14" s="86">
        <f t="shared" ca="1" si="4"/>
        <v>2.8938758</v>
      </c>
      <c r="T14" s="22" t="str">
        <f ca="1">_xll.BDP($B14,T$6, "YAS_BOND_YLD="&amp;$S14,"YAS_YLD_CONV=2")</f>
        <v>#N/A Requesting Data...</v>
      </c>
      <c r="U14" s="23">
        <f ca="1">_xll.meLWOBondCleanPrice($L14,$C$4,$S14%)</f>
        <v>96.304687608357185</v>
      </c>
      <c r="V14" s="24" t="e">
        <f t="shared" ca="1" si="1"/>
        <v>#VALUE!</v>
      </c>
      <c r="W14" s="23">
        <f ca="1">_xll.meLWOBondDV01($L14,$C$4,$S14%)</f>
        <v>237.79746001735833</v>
      </c>
      <c r="X14" s="22" t="e">
        <f ca="1">_xll.BDP($B14,X$6, "YLD_YTM_ASK="&amp;$S14,"YAS_YLD_CONV=3")*$X$3*0.0001</f>
        <v>#VALUE!</v>
      </c>
      <c r="Y14" s="24" t="e">
        <f t="shared" ca="1" si="2"/>
        <v>#VALUE!</v>
      </c>
      <c r="Z14" s="23">
        <f ca="1">_xll.meLWOBondDirtyPrice($L14,$C$4,$S14%)</f>
        <v>96.936141412705012</v>
      </c>
      <c r="AA14" s="23">
        <f ca="1">_xll.meLWOBondModifiedDuration($L14,$C$4,$S14%)</f>
        <v>2.453135193456248</v>
      </c>
      <c r="AB14" s="22" t="str">
        <f ca="1">_xll.BDP($B14,AB$6,"YLD_YTM_ASK="&amp;$S14,"YAS_YLD_CONV=3")</f>
        <v>#N/A Requesting Data...</v>
      </c>
      <c r="AC14" s="24" t="e">
        <f t="shared" ca="1" si="3"/>
        <v>#VALUE!</v>
      </c>
      <c r="AD14" s="23">
        <f ca="1">_xll.meLWOBondDV01Numerical($L14,$C$4,$S14%,0.5,"CENTRAL")</f>
        <v>237.79746104708013</v>
      </c>
    </row>
    <row r="15" spans="2:31">
      <c r="B15" s="15" t="s">
        <v>75</v>
      </c>
      <c r="C15" s="15" t="s">
        <v>76</v>
      </c>
      <c r="D15" s="15" t="s">
        <v>76</v>
      </c>
      <c r="E15" s="16">
        <v>40679</v>
      </c>
      <c r="F15" s="19">
        <v>40678</v>
      </c>
      <c r="G15" s="18" t="str">
        <f t="shared" si="0"/>
        <v/>
      </c>
      <c r="H15" s="16">
        <v>40862</v>
      </c>
      <c r="I15" s="16">
        <v>44150</v>
      </c>
      <c r="J15" s="17">
        <v>3.125E-2</v>
      </c>
      <c r="K15" s="16">
        <v>44331</v>
      </c>
      <c r="L15" s="20" t="str">
        <f ca="1">_xll.meLWOBondCreateFromGeneratorLVB(C15,$L$4,_xll.meUtilityLVBFromKeysValues($C$6:$K$6,C15:K15))</f>
        <v>US912828QN35:2</v>
      </c>
      <c r="M15" s="92">
        <f ca="1">_xll.BDP($B15,$M$5)</f>
        <v>2.8872095</v>
      </c>
      <c r="N15" s="89">
        <f ca="1">_xll.meLWOBondCleanPrice($L15,$C$4,$M15%)</f>
        <v>100.58593749561483</v>
      </c>
      <c r="O15" s="89">
        <f ca="1">_xll.meLWOBondDirtyPrice($L15,$C$4,$M15%)</f>
        <v>101.89368206083222</v>
      </c>
      <c r="P15" s="88">
        <f ca="1">_xll.meLWOBondYield($L15,$C$4,N15)</f>
        <v>2.887209499999964E-2</v>
      </c>
      <c r="Q15" s="89">
        <f ca="1">_xll.meLWOBondModifiedDuration($L15,$C$4,$M15%)</f>
        <v>2.4338001609870066</v>
      </c>
      <c r="R15" s="23">
        <f ca="1">_xll.meLWOBondDV01($L15,$C$4,$M15%)</f>
        <v>247.98885980321231</v>
      </c>
      <c r="S15" s="86">
        <f t="shared" ca="1" si="4"/>
        <v>2.8872095</v>
      </c>
      <c r="T15" s="22" t="str">
        <f ca="1">_xll.BDP($B15,T$6, "YAS_BOND_YLD="&amp;$S15,"YAS_YLD_CONV=2")</f>
        <v>#N/A Requesting Data...</v>
      </c>
      <c r="U15" s="23">
        <f ca="1">_xll.meLWOBondCleanPrice($L15,$C$4,$S15%)</f>
        <v>100.58593749561483</v>
      </c>
      <c r="V15" s="24" t="e">
        <f t="shared" ca="1" si="1"/>
        <v>#VALUE!</v>
      </c>
      <c r="W15" s="23">
        <f ca="1">_xll.meLWOBondDV01($L15,$C$4,$S15%)</f>
        <v>247.98885980321231</v>
      </c>
      <c r="X15" s="22" t="e">
        <f ca="1">_xll.BDP($B15,X$6, "YLD_YTM_ASK="&amp;$S15,"YAS_YLD_CONV=3")*$X$3*0.0001</f>
        <v>#VALUE!</v>
      </c>
      <c r="Y15" s="24" t="e">
        <f t="shared" ca="1" si="2"/>
        <v>#VALUE!</v>
      </c>
      <c r="Z15" s="23">
        <f ca="1">_xll.meLWOBondDirtyPrice($L15,$C$4,$S15%)</f>
        <v>101.89368206083222</v>
      </c>
      <c r="AA15" s="23">
        <f ca="1">_xll.meLWOBondModifiedDuration($L15,$C$4,$S15%)</f>
        <v>2.4338001609870066</v>
      </c>
      <c r="AB15" s="22" t="str">
        <f ca="1">_xll.BDP($B15,AB$6,"YLD_YTM_ASK="&amp;$S15,"YAS_YLD_CONV=3")</f>
        <v>#N/A Requesting Data...</v>
      </c>
      <c r="AC15" s="24" t="e">
        <f t="shared" ca="1" si="3"/>
        <v>#VALUE!</v>
      </c>
      <c r="AD15" s="23">
        <f ca="1">_xll.meLWOBondDV01Numerical($L15,$C$4,$S15%,0.5,"CENTRAL")</f>
        <v>247.98886089286046</v>
      </c>
    </row>
    <row r="16" spans="2:31">
      <c r="B16" s="15" t="s">
        <v>159</v>
      </c>
      <c r="C16" s="15" t="s">
        <v>160</v>
      </c>
      <c r="D16" s="15" t="s">
        <v>160</v>
      </c>
      <c r="E16" s="16">
        <v>42521</v>
      </c>
      <c r="F16" s="19">
        <v>42521</v>
      </c>
      <c r="G16" s="18" t="str">
        <f t="shared" si="0"/>
        <v>EOM</v>
      </c>
      <c r="H16" s="16">
        <v>42704</v>
      </c>
      <c r="I16" s="16">
        <v>44165</v>
      </c>
      <c r="J16" s="17">
        <v>1.375E-2</v>
      </c>
      <c r="K16" s="16">
        <v>44347</v>
      </c>
      <c r="L16" s="20" t="str">
        <f ca="1">_xll.meLWOBondCreateFromGeneratorLVB(C16,$L$4,_xll.meUtilityLVBFromKeysValues($C$6:$K$6,C16:K16))</f>
        <v>US912828R770:2</v>
      </c>
      <c r="M16" s="92">
        <f ca="1">_xll.BDP($B16,$M$5)</f>
        <v>2.9040778</v>
      </c>
      <c r="N16" s="89">
        <f ca="1">_xll.meLWOBondCleanPrice($L16,$C$4,$M16%)</f>
        <v>96.164062471436026</v>
      </c>
      <c r="O16" s="89">
        <f ca="1">_xll.meLWOBondDirtyPrice($L16,$C$4,$M16%)</f>
        <v>96.68250509438684</v>
      </c>
      <c r="P16" s="88">
        <f ca="1">_xll.meLWOBondYield($L16,$C$4,N16)</f>
        <v>2.9040778000002963E-2</v>
      </c>
      <c r="Q16" s="89">
        <f ca="1">_xll.meLWOBondModifiedDuration($L16,$C$4,$M16%)</f>
        <v>2.5340161887469437</v>
      </c>
      <c r="R16" s="23">
        <f ca="1">_xll.meLWOBondDV01($L16,$C$4,$M16%)</f>
        <v>244.99503307778511</v>
      </c>
      <c r="S16" s="86">
        <f t="shared" ca="1" si="4"/>
        <v>2.9040778</v>
      </c>
      <c r="T16" s="22" t="str">
        <f ca="1">_xll.BDP($B16,T$6, "YAS_BOND_YLD="&amp;$S16,"YAS_YLD_CONV=2")</f>
        <v>#N/A Requesting Data...</v>
      </c>
      <c r="U16" s="23">
        <f ca="1">_xll.meLWOBondCleanPrice($L16,$C$4,$S16%)</f>
        <v>96.164062471436026</v>
      </c>
      <c r="V16" s="24" t="e">
        <f t="shared" ca="1" si="1"/>
        <v>#VALUE!</v>
      </c>
      <c r="W16" s="23">
        <f ca="1">_xll.meLWOBondDV01($L16,$C$4,$S16%)</f>
        <v>244.99503307778511</v>
      </c>
      <c r="X16" s="22" t="e">
        <f ca="1">_xll.BDP($B16,X$6, "YLD_YTM_ASK="&amp;$S16,"YAS_YLD_CONV=3")*$X$3*0.0001</f>
        <v>#VALUE!</v>
      </c>
      <c r="Y16" s="24" t="e">
        <f t="shared" ca="1" si="2"/>
        <v>#VALUE!</v>
      </c>
      <c r="Z16" s="23">
        <f ca="1">_xll.meLWOBondDirtyPrice($L16,$C$4,$S16%)</f>
        <v>96.68250509438684</v>
      </c>
      <c r="AA16" s="23">
        <f ca="1">_xll.meLWOBondModifiedDuration($L16,$C$4,$S16%)</f>
        <v>2.5340161887469437</v>
      </c>
      <c r="AB16" s="22" t="str">
        <f ca="1">_xll.BDP($B16,AB$6,"YLD_YTM_ASK="&amp;$S16,"YAS_YLD_CONV=3")</f>
        <v>#N/A Requesting Data...</v>
      </c>
      <c r="AC16" s="24" t="e">
        <f t="shared" ca="1" si="3"/>
        <v>#VALUE!</v>
      </c>
      <c r="AD16" s="23">
        <f ca="1">_xll.meLWOBondDV01Numerical($L16,$C$4,$S16%,0.5,"CENTRAL")</f>
        <v>244.9950341919305</v>
      </c>
    </row>
    <row r="17" spans="2:30">
      <c r="B17" s="15" t="s">
        <v>217</v>
      </c>
      <c r="C17" s="15" t="s">
        <v>218</v>
      </c>
      <c r="D17" s="15" t="s">
        <v>218</v>
      </c>
      <c r="E17" s="16">
        <v>41792</v>
      </c>
      <c r="F17" s="19">
        <v>41790</v>
      </c>
      <c r="G17" s="18" t="str">
        <f t="shared" si="0"/>
        <v>EOM</v>
      </c>
      <c r="H17" s="16">
        <v>41973</v>
      </c>
      <c r="I17" s="16">
        <v>44165</v>
      </c>
      <c r="J17" s="17">
        <v>0.02</v>
      </c>
      <c r="K17" s="16">
        <v>44347</v>
      </c>
      <c r="L17" s="20" t="str">
        <f ca="1">_xll.meLWOBondCreateFromGeneratorLVB(C17,$L$4,_xll.meUtilityLVBFromKeysValues($C$6:$K$6,C17:K17))</f>
        <v>US912828WN60:2</v>
      </c>
      <c r="M17" s="92">
        <f ca="1">_xll.BDP($B17,$M$5)</f>
        <v>2.8996293</v>
      </c>
      <c r="N17" s="89">
        <f ca="1">_xll.meLWOBondCleanPrice($L17,$C$4,$M17%)</f>
        <v>97.742187431806229</v>
      </c>
      <c r="O17" s="89">
        <f ca="1">_xll.meLWOBondDirtyPrice($L17,$C$4,$M17%)</f>
        <v>98.496285792461961</v>
      </c>
      <c r="P17" s="88">
        <f ca="1">_xll.meLWOBondYield($L17,$C$4,N17)</f>
        <v>2.8996293000001144E-2</v>
      </c>
      <c r="Q17" s="89">
        <f ca="1">_xll.meLWOBondModifiedDuration($L17,$C$4,$M17%)</f>
        <v>2.5120846640630758</v>
      </c>
      <c r="R17" s="23">
        <f ca="1">_xll.meLWOBondDV01($L17,$C$4,$M17%)</f>
        <v>247.4310090064175</v>
      </c>
      <c r="S17" s="86">
        <f t="shared" ca="1" si="4"/>
        <v>2.8996293</v>
      </c>
      <c r="T17" s="22" t="str">
        <f ca="1">_xll.BDP($B17,T$6, "YAS_BOND_YLD="&amp;$S17,"YAS_YLD_CONV=2")</f>
        <v>#N/A Requesting Data...</v>
      </c>
      <c r="U17" s="23">
        <f ca="1">_xll.meLWOBondCleanPrice($L17,$C$4,$S17%)</f>
        <v>97.742187431806229</v>
      </c>
      <c r="V17" s="24" t="e">
        <f t="shared" ca="1" si="1"/>
        <v>#VALUE!</v>
      </c>
      <c r="W17" s="23">
        <f ca="1">_xll.meLWOBondDV01($L17,$C$4,$S17%)</f>
        <v>247.4310090064175</v>
      </c>
      <c r="X17" s="22" t="e">
        <f ca="1">_xll.BDP($B17,X$6, "YLD_YTM_ASK="&amp;$S17,"YAS_YLD_CONV=3")*$X$3*0.0001</f>
        <v>#VALUE!</v>
      </c>
      <c r="Y17" s="24" t="e">
        <f t="shared" ca="1" si="2"/>
        <v>#VALUE!</v>
      </c>
      <c r="Z17" s="23">
        <f ca="1">_xll.meLWOBondDirtyPrice($L17,$C$4,$S17%)</f>
        <v>98.496285792461961</v>
      </c>
      <c r="AA17" s="23">
        <f ca="1">_xll.meLWOBondModifiedDuration($L17,$C$4,$S17%)</f>
        <v>2.5120846640630758</v>
      </c>
      <c r="AB17" s="22" t="str">
        <f ca="1">_xll.BDP($B17,AB$6,"YLD_YTM_ASK="&amp;$S17,"YAS_YLD_CONV=3")</f>
        <v>#N/A Requesting Data...</v>
      </c>
      <c r="AC17" s="24" t="e">
        <f t="shared" ca="1" si="3"/>
        <v>#VALUE!</v>
      </c>
      <c r="AD17" s="23">
        <f ca="1">_xll.meLWOBondDV01Numerical($L17,$C$4,$S17%,0.5,"CENTRAL")</f>
        <v>247.43101012674632</v>
      </c>
    </row>
    <row r="18" spans="2:30">
      <c r="B18" s="15" t="s">
        <v>123</v>
      </c>
      <c r="C18" s="15" t="s">
        <v>124</v>
      </c>
      <c r="D18" s="15" t="s">
        <v>124</v>
      </c>
      <c r="E18" s="16">
        <v>42551</v>
      </c>
      <c r="F18" s="19">
        <v>42551</v>
      </c>
      <c r="G18" s="18" t="str">
        <f t="shared" si="0"/>
        <v>EOM</v>
      </c>
      <c r="H18" s="16">
        <v>42735</v>
      </c>
      <c r="I18" s="16">
        <v>44196</v>
      </c>
      <c r="J18" s="17">
        <v>1.125E-2</v>
      </c>
      <c r="K18" s="16">
        <v>44377</v>
      </c>
      <c r="L18" s="20" t="str">
        <f ca="1">_xll.meLWOBondCreateFromGeneratorLVB(C18,$L$4,_xll.meUtilityLVBFromKeysValues($C$6:$K$6,C18:K18))</f>
        <v>US912828S273:2</v>
      </c>
      <c r="M18" s="92">
        <f ca="1">_xll.BDP($B18,$M$5)</f>
        <v>2.9048150000000001</v>
      </c>
      <c r="N18" s="89">
        <f ca="1">_xll.meLWOBondCleanPrice($L18,$C$4,$M18%)</f>
        <v>95.398437566897684</v>
      </c>
      <c r="O18" s="89">
        <f ca="1">_xll.meLWOBondDirtyPrice($L18,$C$4,$M18%)</f>
        <v>95.728600610375949</v>
      </c>
      <c r="P18" s="88">
        <f ca="1">_xll.meLWOBondYield($L18,$C$4,N18)</f>
        <v>2.9048150000003072E-2</v>
      </c>
      <c r="Q18" s="89">
        <f ca="1">_xll.meLWOBondModifiedDuration($L18,$C$4,$M18%)</f>
        <v>2.6254091869355856</v>
      </c>
      <c r="R18" s="23">
        <f ca="1">_xll.meLWOBondDV01($L18,$C$4,$M18%)</f>
        <v>251.32674749496852</v>
      </c>
      <c r="S18" s="86">
        <f t="shared" ca="1" si="4"/>
        <v>2.9048150000000001</v>
      </c>
      <c r="T18" s="22" t="str">
        <f ca="1">_xll.BDP($B18,T$6, "YAS_BOND_YLD="&amp;$S18,"YAS_YLD_CONV=2")</f>
        <v>#N/A Requesting Data...</v>
      </c>
      <c r="U18" s="23">
        <f ca="1">_xll.meLWOBondCleanPrice($L18,$C$4,$S18%)</f>
        <v>95.398437566897684</v>
      </c>
      <c r="V18" s="24" t="e">
        <f t="shared" ca="1" si="1"/>
        <v>#VALUE!</v>
      </c>
      <c r="W18" s="23">
        <f ca="1">_xll.meLWOBondDV01($L18,$C$4,$S18%)</f>
        <v>251.32674749496852</v>
      </c>
      <c r="X18" s="22" t="e">
        <f ca="1">_xll.BDP($B18,X$6, "YLD_YTM_ASK="&amp;$S18,"YAS_YLD_CONV=3")*$X$3*0.0001</f>
        <v>#VALUE!</v>
      </c>
      <c r="Y18" s="24" t="e">
        <f t="shared" ca="1" si="2"/>
        <v>#VALUE!</v>
      </c>
      <c r="Z18" s="23">
        <f ca="1">_xll.meLWOBondDirtyPrice($L18,$C$4,$S18%)</f>
        <v>95.728600610375949</v>
      </c>
      <c r="AA18" s="23">
        <f ca="1">_xll.meLWOBondModifiedDuration($L18,$C$4,$S18%)</f>
        <v>2.6254091869355856</v>
      </c>
      <c r="AB18" s="22" t="str">
        <f ca="1">_xll.BDP($B18,AB$6,"YLD_YTM_ASK="&amp;$S18,"YAS_YLD_CONV=3")</f>
        <v>#N/A Requesting Data...</v>
      </c>
      <c r="AC18" s="24" t="e">
        <f t="shared" ca="1" si="3"/>
        <v>#VALUE!</v>
      </c>
      <c r="AD18" s="23">
        <f ca="1">_xll.meLWOBondDV01Numerical($L18,$C$4,$S18%,0.5,"CENTRAL")</f>
        <v>251.32674869581709</v>
      </c>
    </row>
    <row r="19" spans="2:30">
      <c r="B19" s="15" t="s">
        <v>197</v>
      </c>
      <c r="C19" s="15" t="s">
        <v>198</v>
      </c>
      <c r="D19" s="15" t="s">
        <v>198</v>
      </c>
      <c r="E19" s="16">
        <v>41820</v>
      </c>
      <c r="F19" s="19">
        <v>41820</v>
      </c>
      <c r="G19" s="18" t="str">
        <f t="shared" si="0"/>
        <v>EOM</v>
      </c>
      <c r="H19" s="16">
        <v>42004</v>
      </c>
      <c r="I19" s="16">
        <v>44196</v>
      </c>
      <c r="J19" s="17">
        <v>2.1250000000000002E-2</v>
      </c>
      <c r="K19" s="16">
        <v>44377</v>
      </c>
      <c r="L19" s="20" t="str">
        <f ca="1">_xll.meLWOBondCreateFromGeneratorLVB(C19,$L$4,_xll.meUtilityLVBFromKeysValues($C$6:$K$6,C19:K19))</f>
        <v>US912828WR74:2</v>
      </c>
      <c r="M19" s="92">
        <f ca="1">_xll.BDP($B19,$M$5)</f>
        <v>2.9040521999999998</v>
      </c>
      <c r="N19" s="89">
        <f ca="1">_xll.meLWOBondCleanPrice($L19,$C$4,$M19%)</f>
        <v>97.984374928923373</v>
      </c>
      <c r="O19" s="89">
        <f ca="1">_xll.meLWOBondDirtyPrice($L19,$C$4,$M19%)</f>
        <v>98.608016233271201</v>
      </c>
      <c r="P19" s="88">
        <f ca="1">_xll.meLWOBondYield($L19,$C$4,N19)</f>
        <v>2.9040522000000443E-2</v>
      </c>
      <c r="Q19" s="89">
        <f ca="1">_xll.meLWOBondModifiedDuration($L19,$C$4,$M19%)</f>
        <v>2.5900968649636211</v>
      </c>
      <c r="R19" s="23">
        <f ca="1">_xll.meLWOBondDV01($L19,$C$4,$M19%)</f>
        <v>255.4043137060776</v>
      </c>
      <c r="S19" s="86">
        <f t="shared" ca="1" si="4"/>
        <v>2.9040521999999998</v>
      </c>
      <c r="T19" s="22" t="str">
        <f ca="1">_xll.BDP($B19,T$6, "YAS_BOND_YLD="&amp;$S19,"YAS_YLD_CONV=2")</f>
        <v>#N/A Requesting Data...</v>
      </c>
      <c r="U19" s="23">
        <f ca="1">_xll.meLWOBondCleanPrice($L19,$C$4,$S19%)</f>
        <v>97.984374928923373</v>
      </c>
      <c r="V19" s="24" t="e">
        <f t="shared" ca="1" si="1"/>
        <v>#VALUE!</v>
      </c>
      <c r="W19" s="23">
        <f ca="1">_xll.meLWOBondDV01($L19,$C$4,$S19%)</f>
        <v>255.4043137060776</v>
      </c>
      <c r="X19" s="22" t="e">
        <f ca="1">_xll.BDP($B19,X$6, "YLD_YTM_ASK="&amp;$S19,"YAS_YLD_CONV=3")*$X$3*0.0001</f>
        <v>#VALUE!</v>
      </c>
      <c r="Y19" s="24" t="e">
        <f t="shared" ca="1" si="2"/>
        <v>#VALUE!</v>
      </c>
      <c r="Z19" s="23">
        <f ca="1">_xll.meLWOBondDirtyPrice($L19,$C$4,$S19%)</f>
        <v>98.608016233271201</v>
      </c>
      <c r="AA19" s="23">
        <f ca="1">_xll.meLWOBondModifiedDuration($L19,$C$4,$S19%)</f>
        <v>2.5900968649636211</v>
      </c>
      <c r="AB19" s="22" t="str">
        <f ca="1">_xll.BDP($B19,AB$6,"YLD_YTM_ASK="&amp;$S19,"YAS_YLD_CONV=3")</f>
        <v>#N/A Requesting Data...</v>
      </c>
      <c r="AC19" s="24" t="e">
        <f t="shared" ca="1" si="3"/>
        <v>#VALUE!</v>
      </c>
      <c r="AD19" s="23">
        <f ca="1">_xll.meLWOBondDV01Numerical($L19,$C$4,$S19%,0.5,"CENTRAL")</f>
        <v>255.40431492075302</v>
      </c>
    </row>
    <row r="20" spans="2:30">
      <c r="B20" s="15" t="s">
        <v>103</v>
      </c>
      <c r="C20" s="15" t="s">
        <v>104</v>
      </c>
      <c r="D20" s="15" t="s">
        <v>104</v>
      </c>
      <c r="E20" s="16">
        <v>42583</v>
      </c>
      <c r="F20" s="19">
        <v>42582</v>
      </c>
      <c r="G20" s="18" t="str">
        <f t="shared" si="0"/>
        <v>EOM</v>
      </c>
      <c r="H20" s="16">
        <v>42766</v>
      </c>
      <c r="I20" s="16">
        <v>44227</v>
      </c>
      <c r="J20" s="17">
        <v>1.125E-2</v>
      </c>
      <c r="K20" s="16">
        <v>44408</v>
      </c>
      <c r="L20" s="20" t="str">
        <f ca="1">_xll.meLWOBondCreateFromGeneratorLVB(C20,$L$4,_xll.meUtilityLVBFromKeysValues($C$6:$K$6,C20:K20))</f>
        <v>US912828S760:2</v>
      </c>
      <c r="M20" s="92">
        <f ca="1">_xll.BDP($B20,$M$5)</f>
        <v>2.9150822999999999</v>
      </c>
      <c r="N20" s="89">
        <f ca="1">_xll.meLWOBondCleanPrice($L20,$C$4,$M20%)</f>
        <v>95.23437506689433</v>
      </c>
      <c r="O20" s="89">
        <f ca="1">_xll.meLWOBondDirtyPrice($L20,$C$4,$M20%)</f>
        <v>95.469769088633456</v>
      </c>
      <c r="P20" s="88">
        <f ca="1">_xll.meLWOBondYield($L20,$C$4,N20)</f>
        <v>2.9150823000003778E-2</v>
      </c>
      <c r="Q20" s="89">
        <f ca="1">_xll.meLWOBondModifiedDuration($L20,$C$4,$M20%)</f>
        <v>2.7082975689874429</v>
      </c>
      <c r="R20" s="23">
        <f ca="1">_xll.meLWOBondDV01($L20,$C$4,$M20%)</f>
        <v>258.56054353453851</v>
      </c>
      <c r="S20" s="86">
        <f t="shared" ca="1" si="4"/>
        <v>2.9150822999999999</v>
      </c>
      <c r="T20" s="22" t="str">
        <f ca="1">_xll.BDP($B20,T$6, "YAS_BOND_YLD="&amp;$S20,"YAS_YLD_CONV=2")</f>
        <v>#N/A Requesting Data...</v>
      </c>
      <c r="U20" s="23">
        <f ca="1">_xll.meLWOBondCleanPrice($L20,$C$4,$S20%)</f>
        <v>95.23437506689433</v>
      </c>
      <c r="V20" s="24" t="e">
        <f t="shared" ca="1" si="1"/>
        <v>#VALUE!</v>
      </c>
      <c r="W20" s="23">
        <f ca="1">_xll.meLWOBondDV01($L20,$C$4,$S20%)</f>
        <v>258.56054353453851</v>
      </c>
      <c r="X20" s="22" t="e">
        <f ca="1">_xll.BDP($B20,X$6, "YLD_YTM_ASK="&amp;$S20,"YAS_YLD_CONV=3")*$X$3*0.0001</f>
        <v>#VALUE!</v>
      </c>
      <c r="Y20" s="24" t="e">
        <f t="shared" ca="1" si="2"/>
        <v>#VALUE!</v>
      </c>
      <c r="Z20" s="23">
        <f ca="1">_xll.meLWOBondDirtyPrice($L20,$C$4,$S20%)</f>
        <v>95.469769088633456</v>
      </c>
      <c r="AA20" s="23">
        <f ca="1">_xll.meLWOBondModifiedDuration($L20,$C$4,$S20%)</f>
        <v>2.7082975689874429</v>
      </c>
      <c r="AB20" s="22" t="str">
        <f ca="1">_xll.BDP($B20,AB$6,"YLD_YTM_ASK="&amp;$S20,"YAS_YLD_CONV=3")</f>
        <v>#N/A Requesting Data...</v>
      </c>
      <c r="AC20" s="24" t="e">
        <f t="shared" ca="1" si="3"/>
        <v>#VALUE!</v>
      </c>
      <c r="AD20" s="23">
        <f ca="1">_xll.meLWOBondDV01Numerical($L20,$C$4,$S20%,0.5,"CENTRAL")</f>
        <v>258.56054483199387</v>
      </c>
    </row>
    <row r="21" spans="2:30">
      <c r="B21" s="15" t="s">
        <v>143</v>
      </c>
      <c r="C21" s="15" t="s">
        <v>144</v>
      </c>
      <c r="D21" s="15" t="s">
        <v>144</v>
      </c>
      <c r="E21" s="16">
        <v>41851</v>
      </c>
      <c r="F21" s="19">
        <v>41851</v>
      </c>
      <c r="G21" s="18" t="str">
        <f t="shared" si="0"/>
        <v>EOM</v>
      </c>
      <c r="H21" s="16">
        <v>42035</v>
      </c>
      <c r="I21" s="16">
        <v>44227</v>
      </c>
      <c r="J21" s="17">
        <v>2.2499999999999999E-2</v>
      </c>
      <c r="K21" s="16">
        <v>44408</v>
      </c>
      <c r="L21" s="20" t="str">
        <f ca="1">_xll.meLWOBondCreateFromGeneratorLVB(C21,$L$4,_xll.meUtilityLVBFromKeysValues($C$6:$K$6,C21:K21))</f>
        <v>US912828WY26:2</v>
      </c>
      <c r="M21" s="92">
        <f ca="1">_xll.BDP($B21,$M$5)</f>
        <v>2.9125787999999999</v>
      </c>
      <c r="N21" s="89">
        <f ca="1">_xll.meLWOBondCleanPrice($L21,$C$4,$M21%)</f>
        <v>98.234374928485408</v>
      </c>
      <c r="O21" s="89">
        <f ca="1">_xll.meLWOBondDirtyPrice($L21,$C$4,$M21%)</f>
        <v>98.705162971963674</v>
      </c>
      <c r="P21" s="88">
        <f ca="1">_xll.meLWOBondYield($L21,$C$4,N21)</f>
        <v>2.9125788000000444E-2</v>
      </c>
      <c r="Q21" s="89">
        <f ca="1">_xll.meLWOBondModifiedDuration($L21,$C$4,$M21%)</f>
        <v>2.6687351248721498</v>
      </c>
      <c r="R21" s="23">
        <f ca="1">_xll.meLWOBondDV01($L21,$C$4,$M21%)</f>
        <v>263.41793542950938</v>
      </c>
      <c r="S21" s="86">
        <f t="shared" ca="1" si="4"/>
        <v>2.9125787999999999</v>
      </c>
      <c r="T21" s="22" t="str">
        <f ca="1">_xll.BDP($B21,T$6, "YAS_BOND_YLD="&amp;$S21,"YAS_YLD_CONV=2")</f>
        <v>#N/A Requesting Data...</v>
      </c>
      <c r="U21" s="23">
        <f ca="1">_xll.meLWOBondCleanPrice($L21,$C$4,$S21%)</f>
        <v>98.234374928485408</v>
      </c>
      <c r="V21" s="24" t="e">
        <f t="shared" ca="1" si="1"/>
        <v>#VALUE!</v>
      </c>
      <c r="W21" s="23">
        <f ca="1">_xll.meLWOBondDV01($L21,$C$4,$S21%)</f>
        <v>263.41793542950938</v>
      </c>
      <c r="X21" s="22" t="e">
        <f ca="1">_xll.BDP($B21,X$6, "YLD_YTM_ASK="&amp;$S21,"YAS_YLD_CONV=3")*$X$3*0.0001</f>
        <v>#VALUE!</v>
      </c>
      <c r="Y21" s="24" t="e">
        <f t="shared" ca="1" si="2"/>
        <v>#VALUE!</v>
      </c>
      <c r="Z21" s="23">
        <f ca="1">_xll.meLWOBondDirtyPrice($L21,$C$4,$S21%)</f>
        <v>98.705162971963674</v>
      </c>
      <c r="AA21" s="23">
        <f ca="1">_xll.meLWOBondModifiedDuration($L21,$C$4,$S21%)</f>
        <v>2.6687351248721498</v>
      </c>
      <c r="AB21" s="22" t="str">
        <f ca="1">_xll.BDP($B21,AB$6,"YLD_YTM_ASK="&amp;$S21,"YAS_YLD_CONV=3")</f>
        <v>#N/A Requesting Data...</v>
      </c>
      <c r="AC21" s="24" t="e">
        <f t="shared" ca="1" si="3"/>
        <v>#VALUE!</v>
      </c>
      <c r="AD21" s="23">
        <f ca="1">_xll.meLWOBondDV01Numerical($L21,$C$4,$S21%,0.5,"CENTRAL")</f>
        <v>263.41793674149017</v>
      </c>
    </row>
    <row r="22" spans="2:30">
      <c r="B22" s="15" t="s">
        <v>181</v>
      </c>
      <c r="C22" s="15" t="s">
        <v>182</v>
      </c>
      <c r="D22" s="15" t="s">
        <v>182</v>
      </c>
      <c r="E22" s="16">
        <v>40770</v>
      </c>
      <c r="F22" s="19">
        <v>40770</v>
      </c>
      <c r="G22" s="18" t="str">
        <f t="shared" si="0"/>
        <v/>
      </c>
      <c r="H22" s="16">
        <v>40954</v>
      </c>
      <c r="I22" s="16">
        <v>44242</v>
      </c>
      <c r="J22" s="17">
        <v>2.1250000000000002E-2</v>
      </c>
      <c r="K22" s="16">
        <v>44423</v>
      </c>
      <c r="L22" s="20" t="str">
        <f ca="1">_xll.meLWOBondCreateFromGeneratorLVB(C22,$L$4,_xll.meUtilityLVBFromKeysValues($C$6:$K$6,C22:K22))</f>
        <v>US912828RC60:2</v>
      </c>
      <c r="M22" s="92">
        <f ca="1">_xll.BDP($B22,$M$5)</f>
        <v>2.9087217000000001</v>
      </c>
      <c r="N22" s="89">
        <f ca="1">_xll.meLWOBondCleanPrice($L22,$C$4,$M22%)</f>
        <v>97.882812379845774</v>
      </c>
      <c r="O22" s="89">
        <f ca="1">_xll.meLWOBondDirtyPrice($L22,$C$4,$M22%)</f>
        <v>98.240828684193602</v>
      </c>
      <c r="P22" s="88">
        <f ca="1">_xll.meLWOBondYield($L22,$C$4,N22)</f>
        <v>2.9087217000000498E-2</v>
      </c>
      <c r="Q22" s="89">
        <f ca="1">_xll.meLWOBondModifiedDuration($L22,$C$4,$M22%)</f>
        <v>2.7132390554494172</v>
      </c>
      <c r="R22" s="23">
        <f ca="1">_xll.meLWOBondDV01($L22,$C$4,$M22%)</f>
        <v>266.55085322566947</v>
      </c>
      <c r="S22" s="86">
        <f t="shared" ca="1" si="4"/>
        <v>2.9087217000000001</v>
      </c>
      <c r="T22" s="22" t="str">
        <f ca="1">_xll.BDP($B22,T$6, "YAS_BOND_YLD="&amp;$S22,"YAS_YLD_CONV=2")</f>
        <v>#N/A Requesting Data...</v>
      </c>
      <c r="U22" s="23">
        <f ca="1">_xll.meLWOBondCleanPrice($L22,$C$4,$S22%)</f>
        <v>97.882812379845774</v>
      </c>
      <c r="V22" s="24" t="e">
        <f t="shared" ca="1" si="1"/>
        <v>#VALUE!</v>
      </c>
      <c r="W22" s="23">
        <f ca="1">_xll.meLWOBondDV01($L22,$C$4,$S22%)</f>
        <v>266.55085322566947</v>
      </c>
      <c r="X22" s="22" t="e">
        <f ca="1">_xll.BDP($B22,X$6, "YLD_YTM_ASK="&amp;$S22,"YAS_YLD_CONV=3")*$X$3*0.0001</f>
        <v>#VALUE!</v>
      </c>
      <c r="Y22" s="24" t="e">
        <f t="shared" ca="1" si="2"/>
        <v>#VALUE!</v>
      </c>
      <c r="Z22" s="23">
        <f ca="1">_xll.meLWOBondDirtyPrice($L22,$C$4,$S22%)</f>
        <v>98.240828684193602</v>
      </c>
      <c r="AA22" s="23">
        <f ca="1">_xll.meLWOBondModifiedDuration($L22,$C$4,$S22%)</f>
        <v>2.7132390554494172</v>
      </c>
      <c r="AB22" s="22" t="str">
        <f ca="1">_xll.BDP($B22,AB$6,"YLD_YTM_ASK="&amp;$S22,"YAS_YLD_CONV=3")</f>
        <v>#N/A Requesting Data...</v>
      </c>
      <c r="AC22" s="24" t="e">
        <f t="shared" ca="1" si="3"/>
        <v>#VALUE!</v>
      </c>
      <c r="AD22" s="23">
        <f ca="1">_xll.meLWOBondDV01Numerical($L22,$C$4,$S22%,0.5,"CENTRAL")</f>
        <v>266.5508545861428</v>
      </c>
    </row>
    <row r="23" spans="2:30">
      <c r="B23" s="15" t="s">
        <v>117</v>
      </c>
      <c r="C23" s="15" t="s">
        <v>118</v>
      </c>
      <c r="D23" s="15" t="s">
        <v>118</v>
      </c>
      <c r="E23" s="16">
        <v>42613</v>
      </c>
      <c r="F23" s="19">
        <v>42613</v>
      </c>
      <c r="G23" s="18" t="str">
        <f t="shared" si="0"/>
        <v>EOM</v>
      </c>
      <c r="H23" s="16">
        <v>42794</v>
      </c>
      <c r="I23" s="16">
        <v>44255</v>
      </c>
      <c r="J23" s="17">
        <v>1.125E-2</v>
      </c>
      <c r="K23" s="16">
        <v>44439</v>
      </c>
      <c r="L23" s="20" t="str">
        <f ca="1">_xll.meLWOBondCreateFromGeneratorLVB(C23,$L$4,_xll.meUtilityLVBFromKeysValues($C$6:$K$6,C23:K23))</f>
        <v>US9128282F67:2</v>
      </c>
      <c r="M23" s="92">
        <f ca="1">_xll.BDP($B23,$M$5)</f>
        <v>2.9174576000000001</v>
      </c>
      <c r="N23" s="89">
        <f ca="1">_xll.meLWOBondCleanPrice($L23,$C$4,$M23%)</f>
        <v>95.093750063107109</v>
      </c>
      <c r="O23" s="89">
        <f ca="1">_xll.meLWOBondDirtyPrice($L23,$C$4,$M23%)</f>
        <v>95.236705864212084</v>
      </c>
      <c r="P23" s="88">
        <f ca="1">_xll.meLWOBondYield($L23,$C$4,N23)</f>
        <v>2.9174576000004043E-2</v>
      </c>
      <c r="Q23" s="89">
        <f ca="1">_xll.meLWOBondModifiedDuration($L23,$C$4,$M23%)</f>
        <v>2.7892500212102473</v>
      </c>
      <c r="R23" s="23">
        <f ca="1">_xll.meLWOBondDV01($L23,$C$4,$M23%)</f>
        <v>265.63898385174764</v>
      </c>
      <c r="S23" s="86">
        <f t="shared" ca="1" si="4"/>
        <v>2.9174576000000001</v>
      </c>
      <c r="T23" s="22" t="str">
        <f ca="1">_xll.BDP($B23,T$6, "YAS_BOND_YLD="&amp;$S23,"YAS_YLD_CONV=2")</f>
        <v>#N/A Requesting Data...</v>
      </c>
      <c r="U23" s="23">
        <f ca="1">_xll.meLWOBondCleanPrice($L23,$C$4,$S23%)</f>
        <v>95.093750063107109</v>
      </c>
      <c r="V23" s="24" t="e">
        <f t="shared" ca="1" si="1"/>
        <v>#VALUE!</v>
      </c>
      <c r="W23" s="23">
        <f ca="1">_xll.meLWOBondDV01($L23,$C$4,$S23%)</f>
        <v>265.63898385174764</v>
      </c>
      <c r="X23" s="22" t="e">
        <f ca="1">_xll.BDP($B23,X$6, "YLD_YTM_ASK="&amp;$S23,"YAS_YLD_CONV=3")*$X$3*0.0001</f>
        <v>#VALUE!</v>
      </c>
      <c r="Y23" s="24" t="e">
        <f t="shared" ca="1" si="2"/>
        <v>#VALUE!</v>
      </c>
      <c r="Z23" s="23">
        <f ca="1">_xll.meLWOBondDirtyPrice($L23,$C$4,$S23%)</f>
        <v>95.236705864212084</v>
      </c>
      <c r="AA23" s="23">
        <f ca="1">_xll.meLWOBondModifiedDuration($L23,$C$4,$S23%)</f>
        <v>2.7892500212102473</v>
      </c>
      <c r="AB23" s="22" t="str">
        <f ca="1">_xll.BDP($B23,AB$6,"YLD_YTM_ASK="&amp;$S23,"YAS_YLD_CONV=3")</f>
        <v>#N/A Requesting Data...</v>
      </c>
      <c r="AC23" s="24" t="e">
        <f t="shared" ca="1" si="3"/>
        <v>#VALUE!</v>
      </c>
      <c r="AD23" s="23">
        <f ca="1">_xll.meLWOBondDV01Numerical($L23,$C$4,$S23%,0.5,"CENTRAL")</f>
        <v>265.63898524599949</v>
      </c>
    </row>
    <row r="24" spans="2:30">
      <c r="B24" s="15" t="s">
        <v>235</v>
      </c>
      <c r="C24" s="15" t="s">
        <v>236</v>
      </c>
      <c r="D24" s="15" t="s">
        <v>236</v>
      </c>
      <c r="E24" s="16">
        <v>41884</v>
      </c>
      <c r="F24" s="19">
        <v>41882</v>
      </c>
      <c r="G24" s="18" t="str">
        <f t="shared" si="0"/>
        <v>EOM</v>
      </c>
      <c r="H24" s="16">
        <v>42063</v>
      </c>
      <c r="I24" s="16">
        <v>44255</v>
      </c>
      <c r="J24" s="17">
        <v>0.02</v>
      </c>
      <c r="K24" s="16">
        <v>44439</v>
      </c>
      <c r="L24" s="20" t="str">
        <f ca="1">_xll.meLWOBondCreateFromGeneratorLVB(C24,$L$4,_xll.meUtilityLVBFromKeysValues($C$6:$K$6,C24:K24))</f>
        <v>US912828D721:2</v>
      </c>
      <c r="M24" s="92">
        <f ca="1">_xll.BDP($B24,$M$5)</f>
        <v>2.9158273000000001</v>
      </c>
      <c r="N24" s="89">
        <f ca="1">_xll.meLWOBondCleanPrice($L24,$C$4,$M24%)</f>
        <v>97.492187423826422</v>
      </c>
      <c r="O24" s="89">
        <f ca="1">_xll.meLWOBondDirtyPrice($L24,$C$4,$M24%)</f>
        <v>97.746331070235257</v>
      </c>
      <c r="P24" s="88">
        <f ca="1">_xll.meLWOBondYield($L24,$C$4,N24)</f>
        <v>2.9158273000001716E-2</v>
      </c>
      <c r="Q24" s="89">
        <f ca="1">_xll.meLWOBondModifiedDuration($L24,$C$4,$M24%)</f>
        <v>2.7582486673239122</v>
      </c>
      <c r="R24" s="23">
        <f ca="1">_xll.meLWOBondDV01($L24,$C$4,$M24%)</f>
        <v>269.60868741027832</v>
      </c>
      <c r="S24" s="86">
        <f t="shared" ca="1" si="4"/>
        <v>2.9158273000000001</v>
      </c>
      <c r="T24" s="22" t="str">
        <f ca="1">_xll.BDP($B24,T$6, "YAS_BOND_YLD="&amp;$S24,"YAS_YLD_CONV=2")</f>
        <v>#N/A Requesting Data...</v>
      </c>
      <c r="U24" s="23">
        <f ca="1">_xll.meLWOBondCleanPrice($L24,$C$4,$S24%)</f>
        <v>97.492187423826422</v>
      </c>
      <c r="V24" s="24" t="e">
        <f t="shared" ca="1" si="1"/>
        <v>#VALUE!</v>
      </c>
      <c r="W24" s="23">
        <f ca="1">_xll.meLWOBondDV01($L24,$C$4,$S24%)</f>
        <v>269.60868741027832</v>
      </c>
      <c r="X24" s="22" t="e">
        <f ca="1">_xll.BDP($B24,X$6, "YLD_YTM_ASK="&amp;$S24,"YAS_YLD_CONV=3")*$X$3*0.0001</f>
        <v>#VALUE!</v>
      </c>
      <c r="Y24" s="24" t="e">
        <f t="shared" ca="1" si="2"/>
        <v>#VALUE!</v>
      </c>
      <c r="Z24" s="23">
        <f ca="1">_xll.meLWOBondDirtyPrice($L24,$C$4,$S24%)</f>
        <v>97.746331070235257</v>
      </c>
      <c r="AA24" s="23">
        <f ca="1">_xll.meLWOBondModifiedDuration($L24,$C$4,$S24%)</f>
        <v>2.7582486673239122</v>
      </c>
      <c r="AB24" s="22" t="str">
        <f ca="1">_xll.BDP($B24,AB$6,"YLD_YTM_ASK="&amp;$S24,"YAS_YLD_CONV=3")</f>
        <v>#N/A Requesting Data...</v>
      </c>
      <c r="AC24" s="24" t="e">
        <f t="shared" ca="1" si="3"/>
        <v>#VALUE!</v>
      </c>
      <c r="AD24" s="23">
        <f ca="1">_xll.meLWOBondDV01Numerical($L24,$C$4,$S24%,0.5,"CENTRAL")</f>
        <v>269.60868881928945</v>
      </c>
    </row>
    <row r="25" spans="2:30">
      <c r="B25" s="15" t="s">
        <v>93</v>
      </c>
      <c r="C25" s="15" t="s">
        <v>94</v>
      </c>
      <c r="D25" s="15" t="s">
        <v>94</v>
      </c>
      <c r="E25" s="16">
        <v>42643</v>
      </c>
      <c r="F25" s="19">
        <v>42643</v>
      </c>
      <c r="G25" s="18" t="str">
        <f t="shared" si="0"/>
        <v>EOM</v>
      </c>
      <c r="H25" s="16">
        <v>42825</v>
      </c>
      <c r="I25" s="16">
        <v>44286</v>
      </c>
      <c r="J25" s="17">
        <v>1.125E-2</v>
      </c>
      <c r="K25" s="16">
        <v>44469</v>
      </c>
      <c r="L25" s="20" t="str">
        <f ca="1">_xll.meLWOBondCreateFromGeneratorLVB(C25,$L$4,_xll.meUtilityLVBFromKeysValues($C$6:$K$6,C25:K25))</f>
        <v>US912828T347:2</v>
      </c>
      <c r="M25" s="92">
        <f ca="1">_xll.BDP($B25,$M$5)</f>
        <v>2.9222055</v>
      </c>
      <c r="N25" s="89">
        <f ca="1">_xll.meLWOBondCleanPrice($L25,$C$4,$M25%)</f>
        <v>94.945312379317855</v>
      </c>
      <c r="O25" s="89">
        <f ca="1">_xll.meLWOBondDirtyPrice($L25,$C$4,$M25%)</f>
        <v>94.994762928768409</v>
      </c>
      <c r="P25" s="88">
        <f ca="1">_xll.meLWOBondYield($L25,$C$4,N25)</f>
        <v>2.9222055000003942E-2</v>
      </c>
      <c r="Q25" s="89">
        <f ca="1">_xll.meLWOBondModifiedDuration($L25,$C$4,$M25%)</f>
        <v>2.8711000475919466</v>
      </c>
      <c r="R25" s="23">
        <f ca="1">_xll.meLWOBondDV01($L25,$C$4,$M25%)</f>
        <v>272.73946836577267</v>
      </c>
      <c r="S25" s="86">
        <f t="shared" ca="1" si="4"/>
        <v>2.9222055</v>
      </c>
      <c r="T25" s="22" t="str">
        <f ca="1">_xll.BDP($B25,T$6, "YAS_BOND_YLD="&amp;$S25,"YAS_YLD_CONV=2")</f>
        <v>#N/A Requesting Data...</v>
      </c>
      <c r="U25" s="23">
        <f ca="1">_xll.meLWOBondCleanPrice($L25,$C$4,$S25%)</f>
        <v>94.945312379317855</v>
      </c>
      <c r="V25" s="24" t="e">
        <f t="shared" ca="1" si="1"/>
        <v>#VALUE!</v>
      </c>
      <c r="W25" s="23">
        <f ca="1">_xll.meLWOBondDV01($L25,$C$4,$S25%)</f>
        <v>272.73946836577267</v>
      </c>
      <c r="X25" s="22" t="e">
        <f ca="1">_xll.BDP($B25,X$6, "YLD_YTM_ASK="&amp;$S25,"YAS_YLD_CONV=3")*$X$3*0.0001</f>
        <v>#VALUE!</v>
      </c>
      <c r="Y25" s="24" t="e">
        <f t="shared" ca="1" si="2"/>
        <v>#VALUE!</v>
      </c>
      <c r="Z25" s="23">
        <f ca="1">_xll.meLWOBondDirtyPrice($L25,$C$4,$S25%)</f>
        <v>94.994762928768409</v>
      </c>
      <c r="AA25" s="23">
        <f ca="1">_xll.meLWOBondModifiedDuration($L25,$C$4,$S25%)</f>
        <v>2.8711000475919466</v>
      </c>
      <c r="AB25" s="22" t="str">
        <f ca="1">_xll.BDP($B25,AB$6,"YLD_YTM_ASK="&amp;$S25,"YAS_YLD_CONV=3")</f>
        <v>#N/A Requesting Data...</v>
      </c>
      <c r="AC25" s="24" t="e">
        <f t="shared" ca="1" si="3"/>
        <v>#VALUE!</v>
      </c>
      <c r="AD25" s="23">
        <f ca="1">_xll.meLWOBondDV01Numerical($L25,$C$4,$S25%,0.5,"CENTRAL")</f>
        <v>272.73946986369424</v>
      </c>
    </row>
    <row r="26" spans="2:30">
      <c r="B26" s="15" t="s">
        <v>195</v>
      </c>
      <c r="C26" s="15" t="s">
        <v>196</v>
      </c>
      <c r="D26" s="15" t="s">
        <v>196</v>
      </c>
      <c r="E26" s="16">
        <v>41912</v>
      </c>
      <c r="F26" s="19">
        <v>41912</v>
      </c>
      <c r="G26" s="18" t="str">
        <f t="shared" si="0"/>
        <v>EOM</v>
      </c>
      <c r="H26" s="16">
        <v>42094</v>
      </c>
      <c r="I26" s="16">
        <v>44286</v>
      </c>
      <c r="J26" s="17">
        <v>2.1250000000000002E-2</v>
      </c>
      <c r="K26" s="16">
        <v>44469</v>
      </c>
      <c r="L26" s="20" t="str">
        <f ca="1">_xll.meLWOBondCreateFromGeneratorLVB(C26,$L$4,_xll.meUtilityLVBFromKeysValues($C$6:$K$6,C26:K26))</f>
        <v>US912828F213:2</v>
      </c>
      <c r="M26" s="92">
        <f ca="1">_xll.BDP($B26,$M$5)</f>
        <v>2.9220448999999999</v>
      </c>
      <c r="N26" s="89">
        <f ca="1">_xll.meLWOBondCleanPrice($L26,$C$4,$M26%)</f>
        <v>97.757812408993118</v>
      </c>
      <c r="O26" s="89">
        <f ca="1">_xll.meLWOBondDirtyPrice($L26,$C$4,$M26%)</f>
        <v>97.851219002399716</v>
      </c>
      <c r="P26" s="88">
        <f ca="1">_xll.meLWOBondYield($L26,$C$4,N26)</f>
        <v>2.9220449000000981E-2</v>
      </c>
      <c r="Q26" s="89">
        <f ca="1">_xll.meLWOBondModifiedDuration($L26,$C$4,$M26%)</f>
        <v>2.8357720147166856</v>
      </c>
      <c r="R26" s="23">
        <f ca="1">_xll.meLWOBondDV01($L26,$C$4,$M26%)</f>
        <v>277.48374845291869</v>
      </c>
      <c r="S26" s="86">
        <f t="shared" ca="1" si="4"/>
        <v>2.9220448999999999</v>
      </c>
      <c r="T26" s="22" t="str">
        <f ca="1">_xll.BDP($B26,T$6, "YAS_BOND_YLD="&amp;$S26,"YAS_YLD_CONV=2")</f>
        <v>#N/A Requesting Data...</v>
      </c>
      <c r="U26" s="23">
        <f ca="1">_xll.meLWOBondCleanPrice($L26,$C$4,$S26%)</f>
        <v>97.757812408993118</v>
      </c>
      <c r="V26" s="24" t="e">
        <f t="shared" ca="1" si="1"/>
        <v>#VALUE!</v>
      </c>
      <c r="W26" s="23">
        <f ca="1">_xll.meLWOBondDV01($L26,$C$4,$S26%)</f>
        <v>277.48374845291869</v>
      </c>
      <c r="X26" s="22" t="e">
        <f ca="1">_xll.BDP($B26,X$6, "YLD_YTM_ASK="&amp;$S26,"YAS_YLD_CONV=3")*$X$3*0.0001</f>
        <v>#VALUE!</v>
      </c>
      <c r="Y26" s="24" t="e">
        <f t="shared" ca="1" si="2"/>
        <v>#VALUE!</v>
      </c>
      <c r="Z26" s="23">
        <f ca="1">_xll.meLWOBondDirtyPrice($L26,$C$4,$S26%)</f>
        <v>97.851219002399716</v>
      </c>
      <c r="AA26" s="23">
        <f ca="1">_xll.meLWOBondModifiedDuration($L26,$C$4,$S26%)</f>
        <v>2.8357720147166856</v>
      </c>
      <c r="AB26" s="22" t="str">
        <f ca="1">_xll.BDP($B26,AB$6,"YLD_YTM_ASK="&amp;$S26,"YAS_YLD_CONV=3")</f>
        <v>#N/A Requesting Data...</v>
      </c>
      <c r="AC26" s="24" t="e">
        <f t="shared" ca="1" si="3"/>
        <v>#VALUE!</v>
      </c>
      <c r="AD26" s="23">
        <f ca="1">_xll.meLWOBondDV01Numerical($L26,$C$4,$S26%,0.5,"CENTRAL")</f>
        <v>277.48374996875214</v>
      </c>
    </row>
    <row r="27" spans="2:30">
      <c r="B27" s="15" t="s">
        <v>205</v>
      </c>
      <c r="C27" s="15" t="s">
        <v>206</v>
      </c>
      <c r="D27" s="15" t="s">
        <v>206</v>
      </c>
      <c r="E27" s="16">
        <v>42674</v>
      </c>
      <c r="F27" s="19">
        <v>42674</v>
      </c>
      <c r="G27" s="18" t="str">
        <f t="shared" si="0"/>
        <v>EOM</v>
      </c>
      <c r="H27" s="16">
        <v>42855</v>
      </c>
      <c r="I27" s="16">
        <v>44316</v>
      </c>
      <c r="J27" s="17">
        <v>1.2500000000000001E-2</v>
      </c>
      <c r="K27" s="16">
        <v>44500</v>
      </c>
      <c r="L27" s="20" t="str">
        <f ca="1">_xll.meLWOBondCreateFromGeneratorLVB(C27,$L$4,_xll.meUtilityLVBFromKeysValues($C$6:$K$6,C27:K27))</f>
        <v>US912828T677:2</v>
      </c>
      <c r="M27" s="92">
        <f ca="1">_xll.BDP($B27,$M$5)</f>
        <v>2.9291485000000002</v>
      </c>
      <c r="N27" s="89">
        <f ca="1">_xll.meLWOBondCleanPrice($L27,$C$4,$M27%)</f>
        <v>95.148437570585088</v>
      </c>
      <c r="O27" s="89">
        <f ca="1">_xll.meLWOBondDirtyPrice($L27,$C$4,$M27%)</f>
        <v>95.722486483628572</v>
      </c>
      <c r="P27" s="88">
        <f ca="1">_xll.meLWOBondYield($L27,$C$4,N27)</f>
        <v>2.9291485000003982E-2</v>
      </c>
      <c r="Q27" s="89">
        <f ca="1">_xll.meLWOBondModifiedDuration($L27,$C$4,$M27%)</f>
        <v>2.9309818949647575</v>
      </c>
      <c r="R27" s="23">
        <f ca="1">_xll.meLWOBondDV01($L27,$C$4,$M27%)</f>
        <v>280.56087482452403</v>
      </c>
      <c r="S27" s="86">
        <f t="shared" ca="1" si="4"/>
        <v>2.9291485000000002</v>
      </c>
      <c r="T27" s="22" t="str">
        <f ca="1">_xll.BDP($B27,T$6, "YAS_BOND_YLD="&amp;$S27,"YAS_YLD_CONV=2")</f>
        <v>#N/A Requesting Data...</v>
      </c>
      <c r="U27" s="23">
        <f ca="1">_xll.meLWOBondCleanPrice($L27,$C$4,$S27%)</f>
        <v>95.148437570585088</v>
      </c>
      <c r="V27" s="24" t="e">
        <f t="shared" ca="1" si="1"/>
        <v>#VALUE!</v>
      </c>
      <c r="W27" s="23">
        <f ca="1">_xll.meLWOBondDV01($L27,$C$4,$S27%)</f>
        <v>280.56087482452403</v>
      </c>
      <c r="X27" s="22" t="e">
        <f ca="1">_xll.BDP($B27,X$6, "YLD_YTM_ASK="&amp;$S27,"YAS_YLD_CONV=3")*$X$3*0.0001</f>
        <v>#VALUE!</v>
      </c>
      <c r="Y27" s="24" t="e">
        <f t="shared" ca="1" si="2"/>
        <v>#VALUE!</v>
      </c>
      <c r="Z27" s="23">
        <f ca="1">_xll.meLWOBondDirtyPrice($L27,$C$4,$S27%)</f>
        <v>95.722486483628572</v>
      </c>
      <c r="AA27" s="23">
        <f ca="1">_xll.meLWOBondModifiedDuration($L27,$C$4,$S27%)</f>
        <v>2.9309818949647575</v>
      </c>
      <c r="AB27" s="22" t="str">
        <f ca="1">_xll.BDP($B27,AB$6,"YLD_YTM_ASK="&amp;$S27,"YAS_YLD_CONV=3")</f>
        <v>#N/A Requesting Data...</v>
      </c>
      <c r="AC27" s="24" t="e">
        <f t="shared" ca="1" si="3"/>
        <v>#VALUE!</v>
      </c>
      <c r="AD27" s="23">
        <f ca="1">_xll.meLWOBondDV01Numerical($L27,$C$4,$S27%,0.5,"CENTRAL")</f>
        <v>280.560876435203</v>
      </c>
    </row>
    <row r="28" spans="2:30">
      <c r="B28" s="15" t="s">
        <v>279</v>
      </c>
      <c r="C28" s="15" t="s">
        <v>280</v>
      </c>
      <c r="D28" s="15" t="s">
        <v>280</v>
      </c>
      <c r="E28" s="16">
        <v>41943</v>
      </c>
      <c r="F28" s="19">
        <v>41943</v>
      </c>
      <c r="G28" s="18" t="str">
        <f t="shared" si="0"/>
        <v>EOM</v>
      </c>
      <c r="H28" s="16">
        <v>42124</v>
      </c>
      <c r="I28" s="16">
        <v>44316</v>
      </c>
      <c r="J28" s="17">
        <v>0.02</v>
      </c>
      <c r="K28" s="16">
        <v>44500</v>
      </c>
      <c r="L28" s="20" t="str">
        <f ca="1">_xll.meLWOBondCreateFromGeneratorLVB(C28,$L$4,_xll.meUtilityLVBFromKeysValues($C$6:$K$6,C28:K28))</f>
        <v>US912828F965:2</v>
      </c>
      <c r="M28" s="92">
        <f ca="1">_xll.BDP($B28,$M$5)</f>
        <v>2.9272993999999999</v>
      </c>
      <c r="N28" s="89">
        <f ca="1">_xll.meLWOBondCleanPrice($L28,$C$4,$M28%)</f>
        <v>97.32031237164513</v>
      </c>
      <c r="O28" s="89">
        <f ca="1">_xll.meLWOBondDirtyPrice($L28,$C$4,$M28%)</f>
        <v>98.238790632514693</v>
      </c>
      <c r="P28" s="88">
        <f ca="1">_xll.meLWOBondYield($L28,$C$4,N28)</f>
        <v>2.927299400000153E-2</v>
      </c>
      <c r="Q28" s="89">
        <f ca="1">_xll.meLWOBondModifiedDuration($L28,$C$4,$M28%)</f>
        <v>2.8941743518357153</v>
      </c>
      <c r="R28" s="23">
        <f ca="1">_xll.meLWOBondDV01($L28,$C$4,$M28%)</f>
        <v>284.32018820398275</v>
      </c>
      <c r="S28" s="86">
        <f t="shared" ca="1" si="4"/>
        <v>2.9272993999999999</v>
      </c>
      <c r="T28" s="22" t="str">
        <f ca="1">_xll.BDP($B28,T$6, "YAS_BOND_YLD="&amp;$S28,"YAS_YLD_CONV=2")</f>
        <v>#N/A Requesting Data...</v>
      </c>
      <c r="U28" s="23">
        <f ca="1">_xll.meLWOBondCleanPrice($L28,$C$4,$S28%)</f>
        <v>97.32031237164513</v>
      </c>
      <c r="V28" s="24" t="e">
        <f t="shared" ca="1" si="1"/>
        <v>#VALUE!</v>
      </c>
      <c r="W28" s="23">
        <f ca="1">_xll.meLWOBondDV01($L28,$C$4,$S28%)</f>
        <v>284.32018820398275</v>
      </c>
      <c r="X28" s="22" t="e">
        <f ca="1">_xll.BDP($B28,X$6, "YLD_YTM_ASK="&amp;$S28,"YAS_YLD_CONV=3")*$X$3*0.0001</f>
        <v>#VALUE!</v>
      </c>
      <c r="Y28" s="24" t="e">
        <f t="shared" ca="1" si="2"/>
        <v>#VALUE!</v>
      </c>
      <c r="Z28" s="23">
        <f ca="1">_xll.meLWOBondDirtyPrice($L28,$C$4,$S28%)</f>
        <v>98.238790632514693</v>
      </c>
      <c r="AA28" s="23">
        <f ca="1">_xll.meLWOBondModifiedDuration($L28,$C$4,$S28%)</f>
        <v>2.8941743518357153</v>
      </c>
      <c r="AB28" s="22" t="str">
        <f ca="1">_xll.BDP($B28,AB$6,"YLD_YTM_ASK="&amp;$S28,"YAS_YLD_CONV=3")</f>
        <v>#N/A Requesting Data...</v>
      </c>
      <c r="AC28" s="24" t="e">
        <f t="shared" ca="1" si="3"/>
        <v>#VALUE!</v>
      </c>
      <c r="AD28" s="23">
        <f ca="1">_xll.meLWOBondDV01Numerical($L28,$C$4,$S28%,0.5,"CENTRAL")</f>
        <v>284.32018982968543</v>
      </c>
    </row>
    <row r="29" spans="2:30">
      <c r="B29" s="15" t="s">
        <v>245</v>
      </c>
      <c r="C29" s="15" t="s">
        <v>246</v>
      </c>
      <c r="D29" s="15" t="s">
        <v>246</v>
      </c>
      <c r="E29" s="16">
        <v>40862</v>
      </c>
      <c r="F29" s="19">
        <v>40862</v>
      </c>
      <c r="G29" s="18" t="str">
        <f t="shared" si="0"/>
        <v/>
      </c>
      <c r="H29" s="16">
        <v>41044</v>
      </c>
      <c r="I29" s="16">
        <v>44331</v>
      </c>
      <c r="J29" s="17">
        <v>0.02</v>
      </c>
      <c r="K29" s="16">
        <v>44515</v>
      </c>
      <c r="L29" s="20" t="str">
        <f ca="1">_xll.meLWOBondCreateFromGeneratorLVB(C29,$L$4,_xll.meUtilityLVBFromKeysValues($C$6:$K$6,C29:K29))</f>
        <v>US912828RR30:2</v>
      </c>
      <c r="M29" s="92">
        <f ca="1">_xll.BDP($B29,$M$5)</f>
        <v>2.9206482</v>
      </c>
      <c r="N29" s="89">
        <f ca="1">_xll.meLWOBondCleanPrice($L29,$C$4,$M29%)</f>
        <v>97.304687474595227</v>
      </c>
      <c r="O29" s="89">
        <f ca="1">_xll.meLWOBondDirtyPrice($L29,$C$4,$M29%)</f>
        <v>98.141643996334352</v>
      </c>
      <c r="P29" s="88">
        <f ca="1">_xll.meLWOBondYield($L29,$C$4,N29)</f>
        <v>2.9206482000001897E-2</v>
      </c>
      <c r="Q29" s="89">
        <f ca="1">_xll.meLWOBondModifiedDuration($L29,$C$4,$M29%)</f>
        <v>2.9344574068624669</v>
      </c>
      <c r="R29" s="23">
        <f ca="1">_xll.meLWOBondDV01($L29,$C$4,$M29%)</f>
        <v>287.9924741467027</v>
      </c>
      <c r="S29" s="86">
        <f t="shared" ca="1" si="4"/>
        <v>2.9206482</v>
      </c>
      <c r="T29" s="22" t="str">
        <f ca="1">_xll.BDP($B29,T$6, "YAS_BOND_YLD="&amp;$S29,"YAS_YLD_CONV=2")</f>
        <v>#N/A Requesting Data...</v>
      </c>
      <c r="U29" s="23">
        <f ca="1">_xll.meLWOBondCleanPrice($L29,$C$4,$S29%)</f>
        <v>97.304687474595227</v>
      </c>
      <c r="V29" s="24" t="e">
        <f t="shared" ca="1" si="1"/>
        <v>#VALUE!</v>
      </c>
      <c r="W29" s="23">
        <f ca="1">_xll.meLWOBondDV01($L29,$C$4,$S29%)</f>
        <v>287.9924741467027</v>
      </c>
      <c r="X29" s="22" t="e">
        <f ca="1">_xll.BDP($B29,X$6, "YLD_YTM_ASK="&amp;$S29,"YAS_YLD_CONV=3")*$X$3*0.0001</f>
        <v>#VALUE!</v>
      </c>
      <c r="Y29" s="24" t="e">
        <f t="shared" ca="1" si="2"/>
        <v>#VALUE!</v>
      </c>
      <c r="Z29" s="23">
        <f ca="1">_xll.meLWOBondDirtyPrice($L29,$C$4,$S29%)</f>
        <v>98.141643996334352</v>
      </c>
      <c r="AA29" s="23">
        <f ca="1">_xll.meLWOBondModifiedDuration($L29,$C$4,$S29%)</f>
        <v>2.9344574068624669</v>
      </c>
      <c r="AB29" s="22" t="str">
        <f ca="1">_xll.BDP($B29,AB$6,"YLD_YTM_ASK="&amp;$S29,"YAS_YLD_CONV=3")</f>
        <v>#N/A Requesting Data...</v>
      </c>
      <c r="AC29" s="24" t="e">
        <f t="shared" ca="1" si="3"/>
        <v>#VALUE!</v>
      </c>
      <c r="AD29" s="23">
        <f ca="1">_xll.meLWOBondDV01Numerical($L29,$C$4,$S29%,0.5,"CENTRAL")</f>
        <v>287.99247582881549</v>
      </c>
    </row>
    <row r="30" spans="2:30">
      <c r="B30" s="15" t="s">
        <v>199</v>
      </c>
      <c r="C30" s="15" t="s">
        <v>200</v>
      </c>
      <c r="D30" s="15" t="s">
        <v>200</v>
      </c>
      <c r="E30" s="16">
        <v>42704</v>
      </c>
      <c r="F30" s="19">
        <v>42704</v>
      </c>
      <c r="G30" s="18" t="str">
        <f t="shared" si="0"/>
        <v>EOM</v>
      </c>
      <c r="H30" s="16">
        <v>42886</v>
      </c>
      <c r="I30" s="16">
        <v>44347</v>
      </c>
      <c r="J30" s="17">
        <v>1.7500000000000002E-2</v>
      </c>
      <c r="K30" s="16">
        <v>44530</v>
      </c>
      <c r="L30" s="20" t="str">
        <f ca="1">_xll.meLWOBondCreateFromGeneratorLVB(C30,$L$4,_xll.meUtilityLVBFromKeysValues($C$6:$K$6,C30:K30))</f>
        <v>US912828U659:2</v>
      </c>
      <c r="M30" s="92">
        <f ca="1">_xll.BDP($B30,$M$5)</f>
        <v>2.9305890999999997</v>
      </c>
      <c r="N30" s="89">
        <f ca="1">_xll.meLWOBondCleanPrice($L30,$C$4,$M30%)</f>
        <v>96.500000135570545</v>
      </c>
      <c r="O30" s="89">
        <f ca="1">_xll.meLWOBondDirtyPrice($L30,$C$4,$M30%)</f>
        <v>97.159836201144316</v>
      </c>
      <c r="P30" s="88">
        <f ca="1">_xll.meLWOBondYield($L30,$C$4,N30)</f>
        <v>2.930589100000278E-2</v>
      </c>
      <c r="Q30" s="89">
        <f ca="1">_xll.meLWOBondModifiedDuration($L30,$C$4,$M30%)</f>
        <v>2.9871919991327043</v>
      </c>
      <c r="R30" s="23">
        <f ca="1">_xll.meLWOBondDV01($L30,$C$4,$M30%)</f>
        <v>290.23508533710236</v>
      </c>
      <c r="S30" s="86">
        <f t="shared" ca="1" si="4"/>
        <v>2.9305890999999997</v>
      </c>
      <c r="T30" s="22" t="str">
        <f ca="1">_xll.BDP($B30,T$6, "YAS_BOND_YLD="&amp;$S30,"YAS_YLD_CONV=2")</f>
        <v>#N/A Requesting Data...</v>
      </c>
      <c r="U30" s="23">
        <f ca="1">_xll.meLWOBondCleanPrice($L30,$C$4,$S30%)</f>
        <v>96.500000135570545</v>
      </c>
      <c r="V30" s="24" t="e">
        <f t="shared" ca="1" si="1"/>
        <v>#VALUE!</v>
      </c>
      <c r="W30" s="23">
        <f ca="1">_xll.meLWOBondDV01($L30,$C$4,$S30%)</f>
        <v>290.23508533710236</v>
      </c>
      <c r="X30" s="22" t="e">
        <f ca="1">_xll.BDP($B30,X$6, "YLD_YTM_ASK="&amp;$S30,"YAS_YLD_CONV=3")*$X$3*0.0001</f>
        <v>#VALUE!</v>
      </c>
      <c r="Y30" s="24" t="e">
        <f t="shared" ca="1" si="2"/>
        <v>#VALUE!</v>
      </c>
      <c r="Z30" s="23">
        <f ca="1">_xll.meLWOBondDirtyPrice($L30,$C$4,$S30%)</f>
        <v>97.159836201144316</v>
      </c>
      <c r="AA30" s="23">
        <f ca="1">_xll.meLWOBondModifiedDuration($L30,$C$4,$S30%)</f>
        <v>2.9871919991327043</v>
      </c>
      <c r="AB30" s="22" t="str">
        <f ca="1">_xll.BDP($B30,AB$6,"YLD_YTM_ASK="&amp;$S30,"YAS_YLD_CONV=3")</f>
        <v>#N/A Requesting Data...</v>
      </c>
      <c r="AC30" s="24" t="e">
        <f t="shared" ca="1" si="3"/>
        <v>#VALUE!</v>
      </c>
      <c r="AD30" s="23">
        <f ca="1">_xll.meLWOBondDV01Numerical($L30,$C$4,$S30%,0.5,"CENTRAL")</f>
        <v>290.23508707041401</v>
      </c>
    </row>
    <row r="31" spans="2:30">
      <c r="B31" s="15" t="s">
        <v>257</v>
      </c>
      <c r="C31" s="15" t="s">
        <v>258</v>
      </c>
      <c r="D31" s="15" t="s">
        <v>258</v>
      </c>
      <c r="E31" s="16">
        <v>41974</v>
      </c>
      <c r="F31" s="19">
        <v>41973</v>
      </c>
      <c r="G31" s="18" t="str">
        <f t="shared" si="0"/>
        <v>EOM</v>
      </c>
      <c r="H31" s="16">
        <v>42155</v>
      </c>
      <c r="I31" s="16">
        <v>44347</v>
      </c>
      <c r="J31" s="17">
        <v>1.8749999999999999E-2</v>
      </c>
      <c r="K31" s="16">
        <v>44530</v>
      </c>
      <c r="L31" s="20" t="str">
        <f ca="1">_xll.meLWOBondCreateFromGeneratorLVB(C31,$L$4,_xll.meUtilityLVBFromKeysValues($C$6:$K$6,C31:K31))</f>
        <v>US912828G534:2</v>
      </c>
      <c r="M31" s="92">
        <f ca="1">_xll.BDP($B31,$M$5)</f>
        <v>2.9263114999999997</v>
      </c>
      <c r="N31" s="89">
        <f ca="1">_xll.meLWOBondCleanPrice($L31,$C$4,$M31%)</f>
        <v>96.882812415347729</v>
      </c>
      <c r="O31" s="89">
        <f ca="1">_xll.meLWOBondDirtyPrice($L31,$C$4,$M31%)</f>
        <v>97.58977962846248</v>
      </c>
      <c r="P31" s="88">
        <f ca="1">_xll.meLWOBondYield($L31,$C$4,N31)</f>
        <v>2.9263115000002015E-2</v>
      </c>
      <c r="Q31" s="89">
        <f ca="1">_xll.meLWOBondModifiedDuration($L31,$C$4,$M31%)</f>
        <v>2.981203286637192</v>
      </c>
      <c r="R31" s="23">
        <f ca="1">_xll.meLWOBondDV01($L31,$C$4,$M31%)</f>
        <v>290.93497177057162</v>
      </c>
      <c r="S31" s="86">
        <f t="shared" ca="1" si="4"/>
        <v>2.9263114999999997</v>
      </c>
      <c r="T31" s="22" t="str">
        <f ca="1">_xll.BDP($B31,T$6, "YAS_BOND_YLD="&amp;$S31,"YAS_YLD_CONV=2")</f>
        <v>#N/A Requesting Data...</v>
      </c>
      <c r="U31" s="23">
        <f ca="1">_xll.meLWOBondCleanPrice($L31,$C$4,$S31%)</f>
        <v>96.882812415347729</v>
      </c>
      <c r="V31" s="24" t="e">
        <f t="shared" ca="1" si="1"/>
        <v>#VALUE!</v>
      </c>
      <c r="W31" s="23">
        <f ca="1">_xll.meLWOBondDV01($L31,$C$4,$S31%)</f>
        <v>290.93497177057162</v>
      </c>
      <c r="X31" s="22" t="e">
        <f ca="1">_xll.BDP($B31,X$6, "YLD_YTM_ASK="&amp;$S31,"YAS_YLD_CONV=3")*$X$3*0.0001</f>
        <v>#VALUE!</v>
      </c>
      <c r="Y31" s="24" t="e">
        <f t="shared" ca="1" si="2"/>
        <v>#VALUE!</v>
      </c>
      <c r="Z31" s="23">
        <f ca="1">_xll.meLWOBondDirtyPrice($L31,$C$4,$S31%)</f>
        <v>97.58977962846248</v>
      </c>
      <c r="AA31" s="23">
        <f ca="1">_xll.meLWOBondModifiedDuration($L31,$C$4,$S31%)</f>
        <v>2.981203286637192</v>
      </c>
      <c r="AB31" s="22" t="str">
        <f ca="1">_xll.BDP($B31,AB$6,"YLD_YTM_ASK="&amp;$S31,"YAS_YLD_CONV=3")</f>
        <v>#N/A Requesting Data...</v>
      </c>
      <c r="AC31" s="24" t="e">
        <f t="shared" ca="1" si="3"/>
        <v>#VALUE!</v>
      </c>
      <c r="AD31" s="23">
        <f ca="1">_xll.meLWOBondDV01Numerical($L31,$C$4,$S31%,0.5,"CENTRAL")</f>
        <v>290.93497350672237</v>
      </c>
    </row>
    <row r="32" spans="2:30">
      <c r="B32" s="15" t="s">
        <v>209</v>
      </c>
      <c r="C32" s="15" t="s">
        <v>210</v>
      </c>
      <c r="D32" s="15" t="s">
        <v>210</v>
      </c>
      <c r="E32" s="16">
        <v>42004</v>
      </c>
      <c r="F32" s="19">
        <v>42004</v>
      </c>
      <c r="G32" s="18" t="str">
        <f t="shared" si="0"/>
        <v>EOM</v>
      </c>
      <c r="H32" s="16">
        <v>42185</v>
      </c>
      <c r="I32" s="16">
        <v>44377</v>
      </c>
      <c r="J32" s="17">
        <v>2.1250000000000002E-2</v>
      </c>
      <c r="K32" s="16">
        <v>44561</v>
      </c>
      <c r="L32" s="20" t="str">
        <f ca="1">_xll.meLWOBondCreateFromGeneratorLVB(C32,$L$4,_xll.meUtilityLVBFromKeysValues($C$6:$K$6,C32:K32))</f>
        <v>US912828G872:2</v>
      </c>
      <c r="M32" s="92">
        <f ca="1">_xll.BDP($B32,$M$5)</f>
        <v>2.9341429999999997</v>
      </c>
      <c r="N32" s="89">
        <f ca="1">_xll.meLWOBondCleanPrice($L32,$C$4,$M32%)</f>
        <v>97.539062645515614</v>
      </c>
      <c r="O32" s="89">
        <f ca="1">_xll.meLWOBondDirtyPrice($L32,$C$4,$M32%)</f>
        <v>98.162703949863442</v>
      </c>
      <c r="P32" s="88">
        <f ca="1">_xll.meLWOBondYield($L32,$C$4,N32)</f>
        <v>2.9341430000001629E-2</v>
      </c>
      <c r="Q32" s="89">
        <f ca="1">_xll.meLWOBondModifiedDuration($L32,$C$4,$M32%)</f>
        <v>3.0514688063426552</v>
      </c>
      <c r="R32" s="23">
        <f ca="1">_xll.meLWOBondDV01($L32,$C$4,$M32%)</f>
        <v>299.54042904925723</v>
      </c>
      <c r="S32" s="86">
        <f t="shared" ca="1" si="4"/>
        <v>2.9341429999999997</v>
      </c>
      <c r="T32" s="22" t="str">
        <f ca="1">_xll.BDP($B32,T$6, "YAS_BOND_YLD="&amp;$S32,"YAS_YLD_CONV=2")</f>
        <v>#N/A Requesting Data...</v>
      </c>
      <c r="U32" s="23">
        <f ca="1">_xll.meLWOBondCleanPrice($L32,$C$4,$S32%)</f>
        <v>97.539062645515614</v>
      </c>
      <c r="V32" s="24" t="e">
        <f t="shared" ca="1" si="1"/>
        <v>#VALUE!</v>
      </c>
      <c r="W32" s="23">
        <f ca="1">_xll.meLWOBondDV01($L32,$C$4,$S32%)</f>
        <v>299.54042904925723</v>
      </c>
      <c r="X32" s="22" t="e">
        <f ca="1">_xll.BDP($B32,X$6, "YLD_YTM_ASK="&amp;$S32,"YAS_YLD_CONV=3")*$X$3*0.0001</f>
        <v>#VALUE!</v>
      </c>
      <c r="Y32" s="24" t="e">
        <f t="shared" ca="1" si="2"/>
        <v>#VALUE!</v>
      </c>
      <c r="Z32" s="23">
        <f ca="1">_xll.meLWOBondDirtyPrice($L32,$C$4,$S32%)</f>
        <v>98.162703949863442</v>
      </c>
      <c r="AA32" s="23">
        <f ca="1">_xll.meLWOBondModifiedDuration($L32,$C$4,$S32%)</f>
        <v>3.0514688063426552</v>
      </c>
      <c r="AB32" s="22" t="str">
        <f ca="1">_xll.BDP($B32,AB$6,"YLD_YTM_ASK="&amp;$S32,"YAS_YLD_CONV=3")</f>
        <v>#N/A Requesting Data...</v>
      </c>
      <c r="AC32" s="24" t="e">
        <f t="shared" ca="1" si="3"/>
        <v>#VALUE!</v>
      </c>
      <c r="AD32" s="23">
        <f ca="1">_xll.meLWOBondDV01Numerical($L32,$C$4,$S32%,0.5,"CENTRAL")</f>
        <v>299.54043091223076</v>
      </c>
    </row>
    <row r="33" spans="2:30">
      <c r="B33" s="15" t="s">
        <v>223</v>
      </c>
      <c r="C33" s="15" t="s">
        <v>224</v>
      </c>
      <c r="D33" s="15" t="s">
        <v>224</v>
      </c>
      <c r="E33" s="16">
        <v>42738</v>
      </c>
      <c r="F33" s="19">
        <v>42735</v>
      </c>
      <c r="G33" s="18" t="str">
        <f t="shared" si="0"/>
        <v>EOM</v>
      </c>
      <c r="H33" s="16">
        <v>42916</v>
      </c>
      <c r="I33" s="16">
        <v>44377</v>
      </c>
      <c r="J33" s="17">
        <v>0.02</v>
      </c>
      <c r="K33" s="16">
        <v>44561</v>
      </c>
      <c r="L33" s="20" t="str">
        <f ca="1">_xll.meLWOBondCreateFromGeneratorLVB(C33,$L$4,_xll.meUtilityLVBFromKeysValues($C$6:$K$6,C33:K33))</f>
        <v>US912828U816:2</v>
      </c>
      <c r="M33" s="92">
        <f ca="1">_xll.BDP($B33,$M$5)</f>
        <v>2.9377734000000002</v>
      </c>
      <c r="N33" s="89">
        <f ca="1">_xll.meLWOBondCleanPrice($L33,$C$4,$M33%)</f>
        <v>97.148437606824302</v>
      </c>
      <c r="O33" s="89">
        <f ca="1">_xll.meLWOBondDirtyPrice($L33,$C$4,$M33%)</f>
        <v>97.735394128563428</v>
      </c>
      <c r="P33" s="88">
        <f ca="1">_xll.meLWOBondYield($L33,$C$4,N33)</f>
        <v>2.9377734000001769E-2</v>
      </c>
      <c r="Q33" s="89">
        <f ca="1">_xll.meLWOBondModifiedDuration($L33,$C$4,$M33%)</f>
        <v>3.0573642145844016</v>
      </c>
      <c r="R33" s="23">
        <f ca="1">_xll.meLWOBondDV01($L33,$C$4,$M33%)</f>
        <v>298.81269650697226</v>
      </c>
      <c r="S33" s="86">
        <f t="shared" ca="1" si="4"/>
        <v>2.9377734000000002</v>
      </c>
      <c r="T33" s="22" t="str">
        <f ca="1">_xll.BDP($B33,T$6, "YAS_BOND_YLD="&amp;$S33,"YAS_YLD_CONV=2")</f>
        <v>#N/A Requesting Data...</v>
      </c>
      <c r="U33" s="23">
        <f ca="1">_xll.meLWOBondCleanPrice($L33,$C$4,$S33%)</f>
        <v>97.148437606824302</v>
      </c>
      <c r="V33" s="24" t="e">
        <f t="shared" ca="1" si="1"/>
        <v>#VALUE!</v>
      </c>
      <c r="W33" s="23">
        <f ca="1">_xll.meLWOBondDV01($L33,$C$4,$S33%)</f>
        <v>298.81269650697226</v>
      </c>
      <c r="X33" s="22" t="e">
        <f ca="1">_xll.BDP($B33,X$6, "YLD_YTM_ASK="&amp;$S33,"YAS_YLD_CONV=3")*$X$3*0.0001</f>
        <v>#VALUE!</v>
      </c>
      <c r="Y33" s="24" t="e">
        <f t="shared" ca="1" si="2"/>
        <v>#VALUE!</v>
      </c>
      <c r="Z33" s="23">
        <f ca="1">_xll.meLWOBondDirtyPrice($L33,$C$4,$S33%)</f>
        <v>97.735394128563428</v>
      </c>
      <c r="AA33" s="23">
        <f ca="1">_xll.meLWOBondModifiedDuration($L33,$C$4,$S33%)</f>
        <v>3.0573642145844016</v>
      </c>
      <c r="AB33" s="22" t="str">
        <f ca="1">_xll.BDP($B33,AB$6,"YLD_YTM_ASK="&amp;$S33,"YAS_YLD_CONV=3")</f>
        <v>#N/A Requesting Data...</v>
      </c>
      <c r="AC33" s="24" t="e">
        <f t="shared" ca="1" si="3"/>
        <v>#VALUE!</v>
      </c>
      <c r="AD33" s="23">
        <f ca="1">_xll.meLWOBondDV01Numerical($L33,$C$4,$S33%,0.5,"CENTRAL")</f>
        <v>298.81269836550928</v>
      </c>
    </row>
    <row r="34" spans="2:30">
      <c r="B34" s="15" t="s">
        <v>133</v>
      </c>
      <c r="C34" s="15" t="s">
        <v>134</v>
      </c>
      <c r="D34" s="15" t="s">
        <v>134</v>
      </c>
      <c r="E34" s="16">
        <v>42037</v>
      </c>
      <c r="F34" s="19">
        <v>42035</v>
      </c>
      <c r="G34" s="18" t="str">
        <f t="shared" si="0"/>
        <v>EOM</v>
      </c>
      <c r="H34" s="16">
        <v>42216</v>
      </c>
      <c r="I34" s="16">
        <v>44408</v>
      </c>
      <c r="J34" s="17">
        <v>1.4999999999999999E-2</v>
      </c>
      <c r="K34" s="16">
        <v>44592</v>
      </c>
      <c r="L34" s="20" t="str">
        <f ca="1">_xll.meLWOBondCreateFromGeneratorLVB(C34,$L$4,_xll.meUtilityLVBFromKeysValues($C$6:$K$6,C34:K34))</f>
        <v>US912828H862:2</v>
      </c>
      <c r="M34" s="92">
        <f ca="1">_xll.BDP($B34,$M$5)</f>
        <v>2.9392361999999999</v>
      </c>
      <c r="N34" s="89">
        <f ca="1">_xll.meLWOBondCleanPrice($L34,$C$4,$M34%)</f>
        <v>95.515625044693806</v>
      </c>
      <c r="O34" s="89">
        <f ca="1">_xll.meLWOBondDirtyPrice($L34,$C$4,$M34%)</f>
        <v>95.829483740345978</v>
      </c>
      <c r="P34" s="88">
        <f ca="1">_xll.meLWOBondYield($L34,$C$4,N34)</f>
        <v>2.9392362000003877E-2</v>
      </c>
      <c r="Q34" s="89">
        <f ca="1">_xll.meLWOBondModifiedDuration($L34,$C$4,$M34%)</f>
        <v>3.1647074482456707</v>
      </c>
      <c r="R34" s="23">
        <f ca="1">_xll.meLWOBondDV01($L34,$C$4,$M34%)</f>
        <v>303.27228095461032</v>
      </c>
      <c r="S34" s="86">
        <f t="shared" ca="1" si="4"/>
        <v>2.9392361999999999</v>
      </c>
      <c r="T34" s="22" t="str">
        <f ca="1">_xll.BDP($B34,T$6, "YAS_BOND_YLD="&amp;$S34,"YAS_YLD_CONV=2")</f>
        <v>#N/A Requesting Data...</v>
      </c>
      <c r="U34" s="23">
        <f ca="1">_xll.meLWOBondCleanPrice($L34,$C$4,$S34%)</f>
        <v>95.515625044693806</v>
      </c>
      <c r="V34" s="24" t="e">
        <f t="shared" ca="1" si="1"/>
        <v>#VALUE!</v>
      </c>
      <c r="W34" s="23">
        <f ca="1">_xll.meLWOBondDV01($L34,$C$4,$S34%)</f>
        <v>303.27228095461032</v>
      </c>
      <c r="X34" s="22" t="e">
        <f ca="1">_xll.BDP($B34,X$6, "YLD_YTM_ASK="&amp;$S34,"YAS_YLD_CONV=3")*$X$3*0.0001</f>
        <v>#VALUE!</v>
      </c>
      <c r="Y34" s="24" t="e">
        <f t="shared" ca="1" si="2"/>
        <v>#VALUE!</v>
      </c>
      <c r="Z34" s="23">
        <f ca="1">_xll.meLWOBondDirtyPrice($L34,$C$4,$S34%)</f>
        <v>95.829483740345978</v>
      </c>
      <c r="AA34" s="23">
        <f ca="1">_xll.meLWOBondModifiedDuration($L34,$C$4,$S34%)</f>
        <v>3.1647074482456707</v>
      </c>
      <c r="AB34" s="22" t="str">
        <f ca="1">_xll.BDP($B34,AB$6,"YLD_YTM_ASK="&amp;$S34,"YAS_YLD_CONV=3")</f>
        <v>#N/A Requesting Data...</v>
      </c>
      <c r="AC34" s="24" t="e">
        <f t="shared" ca="1" si="3"/>
        <v>#VALUE!</v>
      </c>
      <c r="AD34" s="23">
        <f ca="1">_xll.meLWOBondDV01Numerical($L34,$C$4,$S34%,0.5,"CENTRAL")</f>
        <v>303.27228293003827</v>
      </c>
    </row>
    <row r="35" spans="2:30">
      <c r="B35" s="15" t="s">
        <v>247</v>
      </c>
      <c r="C35" s="15" t="s">
        <v>248</v>
      </c>
      <c r="D35" s="15" t="s">
        <v>248</v>
      </c>
      <c r="E35" s="16">
        <v>42766</v>
      </c>
      <c r="F35" s="19">
        <v>42766</v>
      </c>
      <c r="G35" s="18" t="str">
        <f t="shared" si="0"/>
        <v>EOM</v>
      </c>
      <c r="H35" s="16">
        <v>42947</v>
      </c>
      <c r="I35" s="16">
        <v>44408</v>
      </c>
      <c r="J35" s="17">
        <v>1.8749999999999999E-2</v>
      </c>
      <c r="K35" s="16">
        <v>44592</v>
      </c>
      <c r="L35" s="20" t="str">
        <f ca="1">_xll.meLWOBondCreateFromGeneratorLVB(C35,$L$4,_xll.meUtilityLVBFromKeysValues($C$6:$K$6,C35:K35))</f>
        <v>US912828V723:2</v>
      </c>
      <c r="M35" s="92">
        <f ca="1">_xll.BDP($B35,$M$5)</f>
        <v>2.9455586999999999</v>
      </c>
      <c r="N35" s="89">
        <f ca="1">_xll.meLWOBondCleanPrice($L35,$C$4,$M35%)</f>
        <v>96.664062385657104</v>
      </c>
      <c r="O35" s="89">
        <f ca="1">_xll.meLWOBondDirtyPrice($L35,$C$4,$M35%)</f>
        <v>97.056385755222323</v>
      </c>
      <c r="P35" s="88">
        <f ca="1">_xll.meLWOBondYield($L35,$C$4,N35)</f>
        <v>2.9455587000002795E-2</v>
      </c>
      <c r="Q35" s="89">
        <f ca="1">_xll.meLWOBondModifiedDuration($L35,$C$4,$M35%)</f>
        <v>3.1462567542633288</v>
      </c>
      <c r="R35" s="23">
        <f ca="1">_xll.meLWOBondDV01($L35,$C$4,$M35%)</f>
        <v>305.36430922675538</v>
      </c>
      <c r="S35" s="86">
        <f t="shared" ca="1" si="4"/>
        <v>2.9455586999999999</v>
      </c>
      <c r="T35" s="22" t="str">
        <f ca="1">_xll.BDP($B35,T$6, "YAS_BOND_YLD="&amp;$S35,"YAS_YLD_CONV=2")</f>
        <v>#N/A Requesting Data...</v>
      </c>
      <c r="U35" s="23">
        <f ca="1">_xll.meLWOBondCleanPrice($L35,$C$4,$S35%)</f>
        <v>96.664062385657104</v>
      </c>
      <c r="V35" s="24" t="e">
        <f t="shared" ca="1" si="1"/>
        <v>#VALUE!</v>
      </c>
      <c r="W35" s="23">
        <f ca="1">_xll.meLWOBondDV01($L35,$C$4,$S35%)</f>
        <v>305.36430922675538</v>
      </c>
      <c r="X35" s="22" t="e">
        <f ca="1">_xll.BDP($B35,X$6, "YLD_YTM_ASK="&amp;$S35,"YAS_YLD_CONV=3")*$X$3*0.0001</f>
        <v>#VALUE!</v>
      </c>
      <c r="Y35" s="24" t="e">
        <f t="shared" ca="1" si="2"/>
        <v>#VALUE!</v>
      </c>
      <c r="Z35" s="23">
        <f ca="1">_xll.meLWOBondDirtyPrice($L35,$C$4,$S35%)</f>
        <v>97.056385755222323</v>
      </c>
      <c r="AA35" s="23">
        <f ca="1">_xll.meLWOBondModifiedDuration($L35,$C$4,$S35%)</f>
        <v>3.1462567542633288</v>
      </c>
      <c r="AB35" s="22" t="str">
        <f ca="1">_xll.BDP($B35,AB$6,"YLD_YTM_ASK="&amp;$S35,"YAS_YLD_CONV=3")</f>
        <v>#N/A Requesting Data...</v>
      </c>
      <c r="AC35" s="24" t="e">
        <f t="shared" ca="1" si="3"/>
        <v>#VALUE!</v>
      </c>
      <c r="AD35" s="23">
        <f ca="1">_xll.meLWOBondDV01Numerical($L35,$C$4,$S35%,0.5,"CENTRAL")</f>
        <v>305.36431121021229</v>
      </c>
    </row>
    <row r="36" spans="2:30">
      <c r="B36" s="15" t="s">
        <v>253</v>
      </c>
      <c r="C36" s="15" t="s">
        <v>254</v>
      </c>
      <c r="D36" s="15" t="s">
        <v>254</v>
      </c>
      <c r="E36" s="16">
        <v>40954</v>
      </c>
      <c r="F36" s="19">
        <v>40954</v>
      </c>
      <c r="G36" s="18" t="str">
        <f t="shared" si="0"/>
        <v/>
      </c>
      <c r="H36" s="16">
        <v>41136</v>
      </c>
      <c r="I36" s="16">
        <v>44423</v>
      </c>
      <c r="J36" s="17">
        <v>0.02</v>
      </c>
      <c r="K36" s="16">
        <v>44607</v>
      </c>
      <c r="L36" s="20" t="str">
        <f ca="1">_xll.meLWOBondCreateFromGeneratorLVB(C36,$L$4,_xll.meUtilityLVBFromKeysValues($C$6:$K$6,C36:K36))</f>
        <v>US912828SF82:2</v>
      </c>
      <c r="M36" s="92">
        <f ca="1">_xll.BDP($B36,$M$5)</f>
        <v>2.9364549000000002</v>
      </c>
      <c r="N36" s="89">
        <f ca="1">_xll.meLWOBondCleanPrice($L36,$C$4,$M36%)</f>
        <v>97.046874911617465</v>
      </c>
      <c r="O36" s="89">
        <f ca="1">_xll.meLWOBondDirtyPrice($L36,$C$4,$M36%)</f>
        <v>97.38383143335659</v>
      </c>
      <c r="P36" s="88">
        <f ca="1">_xll.meLWOBondYield($L36,$C$4,N36)</f>
        <v>2.9364549000001971E-2</v>
      </c>
      <c r="Q36" s="89">
        <f ca="1">_xll.meLWOBondModifiedDuration($L36,$C$4,$M36%)</f>
        <v>3.1805781253592134</v>
      </c>
      <c r="R36" s="23">
        <f ca="1">_xll.meLWOBondDV01($L36,$C$4,$M36%)</f>
        <v>309.73688402060293</v>
      </c>
      <c r="S36" s="86">
        <f t="shared" ca="1" si="4"/>
        <v>2.9364549000000002</v>
      </c>
      <c r="T36" s="22" t="str">
        <f ca="1">_xll.BDP($B36,T$6, "YAS_BOND_YLD="&amp;$S36,"YAS_YLD_CONV=2")</f>
        <v>#N/A Requesting Data...</v>
      </c>
      <c r="U36" s="23">
        <f ca="1">_xll.meLWOBondCleanPrice($L36,$C$4,$S36%)</f>
        <v>97.046874911617465</v>
      </c>
      <c r="V36" s="24" t="e">
        <f t="shared" ca="1" si="1"/>
        <v>#VALUE!</v>
      </c>
      <c r="W36" s="23">
        <f ca="1">_xll.meLWOBondDV01($L36,$C$4,$S36%)</f>
        <v>309.73688402060293</v>
      </c>
      <c r="X36" s="22" t="e">
        <f ca="1">_xll.BDP($B36,X$6, "YLD_YTM_ASK="&amp;$S36,"YAS_YLD_CONV=3")*$X$3*0.0001</f>
        <v>#VALUE!</v>
      </c>
      <c r="Y36" s="24" t="e">
        <f t="shared" ca="1" si="2"/>
        <v>#VALUE!</v>
      </c>
      <c r="Z36" s="23">
        <f ca="1">_xll.meLWOBondDirtyPrice($L36,$C$4,$S36%)</f>
        <v>97.38383143335659</v>
      </c>
      <c r="AA36" s="23">
        <f ca="1">_xll.meLWOBondModifiedDuration($L36,$C$4,$S36%)</f>
        <v>3.1805781253592134</v>
      </c>
      <c r="AB36" s="22" t="str">
        <f ca="1">_xll.BDP($B36,AB$6,"YLD_YTM_ASK="&amp;$S36,"YAS_YLD_CONV=3")</f>
        <v>#N/A Requesting Data...</v>
      </c>
      <c r="AC36" s="24" t="e">
        <f t="shared" ca="1" si="3"/>
        <v>#VALUE!</v>
      </c>
      <c r="AD36" s="23">
        <f ca="1">_xll.meLWOBondDV01Numerical($L36,$C$4,$S36%,0.5,"CENTRAL")</f>
        <v>309.73688607161876</v>
      </c>
    </row>
    <row r="37" spans="2:30">
      <c r="B37" s="15" t="s">
        <v>191</v>
      </c>
      <c r="C37" s="15" t="s">
        <v>192</v>
      </c>
      <c r="D37" s="15" t="s">
        <v>192</v>
      </c>
      <c r="E37" s="16">
        <v>42065</v>
      </c>
      <c r="F37" s="19">
        <v>42063</v>
      </c>
      <c r="G37" s="18" t="str">
        <f t="shared" si="0"/>
        <v>EOM</v>
      </c>
      <c r="H37" s="16">
        <v>42247</v>
      </c>
      <c r="I37" s="16">
        <v>44439</v>
      </c>
      <c r="J37" s="17">
        <v>1.7500000000000002E-2</v>
      </c>
      <c r="K37" s="16">
        <v>44620</v>
      </c>
      <c r="L37" s="20" t="str">
        <f ca="1">_xll.meLWOBondCreateFromGeneratorLVB(C37,$L$4,_xll.meUtilityLVBFromKeysValues($C$6:$K$6,C37:K37))</f>
        <v>US912828J439:2</v>
      </c>
      <c r="M37" s="92">
        <f ca="1">_xll.BDP($B37,$M$5)</f>
        <v>2.9403021000000003</v>
      </c>
      <c r="N37" s="89">
        <f ca="1">_xll.meLWOBondCleanPrice($L37,$C$4,$M37%)</f>
        <v>96.203124901066559</v>
      </c>
      <c r="O37" s="89">
        <f ca="1">_xll.meLWOBondDirtyPrice($L37,$C$4,$M37%)</f>
        <v>96.425500591674293</v>
      </c>
      <c r="P37" s="88">
        <f ca="1">_xll.meLWOBondYield($L37,$C$4,N37)</f>
        <v>2.9403021000002052E-2</v>
      </c>
      <c r="Q37" s="89">
        <f ca="1">_xll.meLWOBondModifiedDuration($L37,$C$4,$M37%)</f>
        <v>3.2333864410639515</v>
      </c>
      <c r="R37" s="23">
        <f ca="1">_xll.meLWOBondDV01($L37,$C$4,$M37%)</f>
        <v>311.7809061859237</v>
      </c>
      <c r="S37" s="86">
        <f t="shared" ca="1" si="4"/>
        <v>2.9403021000000003</v>
      </c>
      <c r="T37" s="22" t="str">
        <f ca="1">_xll.BDP($B37,T$6, "YAS_BOND_YLD="&amp;$S37,"YAS_YLD_CONV=2")</f>
        <v>#N/A Requesting Data...</v>
      </c>
      <c r="U37" s="23">
        <f ca="1">_xll.meLWOBondCleanPrice($L37,$C$4,$S37%)</f>
        <v>96.203124901066559</v>
      </c>
      <c r="V37" s="24" t="e">
        <f t="shared" ca="1" si="1"/>
        <v>#VALUE!</v>
      </c>
      <c r="W37" s="23">
        <f ca="1">_xll.meLWOBondDV01($L37,$C$4,$S37%)</f>
        <v>311.7809061859237</v>
      </c>
      <c r="X37" s="22" t="e">
        <f ca="1">_xll.BDP($B37,X$6, "YLD_YTM_ASK="&amp;$S37,"YAS_YLD_CONV=3")*$X$3*0.0001</f>
        <v>#VALUE!</v>
      </c>
      <c r="Y37" s="24" t="e">
        <f t="shared" ca="1" si="2"/>
        <v>#VALUE!</v>
      </c>
      <c r="Z37" s="23">
        <f ca="1">_xll.meLWOBondDirtyPrice($L37,$C$4,$S37%)</f>
        <v>96.425500591674293</v>
      </c>
      <c r="AA37" s="23">
        <f ca="1">_xll.meLWOBondModifiedDuration($L37,$C$4,$S37%)</f>
        <v>3.2333864410639515</v>
      </c>
      <c r="AB37" s="22" t="str">
        <f ca="1">_xll.BDP($B37,AB$6,"YLD_YTM_ASK="&amp;$S37,"YAS_YLD_CONV=3")</f>
        <v>#N/A Requesting Data...</v>
      </c>
      <c r="AC37" s="24" t="e">
        <f t="shared" ca="1" si="3"/>
        <v>#VALUE!</v>
      </c>
      <c r="AD37" s="23">
        <f ca="1">_xll.meLWOBondDV01Numerical($L37,$C$4,$S37%,0.5,"CENTRAL")</f>
        <v>311.78090829584448</v>
      </c>
    </row>
    <row r="38" spans="2:30">
      <c r="B38" s="15" t="s">
        <v>251</v>
      </c>
      <c r="C38" s="15" t="s">
        <v>252</v>
      </c>
      <c r="D38" s="15" t="s">
        <v>252</v>
      </c>
      <c r="E38" s="16">
        <v>42794</v>
      </c>
      <c r="F38" s="19">
        <v>42794</v>
      </c>
      <c r="G38" s="18" t="str">
        <f t="shared" si="0"/>
        <v>EOM</v>
      </c>
      <c r="H38" s="16">
        <v>42978</v>
      </c>
      <c r="I38" s="16">
        <v>44439</v>
      </c>
      <c r="J38" s="17">
        <v>1.8749999999999999E-2</v>
      </c>
      <c r="K38" s="16">
        <v>44620</v>
      </c>
      <c r="L38" s="20" t="str">
        <f ca="1">_xll.meLWOBondCreateFromGeneratorLVB(C38,$L$4,_xll.meUtilityLVBFromKeysValues($C$6:$K$6,C38:K38))</f>
        <v>US912828W556:2</v>
      </c>
      <c r="M38" s="92">
        <f ca="1">_xll.BDP($B38,$M$5)</f>
        <v>2.9453274</v>
      </c>
      <c r="N38" s="89">
        <f ca="1">_xll.meLWOBondCleanPrice($L38,$C$4,$M38%)</f>
        <v>96.585937523974934</v>
      </c>
      <c r="O38" s="89">
        <f ca="1">_xll.meLWOBondDirtyPrice($L38,$C$4,$M38%)</f>
        <v>96.824197192483226</v>
      </c>
      <c r="P38" s="88">
        <f ca="1">_xll.meLWOBondYield($L38,$C$4,N38)</f>
        <v>2.9453274000002132E-2</v>
      </c>
      <c r="Q38" s="89">
        <f ca="1">_xll.meLWOBondModifiedDuration($L38,$C$4,$M38%)</f>
        <v>3.2272356202424097</v>
      </c>
      <c r="R38" s="23">
        <f ca="1">_xll.meLWOBondDV01($L38,$C$4,$M38%)</f>
        <v>312.47449808095701</v>
      </c>
      <c r="S38" s="86">
        <f t="shared" ca="1" si="4"/>
        <v>2.9453274</v>
      </c>
      <c r="T38" s="22" t="str">
        <f ca="1">_xll.BDP($B38,T$6, "YAS_BOND_YLD="&amp;$S38,"YAS_YLD_CONV=2")</f>
        <v>#N/A Requesting Data...</v>
      </c>
      <c r="U38" s="23">
        <f ca="1">_xll.meLWOBondCleanPrice($L38,$C$4,$S38%)</f>
        <v>96.585937523974934</v>
      </c>
      <c r="V38" s="24" t="e">
        <f t="shared" ca="1" si="1"/>
        <v>#VALUE!</v>
      </c>
      <c r="W38" s="23">
        <f ca="1">_xll.meLWOBondDV01($L38,$C$4,$S38%)</f>
        <v>312.47449808095701</v>
      </c>
      <c r="X38" s="22" t="e">
        <f ca="1">_xll.BDP($B38,X$6, "YLD_YTM_ASK="&amp;$S38,"YAS_YLD_CONV=3")*$X$3*0.0001</f>
        <v>#VALUE!</v>
      </c>
      <c r="Y38" s="24" t="e">
        <f t="shared" ca="1" si="2"/>
        <v>#VALUE!</v>
      </c>
      <c r="Z38" s="23">
        <f ca="1">_xll.meLWOBondDirtyPrice($L38,$C$4,$S38%)</f>
        <v>96.824197192483226</v>
      </c>
      <c r="AA38" s="23">
        <f ca="1">_xll.meLWOBondModifiedDuration($L38,$C$4,$S38%)</f>
        <v>3.2272356202424097</v>
      </c>
      <c r="AB38" s="22" t="str">
        <f ca="1">_xll.BDP($B38,AB$6,"YLD_YTM_ASK="&amp;$S38,"YAS_YLD_CONV=3")</f>
        <v>#N/A Requesting Data...</v>
      </c>
      <c r="AC38" s="24" t="e">
        <f t="shared" ca="1" si="3"/>
        <v>#VALUE!</v>
      </c>
      <c r="AD38" s="23">
        <f ca="1">_xll.meLWOBondDV01Numerical($L38,$C$4,$S38%,0.5,"CENTRAL")</f>
        <v>312.47450019364464</v>
      </c>
    </row>
    <row r="39" spans="2:30">
      <c r="B39" s="15" t="s">
        <v>211</v>
      </c>
      <c r="C39" s="15" t="s">
        <v>212</v>
      </c>
      <c r="D39" s="15" t="s">
        <v>212</v>
      </c>
      <c r="E39" s="16">
        <v>42094</v>
      </c>
      <c r="F39" s="19">
        <v>42094</v>
      </c>
      <c r="G39" s="18" t="str">
        <f t="shared" ref="G39:G70" si="5">IF(DAY(K39+1)=1, "EOM","")</f>
        <v>EOM</v>
      </c>
      <c r="H39" s="16">
        <v>42277</v>
      </c>
      <c r="I39" s="16">
        <v>44469</v>
      </c>
      <c r="J39" s="17">
        <v>1.7500000000000002E-2</v>
      </c>
      <c r="K39" s="16">
        <v>44651</v>
      </c>
      <c r="L39" s="20" t="str">
        <f ca="1">_xll.meLWOBondCreateFromGeneratorLVB(C39,$L$4,_xll.meUtilityLVBFromKeysValues($C$6:$K$6,C39:K39))</f>
        <v>US912828J769:2</v>
      </c>
      <c r="M39" s="92">
        <f ca="1">_xll.BDP($B39,$M$5)</f>
        <v>2.944493</v>
      </c>
      <c r="N39" s="89">
        <f ca="1">_xll.meLWOBondCleanPrice($L39,$C$4,$M39%)</f>
        <v>96.101562633664727</v>
      </c>
      <c r="O39" s="89">
        <f ca="1">_xll.meLWOBondDirtyPrice($L39,$C$4,$M39%)</f>
        <v>96.178485710587807</v>
      </c>
      <c r="P39" s="88">
        <f ca="1">_xll.meLWOBondYield($L39,$C$4,N39)</f>
        <v>2.9444930000003026E-2</v>
      </c>
      <c r="Q39" s="89">
        <f ca="1">_xll.meLWOBondModifiedDuration($L39,$C$4,$M39%)</f>
        <v>3.3152217042562411</v>
      </c>
      <c r="R39" s="23">
        <f ca="1">_xll.meLWOBondDV01($L39,$C$4,$M39%)</f>
        <v>318.85300331023944</v>
      </c>
      <c r="S39" s="86">
        <f t="shared" ca="1" si="4"/>
        <v>2.944493</v>
      </c>
      <c r="T39" s="22" t="str">
        <f ca="1">_xll.BDP($B39,T$6, "YAS_BOND_YLD="&amp;$S39,"YAS_YLD_CONV=2")</f>
        <v>#N/A Requesting Data...</v>
      </c>
      <c r="U39" s="23">
        <f ca="1">_xll.meLWOBondCleanPrice($L39,$C$4,$S39%)</f>
        <v>96.101562633664727</v>
      </c>
      <c r="V39" s="24" t="e">
        <f t="shared" ref="V39:V70" ca="1" si="6">ABS(U39-T39)</f>
        <v>#VALUE!</v>
      </c>
      <c r="W39" s="23">
        <f ca="1">_xll.meLWOBondDV01($L39,$C$4,$S39%)</f>
        <v>318.85300331023944</v>
      </c>
      <c r="X39" s="22" t="e">
        <f ca="1">_xll.BDP($B39,X$6, "YLD_YTM_ASK="&amp;$S39,"YAS_YLD_CONV=3")*$X$3*0.0001</f>
        <v>#VALUE!</v>
      </c>
      <c r="Y39" s="24" t="e">
        <f t="shared" ref="Y39:Y70" ca="1" si="7">ABS(X39-W39)</f>
        <v>#VALUE!</v>
      </c>
      <c r="Z39" s="23">
        <f ca="1">_xll.meLWOBondDirtyPrice($L39,$C$4,$S39%)</f>
        <v>96.178485710587807</v>
      </c>
      <c r="AA39" s="23">
        <f ca="1">_xll.meLWOBondModifiedDuration($L39,$C$4,$S39%)</f>
        <v>3.3152217042562411</v>
      </c>
      <c r="AB39" s="22" t="str">
        <f ca="1">_xll.BDP($B39,AB$6,"YLD_YTM_ASK="&amp;$S39,"YAS_YLD_CONV=3")</f>
        <v>#N/A Requesting Data...</v>
      </c>
      <c r="AC39" s="24" t="e">
        <f t="shared" ref="AC39:AC70" ca="1" si="8">ABS(AB39-AA39)</f>
        <v>#VALUE!</v>
      </c>
      <c r="AD39" s="23">
        <f ca="1">_xll.meLWOBondDV01Numerical($L39,$C$4,$S39%,0.5,"CENTRAL")</f>
        <v>318.85300555401841</v>
      </c>
    </row>
    <row r="40" spans="2:30">
      <c r="B40" s="15" t="s">
        <v>267</v>
      </c>
      <c r="C40" s="15" t="s">
        <v>268</v>
      </c>
      <c r="D40" s="15" t="s">
        <v>268</v>
      </c>
      <c r="E40" s="16">
        <v>42124</v>
      </c>
      <c r="F40" s="19">
        <v>42124</v>
      </c>
      <c r="G40" s="18" t="str">
        <f t="shared" si="5"/>
        <v>EOM</v>
      </c>
      <c r="H40" s="16">
        <v>42308</v>
      </c>
      <c r="I40" s="16">
        <v>44500</v>
      </c>
      <c r="J40" s="17">
        <v>1.7500000000000002E-2</v>
      </c>
      <c r="K40" s="16">
        <v>44681</v>
      </c>
      <c r="L40" s="20" t="str">
        <f ca="1">_xll.meLWOBondCreateFromGeneratorLVB(C40,$L$4,_xll.meUtilityLVBFromKeysValues($C$6:$K$6,C40:K40))</f>
        <v>US912828WZ90:2</v>
      </c>
      <c r="M40" s="92">
        <f ca="1">_xll.BDP($B40,$M$5)</f>
        <v>2.9502328000000002</v>
      </c>
      <c r="N40" s="89">
        <f ca="1">_xll.meLWOBondCleanPrice($L40,$C$4,$M40%)</f>
        <v>95.992187345052315</v>
      </c>
      <c r="O40" s="89">
        <f ca="1">_xll.meLWOBondDirtyPrice($L40,$C$4,$M40%)</f>
        <v>96.79585582331319</v>
      </c>
      <c r="P40" s="88">
        <f ca="1">_xll.meLWOBondYield($L40,$C$4,N40)</f>
        <v>2.9502328000002673E-2</v>
      </c>
      <c r="Q40" s="89">
        <f ca="1">_xll.meLWOBondModifiedDuration($L40,$C$4,$M40%)</f>
        <v>3.368279797971657</v>
      </c>
      <c r="R40" s="23">
        <f ca="1">_xll.meLWOBondDV01($L40,$C$4,$M40%)</f>
        <v>326.035525697043</v>
      </c>
      <c r="S40" s="86">
        <f t="shared" ca="1" si="4"/>
        <v>2.9502328000000002</v>
      </c>
      <c r="T40" s="22" t="str">
        <f ca="1">_xll.BDP($B40,T$6, "YAS_BOND_YLD="&amp;$S40,"YAS_YLD_CONV=2")</f>
        <v>#N/A Requesting Data...</v>
      </c>
      <c r="U40" s="23">
        <f ca="1">_xll.meLWOBondCleanPrice($L40,$C$4,$S40%)</f>
        <v>95.992187345052315</v>
      </c>
      <c r="V40" s="24" t="e">
        <f t="shared" ca="1" si="6"/>
        <v>#VALUE!</v>
      </c>
      <c r="W40" s="23">
        <f ca="1">_xll.meLWOBondDV01($L40,$C$4,$S40%)</f>
        <v>326.035525697043</v>
      </c>
      <c r="X40" s="22" t="e">
        <f ca="1">_xll.BDP($B40,X$6, "YLD_YTM_ASK="&amp;$S40,"YAS_YLD_CONV=3")*$X$3*0.0001</f>
        <v>#VALUE!</v>
      </c>
      <c r="Y40" s="24" t="e">
        <f t="shared" ca="1" si="7"/>
        <v>#VALUE!</v>
      </c>
      <c r="Z40" s="23">
        <f ca="1">_xll.meLWOBondDirtyPrice($L40,$C$4,$S40%)</f>
        <v>96.79585582331319</v>
      </c>
      <c r="AA40" s="23">
        <f ca="1">_xll.meLWOBondModifiedDuration($L40,$C$4,$S40%)</f>
        <v>3.368279797971657</v>
      </c>
      <c r="AB40" s="22" t="str">
        <f ca="1">_xll.BDP($B40,AB$6,"YLD_YTM_ASK="&amp;$S40,"YAS_YLD_CONV=3")</f>
        <v>#N/A Requesting Data...</v>
      </c>
      <c r="AC40" s="24" t="e">
        <f t="shared" ca="1" si="8"/>
        <v>#VALUE!</v>
      </c>
      <c r="AD40" s="23">
        <f ca="1">_xll.meLWOBondDV01Numerical($L40,$C$4,$S40%,0.5,"CENTRAL")</f>
        <v>326.03552808396336</v>
      </c>
    </row>
    <row r="41" spans="2:30">
      <c r="B41" s="15" t="s">
        <v>175</v>
      </c>
      <c r="C41" s="15" t="s">
        <v>176</v>
      </c>
      <c r="D41" s="15" t="s">
        <v>176</v>
      </c>
      <c r="E41" s="16">
        <v>41044</v>
      </c>
      <c r="F41" s="19">
        <v>41044</v>
      </c>
      <c r="G41" s="18" t="str">
        <f t="shared" si="5"/>
        <v/>
      </c>
      <c r="H41" s="16">
        <v>41228</v>
      </c>
      <c r="I41" s="16">
        <v>44515</v>
      </c>
      <c r="J41" s="17">
        <v>1.7500000000000002E-2</v>
      </c>
      <c r="K41" s="16">
        <v>44696</v>
      </c>
      <c r="L41" s="20" t="str">
        <f ca="1">_xll.meLWOBondCreateFromGeneratorLVB(C41,$L$4,_xll.meUtilityLVBFromKeysValues($C$6:$K$6,C41:K41))</f>
        <v>US912828SV33:2</v>
      </c>
      <c r="M41" s="92">
        <f ca="1">_xll.BDP($B41,$M$5)</f>
        <v>2.9510595999999998</v>
      </c>
      <c r="N41" s="89">
        <f ca="1">_xll.meLWOBondCleanPrice($L41,$C$4,$M41%)</f>
        <v>95.945312532762827</v>
      </c>
      <c r="O41" s="89">
        <f ca="1">_xll.meLWOBondDirtyPrice($L41,$C$4,$M41%)</f>
        <v>96.677649489284562</v>
      </c>
      <c r="P41" s="88">
        <f ca="1">_xll.meLWOBondYield($L41,$C$4,N41)</f>
        <v>2.9510596000003119E-2</v>
      </c>
      <c r="Q41" s="89">
        <f ca="1">_xll.meLWOBondModifiedDuration($L41,$C$4,$M41%)</f>
        <v>3.4084318867795247</v>
      </c>
      <c r="R41" s="23">
        <f ca="1">_xll.meLWOBondDV01($L41,$C$4,$M41%)</f>
        <v>329.51918325817172</v>
      </c>
      <c r="S41" s="86">
        <f t="shared" ca="1" si="4"/>
        <v>2.9510595999999998</v>
      </c>
      <c r="T41" s="22" t="str">
        <f ca="1">_xll.BDP($B41,T$6, "YAS_BOND_YLD="&amp;$S41,"YAS_YLD_CONV=2")</f>
        <v>#N/A Requesting Data...</v>
      </c>
      <c r="U41" s="23">
        <f ca="1">_xll.meLWOBondCleanPrice($L41,$C$4,$S41%)</f>
        <v>95.945312532762827</v>
      </c>
      <c r="V41" s="24" t="e">
        <f t="shared" ca="1" si="6"/>
        <v>#VALUE!</v>
      </c>
      <c r="W41" s="23">
        <f ca="1">_xll.meLWOBondDV01($L41,$C$4,$S41%)</f>
        <v>329.51918325817172</v>
      </c>
      <c r="X41" s="22" t="e">
        <f ca="1">_xll.BDP($B41,X$6, "YLD_YTM_ASK="&amp;$S41,"YAS_YLD_CONV=3")*$X$3*0.0001</f>
        <v>#VALUE!</v>
      </c>
      <c r="Y41" s="24" t="e">
        <f t="shared" ca="1" si="7"/>
        <v>#VALUE!</v>
      </c>
      <c r="Z41" s="23">
        <f ca="1">_xll.meLWOBondDirtyPrice($L41,$C$4,$S41%)</f>
        <v>96.677649489284562</v>
      </c>
      <c r="AA41" s="23">
        <f ca="1">_xll.meLWOBondModifiedDuration($L41,$C$4,$S41%)</f>
        <v>3.4084318867795247</v>
      </c>
      <c r="AB41" s="22" t="str">
        <f ca="1">_xll.BDP($B41,AB$6,"YLD_YTM_ASK="&amp;$S41,"YAS_YLD_CONV=3")</f>
        <v>#N/A Requesting Data...</v>
      </c>
      <c r="AC41" s="24" t="e">
        <f t="shared" ca="1" si="8"/>
        <v>#VALUE!</v>
      </c>
      <c r="AD41" s="23">
        <f ca="1">_xll.meLWOBondDV01Numerical($L41,$C$4,$S41%,0.5,"CENTRAL")</f>
        <v>329.51918571782812</v>
      </c>
    </row>
    <row r="42" spans="2:30">
      <c r="B42" s="15" t="s">
        <v>231</v>
      </c>
      <c r="C42" s="15" t="s">
        <v>232</v>
      </c>
      <c r="D42" s="15" t="s">
        <v>232</v>
      </c>
      <c r="E42" s="16">
        <v>42156</v>
      </c>
      <c r="F42" s="19">
        <v>42155</v>
      </c>
      <c r="G42" s="18" t="str">
        <f t="shared" si="5"/>
        <v>EOM</v>
      </c>
      <c r="H42" s="16">
        <v>42338</v>
      </c>
      <c r="I42" s="16">
        <v>44530</v>
      </c>
      <c r="J42" s="17">
        <v>1.8749999999999999E-2</v>
      </c>
      <c r="K42" s="16">
        <v>44712</v>
      </c>
      <c r="L42" s="20" t="str">
        <f ca="1">_xll.meLWOBondCreateFromGeneratorLVB(C42,$L$4,_xll.meUtilityLVBFromKeysValues($C$6:$K$6,C42:K42))</f>
        <v>US912828XD79:2</v>
      </c>
      <c r="M42" s="92">
        <f ca="1">_xll.BDP($B42,$M$5)</f>
        <v>2.9530596999999998</v>
      </c>
      <c r="N42" s="89">
        <f ca="1">_xll.meLWOBondCleanPrice($L42,$C$4,$M42%)</f>
        <v>96.320312384928116</v>
      </c>
      <c r="O42" s="89">
        <f ca="1">_xll.meLWOBondDirtyPrice($L42,$C$4,$M42%)</f>
        <v>97.027279598042867</v>
      </c>
      <c r="P42" s="88">
        <f ca="1">_xll.meLWOBondYield($L42,$C$4,N42)</f>
        <v>2.9530597000002653E-2</v>
      </c>
      <c r="Q42" s="89">
        <f ca="1">_xll.meLWOBondModifiedDuration($L42,$C$4,$M42%)</f>
        <v>3.4412076402662612</v>
      </c>
      <c r="R42" s="23">
        <f ca="1">_xll.meLWOBondDV01($L42,$C$4,$M42%)</f>
        <v>333.89101586703583</v>
      </c>
      <c r="S42" s="86">
        <f t="shared" ca="1" si="4"/>
        <v>2.9530596999999998</v>
      </c>
      <c r="T42" s="22" t="str">
        <f ca="1">_xll.BDP($B42,T$6, "YAS_BOND_YLD="&amp;$S42,"YAS_YLD_CONV=2")</f>
        <v>#N/A Requesting Data...</v>
      </c>
      <c r="U42" s="23">
        <f ca="1">_xll.meLWOBondCleanPrice($L42,$C$4,$S42%)</f>
        <v>96.320312384928116</v>
      </c>
      <c r="V42" s="24" t="e">
        <f t="shared" ca="1" si="6"/>
        <v>#VALUE!</v>
      </c>
      <c r="W42" s="23">
        <f ca="1">_xll.meLWOBondDV01($L42,$C$4,$S42%)</f>
        <v>333.89101586703583</v>
      </c>
      <c r="X42" s="22" t="e">
        <f ca="1">_xll.BDP($B42,X$6, "YLD_YTM_ASK="&amp;$S42,"YAS_YLD_CONV=3")*$X$3*0.0001</f>
        <v>#VALUE!</v>
      </c>
      <c r="Y42" s="24" t="e">
        <f t="shared" ca="1" si="7"/>
        <v>#VALUE!</v>
      </c>
      <c r="Z42" s="23">
        <f ca="1">_xll.meLWOBondDirtyPrice($L42,$C$4,$S42%)</f>
        <v>97.027279598042867</v>
      </c>
      <c r="AA42" s="23">
        <f ca="1">_xll.meLWOBondModifiedDuration($L42,$C$4,$S42%)</f>
        <v>3.4412076402662612</v>
      </c>
      <c r="AB42" s="22" t="str">
        <f ca="1">_xll.BDP($B42,AB$6,"YLD_YTM_ASK="&amp;$S42,"YAS_YLD_CONV=3")</f>
        <v>#N/A Requesting Data...</v>
      </c>
      <c r="AC42" s="24" t="e">
        <f t="shared" ca="1" si="8"/>
        <v>#VALUE!</v>
      </c>
      <c r="AD42" s="23">
        <f ca="1">_xll.meLWOBondDV01Numerical($L42,$C$4,$S42%,0.5,"CENTRAL")</f>
        <v>333.89101840285207</v>
      </c>
    </row>
    <row r="43" spans="2:30">
      <c r="B43" s="15" t="s">
        <v>243</v>
      </c>
      <c r="C43" s="15" t="s">
        <v>244</v>
      </c>
      <c r="D43" s="15" t="s">
        <v>244</v>
      </c>
      <c r="E43" s="16">
        <v>42185</v>
      </c>
      <c r="F43" s="19">
        <v>42185</v>
      </c>
      <c r="G43" s="18" t="str">
        <f t="shared" si="5"/>
        <v>EOM</v>
      </c>
      <c r="H43" s="16">
        <v>42369</v>
      </c>
      <c r="I43" s="16">
        <v>44561</v>
      </c>
      <c r="J43" s="17">
        <v>2.1250000000000002E-2</v>
      </c>
      <c r="K43" s="16">
        <v>44742</v>
      </c>
      <c r="L43" s="20" t="str">
        <f ca="1">_xll.meLWOBondCreateFromGeneratorLVB(C43,$L$4,_xll.meUtilityLVBFromKeysValues($C$6:$K$6,C43:K43))</f>
        <v>US912828XG01:2</v>
      </c>
      <c r="M43" s="92">
        <f ca="1">_xll.BDP($B43,$M$5)</f>
        <v>2.9535388999999999</v>
      </c>
      <c r="N43" s="89">
        <f ca="1">_xll.meLWOBondCleanPrice($L43,$C$4,$M43%)</f>
        <v>97.109374979996062</v>
      </c>
      <c r="O43" s="89">
        <f ca="1">_xll.meLWOBondDirtyPrice($L43,$C$4,$M43%)</f>
        <v>97.73301628434389</v>
      </c>
      <c r="P43" s="88">
        <f ca="1">_xll.meLWOBondYield($L43,$C$4,N43)</f>
        <v>2.9535389000001192E-2</v>
      </c>
      <c r="Q43" s="89">
        <f ca="1">_xll.meLWOBondModifiedDuration($L43,$C$4,$M43%)</f>
        <v>3.507762583126806</v>
      </c>
      <c r="R43" s="23">
        <f ca="1">_xll.meLWOBondDV01($L43,$C$4,$M43%)</f>
        <v>342.82421765834431</v>
      </c>
      <c r="S43" s="86">
        <f t="shared" ca="1" si="4"/>
        <v>2.9535388999999999</v>
      </c>
      <c r="T43" s="22" t="str">
        <f ca="1">_xll.BDP($B43,T$6, "YAS_BOND_YLD="&amp;$S43,"YAS_YLD_CONV=2")</f>
        <v>#N/A Requesting Data...</v>
      </c>
      <c r="U43" s="23">
        <f ca="1">_xll.meLWOBondCleanPrice($L43,$C$4,$S43%)</f>
        <v>97.109374979996062</v>
      </c>
      <c r="V43" s="24" t="e">
        <f t="shared" ca="1" si="6"/>
        <v>#VALUE!</v>
      </c>
      <c r="W43" s="23">
        <f ca="1">_xll.meLWOBondDV01($L43,$C$4,$S43%)</f>
        <v>342.82421765834431</v>
      </c>
      <c r="X43" s="22" t="e">
        <f ca="1">_xll.BDP($B43,X$6, "YLD_YTM_ASK="&amp;$S43,"YAS_YLD_CONV=3")*$X$3*0.0001</f>
        <v>#VALUE!</v>
      </c>
      <c r="Y43" s="24" t="e">
        <f t="shared" ca="1" si="7"/>
        <v>#VALUE!</v>
      </c>
      <c r="Z43" s="23">
        <f ca="1">_xll.meLWOBondDirtyPrice($L43,$C$4,$S43%)</f>
        <v>97.73301628434389</v>
      </c>
      <c r="AA43" s="23">
        <f ca="1">_xll.meLWOBondModifiedDuration($L43,$C$4,$S43%)</f>
        <v>3.507762583126806</v>
      </c>
      <c r="AB43" s="22" t="str">
        <f ca="1">_xll.BDP($B43,AB$6,"YLD_YTM_ASK="&amp;$S43,"YAS_YLD_CONV=3")</f>
        <v>#N/A Requesting Data...</v>
      </c>
      <c r="AC43" s="24" t="e">
        <f t="shared" ca="1" si="8"/>
        <v>#VALUE!</v>
      </c>
      <c r="AD43" s="23">
        <f ca="1">_xll.meLWOBondDV01Numerical($L43,$C$4,$S43%,0.5,"CENTRAL")</f>
        <v>342.82422035758486</v>
      </c>
    </row>
    <row r="44" spans="2:30">
      <c r="B44" s="15" t="s">
        <v>271</v>
      </c>
      <c r="C44" s="15" t="s">
        <v>272</v>
      </c>
      <c r="D44" s="15" t="s">
        <v>272</v>
      </c>
      <c r="E44" s="16">
        <v>42216</v>
      </c>
      <c r="F44" s="19">
        <v>42216</v>
      </c>
      <c r="G44" s="18" t="str">
        <f t="shared" si="5"/>
        <v>EOM</v>
      </c>
      <c r="H44" s="16">
        <v>42400</v>
      </c>
      <c r="I44" s="16">
        <v>44592</v>
      </c>
      <c r="J44" s="17">
        <v>0.02</v>
      </c>
      <c r="K44" s="16">
        <v>44773</v>
      </c>
      <c r="L44" s="20" t="str">
        <f ca="1">_xll.meLWOBondCreateFromGeneratorLVB(C44,$L$4,_xll.meUtilityLVBFromKeysValues($C$6:$K$6,C44:K44))</f>
        <v>US912828XQ82:2</v>
      </c>
      <c r="M44" s="92">
        <f ca="1">_xll.BDP($B44,$M$5)</f>
        <v>2.9559661999999998</v>
      </c>
      <c r="N44" s="89">
        <f ca="1">_xll.meLWOBondCleanPrice($L44,$C$4,$M44%)</f>
        <v>96.593750168540765</v>
      </c>
      <c r="O44" s="89">
        <f ca="1">_xll.meLWOBondDirtyPrice($L44,$C$4,$M44%)</f>
        <v>97.012228429410328</v>
      </c>
      <c r="P44" s="88">
        <f ca="1">_xll.meLWOBondYield($L44,$C$4,N44)</f>
        <v>2.9559662000002086E-2</v>
      </c>
      <c r="Q44" s="89">
        <f ca="1">_xll.meLWOBondModifiedDuration($L44,$C$4,$M44%)</f>
        <v>3.5985817108554943</v>
      </c>
      <c r="R44" s="23">
        <f ca="1">_xll.meLWOBondDV01($L44,$C$4,$M44%)</f>
        <v>349.10643095541144</v>
      </c>
      <c r="S44" s="86">
        <f t="shared" ca="1" si="4"/>
        <v>2.9559661999999998</v>
      </c>
      <c r="T44" s="22" t="str">
        <f ca="1">_xll.BDP($B44,T$6, "YAS_BOND_YLD="&amp;$S44,"YAS_YLD_CONV=2")</f>
        <v>#N/A Requesting Data...</v>
      </c>
      <c r="U44" s="23">
        <f ca="1">_xll.meLWOBondCleanPrice($L44,$C$4,$S44%)</f>
        <v>96.593750168540765</v>
      </c>
      <c r="V44" s="24" t="e">
        <f t="shared" ca="1" si="6"/>
        <v>#VALUE!</v>
      </c>
      <c r="W44" s="23">
        <f ca="1">_xll.meLWOBondDV01($L44,$C$4,$S44%)</f>
        <v>349.10643095541144</v>
      </c>
      <c r="X44" s="22" t="e">
        <f ca="1">_xll.BDP($B44,X$6, "YLD_YTM_ASK="&amp;$S44,"YAS_YLD_CONV=3")*$X$3*0.0001</f>
        <v>#VALUE!</v>
      </c>
      <c r="Y44" s="24" t="e">
        <f t="shared" ca="1" si="7"/>
        <v>#VALUE!</v>
      </c>
      <c r="Z44" s="23">
        <f ca="1">_xll.meLWOBondDirtyPrice($L44,$C$4,$S44%)</f>
        <v>97.012228429410328</v>
      </c>
      <c r="AA44" s="23">
        <f ca="1">_xll.meLWOBondModifiedDuration($L44,$C$4,$S44%)</f>
        <v>3.5985817108554943</v>
      </c>
      <c r="AB44" s="22" t="str">
        <f ca="1">_xll.BDP($B44,AB$6,"YLD_YTM_ASK="&amp;$S44,"YAS_YLD_CONV=3")</f>
        <v>#N/A Requesting Data...</v>
      </c>
      <c r="AC44" s="24" t="e">
        <f t="shared" ca="1" si="8"/>
        <v>#VALUE!</v>
      </c>
      <c r="AD44" s="23">
        <f ca="1">_xll.meLWOBondDV01Numerical($L44,$C$4,$S44%,0.5,"CENTRAL")</f>
        <v>349.10643380953843</v>
      </c>
    </row>
    <row r="45" spans="2:30">
      <c r="B45" s="15" t="s">
        <v>139</v>
      </c>
      <c r="C45" s="15" t="s">
        <v>140</v>
      </c>
      <c r="D45" s="15" t="s">
        <v>140</v>
      </c>
      <c r="E45" s="16">
        <v>41136</v>
      </c>
      <c r="F45" s="19">
        <v>41136</v>
      </c>
      <c r="G45" s="18" t="str">
        <f t="shared" si="5"/>
        <v/>
      </c>
      <c r="H45" s="16">
        <v>41320</v>
      </c>
      <c r="I45" s="16">
        <v>44607</v>
      </c>
      <c r="J45" s="17">
        <v>1.6250000000000001E-2</v>
      </c>
      <c r="K45" s="16">
        <v>44788</v>
      </c>
      <c r="L45" s="20" t="str">
        <f ca="1">_xll.meLWOBondCreateFromGeneratorLVB(C45,$L$4,_xll.meUtilityLVBFromKeysValues($C$6:$K$6,C45:K45))</f>
        <v>US912828TJ95:2</v>
      </c>
      <c r="M45" s="92">
        <f ca="1">_xll.BDP($B45,$M$5)</f>
        <v>2.9603283</v>
      </c>
      <c r="N45" s="89">
        <f ca="1">_xll.meLWOBondCleanPrice($L45,$C$4,$M45%)</f>
        <v>95.195312469414731</v>
      </c>
      <c r="O45" s="89">
        <f ca="1">_xll.meLWOBondDirtyPrice($L45,$C$4,$M45%)</f>
        <v>95.469089643327777</v>
      </c>
      <c r="P45" s="88">
        <f ca="1">_xll.meLWOBondYield($L45,$C$4,N45)</f>
        <v>2.9603283000004112E-2</v>
      </c>
      <c r="Q45" s="89">
        <f ca="1">_xll.meLWOBondModifiedDuration($L45,$C$4,$M45%)</f>
        <v>3.6626944843199811</v>
      </c>
      <c r="R45" s="23">
        <f ca="1">_xll.meLWOBondDV01($L45,$C$4,$M45%)</f>
        <v>349.67410805966648</v>
      </c>
      <c r="S45" s="86">
        <f t="shared" ca="1" si="4"/>
        <v>2.9603283</v>
      </c>
      <c r="T45" s="22" t="str">
        <f ca="1">_xll.BDP($B45,T$6, "YAS_BOND_YLD="&amp;$S45,"YAS_YLD_CONV=2")</f>
        <v>#N/A Requesting Data...</v>
      </c>
      <c r="U45" s="23">
        <f ca="1">_xll.meLWOBondCleanPrice($L45,$C$4,$S45%)</f>
        <v>95.195312469414731</v>
      </c>
      <c r="V45" s="24" t="e">
        <f t="shared" ca="1" si="6"/>
        <v>#VALUE!</v>
      </c>
      <c r="W45" s="23">
        <f ca="1">_xll.meLWOBondDV01($L45,$C$4,$S45%)</f>
        <v>349.67410805966648</v>
      </c>
      <c r="X45" s="22" t="e">
        <f ca="1">_xll.BDP($B45,X$6, "YLD_YTM_ASK="&amp;$S45,"YAS_YLD_CONV=3")*$X$3*0.0001</f>
        <v>#VALUE!</v>
      </c>
      <c r="Y45" s="24" t="e">
        <f t="shared" ca="1" si="7"/>
        <v>#VALUE!</v>
      </c>
      <c r="Z45" s="23">
        <f ca="1">_xll.meLWOBondDirtyPrice($L45,$C$4,$S45%)</f>
        <v>95.469089643327777</v>
      </c>
      <c r="AA45" s="23">
        <f ca="1">_xll.meLWOBondModifiedDuration($L45,$C$4,$S45%)</f>
        <v>3.6626944843199811</v>
      </c>
      <c r="AB45" s="22" t="str">
        <f ca="1">_xll.BDP($B45,AB$6,"YLD_YTM_ASK="&amp;$S45,"YAS_YLD_CONV=3")</f>
        <v>#N/A Requesting Data...</v>
      </c>
      <c r="AC45" s="24" t="e">
        <f t="shared" ca="1" si="8"/>
        <v>#VALUE!</v>
      </c>
      <c r="AD45" s="23">
        <f ca="1">_xll.meLWOBondDV01Numerical($L45,$C$4,$S45%,0.5,"CENTRAL")</f>
        <v>349.67411098037365</v>
      </c>
    </row>
    <row r="46" spans="2:30">
      <c r="B46" s="15" t="s">
        <v>203</v>
      </c>
      <c r="C46" s="15" t="s">
        <v>204</v>
      </c>
      <c r="D46" s="15" t="s">
        <v>204</v>
      </c>
      <c r="E46" s="16">
        <v>42247</v>
      </c>
      <c r="F46" s="19">
        <v>42247</v>
      </c>
      <c r="G46" s="18" t="str">
        <f t="shared" si="5"/>
        <v>EOM</v>
      </c>
      <c r="H46" s="16">
        <v>42429</v>
      </c>
      <c r="I46" s="16">
        <v>44620</v>
      </c>
      <c r="J46" s="17">
        <v>1.8749999999999999E-2</v>
      </c>
      <c r="K46" s="16">
        <v>44804</v>
      </c>
      <c r="L46" s="20" t="str">
        <f ca="1">_xll.meLWOBondCreateFromGeneratorLVB(C46,$L$4,_xll.meUtilityLVBFromKeysValues($C$6:$K$6,C46:K46))</f>
        <v>US912828L245:2</v>
      </c>
      <c r="M46" s="92">
        <f ca="1">_xll.BDP($B46,$M$5)</f>
        <v>2.9669585999999999</v>
      </c>
      <c r="N46" s="89">
        <f ca="1">_xll.meLWOBondCleanPrice($L46,$C$4,$M46%)</f>
        <v>96.031250073433569</v>
      </c>
      <c r="O46" s="89">
        <f ca="1">_xll.meLWOBondDirtyPrice($L46,$C$4,$M46%)</f>
        <v>96.26950974194186</v>
      </c>
      <c r="P46" s="88">
        <f ca="1">_xll.meLWOBondYield($L46,$C$4,N46)</f>
        <v>2.9669586000003037E-2</v>
      </c>
      <c r="Q46" s="89">
        <f ca="1">_xll.meLWOBondModifiedDuration($L46,$C$4,$M46%)</f>
        <v>3.6872529384071333</v>
      </c>
      <c r="R46" s="23">
        <f ca="1">_xll.meLWOBondDV01($L46,$C$4,$M46%)</f>
        <v>354.97003267498928</v>
      </c>
      <c r="S46" s="86">
        <f t="shared" ca="1" si="4"/>
        <v>2.9669585999999999</v>
      </c>
      <c r="T46" s="22" t="str">
        <f ca="1">_xll.BDP($B46,T$6, "YAS_BOND_YLD="&amp;$S46,"YAS_YLD_CONV=2")</f>
        <v>#N/A Requesting Data...</v>
      </c>
      <c r="U46" s="23">
        <f ca="1">_xll.meLWOBondCleanPrice($L46,$C$4,$S46%)</f>
        <v>96.031250073433569</v>
      </c>
      <c r="V46" s="24" t="e">
        <f t="shared" ca="1" si="6"/>
        <v>#VALUE!</v>
      </c>
      <c r="W46" s="23">
        <f ca="1">_xll.meLWOBondDV01($L46,$C$4,$S46%)</f>
        <v>354.97003267498928</v>
      </c>
      <c r="X46" s="22" t="e">
        <f ca="1">_xll.BDP($B46,X$6, "YLD_YTM_ASK="&amp;$S46,"YAS_YLD_CONV=3")*$X$3*0.0001</f>
        <v>#VALUE!</v>
      </c>
      <c r="Y46" s="24" t="e">
        <f t="shared" ca="1" si="7"/>
        <v>#VALUE!</v>
      </c>
      <c r="Z46" s="23">
        <f ca="1">_xll.meLWOBondDirtyPrice($L46,$C$4,$S46%)</f>
        <v>96.26950974194186</v>
      </c>
      <c r="AA46" s="23">
        <f ca="1">_xll.meLWOBondModifiedDuration($L46,$C$4,$S46%)</f>
        <v>3.6872529384071333</v>
      </c>
      <c r="AB46" s="22" t="str">
        <f ca="1">_xll.BDP($B46,AB$6,"YLD_YTM_ASK="&amp;$S46,"YAS_YLD_CONV=3")</f>
        <v>#N/A Requesting Data...</v>
      </c>
      <c r="AC46" s="24" t="e">
        <f t="shared" ca="1" si="8"/>
        <v>#VALUE!</v>
      </c>
      <c r="AD46" s="23">
        <f ca="1">_xll.meLWOBondDV01Numerical($L46,$C$4,$S46%,0.5,"CENTRAL")</f>
        <v>354.97003568664809</v>
      </c>
    </row>
    <row r="47" spans="2:30">
      <c r="B47" s="15" t="s">
        <v>165</v>
      </c>
      <c r="C47" s="15" t="s">
        <v>166</v>
      </c>
      <c r="D47" s="15" t="s">
        <v>166</v>
      </c>
      <c r="E47" s="16">
        <v>42277</v>
      </c>
      <c r="F47" s="19">
        <v>42277</v>
      </c>
      <c r="G47" s="18" t="str">
        <f t="shared" si="5"/>
        <v>EOM</v>
      </c>
      <c r="H47" s="16">
        <v>42460</v>
      </c>
      <c r="I47" s="16">
        <v>44651</v>
      </c>
      <c r="J47" s="17">
        <v>1.7500000000000002E-2</v>
      </c>
      <c r="K47" s="16">
        <v>44834</v>
      </c>
      <c r="L47" s="20" t="str">
        <f ca="1">_xll.meLWOBondCreateFromGeneratorLVB(C47,$L$4,_xll.meUtilityLVBFromKeysValues($C$6:$K$6,C47:K47))</f>
        <v>US912828L575:2</v>
      </c>
      <c r="M47" s="92">
        <f ca="1">_xll.BDP($B47,$M$5)</f>
        <v>2.9659102000000002</v>
      </c>
      <c r="N47" s="89">
        <f ca="1">_xll.meLWOBondCleanPrice($L47,$C$4,$M47%)</f>
        <v>95.492187590069676</v>
      </c>
      <c r="O47" s="89">
        <f ca="1">_xll.meLWOBondDirtyPrice($L47,$C$4,$M47%)</f>
        <v>95.569110666992756</v>
      </c>
      <c r="P47" s="88">
        <f ca="1">_xll.meLWOBondYield($L47,$C$4,N47)</f>
        <v>2.9659102000004111E-2</v>
      </c>
      <c r="Q47" s="89">
        <f ca="1">_xll.meLWOBondModifiedDuration($L47,$C$4,$M47%)</f>
        <v>3.7771893900214017</v>
      </c>
      <c r="R47" s="23">
        <f ca="1">_xll.meLWOBondDV01($L47,$C$4,$M47%)</f>
        <v>360.9826308251462</v>
      </c>
      <c r="S47" s="86">
        <f t="shared" ca="1" si="4"/>
        <v>2.9659102000000002</v>
      </c>
      <c r="T47" s="22" t="str">
        <f ca="1">_xll.BDP($B47,T$6, "YAS_BOND_YLD="&amp;$S47,"YAS_YLD_CONV=2")</f>
        <v>#N/A Requesting Data...</v>
      </c>
      <c r="U47" s="23">
        <f ca="1">_xll.meLWOBondCleanPrice($L47,$C$4,$S47%)</f>
        <v>95.492187590069676</v>
      </c>
      <c r="V47" s="24" t="e">
        <f t="shared" ca="1" si="6"/>
        <v>#VALUE!</v>
      </c>
      <c r="W47" s="23">
        <f ca="1">_xll.meLWOBondDV01($L47,$C$4,$S47%)</f>
        <v>360.9826308251462</v>
      </c>
      <c r="X47" s="22" t="e">
        <f ca="1">_xll.BDP($B47,X$6, "YLD_YTM_ASK="&amp;$S47,"YAS_YLD_CONV=3")*$X$3*0.0001</f>
        <v>#VALUE!</v>
      </c>
      <c r="Y47" s="24" t="e">
        <f t="shared" ca="1" si="7"/>
        <v>#VALUE!</v>
      </c>
      <c r="Z47" s="23">
        <f ca="1">_xll.meLWOBondDirtyPrice($L47,$C$4,$S47%)</f>
        <v>95.569110666992756</v>
      </c>
      <c r="AA47" s="23">
        <f ca="1">_xll.meLWOBondModifiedDuration($L47,$C$4,$S47%)</f>
        <v>3.7771893900214017</v>
      </c>
      <c r="AB47" s="22" t="str">
        <f ca="1">_xll.BDP($B47,AB$6,"YLD_YTM_ASK="&amp;$S47,"YAS_YLD_CONV=3")</f>
        <v>#N/A Requesting Data...</v>
      </c>
      <c r="AC47" s="24" t="e">
        <f t="shared" ca="1" si="8"/>
        <v>#VALUE!</v>
      </c>
      <c r="AD47" s="23">
        <f ca="1">_xll.meLWOBondDV01Numerical($L47,$C$4,$S47%,0.5,"CENTRAL")</f>
        <v>360.98263399992447</v>
      </c>
    </row>
    <row r="48" spans="2:30">
      <c r="B48" s="15" t="s">
        <v>269</v>
      </c>
      <c r="C48" s="15" t="s">
        <v>270</v>
      </c>
      <c r="D48" s="15" t="s">
        <v>270</v>
      </c>
      <c r="E48" s="16">
        <v>42310</v>
      </c>
      <c r="F48" s="19">
        <v>42308</v>
      </c>
      <c r="G48" s="18" t="str">
        <f t="shared" si="5"/>
        <v>EOM</v>
      </c>
      <c r="H48" s="16">
        <v>42490</v>
      </c>
      <c r="I48" s="16">
        <v>44681</v>
      </c>
      <c r="J48" s="17">
        <v>1.8749999999999999E-2</v>
      </c>
      <c r="K48" s="16">
        <v>44865</v>
      </c>
      <c r="L48" s="20" t="str">
        <f ca="1">_xll.meLWOBondCreateFromGeneratorLVB(C48,$L$4,_xll.meUtilityLVBFromKeysValues($C$6:$K$6,C48:K48))</f>
        <v>US912828M490:2</v>
      </c>
      <c r="M48" s="92">
        <f ca="1">_xll.BDP($B48,$M$5)</f>
        <v>2.9698726999999998</v>
      </c>
      <c r="N48" s="89">
        <f ca="1">_xll.meLWOBondCleanPrice($L48,$C$4,$M48%)</f>
        <v>95.859374857873235</v>
      </c>
      <c r="O48" s="89">
        <f ca="1">_xll.meLWOBondDirtyPrice($L48,$C$4,$M48%)</f>
        <v>96.720448227438453</v>
      </c>
      <c r="P48" s="88">
        <f ca="1">_xll.meLWOBondYield($L48,$C$4,N48)</f>
        <v>2.9698727000003602E-2</v>
      </c>
      <c r="Q48" s="89">
        <f ca="1">_xll.meLWOBondModifiedDuration($L48,$C$4,$M48%)</f>
        <v>3.8156592838793331</v>
      </c>
      <c r="R48" s="23">
        <f ca="1">_xll.meLWOBondDV01($L48,$C$4,$M48%)</f>
        <v>369.05227621999592</v>
      </c>
      <c r="S48" s="86">
        <f t="shared" ca="1" si="4"/>
        <v>2.9698726999999998</v>
      </c>
      <c r="T48" s="22" t="str">
        <f ca="1">_xll.BDP($B48,T$6, "YAS_BOND_YLD="&amp;$S48,"YAS_YLD_CONV=2")</f>
        <v>#N/A Requesting Data...</v>
      </c>
      <c r="U48" s="23">
        <f ca="1">_xll.meLWOBondCleanPrice($L48,$C$4,$S48%)</f>
        <v>95.859374857873235</v>
      </c>
      <c r="V48" s="24" t="e">
        <f t="shared" ca="1" si="6"/>
        <v>#VALUE!</v>
      </c>
      <c r="W48" s="23">
        <f ca="1">_xll.meLWOBondDV01($L48,$C$4,$S48%)</f>
        <v>369.05227621999592</v>
      </c>
      <c r="X48" s="22" t="e">
        <f ca="1">_xll.BDP($B48,X$6, "YLD_YTM_ASK="&amp;$S48,"YAS_YLD_CONV=3")*$X$3*0.0001</f>
        <v>#VALUE!</v>
      </c>
      <c r="Y48" s="24" t="e">
        <f t="shared" ca="1" si="7"/>
        <v>#VALUE!</v>
      </c>
      <c r="Z48" s="23">
        <f ca="1">_xll.meLWOBondDirtyPrice($L48,$C$4,$S48%)</f>
        <v>96.720448227438453</v>
      </c>
      <c r="AA48" s="23">
        <f ca="1">_xll.meLWOBondModifiedDuration($L48,$C$4,$S48%)</f>
        <v>3.8156592838793331</v>
      </c>
      <c r="AB48" s="22" t="str">
        <f ca="1">_xll.BDP($B48,AB$6,"YLD_YTM_ASK="&amp;$S48,"YAS_YLD_CONV=3")</f>
        <v>#N/A Requesting Data...</v>
      </c>
      <c r="AC48" s="24" t="e">
        <f t="shared" ca="1" si="8"/>
        <v>#VALUE!</v>
      </c>
      <c r="AD48" s="23">
        <f ca="1">_xll.meLWOBondDV01Numerical($L48,$C$4,$S48%,0.5,"CENTRAL")</f>
        <v>369.05227957888087</v>
      </c>
    </row>
    <row r="49" spans="2:30">
      <c r="B49" s="15" t="s">
        <v>131</v>
      </c>
      <c r="C49" s="15" t="s">
        <v>132</v>
      </c>
      <c r="D49" s="15" t="s">
        <v>132</v>
      </c>
      <c r="E49" s="16">
        <v>41228</v>
      </c>
      <c r="F49" s="19">
        <v>41228</v>
      </c>
      <c r="G49" s="18" t="str">
        <f t="shared" si="5"/>
        <v/>
      </c>
      <c r="H49" s="16">
        <v>41409</v>
      </c>
      <c r="I49" s="16">
        <v>44696</v>
      </c>
      <c r="J49" s="17">
        <v>1.6250000000000001E-2</v>
      </c>
      <c r="K49" s="16">
        <v>44880</v>
      </c>
      <c r="L49" s="20" t="str">
        <f ca="1">_xll.meLWOBondCreateFromGeneratorLVB(C49,$L$4,_xll.meUtilityLVBFromKeysValues($C$6:$K$6,C49:K49))</f>
        <v>US912828TY62:2</v>
      </c>
      <c r="M49" s="92">
        <f ca="1">_xll.BDP($B49,$M$5)</f>
        <v>2.9736253000000001</v>
      </c>
      <c r="N49" s="89">
        <f ca="1">_xll.meLWOBondCleanPrice($L49,$C$4,$M49%)</f>
        <v>94.851562492403389</v>
      </c>
      <c r="O49" s="89">
        <f ca="1">_xll.meLWOBondDirtyPrice($L49,$C$4,$M49%)</f>
        <v>95.531589666316435</v>
      </c>
      <c r="P49" s="88">
        <f ca="1">_xll.meLWOBondYield($L49,$C$4,N49)</f>
        <v>2.9736253000004709E-2</v>
      </c>
      <c r="Q49" s="89">
        <f ca="1">_xll.meLWOBondModifiedDuration($L49,$C$4,$M49%)</f>
        <v>3.8762736504913566</v>
      </c>
      <c r="R49" s="23">
        <f ca="1">_xll.meLWOBondDV01($L49,$C$4,$M49%)</f>
        <v>370.30658381309479</v>
      </c>
      <c r="S49" s="86">
        <f t="shared" ca="1" si="4"/>
        <v>2.9736253000000001</v>
      </c>
      <c r="T49" s="22" t="str">
        <f ca="1">_xll.BDP($B49,T$6, "YAS_BOND_YLD="&amp;$S49,"YAS_YLD_CONV=2")</f>
        <v>#N/A Requesting Data...</v>
      </c>
      <c r="U49" s="23">
        <f ca="1">_xll.meLWOBondCleanPrice($L49,$C$4,$S49%)</f>
        <v>94.851562492403389</v>
      </c>
      <c r="V49" s="24" t="e">
        <f t="shared" ca="1" si="6"/>
        <v>#VALUE!</v>
      </c>
      <c r="W49" s="23">
        <f ca="1">_xll.meLWOBondDV01($L49,$C$4,$S49%)</f>
        <v>370.30658381309479</v>
      </c>
      <c r="X49" s="22" t="e">
        <f ca="1">_xll.BDP($B49,X$6, "YLD_YTM_ASK="&amp;$S49,"YAS_YLD_CONV=3")*$X$3*0.0001</f>
        <v>#VALUE!</v>
      </c>
      <c r="Y49" s="24" t="e">
        <f t="shared" ca="1" si="7"/>
        <v>#VALUE!</v>
      </c>
      <c r="Z49" s="23">
        <f ca="1">_xll.meLWOBondDirtyPrice($L49,$C$4,$S49%)</f>
        <v>95.531589666316435</v>
      </c>
      <c r="AA49" s="23">
        <f ca="1">_xll.meLWOBondModifiedDuration($L49,$C$4,$S49%)</f>
        <v>3.8762736504913566</v>
      </c>
      <c r="AB49" s="22" t="str">
        <f ca="1">_xll.BDP($B49,AB$6,"YLD_YTM_ASK="&amp;$S49,"YAS_YLD_CONV=3")</f>
        <v>#N/A Requesting Data...</v>
      </c>
      <c r="AC49" s="24" t="e">
        <f t="shared" ca="1" si="8"/>
        <v>#VALUE!</v>
      </c>
      <c r="AD49" s="23">
        <f ca="1">_xll.meLWOBondDV01Numerical($L49,$C$4,$S49%,0.5,"CENTRAL")</f>
        <v>370.30658724930277</v>
      </c>
    </row>
    <row r="50" spans="2:30">
      <c r="B50" s="15" t="s">
        <v>229</v>
      </c>
      <c r="C50" s="15" t="s">
        <v>230</v>
      </c>
      <c r="D50" s="15" t="s">
        <v>230</v>
      </c>
      <c r="E50" s="16">
        <v>42338</v>
      </c>
      <c r="F50" s="19">
        <v>42338</v>
      </c>
      <c r="G50" s="18" t="str">
        <f t="shared" si="5"/>
        <v>EOM</v>
      </c>
      <c r="H50" s="16">
        <v>42521</v>
      </c>
      <c r="I50" s="16">
        <v>44712</v>
      </c>
      <c r="J50" s="17">
        <v>0.02</v>
      </c>
      <c r="K50" s="16">
        <v>44895</v>
      </c>
      <c r="L50" s="20" t="str">
        <f ca="1">_xll.meLWOBondCreateFromGeneratorLVB(C50,$L$4,_xll.meUtilityLVBFromKeysValues($C$6:$K$6,C50:K50))</f>
        <v>US912828M805:2</v>
      </c>
      <c r="M50" s="92">
        <f ca="1">_xll.BDP($B50,$M$5)</f>
        <v>2.9769453000000001</v>
      </c>
      <c r="N50" s="89">
        <f ca="1">_xll.meLWOBondCleanPrice($L50,$C$4,$M50%)</f>
        <v>96.234374973858209</v>
      </c>
      <c r="O50" s="89">
        <f ca="1">_xll.meLWOBondDirtyPrice($L50,$C$4,$M50%)</f>
        <v>96.988473334513941</v>
      </c>
      <c r="P50" s="88">
        <f ca="1">_xll.meLWOBondYield($L50,$C$4,N50)</f>
        <v>2.9769453000002999E-2</v>
      </c>
      <c r="Q50" s="89">
        <f ca="1">_xll.meLWOBondModifiedDuration($L50,$C$4,$M50%)</f>
        <v>3.8863780765323446</v>
      </c>
      <c r="R50" s="23">
        <f ca="1">_xll.meLWOBondDV01($L50,$C$4,$M50%)</f>
        <v>376.93387644359689</v>
      </c>
      <c r="S50" s="86">
        <f t="shared" ca="1" si="4"/>
        <v>2.9769453000000001</v>
      </c>
      <c r="T50" s="22" t="str">
        <f ca="1">_xll.BDP($B50,T$6, "YAS_BOND_YLD="&amp;$S50,"YAS_YLD_CONV=2")</f>
        <v>#N/A Requesting Data...</v>
      </c>
      <c r="U50" s="23">
        <f ca="1">_xll.meLWOBondCleanPrice($L50,$C$4,$S50%)</f>
        <v>96.234374973858209</v>
      </c>
      <c r="V50" s="24" t="e">
        <f t="shared" ca="1" si="6"/>
        <v>#VALUE!</v>
      </c>
      <c r="W50" s="23">
        <f ca="1">_xll.meLWOBondDV01($L50,$C$4,$S50%)</f>
        <v>376.93387644359689</v>
      </c>
      <c r="X50" s="22" t="e">
        <f ca="1">_xll.BDP($B50,X$6, "YLD_YTM_ASK="&amp;$S50,"YAS_YLD_CONV=3")*$X$3*0.0001</f>
        <v>#VALUE!</v>
      </c>
      <c r="Y50" s="24" t="e">
        <f t="shared" ca="1" si="7"/>
        <v>#VALUE!</v>
      </c>
      <c r="Z50" s="23">
        <f ca="1">_xll.meLWOBondDirtyPrice($L50,$C$4,$S50%)</f>
        <v>96.988473334513941</v>
      </c>
      <c r="AA50" s="23">
        <f ca="1">_xll.meLWOBondModifiedDuration($L50,$C$4,$S50%)</f>
        <v>3.8863780765323446</v>
      </c>
      <c r="AB50" s="22" t="str">
        <f ca="1">_xll.BDP($B50,AB$6,"YLD_YTM_ASK="&amp;$S50,"YAS_YLD_CONV=3")</f>
        <v>#N/A Requesting Data...</v>
      </c>
      <c r="AC50" s="24" t="e">
        <f t="shared" ca="1" si="8"/>
        <v>#VALUE!</v>
      </c>
      <c r="AD50" s="23">
        <f ca="1">_xll.meLWOBondDV01Numerical($L50,$C$4,$S50%,0.5,"CENTRAL")</f>
        <v>376.93387998913863</v>
      </c>
    </row>
    <row r="51" spans="2:30">
      <c r="B51" s="15" t="s">
        <v>155</v>
      </c>
      <c r="C51" s="15" t="s">
        <v>156</v>
      </c>
      <c r="D51" s="15" t="s">
        <v>156</v>
      </c>
      <c r="E51" s="16">
        <v>42401</v>
      </c>
      <c r="F51" s="19">
        <v>42400</v>
      </c>
      <c r="G51" s="18" t="str">
        <f t="shared" si="5"/>
        <v>EOM</v>
      </c>
      <c r="H51" s="16">
        <v>42582</v>
      </c>
      <c r="I51" s="16">
        <v>44773</v>
      </c>
      <c r="J51" s="17">
        <v>1.7500000000000002E-2</v>
      </c>
      <c r="K51" s="16">
        <v>44957</v>
      </c>
      <c r="L51" s="20" t="str">
        <f ca="1">_xll.meLWOBondCreateFromGeneratorLVB(C51,$L$4,_xll.meUtilityLVBFromKeysValues($C$6:$K$6,C51:K51))</f>
        <v>US912828P386:2</v>
      </c>
      <c r="M51" s="92">
        <f ca="1">_xll.BDP($B51,$M$5)</f>
        <v>2.9861393000000001</v>
      </c>
      <c r="N51" s="89">
        <f ca="1">_xll.meLWOBondCleanPrice($L51,$C$4,$M51%)</f>
        <v>95.054687425807131</v>
      </c>
      <c r="O51" s="89">
        <f ca="1">_xll.meLWOBondDirtyPrice($L51,$C$4,$M51%)</f>
        <v>95.420855904068006</v>
      </c>
      <c r="P51" s="88">
        <f ca="1">_xll.meLWOBondYield($L51,$C$4,N51)</f>
        <v>2.9861393000005031E-2</v>
      </c>
      <c r="Q51" s="89">
        <f ca="1">_xll.meLWOBondModifiedDuration($L51,$C$4,$M51%)</f>
        <v>4.0718189273362748</v>
      </c>
      <c r="R51" s="23">
        <f ca="1">_xll.meLWOBondDV01($L51,$C$4,$M51%)</f>
        <v>388.53644713281142</v>
      </c>
      <c r="S51" s="86">
        <f t="shared" ca="1" si="4"/>
        <v>2.9861393000000001</v>
      </c>
      <c r="T51" s="22" t="str">
        <f ca="1">_xll.BDP($B51,T$6, "YAS_BOND_YLD="&amp;$S51,"YAS_YLD_CONV=2")</f>
        <v>#N/A Requesting Data...</v>
      </c>
      <c r="U51" s="23">
        <f ca="1">_xll.meLWOBondCleanPrice($L51,$C$4,$S51%)</f>
        <v>95.054687425807131</v>
      </c>
      <c r="V51" s="24" t="e">
        <f t="shared" ca="1" si="6"/>
        <v>#VALUE!</v>
      </c>
      <c r="W51" s="23">
        <f ca="1">_xll.meLWOBondDV01($L51,$C$4,$S51%)</f>
        <v>388.53644713281142</v>
      </c>
      <c r="X51" s="22" t="e">
        <f ca="1">_xll.BDP($B51,X$6, "YLD_YTM_ASK="&amp;$S51,"YAS_YLD_CONV=3")*$X$3*0.0001</f>
        <v>#VALUE!</v>
      </c>
      <c r="Y51" s="24" t="e">
        <f t="shared" ca="1" si="7"/>
        <v>#VALUE!</v>
      </c>
      <c r="Z51" s="23">
        <f ca="1">_xll.meLWOBondDirtyPrice($L51,$C$4,$S51%)</f>
        <v>95.420855904068006</v>
      </c>
      <c r="AA51" s="23">
        <f ca="1">_xll.meLWOBondModifiedDuration($L51,$C$4,$S51%)</f>
        <v>4.0718189273362748</v>
      </c>
      <c r="AB51" s="22" t="str">
        <f ca="1">_xll.BDP($B51,AB$6,"YLD_YTM_ASK="&amp;$S51,"YAS_YLD_CONV=3")</f>
        <v>#N/A Requesting Data...</v>
      </c>
      <c r="AC51" s="24" t="e">
        <f t="shared" ca="1" si="8"/>
        <v>#VALUE!</v>
      </c>
      <c r="AD51" s="23">
        <f ca="1">_xll.meLWOBondDV01Numerical($L51,$C$4,$S51%,0.5,"CENTRAL")</f>
        <v>388.53645104765633</v>
      </c>
    </row>
    <row r="52" spans="2:30">
      <c r="B52" s="15" t="s">
        <v>221</v>
      </c>
      <c r="C52" s="15" t="s">
        <v>222</v>
      </c>
      <c r="D52" s="15" t="s">
        <v>222</v>
      </c>
      <c r="E52" s="16">
        <v>41320</v>
      </c>
      <c r="F52" s="19">
        <v>41320</v>
      </c>
      <c r="G52" s="18" t="str">
        <f t="shared" si="5"/>
        <v/>
      </c>
      <c r="H52" s="16">
        <v>41501</v>
      </c>
      <c r="I52" s="16">
        <v>44788</v>
      </c>
      <c r="J52" s="17">
        <v>0.02</v>
      </c>
      <c r="K52" s="16">
        <v>44972</v>
      </c>
      <c r="L52" s="20" t="str">
        <f ca="1">_xll.meLWOBondCreateFromGeneratorLVB(C52,$L$4,_xll.meUtilityLVBFromKeysValues($C$6:$K$6,C52:K52))</f>
        <v>US912828UN88:2</v>
      </c>
      <c r="M52" s="92">
        <f ca="1">_xll.BDP($B52,$M$5)</f>
        <v>2.9850979</v>
      </c>
      <c r="N52" s="89">
        <f ca="1">_xll.meLWOBondCleanPrice($L52,$C$4,$M52%)</f>
        <v>96.023437513267709</v>
      </c>
      <c r="O52" s="89">
        <f ca="1">_xll.meLWOBondDirtyPrice($L52,$C$4,$M52%)</f>
        <v>96.360394035006834</v>
      </c>
      <c r="P52" s="88">
        <f ca="1">_xll.meLWOBondYield($L52,$C$4,N52)</f>
        <v>2.9850979000003556E-2</v>
      </c>
      <c r="Q52" s="89">
        <f ca="1">_xll.meLWOBondModifiedDuration($L52,$C$4,$M52%)</f>
        <v>4.0916877039289865</v>
      </c>
      <c r="R52" s="23">
        <f ca="1">_xll.meLWOBondDV01($L52,$C$4,$M52%)</f>
        <v>394.27663941878956</v>
      </c>
      <c r="S52" s="86">
        <f t="shared" ca="1" si="4"/>
        <v>2.9850979</v>
      </c>
      <c r="T52" s="22" t="str">
        <f ca="1">_xll.BDP($B52,T$6, "YAS_BOND_YLD="&amp;$S52,"YAS_YLD_CONV=2")</f>
        <v>#N/A Requesting Data...</v>
      </c>
      <c r="U52" s="23">
        <f ca="1">_xll.meLWOBondCleanPrice($L52,$C$4,$S52%)</f>
        <v>96.023437513267709</v>
      </c>
      <c r="V52" s="24" t="e">
        <f t="shared" ca="1" si="6"/>
        <v>#VALUE!</v>
      </c>
      <c r="W52" s="23">
        <f ca="1">_xll.meLWOBondDV01($L52,$C$4,$S52%)</f>
        <v>394.27663941878956</v>
      </c>
      <c r="X52" s="22" t="e">
        <f ca="1">_xll.BDP($B52,X$6, "YLD_YTM_ASK="&amp;$S52,"YAS_YLD_CONV=3")*$X$3*0.0001</f>
        <v>#VALUE!</v>
      </c>
      <c r="Y52" s="24" t="e">
        <f t="shared" ca="1" si="7"/>
        <v>#VALUE!</v>
      </c>
      <c r="Z52" s="23">
        <f ca="1">_xll.meLWOBondDirtyPrice($L52,$C$4,$S52%)</f>
        <v>96.360394035006834</v>
      </c>
      <c r="AA52" s="23">
        <f ca="1">_xll.meLWOBondModifiedDuration($L52,$C$4,$S52%)</f>
        <v>4.0916877039289865</v>
      </c>
      <c r="AB52" s="22" t="str">
        <f ca="1">_xll.BDP($B52,AB$6,"YLD_YTM_ASK="&amp;$S52,"YAS_YLD_CONV=3")</f>
        <v>#N/A Requesting Data...</v>
      </c>
      <c r="AC52" s="24" t="e">
        <f t="shared" ca="1" si="8"/>
        <v>#VALUE!</v>
      </c>
      <c r="AD52" s="23">
        <f ca="1">_xll.meLWOBondDV01Numerical($L52,$C$4,$S52%,0.5,"CENTRAL")</f>
        <v>394.27664344785285</v>
      </c>
    </row>
    <row r="53" spans="2:30">
      <c r="B53" s="15" t="s">
        <v>119</v>
      </c>
      <c r="C53" s="15" t="s">
        <v>120</v>
      </c>
      <c r="D53" s="15" t="s">
        <v>120</v>
      </c>
      <c r="E53" s="16">
        <v>42429</v>
      </c>
      <c r="F53" s="19">
        <v>42429</v>
      </c>
      <c r="G53" s="18" t="str">
        <f t="shared" si="5"/>
        <v>EOM</v>
      </c>
      <c r="H53" s="16">
        <v>42613</v>
      </c>
      <c r="I53" s="16">
        <v>44804</v>
      </c>
      <c r="J53" s="17">
        <v>1.4999999999999999E-2</v>
      </c>
      <c r="K53" s="16">
        <v>44985</v>
      </c>
      <c r="L53" s="20" t="str">
        <f ca="1">_xll.meLWOBondCreateFromGeneratorLVB(C53,$L$4,_xll.meUtilityLVBFromKeysValues($C$6:$K$6,C53:K53))</f>
        <v>US912828P790:2</v>
      </c>
      <c r="M53" s="92">
        <f ca="1">_xll.BDP($B53,$M$5)</f>
        <v>2.9909979</v>
      </c>
      <c r="N53" s="89">
        <f ca="1">_xll.meLWOBondCleanPrice($L53,$C$4,$M53%)</f>
        <v>93.929687648896277</v>
      </c>
      <c r="O53" s="89">
        <f ca="1">_xll.meLWOBondDirtyPrice($L53,$C$4,$M53%)</f>
        <v>94.12029538370291</v>
      </c>
      <c r="P53" s="88">
        <f ca="1">_xll.meLWOBondYield($L53,$C$4,N53)</f>
        <v>2.990997900000562E-2</v>
      </c>
      <c r="Q53" s="89">
        <f ca="1">_xll.meLWOBondModifiedDuration($L53,$C$4,$M53%)</f>
        <v>4.1734312263242979</v>
      </c>
      <c r="R53" s="23">
        <f ca="1">_xll.meLWOBondDV01($L53,$C$4,$M53%)</f>
        <v>392.80457978521235</v>
      </c>
      <c r="S53" s="86">
        <f t="shared" ca="1" si="4"/>
        <v>2.9909979</v>
      </c>
      <c r="T53" s="22" t="str">
        <f ca="1">_xll.BDP($B53,T$6, "YAS_BOND_YLD="&amp;$S53,"YAS_YLD_CONV=2")</f>
        <v>#N/A Requesting Data...</v>
      </c>
      <c r="U53" s="23">
        <f ca="1">_xll.meLWOBondCleanPrice($L53,$C$4,$S53%)</f>
        <v>93.929687648896277</v>
      </c>
      <c r="V53" s="24" t="e">
        <f t="shared" ca="1" si="6"/>
        <v>#VALUE!</v>
      </c>
      <c r="W53" s="23">
        <f ca="1">_xll.meLWOBondDV01($L53,$C$4,$S53%)</f>
        <v>392.80457978521235</v>
      </c>
      <c r="X53" s="22" t="e">
        <f ca="1">_xll.BDP($B53,X$6, "YLD_YTM_ASK="&amp;$S53,"YAS_YLD_CONV=3")*$X$3*0.0001</f>
        <v>#VALUE!</v>
      </c>
      <c r="Y53" s="24" t="e">
        <f t="shared" ca="1" si="7"/>
        <v>#VALUE!</v>
      </c>
      <c r="Z53" s="23">
        <f ca="1">_xll.meLWOBondDirtyPrice($L53,$C$4,$S53%)</f>
        <v>94.12029538370291</v>
      </c>
      <c r="AA53" s="23">
        <f ca="1">_xll.meLWOBondModifiedDuration($L53,$C$4,$S53%)</f>
        <v>4.1734312263242979</v>
      </c>
      <c r="AB53" s="22" t="str">
        <f ca="1">_xll.BDP($B53,AB$6,"YLD_YTM_ASK="&amp;$S53,"YAS_YLD_CONV=3")</f>
        <v>#N/A Requesting Data...</v>
      </c>
      <c r="AC53" s="24" t="e">
        <f t="shared" ca="1" si="8"/>
        <v>#VALUE!</v>
      </c>
      <c r="AD53" s="23">
        <f ca="1">_xll.meLWOBondDV01Numerical($L53,$C$4,$S53%,0.5,"CENTRAL")</f>
        <v>392.80458388347483</v>
      </c>
    </row>
    <row r="54" spans="2:30">
      <c r="B54" s="15" t="s">
        <v>163</v>
      </c>
      <c r="C54" s="15" t="s">
        <v>164</v>
      </c>
      <c r="D54" s="15" t="s">
        <v>164</v>
      </c>
      <c r="E54" s="16">
        <v>42460</v>
      </c>
      <c r="F54" s="19">
        <v>42460</v>
      </c>
      <c r="G54" s="18" t="str">
        <f t="shared" si="5"/>
        <v>EOM</v>
      </c>
      <c r="H54" s="16">
        <v>42643</v>
      </c>
      <c r="I54" s="16">
        <v>44834</v>
      </c>
      <c r="J54" s="17">
        <v>1.4999999999999999E-2</v>
      </c>
      <c r="K54" s="16">
        <v>45016</v>
      </c>
      <c r="L54" s="20" t="str">
        <f ca="1">_xll.meLWOBondCreateFromGeneratorLVB(C54,$L$4,_xll.meUtilityLVBFromKeysValues($C$6:$K$6,C54:K54))</f>
        <v>US912828Q293:2</v>
      </c>
      <c r="M54" s="92">
        <f ca="1">_xll.BDP($B54,$M$5)</f>
        <v>2.9876092000000001</v>
      </c>
      <c r="N54" s="89">
        <f ca="1">_xll.meLWOBondCleanPrice($L54,$C$4,$M54%)</f>
        <v>93.835937570271597</v>
      </c>
      <c r="O54" s="89">
        <f ca="1">_xll.meLWOBondDirtyPrice($L54,$C$4,$M54%)</f>
        <v>93.901871636205669</v>
      </c>
      <c r="P54" s="88">
        <f ca="1">_xll.meLWOBondYield($L54,$C$4,N54)</f>
        <v>2.9876092000005672E-2</v>
      </c>
      <c r="Q54" s="89">
        <f ca="1">_xll.meLWOBondModifiedDuration($L54,$C$4,$M54%)</f>
        <v>4.2554056513036729</v>
      </c>
      <c r="R54" s="23">
        <f ca="1">_xll.meLWOBondDV01($L54,$C$4,$M54%)</f>
        <v>399.59055522870165</v>
      </c>
      <c r="S54" s="86">
        <f t="shared" ca="1" si="4"/>
        <v>2.9876092000000001</v>
      </c>
      <c r="T54" s="22" t="str">
        <f ca="1">_xll.BDP($B54,T$6, "YAS_BOND_YLD="&amp;$S54,"YAS_YLD_CONV=2")</f>
        <v>#N/A Requesting Data...</v>
      </c>
      <c r="U54" s="23">
        <f ca="1">_xll.meLWOBondCleanPrice($L54,$C$4,$S54%)</f>
        <v>93.835937570271597</v>
      </c>
      <c r="V54" s="24" t="e">
        <f t="shared" ca="1" si="6"/>
        <v>#VALUE!</v>
      </c>
      <c r="W54" s="23">
        <f ca="1">_xll.meLWOBondDV01($L54,$C$4,$S54%)</f>
        <v>399.59055522870165</v>
      </c>
      <c r="X54" s="22" t="e">
        <f ca="1">_xll.BDP($B54,X$6, "YLD_YTM_ASK="&amp;$S54,"YAS_YLD_CONV=3")*$X$3*0.0001</f>
        <v>#VALUE!</v>
      </c>
      <c r="Y54" s="24" t="e">
        <f t="shared" ca="1" si="7"/>
        <v>#VALUE!</v>
      </c>
      <c r="Z54" s="23">
        <f ca="1">_xll.meLWOBondDirtyPrice($L54,$C$4,$S54%)</f>
        <v>93.901871636205669</v>
      </c>
      <c r="AA54" s="23">
        <f ca="1">_xll.meLWOBondModifiedDuration($L54,$C$4,$S54%)</f>
        <v>4.2554056513036729</v>
      </c>
      <c r="AB54" s="22" t="str">
        <f ca="1">_xll.BDP($B54,AB$6,"YLD_YTM_ASK="&amp;$S54,"YAS_YLD_CONV=3")</f>
        <v>#N/A Requesting Data...</v>
      </c>
      <c r="AC54" s="24" t="e">
        <f t="shared" ca="1" si="8"/>
        <v>#VALUE!</v>
      </c>
      <c r="AD54" s="23">
        <f ca="1">_xll.meLWOBondDV01Numerical($L54,$C$4,$S54%,0.5,"CENTRAL")</f>
        <v>399.59055953360689</v>
      </c>
    </row>
    <row r="55" spans="2:30">
      <c r="B55" s="15" t="s">
        <v>219</v>
      </c>
      <c r="C55" s="15" t="s">
        <v>220</v>
      </c>
      <c r="D55" s="15" t="s">
        <v>220</v>
      </c>
      <c r="E55" s="16">
        <v>42492</v>
      </c>
      <c r="F55" s="19">
        <v>42490</v>
      </c>
      <c r="G55" s="18" t="str">
        <f t="shared" si="5"/>
        <v>EOM</v>
      </c>
      <c r="H55" s="16">
        <v>42674</v>
      </c>
      <c r="I55" s="16">
        <v>44865</v>
      </c>
      <c r="J55" s="17">
        <v>1.6250000000000001E-2</v>
      </c>
      <c r="K55" s="16">
        <v>45046</v>
      </c>
      <c r="L55" s="20" t="str">
        <f ca="1">_xll.meLWOBondCreateFromGeneratorLVB(C55,$L$4,_xll.meUtilityLVBFromKeysValues($C$6:$K$6,C55:K55))</f>
        <v>US912828R283:2</v>
      </c>
      <c r="M55" s="92">
        <f ca="1">_xll.BDP($B55,$M$5)</f>
        <v>2.9923177999999999</v>
      </c>
      <c r="N55" s="89">
        <f ca="1">_xll.meLWOBondCleanPrice($L55,$C$4,$M55%)</f>
        <v>94.234375202555071</v>
      </c>
      <c r="O55" s="89">
        <f ca="1">_xll.meLWOBondDirtyPrice($L55,$C$4,$M55%)</f>
        <v>94.980638789511588</v>
      </c>
      <c r="P55" s="88">
        <f ca="1">_xll.meLWOBondYield($L55,$C$4,N55)</f>
        <v>2.9923178000005577E-2</v>
      </c>
      <c r="Q55" s="89">
        <f ca="1">_xll.meLWOBondModifiedDuration($L55,$C$4,$M55%)</f>
        <v>4.2916753603577948</v>
      </c>
      <c r="R55" s="23">
        <f ca="1">_xll.meLWOBondDV01($L55,$C$4,$M55%)</f>
        <v>407.62606720399066</v>
      </c>
      <c r="S55" s="86">
        <f t="shared" ca="1" si="4"/>
        <v>2.9923177999999999</v>
      </c>
      <c r="T55" s="22" t="str">
        <f ca="1">_xll.BDP($B55,T$6, "YAS_BOND_YLD="&amp;$S55,"YAS_YLD_CONV=2")</f>
        <v>#N/A Requesting Data...</v>
      </c>
      <c r="U55" s="23">
        <f ca="1">_xll.meLWOBondCleanPrice($L55,$C$4,$S55%)</f>
        <v>94.234375202555071</v>
      </c>
      <c r="V55" s="24" t="e">
        <f t="shared" ca="1" si="6"/>
        <v>#VALUE!</v>
      </c>
      <c r="W55" s="23">
        <f ca="1">_xll.meLWOBondDV01($L55,$C$4,$S55%)</f>
        <v>407.62606720399066</v>
      </c>
      <c r="X55" s="22" t="e">
        <f ca="1">_xll.BDP($B55,X$6, "YLD_YTM_ASK="&amp;$S55,"YAS_YLD_CONV=3")*$X$3*0.0001</f>
        <v>#VALUE!</v>
      </c>
      <c r="Y55" s="24" t="e">
        <f t="shared" ca="1" si="7"/>
        <v>#VALUE!</v>
      </c>
      <c r="Z55" s="23">
        <f ca="1">_xll.meLWOBondDirtyPrice($L55,$C$4,$S55%)</f>
        <v>94.980638789511588</v>
      </c>
      <c r="AA55" s="23">
        <f ca="1">_xll.meLWOBondModifiedDuration($L55,$C$4,$S55%)</f>
        <v>4.2916753603577948</v>
      </c>
      <c r="AB55" s="22" t="str">
        <f ca="1">_xll.BDP($B55,AB$6,"YLD_YTM_ASK="&amp;$S55,"YAS_YLD_CONV=3")</f>
        <v>#N/A Requesting Data...</v>
      </c>
      <c r="AC55" s="24" t="e">
        <f t="shared" ca="1" si="8"/>
        <v>#VALUE!</v>
      </c>
      <c r="AD55" s="23">
        <f ca="1">_xll.meLWOBondDV01Numerical($L55,$C$4,$S55%,0.5,"CENTRAL")</f>
        <v>407.62607173206789</v>
      </c>
    </row>
    <row r="56" spans="2:30">
      <c r="B56" s="15" t="s">
        <v>141</v>
      </c>
      <c r="C56" s="15" t="s">
        <v>142</v>
      </c>
      <c r="D56" s="15" t="s">
        <v>142</v>
      </c>
      <c r="E56" s="16">
        <v>41409</v>
      </c>
      <c r="F56" s="19">
        <v>41409</v>
      </c>
      <c r="G56" s="18" t="str">
        <f t="shared" si="5"/>
        <v/>
      </c>
      <c r="H56" s="16">
        <v>41593</v>
      </c>
      <c r="I56" s="16">
        <v>44880</v>
      </c>
      <c r="J56" s="17">
        <v>1.7500000000000002E-2</v>
      </c>
      <c r="K56" s="16">
        <v>45061</v>
      </c>
      <c r="L56" s="20" t="str">
        <f ca="1">_xll.meLWOBondCreateFromGeneratorLVB(C56,$L$4,_xll.meUtilityLVBFromKeysValues($C$6:$K$6,C56:K56))</f>
        <v>US912828VB32:2</v>
      </c>
      <c r="M56" s="92">
        <f ca="1">_xll.BDP($B56,$M$5)</f>
        <v>2.9938118</v>
      </c>
      <c r="N56" s="89">
        <f ca="1">_xll.meLWOBondCleanPrice($L56,$C$4,$M56%)</f>
        <v>94.710937527633277</v>
      </c>
      <c r="O56" s="89">
        <f ca="1">_xll.meLWOBondDirtyPrice($L56,$C$4,$M56%)</f>
        <v>95.443274484155012</v>
      </c>
      <c r="P56" s="88">
        <f ca="1">_xll.meLWOBondYield($L56,$C$4,N56)</f>
        <v>2.9938118000004805E-2</v>
      </c>
      <c r="Q56" s="89">
        <f ca="1">_xll.meLWOBondModifiedDuration($L56,$C$4,$M56%)</f>
        <v>4.3189830372221225</v>
      </c>
      <c r="R56" s="23">
        <f ca="1">_xll.meLWOBondDV01($L56,$C$4,$M56%)</f>
        <v>412.21788351400056</v>
      </c>
      <c r="S56" s="86">
        <f t="shared" ca="1" si="4"/>
        <v>2.9938118</v>
      </c>
      <c r="T56" s="22" t="str">
        <f ca="1">_xll.BDP($B56,T$6, "YAS_BOND_YLD="&amp;$S56,"YAS_YLD_CONV=2")</f>
        <v>#N/A Requesting Data...</v>
      </c>
      <c r="U56" s="23">
        <f ca="1">_xll.meLWOBondCleanPrice($L56,$C$4,$S56%)</f>
        <v>94.710937527633277</v>
      </c>
      <c r="V56" s="24" t="e">
        <f t="shared" ca="1" si="6"/>
        <v>#VALUE!</v>
      </c>
      <c r="W56" s="23">
        <f ca="1">_xll.meLWOBondDV01($L56,$C$4,$S56%)</f>
        <v>412.21788351400056</v>
      </c>
      <c r="X56" s="22" t="e">
        <f ca="1">_xll.BDP($B56,X$6, "YLD_YTM_ASK="&amp;$S56,"YAS_YLD_CONV=3")*$X$3*0.0001</f>
        <v>#VALUE!</v>
      </c>
      <c r="Y56" s="24" t="e">
        <f t="shared" ca="1" si="7"/>
        <v>#VALUE!</v>
      </c>
      <c r="Z56" s="23">
        <f ca="1">_xll.meLWOBondDirtyPrice($L56,$C$4,$S56%)</f>
        <v>95.443274484155012</v>
      </c>
      <c r="AA56" s="23">
        <f ca="1">_xll.meLWOBondModifiedDuration($L56,$C$4,$S56%)</f>
        <v>4.3189830372221225</v>
      </c>
      <c r="AB56" s="22" t="str">
        <f ca="1">_xll.BDP($B56,AB$6,"YLD_YTM_ASK="&amp;$S56,"YAS_YLD_CONV=3")</f>
        <v>#N/A Requesting Data...</v>
      </c>
      <c r="AC56" s="24" t="e">
        <f t="shared" ca="1" si="8"/>
        <v>#VALUE!</v>
      </c>
      <c r="AD56" s="23">
        <f ca="1">_xll.meLWOBondDV01Numerical($L56,$C$4,$S56%,0.5,"CENTRAL")</f>
        <v>412.21788815548166</v>
      </c>
    </row>
    <row r="57" spans="2:30">
      <c r="B57" s="15" t="s">
        <v>149</v>
      </c>
      <c r="C57" s="15" t="s">
        <v>150</v>
      </c>
      <c r="D57" s="15" t="s">
        <v>150</v>
      </c>
      <c r="E57" s="16">
        <v>42521</v>
      </c>
      <c r="F57" s="19">
        <v>42521</v>
      </c>
      <c r="G57" s="18" t="str">
        <f t="shared" si="5"/>
        <v>EOM</v>
      </c>
      <c r="H57" s="16">
        <v>42704</v>
      </c>
      <c r="I57" s="16">
        <v>44895</v>
      </c>
      <c r="J57" s="17">
        <v>1.6250000000000001E-2</v>
      </c>
      <c r="K57" s="16">
        <v>45077</v>
      </c>
      <c r="L57" s="20" t="str">
        <f ca="1">_xll.meLWOBondCreateFromGeneratorLVB(C57,$L$4,_xll.meUtilityLVBFromKeysValues($C$6:$K$6,C57:K57))</f>
        <v>US912828R697:2</v>
      </c>
      <c r="M57" s="92">
        <f ca="1">_xll.BDP($B57,$M$5)</f>
        <v>2.9950581999999999</v>
      </c>
      <c r="N57" s="89">
        <f ca="1">_xll.meLWOBondCleanPrice($L57,$C$4,$M57%)</f>
        <v>94.125000137047195</v>
      </c>
      <c r="O57" s="89">
        <f ca="1">_xll.meLWOBondDirtyPrice($L57,$C$4,$M57%)</f>
        <v>94.737705055079985</v>
      </c>
      <c r="P57" s="88">
        <f ca="1">_xll.meLWOBondYield($L57,$C$4,N57)</f>
        <v>2.99505820000057E-2</v>
      </c>
      <c r="Q57" s="89">
        <f ca="1">_xll.meLWOBondModifiedDuration($L57,$C$4,$M57%)</f>
        <v>4.3725798732456305</v>
      </c>
      <c r="R57" s="23">
        <f ca="1">_xll.meLWOBondDV01($L57,$C$4,$M57%)</f>
        <v>414.24818236132353</v>
      </c>
      <c r="S57" s="86">
        <f t="shared" ca="1" si="4"/>
        <v>2.9950581999999999</v>
      </c>
      <c r="T57" s="22" t="str">
        <f ca="1">_xll.BDP($B57,T$6, "YAS_BOND_YLD="&amp;$S57,"YAS_YLD_CONV=2")</f>
        <v>#N/A Requesting Data...</v>
      </c>
      <c r="U57" s="23">
        <f ca="1">_xll.meLWOBondCleanPrice($L57,$C$4,$S57%)</f>
        <v>94.125000137047195</v>
      </c>
      <c r="V57" s="24" t="e">
        <f t="shared" ca="1" si="6"/>
        <v>#VALUE!</v>
      </c>
      <c r="W57" s="23">
        <f ca="1">_xll.meLWOBondDV01($L57,$C$4,$S57%)</f>
        <v>414.24818236132353</v>
      </c>
      <c r="X57" s="22" t="e">
        <f ca="1">_xll.BDP($B57,X$6, "YLD_YTM_ASK="&amp;$S57,"YAS_YLD_CONV=3")*$X$3*0.0001</f>
        <v>#VALUE!</v>
      </c>
      <c r="Y57" s="24" t="e">
        <f t="shared" ca="1" si="7"/>
        <v>#VALUE!</v>
      </c>
      <c r="Z57" s="23">
        <f ca="1">_xll.meLWOBondDirtyPrice($L57,$C$4,$S57%)</f>
        <v>94.737705055079985</v>
      </c>
      <c r="AA57" s="23">
        <f ca="1">_xll.meLWOBondModifiedDuration($L57,$C$4,$S57%)</f>
        <v>4.3725798732456305</v>
      </c>
      <c r="AB57" s="22" t="str">
        <f ca="1">_xll.BDP($B57,AB$6,"YLD_YTM_ASK="&amp;$S57,"YAS_YLD_CONV=3")</f>
        <v>#N/A Requesting Data...</v>
      </c>
      <c r="AC57" s="24" t="e">
        <f t="shared" ca="1" si="8"/>
        <v>#VALUE!</v>
      </c>
      <c r="AD57" s="23">
        <f ca="1">_xll.meLWOBondDV01Numerical($L57,$C$4,$S57%,0.5,"CENTRAL")</f>
        <v>414.24818710538602</v>
      </c>
    </row>
    <row r="58" spans="2:30">
      <c r="B58" s="15" t="s">
        <v>121</v>
      </c>
      <c r="C58" s="15" t="s">
        <v>122</v>
      </c>
      <c r="D58" s="15" t="s">
        <v>122</v>
      </c>
      <c r="E58" s="16">
        <v>42551</v>
      </c>
      <c r="F58" s="19">
        <v>42551</v>
      </c>
      <c r="G58" s="18" t="str">
        <f t="shared" si="5"/>
        <v>EOM</v>
      </c>
      <c r="H58" s="16">
        <v>42735</v>
      </c>
      <c r="I58" s="16">
        <v>44926</v>
      </c>
      <c r="J58" s="17">
        <v>1.375E-2</v>
      </c>
      <c r="K58" s="16">
        <v>45107</v>
      </c>
      <c r="L58" s="20" t="str">
        <f ca="1">_xll.meLWOBondCreateFromGeneratorLVB(C58,$L$4,_xll.meUtilityLVBFromKeysValues($C$6:$K$6,C58:K58))</f>
        <v>US912828S356:2</v>
      </c>
      <c r="M58" s="92">
        <f ca="1">_xll.BDP($B58,$M$5)</f>
        <v>2.9984516999999999</v>
      </c>
      <c r="N58" s="89">
        <f ca="1">_xll.meLWOBondCleanPrice($L58,$C$4,$M58%)</f>
        <v>92.921875127328022</v>
      </c>
      <c r="O58" s="89">
        <f ca="1">_xll.meLWOBondDirtyPrice($L58,$C$4,$M58%)</f>
        <v>93.325407736023678</v>
      </c>
      <c r="P58" s="88">
        <f ca="1">_xll.meLWOBondYield($L58,$C$4,N58)</f>
        <v>2.9984517000006379E-2</v>
      </c>
      <c r="Q58" s="89">
        <f ca="1">_xll.meLWOBondModifiedDuration($L58,$C$4,$M58%)</f>
        <v>4.4809313663202754</v>
      </c>
      <c r="R58" s="23">
        <f ca="1">_xll.meLWOBondDV01($L58,$C$4,$M58%)</f>
        <v>418.18474679897741</v>
      </c>
      <c r="S58" s="86">
        <f t="shared" ca="1" si="4"/>
        <v>2.9984516999999999</v>
      </c>
      <c r="T58" s="22" t="str">
        <f ca="1">_xll.BDP($B58,T$6, "YAS_BOND_YLD="&amp;$S58,"YAS_YLD_CONV=2")</f>
        <v>#N/A Requesting Data...</v>
      </c>
      <c r="U58" s="23">
        <f ca="1">_xll.meLWOBondCleanPrice($L58,$C$4,$S58%)</f>
        <v>92.921875127328022</v>
      </c>
      <c r="V58" s="24" t="e">
        <f t="shared" ca="1" si="6"/>
        <v>#VALUE!</v>
      </c>
      <c r="W58" s="23">
        <f ca="1">_xll.meLWOBondDV01($L58,$C$4,$S58%)</f>
        <v>418.18474679897741</v>
      </c>
      <c r="X58" s="22" t="e">
        <f ca="1">_xll.BDP($B58,X$6, "YLD_YTM_ASK="&amp;$S58,"YAS_YLD_CONV=3")*$X$3*0.0001</f>
        <v>#VALUE!</v>
      </c>
      <c r="Y58" s="24" t="e">
        <f t="shared" ca="1" si="7"/>
        <v>#VALUE!</v>
      </c>
      <c r="Z58" s="23">
        <f ca="1">_xll.meLWOBondDirtyPrice($L58,$C$4,$S58%)</f>
        <v>93.325407736023678</v>
      </c>
      <c r="AA58" s="23">
        <f ca="1">_xll.meLWOBondModifiedDuration($L58,$C$4,$S58%)</f>
        <v>4.4809313663202754</v>
      </c>
      <c r="AB58" s="22" t="str">
        <f ca="1">_xll.BDP($B58,AB$6,"YLD_YTM_ASK="&amp;$S58,"YAS_YLD_CONV=3")</f>
        <v>#N/A Requesting Data...</v>
      </c>
      <c r="AC58" s="24" t="e">
        <f t="shared" ca="1" si="8"/>
        <v>#VALUE!</v>
      </c>
      <c r="AD58" s="23">
        <f ca="1">_xll.meLWOBondDV01Numerical($L58,$C$4,$S58%,0.5,"CENTRAL")</f>
        <v>418.18475174792985</v>
      </c>
    </row>
    <row r="59" spans="2:30">
      <c r="B59" s="15" t="s">
        <v>89</v>
      </c>
      <c r="C59" s="15" t="s">
        <v>90</v>
      </c>
      <c r="D59" s="15" t="s">
        <v>90</v>
      </c>
      <c r="E59" s="16">
        <v>42583</v>
      </c>
      <c r="F59" s="19">
        <v>42582</v>
      </c>
      <c r="G59" s="18" t="str">
        <f t="shared" si="5"/>
        <v>EOM</v>
      </c>
      <c r="H59" s="16">
        <v>42766</v>
      </c>
      <c r="I59" s="16">
        <v>44957</v>
      </c>
      <c r="J59" s="17">
        <v>1.2500000000000001E-2</v>
      </c>
      <c r="K59" s="16">
        <v>45138</v>
      </c>
      <c r="L59" s="20" t="str">
        <f ca="1">_xll.meLWOBondCreateFromGeneratorLVB(C59,$L$4,_xll.meUtilityLVBFromKeysValues($C$6:$K$6,C59:K59))</f>
        <v>US912828S927:2</v>
      </c>
      <c r="M59" s="92">
        <f ca="1">_xll.BDP($B59,$M$5)</f>
        <v>3.0021805000000001</v>
      </c>
      <c r="N59" s="89">
        <f ca="1">_xll.meLWOBondCleanPrice($L59,$C$4,$M59%)</f>
        <v>92.234374789706735</v>
      </c>
      <c r="O59" s="89">
        <f ca="1">_xll.meLWOBondDirtyPrice($L59,$C$4,$M59%)</f>
        <v>92.495923702750218</v>
      </c>
      <c r="P59" s="88">
        <f ca="1">_xll.meLWOBondYield($L59,$C$4,N59)</f>
        <v>3.0021805000006174E-2</v>
      </c>
      <c r="Q59" s="89">
        <f ca="1">_xll.meLWOBondModifiedDuration($L59,$C$4,$M59%)</f>
        <v>4.5771248472780046</v>
      </c>
      <c r="R59" s="23">
        <f ca="1">_xll.meLWOBondDV01($L59,$C$4,$M59%)</f>
        <v>423.36539065178857</v>
      </c>
      <c r="S59" s="86">
        <f t="shared" ca="1" si="4"/>
        <v>3.0021805000000001</v>
      </c>
      <c r="T59" s="22" t="str">
        <f ca="1">_xll.BDP($B59,T$6, "YAS_BOND_YLD="&amp;$S59,"YAS_YLD_CONV=2")</f>
        <v>#N/A Requesting Data...</v>
      </c>
      <c r="U59" s="23">
        <f ca="1">_xll.meLWOBondCleanPrice($L59,$C$4,$S59%)</f>
        <v>92.234374789706735</v>
      </c>
      <c r="V59" s="24" t="e">
        <f t="shared" ca="1" si="6"/>
        <v>#VALUE!</v>
      </c>
      <c r="W59" s="23">
        <f ca="1">_xll.meLWOBondDV01($L59,$C$4,$S59%)</f>
        <v>423.36539065178857</v>
      </c>
      <c r="X59" s="22" t="e">
        <f ca="1">_xll.BDP($B59,X$6, "YLD_YTM_ASK="&amp;$S59,"YAS_YLD_CONV=3")*$X$3*0.0001</f>
        <v>#VALUE!</v>
      </c>
      <c r="Y59" s="24" t="e">
        <f t="shared" ca="1" si="7"/>
        <v>#VALUE!</v>
      </c>
      <c r="Z59" s="23">
        <f ca="1">_xll.meLWOBondDirtyPrice($L59,$C$4,$S59%)</f>
        <v>92.495923702750218</v>
      </c>
      <c r="AA59" s="23">
        <f ca="1">_xll.meLWOBondModifiedDuration($L59,$C$4,$S59%)</f>
        <v>4.5771248472780046</v>
      </c>
      <c r="AB59" s="22" t="str">
        <f ca="1">_xll.BDP($B59,AB$6,"YLD_YTM_ASK="&amp;$S59,"YAS_YLD_CONV=3")</f>
        <v>#N/A Requesting Data...</v>
      </c>
      <c r="AC59" s="24" t="e">
        <f t="shared" ca="1" si="8"/>
        <v>#VALUE!</v>
      </c>
      <c r="AD59" s="23">
        <f ca="1">_xll.meLWOBondDV01Numerical($L59,$C$4,$S59%,0.5,"CENTRAL")</f>
        <v>423.36539582350957</v>
      </c>
    </row>
    <row r="60" spans="2:30">
      <c r="B60" s="15" t="s">
        <v>31</v>
      </c>
      <c r="C60" s="15" t="s">
        <v>32</v>
      </c>
      <c r="D60" s="15" t="s">
        <v>32</v>
      </c>
      <c r="E60" s="16">
        <v>34197</v>
      </c>
      <c r="F60" s="19">
        <v>34196</v>
      </c>
      <c r="G60" s="18" t="str">
        <f t="shared" si="5"/>
        <v/>
      </c>
      <c r="H60" s="16">
        <v>34380</v>
      </c>
      <c r="I60" s="16">
        <v>44972</v>
      </c>
      <c r="J60" s="17">
        <v>6.25E-2</v>
      </c>
      <c r="K60" s="16">
        <v>45153</v>
      </c>
      <c r="L60" s="20" t="str">
        <f ca="1">_xll.meLWOBondCreateFromGeneratorLVB(C60,$L$4,_xll.meUtilityLVBFromKeysValues($C$6:$K$6,C60:K60))</f>
        <v>US912810EQ77:2</v>
      </c>
      <c r="M60" s="92">
        <f ca="1">_xll.BDP($B60,$M$5)</f>
        <v>2.9668760000000001</v>
      </c>
      <c r="N60" s="89">
        <f ca="1">_xll.meLWOBondCleanPrice($L60,$C$4,$M60%)</f>
        <v>114.67187486717968</v>
      </c>
      <c r="O60" s="89">
        <f ca="1">_xll.meLWOBondDirtyPrice($L60,$C$4,$M60%)</f>
        <v>115.72486399761446</v>
      </c>
      <c r="P60" s="88">
        <f ca="1">_xll.meLWOBondYield($L60,$C$4,N60)</f>
        <v>2.9668759999954917E-2</v>
      </c>
      <c r="Q60" s="89">
        <f ca="1">_xll.meLWOBondModifiedDuration($L60,$C$4,$M60%)</f>
        <v>4.1905416272379652</v>
      </c>
      <c r="R60" s="23">
        <f ca="1">_xll.meLWOBondDV01($L60,$C$4,$M60%)</f>
        <v>484.94985988845548</v>
      </c>
      <c r="S60" s="86">
        <f t="shared" ca="1" si="4"/>
        <v>2.9668760000000001</v>
      </c>
      <c r="T60" s="22" t="str">
        <f ca="1">_xll.BDP($B60,T$6, "YAS_BOND_YLD="&amp;$S60,"YAS_YLD_CONV=2")</f>
        <v>#N/A Requesting Data...</v>
      </c>
      <c r="U60" s="23">
        <f ca="1">_xll.meLWOBondCleanPrice($L60,$C$4,$S60%)</f>
        <v>114.67187486717968</v>
      </c>
      <c r="V60" s="24" t="e">
        <f t="shared" ca="1" si="6"/>
        <v>#VALUE!</v>
      </c>
      <c r="W60" s="23">
        <f ca="1">_xll.meLWOBondDV01($L60,$C$4,$S60%)</f>
        <v>484.94985988845548</v>
      </c>
      <c r="X60" s="22" t="e">
        <f ca="1">_xll.BDP($B60,X$6, "YLD_YTM_ASK="&amp;$S60,"YAS_YLD_CONV=3")*$X$3*0.0001</f>
        <v>#VALUE!</v>
      </c>
      <c r="Y60" s="24" t="e">
        <f t="shared" ca="1" si="7"/>
        <v>#VALUE!</v>
      </c>
      <c r="Z60" s="23">
        <f ca="1">_xll.meLWOBondDirtyPrice($L60,$C$4,$S60%)</f>
        <v>115.72486399761446</v>
      </c>
      <c r="AA60" s="23">
        <f ca="1">_xll.meLWOBondModifiedDuration($L60,$C$4,$S60%)</f>
        <v>4.1905416272379652</v>
      </c>
      <c r="AB60" s="22" t="str">
        <f ca="1">_xll.BDP($B60,AB$6,"YLD_YTM_ASK="&amp;$S60,"YAS_YLD_CONV=3")</f>
        <v>#N/A Requesting Data...</v>
      </c>
      <c r="AC60" s="24" t="e">
        <f t="shared" ca="1" si="8"/>
        <v>#VALUE!</v>
      </c>
      <c r="AD60" s="23">
        <f ca="1">_xll.meLWOBondDV01Numerical($L60,$C$4,$S60%,0.5,"CENTRAL")</f>
        <v>484.94986561109954</v>
      </c>
    </row>
    <row r="61" spans="2:30">
      <c r="B61" s="15" t="s">
        <v>167</v>
      </c>
      <c r="C61" s="15" t="s">
        <v>168</v>
      </c>
      <c r="D61" s="15" t="s">
        <v>168</v>
      </c>
      <c r="E61" s="16">
        <v>41501</v>
      </c>
      <c r="F61" s="19">
        <v>41501</v>
      </c>
      <c r="G61" s="18" t="str">
        <f t="shared" si="5"/>
        <v/>
      </c>
      <c r="H61" s="16">
        <v>41685</v>
      </c>
      <c r="I61" s="16">
        <v>44972</v>
      </c>
      <c r="J61" s="17">
        <v>2.5000000000000001E-2</v>
      </c>
      <c r="K61" s="16">
        <v>45153</v>
      </c>
      <c r="L61" s="20" t="str">
        <f ca="1">_xll.meLWOBondCreateFromGeneratorLVB(C61,$L$4,_xll.meUtilityLVBFromKeysValues($C$6:$K$6,C61:K61))</f>
        <v>US912828VS66:2</v>
      </c>
      <c r="M61" s="92">
        <f ca="1">_xll.BDP($B61,$M$5)</f>
        <v>2.9997685999999999</v>
      </c>
      <c r="N61" s="89">
        <f ca="1">_xll.meLWOBondCleanPrice($L61,$C$4,$M61%)</f>
        <v>97.76562514930643</v>
      </c>
      <c r="O61" s="89">
        <f ca="1">_xll.meLWOBondDirtyPrice($L61,$C$4,$M61%)</f>
        <v>98.186820801480337</v>
      </c>
      <c r="P61" s="88">
        <f ca="1">_xll.meLWOBondYield($L61,$C$4,N61)</f>
        <v>2.9997686000001151E-2</v>
      </c>
      <c r="Q61" s="89">
        <f ca="1">_xll.meLWOBondModifiedDuration($L61,$C$4,$M61%)</f>
        <v>4.491418238198138</v>
      </c>
      <c r="R61" s="23">
        <f ca="1">_xll.meLWOBondDV01($L61,$C$4,$M61%)</f>
        <v>440.99807769846109</v>
      </c>
      <c r="S61" s="86">
        <f t="shared" ca="1" si="4"/>
        <v>2.9997685999999999</v>
      </c>
      <c r="T61" s="22" t="str">
        <f ca="1">_xll.BDP($B61,T$6, "YAS_BOND_YLD="&amp;$S61,"YAS_YLD_CONV=2")</f>
        <v>#N/A Requesting Data...</v>
      </c>
      <c r="U61" s="23">
        <f ca="1">_xll.meLWOBondCleanPrice($L61,$C$4,$S61%)</f>
        <v>97.76562514930643</v>
      </c>
      <c r="V61" s="24" t="e">
        <f t="shared" ca="1" si="6"/>
        <v>#VALUE!</v>
      </c>
      <c r="W61" s="23">
        <f ca="1">_xll.meLWOBondDV01($L61,$C$4,$S61%)</f>
        <v>440.99807769846109</v>
      </c>
      <c r="X61" s="22" t="e">
        <f ca="1">_xll.BDP($B61,X$6, "YLD_YTM_ASK="&amp;$S61,"YAS_YLD_CONV=3")*$X$3*0.0001</f>
        <v>#VALUE!</v>
      </c>
      <c r="Y61" s="24" t="e">
        <f t="shared" ca="1" si="7"/>
        <v>#VALUE!</v>
      </c>
      <c r="Z61" s="23">
        <f ca="1">_xll.meLWOBondDirtyPrice($L61,$C$4,$S61%)</f>
        <v>98.186820801480337</v>
      </c>
      <c r="AA61" s="23">
        <f ca="1">_xll.meLWOBondModifiedDuration($L61,$C$4,$S61%)</f>
        <v>4.491418238198138</v>
      </c>
      <c r="AB61" s="22" t="str">
        <f ca="1">_xll.BDP($B61,AB$6,"YLD_YTM_ASK="&amp;$S61,"YAS_YLD_CONV=3")</f>
        <v>#N/A Requesting Data...</v>
      </c>
      <c r="AC61" s="24" t="e">
        <f t="shared" ca="1" si="8"/>
        <v>#VALUE!</v>
      </c>
      <c r="AD61" s="23">
        <f ca="1">_xll.meLWOBondDV01Numerical($L61,$C$4,$S61%,0.5,"CENTRAL")</f>
        <v>440.9980830934046</v>
      </c>
    </row>
    <row r="62" spans="2:30">
      <c r="B62" s="15" t="s">
        <v>115</v>
      </c>
      <c r="C62" s="15" t="s">
        <v>116</v>
      </c>
      <c r="D62" s="15" t="s">
        <v>116</v>
      </c>
      <c r="E62" s="16">
        <v>42613</v>
      </c>
      <c r="F62" s="19">
        <v>42613</v>
      </c>
      <c r="G62" s="18" t="str">
        <f t="shared" si="5"/>
        <v>EOM</v>
      </c>
      <c r="H62" s="16">
        <v>42794</v>
      </c>
      <c r="I62" s="16">
        <v>44985</v>
      </c>
      <c r="J62" s="17">
        <v>1.375E-2</v>
      </c>
      <c r="K62" s="16">
        <v>45169</v>
      </c>
      <c r="L62" s="20" t="str">
        <f ca="1">_xll.meLWOBondCreateFromGeneratorLVB(C62,$L$4,_xll.meUtilityLVBFromKeysValues($C$6:$K$6,C62:K62))</f>
        <v>US9128282D10:2</v>
      </c>
      <c r="M62" s="92">
        <f ca="1">_xll.BDP($B62,$M$5)</f>
        <v>3.0043788</v>
      </c>
      <c r="N62" s="89">
        <f ca="1">_xll.meLWOBondCleanPrice($L62,$C$4,$M62%)</f>
        <v>92.664062555018646</v>
      </c>
      <c r="O62" s="89">
        <f ca="1">_xll.meLWOBondDirtyPrice($L62,$C$4,$M62%)</f>
        <v>92.838786311924721</v>
      </c>
      <c r="P62" s="88">
        <f ca="1">_xll.meLWOBondYield($L62,$C$4,N62)</f>
        <v>3.0043788000006184E-2</v>
      </c>
      <c r="Q62" s="89">
        <f ca="1">_xll.meLWOBondModifiedDuration($L62,$C$4,$M62%)</f>
        <v>4.6447164832462571</v>
      </c>
      <c r="R62" s="23">
        <f ca="1">_xll.meLWOBondDV01($L62,$C$4,$M62%)</f>
        <v>431.20984106757373</v>
      </c>
      <c r="S62" s="86">
        <f t="shared" ca="1" si="4"/>
        <v>3.0043788</v>
      </c>
      <c r="T62" s="22" t="str">
        <f ca="1">_xll.BDP($B62,T$6, "YAS_BOND_YLD="&amp;$S62,"YAS_YLD_CONV=2")</f>
        <v>#N/A Requesting Data...</v>
      </c>
      <c r="U62" s="23">
        <f ca="1">_xll.meLWOBondCleanPrice($L62,$C$4,$S62%)</f>
        <v>92.664062555018646</v>
      </c>
      <c r="V62" s="24" t="e">
        <f t="shared" ca="1" si="6"/>
        <v>#VALUE!</v>
      </c>
      <c r="W62" s="23">
        <f ca="1">_xll.meLWOBondDV01($L62,$C$4,$S62%)</f>
        <v>431.20984106757373</v>
      </c>
      <c r="X62" s="22" t="e">
        <f ca="1">_xll.BDP($B62,X$6, "YLD_YTM_ASK="&amp;$S62,"YAS_YLD_CONV=3")*$X$3*0.0001</f>
        <v>#VALUE!</v>
      </c>
      <c r="Y62" s="24" t="e">
        <f t="shared" ca="1" si="7"/>
        <v>#VALUE!</v>
      </c>
      <c r="Z62" s="23">
        <f ca="1">_xll.meLWOBondDirtyPrice($L62,$C$4,$S62%)</f>
        <v>92.838786311924721</v>
      </c>
      <c r="AA62" s="23">
        <f ca="1">_xll.meLWOBondModifiedDuration($L62,$C$4,$S62%)</f>
        <v>4.6447164832462571</v>
      </c>
      <c r="AB62" s="22" t="str">
        <f ca="1">_xll.BDP($B62,AB$6,"YLD_YTM_ASK="&amp;$S62,"YAS_YLD_CONV=3")</f>
        <v>#N/A Requesting Data...</v>
      </c>
      <c r="AC62" s="24" t="e">
        <f t="shared" ca="1" si="8"/>
        <v>#VALUE!</v>
      </c>
      <c r="AD62" s="23">
        <f ca="1">_xll.meLWOBondDV01Numerical($L62,$C$4,$S62%,0.5,"CENTRAL")</f>
        <v>431.20984648368221</v>
      </c>
    </row>
    <row r="63" spans="2:30">
      <c r="B63" s="15" t="s">
        <v>97</v>
      </c>
      <c r="C63" s="15" t="s">
        <v>98</v>
      </c>
      <c r="D63" s="15" t="s">
        <v>98</v>
      </c>
      <c r="E63" s="16">
        <v>42643</v>
      </c>
      <c r="F63" s="19">
        <v>42643</v>
      </c>
      <c r="G63" s="18" t="str">
        <f t="shared" si="5"/>
        <v>EOM</v>
      </c>
      <c r="H63" s="16">
        <v>42825</v>
      </c>
      <c r="I63" s="16">
        <v>45016</v>
      </c>
      <c r="J63" s="17">
        <v>1.375E-2</v>
      </c>
      <c r="K63" s="16">
        <v>45199</v>
      </c>
      <c r="L63" s="20" t="str">
        <f ca="1">_xll.meLWOBondCreateFromGeneratorLVB(C63,$L$4,_xll.meUtilityLVBFromKeysValues($C$6:$K$6,C63:K63))</f>
        <v>US912828T263:2</v>
      </c>
      <c r="M63" s="92">
        <f ca="1">_xll.BDP($B63,$M$5)</f>
        <v>3.0083262</v>
      </c>
      <c r="N63" s="89">
        <f ca="1">_xll.meLWOBondCleanPrice($L63,$C$4,$M63%)</f>
        <v>92.531249790639833</v>
      </c>
      <c r="O63" s="89">
        <f ca="1">_xll.meLWOBondDirtyPrice($L63,$C$4,$M63%)</f>
        <v>92.591689351079395</v>
      </c>
      <c r="P63" s="88">
        <f ca="1">_xll.meLWOBondYield($L63,$C$4,N63)</f>
        <v>3.0083262000005998E-2</v>
      </c>
      <c r="Q63" s="89">
        <f ca="1">_xll.meLWOBondModifiedDuration($L63,$C$4,$M63%)</f>
        <v>4.7264917964874655</v>
      </c>
      <c r="R63" s="23">
        <f ca="1">_xll.meLWOBondDV01($L63,$C$4,$M63%)</f>
        <v>437.63386014079259</v>
      </c>
      <c r="S63" s="86">
        <f t="shared" ca="1" si="4"/>
        <v>3.0083262</v>
      </c>
      <c r="T63" s="22" t="str">
        <f ca="1">_xll.BDP($B63,T$6, "YAS_BOND_YLD="&amp;$S63,"YAS_YLD_CONV=2")</f>
        <v>#N/A Requesting Data...</v>
      </c>
      <c r="U63" s="23">
        <f ca="1">_xll.meLWOBondCleanPrice($L63,$C$4,$S63%)</f>
        <v>92.531249790639833</v>
      </c>
      <c r="V63" s="24" t="e">
        <f t="shared" ca="1" si="6"/>
        <v>#VALUE!</v>
      </c>
      <c r="W63" s="23">
        <f ca="1">_xll.meLWOBondDV01($L63,$C$4,$S63%)</f>
        <v>437.63386014079259</v>
      </c>
      <c r="X63" s="22" t="e">
        <f ca="1">_xll.BDP($B63,X$6, "YLD_YTM_ASK="&amp;$S63,"YAS_YLD_CONV=3")*$X$3*0.0001</f>
        <v>#VALUE!</v>
      </c>
      <c r="Y63" s="24" t="e">
        <f t="shared" ca="1" si="7"/>
        <v>#VALUE!</v>
      </c>
      <c r="Z63" s="23">
        <f ca="1">_xll.meLWOBondDirtyPrice($L63,$C$4,$S63%)</f>
        <v>92.591689351079395</v>
      </c>
      <c r="AA63" s="23">
        <f ca="1">_xll.meLWOBondModifiedDuration($L63,$C$4,$S63%)</f>
        <v>4.7264917964874655</v>
      </c>
      <c r="AB63" s="22" t="str">
        <f ca="1">_xll.BDP($B63,AB$6,"YLD_YTM_ASK="&amp;$S63,"YAS_YLD_CONV=3")</f>
        <v>#N/A Requesting Data...</v>
      </c>
      <c r="AC63" s="24" t="e">
        <f t="shared" ca="1" si="8"/>
        <v>#VALUE!</v>
      </c>
      <c r="AD63" s="23">
        <f ca="1">_xll.meLWOBondDV01Numerical($L63,$C$4,$S63%,0.5,"CENTRAL")</f>
        <v>437.63386580181424</v>
      </c>
    </row>
    <row r="64" spans="2:30">
      <c r="B64" s="15" t="s">
        <v>215</v>
      </c>
      <c r="C64" s="15" t="s">
        <v>216</v>
      </c>
      <c r="D64" s="15" t="s">
        <v>216</v>
      </c>
      <c r="E64" s="16">
        <v>42674</v>
      </c>
      <c r="F64" s="19">
        <v>42674</v>
      </c>
      <c r="G64" s="18" t="str">
        <f t="shared" si="5"/>
        <v>EOM</v>
      </c>
      <c r="H64" s="16">
        <v>42855</v>
      </c>
      <c r="I64" s="16">
        <v>45046</v>
      </c>
      <c r="J64" s="17">
        <v>1.6250000000000001E-2</v>
      </c>
      <c r="K64" s="16">
        <v>45230</v>
      </c>
      <c r="L64" s="20" t="str">
        <f ca="1">_xll.meLWOBondCreateFromGeneratorLVB(C64,$L$4,_xll.meUtilityLVBFromKeysValues($C$6:$K$6,C64:K64))</f>
        <v>US912828T917:2</v>
      </c>
      <c r="M64" s="92">
        <f ca="1">_xll.BDP($B64,$M$5)</f>
        <v>3.0091800000000002</v>
      </c>
      <c r="N64" s="89">
        <f ca="1">_xll.meLWOBondCleanPrice($L64,$C$4,$M64%)</f>
        <v>93.570312513892915</v>
      </c>
      <c r="O64" s="89">
        <f ca="1">_xll.meLWOBondDirtyPrice($L64,$C$4,$M64%)</f>
        <v>94.316576100849431</v>
      </c>
      <c r="P64" s="88">
        <f ca="1">_xll.meLWOBondYield($L64,$C$4,N64)</f>
        <v>3.0091800000006885E-2</v>
      </c>
      <c r="Q64" s="89">
        <f ca="1">_xll.meLWOBondModifiedDuration($L64,$C$4,$M64%)</f>
        <v>4.7430010846081103</v>
      </c>
      <c r="R64" s="23">
        <f ca="1">_xll.meLWOBondDV01($L64,$C$4,$M64%)</f>
        <v>447.34362274285223</v>
      </c>
      <c r="S64" s="86">
        <f t="shared" ca="1" si="4"/>
        <v>3.0091800000000002</v>
      </c>
      <c r="T64" s="22" t="str">
        <f ca="1">_xll.BDP($B64,T$6, "YAS_BOND_YLD="&amp;$S64,"YAS_YLD_CONV=2")</f>
        <v>#N/A Requesting Data...</v>
      </c>
      <c r="U64" s="23">
        <f ca="1">_xll.meLWOBondCleanPrice($L64,$C$4,$S64%)</f>
        <v>93.570312513892915</v>
      </c>
      <c r="V64" s="24" t="e">
        <f t="shared" ca="1" si="6"/>
        <v>#VALUE!</v>
      </c>
      <c r="W64" s="23">
        <f ca="1">_xll.meLWOBondDV01($L64,$C$4,$S64%)</f>
        <v>447.34362274285223</v>
      </c>
      <c r="X64" s="22" t="e">
        <f ca="1">_xll.BDP($B64,X$6, "YLD_YTM_ASK="&amp;$S64,"YAS_YLD_CONV=3")*$X$3*0.0001</f>
        <v>#VALUE!</v>
      </c>
      <c r="Y64" s="24" t="e">
        <f t="shared" ca="1" si="7"/>
        <v>#VALUE!</v>
      </c>
      <c r="Z64" s="23">
        <f ca="1">_xll.meLWOBondDirtyPrice($L64,$C$4,$S64%)</f>
        <v>94.316576100849431</v>
      </c>
      <c r="AA64" s="23">
        <f ca="1">_xll.meLWOBondModifiedDuration($L64,$C$4,$S64%)</f>
        <v>4.7430010846081103</v>
      </c>
      <c r="AB64" s="22" t="str">
        <f ca="1">_xll.BDP($B64,AB$6,"YLD_YTM_ASK="&amp;$S64,"YAS_YLD_CONV=3")</f>
        <v>#N/A Requesting Data...</v>
      </c>
      <c r="AC64" s="24" t="e">
        <f t="shared" ca="1" si="8"/>
        <v>#VALUE!</v>
      </c>
      <c r="AD64" s="23">
        <f ca="1">_xll.meLWOBondDV01Numerical($L64,$C$4,$S64%,0.5,"CENTRAL")</f>
        <v>447.34362868382505</v>
      </c>
    </row>
    <row r="65" spans="2:30">
      <c r="B65" s="15" t="s">
        <v>127</v>
      </c>
      <c r="C65" s="15" t="s">
        <v>128</v>
      </c>
      <c r="D65" s="15" t="s">
        <v>128</v>
      </c>
      <c r="E65" s="16">
        <v>41593</v>
      </c>
      <c r="F65" s="19">
        <v>41593</v>
      </c>
      <c r="G65" s="18" t="str">
        <f t="shared" si="5"/>
        <v/>
      </c>
      <c r="H65" s="16">
        <v>41774</v>
      </c>
      <c r="I65" s="16">
        <v>45061</v>
      </c>
      <c r="J65" s="17">
        <v>2.75E-2</v>
      </c>
      <c r="K65" s="16">
        <v>45245</v>
      </c>
      <c r="L65" s="20" t="str">
        <f ca="1">_xll.meLWOBondCreateFromGeneratorLVB(C65,$L$4,_xll.meUtilityLVBFromKeysValues($C$6:$K$6,C65:K65))</f>
        <v>US912828WE61:2</v>
      </c>
      <c r="M65" s="92">
        <f ca="1">_xll.BDP($B65,$M$5)</f>
        <v>3.0051043000000002</v>
      </c>
      <c r="N65" s="89">
        <f ca="1">_xll.meLWOBondCleanPrice($L65,$C$4,$M65%)</f>
        <v>98.804687729443188</v>
      </c>
      <c r="O65" s="89">
        <f ca="1">_xll.meLWOBondDirtyPrice($L65,$C$4,$M65%)</f>
        <v>99.955502946834486</v>
      </c>
      <c r="P65" s="88">
        <f ca="1">_xll.meLWOBondYield($L65,$C$4,N65)</f>
        <v>3.0051043000000145E-2</v>
      </c>
      <c r="Q65" s="89">
        <f ca="1">_xll.meLWOBondModifiedDuration($L65,$C$4,$M65%)</f>
        <v>4.6505432119485368</v>
      </c>
      <c r="R65" s="23">
        <f ca="1">_xll.meLWOBondDV01($L65,$C$4,$M65%)</f>
        <v>464.84738572630306</v>
      </c>
      <c r="S65" s="86">
        <f t="shared" ca="1" si="4"/>
        <v>3.0051043000000002</v>
      </c>
      <c r="T65" s="22" t="str">
        <f ca="1">_xll.BDP($B65,T$6, "YAS_BOND_YLD="&amp;$S65,"YAS_YLD_CONV=2")</f>
        <v>#N/A Requesting Data...</v>
      </c>
      <c r="U65" s="23">
        <f ca="1">_xll.meLWOBondCleanPrice($L65,$C$4,$S65%)</f>
        <v>98.804687729443188</v>
      </c>
      <c r="V65" s="24" t="e">
        <f t="shared" ca="1" si="6"/>
        <v>#VALUE!</v>
      </c>
      <c r="W65" s="23">
        <f ca="1">_xll.meLWOBondDV01($L65,$C$4,$S65%)</f>
        <v>464.84738572630306</v>
      </c>
      <c r="X65" s="22" t="e">
        <f ca="1">_xll.BDP($B65,X$6, "YLD_YTM_ASK="&amp;$S65,"YAS_YLD_CONV=3")*$X$3*0.0001</f>
        <v>#VALUE!</v>
      </c>
      <c r="Y65" s="24" t="e">
        <f t="shared" ca="1" si="7"/>
        <v>#VALUE!</v>
      </c>
      <c r="Z65" s="23">
        <f ca="1">_xll.meLWOBondDirtyPrice($L65,$C$4,$S65%)</f>
        <v>99.955502946834486</v>
      </c>
      <c r="AA65" s="23">
        <f ca="1">_xll.meLWOBondModifiedDuration($L65,$C$4,$S65%)</f>
        <v>4.6505432119485368</v>
      </c>
      <c r="AB65" s="22" t="str">
        <f ca="1">_xll.BDP($B65,AB$6,"YLD_YTM_ASK="&amp;$S65,"YAS_YLD_CONV=3")</f>
        <v>#N/A Requesting Data...</v>
      </c>
      <c r="AC65" s="24" t="e">
        <f t="shared" ca="1" si="8"/>
        <v>#VALUE!</v>
      </c>
      <c r="AD65" s="23">
        <f ca="1">_xll.meLWOBondDV01Numerical($L65,$C$4,$S65%,0.5,"CENTRAL")</f>
        <v>464.84739190788105</v>
      </c>
    </row>
    <row r="66" spans="2:30">
      <c r="B66" s="15" t="s">
        <v>239</v>
      </c>
      <c r="C66" s="15" t="s">
        <v>240</v>
      </c>
      <c r="D66" s="15" t="s">
        <v>240</v>
      </c>
      <c r="E66" s="16">
        <v>42704</v>
      </c>
      <c r="F66" s="19">
        <v>42704</v>
      </c>
      <c r="G66" s="18" t="str">
        <f t="shared" si="5"/>
        <v>EOM</v>
      </c>
      <c r="H66" s="16">
        <v>42886</v>
      </c>
      <c r="I66" s="16">
        <v>45077</v>
      </c>
      <c r="J66" s="17">
        <v>2.1250000000000002E-2</v>
      </c>
      <c r="K66" s="16">
        <v>45260</v>
      </c>
      <c r="L66" s="20" t="str">
        <f ca="1">_xll.meLWOBondCreateFromGeneratorLVB(C66,$L$4,_xll.meUtilityLVBFromKeysValues($C$6:$K$6,C66:K66))</f>
        <v>US912828U576:2</v>
      </c>
      <c r="M66" s="92">
        <f ca="1">_xll.BDP($B66,$M$5)</f>
        <v>3.0129218999999998</v>
      </c>
      <c r="N66" s="89">
        <f ca="1">_xll.meLWOBondCleanPrice($L66,$C$4,$M66%)</f>
        <v>95.812499831015074</v>
      </c>
      <c r="O66" s="89">
        <f ca="1">_xll.meLWOBondDirtyPrice($L66,$C$4,$M66%)</f>
        <v>96.613729339211801</v>
      </c>
      <c r="P66" s="88">
        <f ca="1">_xll.meLWOBondYield($L66,$C$4,N66)</f>
        <v>3.0129219000003808E-2</v>
      </c>
      <c r="Q66" s="89">
        <f ca="1">_xll.meLWOBondModifiedDuration($L66,$C$4,$M66%)</f>
        <v>4.7629064571370892</v>
      </c>
      <c r="R66" s="23">
        <f ca="1">_xll.meLWOBondDV01($L66,$C$4,$M66%)</f>
        <v>460.16215531782689</v>
      </c>
      <c r="S66" s="86">
        <f t="shared" ca="1" si="4"/>
        <v>3.0129218999999998</v>
      </c>
      <c r="T66" s="22" t="str">
        <f ca="1">_xll.BDP($B66,T$6, "YAS_BOND_YLD="&amp;$S66,"YAS_YLD_CONV=2")</f>
        <v>#N/A Requesting Data...</v>
      </c>
      <c r="U66" s="23">
        <f ca="1">_xll.meLWOBondCleanPrice($L66,$C$4,$S66%)</f>
        <v>95.812499831015074</v>
      </c>
      <c r="V66" s="24" t="e">
        <f t="shared" ca="1" si="6"/>
        <v>#VALUE!</v>
      </c>
      <c r="W66" s="23">
        <f ca="1">_xll.meLWOBondDV01($L66,$C$4,$S66%)</f>
        <v>460.16215531782689</v>
      </c>
      <c r="X66" s="22" t="e">
        <f ca="1">_xll.BDP($B66,X$6, "YLD_YTM_ASK="&amp;$S66,"YAS_YLD_CONV=3")*$X$3*0.0001</f>
        <v>#VALUE!</v>
      </c>
      <c r="Y66" s="24" t="e">
        <f t="shared" ca="1" si="7"/>
        <v>#VALUE!</v>
      </c>
      <c r="Z66" s="23">
        <f ca="1">_xll.meLWOBondDirtyPrice($L66,$C$4,$S66%)</f>
        <v>96.613729339211801</v>
      </c>
      <c r="AA66" s="23">
        <f ca="1">_xll.meLWOBondModifiedDuration($L66,$C$4,$S66%)</f>
        <v>4.7629064571370892</v>
      </c>
      <c r="AB66" s="22" t="str">
        <f ca="1">_xll.BDP($B66,AB$6,"YLD_YTM_ASK="&amp;$S66,"YAS_YLD_CONV=3")</f>
        <v>#N/A Requesting Data...</v>
      </c>
      <c r="AC66" s="24" t="e">
        <f t="shared" ca="1" si="8"/>
        <v>#VALUE!</v>
      </c>
      <c r="AD66" s="23">
        <f ca="1">_xll.meLWOBondDV01Numerical($L66,$C$4,$S66%,0.5,"CENTRAL")</f>
        <v>460.1621615634599</v>
      </c>
    </row>
    <row r="67" spans="2:30">
      <c r="B67" s="15" t="s">
        <v>259</v>
      </c>
      <c r="C67" s="15" t="s">
        <v>260</v>
      </c>
      <c r="D67" s="15" t="s">
        <v>260</v>
      </c>
      <c r="E67" s="16">
        <v>42738</v>
      </c>
      <c r="F67" s="19">
        <v>42735</v>
      </c>
      <c r="G67" s="18" t="str">
        <f t="shared" si="5"/>
        <v>EOM</v>
      </c>
      <c r="H67" s="16">
        <v>42916</v>
      </c>
      <c r="I67" s="16">
        <v>45107</v>
      </c>
      <c r="J67" s="17">
        <v>2.2499999999999999E-2</v>
      </c>
      <c r="K67" s="16">
        <v>45291</v>
      </c>
      <c r="L67" s="20" t="str">
        <f ca="1">_xll.meLWOBondCreateFromGeneratorLVB(C67,$L$4,_xll.meUtilityLVBFromKeysValues($C$6:$K$6,C67:K67))</f>
        <v>US912828V236:2</v>
      </c>
      <c r="M67" s="92">
        <f ca="1">_xll.BDP($B67,$M$5)</f>
        <v>3.0152849000000002</v>
      </c>
      <c r="N67" s="89">
        <f ca="1">_xll.meLWOBondCleanPrice($L67,$C$4,$M67%)</f>
        <v>96.33593739858641</v>
      </c>
      <c r="O67" s="89">
        <f ca="1">_xll.meLWOBondDirtyPrice($L67,$C$4,$M67%)</f>
        <v>96.996263485542926</v>
      </c>
      <c r="P67" s="88">
        <f ca="1">_xll.meLWOBondYield($L67,$C$4,N67)</f>
        <v>3.0152849000003194E-2</v>
      </c>
      <c r="Q67" s="89">
        <f ca="1">_xll.meLWOBondModifiedDuration($L67,$C$4,$M67%)</f>
        <v>4.830419334148476</v>
      </c>
      <c r="R67" s="23">
        <f ca="1">_xll.meLWOBondDV01($L67,$C$4,$M67%)</f>
        <v>468.53262648072644</v>
      </c>
      <c r="S67" s="86">
        <f t="shared" ca="1" si="4"/>
        <v>3.0152849000000002</v>
      </c>
      <c r="T67" s="22" t="str">
        <f ca="1">_xll.BDP($B67,T$6, "YAS_BOND_YLD="&amp;$S67,"YAS_YLD_CONV=2")</f>
        <v>#N/A Requesting Data...</v>
      </c>
      <c r="U67" s="23">
        <f ca="1">_xll.meLWOBondCleanPrice($L67,$C$4,$S67%)</f>
        <v>96.33593739858641</v>
      </c>
      <c r="V67" s="24" t="e">
        <f t="shared" ca="1" si="6"/>
        <v>#VALUE!</v>
      </c>
      <c r="W67" s="23">
        <f ca="1">_xll.meLWOBondDV01($L67,$C$4,$S67%)</f>
        <v>468.53262648072644</v>
      </c>
      <c r="X67" s="22" t="e">
        <f ca="1">_xll.BDP($B67,X$6, "YLD_YTM_ASK="&amp;$S67,"YAS_YLD_CONV=3")*$X$3*0.0001</f>
        <v>#VALUE!</v>
      </c>
      <c r="Y67" s="24" t="e">
        <f t="shared" ca="1" si="7"/>
        <v>#VALUE!</v>
      </c>
      <c r="Z67" s="23">
        <f ca="1">_xll.meLWOBondDirtyPrice($L67,$C$4,$S67%)</f>
        <v>96.996263485542926</v>
      </c>
      <c r="AA67" s="23">
        <f ca="1">_xll.meLWOBondModifiedDuration($L67,$C$4,$S67%)</f>
        <v>4.830419334148476</v>
      </c>
      <c r="AB67" s="22" t="str">
        <f ca="1">_xll.BDP($B67,AB$6,"YLD_YTM_ASK="&amp;$S67,"YAS_YLD_CONV=3")</f>
        <v>#N/A Requesting Data...</v>
      </c>
      <c r="AC67" s="24" t="e">
        <f t="shared" ca="1" si="8"/>
        <v>#VALUE!</v>
      </c>
      <c r="AD67" s="23">
        <f ca="1">_xll.meLWOBondDV01Numerical($L67,$C$4,$S67%,0.5,"CENTRAL")</f>
        <v>468.53263301187553</v>
      </c>
    </row>
    <row r="68" spans="2:30">
      <c r="B68" s="15" t="s">
        <v>273</v>
      </c>
      <c r="C68" s="15" t="s">
        <v>274</v>
      </c>
      <c r="D68" s="15" t="s">
        <v>274</v>
      </c>
      <c r="E68" s="16">
        <v>42766</v>
      </c>
      <c r="F68" s="19">
        <v>42766</v>
      </c>
      <c r="G68" s="18" t="str">
        <f t="shared" si="5"/>
        <v>EOM</v>
      </c>
      <c r="H68" s="16">
        <v>42947</v>
      </c>
      <c r="I68" s="16">
        <v>45138</v>
      </c>
      <c r="J68" s="17">
        <v>2.2499999999999999E-2</v>
      </c>
      <c r="K68" s="16">
        <v>45322</v>
      </c>
      <c r="L68" s="20" t="str">
        <f ca="1">_xll.meLWOBondCreateFromGeneratorLVB(C68,$L$4,_xll.meUtilityLVBFromKeysValues($C$6:$K$6,C68:K68))</f>
        <v>US912828V806:2</v>
      </c>
      <c r="M68" s="92">
        <f ca="1">_xll.BDP($B68,$M$5)</f>
        <v>3.0235031999999999</v>
      </c>
      <c r="N68" s="89">
        <f ca="1">_xll.meLWOBondCleanPrice($L68,$C$4,$M68%)</f>
        <v>96.242187523550072</v>
      </c>
      <c r="O68" s="89">
        <f ca="1">_xll.meLWOBondDirtyPrice($L68,$C$4,$M68%)</f>
        <v>96.712975567028337</v>
      </c>
      <c r="P68" s="88">
        <f ca="1">_xll.meLWOBondYield($L68,$C$4,N68)</f>
        <v>3.0235032000003652E-2</v>
      </c>
      <c r="Q68" s="89">
        <f ca="1">_xll.meLWOBondModifiedDuration($L68,$C$4,$M68%)</f>
        <v>4.9131300032437517</v>
      </c>
      <c r="R68" s="23">
        <f ca="1">_xll.meLWOBondDV01($L68,$C$4,$M68%)</f>
        <v>475.16342196134678</v>
      </c>
      <c r="S68" s="86">
        <f t="shared" ca="1" si="4"/>
        <v>3.0235031999999999</v>
      </c>
      <c r="T68" s="22" t="str">
        <f ca="1">_xll.BDP($B68,T$6, "YAS_BOND_YLD="&amp;$S68,"YAS_YLD_CONV=2")</f>
        <v>#N/A Requesting Data...</v>
      </c>
      <c r="U68" s="23">
        <f ca="1">_xll.meLWOBondCleanPrice($L68,$C$4,$S68%)</f>
        <v>96.242187523550072</v>
      </c>
      <c r="V68" s="24" t="e">
        <f t="shared" ca="1" si="6"/>
        <v>#VALUE!</v>
      </c>
      <c r="W68" s="23">
        <f ca="1">_xll.meLWOBondDV01($L68,$C$4,$S68%)</f>
        <v>475.16342196134678</v>
      </c>
      <c r="X68" s="22" t="e">
        <f ca="1">_xll.BDP($B68,X$6, "YLD_YTM_ASK="&amp;$S68,"YAS_YLD_CONV=3")*$X$3*0.0001</f>
        <v>#VALUE!</v>
      </c>
      <c r="Y68" s="24" t="e">
        <f t="shared" ca="1" si="7"/>
        <v>#VALUE!</v>
      </c>
      <c r="Z68" s="23">
        <f ca="1">_xll.meLWOBondDirtyPrice($L68,$C$4,$S68%)</f>
        <v>96.712975567028337</v>
      </c>
      <c r="AA68" s="23">
        <f ca="1">_xll.meLWOBondModifiedDuration($L68,$C$4,$S68%)</f>
        <v>4.9131300032437517</v>
      </c>
      <c r="AB68" s="22" t="str">
        <f ca="1">_xll.BDP($B68,AB$6,"YLD_YTM_ASK="&amp;$S68,"YAS_YLD_CONV=3")</f>
        <v>#N/A Requesting Data...</v>
      </c>
      <c r="AC68" s="24" t="e">
        <f t="shared" ca="1" si="8"/>
        <v>#VALUE!</v>
      </c>
      <c r="AD68" s="23">
        <f ca="1">_xll.meLWOBondDV01Numerical($L68,$C$4,$S68%,0.5,"CENTRAL")</f>
        <v>475.16342877003126</v>
      </c>
    </row>
    <row r="69" spans="2:30">
      <c r="B69" s="15" t="s">
        <v>129</v>
      </c>
      <c r="C69" s="15" t="s">
        <v>130</v>
      </c>
      <c r="D69" s="15" t="s">
        <v>130</v>
      </c>
      <c r="E69" s="16">
        <v>41688</v>
      </c>
      <c r="F69" s="19">
        <v>41685</v>
      </c>
      <c r="G69" s="18" t="str">
        <f t="shared" si="5"/>
        <v/>
      </c>
      <c r="H69" s="16">
        <v>41866</v>
      </c>
      <c r="I69" s="16">
        <v>45153</v>
      </c>
      <c r="J69" s="17">
        <v>2.75E-2</v>
      </c>
      <c r="K69" s="16">
        <v>45337</v>
      </c>
      <c r="L69" s="20" t="str">
        <f ca="1">_xll.meLWOBondCreateFromGeneratorLVB(C69,$L$4,_xll.meUtilityLVBFromKeysValues($C$6:$K$6,C69:K69))</f>
        <v>US912828B667:2</v>
      </c>
      <c r="M69" s="92">
        <f ca="1">_xll.BDP($B69,$M$5)</f>
        <v>3.0178919</v>
      </c>
      <c r="N69" s="89">
        <f ca="1">_xll.meLWOBondCleanPrice($L69,$C$4,$M69%)</f>
        <v>98.687500138648943</v>
      </c>
      <c r="O69" s="89">
        <f ca="1">_xll.meLWOBondDirtyPrice($L69,$C$4,$M69%)</f>
        <v>99.150815356040241</v>
      </c>
      <c r="P69" s="88">
        <f ca="1">_xll.meLWOBondYield($L69,$C$4,N69)</f>
        <v>3.0178919000000293E-2</v>
      </c>
      <c r="Q69" s="89">
        <f ca="1">_xll.meLWOBondModifiedDuration($L69,$C$4,$M69%)</f>
        <v>4.8963913143438047</v>
      </c>
      <c r="R69" s="23">
        <f ca="1">_xll.meLWOBondDV01($L69,$C$4,$M69%)</f>
        <v>485.48119111942174</v>
      </c>
      <c r="S69" s="86">
        <f t="shared" ca="1" si="4"/>
        <v>3.0178919</v>
      </c>
      <c r="T69" s="22" t="str">
        <f ca="1">_xll.BDP($B69,T$6, "YAS_BOND_YLD="&amp;$S69,"YAS_YLD_CONV=2")</f>
        <v>#N/A Requesting Data...</v>
      </c>
      <c r="U69" s="23">
        <f ca="1">_xll.meLWOBondCleanPrice($L69,$C$4,$S69%)</f>
        <v>98.687500138648943</v>
      </c>
      <c r="V69" s="24" t="e">
        <f t="shared" ca="1" si="6"/>
        <v>#VALUE!</v>
      </c>
      <c r="W69" s="23">
        <f ca="1">_xll.meLWOBondDV01($L69,$C$4,$S69%)</f>
        <v>485.48119111942174</v>
      </c>
      <c r="X69" s="22" t="e">
        <f ca="1">_xll.BDP($B69,X$6, "YLD_YTM_ASK="&amp;$S69,"YAS_YLD_CONV=3")*$X$3*0.0001</f>
        <v>#VALUE!</v>
      </c>
      <c r="Y69" s="24" t="e">
        <f t="shared" ca="1" si="7"/>
        <v>#VALUE!</v>
      </c>
      <c r="Z69" s="23">
        <f ca="1">_xll.meLWOBondDirtyPrice($L69,$C$4,$S69%)</f>
        <v>99.150815356040241</v>
      </c>
      <c r="AA69" s="23">
        <f ca="1">_xll.meLWOBondModifiedDuration($L69,$C$4,$S69%)</f>
        <v>4.8963913143438047</v>
      </c>
      <c r="AB69" s="22" t="str">
        <f ca="1">_xll.BDP($B69,AB$6,"YLD_YTM_ASK="&amp;$S69,"YAS_YLD_CONV=3")</f>
        <v>#N/A Requesting Data...</v>
      </c>
      <c r="AC69" s="24" t="e">
        <f t="shared" ca="1" si="8"/>
        <v>#VALUE!</v>
      </c>
      <c r="AD69" s="23">
        <f ca="1">_xll.meLWOBondDV01Numerical($L69,$C$4,$S69%,0.5,"CENTRAL")</f>
        <v>485.48119812608093</v>
      </c>
    </row>
    <row r="70" spans="2:30">
      <c r="B70" s="15" t="s">
        <v>233</v>
      </c>
      <c r="C70" s="15" t="s">
        <v>234</v>
      </c>
      <c r="D70" s="15" t="s">
        <v>234</v>
      </c>
      <c r="E70" s="16">
        <v>42794</v>
      </c>
      <c r="F70" s="19">
        <v>42794</v>
      </c>
      <c r="G70" s="18" t="str">
        <f t="shared" si="5"/>
        <v>EOM</v>
      </c>
      <c r="H70" s="16">
        <v>42978</v>
      </c>
      <c r="I70" s="16">
        <v>45169</v>
      </c>
      <c r="J70" s="17">
        <v>2.1250000000000002E-2</v>
      </c>
      <c r="K70" s="16">
        <v>45351</v>
      </c>
      <c r="L70" s="20" t="str">
        <f ca="1">_xll.meLWOBondCreateFromGeneratorLVB(C70,$L$4,_xll.meUtilityLVBFromKeysValues($C$6:$K$6,C70:K70))</f>
        <v>US912828W481:2</v>
      </c>
      <c r="M70" s="92">
        <f ca="1">_xll.BDP($B70,$M$5)</f>
        <v>3.0241361000000002</v>
      </c>
      <c r="N70" s="89">
        <f ca="1">_xll.meLWOBondCleanPrice($L70,$C$4,$M70%)</f>
        <v>95.570312553925177</v>
      </c>
      <c r="O70" s="89">
        <f ca="1">_xll.meLWOBondDirtyPrice($L70,$C$4,$M70%)</f>
        <v>95.84034017823457</v>
      </c>
      <c r="P70" s="88">
        <f ca="1">_xll.meLWOBondYield($L70,$C$4,N70)</f>
        <v>3.0241361000004248E-2</v>
      </c>
      <c r="Q70" s="89">
        <f ca="1">_xll.meLWOBondModifiedDuration($L70,$C$4,$M70%)</f>
        <v>5.0087950278485742</v>
      </c>
      <c r="R70" s="23">
        <f ca="1">_xll.meLWOBondDV01($L70,$C$4,$M70%)</f>
        <v>480.04461935205723</v>
      </c>
      <c r="S70" s="86">
        <f t="shared" ca="1" si="4"/>
        <v>3.0241361000000002</v>
      </c>
      <c r="T70" s="22" t="str">
        <f ca="1">_xll.BDP($B70,T$6, "YAS_BOND_YLD="&amp;$S70,"YAS_YLD_CONV=2")</f>
        <v>#N/A Requesting Data...</v>
      </c>
      <c r="U70" s="23">
        <f ca="1">_xll.meLWOBondCleanPrice($L70,$C$4,$S70%)</f>
        <v>95.570312553925177</v>
      </c>
      <c r="V70" s="24" t="e">
        <f t="shared" ca="1" si="6"/>
        <v>#VALUE!</v>
      </c>
      <c r="W70" s="23">
        <f ca="1">_xll.meLWOBondDV01($L70,$C$4,$S70%)</f>
        <v>480.04461935205723</v>
      </c>
      <c r="X70" s="22" t="e">
        <f ca="1">_xll.BDP($B70,X$6, "YLD_YTM_ASK="&amp;$S70,"YAS_YLD_CONV=3")*$X$3*0.0001</f>
        <v>#VALUE!</v>
      </c>
      <c r="Y70" s="24" t="e">
        <f t="shared" ca="1" si="7"/>
        <v>#VALUE!</v>
      </c>
      <c r="Z70" s="23">
        <f ca="1">_xll.meLWOBondDirtyPrice($L70,$C$4,$S70%)</f>
        <v>95.84034017823457</v>
      </c>
      <c r="AA70" s="23">
        <f ca="1">_xll.meLWOBondModifiedDuration($L70,$C$4,$S70%)</f>
        <v>5.0087950278485742</v>
      </c>
      <c r="AB70" s="22" t="str">
        <f ca="1">_xll.BDP($B70,AB$6,"YLD_YTM_ASK="&amp;$S70,"YAS_YLD_CONV=3")</f>
        <v>#N/A Requesting Data...</v>
      </c>
      <c r="AC70" s="24" t="e">
        <f t="shared" ca="1" si="8"/>
        <v>#VALUE!</v>
      </c>
      <c r="AD70" s="23">
        <f ca="1">_xll.meLWOBondDV01Numerical($L70,$C$4,$S70%,0.5,"CENTRAL")</f>
        <v>480.04462642666113</v>
      </c>
    </row>
    <row r="71" spans="2:30">
      <c r="B71" s="15" t="s">
        <v>185</v>
      </c>
      <c r="C71" s="15" t="s">
        <v>186</v>
      </c>
      <c r="D71" s="15" t="s">
        <v>186</v>
      </c>
      <c r="E71" s="16">
        <v>41774</v>
      </c>
      <c r="F71" s="19">
        <v>41774</v>
      </c>
      <c r="G71" s="18" t="str">
        <f t="shared" ref="G71:G102" si="9">IF(DAY(K71+1)=1, "EOM","")</f>
        <v/>
      </c>
      <c r="H71" s="16">
        <v>41958</v>
      </c>
      <c r="I71" s="16">
        <v>45245</v>
      </c>
      <c r="J71" s="17">
        <v>2.5000000000000001E-2</v>
      </c>
      <c r="K71" s="16">
        <v>45427</v>
      </c>
      <c r="L71" s="20" t="str">
        <f ca="1">_xll.meLWOBondCreateFromGeneratorLVB(C71,$L$4,_xll.meUtilityLVBFromKeysValues($C$6:$K$6,C71:K71))</f>
        <v>US912828WJ58:2</v>
      </c>
      <c r="M71" s="92">
        <f ca="1">_xll.BDP($B71,$M$5)</f>
        <v>3.0329128000000001</v>
      </c>
      <c r="N71" s="89">
        <f ca="1">_xll.meLWOBondCleanPrice($L71,$C$4,$M71%)</f>
        <v>97.28125021325927</v>
      </c>
      <c r="O71" s="89">
        <f ca="1">_xll.meLWOBondDirtyPrice($L71,$C$4,$M71%)</f>
        <v>98.327445865433177</v>
      </c>
      <c r="P71" s="88">
        <f ca="1">_xll.meLWOBondYield($L71,$C$4,N71)</f>
        <v>3.0329128000001964E-2</v>
      </c>
      <c r="Q71" s="89">
        <f ca="1">_xll.meLWOBondModifiedDuration($L71,$C$4,$M71%)</f>
        <v>5.1057607192241594</v>
      </c>
      <c r="R71" s="23">
        <f ca="1">_xll.meLWOBondDV01($L71,$C$4,$M71%)</f>
        <v>502.03641072136867</v>
      </c>
      <c r="S71" s="86">
        <f t="shared" ca="1" si="4"/>
        <v>3.0329128000000001</v>
      </c>
      <c r="T71" s="22" t="str">
        <f ca="1">_xll.BDP($B71,T$6, "YAS_BOND_YLD="&amp;$S71,"YAS_YLD_CONV=2")</f>
        <v>#N/A Requesting Data...</v>
      </c>
      <c r="U71" s="23">
        <f ca="1">_xll.meLWOBondCleanPrice($L71,$C$4,$S71%)</f>
        <v>97.28125021325927</v>
      </c>
      <c r="V71" s="24" t="e">
        <f t="shared" ref="V71:V102" ca="1" si="10">ABS(U71-T71)</f>
        <v>#VALUE!</v>
      </c>
      <c r="W71" s="23">
        <f ca="1">_xll.meLWOBondDV01($L71,$C$4,$S71%)</f>
        <v>502.03641072136867</v>
      </c>
      <c r="X71" s="22" t="e">
        <f ca="1">_xll.BDP($B71,X$6, "YLD_YTM_ASK="&amp;$S71,"YAS_YLD_CONV=3")*$X$3*0.0001</f>
        <v>#VALUE!</v>
      </c>
      <c r="Y71" s="24" t="e">
        <f t="shared" ref="Y71:Y102" ca="1" si="11">ABS(X71-W71)</f>
        <v>#VALUE!</v>
      </c>
      <c r="Z71" s="23">
        <f ca="1">_xll.meLWOBondDirtyPrice($L71,$C$4,$S71%)</f>
        <v>98.327445865433177</v>
      </c>
      <c r="AA71" s="23">
        <f ca="1">_xll.meLWOBondModifiedDuration($L71,$C$4,$S71%)</f>
        <v>5.1057607192241594</v>
      </c>
      <c r="AB71" s="22" t="str">
        <f ca="1">_xll.BDP($B71,AB$6,"YLD_YTM_ASK="&amp;$S71,"YAS_YLD_CONV=3")</f>
        <v>#N/A Requesting Data...</v>
      </c>
      <c r="AC71" s="24" t="e">
        <f t="shared" ref="AC71:AC102" ca="1" si="12">ABS(AB71-AA71)</f>
        <v>#VALUE!</v>
      </c>
      <c r="AD71" s="23">
        <f ca="1">_xll.meLWOBondDV01Numerical($L71,$C$4,$S71%,0.5,"CENTRAL")</f>
        <v>502.03641858502124</v>
      </c>
    </row>
    <row r="72" spans="2:30">
      <c r="B72" s="15" t="s">
        <v>225</v>
      </c>
      <c r="C72" s="15" t="s">
        <v>226</v>
      </c>
      <c r="D72" s="15" t="s">
        <v>226</v>
      </c>
      <c r="E72" s="16">
        <v>41866</v>
      </c>
      <c r="F72" s="19">
        <v>41866</v>
      </c>
      <c r="G72" s="18" t="str">
        <f t="shared" si="9"/>
        <v/>
      </c>
      <c r="H72" s="16">
        <v>42050</v>
      </c>
      <c r="I72" s="16">
        <v>45337</v>
      </c>
      <c r="J72" s="17">
        <v>2.375E-2</v>
      </c>
      <c r="K72" s="16">
        <v>45519</v>
      </c>
      <c r="L72" s="20" t="str">
        <f ca="1">_xll.meLWOBondCreateFromGeneratorLVB(C72,$L$4,_xll.meUtilityLVBFromKeysValues($C$6:$K$6,C72:K72))</f>
        <v>US912828D564:2</v>
      </c>
      <c r="M72" s="92">
        <f ca="1">_xll.BDP($B72,$M$5)</f>
        <v>3.0505262000000002</v>
      </c>
      <c r="N72" s="89">
        <f ca="1">_xll.meLWOBondCleanPrice($L72,$C$4,$M72%)</f>
        <v>96.414062703777034</v>
      </c>
      <c r="O72" s="89">
        <f ca="1">_xll.meLWOBondDirtyPrice($L72,$C$4,$M72%)</f>
        <v>96.814198573342253</v>
      </c>
      <c r="P72" s="88">
        <f ca="1">_xll.meLWOBondYield($L72,$C$4,N72)</f>
        <v>3.0505262000003697E-2</v>
      </c>
      <c r="Q72" s="89">
        <f ca="1">_xll.meLWOBondModifiedDuration($L72,$C$4,$M72%)</f>
        <v>5.3683183063737028</v>
      </c>
      <c r="R72" s="23">
        <f ca="1">_xll.meLWOBondDV01($L72,$C$4,$M72%)</f>
        <v>519.72943451817207</v>
      </c>
      <c r="S72" s="86">
        <f t="shared" ref="S72:S132" ca="1" si="13">M72</f>
        <v>3.0505262000000002</v>
      </c>
      <c r="T72" s="22" t="str">
        <f ca="1">_xll.BDP($B72,T$6, "YAS_BOND_YLD="&amp;$S72,"YAS_YLD_CONV=2")</f>
        <v>#N/A Requesting Data...</v>
      </c>
      <c r="U72" s="23">
        <f ca="1">_xll.meLWOBondCleanPrice($L72,$C$4,$S72%)</f>
        <v>96.414062703777034</v>
      </c>
      <c r="V72" s="24" t="e">
        <f t="shared" ca="1" si="10"/>
        <v>#VALUE!</v>
      </c>
      <c r="W72" s="23">
        <f ca="1">_xll.meLWOBondDV01($L72,$C$4,$S72%)</f>
        <v>519.72943451817207</v>
      </c>
      <c r="X72" s="22" t="e">
        <f ca="1">_xll.BDP($B72,X$6, "YLD_YTM_ASK="&amp;$S72,"YAS_YLD_CONV=3")*$X$3*0.0001</f>
        <v>#VALUE!</v>
      </c>
      <c r="Y72" s="24" t="e">
        <f t="shared" ca="1" si="11"/>
        <v>#VALUE!</v>
      </c>
      <c r="Z72" s="23">
        <f ca="1">_xll.meLWOBondDirtyPrice($L72,$C$4,$S72%)</f>
        <v>96.814198573342253</v>
      </c>
      <c r="AA72" s="23">
        <f ca="1">_xll.meLWOBondModifiedDuration($L72,$C$4,$S72%)</f>
        <v>5.3683183063737028</v>
      </c>
      <c r="AB72" s="22" t="str">
        <f ca="1">_xll.BDP($B72,AB$6,"YLD_YTM_ASK="&amp;$S72,"YAS_YLD_CONV=3")</f>
        <v>#N/A Requesting Data...</v>
      </c>
      <c r="AC72" s="24" t="e">
        <f t="shared" ca="1" si="12"/>
        <v>#VALUE!</v>
      </c>
      <c r="AD72" s="23">
        <f ca="1">_xll.meLWOBondDV01Numerical($L72,$C$4,$S72%,0.5,"CENTRAL")</f>
        <v>519.72944331581061</v>
      </c>
    </row>
    <row r="73" spans="2:30">
      <c r="B73" s="15" t="s">
        <v>265</v>
      </c>
      <c r="C73" s="15" t="s">
        <v>266</v>
      </c>
      <c r="D73" s="15" t="s">
        <v>266</v>
      </c>
      <c r="E73" s="16">
        <v>41960</v>
      </c>
      <c r="F73" s="19">
        <v>41958</v>
      </c>
      <c r="G73" s="18" t="str">
        <f t="shared" si="9"/>
        <v/>
      </c>
      <c r="H73" s="16">
        <v>42139</v>
      </c>
      <c r="I73" s="16">
        <v>45427</v>
      </c>
      <c r="J73" s="17">
        <v>2.2499999999999999E-2</v>
      </c>
      <c r="K73" s="16">
        <v>45611</v>
      </c>
      <c r="L73" s="20" t="str">
        <f ca="1">_xll.meLWOBondCreateFromGeneratorLVB(C73,$L$4,_xll.meUtilityLVBFromKeysValues($C$6:$K$6,C73:K73))</f>
        <v>US912828G385:2</v>
      </c>
      <c r="M73" s="92">
        <f ca="1">_xll.BDP($B73,$M$5)</f>
        <v>3.0606960000000001</v>
      </c>
      <c r="N73" s="89">
        <f ca="1">_xll.meLWOBondCleanPrice($L73,$C$4,$M73%)</f>
        <v>95.531250087807919</v>
      </c>
      <c r="O73" s="89">
        <f ca="1">_xll.meLWOBondDirtyPrice($L73,$C$4,$M73%)</f>
        <v>96.472826174764435</v>
      </c>
      <c r="P73" s="88">
        <f ca="1">_xll.meLWOBondYield($L73,$C$4,N73)</f>
        <v>3.0606960000005578E-2</v>
      </c>
      <c r="Q73" s="89">
        <f ca="1">_xll.meLWOBondModifiedDuration($L73,$C$4,$M73%)</f>
        <v>5.566816679789885</v>
      </c>
      <c r="R73" s="23">
        <f ca="1">_xll.meLWOBondDV01($L73,$C$4,$M73%)</f>
        <v>537.04653789614883</v>
      </c>
      <c r="S73" s="86">
        <f t="shared" ca="1" si="13"/>
        <v>3.0606960000000001</v>
      </c>
      <c r="T73" s="22" t="str">
        <f ca="1">_xll.BDP($B73,T$6, "YAS_BOND_YLD="&amp;$S73,"YAS_YLD_CONV=2")</f>
        <v>#N/A Requesting Data...</v>
      </c>
      <c r="U73" s="23">
        <f ca="1">_xll.meLWOBondCleanPrice($L73,$C$4,$S73%)</f>
        <v>95.531250087807919</v>
      </c>
      <c r="V73" s="24" t="e">
        <f t="shared" ca="1" si="10"/>
        <v>#VALUE!</v>
      </c>
      <c r="W73" s="23">
        <f ca="1">_xll.meLWOBondDV01($L73,$C$4,$S73%)</f>
        <v>537.04653789614883</v>
      </c>
      <c r="X73" s="22" t="e">
        <f ca="1">_xll.BDP($B73,X$6, "YLD_YTM_ASK="&amp;$S73,"YAS_YLD_CONV=3")*$X$3*0.0001</f>
        <v>#VALUE!</v>
      </c>
      <c r="Y73" s="24" t="e">
        <f t="shared" ca="1" si="11"/>
        <v>#VALUE!</v>
      </c>
      <c r="Z73" s="23">
        <f ca="1">_xll.meLWOBondDirtyPrice($L73,$C$4,$S73%)</f>
        <v>96.472826174764435</v>
      </c>
      <c r="AA73" s="23">
        <f ca="1">_xll.meLWOBondModifiedDuration($L73,$C$4,$S73%)</f>
        <v>5.566816679789885</v>
      </c>
      <c r="AB73" s="22" t="str">
        <f ca="1">_xll.BDP($B73,AB$6,"YLD_YTM_ASK="&amp;$S73,"YAS_YLD_CONV=3")</f>
        <v>#N/A Requesting Data...</v>
      </c>
      <c r="AC73" s="24" t="e">
        <f t="shared" ca="1" si="12"/>
        <v>#VALUE!</v>
      </c>
      <c r="AD73" s="23">
        <f ca="1">_xll.meLWOBondDV01Numerical($L73,$C$4,$S73%,0.5,"CENTRAL")</f>
        <v>537.04654768992555</v>
      </c>
    </row>
    <row r="74" spans="2:30">
      <c r="B74" s="15" t="s">
        <v>173</v>
      </c>
      <c r="C74" s="15" t="s">
        <v>174</v>
      </c>
      <c r="D74" s="15" t="s">
        <v>174</v>
      </c>
      <c r="E74" s="16">
        <v>42052</v>
      </c>
      <c r="F74" s="19">
        <v>42050</v>
      </c>
      <c r="G74" s="18" t="str">
        <f t="shared" si="9"/>
        <v/>
      </c>
      <c r="H74" s="16">
        <v>42231</v>
      </c>
      <c r="I74" s="16">
        <v>45519</v>
      </c>
      <c r="J74" s="17">
        <v>0.02</v>
      </c>
      <c r="K74" s="16">
        <v>45703</v>
      </c>
      <c r="L74" s="20" t="str">
        <f ca="1">_xll.meLWOBondCreateFromGeneratorLVB(C74,$L$4,_xll.meUtilityLVBFromKeysValues($C$6:$K$6,C74:K74))</f>
        <v>US912828J272:2</v>
      </c>
      <c r="M74" s="92">
        <f ca="1">_xll.BDP($B74,$M$5)</f>
        <v>3.0744186</v>
      </c>
      <c r="N74" s="89">
        <f ca="1">_xll.meLWOBondCleanPrice($L74,$C$4,$M74%)</f>
        <v>93.859375200859802</v>
      </c>
      <c r="O74" s="89">
        <f ca="1">_xll.meLWOBondDirtyPrice($L74,$C$4,$M74%)</f>
        <v>94.196331722598927</v>
      </c>
      <c r="P74" s="88">
        <f ca="1">_xll.meLWOBondYield($L74,$C$4,N74)</f>
        <v>3.0744186000008458E-2</v>
      </c>
      <c r="Q74" s="89">
        <f ca="1">_xll.meLWOBondModifiedDuration($L74,$C$4,$M74%)</f>
        <v>5.8535913888212576</v>
      </c>
      <c r="R74" s="23">
        <f ca="1">_xll.meLWOBondDV01($L74,$C$4,$M74%)</f>
        <v>551.38683622995575</v>
      </c>
      <c r="S74" s="86">
        <f t="shared" ca="1" si="13"/>
        <v>3.0744186</v>
      </c>
      <c r="T74" s="22" t="str">
        <f ca="1">_xll.BDP($B74,T$6, "YAS_BOND_YLD="&amp;$S74,"YAS_YLD_CONV=2")</f>
        <v>#N/A Requesting Data...</v>
      </c>
      <c r="U74" s="23">
        <f ca="1">_xll.meLWOBondCleanPrice($L74,$C$4,$S74%)</f>
        <v>93.859375200859802</v>
      </c>
      <c r="V74" s="24" t="e">
        <f t="shared" ca="1" si="10"/>
        <v>#VALUE!</v>
      </c>
      <c r="W74" s="23">
        <f ca="1">_xll.meLWOBondDV01($L74,$C$4,$S74%)</f>
        <v>551.38683622995575</v>
      </c>
      <c r="X74" s="22" t="e">
        <f ca="1">_xll.BDP($B74,X$6, "YLD_YTM_ASK="&amp;$S74,"YAS_YLD_CONV=3")*$X$3*0.0001</f>
        <v>#VALUE!</v>
      </c>
      <c r="Y74" s="24" t="e">
        <f t="shared" ca="1" si="11"/>
        <v>#VALUE!</v>
      </c>
      <c r="Z74" s="23">
        <f ca="1">_xll.meLWOBondDirtyPrice($L74,$C$4,$S74%)</f>
        <v>94.196331722598927</v>
      </c>
      <c r="AA74" s="23">
        <f ca="1">_xll.meLWOBondModifiedDuration($L74,$C$4,$S74%)</f>
        <v>5.8535913888212576</v>
      </c>
      <c r="AB74" s="22" t="str">
        <f ca="1">_xll.BDP($B74,AB$6,"YLD_YTM_ASK="&amp;$S74,"YAS_YLD_CONV=3")</f>
        <v>#N/A Requesting Data...</v>
      </c>
      <c r="AC74" s="24" t="e">
        <f t="shared" ca="1" si="12"/>
        <v>#VALUE!</v>
      </c>
      <c r="AD74" s="23">
        <f ca="1">_xll.meLWOBondDV01Numerical($L74,$C$4,$S74%,0.5,"CENTRAL")</f>
        <v>551.38684705838159</v>
      </c>
    </row>
    <row r="75" spans="2:30">
      <c r="B75" s="15" t="s">
        <v>193</v>
      </c>
      <c r="C75" s="15" t="s">
        <v>194</v>
      </c>
      <c r="D75" s="15" t="s">
        <v>194</v>
      </c>
      <c r="E75" s="16">
        <v>42139</v>
      </c>
      <c r="F75" s="19">
        <v>42139</v>
      </c>
      <c r="G75" s="18" t="str">
        <f t="shared" si="9"/>
        <v/>
      </c>
      <c r="H75" s="16">
        <v>42323</v>
      </c>
      <c r="I75" s="16">
        <v>45611</v>
      </c>
      <c r="J75" s="17">
        <v>2.1250000000000002E-2</v>
      </c>
      <c r="K75" s="16">
        <v>45792</v>
      </c>
      <c r="L75" s="20" t="str">
        <f ca="1">_xll.meLWOBondCreateFromGeneratorLVB(C75,$L$4,_xll.meUtilityLVBFromKeysValues($C$6:$K$6,C75:K75))</f>
        <v>US912828XB14:2</v>
      </c>
      <c r="M75" s="92">
        <f ca="1">_xll.BDP($B75,$M$5)</f>
        <v>3.0808799000000002</v>
      </c>
      <c r="N75" s="89">
        <f ca="1">_xll.meLWOBondCleanPrice($L75,$C$4,$M75%)</f>
        <v>94.343749827363993</v>
      </c>
      <c r="O75" s="89">
        <f ca="1">_xll.meLWOBondDirtyPrice($L75,$C$4,$M75%)</f>
        <v>95.233016131711821</v>
      </c>
      <c r="P75" s="88">
        <f ca="1">_xll.meLWOBondYield($L75,$C$4,N75)</f>
        <v>3.080879900000744E-2</v>
      </c>
      <c r="Q75" s="89">
        <f ca="1">_xll.meLWOBondModifiedDuration($L75,$C$4,$M75%)</f>
        <v>6.0120215784484472</v>
      </c>
      <c r="R75" s="23">
        <f ca="1">_xll.meLWOBondDV01($L75,$C$4,$M75%)</f>
        <v>572.54294796458055</v>
      </c>
      <c r="S75" s="86">
        <f t="shared" ca="1" si="13"/>
        <v>3.0808799000000002</v>
      </c>
      <c r="T75" s="22" t="str">
        <f ca="1">_xll.BDP($B75,T$6, "YAS_BOND_YLD="&amp;$S75,"YAS_YLD_CONV=2")</f>
        <v>#N/A Requesting Data...</v>
      </c>
      <c r="U75" s="23">
        <f ca="1">_xll.meLWOBondCleanPrice($L75,$C$4,$S75%)</f>
        <v>94.343749827363993</v>
      </c>
      <c r="V75" s="24" t="e">
        <f t="shared" ca="1" si="10"/>
        <v>#VALUE!</v>
      </c>
      <c r="W75" s="23">
        <f ca="1">_xll.meLWOBondDV01($L75,$C$4,$S75%)</f>
        <v>572.54294796458055</v>
      </c>
      <c r="X75" s="22" t="e">
        <f ca="1">_xll.BDP($B75,X$6, "YLD_YTM_ASK="&amp;$S75,"YAS_YLD_CONV=3")*$X$3*0.0001</f>
        <v>#VALUE!</v>
      </c>
      <c r="Y75" s="24" t="e">
        <f t="shared" ca="1" si="11"/>
        <v>#VALUE!</v>
      </c>
      <c r="Z75" s="23">
        <f ca="1">_xll.meLWOBondDirtyPrice($L75,$C$4,$S75%)</f>
        <v>95.233016131711821</v>
      </c>
      <c r="AA75" s="23">
        <f ca="1">_xll.meLWOBondModifiedDuration($L75,$C$4,$S75%)</f>
        <v>6.0120215784484472</v>
      </c>
      <c r="AB75" s="22" t="str">
        <f ca="1">_xll.BDP($B75,AB$6,"YLD_YTM_ASK="&amp;$S75,"YAS_YLD_CONV=3")</f>
        <v>#N/A Requesting Data...</v>
      </c>
      <c r="AC75" s="24" t="e">
        <f t="shared" ca="1" si="12"/>
        <v>#VALUE!</v>
      </c>
      <c r="AD75" s="23">
        <f ca="1">_xll.meLWOBondDV01Numerical($L75,$C$4,$S75%,0.5,"CENTRAL")</f>
        <v>572.5429599782218</v>
      </c>
    </row>
    <row r="76" spans="2:30">
      <c r="B76" s="15" t="s">
        <v>29</v>
      </c>
      <c r="C76" s="15" t="s">
        <v>30</v>
      </c>
      <c r="D76" s="15" t="s">
        <v>30</v>
      </c>
      <c r="E76" s="16">
        <v>34926</v>
      </c>
      <c r="F76" s="19">
        <v>34926</v>
      </c>
      <c r="G76" s="18" t="str">
        <f t="shared" si="9"/>
        <v/>
      </c>
      <c r="H76" s="16">
        <v>35110</v>
      </c>
      <c r="I76" s="16">
        <v>45703</v>
      </c>
      <c r="J76" s="17">
        <v>6.8750000000000006E-2</v>
      </c>
      <c r="K76" s="16">
        <v>45884</v>
      </c>
      <c r="L76" s="20" t="str">
        <f ca="1">_xll.meLWOBondCreateFromGeneratorLVB(C76,$L$4,_xll.meUtilityLVBFromKeysValues($C$6:$K$6,C76:K76))</f>
        <v>US912810EV62:2</v>
      </c>
      <c r="M76" s="92">
        <f ca="1">_xll.BDP($B76,$M$5)</f>
        <v>3.0589924000000002</v>
      </c>
      <c r="N76" s="89">
        <f ca="1">_xll.meLWOBondCleanPrice($L76,$C$4,$M76%)</f>
        <v>123.35937495278213</v>
      </c>
      <c r="O76" s="89">
        <f ca="1">_xll.meLWOBondDirtyPrice($L76,$C$4,$M76%)</f>
        <v>124.5176629962604</v>
      </c>
      <c r="P76" s="88">
        <f ca="1">_xll.meLWOBondYield($L76,$C$4,N76)</f>
        <v>3.0589924000000292E-2</v>
      </c>
      <c r="Q76" s="89">
        <f ca="1">_xll.meLWOBondModifiedDuration($L76,$C$4,$M76%)</f>
        <v>5.5746585520382217</v>
      </c>
      <c r="R76" s="23">
        <f ca="1">_xll.meLWOBondDV01($L76,$C$4,$M76%)</f>
        <v>694.14345490191624</v>
      </c>
      <c r="S76" s="86">
        <f t="shared" ca="1" si="13"/>
        <v>3.0589924000000002</v>
      </c>
      <c r="T76" s="22" t="str">
        <f ca="1">_xll.BDP($B76,T$6, "YAS_BOND_YLD="&amp;$S76,"YAS_YLD_CONV=2")</f>
        <v>#N/A Requesting Data...</v>
      </c>
      <c r="U76" s="23">
        <f ca="1">_xll.meLWOBondCleanPrice($L76,$C$4,$S76%)</f>
        <v>123.35937495278213</v>
      </c>
      <c r="V76" s="24" t="e">
        <f t="shared" ca="1" si="10"/>
        <v>#VALUE!</v>
      </c>
      <c r="W76" s="23">
        <f ca="1">_xll.meLWOBondDV01($L76,$C$4,$S76%)</f>
        <v>694.14345490191624</v>
      </c>
      <c r="X76" s="22" t="e">
        <f ca="1">_xll.BDP($B76,X$6, "YLD_YTM_ASK="&amp;$S76,"YAS_YLD_CONV=3")*$X$3*0.0001</f>
        <v>#VALUE!</v>
      </c>
      <c r="Y76" s="24" t="e">
        <f t="shared" ca="1" si="11"/>
        <v>#VALUE!</v>
      </c>
      <c r="Z76" s="23">
        <f ca="1">_xll.meLWOBondDirtyPrice($L76,$C$4,$S76%)</f>
        <v>124.5176629962604</v>
      </c>
      <c r="AA76" s="23">
        <f ca="1">_xll.meLWOBondModifiedDuration($L76,$C$4,$S76%)</f>
        <v>5.5746585520382217</v>
      </c>
      <c r="AB76" s="22" t="str">
        <f ca="1">_xll.BDP($B76,AB$6,"YLD_YTM_ASK="&amp;$S76,"YAS_YLD_CONV=3")</f>
        <v>#N/A Requesting Data...</v>
      </c>
      <c r="AC76" s="24" t="e">
        <f t="shared" ca="1" si="12"/>
        <v>#VALUE!</v>
      </c>
      <c r="AD76" s="23">
        <f ca="1">_xll.meLWOBondDV01Numerical($L76,$C$4,$S76%,0.5,"CENTRAL")</f>
        <v>694.14346948164507</v>
      </c>
    </row>
    <row r="77" spans="2:30">
      <c r="B77" s="15" t="s">
        <v>39</v>
      </c>
      <c r="C77" s="15" t="s">
        <v>40</v>
      </c>
      <c r="D77" s="15" t="s">
        <v>40</v>
      </c>
      <c r="E77" s="16">
        <v>42233</v>
      </c>
      <c r="F77" s="19">
        <v>42231</v>
      </c>
      <c r="G77" s="18" t="str">
        <f t="shared" si="9"/>
        <v/>
      </c>
      <c r="H77" s="16">
        <v>42415</v>
      </c>
      <c r="I77" s="16">
        <v>45703</v>
      </c>
      <c r="J77" s="17">
        <v>0.02</v>
      </c>
      <c r="K77" s="16">
        <v>45884</v>
      </c>
      <c r="L77" s="20" t="str">
        <f ca="1">_xll.meLWOBondCreateFromGeneratorLVB(C77,$L$4,_xll.meUtilityLVBFromKeysValues($C$6:$K$6,C77:K77))</f>
        <v>US912828K742:2</v>
      </c>
      <c r="M77" s="92">
        <f ca="1">_xll.BDP($B77,$M$5)</f>
        <v>3.0932306999999999</v>
      </c>
      <c r="N77" s="89">
        <f ca="1">_xll.meLWOBondCleanPrice($L77,$C$4,$M77%)</f>
        <v>93.312500111066285</v>
      </c>
      <c r="O77" s="89">
        <f ca="1">_xll.meLWOBondDirtyPrice($L77,$C$4,$M77%)</f>
        <v>93.649456632805411</v>
      </c>
      <c r="P77" s="88">
        <f ca="1">_xll.meLWOBondYield($L77,$C$4,N77)</f>
        <v>3.093230700000878E-2</v>
      </c>
      <c r="Q77" s="89">
        <f ca="1">_xll.meLWOBondModifiedDuration($L77,$C$4,$M77%)</f>
        <v>6.2815441891579029</v>
      </c>
      <c r="R77" s="23">
        <f ca="1">_xll.meLWOBondDV01($L77,$C$4,$M77%)</f>
        <v>588.26320012959388</v>
      </c>
      <c r="S77" s="86">
        <f t="shared" ca="1" si="13"/>
        <v>3.0932306999999999</v>
      </c>
      <c r="T77" s="22" t="str">
        <f ca="1">_xll.BDP($B77,T$6, "YAS_BOND_YLD="&amp;$S77,"YAS_YLD_CONV=2")</f>
        <v>#N/A Requesting Data...</v>
      </c>
      <c r="U77" s="23">
        <f ca="1">_xll.meLWOBondCleanPrice($L77,$C$4,$S77%)</f>
        <v>93.312500111066285</v>
      </c>
      <c r="V77" s="24" t="e">
        <f t="shared" ca="1" si="10"/>
        <v>#VALUE!</v>
      </c>
      <c r="W77" s="23">
        <f ca="1">_xll.meLWOBondDV01($L77,$C$4,$S77%)</f>
        <v>588.26320012959388</v>
      </c>
      <c r="X77" s="22" t="e">
        <f ca="1">_xll.BDP($B77,X$6, "YLD_YTM_ASK="&amp;$S77,"YAS_YLD_CONV=3")*$X$3*0.0001</f>
        <v>#VALUE!</v>
      </c>
      <c r="Y77" s="24" t="e">
        <f t="shared" ca="1" si="11"/>
        <v>#VALUE!</v>
      </c>
      <c r="Z77" s="23">
        <f ca="1">_xll.meLWOBondDirtyPrice($L77,$C$4,$S77%)</f>
        <v>93.649456632805411</v>
      </c>
      <c r="AA77" s="23">
        <f ca="1">_xll.meLWOBondModifiedDuration($L77,$C$4,$S77%)</f>
        <v>6.2815441891579029</v>
      </c>
      <c r="AB77" s="22" t="str">
        <f ca="1">_xll.BDP($B77,AB$6,"YLD_YTM_ASK="&amp;$S77,"YAS_YLD_CONV=3")</f>
        <v>#N/A Requesting Data...</v>
      </c>
      <c r="AC77" s="24" t="e">
        <f t="shared" ca="1" si="12"/>
        <v>#VALUE!</v>
      </c>
      <c r="AD77" s="23">
        <f ca="1">_xll.meLWOBondDV01Numerical($L77,$C$4,$S77%,0.5,"CENTRAL")</f>
        <v>588.26321333214082</v>
      </c>
    </row>
    <row r="78" spans="2:30">
      <c r="B78" s="15" t="s">
        <v>213</v>
      </c>
      <c r="C78" s="15" t="s">
        <v>214</v>
      </c>
      <c r="D78" s="15" t="s">
        <v>214</v>
      </c>
      <c r="E78" s="16">
        <v>42324</v>
      </c>
      <c r="F78" s="19">
        <v>42323</v>
      </c>
      <c r="G78" s="18" t="str">
        <f t="shared" si="9"/>
        <v/>
      </c>
      <c r="H78" s="16">
        <v>42505</v>
      </c>
      <c r="I78" s="16">
        <v>45792</v>
      </c>
      <c r="J78" s="17">
        <v>2.2499999999999999E-2</v>
      </c>
      <c r="K78" s="16">
        <v>45976</v>
      </c>
      <c r="L78" s="20" t="str">
        <f ca="1">_xll.meLWOBondCreateFromGeneratorLVB(C78,$L$4,_xll.meUtilityLVBFromKeysValues($C$6:$K$6,C78:K78))</f>
        <v>US912828M565:2</v>
      </c>
      <c r="M78" s="92">
        <f ca="1">_xll.BDP($B78,$M$5)</f>
        <v>3.1010653000000001</v>
      </c>
      <c r="N78" s="89">
        <f ca="1">_xll.meLWOBondCleanPrice($L78,$C$4,$M78%)</f>
        <v>94.624999716375413</v>
      </c>
      <c r="O78" s="89">
        <f ca="1">_xll.meLWOBondDirtyPrice($L78,$C$4,$M78%)</f>
        <v>95.566575803331929</v>
      </c>
      <c r="P78" s="88">
        <f ca="1">_xll.meLWOBondYield($L78,$C$4,N78)</f>
        <v>3.101065300000819E-2</v>
      </c>
      <c r="Q78" s="89">
        <f ca="1">_xll.meLWOBondModifiedDuration($L78,$C$4,$M78%)</f>
        <v>6.4047195672555146</v>
      </c>
      <c r="R78" s="23">
        <f ca="1">_xll.meLWOBondDV01($L78,$C$4,$M78%)</f>
        <v>612.07711802320739</v>
      </c>
      <c r="S78" s="86">
        <f t="shared" ca="1" si="13"/>
        <v>3.1010653000000001</v>
      </c>
      <c r="T78" s="22" t="str">
        <f ca="1">_xll.BDP($B78,T$6, "YAS_BOND_YLD="&amp;$S78,"YAS_YLD_CONV=2")</f>
        <v>#N/A Requesting Data...</v>
      </c>
      <c r="U78" s="23">
        <f ca="1">_xll.meLWOBondCleanPrice($L78,$C$4,$S78%)</f>
        <v>94.624999716375413</v>
      </c>
      <c r="V78" s="24" t="e">
        <f t="shared" ca="1" si="10"/>
        <v>#VALUE!</v>
      </c>
      <c r="W78" s="23">
        <f ca="1">_xll.meLWOBondDV01($L78,$C$4,$S78%)</f>
        <v>612.07711802320739</v>
      </c>
      <c r="X78" s="22" t="e">
        <f ca="1">_xll.BDP($B78,X$6, "YLD_YTM_ASK="&amp;$S78,"YAS_YLD_CONV=3")*$X$3*0.0001</f>
        <v>#VALUE!</v>
      </c>
      <c r="Y78" s="24" t="e">
        <f t="shared" ca="1" si="11"/>
        <v>#VALUE!</v>
      </c>
      <c r="Z78" s="23">
        <f ca="1">_xll.meLWOBondDirtyPrice($L78,$C$4,$S78%)</f>
        <v>95.566575803331929</v>
      </c>
      <c r="AA78" s="23">
        <f ca="1">_xll.meLWOBondModifiedDuration($L78,$C$4,$S78%)</f>
        <v>6.4047195672555146</v>
      </c>
      <c r="AB78" s="22" t="str">
        <f ca="1">_xll.BDP($B78,AB$6,"YLD_YTM_ASK="&amp;$S78,"YAS_YLD_CONV=3")</f>
        <v>#N/A Requesting Data...</v>
      </c>
      <c r="AC78" s="24" t="e">
        <f t="shared" ca="1" si="12"/>
        <v>#VALUE!</v>
      </c>
      <c r="AD78" s="23">
        <f ca="1">_xll.meLWOBondDV01Numerical($L78,$C$4,$S78%,0.5,"CENTRAL")</f>
        <v>612.07713260301955</v>
      </c>
    </row>
    <row r="79" spans="2:30">
      <c r="B79" s="15" t="s">
        <v>43</v>
      </c>
      <c r="C79" s="15" t="s">
        <v>44</v>
      </c>
      <c r="D79" s="15" t="s">
        <v>44</v>
      </c>
      <c r="E79" s="16">
        <v>35110</v>
      </c>
      <c r="F79" s="19">
        <v>35110</v>
      </c>
      <c r="G79" s="18" t="str">
        <f t="shared" si="9"/>
        <v/>
      </c>
      <c r="H79" s="16">
        <v>35292</v>
      </c>
      <c r="I79" s="16">
        <v>45884</v>
      </c>
      <c r="J79" s="17">
        <v>0.06</v>
      </c>
      <c r="K79" s="16">
        <v>46068</v>
      </c>
      <c r="L79" s="20" t="str">
        <f ca="1">_xll.meLWOBondCreateFromGeneratorLVB(C79,$L$4,_xll.meUtilityLVBFromKeysValues($C$6:$K$6,C79:K79))</f>
        <v>US912810EW46:2</v>
      </c>
      <c r="M79" s="92">
        <f ca="1">_xll.BDP($B79,$M$5)</f>
        <v>3.0643794999999998</v>
      </c>
      <c r="N79" s="89">
        <f ca="1">_xll.meLWOBondCleanPrice($L79,$C$4,$M79%)</f>
        <v>119.14062464721965</v>
      </c>
      <c r="O79" s="89">
        <f ca="1">_xll.meLWOBondDirtyPrice($L79,$C$4,$M79%)</f>
        <v>120.15149421243704</v>
      </c>
      <c r="P79" s="88">
        <f ca="1">_xll.meLWOBondYield($L79,$C$4,N79)</f>
        <v>3.0643794999999533E-2</v>
      </c>
      <c r="Q79" s="89">
        <f ca="1">_xll.meLWOBondModifiedDuration($L79,$C$4,$M79%)</f>
        <v>6.0226899170007577</v>
      </c>
      <c r="R79" s="23">
        <f ca="1">_xll.meLWOBondDV01($L79,$C$4,$M79%)</f>
        <v>723.63519270581946</v>
      </c>
      <c r="S79" s="86">
        <f t="shared" ca="1" si="13"/>
        <v>3.0643794999999998</v>
      </c>
      <c r="T79" s="22" t="str">
        <f ca="1">_xll.BDP($B79,T$6, "YAS_BOND_YLD="&amp;$S79,"YAS_YLD_CONV=2")</f>
        <v>#N/A Requesting Data...</v>
      </c>
      <c r="U79" s="23">
        <f ca="1">_xll.meLWOBondCleanPrice($L79,$C$4,$S79%)</f>
        <v>119.14062464721965</v>
      </c>
      <c r="V79" s="24" t="e">
        <f t="shared" ca="1" si="10"/>
        <v>#VALUE!</v>
      </c>
      <c r="W79" s="23">
        <f ca="1">_xll.meLWOBondDV01($L79,$C$4,$S79%)</f>
        <v>723.63519270581946</v>
      </c>
      <c r="X79" s="22" t="e">
        <f ca="1">_xll.BDP($B79,X$6, "YLD_YTM_ASK="&amp;$S79,"YAS_YLD_CONV=3")*$X$3*0.0001</f>
        <v>#VALUE!</v>
      </c>
      <c r="Y79" s="24" t="e">
        <f t="shared" ca="1" si="11"/>
        <v>#VALUE!</v>
      </c>
      <c r="Z79" s="23">
        <f ca="1">_xll.meLWOBondDirtyPrice($L79,$C$4,$S79%)</f>
        <v>120.15149421243704</v>
      </c>
      <c r="AA79" s="23">
        <f ca="1">_xll.meLWOBondModifiedDuration($L79,$C$4,$S79%)</f>
        <v>6.0226899170007577</v>
      </c>
      <c r="AB79" s="22" t="str">
        <f ca="1">_xll.BDP($B79,AB$6,"YLD_YTM_ASK="&amp;$S79,"YAS_YLD_CONV=3")</f>
        <v>#N/A Requesting Data...</v>
      </c>
      <c r="AC79" s="24" t="e">
        <f t="shared" ca="1" si="12"/>
        <v>#VALUE!</v>
      </c>
      <c r="AD79" s="23">
        <f ca="1">_xll.meLWOBondDV01Numerical($L79,$C$4,$S79%,0.5,"CENTRAL")</f>
        <v>723.63521004746201</v>
      </c>
    </row>
    <row r="80" spans="2:30">
      <c r="B80" s="15" t="s">
        <v>111</v>
      </c>
      <c r="C80" s="15" t="s">
        <v>112</v>
      </c>
      <c r="D80" s="15" t="s">
        <v>112</v>
      </c>
      <c r="E80" s="16">
        <v>42416</v>
      </c>
      <c r="F80" s="19">
        <v>42415</v>
      </c>
      <c r="G80" s="18" t="str">
        <f t="shared" si="9"/>
        <v/>
      </c>
      <c r="H80" s="16">
        <v>42597</v>
      </c>
      <c r="I80" s="16">
        <v>45884</v>
      </c>
      <c r="J80" s="17">
        <v>1.6250000000000001E-2</v>
      </c>
      <c r="K80" s="16">
        <v>46068</v>
      </c>
      <c r="L80" s="20" t="str">
        <f ca="1">_xll.meLWOBondCreateFromGeneratorLVB(C80,$L$4,_xll.meUtilityLVBFromKeysValues($C$6:$K$6,C80:K80))</f>
        <v>US912828P469:2</v>
      </c>
      <c r="M80" s="92">
        <f ca="1">_xll.BDP($B80,$M$5)</f>
        <v>3.1128555000000002</v>
      </c>
      <c r="N80" s="89">
        <f ca="1">_xll.meLWOBondCleanPrice($L80,$C$4,$M80%)</f>
        <v>90.312499904065788</v>
      </c>
      <c r="O80" s="89">
        <f ca="1">_xll.meLWOBondDirtyPrice($L80,$C$4,$M80%)</f>
        <v>90.586277077978835</v>
      </c>
      <c r="P80" s="88">
        <f ca="1">_xll.meLWOBondYield($L80,$C$4,N80)</f>
        <v>3.1128554999988883E-2</v>
      </c>
      <c r="Q80" s="89">
        <f ca="1">_xll.meLWOBondModifiedDuration($L80,$C$4,$M80%)</f>
        <v>6.7893348393506114</v>
      </c>
      <c r="R80" s="23">
        <f ca="1">_xll.meLWOBondDV01($L80,$C$4,$M80%)</f>
        <v>615.02056693258942</v>
      </c>
      <c r="S80" s="86">
        <f t="shared" ca="1" si="13"/>
        <v>3.1128555000000002</v>
      </c>
      <c r="T80" s="22" t="str">
        <f ca="1">_xll.BDP($B80,T$6, "YAS_BOND_YLD="&amp;$S80,"YAS_YLD_CONV=2")</f>
        <v>#N/A Requesting Data...</v>
      </c>
      <c r="U80" s="23">
        <f ca="1">_xll.meLWOBondCleanPrice($L80,$C$4,$S80%)</f>
        <v>90.312499904065788</v>
      </c>
      <c r="V80" s="24" t="e">
        <f t="shared" ca="1" si="10"/>
        <v>#VALUE!</v>
      </c>
      <c r="W80" s="23">
        <f ca="1">_xll.meLWOBondDV01($L80,$C$4,$S80%)</f>
        <v>615.02056693258942</v>
      </c>
      <c r="X80" s="22" t="e">
        <f ca="1">_xll.BDP($B80,X$6, "YLD_YTM_ASK="&amp;$S80,"YAS_YLD_CONV=3")*$X$3*0.0001</f>
        <v>#VALUE!</v>
      </c>
      <c r="Y80" s="24" t="e">
        <f t="shared" ca="1" si="11"/>
        <v>#VALUE!</v>
      </c>
      <c r="Z80" s="23">
        <f ca="1">_xll.meLWOBondDirtyPrice($L80,$C$4,$S80%)</f>
        <v>90.586277077978835</v>
      </c>
      <c r="AA80" s="23">
        <f ca="1">_xll.meLWOBondModifiedDuration($L80,$C$4,$S80%)</f>
        <v>6.7893348393506114</v>
      </c>
      <c r="AB80" s="22" t="str">
        <f ca="1">_xll.BDP($B80,AB$6,"YLD_YTM_ASK="&amp;$S80,"YAS_YLD_CONV=3")</f>
        <v>#N/A Requesting Data...</v>
      </c>
      <c r="AC80" s="24" t="e">
        <f t="shared" ca="1" si="12"/>
        <v>#VALUE!</v>
      </c>
      <c r="AD80" s="23">
        <f ca="1">_xll.meLWOBondDV01Numerical($L80,$C$4,$S80%,0.5,"CENTRAL")</f>
        <v>615.02058267279835</v>
      </c>
    </row>
    <row r="81" spans="2:30">
      <c r="B81" s="15" t="s">
        <v>109</v>
      </c>
      <c r="C81" s="15" t="s">
        <v>110</v>
      </c>
      <c r="D81" s="15" t="s">
        <v>110</v>
      </c>
      <c r="E81" s="16">
        <v>42506</v>
      </c>
      <c r="F81" s="19">
        <v>42505</v>
      </c>
      <c r="G81" s="18" t="str">
        <f t="shared" si="9"/>
        <v/>
      </c>
      <c r="H81" s="16">
        <v>42689</v>
      </c>
      <c r="I81" s="16">
        <v>45976</v>
      </c>
      <c r="J81" s="17">
        <v>1.6250000000000001E-2</v>
      </c>
      <c r="K81" s="16">
        <v>46157</v>
      </c>
      <c r="L81" s="20" t="str">
        <f ca="1">_xll.meLWOBondCreateFromGeneratorLVB(C81,$L$4,_xll.meUtilityLVBFromKeysValues($C$6:$K$6,C81:K81))</f>
        <v>US912828R366:2</v>
      </c>
      <c r="M81" s="92">
        <f ca="1">_xll.BDP($B81,$M$5)</f>
        <v>3.1184696000000001</v>
      </c>
      <c r="N81" s="89">
        <f ca="1">_xll.meLWOBondCleanPrice($L81,$C$4,$M81%)</f>
        <v>89.984374891294493</v>
      </c>
      <c r="O81" s="89">
        <f ca="1">_xll.meLWOBondDirtyPrice($L81,$C$4,$M81%)</f>
        <v>90.66440206520754</v>
      </c>
      <c r="P81" s="88">
        <f ca="1">_xll.meLWOBondYield($L81,$C$4,N81)</f>
        <v>3.1184695999991012E-2</v>
      </c>
      <c r="Q81" s="89">
        <f ca="1">_xll.meLWOBondModifiedDuration($L81,$C$4,$M81%)</f>
        <v>6.973031939107873</v>
      </c>
      <c r="R81" s="23">
        <f ca="1">_xll.meLWOBondDV01($L81,$C$4,$M81%)</f>
        <v>632.20577134080997</v>
      </c>
      <c r="S81" s="86">
        <f t="shared" ca="1" si="13"/>
        <v>3.1184696000000001</v>
      </c>
      <c r="T81" s="22" t="str">
        <f ca="1">_xll.BDP($B81,T$6, "YAS_BOND_YLD="&amp;$S81,"YAS_YLD_CONV=2")</f>
        <v>#N/A Requesting Data...</v>
      </c>
      <c r="U81" s="23">
        <f ca="1">_xll.meLWOBondCleanPrice($L81,$C$4,$S81%)</f>
        <v>89.984374891294493</v>
      </c>
      <c r="V81" s="24" t="e">
        <f t="shared" ca="1" si="10"/>
        <v>#VALUE!</v>
      </c>
      <c r="W81" s="23">
        <f ca="1">_xll.meLWOBondDV01($L81,$C$4,$S81%)</f>
        <v>632.20577134080997</v>
      </c>
      <c r="X81" s="22" t="e">
        <f ca="1">_xll.BDP($B81,X$6, "YLD_YTM_ASK="&amp;$S81,"YAS_YLD_CONV=3")*$X$3*0.0001</f>
        <v>#VALUE!</v>
      </c>
      <c r="Y81" s="24" t="e">
        <f t="shared" ca="1" si="11"/>
        <v>#VALUE!</v>
      </c>
      <c r="Z81" s="23">
        <f ca="1">_xll.meLWOBondDirtyPrice($L81,$C$4,$S81%)</f>
        <v>90.66440206520754</v>
      </c>
      <c r="AA81" s="23">
        <f ca="1">_xll.meLWOBondModifiedDuration($L81,$C$4,$S81%)</f>
        <v>6.973031939107873</v>
      </c>
      <c r="AB81" s="22" t="str">
        <f ca="1">_xll.BDP($B81,AB$6,"YLD_YTM_ASK="&amp;$S81,"YAS_YLD_CONV=3")</f>
        <v>#N/A Requesting Data...</v>
      </c>
      <c r="AC81" s="24" t="e">
        <f t="shared" ca="1" si="12"/>
        <v>#VALUE!</v>
      </c>
      <c r="AD81" s="23">
        <f ca="1">_xll.meLWOBondDV01Numerical($L81,$C$4,$S81%,0.5,"CENTRAL")</f>
        <v>632.20578851840514</v>
      </c>
    </row>
    <row r="82" spans="2:30">
      <c r="B82" s="15" t="s">
        <v>33</v>
      </c>
      <c r="C82" s="15" t="s">
        <v>34</v>
      </c>
      <c r="D82" s="15" t="s">
        <v>34</v>
      </c>
      <c r="E82" s="16">
        <v>35292</v>
      </c>
      <c r="F82" s="19">
        <v>35292</v>
      </c>
      <c r="G82" s="18" t="str">
        <f t="shared" si="9"/>
        <v/>
      </c>
      <c r="H82" s="16">
        <v>35476</v>
      </c>
      <c r="I82" s="16">
        <v>46068</v>
      </c>
      <c r="J82" s="17">
        <v>6.7500000000000004E-2</v>
      </c>
      <c r="K82" s="16">
        <v>46249</v>
      </c>
      <c r="L82" s="20" t="str">
        <f ca="1">_xll.meLWOBondCreateFromGeneratorLVB(C82,$L$4,_xll.meUtilityLVBFromKeysValues($C$6:$K$6,C82:K82))</f>
        <v>US912810EX29:2</v>
      </c>
      <c r="M82" s="92">
        <f ca="1">_xll.BDP($B82,$M$5)</f>
        <v>3.0761234000000002</v>
      </c>
      <c r="N82" s="89">
        <f ca="1">_xll.meLWOBondCleanPrice($L82,$C$4,$M82%)</f>
        <v>125.39062482704726</v>
      </c>
      <c r="O82" s="89">
        <f ca="1">_xll.meLWOBondDirtyPrice($L82,$C$4,$M82%)</f>
        <v>126.52785308791682</v>
      </c>
      <c r="P82" s="88">
        <f ca="1">_xll.meLWOBondYield($L82,$C$4,N82)</f>
        <v>3.0761234000000335E-2</v>
      </c>
      <c r="Q82" s="89">
        <f ca="1">_xll.meLWOBondModifiedDuration($L82,$C$4,$M82%)</f>
        <v>6.2576284815893128</v>
      </c>
      <c r="R82" s="23">
        <f ca="1">_xll.meLWOBondDV01($L82,$C$4,$M82%)</f>
        <v>791.76429719729663</v>
      </c>
      <c r="S82" s="86">
        <f t="shared" ca="1" si="13"/>
        <v>3.0761234000000002</v>
      </c>
      <c r="T82" s="22" t="str">
        <f ca="1">_xll.BDP($B82,T$6, "YAS_BOND_YLD="&amp;$S82,"YAS_YLD_CONV=2")</f>
        <v>#N/A Requesting Data...</v>
      </c>
      <c r="U82" s="23">
        <f ca="1">_xll.meLWOBondCleanPrice($L82,$C$4,$S82%)</f>
        <v>125.39062482704726</v>
      </c>
      <c r="V82" s="24" t="e">
        <f t="shared" ca="1" si="10"/>
        <v>#VALUE!</v>
      </c>
      <c r="W82" s="23">
        <f ca="1">_xll.meLWOBondDV01($L82,$C$4,$S82%)</f>
        <v>791.76429719729663</v>
      </c>
      <c r="X82" s="22" t="e">
        <f ca="1">_xll.BDP($B82,X$6, "YLD_YTM_ASK="&amp;$S82,"YAS_YLD_CONV=3")*$X$3*0.0001</f>
        <v>#VALUE!</v>
      </c>
      <c r="Y82" s="24" t="e">
        <f t="shared" ca="1" si="11"/>
        <v>#VALUE!</v>
      </c>
      <c r="Z82" s="23">
        <f ca="1">_xll.meLWOBondDirtyPrice($L82,$C$4,$S82%)</f>
        <v>126.52785308791682</v>
      </c>
      <c r="AA82" s="23">
        <f ca="1">_xll.meLWOBondModifiedDuration($L82,$C$4,$S82%)</f>
        <v>6.2576284815893128</v>
      </c>
      <c r="AB82" s="22" t="str">
        <f ca="1">_xll.BDP($B82,AB$6,"YLD_YTM_ASK="&amp;$S82,"YAS_YLD_CONV=3")</f>
        <v>#N/A Requesting Data...</v>
      </c>
      <c r="AC82" s="24" t="e">
        <f t="shared" ca="1" si="12"/>
        <v>#VALUE!</v>
      </c>
      <c r="AD82" s="23">
        <f ca="1">_xll.meLWOBondDV01Numerical($L82,$C$4,$S82%,0.5,"CENTRAL")</f>
        <v>791.76431823384519</v>
      </c>
    </row>
    <row r="83" spans="2:30">
      <c r="B83" s="15" t="s">
        <v>95</v>
      </c>
      <c r="C83" s="15" t="s">
        <v>96</v>
      </c>
      <c r="D83" s="15" t="s">
        <v>96</v>
      </c>
      <c r="E83" s="16">
        <v>42597</v>
      </c>
      <c r="F83" s="19">
        <v>42597</v>
      </c>
      <c r="G83" s="18" t="str">
        <f t="shared" si="9"/>
        <v/>
      </c>
      <c r="H83" s="16">
        <v>42781</v>
      </c>
      <c r="I83" s="16">
        <v>46068</v>
      </c>
      <c r="J83" s="17">
        <v>1.4999999999999999E-2</v>
      </c>
      <c r="K83" s="16">
        <v>46249</v>
      </c>
      <c r="L83" s="20" t="str">
        <f ca="1">_xll.meLWOBondCreateFromGeneratorLVB(C83,$L$4,_xll.meUtilityLVBFromKeysValues($C$6:$K$6,C83:K83))</f>
        <v>US9128282A70:2</v>
      </c>
      <c r="M83" s="92">
        <f ca="1">_xll.BDP($B83,$M$5)</f>
        <v>3.1235070999999999</v>
      </c>
      <c r="N83" s="89">
        <f ca="1">_xll.meLWOBondCleanPrice($L83,$C$4,$M83%)</f>
        <v>88.796875157413794</v>
      </c>
      <c r="O83" s="89">
        <f ca="1">_xll.meLWOBondDirtyPrice($L83,$C$4,$M83%)</f>
        <v>89.049592548718138</v>
      </c>
      <c r="P83" s="88">
        <f ca="1">_xll.meLWOBondYield($L83,$C$4,N83)</f>
        <v>3.1235070999961836E-2</v>
      </c>
      <c r="Q83" s="89">
        <f ca="1">_xll.meLWOBondModifiedDuration($L83,$C$4,$M83%)</f>
        <v>7.2522521973419032</v>
      </c>
      <c r="R83" s="23">
        <f ca="1">_xll.meLWOBondDV01($L83,$C$4,$M83%)</f>
        <v>645.81010323384226</v>
      </c>
      <c r="S83" s="86">
        <f t="shared" ca="1" si="13"/>
        <v>3.1235070999999999</v>
      </c>
      <c r="T83" s="22" t="str">
        <f ca="1">_xll.BDP($B83,T$6, "YAS_BOND_YLD="&amp;$S83,"YAS_YLD_CONV=2")</f>
        <v>#N/A Requesting Data...</v>
      </c>
      <c r="U83" s="23">
        <f ca="1">_xll.meLWOBondCleanPrice($L83,$C$4,$S83%)</f>
        <v>88.796875157413794</v>
      </c>
      <c r="V83" s="24" t="e">
        <f t="shared" ca="1" si="10"/>
        <v>#VALUE!</v>
      </c>
      <c r="W83" s="23">
        <f ca="1">_xll.meLWOBondDV01($L83,$C$4,$S83%)</f>
        <v>645.81010323384226</v>
      </c>
      <c r="X83" s="22" t="e">
        <f ca="1">_xll.BDP($B83,X$6, "YLD_YTM_ASK="&amp;$S83,"YAS_YLD_CONV=3")*$X$3*0.0001</f>
        <v>#VALUE!</v>
      </c>
      <c r="Y83" s="24" t="e">
        <f t="shared" ca="1" si="11"/>
        <v>#VALUE!</v>
      </c>
      <c r="Z83" s="23">
        <f ca="1">_xll.meLWOBondDirtyPrice($L83,$C$4,$S83%)</f>
        <v>89.049592548718138</v>
      </c>
      <c r="AA83" s="23">
        <f ca="1">_xll.meLWOBondModifiedDuration($L83,$C$4,$S83%)</f>
        <v>7.2522521973419032</v>
      </c>
      <c r="AB83" s="22" t="str">
        <f ca="1">_xll.BDP($B83,AB$6,"YLD_YTM_ASK="&amp;$S83,"YAS_YLD_CONV=3")</f>
        <v>#N/A Requesting Data...</v>
      </c>
      <c r="AC83" s="24" t="e">
        <f t="shared" ca="1" si="12"/>
        <v>#VALUE!</v>
      </c>
      <c r="AD83" s="23">
        <f ca="1">_xll.meLWOBondDV01Numerical($L83,$C$4,$S83%,0.5,"CENTRAL")</f>
        <v>645.81012187417753</v>
      </c>
    </row>
    <row r="84" spans="2:30">
      <c r="B84" s="15" t="s">
        <v>37</v>
      </c>
      <c r="C84" s="15" t="s">
        <v>38</v>
      </c>
      <c r="D84" s="15" t="s">
        <v>38</v>
      </c>
      <c r="E84" s="16">
        <v>35384</v>
      </c>
      <c r="F84" s="19">
        <v>35384</v>
      </c>
      <c r="G84" s="18" t="str">
        <f t="shared" si="9"/>
        <v/>
      </c>
      <c r="H84" s="16">
        <v>35565</v>
      </c>
      <c r="I84" s="16">
        <v>46157</v>
      </c>
      <c r="J84" s="17">
        <v>6.5000000000000002E-2</v>
      </c>
      <c r="K84" s="16">
        <v>46341</v>
      </c>
      <c r="L84" s="20" t="str">
        <f ca="1">_xll.meLWOBondCreateFromGeneratorLVB(C84,$L$4,_xll.meUtilityLVBFromKeysValues($C$6:$K$6,C84:K84))</f>
        <v>US912810EY02:2</v>
      </c>
      <c r="M84" s="92">
        <f ca="1">_xll.BDP($B84,$M$5)</f>
        <v>3.0842108000000001</v>
      </c>
      <c r="N84" s="89">
        <f ca="1">_xll.meLWOBondCleanPrice($L84,$C$4,$M84%)</f>
        <v>124.26562516778972</v>
      </c>
      <c r="O84" s="89">
        <f ca="1">_xll.meLWOBondDirtyPrice($L84,$C$4,$M84%)</f>
        <v>126.98573386344189</v>
      </c>
      <c r="P84" s="88">
        <f ca="1">_xll.meLWOBondYield($L84,$C$4,N84)</f>
        <v>3.0842107999999473E-2</v>
      </c>
      <c r="Q84" s="89">
        <f ca="1">_xll.meLWOBondModifiedDuration($L84,$C$4,$M84%)</f>
        <v>6.3723224696769707</v>
      </c>
      <c r="R84" s="23">
        <f ca="1">_xll.meLWOBondDV01($L84,$C$4,$M84%)</f>
        <v>809.1940452264306</v>
      </c>
      <c r="S84" s="86">
        <f t="shared" ca="1" si="13"/>
        <v>3.0842108000000001</v>
      </c>
      <c r="T84" s="22" t="str">
        <f ca="1">_xll.BDP($B84,T$6, "YAS_BOND_YLD="&amp;$S84,"YAS_YLD_CONV=2")</f>
        <v>#N/A Requesting Data...</v>
      </c>
      <c r="U84" s="23">
        <f ca="1">_xll.meLWOBondCleanPrice($L84,$C$4,$S84%)</f>
        <v>124.26562516778972</v>
      </c>
      <c r="V84" s="24" t="e">
        <f t="shared" ca="1" si="10"/>
        <v>#VALUE!</v>
      </c>
      <c r="W84" s="23">
        <f ca="1">_xll.meLWOBondDV01($L84,$C$4,$S84%)</f>
        <v>809.1940452264306</v>
      </c>
      <c r="X84" s="22" t="e">
        <f ca="1">_xll.BDP($B84,X$6, "YLD_YTM_ASK="&amp;$S84,"YAS_YLD_CONV=3")*$X$3*0.0001</f>
        <v>#VALUE!</v>
      </c>
      <c r="Y84" s="24" t="e">
        <f t="shared" ca="1" si="11"/>
        <v>#VALUE!</v>
      </c>
      <c r="Z84" s="23">
        <f ca="1">_xll.meLWOBondDirtyPrice($L84,$C$4,$S84%)</f>
        <v>126.98573386344189</v>
      </c>
      <c r="AA84" s="23">
        <f ca="1">_xll.meLWOBondModifiedDuration($L84,$C$4,$S84%)</f>
        <v>6.3723224696769707</v>
      </c>
      <c r="AB84" s="22" t="str">
        <f ca="1">_xll.BDP($B84,AB$6,"YLD_YTM_ASK="&amp;$S84,"YAS_YLD_CONV=3")</f>
        <v>#N/A Requesting Data...</v>
      </c>
      <c r="AC84" s="24" t="e">
        <f t="shared" ca="1" si="12"/>
        <v>#VALUE!</v>
      </c>
      <c r="AD84" s="23">
        <f ca="1">_xll.meLWOBondDV01Numerical($L84,$C$4,$S84%,0.5,"CENTRAL")</f>
        <v>809.19406799552007</v>
      </c>
    </row>
    <row r="85" spans="2:30">
      <c r="B85" s="15" t="s">
        <v>147</v>
      </c>
      <c r="C85" s="15" t="s">
        <v>148</v>
      </c>
      <c r="D85" s="15" t="s">
        <v>148</v>
      </c>
      <c r="E85" s="16">
        <v>42689</v>
      </c>
      <c r="F85" s="19">
        <v>42689</v>
      </c>
      <c r="G85" s="18" t="str">
        <f t="shared" si="9"/>
        <v/>
      </c>
      <c r="H85" s="16">
        <v>42870</v>
      </c>
      <c r="I85" s="16">
        <v>46157</v>
      </c>
      <c r="J85" s="17">
        <v>0.02</v>
      </c>
      <c r="K85" s="16">
        <v>46341</v>
      </c>
      <c r="L85" s="20" t="str">
        <f ca="1">_xll.meLWOBondCreateFromGeneratorLVB(C85,$L$4,_xll.meUtilityLVBFromKeysValues($C$6:$K$6,C85:K85))</f>
        <v>US912828U246:2</v>
      </c>
      <c r="M85" s="92">
        <f ca="1">_xll.BDP($B85,$M$5)</f>
        <v>3.1324393000000001</v>
      </c>
      <c r="N85" s="89">
        <f ca="1">_xll.meLWOBondCleanPrice($L85,$C$4,$M85%)</f>
        <v>91.968750330907753</v>
      </c>
      <c r="O85" s="89">
        <f ca="1">_xll.meLWOBondDirtyPrice($L85,$C$4,$M85%)</f>
        <v>92.805706852646878</v>
      </c>
      <c r="P85" s="88">
        <f ca="1">_xll.meLWOBondYield($L85,$C$4,N85)</f>
        <v>3.1324393000005564E-2</v>
      </c>
      <c r="Q85" s="89">
        <f ca="1">_xll.meLWOBondModifiedDuration($L85,$C$4,$M85%)</f>
        <v>7.2899148751364056</v>
      </c>
      <c r="R85" s="23">
        <f ca="1">_xll.meLWOBondDV01($L85,$C$4,$M85%)</f>
        <v>676.54570288265916</v>
      </c>
      <c r="S85" s="86">
        <f t="shared" ca="1" si="13"/>
        <v>3.1324393000000001</v>
      </c>
      <c r="T85" s="22" t="str">
        <f ca="1">_xll.BDP($B85,T$6, "YAS_BOND_YLD="&amp;$S85,"YAS_YLD_CONV=2")</f>
        <v>#N/A Requesting Data...</v>
      </c>
      <c r="U85" s="23">
        <f ca="1">_xll.meLWOBondCleanPrice($L85,$C$4,$S85%)</f>
        <v>91.968750330907753</v>
      </c>
      <c r="V85" s="24" t="e">
        <f t="shared" ca="1" si="10"/>
        <v>#VALUE!</v>
      </c>
      <c r="W85" s="23">
        <f ca="1">_xll.meLWOBondDV01($L85,$C$4,$S85%)</f>
        <v>676.54570288265916</v>
      </c>
      <c r="X85" s="22" t="e">
        <f ca="1">_xll.BDP($B85,X$6, "YLD_YTM_ASK="&amp;$S85,"YAS_YLD_CONV=3")*$X$3*0.0001</f>
        <v>#VALUE!</v>
      </c>
      <c r="Y85" s="24" t="e">
        <f t="shared" ca="1" si="11"/>
        <v>#VALUE!</v>
      </c>
      <c r="Z85" s="23">
        <f ca="1">_xll.meLWOBondDirtyPrice($L85,$C$4,$S85%)</f>
        <v>92.805706852646878</v>
      </c>
      <c r="AA85" s="23">
        <f ca="1">_xll.meLWOBondModifiedDuration($L85,$C$4,$S85%)</f>
        <v>7.2899148751364056</v>
      </c>
      <c r="AB85" s="22" t="str">
        <f ca="1">_xll.BDP($B85,AB$6,"YLD_YTM_ASK="&amp;$S85,"YAS_YLD_CONV=3")</f>
        <v>#N/A Requesting Data...</v>
      </c>
      <c r="AC85" s="24" t="e">
        <f t="shared" ca="1" si="12"/>
        <v>#VALUE!</v>
      </c>
      <c r="AD85" s="23">
        <f ca="1">_xll.meLWOBondDV01Numerical($L85,$C$4,$S85%,0.5,"CENTRAL")</f>
        <v>676.54572334717511</v>
      </c>
    </row>
    <row r="86" spans="2:30">
      <c r="B86" s="15" t="s">
        <v>35</v>
      </c>
      <c r="C86" s="15" t="s">
        <v>36</v>
      </c>
      <c r="D86" s="15" t="s">
        <v>36</v>
      </c>
      <c r="E86" s="16">
        <v>35479</v>
      </c>
      <c r="F86" s="19">
        <v>35476</v>
      </c>
      <c r="G86" s="18" t="str">
        <f t="shared" si="9"/>
        <v/>
      </c>
      <c r="H86" s="16">
        <v>35657</v>
      </c>
      <c r="I86" s="16">
        <v>46249</v>
      </c>
      <c r="J86" s="17">
        <v>6.6250000000000003E-2</v>
      </c>
      <c r="K86" s="16">
        <v>46433</v>
      </c>
      <c r="L86" s="20" t="str">
        <f ca="1">_xll.meLWOBondCreateFromGeneratorLVB(C86,$L$4,_xll.meUtilityLVBFromKeysValues($C$6:$K$6,C86:K86))</f>
        <v>US912810EZ76:2</v>
      </c>
      <c r="M86" s="92">
        <f ca="1">_xll.BDP($B86,$M$5)</f>
        <v>3.0831444000000001</v>
      </c>
      <c r="N86" s="89">
        <f ca="1">_xll.meLWOBondCleanPrice($L86,$C$4,$M86%)</f>
        <v>125.8437503425685</v>
      </c>
      <c r="O86" s="89">
        <f ca="1">_xll.meLWOBondDirtyPrice($L86,$C$4,$M86%)</f>
        <v>126.95991882082937</v>
      </c>
      <c r="P86" s="88">
        <f ca="1">_xll.meLWOBondYield($L86,$C$4,N86)</f>
        <v>3.0831444000000367E-2</v>
      </c>
      <c r="Q86" s="89">
        <f ca="1">_xll.meLWOBondModifiedDuration($L86,$C$4,$M86%)</f>
        <v>6.6000047014585679</v>
      </c>
      <c r="R86" s="23">
        <f ca="1">_xll.meLWOBondDV01($L86,$C$4,$M86%)</f>
        <v>837.93606111427198</v>
      </c>
      <c r="S86" s="86">
        <f t="shared" ca="1" si="13"/>
        <v>3.0831444000000001</v>
      </c>
      <c r="T86" s="22" t="str">
        <f ca="1">_xll.BDP($B86,T$6, "YAS_BOND_YLD="&amp;$S86,"YAS_YLD_CONV=2")</f>
        <v>#N/A Requesting Data...</v>
      </c>
      <c r="U86" s="23">
        <f ca="1">_xll.meLWOBondCleanPrice($L86,$C$4,$S86%)</f>
        <v>125.8437503425685</v>
      </c>
      <c r="V86" s="24" t="e">
        <f t="shared" ca="1" si="10"/>
        <v>#VALUE!</v>
      </c>
      <c r="W86" s="23">
        <f ca="1">_xll.meLWOBondDV01($L86,$C$4,$S86%)</f>
        <v>837.93606111427198</v>
      </c>
      <c r="X86" s="22" t="e">
        <f ca="1">_xll.BDP($B86,X$6, "YLD_YTM_ASK="&amp;$S86,"YAS_YLD_CONV=3")*$X$3*0.0001</f>
        <v>#VALUE!</v>
      </c>
      <c r="Y86" s="24" t="e">
        <f t="shared" ca="1" si="11"/>
        <v>#VALUE!</v>
      </c>
      <c r="Z86" s="23">
        <f ca="1">_xll.meLWOBondDirtyPrice($L86,$C$4,$S86%)</f>
        <v>126.95991882082937</v>
      </c>
      <c r="AA86" s="23">
        <f ca="1">_xll.meLWOBondModifiedDuration($L86,$C$4,$S86%)</f>
        <v>6.6000047014585679</v>
      </c>
      <c r="AB86" s="22" t="str">
        <f ca="1">_xll.BDP($B86,AB$6,"YLD_YTM_ASK="&amp;$S86,"YAS_YLD_CONV=3")</f>
        <v>#N/A Requesting Data...</v>
      </c>
      <c r="AC86" s="24" t="e">
        <f t="shared" ca="1" si="12"/>
        <v>#VALUE!</v>
      </c>
      <c r="AD86" s="23">
        <f ca="1">_xll.meLWOBondDV01Numerical($L86,$C$4,$S86%,0.5,"CENTRAL")</f>
        <v>837.93608591037139</v>
      </c>
    </row>
    <row r="87" spans="2:30">
      <c r="B87" s="15" t="s">
        <v>207</v>
      </c>
      <c r="C87" s="15" t="s">
        <v>208</v>
      </c>
      <c r="D87" s="15" t="s">
        <v>208</v>
      </c>
      <c r="E87" s="16">
        <v>42781</v>
      </c>
      <c r="F87" s="19">
        <v>42781</v>
      </c>
      <c r="G87" s="18" t="str">
        <f t="shared" si="9"/>
        <v/>
      </c>
      <c r="H87" s="16">
        <v>42962</v>
      </c>
      <c r="I87" s="16">
        <v>46249</v>
      </c>
      <c r="J87" s="17">
        <v>2.2499999999999999E-2</v>
      </c>
      <c r="K87" s="16">
        <v>46433</v>
      </c>
      <c r="L87" s="20" t="str">
        <f ca="1">_xll.meLWOBondCreateFromGeneratorLVB(C87,$L$4,_xll.meUtilityLVBFromKeysValues($C$6:$K$6,C87:K87))</f>
        <v>US912828V988:2</v>
      </c>
      <c r="M87" s="92">
        <f ca="1">_xll.BDP($B87,$M$5)</f>
        <v>3.1358795000000002</v>
      </c>
      <c r="N87" s="89">
        <f ca="1">_xll.meLWOBondCleanPrice($L87,$C$4,$M87%)</f>
        <v>93.546874817522777</v>
      </c>
      <c r="O87" s="89">
        <f ca="1">_xll.meLWOBondDirtyPrice($L87,$C$4,$M87%)</f>
        <v>93.925950904479294</v>
      </c>
      <c r="P87" s="88">
        <f ca="1">_xll.meLWOBondYield($L87,$C$4,N87)</f>
        <v>3.1358795000010549E-2</v>
      </c>
      <c r="Q87" s="89">
        <f ca="1">_xll.meLWOBondModifiedDuration($L87,$C$4,$M87%)</f>
        <v>7.4673160380731112</v>
      </c>
      <c r="R87" s="23">
        <f ca="1">_xll.meLWOBondDV01($L87,$C$4,$M87%)</f>
        <v>701.37475958028585</v>
      </c>
      <c r="S87" s="86">
        <f t="shared" ca="1" si="13"/>
        <v>3.1358795000000002</v>
      </c>
      <c r="T87" s="22" t="str">
        <f ca="1">_xll.BDP($B87,T$6, "YAS_BOND_YLD="&amp;$S87,"YAS_YLD_CONV=2")</f>
        <v>#N/A Requesting Data...</v>
      </c>
      <c r="U87" s="23">
        <f ca="1">_xll.meLWOBondCleanPrice($L87,$C$4,$S87%)</f>
        <v>93.546874817522777</v>
      </c>
      <c r="V87" s="24" t="e">
        <f t="shared" ca="1" si="10"/>
        <v>#VALUE!</v>
      </c>
      <c r="W87" s="23">
        <f ca="1">_xll.meLWOBondDV01($L87,$C$4,$S87%)</f>
        <v>701.37475958028585</v>
      </c>
      <c r="X87" s="22" t="e">
        <f ca="1">_xll.BDP($B87,X$6, "YLD_YTM_ASK="&amp;$S87,"YAS_YLD_CONV=3")*$X$3*0.0001</f>
        <v>#VALUE!</v>
      </c>
      <c r="Y87" s="24" t="e">
        <f t="shared" ca="1" si="11"/>
        <v>#VALUE!</v>
      </c>
      <c r="Z87" s="23">
        <f ca="1">_xll.meLWOBondDirtyPrice($L87,$C$4,$S87%)</f>
        <v>93.925950904479294</v>
      </c>
      <c r="AA87" s="23">
        <f ca="1">_xll.meLWOBondModifiedDuration($L87,$C$4,$S87%)</f>
        <v>7.4673160380731112</v>
      </c>
      <c r="AB87" s="22" t="str">
        <f ca="1">_xll.BDP($B87,AB$6,"YLD_YTM_ASK="&amp;$S87,"YAS_YLD_CONV=3")</f>
        <v>#N/A Requesting Data...</v>
      </c>
      <c r="AC87" s="24" t="e">
        <f t="shared" ca="1" si="12"/>
        <v>#VALUE!</v>
      </c>
      <c r="AD87" s="23">
        <f ca="1">_xll.meLWOBondDV01Numerical($L87,$C$4,$S87%,0.5,"CENTRAL")</f>
        <v>701.37478187248803</v>
      </c>
    </row>
    <row r="88" spans="2:30">
      <c r="B88" s="15" t="s">
        <v>41</v>
      </c>
      <c r="C88" s="15" t="s">
        <v>42</v>
      </c>
      <c r="D88" s="15" t="s">
        <v>42</v>
      </c>
      <c r="E88" s="16">
        <v>35657</v>
      </c>
      <c r="F88" s="19">
        <v>35657</v>
      </c>
      <c r="G88" s="18" t="str">
        <f t="shared" si="9"/>
        <v/>
      </c>
      <c r="H88" s="16">
        <v>35841</v>
      </c>
      <c r="I88" s="16">
        <v>46433</v>
      </c>
      <c r="J88" s="17">
        <v>6.3750000000000001E-2</v>
      </c>
      <c r="K88" s="16">
        <v>46614</v>
      </c>
      <c r="L88" s="20" t="str">
        <f ca="1">_xll.meLWOBondCreateFromGeneratorLVB(C88,$L$4,_xll.meUtilityLVBFromKeysValues($C$6:$K$6,C88:K88))</f>
        <v>US912810FA17:2</v>
      </c>
      <c r="M88" s="92">
        <f ca="1">_xll.BDP($B88,$M$5)</f>
        <v>3.1145257000000002</v>
      </c>
      <c r="N88" s="89">
        <f ca="1">_xll.meLWOBondCleanPrice($L88,$C$4,$M88%)</f>
        <v>124.99999994016119</v>
      </c>
      <c r="O88" s="89">
        <f ca="1">_xll.meLWOBondDirtyPrice($L88,$C$4,$M88%)</f>
        <v>126.07404885320467</v>
      </c>
      <c r="P88" s="88">
        <f ca="1">_xll.meLWOBondYield($L88,$C$4,N88)</f>
        <v>3.1145257000000176E-2</v>
      </c>
      <c r="Q88" s="89">
        <f ca="1">_xll.meLWOBondModifiedDuration($L88,$C$4,$M88%)</f>
        <v>6.9567050847015715</v>
      </c>
      <c r="R88" s="23">
        <f ca="1">_xll.meLWOBondDV01($L88,$C$4,$M88%)</f>
        <v>877.05997670600323</v>
      </c>
      <c r="S88" s="86">
        <f t="shared" ca="1" si="13"/>
        <v>3.1145257000000002</v>
      </c>
      <c r="T88" s="22" t="str">
        <f ca="1">_xll.BDP($B88,T$6, "YAS_BOND_YLD="&amp;$S88,"YAS_YLD_CONV=2")</f>
        <v>#N/A Requesting Data...</v>
      </c>
      <c r="U88" s="23">
        <f ca="1">_xll.meLWOBondCleanPrice($L88,$C$4,$S88%)</f>
        <v>124.99999994016119</v>
      </c>
      <c r="V88" s="24" t="e">
        <f t="shared" ca="1" si="10"/>
        <v>#VALUE!</v>
      </c>
      <c r="W88" s="23">
        <f ca="1">_xll.meLWOBondDV01($L88,$C$4,$S88%)</f>
        <v>877.05997670600323</v>
      </c>
      <c r="X88" s="22" t="e">
        <f ca="1">_xll.BDP($B88,X$6, "YLD_YTM_ASK="&amp;$S88,"YAS_YLD_CONV=3")*$X$3*0.0001</f>
        <v>#VALUE!</v>
      </c>
      <c r="Y88" s="24" t="e">
        <f t="shared" ca="1" si="11"/>
        <v>#VALUE!</v>
      </c>
      <c r="Z88" s="23">
        <f ca="1">_xll.meLWOBondDirtyPrice($L88,$C$4,$S88%)</f>
        <v>126.07404885320467</v>
      </c>
      <c r="AA88" s="23">
        <f ca="1">_xll.meLWOBondModifiedDuration($L88,$C$4,$S88%)</f>
        <v>6.9567050847015715</v>
      </c>
      <c r="AB88" s="22" t="str">
        <f ca="1">_xll.BDP($B88,AB$6,"YLD_YTM_ASK="&amp;$S88,"YAS_YLD_CONV=3")</f>
        <v>#N/A Requesting Data...</v>
      </c>
      <c r="AC88" s="24" t="e">
        <f t="shared" ca="1" si="12"/>
        <v>#VALUE!</v>
      </c>
      <c r="AD88" s="23">
        <f ca="1">_xll.meLWOBondDV01Numerical($L88,$C$4,$S88%,0.5,"CENTRAL")</f>
        <v>877.06000549331986</v>
      </c>
    </row>
    <row r="89" spans="2:30">
      <c r="B89" s="15" t="s">
        <v>55</v>
      </c>
      <c r="C89" s="15" t="s">
        <v>56</v>
      </c>
      <c r="D89" s="15" t="s">
        <v>56</v>
      </c>
      <c r="E89" s="16">
        <v>35751</v>
      </c>
      <c r="F89" s="19">
        <v>35749</v>
      </c>
      <c r="G89" s="18" t="str">
        <f t="shared" si="9"/>
        <v/>
      </c>
      <c r="H89" s="16">
        <v>35930</v>
      </c>
      <c r="I89" s="16">
        <v>46522</v>
      </c>
      <c r="J89" s="17">
        <v>6.1249999999999999E-2</v>
      </c>
      <c r="K89" s="16">
        <v>46706</v>
      </c>
      <c r="L89" s="20" t="str">
        <f ca="1">_xll.meLWOBondCreateFromGeneratorLVB(C89,$L$4,_xll.meUtilityLVBFromKeysValues($C$6:$K$6,C89:K89))</f>
        <v>US912810FB99:2</v>
      </c>
      <c r="M89" s="92">
        <f ca="1">_xll.BDP($B89,$M$5)</f>
        <v>3.1262189999999999</v>
      </c>
      <c r="N89" s="89">
        <f ca="1">_xll.meLWOBondCleanPrice($L89,$C$4,$M89%)</f>
        <v>123.54687483388477</v>
      </c>
      <c r="O89" s="89">
        <f ca="1">_xll.meLWOBondDirtyPrice($L89,$C$4,$M89%)</f>
        <v>126.11005418171086</v>
      </c>
      <c r="P89" s="88">
        <f ca="1">_xll.meLWOBondYield($L89,$C$4,N89)</f>
        <v>3.1262189999999891E-2</v>
      </c>
      <c r="Q89" s="89">
        <f ca="1">_xll.meLWOBondModifiedDuration($L89,$C$4,$M89%)</f>
        <v>7.0699431888008375</v>
      </c>
      <c r="R89" s="23">
        <f ca="1">_xll.meLWOBondDV01($L89,$C$4,$M89%)</f>
        <v>891.59091860129126</v>
      </c>
      <c r="S89" s="86">
        <f t="shared" ca="1" si="13"/>
        <v>3.1262189999999999</v>
      </c>
      <c r="T89" s="22" t="str">
        <f ca="1">_xll.BDP($B89,T$6, "YAS_BOND_YLD="&amp;$S89,"YAS_YLD_CONV=2")</f>
        <v>#N/A Requesting Data...</v>
      </c>
      <c r="U89" s="23">
        <f ca="1">_xll.meLWOBondCleanPrice($L89,$C$4,$S89%)</f>
        <v>123.54687483388477</v>
      </c>
      <c r="V89" s="24" t="e">
        <f t="shared" ca="1" si="10"/>
        <v>#VALUE!</v>
      </c>
      <c r="W89" s="23">
        <f ca="1">_xll.meLWOBondDV01($L89,$C$4,$S89%)</f>
        <v>891.59091860129126</v>
      </c>
      <c r="X89" s="22" t="e">
        <f ca="1">_xll.BDP($B89,X$6, "YLD_YTM_ASK="&amp;$S89,"YAS_YLD_CONV=3")*$X$3*0.0001</f>
        <v>#VALUE!</v>
      </c>
      <c r="Y89" s="24" t="e">
        <f t="shared" ca="1" si="11"/>
        <v>#VALUE!</v>
      </c>
      <c r="Z89" s="23">
        <f ca="1">_xll.meLWOBondDirtyPrice($L89,$C$4,$S89%)</f>
        <v>126.11005418171086</v>
      </c>
      <c r="AA89" s="23">
        <f ca="1">_xll.meLWOBondModifiedDuration($L89,$C$4,$S89%)</f>
        <v>7.0699431888008375</v>
      </c>
      <c r="AB89" s="22" t="str">
        <f ca="1">_xll.BDP($B89,AB$6,"YLD_YTM_ASK="&amp;$S89,"YAS_YLD_CONV=3")</f>
        <v>#N/A Requesting Data...</v>
      </c>
      <c r="AC89" s="24" t="e">
        <f t="shared" ca="1" si="12"/>
        <v>#VALUE!</v>
      </c>
      <c r="AD89" s="23">
        <f ca="1">_xll.meLWOBondDV01Numerical($L89,$C$4,$S89%,0.5,"CENTRAL")</f>
        <v>891.59094942743877</v>
      </c>
    </row>
    <row r="90" spans="2:30">
      <c r="B90" s="15" t="s">
        <v>61</v>
      </c>
      <c r="C90" s="15" t="s">
        <v>62</v>
      </c>
      <c r="D90" s="15" t="s">
        <v>62</v>
      </c>
      <c r="E90" s="16">
        <v>36024</v>
      </c>
      <c r="F90" s="19">
        <v>36022</v>
      </c>
      <c r="G90" s="18" t="str">
        <f t="shared" si="9"/>
        <v/>
      </c>
      <c r="H90" s="16">
        <v>36206</v>
      </c>
      <c r="I90" s="16">
        <v>46798</v>
      </c>
      <c r="J90" s="17">
        <v>5.5E-2</v>
      </c>
      <c r="K90" s="16">
        <v>46980</v>
      </c>
      <c r="L90" s="20" t="str">
        <f ca="1">_xll.meLWOBondCreateFromGeneratorLVB(C90,$L$4,_xll.meUtilityLVBFromKeysValues($C$6:$K$6,C90:K90))</f>
        <v>US912810FE39:2</v>
      </c>
      <c r="M90" s="92">
        <f ca="1">_xll.BDP($B90,$M$5)</f>
        <v>3.1447197</v>
      </c>
      <c r="N90" s="89">
        <f ca="1">_xll.meLWOBondCleanPrice($L90,$C$4,$M90%)</f>
        <v>119.78125032782431</v>
      </c>
      <c r="O90" s="89">
        <f ca="1">_xll.meLWOBondDirtyPrice($L90,$C$4,$M90%)</f>
        <v>120.70788076260692</v>
      </c>
      <c r="P90" s="88">
        <f ca="1">_xll.meLWOBondYield($L90,$C$4,N90)</f>
        <v>3.1447197000000281E-2</v>
      </c>
      <c r="Q90" s="89">
        <f ca="1">_xll.meLWOBondModifiedDuration($L90,$C$4,$M90%)</f>
        <v>7.7540472459079091</v>
      </c>
      <c r="R90" s="23">
        <f ca="1">_xll.meLWOBondDV01($L90,$C$4,$M90%)</f>
        <v>935.97461038667245</v>
      </c>
      <c r="S90" s="86">
        <f t="shared" ca="1" si="13"/>
        <v>3.1447197</v>
      </c>
      <c r="T90" s="22" t="str">
        <f ca="1">_xll.BDP($B90,T$6, "YAS_BOND_YLD="&amp;$S90,"YAS_YLD_CONV=2")</f>
        <v>#N/A Requesting Data...</v>
      </c>
      <c r="U90" s="23">
        <f ca="1">_xll.meLWOBondCleanPrice($L90,$C$4,$S90%)</f>
        <v>119.78125032782431</v>
      </c>
      <c r="V90" s="24" t="e">
        <f t="shared" ca="1" si="10"/>
        <v>#VALUE!</v>
      </c>
      <c r="W90" s="23">
        <f ca="1">_xll.meLWOBondDV01($L90,$C$4,$S90%)</f>
        <v>935.97461038667245</v>
      </c>
      <c r="X90" s="22" t="e">
        <f ca="1">_xll.BDP($B90,X$6, "YLD_YTM_ASK="&amp;$S90,"YAS_YLD_CONV=3")*$X$3*0.0001</f>
        <v>#VALUE!</v>
      </c>
      <c r="Y90" s="24" t="e">
        <f t="shared" ca="1" si="11"/>
        <v>#VALUE!</v>
      </c>
      <c r="Z90" s="23">
        <f ca="1">_xll.meLWOBondDirtyPrice($L90,$C$4,$S90%)</f>
        <v>120.70788076260692</v>
      </c>
      <c r="AA90" s="23">
        <f ca="1">_xll.meLWOBondModifiedDuration($L90,$C$4,$S90%)</f>
        <v>7.7540472459079091</v>
      </c>
      <c r="AB90" s="22" t="str">
        <f ca="1">_xll.BDP($B90,AB$6,"YLD_YTM_ASK="&amp;$S90,"YAS_YLD_CONV=3")</f>
        <v>#N/A Requesting Data...</v>
      </c>
      <c r="AC90" s="24" t="e">
        <f t="shared" ca="1" si="12"/>
        <v>#VALUE!</v>
      </c>
      <c r="AD90" s="23">
        <f ca="1">_xll.meLWOBondDV01Numerical($L90,$C$4,$S90%,0.5,"CENTRAL")</f>
        <v>935.9746479016452</v>
      </c>
    </row>
    <row r="91" spans="2:30">
      <c r="B91" s="15" t="s">
        <v>65</v>
      </c>
      <c r="C91" s="15" t="s">
        <v>66</v>
      </c>
      <c r="D91" s="15" t="s">
        <v>66</v>
      </c>
      <c r="E91" s="16">
        <v>36115</v>
      </c>
      <c r="F91" s="19">
        <v>36114</v>
      </c>
      <c r="G91" s="18" t="str">
        <f t="shared" si="9"/>
        <v/>
      </c>
      <c r="H91" s="16">
        <v>36295</v>
      </c>
      <c r="I91" s="16">
        <v>46888</v>
      </c>
      <c r="J91" s="17">
        <v>5.2499999999999998E-2</v>
      </c>
      <c r="K91" s="16">
        <v>47072</v>
      </c>
      <c r="L91" s="20" t="str">
        <f ca="1">_xll.meLWOBondCreateFromGeneratorLVB(C91,$L$4,_xll.meUtilityLVBFromKeysValues($C$6:$K$6,C91:K91))</f>
        <v>US912810FF04:2</v>
      </c>
      <c r="M91" s="92">
        <f ca="1">_xll.BDP($B91,$M$5)</f>
        <v>3.1500181999999999</v>
      </c>
      <c r="N91" s="89">
        <f ca="1">_xll.meLWOBondCleanPrice($L91,$C$4,$M91%)</f>
        <v>118.01562525021104</v>
      </c>
      <c r="O91" s="89">
        <f ca="1">_xll.meLWOBondDirtyPrice($L91,$C$4,$M91%)</f>
        <v>120.21263611977626</v>
      </c>
      <c r="P91" s="88">
        <f ca="1">_xll.meLWOBondYield($L91,$C$4,N91)</f>
        <v>3.1500182000000029E-2</v>
      </c>
      <c r="Q91" s="89">
        <f ca="1">_xll.meLWOBondModifiedDuration($L91,$C$4,$M91%)</f>
        <v>7.8801431254041994</v>
      </c>
      <c r="R91" s="23">
        <f ca="1">_xll.meLWOBondDV01($L91,$C$4,$M91%)</f>
        <v>947.29277810597148</v>
      </c>
      <c r="S91" s="86">
        <f t="shared" ca="1" si="13"/>
        <v>3.1500181999999999</v>
      </c>
      <c r="T91" s="22" t="str">
        <f ca="1">_xll.BDP($B91,T$6, "YAS_BOND_YLD="&amp;$S91,"YAS_YLD_CONV=2")</f>
        <v>#N/A Requesting Data...</v>
      </c>
      <c r="U91" s="23">
        <f ca="1">_xll.meLWOBondCleanPrice($L91,$C$4,$S91%)</f>
        <v>118.01562525021104</v>
      </c>
      <c r="V91" s="24" t="e">
        <f t="shared" ca="1" si="10"/>
        <v>#VALUE!</v>
      </c>
      <c r="W91" s="23">
        <f ca="1">_xll.meLWOBondDV01($L91,$C$4,$S91%)</f>
        <v>947.29277810597148</v>
      </c>
      <c r="X91" s="22" t="e">
        <f ca="1">_xll.BDP($B91,X$6, "YLD_YTM_ASK="&amp;$S91,"YAS_YLD_CONV=3")*$X$3*0.0001</f>
        <v>#VALUE!</v>
      </c>
      <c r="Y91" s="24" t="e">
        <f t="shared" ca="1" si="11"/>
        <v>#VALUE!</v>
      </c>
      <c r="Z91" s="23">
        <f ca="1">_xll.meLWOBondDirtyPrice($L91,$C$4,$S91%)</f>
        <v>120.21263611977626</v>
      </c>
      <c r="AA91" s="23">
        <f ca="1">_xll.meLWOBondModifiedDuration($L91,$C$4,$S91%)</f>
        <v>7.8801431254041994</v>
      </c>
      <c r="AB91" s="22" t="str">
        <f ca="1">_xll.BDP($B91,AB$6,"YLD_YTM_ASK="&amp;$S91,"YAS_YLD_CONV=3")</f>
        <v>#N/A Requesting Data...</v>
      </c>
      <c r="AC91" s="24" t="e">
        <f t="shared" ca="1" si="12"/>
        <v>#VALUE!</v>
      </c>
      <c r="AD91" s="23">
        <f ca="1">_xll.meLWOBondDV01Numerical($L91,$C$4,$S91%,0.5,"CENTRAL")</f>
        <v>947.29281794883502</v>
      </c>
    </row>
    <row r="92" spans="2:30">
      <c r="B92" s="15" t="s">
        <v>63</v>
      </c>
      <c r="C92" s="15" t="s">
        <v>64</v>
      </c>
      <c r="D92" s="15" t="s">
        <v>64</v>
      </c>
      <c r="E92" s="16">
        <v>36207</v>
      </c>
      <c r="F92" s="19">
        <v>36206</v>
      </c>
      <c r="G92" s="18" t="str">
        <f t="shared" si="9"/>
        <v/>
      </c>
      <c r="H92" s="16">
        <v>36387</v>
      </c>
      <c r="I92" s="16">
        <v>46980</v>
      </c>
      <c r="J92" s="17">
        <v>5.2499999999999998E-2</v>
      </c>
      <c r="K92" s="16">
        <v>47164</v>
      </c>
      <c r="L92" s="20" t="str">
        <f ca="1">_xll.meLWOBondCreateFromGeneratorLVB(C92,$L$4,_xll.meUtilityLVBFromKeysValues($C$6:$K$6,C92:K92))</f>
        <v>US912810FG86:2</v>
      </c>
      <c r="M92" s="92">
        <f ca="1">_xll.BDP($B92,$M$5)</f>
        <v>3.1453749000000002</v>
      </c>
      <c r="N92" s="89">
        <f ca="1">_xll.meLWOBondCleanPrice($L92,$C$4,$M92%)</f>
        <v>118.43749992082883</v>
      </c>
      <c r="O92" s="89">
        <f ca="1">_xll.meLWOBondDirtyPrice($L92,$C$4,$M92%)</f>
        <v>119.32201079039405</v>
      </c>
      <c r="P92" s="88">
        <f ca="1">_xll.meLWOBondYield($L92,$C$4,N92)</f>
        <v>3.1453748999999885E-2</v>
      </c>
      <c r="Q92" s="89">
        <f ca="1">_xll.meLWOBondModifiedDuration($L92,$C$4,$M92%)</f>
        <v>8.1269135894646247</v>
      </c>
      <c r="R92" s="23">
        <f ca="1">_xll.meLWOBondDV01($L92,$C$4,$M92%)</f>
        <v>969.71967101469795</v>
      </c>
      <c r="S92" s="86">
        <f t="shared" ca="1" si="13"/>
        <v>3.1453749000000002</v>
      </c>
      <c r="T92" s="22" t="str">
        <f ca="1">_xll.BDP($B92,T$6, "YAS_BOND_YLD="&amp;$S92,"YAS_YLD_CONV=2")</f>
        <v>#N/A Requesting Data...</v>
      </c>
      <c r="U92" s="23">
        <f ca="1">_xll.meLWOBondCleanPrice($L92,$C$4,$S92%)</f>
        <v>118.43749992082883</v>
      </c>
      <c r="V92" s="24" t="e">
        <f t="shared" ca="1" si="10"/>
        <v>#VALUE!</v>
      </c>
      <c r="W92" s="23">
        <f ca="1">_xll.meLWOBondDV01($L92,$C$4,$S92%)</f>
        <v>969.71967101469795</v>
      </c>
      <c r="X92" s="22" t="e">
        <f ca="1">_xll.BDP($B92,X$6, "YLD_YTM_ASK="&amp;$S92,"YAS_YLD_CONV=3")*$X$3*0.0001</f>
        <v>#VALUE!</v>
      </c>
      <c r="Y92" s="24" t="e">
        <f t="shared" ca="1" si="11"/>
        <v>#VALUE!</v>
      </c>
      <c r="Z92" s="23">
        <f ca="1">_xll.meLWOBondDirtyPrice($L92,$C$4,$S92%)</f>
        <v>119.32201079039405</v>
      </c>
      <c r="AA92" s="23">
        <f ca="1">_xll.meLWOBondModifiedDuration($L92,$C$4,$S92%)</f>
        <v>8.1269135894646247</v>
      </c>
      <c r="AB92" s="22" t="str">
        <f ca="1">_xll.BDP($B92,AB$6,"YLD_YTM_ASK="&amp;$S92,"YAS_YLD_CONV=3")</f>
        <v>#N/A Requesting Data...</v>
      </c>
      <c r="AC92" s="24" t="e">
        <f t="shared" ca="1" si="12"/>
        <v>#VALUE!</v>
      </c>
      <c r="AD92" s="23">
        <f ca="1">_xll.meLWOBondDV01Numerical($L92,$C$4,$S92%,0.5,"CENTRAL")</f>
        <v>969.71971357987752</v>
      </c>
    </row>
    <row r="93" spans="2:30">
      <c r="B93" s="15" t="s">
        <v>57</v>
      </c>
      <c r="C93" s="15" t="s">
        <v>58</v>
      </c>
      <c r="D93" s="15" t="s">
        <v>58</v>
      </c>
      <c r="E93" s="16">
        <v>36388</v>
      </c>
      <c r="F93" s="19">
        <v>36387</v>
      </c>
      <c r="G93" s="18" t="str">
        <f t="shared" si="9"/>
        <v/>
      </c>
      <c r="H93" s="16">
        <v>36571</v>
      </c>
      <c r="I93" s="16">
        <v>47164</v>
      </c>
      <c r="J93" s="17">
        <v>6.1249999999999999E-2</v>
      </c>
      <c r="K93" s="16">
        <v>47345</v>
      </c>
      <c r="L93" s="20" t="str">
        <f ca="1">_xll.meLWOBondCreateFromGeneratorLVB(C93,$L$4,_xll.meUtilityLVBFromKeysValues($C$6:$K$6,C93:K93))</f>
        <v>US912810FJ26:2</v>
      </c>
      <c r="M93" s="92">
        <f ca="1">_xll.BDP($B93,$M$5)</f>
        <v>3.1537541</v>
      </c>
      <c r="N93" s="89">
        <f ca="1">_xll.meLWOBondCleanPrice($L93,$C$4,$M93%)</f>
        <v>127.078124761449</v>
      </c>
      <c r="O93" s="89">
        <f ca="1">_xll.meLWOBondDirtyPrice($L93,$C$4,$M93%)</f>
        <v>128.1100541092751</v>
      </c>
      <c r="P93" s="88">
        <f ca="1">_xll.meLWOBondYield($L93,$C$4,N93)</f>
        <v>3.1537540999999815E-2</v>
      </c>
      <c r="Q93" s="89">
        <f ca="1">_xll.meLWOBondModifiedDuration($L93,$C$4,$M93%)</f>
        <v>8.2322143404161015</v>
      </c>
      <c r="R93" s="23">
        <f ca="1">_xll.meLWOBondDV01($L93,$C$4,$M93%)</f>
        <v>1054.6294245898571</v>
      </c>
      <c r="S93" s="86">
        <f t="shared" ca="1" si="13"/>
        <v>3.1537541</v>
      </c>
      <c r="T93" s="22" t="str">
        <f ca="1">_xll.BDP($B93,T$6, "YAS_BOND_YLD="&amp;$S93,"YAS_YLD_CONV=2")</f>
        <v>#N/A Requesting Data...</v>
      </c>
      <c r="U93" s="23">
        <f ca="1">_xll.meLWOBondCleanPrice($L93,$C$4,$S93%)</f>
        <v>127.078124761449</v>
      </c>
      <c r="V93" s="24" t="e">
        <f t="shared" ca="1" si="10"/>
        <v>#VALUE!</v>
      </c>
      <c r="W93" s="23">
        <f ca="1">_xll.meLWOBondDV01($L93,$C$4,$S93%)</f>
        <v>1054.6294245898571</v>
      </c>
      <c r="X93" s="22" t="e">
        <f ca="1">_xll.BDP($B93,X$6, "YLD_YTM_ASK="&amp;$S93,"YAS_YLD_CONV=3")*$X$3*0.0001</f>
        <v>#VALUE!</v>
      </c>
      <c r="Y93" s="24" t="e">
        <f t="shared" ca="1" si="11"/>
        <v>#VALUE!</v>
      </c>
      <c r="Z93" s="23">
        <f ca="1">_xll.meLWOBondDirtyPrice($L93,$C$4,$S93%)</f>
        <v>128.1100541092751</v>
      </c>
      <c r="AA93" s="23">
        <f ca="1">_xll.meLWOBondModifiedDuration($L93,$C$4,$S93%)</f>
        <v>8.2322143404161015</v>
      </c>
      <c r="AB93" s="22" t="str">
        <f ca="1">_xll.BDP($B93,AB$6,"YLD_YTM_ASK="&amp;$S93,"YAS_YLD_CONV=3")</f>
        <v>#N/A Requesting Data...</v>
      </c>
      <c r="AC93" s="24" t="e">
        <f t="shared" ca="1" si="12"/>
        <v>#VALUE!</v>
      </c>
      <c r="AD93" s="23">
        <f ca="1">_xll.meLWOBondDV01Numerical($L93,$C$4,$S93%,0.5,"CENTRAL")</f>
        <v>1054.6294740248641</v>
      </c>
    </row>
    <row r="94" spans="2:30">
      <c r="B94" s="15" t="s">
        <v>59</v>
      </c>
      <c r="C94" s="15" t="s">
        <v>60</v>
      </c>
      <c r="D94" s="15" t="s">
        <v>60</v>
      </c>
      <c r="E94" s="16">
        <v>36571</v>
      </c>
      <c r="F94" s="19">
        <v>36479</v>
      </c>
      <c r="G94" s="18" t="str">
        <f t="shared" si="9"/>
        <v/>
      </c>
      <c r="H94" s="16">
        <v>36661</v>
      </c>
      <c r="I94" s="16">
        <v>47437</v>
      </c>
      <c r="J94" s="17">
        <v>6.25E-2</v>
      </c>
      <c r="K94" s="16">
        <v>47618</v>
      </c>
      <c r="L94" s="20" t="str">
        <f ca="1">_xll.meLWOBondCreateFromGeneratorLVB(C94,$L$4,_xll.meUtilityLVBFromKeysValues($C$6:$K$6,C94:K94))</f>
        <v>US912810FM54:2</v>
      </c>
      <c r="M94" s="92">
        <f ca="1">_xll.BDP($B94,$M$5)</f>
        <v>3.1577552</v>
      </c>
      <c r="N94" s="89">
        <f ca="1">_xll.meLWOBondCleanPrice($L94,$C$4,$M94%)</f>
        <v>129.79687532068053</v>
      </c>
      <c r="O94" s="89">
        <f ca="1">_xll.meLWOBondDirtyPrice($L94,$C$4,$M94%)</f>
        <v>132.41236445111531</v>
      </c>
      <c r="P94" s="88">
        <f ca="1">_xll.meLWOBondYield($L94,$C$4,N94)</f>
        <v>3.1577551999999419E-2</v>
      </c>
      <c r="Q94" s="89">
        <f ca="1">_xll.meLWOBondModifiedDuration($L94,$C$4,$M94%)</f>
        <v>8.5399825341525961</v>
      </c>
      <c r="R94" s="23">
        <f ca="1">_xll.meLWOBondDV01($L94,$C$4,$M94%)</f>
        <v>1130.7992797183729</v>
      </c>
      <c r="S94" s="86">
        <f t="shared" ca="1" si="13"/>
        <v>3.1577552</v>
      </c>
      <c r="T94" s="22" t="str">
        <f ca="1">_xll.BDP($B94,T$6, "YAS_BOND_YLD="&amp;$S94,"YAS_YLD_CONV=2")</f>
        <v>#N/A Requesting Data...</v>
      </c>
      <c r="U94" s="23">
        <f ca="1">_xll.meLWOBondCleanPrice($L94,$C$4,$S94%)</f>
        <v>129.79687532068053</v>
      </c>
      <c r="V94" s="24" t="e">
        <f t="shared" ca="1" si="10"/>
        <v>#VALUE!</v>
      </c>
      <c r="W94" s="23">
        <f ca="1">_xll.meLWOBondDV01($L94,$C$4,$S94%)</f>
        <v>1130.7992797183729</v>
      </c>
      <c r="X94" s="22" t="e">
        <f ca="1">_xll.BDP($B94,X$6, "YLD_YTM_ASK="&amp;$S94,"YAS_YLD_CONV=3")*$X$3*0.0001</f>
        <v>#VALUE!</v>
      </c>
      <c r="Y94" s="24" t="e">
        <f t="shared" ca="1" si="11"/>
        <v>#VALUE!</v>
      </c>
      <c r="Z94" s="23">
        <f ca="1">_xll.meLWOBondDirtyPrice($L94,$C$4,$S94%)</f>
        <v>132.41236445111531</v>
      </c>
      <c r="AA94" s="23">
        <f ca="1">_xll.meLWOBondModifiedDuration($L94,$C$4,$S94%)</f>
        <v>8.5399825341525961</v>
      </c>
      <c r="AB94" s="22" t="str">
        <f ca="1">_xll.BDP($B94,AB$6,"YLD_YTM_ASK="&amp;$S94,"YAS_YLD_CONV=3")</f>
        <v>#N/A Requesting Data...</v>
      </c>
      <c r="AC94" s="24" t="e">
        <f t="shared" ca="1" si="12"/>
        <v>#VALUE!</v>
      </c>
      <c r="AD94" s="23">
        <f ca="1">_xll.meLWOBondDV01Numerical($L94,$C$4,$S94%,0.5,"CENTRAL")</f>
        <v>1130.7993390914817</v>
      </c>
    </row>
    <row r="95" spans="2:30">
      <c r="B95" s="15" t="s">
        <v>67</v>
      </c>
      <c r="C95" s="15" t="s">
        <v>68</v>
      </c>
      <c r="D95" s="15" t="s">
        <v>68</v>
      </c>
      <c r="E95" s="16">
        <v>36937</v>
      </c>
      <c r="F95" s="19">
        <v>36937</v>
      </c>
      <c r="G95" s="18" t="str">
        <f t="shared" si="9"/>
        <v/>
      </c>
      <c r="H95" s="16">
        <v>37118</v>
      </c>
      <c r="I95" s="16">
        <v>47710</v>
      </c>
      <c r="J95" s="17">
        <v>5.3749999999999999E-2</v>
      </c>
      <c r="K95" s="16">
        <v>47894</v>
      </c>
      <c r="L95" s="20" t="str">
        <f ca="1">_xll.meLWOBondCreateFromGeneratorLVB(C95,$L$4,_xll.meUtilityLVBFromKeysValues($C$6:$K$6,C95:K95))</f>
        <v>US912810FP85:2</v>
      </c>
      <c r="M95" s="92">
        <f ca="1">_xll.BDP($B95,$M$5)</f>
        <v>3.1684317000000002</v>
      </c>
      <c r="N95" s="89">
        <f ca="1">_xll.meLWOBondCleanPrice($L95,$C$4,$M95%)</f>
        <v>122.37499997837989</v>
      </c>
      <c r="O95" s="89">
        <f ca="1">_xll.meLWOBondDirtyPrice($L95,$C$4,$M95%)</f>
        <v>123.2805706305538</v>
      </c>
      <c r="P95" s="88">
        <f ca="1">_xll.meLWOBondYield($L95,$C$4,N95)</f>
        <v>3.1684316999999781E-2</v>
      </c>
      <c r="Q95" s="89">
        <f ca="1">_xll.meLWOBondModifiedDuration($L95,$C$4,$M95%)</f>
        <v>9.3038425418556567</v>
      </c>
      <c r="R95" s="23">
        <f ca="1">_xll.meLWOBondDV01($L95,$C$4,$M95%)</f>
        <v>1146.9830176167875</v>
      </c>
      <c r="S95" s="86">
        <f t="shared" ca="1" si="13"/>
        <v>3.1684317000000002</v>
      </c>
      <c r="T95" s="22" t="str">
        <f ca="1">_xll.BDP($B95,T$6, "YAS_BOND_YLD="&amp;$S95,"YAS_YLD_CONV=2")</f>
        <v>#N/A Requesting Data...</v>
      </c>
      <c r="U95" s="23">
        <f ca="1">_xll.meLWOBondCleanPrice($L95,$C$4,$S95%)</f>
        <v>122.37499997837989</v>
      </c>
      <c r="V95" s="24" t="e">
        <f t="shared" ca="1" si="10"/>
        <v>#VALUE!</v>
      </c>
      <c r="W95" s="23">
        <f ca="1">_xll.meLWOBondDV01($L95,$C$4,$S95%)</f>
        <v>1146.9830176167875</v>
      </c>
      <c r="X95" s="22" t="e">
        <f ca="1">_xll.BDP($B95,X$6, "YLD_YTM_ASK="&amp;$S95,"YAS_YLD_CONV=3")*$X$3*0.0001</f>
        <v>#VALUE!</v>
      </c>
      <c r="Y95" s="24" t="e">
        <f t="shared" ca="1" si="11"/>
        <v>#VALUE!</v>
      </c>
      <c r="Z95" s="23">
        <f ca="1">_xll.meLWOBondDirtyPrice($L95,$C$4,$S95%)</f>
        <v>123.2805706305538</v>
      </c>
      <c r="AA95" s="23">
        <f ca="1">_xll.meLWOBondModifiedDuration($L95,$C$4,$S95%)</f>
        <v>9.3038425418556567</v>
      </c>
      <c r="AB95" s="22" t="str">
        <f ca="1">_xll.BDP($B95,AB$6,"YLD_YTM_ASK="&amp;$S95,"YAS_YLD_CONV=3")</f>
        <v>#N/A Requesting Data...</v>
      </c>
      <c r="AC95" s="24" t="e">
        <f t="shared" ca="1" si="12"/>
        <v>#VALUE!</v>
      </c>
      <c r="AD95" s="23">
        <f ca="1">_xll.meLWOBondDV01Numerical($L95,$C$4,$S95%,0.5,"CENTRAL")</f>
        <v>1146.9830859401497</v>
      </c>
    </row>
    <row r="96" spans="2:30">
      <c r="B96" s="15" t="s">
        <v>79</v>
      </c>
      <c r="C96" s="15" t="s">
        <v>80</v>
      </c>
      <c r="D96" s="15" t="s">
        <v>80</v>
      </c>
      <c r="E96" s="16">
        <v>38763</v>
      </c>
      <c r="F96" s="19">
        <v>38763</v>
      </c>
      <c r="G96" s="18" t="str">
        <f t="shared" si="9"/>
        <v/>
      </c>
      <c r="H96" s="16">
        <v>38944</v>
      </c>
      <c r="I96" s="16">
        <v>49536</v>
      </c>
      <c r="J96" s="17">
        <v>4.4999999999999998E-2</v>
      </c>
      <c r="K96" s="16">
        <v>49720</v>
      </c>
      <c r="L96" s="20" t="str">
        <f ca="1">_xll.meLWOBondCreateFromGeneratorLVB(C96,$L$4,_xll.meUtilityLVBFromKeysValues($C$6:$K$6,C96:K96))</f>
        <v>US912810FT08:2</v>
      </c>
      <c r="M96" s="92">
        <f ca="1">_xll.BDP($B96,$M$5)</f>
        <v>3.2182222</v>
      </c>
      <c r="N96" s="89">
        <f ca="1">_xll.meLWOBondCleanPrice($L96,$C$4,$M96%)</f>
        <v>116.92187567065078</v>
      </c>
      <c r="O96" s="89">
        <f ca="1">_xll.meLWOBondDirtyPrice($L96,$C$4,$M96%)</f>
        <v>117.68002784456382</v>
      </c>
      <c r="P96" s="88">
        <f ca="1">_xll.meLWOBondYield($L96,$C$4,N96)</f>
        <v>3.2182221999999837E-2</v>
      </c>
      <c r="Q96" s="89">
        <f ca="1">_xll.meLWOBondModifiedDuration($L96,$C$4,$M96%)</f>
        <v>12.371747508359459</v>
      </c>
      <c r="R96" s="23">
        <f ca="1">_xll.meLWOBondDV01($L96,$C$4,$M96%)</f>
        <v>1455.9075912696542</v>
      </c>
      <c r="S96" s="85">
        <f t="shared" ca="1" si="13"/>
        <v>3.2182222</v>
      </c>
      <c r="T96" s="22" t="str">
        <f ca="1">_xll.BDP($B96,T$6, "YAS_BOND_YLD="&amp;$S96,"YAS_YLD_CONV=2")</f>
        <v>#N/A Requesting Data...</v>
      </c>
      <c r="U96" s="23">
        <f ca="1">_xll.meLWOBondCleanPrice($L96,$C$4,$S96%)</f>
        <v>116.92187567065078</v>
      </c>
      <c r="V96" s="24" t="e">
        <f t="shared" ca="1" si="10"/>
        <v>#VALUE!</v>
      </c>
      <c r="W96" s="23">
        <f ca="1">_xll.meLWOBondDV01($L96,$C$4,$S96%)</f>
        <v>1455.9075912696542</v>
      </c>
      <c r="X96" s="22" t="e">
        <f ca="1">_xll.BDP($B96,X$6, "YLD_YTM_ASK="&amp;$S96,"YAS_YLD_CONV=3")*$X$3*0.0001</f>
        <v>#VALUE!</v>
      </c>
      <c r="Y96" s="24" t="e">
        <f t="shared" ca="1" si="11"/>
        <v>#VALUE!</v>
      </c>
      <c r="Z96" s="23">
        <f ca="1">_xll.meLWOBondDirtyPrice($L96,$C$4,$S96%)</f>
        <v>117.68002784456382</v>
      </c>
      <c r="AA96" s="23">
        <f ca="1">_xll.meLWOBondModifiedDuration($L96,$C$4,$S96%)</f>
        <v>12.371747508359459</v>
      </c>
      <c r="AB96" s="22" t="str">
        <f ca="1">_xll.BDP($B96,AB$6,"YLD_YTM_ASK="&amp;$S96,"YAS_YLD_CONV=3")</f>
        <v>#N/A Requesting Data...</v>
      </c>
      <c r="AC96" s="24" t="e">
        <f t="shared" ca="1" si="12"/>
        <v>#VALUE!</v>
      </c>
      <c r="AD96" s="23">
        <f ca="1">_xll.meLWOBondDV01Numerical($L96,$C$4,$S96%,0.5,"CENTRAL")</f>
        <v>1455.9077513270324</v>
      </c>
    </row>
    <row r="97" spans="2:30">
      <c r="B97" s="15" t="s">
        <v>77</v>
      </c>
      <c r="C97" s="15" t="s">
        <v>78</v>
      </c>
      <c r="D97" s="15" t="s">
        <v>78</v>
      </c>
      <c r="E97" s="16">
        <v>39128</v>
      </c>
      <c r="F97" s="19">
        <v>39128</v>
      </c>
      <c r="G97" s="18" t="str">
        <f t="shared" si="9"/>
        <v/>
      </c>
      <c r="H97" s="16">
        <v>39309</v>
      </c>
      <c r="I97" s="16">
        <v>49902</v>
      </c>
      <c r="J97" s="17">
        <v>4.7500000000000001E-2</v>
      </c>
      <c r="K97" s="16">
        <v>50086</v>
      </c>
      <c r="L97" s="20" t="str">
        <f ca="1">_xll.meLWOBondCreateFromGeneratorLVB(C97,$L$4,_xll.meUtilityLVBFromKeysValues($C$6:$K$6,C97:K97))</f>
        <v>US912810PT97:2</v>
      </c>
      <c r="M97" s="92">
        <f ca="1">_xll.BDP($B97,$M$5)</f>
        <v>3.2255742999999999</v>
      </c>
      <c r="N97" s="89">
        <f ca="1">_xll.meLWOBondCleanPrice($L97,$C$4,$M97%)</f>
        <v>120.96875036384276</v>
      </c>
      <c r="O97" s="89">
        <f ca="1">_xll.meLWOBondDirtyPrice($L97,$C$4,$M97%)</f>
        <v>121.7690221029732</v>
      </c>
      <c r="P97" s="88">
        <f ca="1">_xll.meLWOBondYield($L97,$C$4,N97)</f>
        <v>3.2255742999999913E-2</v>
      </c>
      <c r="Q97" s="89">
        <f ca="1">_xll.meLWOBondModifiedDuration($L97,$C$4,$M97%)</f>
        <v>12.74456143090736</v>
      </c>
      <c r="R97" s="23">
        <f ca="1">_xll.meLWOBondDV01($L97,$C$4,$M97%)</f>
        <v>1551.8927825728581</v>
      </c>
      <c r="S97" s="85">
        <f t="shared" ca="1" si="13"/>
        <v>3.2255742999999999</v>
      </c>
      <c r="T97" s="22" t="str">
        <f ca="1">_xll.BDP($B97,T$6, "YAS_BOND_YLD="&amp;$S97,"YAS_YLD_CONV=2")</f>
        <v>#N/A Requesting Data...</v>
      </c>
      <c r="U97" s="23">
        <f ca="1">_xll.meLWOBondCleanPrice($L97,$C$4,$S97%)</f>
        <v>120.96875036384276</v>
      </c>
      <c r="V97" s="24" t="e">
        <f t="shared" ca="1" si="10"/>
        <v>#VALUE!</v>
      </c>
      <c r="W97" s="23">
        <f ca="1">_xll.meLWOBondDV01($L97,$C$4,$S97%)</f>
        <v>1551.8927825728581</v>
      </c>
      <c r="X97" s="22" t="e">
        <f ca="1">_xll.BDP($B97,X$6, "YLD_YTM_ASK="&amp;$S97,"YAS_YLD_CONV=3")*$X$3*0.0001</f>
        <v>#VALUE!</v>
      </c>
      <c r="Y97" s="24" t="e">
        <f t="shared" ca="1" si="11"/>
        <v>#VALUE!</v>
      </c>
      <c r="Z97" s="23">
        <f ca="1">_xll.meLWOBondDirtyPrice($L97,$C$4,$S97%)</f>
        <v>121.7690221029732</v>
      </c>
      <c r="AA97" s="23">
        <f ca="1">_xll.meLWOBondModifiedDuration($L97,$C$4,$S97%)</f>
        <v>12.74456143090736</v>
      </c>
      <c r="AB97" s="22" t="str">
        <f ca="1">_xll.BDP($B97,AB$6,"YLD_YTM_ASK="&amp;$S97,"YAS_YLD_CONV=3")</f>
        <v>#N/A Requesting Data...</v>
      </c>
      <c r="AC97" s="24" t="e">
        <f t="shared" ca="1" si="12"/>
        <v>#VALUE!</v>
      </c>
      <c r="AD97" s="23">
        <f ca="1">_xll.meLWOBondDV01Numerical($L97,$C$4,$S97%,0.5,"CENTRAL")</f>
        <v>1551.8929691056371</v>
      </c>
    </row>
    <row r="98" spans="2:30">
      <c r="B98" s="15" t="s">
        <v>73</v>
      </c>
      <c r="C98" s="15" t="s">
        <v>74</v>
      </c>
      <c r="D98" s="15" t="s">
        <v>74</v>
      </c>
      <c r="E98" s="16">
        <v>39309</v>
      </c>
      <c r="F98" s="19">
        <v>39217</v>
      </c>
      <c r="G98" s="18" t="str">
        <f t="shared" si="9"/>
        <v/>
      </c>
      <c r="H98" s="16">
        <v>39401</v>
      </c>
      <c r="I98" s="16">
        <v>49994</v>
      </c>
      <c r="J98" s="17">
        <v>0.05</v>
      </c>
      <c r="K98" s="16">
        <v>50175</v>
      </c>
      <c r="L98" s="20" t="str">
        <f ca="1">_xll.meLWOBondCreateFromGeneratorLVB(C98,$L$4,_xll.meUtilityLVBFromKeysValues($C$6:$K$6,C98:K98))</f>
        <v>US912810PU60:2</v>
      </c>
      <c r="M98" s="92">
        <f ca="1">_xll.BDP($B98,$M$5)</f>
        <v>3.2263826</v>
      </c>
      <c r="N98" s="89">
        <f ca="1">_xll.meLWOBondCleanPrice($L98,$C$4,$M98%)</f>
        <v>124.64062534093343</v>
      </c>
      <c r="O98" s="89">
        <f ca="1">_xll.meLWOBondDirtyPrice($L98,$C$4,$M98%)</f>
        <v>126.73301664528125</v>
      </c>
      <c r="P98" s="88">
        <f ca="1">_xll.meLWOBondYield($L98,$C$4,N98)</f>
        <v>3.2263826000000106E-2</v>
      </c>
      <c r="Q98" s="89">
        <f ca="1">_xll.meLWOBondModifiedDuration($L98,$C$4,$M98%)</f>
        <v>12.61487569855688</v>
      </c>
      <c r="R98" s="23">
        <f ca="1">_xll.meLWOBondDV01($L98,$C$4,$M98%)</f>
        <v>1598.721251883363</v>
      </c>
      <c r="S98" s="85">
        <f t="shared" ca="1" si="13"/>
        <v>3.2263826</v>
      </c>
      <c r="T98" s="22" t="str">
        <f ca="1">_xll.BDP($B98,T$6, "YAS_BOND_YLD="&amp;$S98,"YAS_YLD_CONV=2")</f>
        <v>#N/A Requesting Data...</v>
      </c>
      <c r="U98" s="23">
        <f ca="1">_xll.meLWOBondCleanPrice($L98,$C$4,$S98%)</f>
        <v>124.64062534093343</v>
      </c>
      <c r="V98" s="24" t="e">
        <f t="shared" ca="1" si="10"/>
        <v>#VALUE!</v>
      </c>
      <c r="W98" s="23">
        <f ca="1">_xll.meLWOBondDV01($L98,$C$4,$S98%)</f>
        <v>1598.721251883363</v>
      </c>
      <c r="X98" s="22" t="e">
        <f ca="1">_xll.BDP($B98,X$6, "YLD_YTM_ASK="&amp;$S98,"YAS_YLD_CONV=3")*$X$3*0.0001</f>
        <v>#VALUE!</v>
      </c>
      <c r="Y98" s="24" t="e">
        <f t="shared" ca="1" si="11"/>
        <v>#VALUE!</v>
      </c>
      <c r="Z98" s="23">
        <f ca="1">_xll.meLWOBondDirtyPrice($L98,$C$4,$S98%)</f>
        <v>126.73301664528125</v>
      </c>
      <c r="AA98" s="23">
        <f ca="1">_xll.meLWOBondModifiedDuration($L98,$C$4,$S98%)</f>
        <v>12.61487569855688</v>
      </c>
      <c r="AB98" s="22" t="str">
        <f ca="1">_xll.BDP($B98,AB$6,"YLD_YTM_ASK="&amp;$S98,"YAS_YLD_CONV=3")</f>
        <v>#N/A Requesting Data...</v>
      </c>
      <c r="AC98" s="24" t="e">
        <f t="shared" ca="1" si="12"/>
        <v>#VALUE!</v>
      </c>
      <c r="AD98" s="23">
        <f ca="1">_xll.meLWOBondDV01Numerical($L98,$C$4,$S98%,0.5,"CENTRAL")</f>
        <v>1598.7214471068969</v>
      </c>
    </row>
    <row r="99" spans="2:30">
      <c r="B99" s="15" t="s">
        <v>85</v>
      </c>
      <c r="C99" s="15" t="s">
        <v>86</v>
      </c>
      <c r="D99" s="15" t="s">
        <v>86</v>
      </c>
      <c r="E99" s="16">
        <v>39493</v>
      </c>
      <c r="F99" s="19">
        <v>39493</v>
      </c>
      <c r="G99" s="18" t="str">
        <f t="shared" si="9"/>
        <v/>
      </c>
      <c r="H99" s="16">
        <v>39675</v>
      </c>
      <c r="I99" s="16">
        <v>50267</v>
      </c>
      <c r="J99" s="17">
        <v>4.3749999999999997E-2</v>
      </c>
      <c r="K99" s="16">
        <v>50451</v>
      </c>
      <c r="L99" s="20" t="str">
        <f ca="1">_xll.meLWOBondCreateFromGeneratorLVB(C99,$L$4,_xll.meUtilityLVBFromKeysValues($C$6:$K$6,C99:K99))</f>
        <v>US912810PW27:2</v>
      </c>
      <c r="M99" s="92">
        <f ca="1">_xll.BDP($B99,$M$5)</f>
        <v>3.2452342999999999</v>
      </c>
      <c r="N99" s="89">
        <f ca="1">_xll.meLWOBondCleanPrice($L99,$C$4,$M99%)</f>
        <v>116.12499937052249</v>
      </c>
      <c r="O99" s="89">
        <f ca="1">_xll.meLWOBondDirtyPrice($L99,$C$4,$M99%)</f>
        <v>116.86209176182683</v>
      </c>
      <c r="P99" s="88">
        <f ca="1">_xll.meLWOBondYield($L99,$C$4,N99)</f>
        <v>3.2452343000000522E-2</v>
      </c>
      <c r="Q99" s="89">
        <f ca="1">_xll.meLWOBondModifiedDuration($L99,$C$4,$M99%)</f>
        <v>13.428929092033517</v>
      </c>
      <c r="R99" s="23">
        <f ca="1">_xll.meLWOBondDV01($L99,$C$4,$M99%)</f>
        <v>1569.3327438162867</v>
      </c>
      <c r="S99" s="85">
        <f t="shared" ca="1" si="13"/>
        <v>3.2452342999999999</v>
      </c>
      <c r="T99" s="22" t="str">
        <f ca="1">_xll.BDP($B99,T$6, "YAS_BOND_YLD="&amp;$S99,"YAS_YLD_CONV=2")</f>
        <v>#N/A Requesting Data...</v>
      </c>
      <c r="U99" s="23">
        <f ca="1">_xll.meLWOBondCleanPrice($L99,$C$4,$S99%)</f>
        <v>116.12499937052249</v>
      </c>
      <c r="V99" s="24" t="e">
        <f t="shared" ca="1" si="10"/>
        <v>#VALUE!</v>
      </c>
      <c r="W99" s="23">
        <f ca="1">_xll.meLWOBondDV01($L99,$C$4,$S99%)</f>
        <v>1569.3327438162867</v>
      </c>
      <c r="X99" s="22" t="e">
        <f ca="1">_xll.BDP($B99,X$6, "YLD_YTM_ASK="&amp;$S99,"YAS_YLD_CONV=3")*$X$3*0.0001</f>
        <v>#VALUE!</v>
      </c>
      <c r="Y99" s="24" t="e">
        <f t="shared" ca="1" si="11"/>
        <v>#VALUE!</v>
      </c>
      <c r="Z99" s="23">
        <f ca="1">_xll.meLWOBondDirtyPrice($L99,$C$4,$S99%)</f>
        <v>116.86209176182683</v>
      </c>
      <c r="AA99" s="23">
        <f ca="1">_xll.meLWOBondModifiedDuration($L99,$C$4,$S99%)</f>
        <v>13.428929092033517</v>
      </c>
      <c r="AB99" s="22" t="str">
        <f ca="1">_xll.BDP($B99,AB$6,"YLD_YTM_ASK="&amp;$S99,"YAS_YLD_CONV=3")</f>
        <v>#N/A Requesting Data...</v>
      </c>
      <c r="AC99" s="24" t="e">
        <f t="shared" ca="1" si="12"/>
        <v>#VALUE!</v>
      </c>
      <c r="AD99" s="23">
        <f ca="1">_xll.meLWOBondDV01Numerical($L99,$C$4,$S99%,0.5,"CENTRAL")</f>
        <v>1569.3329528686209</v>
      </c>
    </row>
    <row r="100" spans="2:30">
      <c r="B100" s="15" t="s">
        <v>69</v>
      </c>
      <c r="C100" s="15" t="s">
        <v>70</v>
      </c>
      <c r="D100" s="15" t="s">
        <v>70</v>
      </c>
      <c r="E100" s="16">
        <v>39675</v>
      </c>
      <c r="F100" s="19">
        <v>39583</v>
      </c>
      <c r="G100" s="18" t="str">
        <f t="shared" si="9"/>
        <v/>
      </c>
      <c r="H100" s="16">
        <v>39767</v>
      </c>
      <c r="I100" s="16">
        <v>50359</v>
      </c>
      <c r="J100" s="17">
        <v>4.4999999999999998E-2</v>
      </c>
      <c r="K100" s="16">
        <v>50540</v>
      </c>
      <c r="L100" s="20" t="str">
        <f ca="1">_xll.meLWOBondCreateFromGeneratorLVB(C100,$L$4,_xll.meUtilityLVBFromKeysValues($C$6:$K$6,C100:K100))</f>
        <v>US912810PX00:2</v>
      </c>
      <c r="M100" s="92">
        <f ca="1">_xll.BDP($B100,$M$5)</f>
        <v>3.2471366000000002</v>
      </c>
      <c r="N100" s="89">
        <f ca="1">_xll.meLWOBondCleanPrice($L100,$C$4,$M100%)</f>
        <v>118.0468745169868</v>
      </c>
      <c r="O100" s="89">
        <f ca="1">_xll.meLWOBondDirtyPrice($L100,$C$4,$M100%)</f>
        <v>119.93002669089985</v>
      </c>
      <c r="P100" s="88">
        <f ca="1">_xll.meLWOBondYield($L100,$C$4,N100)</f>
        <v>3.24713660000003E-2</v>
      </c>
      <c r="Q100" s="89">
        <f ca="1">_xll.meLWOBondModifiedDuration($L100,$C$4,$M100%)</f>
        <v>13.34869694968071</v>
      </c>
      <c r="R100" s="23">
        <f ca="1">_xll.meLWOBondDV01($L100,$C$4,$M100%)</f>
        <v>1600.9095814639409</v>
      </c>
      <c r="S100" s="85">
        <f t="shared" ca="1" si="13"/>
        <v>3.2471366000000002</v>
      </c>
      <c r="T100" s="22" t="str">
        <f ca="1">_xll.BDP($B100,T$6, "YAS_BOND_YLD="&amp;$S100,"YAS_YLD_CONV=2")</f>
        <v>#N/A Requesting Data...</v>
      </c>
      <c r="U100" s="23">
        <f ca="1">_xll.meLWOBondCleanPrice($L100,$C$4,$S100%)</f>
        <v>118.0468745169868</v>
      </c>
      <c r="V100" s="24" t="e">
        <f t="shared" ca="1" si="10"/>
        <v>#VALUE!</v>
      </c>
      <c r="W100" s="23">
        <f ca="1">_xll.meLWOBondDV01($L100,$C$4,$S100%)</f>
        <v>1600.9095814639409</v>
      </c>
      <c r="X100" s="22" t="e">
        <f ca="1">_xll.BDP($B100,X$6, "YLD_YTM_ASK="&amp;$S100,"YAS_YLD_CONV=3")*$X$3*0.0001</f>
        <v>#VALUE!</v>
      </c>
      <c r="Y100" s="24" t="e">
        <f t="shared" ca="1" si="11"/>
        <v>#VALUE!</v>
      </c>
      <c r="Z100" s="23">
        <f ca="1">_xll.meLWOBondDirtyPrice($L100,$C$4,$S100%)</f>
        <v>119.93002669089985</v>
      </c>
      <c r="AA100" s="23">
        <f ca="1">_xll.meLWOBondModifiedDuration($L100,$C$4,$S100%)</f>
        <v>13.34869694968071</v>
      </c>
      <c r="AB100" s="22" t="str">
        <f ca="1">_xll.BDP($B100,AB$6,"YLD_YTM_ASK="&amp;$S100,"YAS_YLD_CONV=3")</f>
        <v>#N/A Requesting Data...</v>
      </c>
      <c r="AC100" s="24" t="e">
        <f t="shared" ca="1" si="12"/>
        <v>#VALUE!</v>
      </c>
      <c r="AD100" s="23">
        <f ca="1">_xll.meLWOBondDV01Numerical($L100,$C$4,$S100%,0.5,"CENTRAL")</f>
        <v>1600.9097986027145</v>
      </c>
    </row>
    <row r="101" spans="2:30">
      <c r="B101" s="15" t="s">
        <v>145</v>
      </c>
      <c r="C101" s="15" t="s">
        <v>146</v>
      </c>
      <c r="D101" s="15" t="s">
        <v>146</v>
      </c>
      <c r="E101" s="16">
        <v>39861</v>
      </c>
      <c r="F101" s="19">
        <v>39859</v>
      </c>
      <c r="G101" s="18" t="str">
        <f t="shared" si="9"/>
        <v/>
      </c>
      <c r="H101" s="16">
        <v>40040</v>
      </c>
      <c r="I101" s="16">
        <v>50632</v>
      </c>
      <c r="J101" s="17">
        <v>3.5000000000000003E-2</v>
      </c>
      <c r="K101" s="16">
        <v>50816</v>
      </c>
      <c r="L101" s="20" t="str">
        <f ca="1">_xll.meLWOBondCreateFromGeneratorLVB(C101,$L$4,_xll.meUtilityLVBFromKeysValues($C$6:$K$6,C101:K101))</f>
        <v>US912810QA97:2</v>
      </c>
      <c r="M101" s="92">
        <f ca="1">_xll.BDP($B101,$M$5)</f>
        <v>3.2618854000000002</v>
      </c>
      <c r="N101" s="89">
        <f ca="1">_xll.meLWOBondCleanPrice($L101,$C$4,$M101%)</f>
        <v>103.51562549211341</v>
      </c>
      <c r="O101" s="89">
        <f ca="1">_xll.meLWOBondDirtyPrice($L101,$C$4,$M101%)</f>
        <v>104.1052994051569</v>
      </c>
      <c r="P101" s="88">
        <f ca="1">_xll.meLWOBondYield($L101,$C$4,N101)</f>
        <v>3.261885400002261E-2</v>
      </c>
      <c r="Q101" s="89">
        <f ca="1">_xll.meLWOBondModifiedDuration($L101,$C$4,$M101%)</f>
        <v>14.505497829307936</v>
      </c>
      <c r="R101" s="23">
        <f ca="1">_xll.meLWOBondDV01($L101,$C$4,$M101%)</f>
        <v>1510.0991945409562</v>
      </c>
      <c r="S101" s="85">
        <f t="shared" ca="1" si="13"/>
        <v>3.2618854000000002</v>
      </c>
      <c r="T101" s="22" t="str">
        <f ca="1">_xll.BDP($B101,T$6, "YAS_BOND_YLD="&amp;$S101,"YAS_YLD_CONV=2")</f>
        <v>#N/A Requesting Data...</v>
      </c>
      <c r="U101" s="23">
        <f ca="1">_xll.meLWOBondCleanPrice($L101,$C$4,$S101%)</f>
        <v>103.51562549211341</v>
      </c>
      <c r="V101" s="24" t="e">
        <f t="shared" ca="1" si="10"/>
        <v>#VALUE!</v>
      </c>
      <c r="W101" s="23">
        <f ca="1">_xll.meLWOBondDV01($L101,$C$4,$S101%)</f>
        <v>1510.0991945409562</v>
      </c>
      <c r="X101" s="22" t="e">
        <f ca="1">_xll.BDP($B101,X$6, "YLD_YTM_ASK="&amp;$S101,"YAS_YLD_CONV=3")*$X$3*0.0001</f>
        <v>#VALUE!</v>
      </c>
      <c r="Y101" s="24" t="e">
        <f t="shared" ca="1" si="11"/>
        <v>#VALUE!</v>
      </c>
      <c r="Z101" s="23">
        <f ca="1">_xll.meLWOBondDirtyPrice($L101,$C$4,$S101%)</f>
        <v>104.1052994051569</v>
      </c>
      <c r="AA101" s="23">
        <f ca="1">_xll.meLWOBondModifiedDuration($L101,$C$4,$S101%)</f>
        <v>14.505497829307936</v>
      </c>
      <c r="AB101" s="22" t="str">
        <f ca="1">_xll.BDP($B101,AB$6,"YLD_YTM_ASK="&amp;$S101,"YAS_YLD_CONV=3")</f>
        <v>#N/A Requesting Data...</v>
      </c>
      <c r="AC101" s="24" t="e">
        <f t="shared" ca="1" si="12"/>
        <v>#VALUE!</v>
      </c>
      <c r="AD101" s="23">
        <f ca="1">_xll.meLWOBondDV01Numerical($L101,$C$4,$S101%,0.5,"CENTRAL")</f>
        <v>1510.0994208950169</v>
      </c>
    </row>
    <row r="102" spans="2:30">
      <c r="B102" s="15" t="s">
        <v>101</v>
      </c>
      <c r="C102" s="15" t="s">
        <v>102</v>
      </c>
      <c r="D102" s="15" t="s">
        <v>102</v>
      </c>
      <c r="E102" s="16">
        <v>39948</v>
      </c>
      <c r="F102" s="19">
        <v>39948</v>
      </c>
      <c r="G102" s="18" t="str">
        <f t="shared" si="9"/>
        <v/>
      </c>
      <c r="H102" s="16">
        <v>40132</v>
      </c>
      <c r="I102" s="16">
        <v>50724</v>
      </c>
      <c r="J102" s="17">
        <v>4.2500000000000003E-2</v>
      </c>
      <c r="K102" s="16">
        <v>50905</v>
      </c>
      <c r="L102" s="20" t="str">
        <f ca="1">_xll.meLWOBondCreateFromGeneratorLVB(C102,$L$4,_xll.meUtilityLVBFromKeysValues($C$6:$K$6,C102:K102))</f>
        <v>US912810QB70:2</v>
      </c>
      <c r="M102" s="92">
        <f ca="1">_xll.BDP($B102,$M$5)</f>
        <v>3.2681038999999998</v>
      </c>
      <c r="N102" s="89">
        <f ca="1">_xll.meLWOBondCleanPrice($L102,$C$4,$M102%)</f>
        <v>114.62500041770866</v>
      </c>
      <c r="O102" s="89">
        <f ca="1">_xll.meLWOBondDirtyPrice($L102,$C$4,$M102%)</f>
        <v>116.40353302640432</v>
      </c>
      <c r="P102" s="88">
        <f ca="1">_xll.meLWOBondYield($L102,$C$4,N102)</f>
        <v>3.2681038999999808E-2</v>
      </c>
      <c r="Q102" s="89">
        <f ca="1">_xll.meLWOBondModifiedDuration($L102,$C$4,$M102%)</f>
        <v>13.961281580207945</v>
      </c>
      <c r="R102" s="23">
        <f ca="1">_xll.meLWOBondDV01($L102,$C$4,$M102%)</f>
        <v>1625.1425015126658</v>
      </c>
      <c r="S102" s="85">
        <f t="shared" ca="1" si="13"/>
        <v>3.2681038999999998</v>
      </c>
      <c r="T102" s="22" t="str">
        <f ca="1">_xll.BDP($B102,T$6, "YAS_BOND_YLD="&amp;$S102,"YAS_YLD_CONV=2")</f>
        <v>#N/A Requesting Data...</v>
      </c>
      <c r="U102" s="23">
        <f ca="1">_xll.meLWOBondCleanPrice($L102,$C$4,$S102%)</f>
        <v>114.62500041770866</v>
      </c>
      <c r="V102" s="24" t="e">
        <f t="shared" ca="1" si="10"/>
        <v>#VALUE!</v>
      </c>
      <c r="W102" s="23">
        <f ca="1">_xll.meLWOBondDV01($L102,$C$4,$S102%)</f>
        <v>1625.1425015126658</v>
      </c>
      <c r="X102" s="22" t="e">
        <f ca="1">_xll.BDP($B102,X$6, "YLD_YTM_ASK="&amp;$S102,"YAS_YLD_CONV=3")*$X$3*0.0001</f>
        <v>#VALUE!</v>
      </c>
      <c r="Y102" s="24" t="e">
        <f t="shared" ca="1" si="11"/>
        <v>#VALUE!</v>
      </c>
      <c r="Z102" s="23">
        <f ca="1">_xll.meLWOBondDirtyPrice($L102,$C$4,$S102%)</f>
        <v>116.40353302640432</v>
      </c>
      <c r="AA102" s="23">
        <f ca="1">_xll.meLWOBondModifiedDuration($L102,$C$4,$S102%)</f>
        <v>13.961281580207945</v>
      </c>
      <c r="AB102" s="22" t="str">
        <f ca="1">_xll.BDP($B102,AB$6,"YLD_YTM_ASK="&amp;$S102,"YAS_YLD_CONV=3")</f>
        <v>#N/A Requesting Data...</v>
      </c>
      <c r="AC102" s="24" t="e">
        <f t="shared" ca="1" si="12"/>
        <v>#VALUE!</v>
      </c>
      <c r="AD102" s="23">
        <f ca="1">_xll.meLWOBondDV01Numerical($L102,$C$4,$S102%,0.5,"CENTRAL")</f>
        <v>1625.1427435310006</v>
      </c>
    </row>
    <row r="103" spans="2:30">
      <c r="B103" s="15" t="s">
        <v>87</v>
      </c>
      <c r="C103" s="15" t="s">
        <v>88</v>
      </c>
      <c r="D103" s="15" t="s">
        <v>88</v>
      </c>
      <c r="E103" s="16">
        <v>40042</v>
      </c>
      <c r="F103" s="19">
        <v>40040</v>
      </c>
      <c r="G103" s="18" t="str">
        <f t="shared" ref="G103:G132" si="14">IF(DAY(K103+1)=1, "EOM","")</f>
        <v/>
      </c>
      <c r="H103" s="16">
        <v>40224</v>
      </c>
      <c r="I103" s="16">
        <v>50816</v>
      </c>
      <c r="J103" s="17">
        <v>4.4999999999999998E-2</v>
      </c>
      <c r="K103" s="16">
        <v>50997</v>
      </c>
      <c r="L103" s="20" t="str">
        <f ca="1">_xll.meLWOBondCreateFromGeneratorLVB(C103,$L$4,_xll.meUtilityLVBFromKeysValues($C$6:$K$6,C103:K103))</f>
        <v>US912810QC53:2</v>
      </c>
      <c r="M103" s="92">
        <f ca="1">_xll.BDP($B103,$M$5)</f>
        <v>3.2739213</v>
      </c>
      <c r="N103" s="89">
        <f ca="1">_xll.meLWOBondCleanPrice($L103,$C$4,$M103%)</f>
        <v>118.40625042505077</v>
      </c>
      <c r="O103" s="89">
        <f ca="1">_xll.meLWOBondDirtyPrice($L103,$C$4,$M103%)</f>
        <v>119.16440259896382</v>
      </c>
      <c r="P103" s="88">
        <f ca="1">_xll.meLWOBondYield($L103,$C$4,N103)</f>
        <v>3.2739212999999885E-2</v>
      </c>
      <c r="Q103" s="89">
        <f ca="1">_xll.meLWOBondModifiedDuration($L103,$C$4,$M103%)</f>
        <v>14.046002099389122</v>
      </c>
      <c r="R103" s="23">
        <f ca="1">_xll.meLWOBondDV01($L103,$C$4,$M103%)</f>
        <v>1673.7834490774965</v>
      </c>
      <c r="S103" s="85">
        <f t="shared" ca="1" si="13"/>
        <v>3.2739213</v>
      </c>
      <c r="T103" s="22" t="str">
        <f ca="1">_xll.BDP($B103,T$6, "YAS_BOND_YLD="&amp;$S103,"YAS_YLD_CONV=2")</f>
        <v>#N/A Requesting Data...</v>
      </c>
      <c r="U103" s="23">
        <f ca="1">_xll.meLWOBondCleanPrice($L103,$C$4,$S103%)</f>
        <v>118.40625042505077</v>
      </c>
      <c r="V103" s="24" t="e">
        <f t="shared" ref="V103:V132" ca="1" si="15">ABS(U103-T103)</f>
        <v>#VALUE!</v>
      </c>
      <c r="W103" s="23">
        <f ca="1">_xll.meLWOBondDV01($L103,$C$4,$S103%)</f>
        <v>1673.7834490774965</v>
      </c>
      <c r="X103" s="22" t="e">
        <f ca="1">_xll.BDP($B103,X$6, "YLD_YTM_ASK="&amp;$S103,"YAS_YLD_CONV=3")*$X$3*0.0001</f>
        <v>#VALUE!</v>
      </c>
      <c r="Y103" s="24" t="e">
        <f t="shared" ref="Y103:Y132" ca="1" si="16">ABS(X103-W103)</f>
        <v>#VALUE!</v>
      </c>
      <c r="Z103" s="23">
        <f ca="1">_xll.meLWOBondDirtyPrice($L103,$C$4,$S103%)</f>
        <v>119.16440259896382</v>
      </c>
      <c r="AA103" s="23">
        <f ca="1">_xll.meLWOBondModifiedDuration($L103,$C$4,$S103%)</f>
        <v>14.046002099389122</v>
      </c>
      <c r="AB103" s="22" t="str">
        <f ca="1">_xll.BDP($B103,AB$6,"YLD_YTM_ASK="&amp;$S103,"YAS_YLD_CONV=3")</f>
        <v>#N/A Requesting Data...</v>
      </c>
      <c r="AC103" s="24" t="e">
        <f t="shared" ref="AC103:AC132" ca="1" si="17">ABS(AB103-AA103)</f>
        <v>#VALUE!</v>
      </c>
      <c r="AD103" s="23">
        <f ca="1">_xll.meLWOBondDV01Numerical($L103,$C$4,$S103%,0.5,"CENTRAL")</f>
        <v>1673.7837013134538</v>
      </c>
    </row>
    <row r="104" spans="2:30">
      <c r="B104" s="15" t="s">
        <v>91</v>
      </c>
      <c r="C104" s="15" t="s">
        <v>92</v>
      </c>
      <c r="D104" s="15" t="s">
        <v>92</v>
      </c>
      <c r="E104" s="16">
        <v>40133</v>
      </c>
      <c r="F104" s="19">
        <v>40132</v>
      </c>
      <c r="G104" s="18" t="str">
        <f t="shared" si="14"/>
        <v/>
      </c>
      <c r="H104" s="16">
        <v>40313</v>
      </c>
      <c r="I104" s="16">
        <v>50905</v>
      </c>
      <c r="J104" s="17">
        <v>4.3749999999999997E-2</v>
      </c>
      <c r="K104" s="16">
        <v>51089</v>
      </c>
      <c r="L104" s="20" t="str">
        <f ca="1">_xll.meLWOBondCreateFromGeneratorLVB(C104,$L$4,_xll.meUtilityLVBFromKeysValues($C$6:$K$6,C104:K104))</f>
        <v>US912810QD37:2</v>
      </c>
      <c r="M104" s="92">
        <f ca="1">_xll.BDP($B104,$M$5)</f>
        <v>3.2803081000000001</v>
      </c>
      <c r="N104" s="89">
        <f ca="1">_xll.meLWOBondCleanPrice($L104,$C$4,$M104%)</f>
        <v>116.56249922406863</v>
      </c>
      <c r="O104" s="89">
        <f ca="1">_xll.meLWOBondDirtyPrice($L104,$C$4,$M104%)</f>
        <v>118.39334161537298</v>
      </c>
      <c r="P104" s="88">
        <f ca="1">_xll.meLWOBondYield($L104,$C$4,N104)</f>
        <v>3.2803080999999561E-2</v>
      </c>
      <c r="Q104" s="89">
        <f ca="1">_xll.meLWOBondModifiedDuration($L104,$C$4,$M104%)</f>
        <v>14.102706320435113</v>
      </c>
      <c r="R104" s="23">
        <f ca="1">_xll.meLWOBondDV01($L104,$C$4,$M104%)</f>
        <v>1669.6665270965539</v>
      </c>
      <c r="S104" s="85">
        <f t="shared" ca="1" si="13"/>
        <v>3.2803081000000001</v>
      </c>
      <c r="T104" s="22" t="str">
        <f ca="1">_xll.BDP($B104,T$6, "YAS_BOND_YLD="&amp;$S104,"YAS_YLD_CONV=2")</f>
        <v>#N/A Requesting Data...</v>
      </c>
      <c r="U104" s="23">
        <f ca="1">_xll.meLWOBondCleanPrice($L104,$C$4,$S104%)</f>
        <v>116.56249922406863</v>
      </c>
      <c r="V104" s="24" t="e">
        <f t="shared" ca="1" si="15"/>
        <v>#VALUE!</v>
      </c>
      <c r="W104" s="23">
        <f ca="1">_xll.meLWOBondDV01($L104,$C$4,$S104%)</f>
        <v>1669.6665270965539</v>
      </c>
      <c r="X104" s="22" t="e">
        <f ca="1">_xll.BDP($B104,X$6, "YLD_YTM_ASK="&amp;$S104,"YAS_YLD_CONV=3")*$X$3*0.0001</f>
        <v>#VALUE!</v>
      </c>
      <c r="Y104" s="24" t="e">
        <f t="shared" ca="1" si="16"/>
        <v>#VALUE!</v>
      </c>
      <c r="Z104" s="23">
        <f ca="1">_xll.meLWOBondDirtyPrice($L104,$C$4,$S104%)</f>
        <v>118.39334161537298</v>
      </c>
      <c r="AA104" s="23">
        <f ca="1">_xll.meLWOBondModifiedDuration($L104,$C$4,$S104%)</f>
        <v>14.102706320435113</v>
      </c>
      <c r="AB104" s="22" t="str">
        <f ca="1">_xll.BDP($B104,AB$6,"YLD_YTM_ASK="&amp;$S104,"YAS_YLD_CONV=3")</f>
        <v>#N/A Requesting Data...</v>
      </c>
      <c r="AC104" s="24" t="e">
        <f t="shared" ca="1" si="17"/>
        <v>#VALUE!</v>
      </c>
      <c r="AD104" s="23">
        <f ca="1">_xll.meLWOBondDV01Numerical($L104,$C$4,$S104%,0.5,"CENTRAL")</f>
        <v>1669.6667849606683</v>
      </c>
    </row>
    <row r="105" spans="2:30">
      <c r="B105" s="15" t="s">
        <v>83</v>
      </c>
      <c r="C105" s="15" t="s">
        <v>84</v>
      </c>
      <c r="D105" s="15" t="s">
        <v>84</v>
      </c>
      <c r="E105" s="16">
        <v>40225</v>
      </c>
      <c r="F105" s="19">
        <v>40224</v>
      </c>
      <c r="G105" s="18" t="str">
        <f t="shared" si="14"/>
        <v/>
      </c>
      <c r="H105" s="16">
        <v>40405</v>
      </c>
      <c r="I105" s="16">
        <v>50997</v>
      </c>
      <c r="J105" s="17">
        <v>4.6249999999999999E-2</v>
      </c>
      <c r="K105" s="16">
        <v>51181</v>
      </c>
      <c r="L105" s="20" t="str">
        <f ca="1">_xll.meLWOBondCreateFromGeneratorLVB(C105,$L$4,_xll.meUtilityLVBFromKeysValues($C$6:$K$6,C105:K105))</f>
        <v>US912810QE10:2</v>
      </c>
      <c r="M105" s="92">
        <f ca="1">_xll.BDP($B105,$M$5)</f>
        <v>3.2827628</v>
      </c>
      <c r="N105" s="89">
        <f ca="1">_xll.meLWOBondCleanPrice($L105,$C$4,$M105%)</f>
        <v>120.4687491478561</v>
      </c>
      <c r="O105" s="89">
        <f ca="1">_xll.meLWOBondDirtyPrice($L105,$C$4,$M105%)</f>
        <v>121.24796110437784</v>
      </c>
      <c r="P105" s="88">
        <f ca="1">_xll.meLWOBondYield($L105,$C$4,N105)</f>
        <v>3.2827628000000428E-2</v>
      </c>
      <c r="Q105" s="89">
        <f ca="1">_xll.meLWOBondModifiedDuration($L105,$C$4,$M105%)</f>
        <v>14.190943967479944</v>
      </c>
      <c r="R105" s="23">
        <f ca="1">_xll.meLWOBondDV01($L105,$C$4,$M105%)</f>
        <v>1720.6230222034135</v>
      </c>
      <c r="S105" s="85">
        <f t="shared" ca="1" si="13"/>
        <v>3.2827628</v>
      </c>
      <c r="T105" s="22" t="str">
        <f ca="1">_xll.BDP($B105,T$6, "YAS_BOND_YLD="&amp;$S105,"YAS_YLD_CONV=2")</f>
        <v>#N/A Requesting Data...</v>
      </c>
      <c r="U105" s="23">
        <f ca="1">_xll.meLWOBondCleanPrice($L105,$C$4,$S105%)</f>
        <v>120.4687491478561</v>
      </c>
      <c r="V105" s="24" t="e">
        <f t="shared" ca="1" si="15"/>
        <v>#VALUE!</v>
      </c>
      <c r="W105" s="23">
        <f ca="1">_xll.meLWOBondDV01($L105,$C$4,$S105%)</f>
        <v>1720.6230222034135</v>
      </c>
      <c r="X105" s="22" t="e">
        <f ca="1">_xll.BDP($B105,X$6, "YLD_YTM_ASK="&amp;$S105,"YAS_YLD_CONV=3")*$X$3*0.0001</f>
        <v>#VALUE!</v>
      </c>
      <c r="Y105" s="24" t="e">
        <f t="shared" ca="1" si="16"/>
        <v>#VALUE!</v>
      </c>
      <c r="Z105" s="23">
        <f ca="1">_xll.meLWOBondDirtyPrice($L105,$C$4,$S105%)</f>
        <v>121.24796110437784</v>
      </c>
      <c r="AA105" s="23">
        <f ca="1">_xll.meLWOBondModifiedDuration($L105,$C$4,$S105%)</f>
        <v>14.190943967479944</v>
      </c>
      <c r="AB105" s="22" t="str">
        <f ca="1">_xll.BDP($B105,AB$6,"YLD_YTM_ASK="&amp;$S105,"YAS_YLD_CONV=3")</f>
        <v>#N/A Requesting Data...</v>
      </c>
      <c r="AC105" s="24" t="e">
        <f t="shared" ca="1" si="17"/>
        <v>#VALUE!</v>
      </c>
      <c r="AD105" s="23">
        <f ca="1">_xll.meLWOBondDV01Numerical($L105,$C$4,$S105%,0.5,"CENTRAL")</f>
        <v>1720.6232909890675</v>
      </c>
    </row>
    <row r="106" spans="2:30">
      <c r="B106" s="15" t="s">
        <v>99</v>
      </c>
      <c r="C106" s="15" t="s">
        <v>100</v>
      </c>
      <c r="D106" s="15" t="s">
        <v>100</v>
      </c>
      <c r="E106" s="16">
        <v>40315</v>
      </c>
      <c r="F106" s="19">
        <v>40313</v>
      </c>
      <c r="G106" s="18" t="str">
        <f t="shared" si="14"/>
        <v/>
      </c>
      <c r="H106" s="16">
        <v>40497</v>
      </c>
      <c r="I106" s="16">
        <v>51089</v>
      </c>
      <c r="J106" s="17">
        <v>4.3749999999999997E-2</v>
      </c>
      <c r="K106" s="16">
        <v>51271</v>
      </c>
      <c r="L106" s="20" t="str">
        <f ca="1">_xll.meLWOBondCreateFromGeneratorLVB(C106,$L$4,_xll.meUtilityLVBFromKeysValues($C$6:$K$6,C106:K106))</f>
        <v>US912810QH41:2</v>
      </c>
      <c r="M106" s="92">
        <f ca="1">_xll.BDP($B106,$M$5)</f>
        <v>3.2879939999999999</v>
      </c>
      <c r="N106" s="89">
        <f ca="1">_xll.meLWOBondCleanPrice($L106,$C$4,$M106%)</f>
        <v>116.70312501192475</v>
      </c>
      <c r="O106" s="89">
        <f ca="1">_xll.meLWOBondDirtyPrice($L106,$C$4,$M106%)</f>
        <v>118.5339674032291</v>
      </c>
      <c r="P106" s="88">
        <f ca="1">_xll.meLWOBondYield($L106,$C$4,N106)</f>
        <v>3.2879939999999747E-2</v>
      </c>
      <c r="Q106" s="89">
        <f ca="1">_xll.meLWOBondModifiedDuration($L106,$C$4,$M106%)</f>
        <v>14.322910363505899</v>
      </c>
      <c r="R106" s="23">
        <f ca="1">_xll.meLWOBondDV01($L106,$C$4,$M106%)</f>
        <v>1697.7513901471805</v>
      </c>
      <c r="S106" s="85">
        <f t="shared" ca="1" si="13"/>
        <v>3.2879939999999999</v>
      </c>
      <c r="T106" s="22" t="str">
        <f ca="1">_xll.BDP($B106,T$6, "YAS_BOND_YLD="&amp;$S106,"YAS_YLD_CONV=2")</f>
        <v>#N/A Requesting Data...</v>
      </c>
      <c r="U106" s="23">
        <f ca="1">_xll.meLWOBondCleanPrice($L106,$C$4,$S106%)</f>
        <v>116.70312501192475</v>
      </c>
      <c r="V106" s="24" t="e">
        <f t="shared" ca="1" si="15"/>
        <v>#VALUE!</v>
      </c>
      <c r="W106" s="23">
        <f ca="1">_xll.meLWOBondDV01($L106,$C$4,$S106%)</f>
        <v>1697.7513901471805</v>
      </c>
      <c r="X106" s="22" t="e">
        <f ca="1">_xll.BDP($B106,X$6, "YLD_YTM_ASK="&amp;$S106,"YAS_YLD_CONV=3")*$X$3*0.0001</f>
        <v>#VALUE!</v>
      </c>
      <c r="Y106" s="24" t="e">
        <f t="shared" ca="1" si="16"/>
        <v>#VALUE!</v>
      </c>
      <c r="Z106" s="23">
        <f ca="1">_xll.meLWOBondDirtyPrice($L106,$C$4,$S106%)</f>
        <v>118.5339674032291</v>
      </c>
      <c r="AA106" s="23">
        <f ca="1">_xll.meLWOBondModifiedDuration($L106,$C$4,$S106%)</f>
        <v>14.322910363505899</v>
      </c>
      <c r="AB106" s="22" t="str">
        <f ca="1">_xll.BDP($B106,AB$6,"YLD_YTM_ASK="&amp;$S106,"YAS_YLD_CONV=3")</f>
        <v>#N/A Requesting Data...</v>
      </c>
      <c r="AC106" s="24" t="e">
        <f t="shared" ca="1" si="17"/>
        <v>#VALUE!</v>
      </c>
      <c r="AD106" s="23">
        <f ca="1">_xll.meLWOBondDV01Numerical($L106,$C$4,$S106%,0.5,"CENTRAL")</f>
        <v>1697.7516630002754</v>
      </c>
    </row>
    <row r="107" spans="2:30">
      <c r="B107" s="15" t="s">
        <v>125</v>
      </c>
      <c r="C107" s="15" t="s">
        <v>126</v>
      </c>
      <c r="D107" s="15" t="s">
        <v>126</v>
      </c>
      <c r="E107" s="16">
        <v>40406</v>
      </c>
      <c r="F107" s="19">
        <v>40405</v>
      </c>
      <c r="G107" s="18" t="str">
        <f t="shared" si="14"/>
        <v/>
      </c>
      <c r="H107" s="16">
        <v>40589</v>
      </c>
      <c r="I107" s="16">
        <v>51181</v>
      </c>
      <c r="J107" s="17">
        <v>3.875E-2</v>
      </c>
      <c r="K107" s="16">
        <v>51363</v>
      </c>
      <c r="L107" s="20" t="str">
        <f ca="1">_xll.meLWOBondCreateFromGeneratorLVB(C107,$L$4,_xll.meUtilityLVBFromKeysValues($C$6:$K$6,C107:K107))</f>
        <v>US912810QK79:2</v>
      </c>
      <c r="M107" s="92">
        <f ca="1">_xll.BDP($B107,$M$5)</f>
        <v>3.2934648000000002</v>
      </c>
      <c r="N107" s="89">
        <f ca="1">_xll.meLWOBondCleanPrice($L107,$C$4,$M107%)</f>
        <v>108.99999971525069</v>
      </c>
      <c r="O107" s="89">
        <f ca="1">_xll.meLWOBondDirtyPrice($L107,$C$4,$M107%)</f>
        <v>109.65285297612026</v>
      </c>
      <c r="P107" s="88">
        <f ca="1">_xll.meLWOBondYield($L107,$C$4,N107)</f>
        <v>3.2934647999999622E-2</v>
      </c>
      <c r="Q107" s="89">
        <f ca="1">_xll.meLWOBondModifiedDuration($L107,$C$4,$M107%)</f>
        <v>14.918479823370291</v>
      </c>
      <c r="R107" s="23">
        <f ca="1">_xll.meLWOBondDV01($L107,$C$4,$M107%)</f>
        <v>1635.853874699239</v>
      </c>
      <c r="S107" s="85">
        <f t="shared" ca="1" si="13"/>
        <v>3.2934648000000002</v>
      </c>
      <c r="T107" s="22" t="str">
        <f ca="1">_xll.BDP($B107,T$6, "YAS_BOND_YLD="&amp;$S107,"YAS_YLD_CONV=2")</f>
        <v>#N/A Requesting Data...</v>
      </c>
      <c r="U107" s="23">
        <f ca="1">_xll.meLWOBondCleanPrice($L107,$C$4,$S107%)</f>
        <v>108.99999971525069</v>
      </c>
      <c r="V107" s="24" t="e">
        <f t="shared" ca="1" si="15"/>
        <v>#VALUE!</v>
      </c>
      <c r="W107" s="23">
        <f ca="1">_xll.meLWOBondDV01($L107,$C$4,$S107%)</f>
        <v>1635.853874699239</v>
      </c>
      <c r="X107" s="22" t="e">
        <f ca="1">_xll.BDP($B107,X$6, "YLD_YTM_ASK="&amp;$S107,"YAS_YLD_CONV=3")*$X$3*0.0001</f>
        <v>#VALUE!</v>
      </c>
      <c r="Y107" s="24" t="e">
        <f t="shared" ca="1" si="16"/>
        <v>#VALUE!</v>
      </c>
      <c r="Z107" s="23">
        <f ca="1">_xll.meLWOBondDirtyPrice($L107,$C$4,$S107%)</f>
        <v>109.65285297612026</v>
      </c>
      <c r="AA107" s="23">
        <f ca="1">_xll.meLWOBondModifiedDuration($L107,$C$4,$S107%)</f>
        <v>14.918479823370291</v>
      </c>
      <c r="AB107" s="22" t="str">
        <f ca="1">_xll.BDP($B107,AB$6,"YLD_YTM_ASK="&amp;$S107,"YAS_YLD_CONV=3")</f>
        <v>#N/A Requesting Data...</v>
      </c>
      <c r="AC107" s="24" t="e">
        <f t="shared" ca="1" si="17"/>
        <v>#VALUE!</v>
      </c>
      <c r="AD107" s="23">
        <f ca="1">_xll.meLWOBondDV01Numerical($L107,$C$4,$S107%,0.5,"CENTRAL")</f>
        <v>1635.8541477902122</v>
      </c>
    </row>
    <row r="108" spans="2:30">
      <c r="B108" s="15" t="s">
        <v>107</v>
      </c>
      <c r="C108" s="15" t="s">
        <v>108</v>
      </c>
      <c r="D108" s="15" t="s">
        <v>108</v>
      </c>
      <c r="E108" s="16">
        <v>40497</v>
      </c>
      <c r="F108" s="19">
        <v>40497</v>
      </c>
      <c r="G108" s="18" t="str">
        <f t="shared" si="14"/>
        <v/>
      </c>
      <c r="H108" s="16">
        <v>40678</v>
      </c>
      <c r="I108" s="16">
        <v>51271</v>
      </c>
      <c r="J108" s="17">
        <v>4.2500000000000003E-2</v>
      </c>
      <c r="K108" s="16">
        <v>51455</v>
      </c>
      <c r="L108" s="20" t="str">
        <f ca="1">_xll.meLWOBondCreateFromGeneratorLVB(C108,$L$4,_xll.meUtilityLVBFromKeysValues($C$6:$K$6,C108:K108))</f>
        <v>US912810QL52:2</v>
      </c>
      <c r="M108" s="92">
        <f ca="1">_xll.BDP($B108,$M$5)</f>
        <v>3.2953508</v>
      </c>
      <c r="N108" s="89">
        <f ca="1">_xll.meLWOBondCleanPrice($L108,$C$4,$M108%)</f>
        <v>114.89062471943149</v>
      </c>
      <c r="O108" s="89">
        <f ca="1">_xll.meLWOBondDirtyPrice($L108,$C$4,$M108%)</f>
        <v>116.66915732812714</v>
      </c>
      <c r="P108" s="88">
        <f ca="1">_xll.meLWOBondYield($L108,$C$4,N108)</f>
        <v>3.2953508000000083E-2</v>
      </c>
      <c r="Q108" s="89">
        <f ca="1">_xll.meLWOBondModifiedDuration($L108,$C$4,$M108%)</f>
        <v>14.624832027527781</v>
      </c>
      <c r="R108" s="23">
        <f ca="1">_xll.meLWOBondDV01($L108,$C$4,$M108%)</f>
        <v>1706.2668287170713</v>
      </c>
      <c r="S108" s="85">
        <f t="shared" ca="1" si="13"/>
        <v>3.2953508</v>
      </c>
      <c r="T108" s="22" t="str">
        <f ca="1">_xll.BDP($B108,T$6, "YAS_BOND_YLD="&amp;$S108,"YAS_YLD_CONV=2")</f>
        <v>#N/A Requesting Data...</v>
      </c>
      <c r="U108" s="23">
        <f ca="1">_xll.meLWOBondCleanPrice($L108,$C$4,$S108%)</f>
        <v>114.89062471943149</v>
      </c>
      <c r="V108" s="24" t="e">
        <f t="shared" ca="1" si="15"/>
        <v>#VALUE!</v>
      </c>
      <c r="W108" s="23">
        <f ca="1">_xll.meLWOBondDV01($L108,$C$4,$S108%)</f>
        <v>1706.2668287170713</v>
      </c>
      <c r="X108" s="22" t="e">
        <f ca="1">_xll.BDP($B108,X$6, "YLD_YTM_ASK="&amp;$S108,"YAS_YLD_CONV=3")*$X$3*0.0001</f>
        <v>#VALUE!</v>
      </c>
      <c r="Y108" s="24" t="e">
        <f t="shared" ca="1" si="16"/>
        <v>#VALUE!</v>
      </c>
      <c r="Z108" s="23">
        <f ca="1">_xll.meLWOBondDirtyPrice($L108,$C$4,$S108%)</f>
        <v>116.66915732812714</v>
      </c>
      <c r="AA108" s="23">
        <f ca="1">_xll.meLWOBondModifiedDuration($L108,$C$4,$S108%)</f>
        <v>14.624832027527781</v>
      </c>
      <c r="AB108" s="22" t="str">
        <f ca="1">_xll.BDP($B108,AB$6,"YLD_YTM_ASK="&amp;$S108,"YAS_YLD_CONV=3")</f>
        <v>#N/A Requesting Data...</v>
      </c>
      <c r="AC108" s="24" t="e">
        <f t="shared" ca="1" si="17"/>
        <v>#VALUE!</v>
      </c>
      <c r="AD108" s="23">
        <f ca="1">_xll.meLWOBondDV01Numerical($L108,$C$4,$S108%,0.5,"CENTRAL")</f>
        <v>1706.267115099678</v>
      </c>
    </row>
    <row r="109" spans="2:30">
      <c r="B109" s="15" t="s">
        <v>81</v>
      </c>
      <c r="C109" s="15" t="s">
        <v>82</v>
      </c>
      <c r="D109" s="15" t="s">
        <v>82</v>
      </c>
      <c r="E109" s="16">
        <v>40589</v>
      </c>
      <c r="F109" s="19">
        <v>40589</v>
      </c>
      <c r="G109" s="18" t="str">
        <f t="shared" si="14"/>
        <v/>
      </c>
      <c r="H109" s="16">
        <v>40770</v>
      </c>
      <c r="I109" s="16">
        <v>51363</v>
      </c>
      <c r="J109" s="17">
        <v>4.7500000000000001E-2</v>
      </c>
      <c r="K109" s="16">
        <v>51547</v>
      </c>
      <c r="L109" s="20" t="str">
        <f ca="1">_xll.meLWOBondCreateFromGeneratorLVB(C109,$L$4,_xll.meUtilityLVBFromKeysValues($C$6:$K$6,C109:K109))</f>
        <v>US912810QN19:2</v>
      </c>
      <c r="M109" s="92">
        <f ca="1">_xll.BDP($B109,$M$5)</f>
        <v>3.2955782</v>
      </c>
      <c r="N109" s="89">
        <f ca="1">_xll.meLWOBondCleanPrice($L109,$C$4,$M109%)</f>
        <v>122.8593758000226</v>
      </c>
      <c r="O109" s="89">
        <f ca="1">_xll.meLWOBondDirtyPrice($L109,$C$4,$M109%)</f>
        <v>123.65964753915304</v>
      </c>
      <c r="P109" s="88">
        <f ca="1">_xll.meLWOBondYield($L109,$C$4,N109)</f>
        <v>3.295578199999976E-2</v>
      </c>
      <c r="Q109" s="89">
        <f ca="1">_xll.meLWOBondModifiedDuration($L109,$C$4,$M109%)</f>
        <v>14.54514602427804</v>
      </c>
      <c r="R109" s="23">
        <f ca="1">_xll.meLWOBondDV01($L109,$C$4,$M109%)</f>
        <v>1798.6476307677356</v>
      </c>
      <c r="S109" s="85">
        <f t="shared" ca="1" si="13"/>
        <v>3.2955782</v>
      </c>
      <c r="T109" s="22" t="str">
        <f ca="1">_xll.BDP($B109,T$6, "YAS_BOND_YLD="&amp;$S109,"YAS_YLD_CONV=2")</f>
        <v>#N/A Requesting Data...</v>
      </c>
      <c r="U109" s="23">
        <f ca="1">_xll.meLWOBondCleanPrice($L109,$C$4,$S109%)</f>
        <v>122.8593758000226</v>
      </c>
      <c r="V109" s="24" t="e">
        <f t="shared" ca="1" si="15"/>
        <v>#VALUE!</v>
      </c>
      <c r="W109" s="23">
        <f ca="1">_xll.meLWOBondDV01($L109,$C$4,$S109%)</f>
        <v>1798.6476307677356</v>
      </c>
      <c r="X109" s="22" t="e">
        <f ca="1">_xll.BDP($B109,X$6, "YLD_YTM_ASK="&amp;$S109,"YAS_YLD_CONV=3")*$X$3*0.0001</f>
        <v>#VALUE!</v>
      </c>
      <c r="Y109" s="24" t="e">
        <f t="shared" ca="1" si="16"/>
        <v>#VALUE!</v>
      </c>
      <c r="Z109" s="23">
        <f ca="1">_xll.meLWOBondDirtyPrice($L109,$C$4,$S109%)</f>
        <v>123.65964753915304</v>
      </c>
      <c r="AA109" s="23">
        <f ca="1">_xll.meLWOBondModifiedDuration($L109,$C$4,$S109%)</f>
        <v>14.54514602427804</v>
      </c>
      <c r="AB109" s="22" t="str">
        <f ca="1">_xll.BDP($B109,AB$6,"YLD_YTM_ASK="&amp;$S109,"YAS_YLD_CONV=3")</f>
        <v>#N/A Requesting Data...</v>
      </c>
      <c r="AC109" s="24" t="e">
        <f t="shared" ca="1" si="17"/>
        <v>#VALUE!</v>
      </c>
      <c r="AD109" s="23">
        <f ca="1">_xll.meLWOBondDV01Numerical($L109,$C$4,$S109%,0.5,"CENTRAL")</f>
        <v>1798.647933047022</v>
      </c>
    </row>
    <row r="110" spans="2:30">
      <c r="B110" s="15" t="s">
        <v>105</v>
      </c>
      <c r="C110" s="15" t="s">
        <v>106</v>
      </c>
      <c r="D110" s="15" t="s">
        <v>106</v>
      </c>
      <c r="E110" s="16">
        <v>40679</v>
      </c>
      <c r="F110" s="19">
        <v>40678</v>
      </c>
      <c r="G110" s="18" t="str">
        <f t="shared" si="14"/>
        <v/>
      </c>
      <c r="H110" s="16">
        <v>40862</v>
      </c>
      <c r="I110" s="16">
        <v>51455</v>
      </c>
      <c r="J110" s="17">
        <v>4.3749999999999997E-2</v>
      </c>
      <c r="K110" s="16">
        <v>51636</v>
      </c>
      <c r="L110" s="20" t="str">
        <f ca="1">_xll.meLWOBondCreateFromGeneratorLVB(C110,$L$4,_xll.meUtilityLVBFromKeysValues($C$6:$K$6,C110:K110))</f>
        <v>US912810QQ40:2</v>
      </c>
      <c r="M110" s="92">
        <f ca="1">_xll.BDP($B110,$M$5)</f>
        <v>3.3009759999999999</v>
      </c>
      <c r="N110" s="89">
        <f ca="1">_xll.meLWOBondCleanPrice($L110,$C$4,$M110%)</f>
        <v>116.99999987172428</v>
      </c>
      <c r="O110" s="89">
        <f ca="1">_xll.meLWOBondDirtyPrice($L110,$C$4,$M110%)</f>
        <v>118.83084226302863</v>
      </c>
      <c r="P110" s="88">
        <f ca="1">_xll.meLWOBondYield($L110,$C$4,N110)</f>
        <v>3.3009760000000152E-2</v>
      </c>
      <c r="Q110" s="89">
        <f ca="1">_xll.meLWOBondModifiedDuration($L110,$C$4,$M110%)</f>
        <v>14.753064774704397</v>
      </c>
      <c r="R110" s="23">
        <f ca="1">_xll.meLWOBondDV01($L110,$C$4,$M110%)</f>
        <v>1753.1191131391422</v>
      </c>
      <c r="S110" s="85">
        <f t="shared" ca="1" si="13"/>
        <v>3.3009759999999999</v>
      </c>
      <c r="T110" s="22" t="str">
        <f ca="1">_xll.BDP($B110,T$6, "YAS_BOND_YLD="&amp;$S110,"YAS_YLD_CONV=2")</f>
        <v>#N/A Requesting Data...</v>
      </c>
      <c r="U110" s="23">
        <f ca="1">_xll.meLWOBondCleanPrice($L110,$C$4,$S110%)</f>
        <v>116.99999987172428</v>
      </c>
      <c r="V110" s="24" t="e">
        <f t="shared" ca="1" si="15"/>
        <v>#VALUE!</v>
      </c>
      <c r="W110" s="23">
        <f ca="1">_xll.meLWOBondDV01($L110,$C$4,$S110%)</f>
        <v>1753.1191131391422</v>
      </c>
      <c r="X110" s="22" t="e">
        <f ca="1">_xll.BDP($B110,X$6, "YLD_YTM_ASK="&amp;$S110,"YAS_YLD_CONV=3")*$X$3*0.0001</f>
        <v>#VALUE!</v>
      </c>
      <c r="Y110" s="24" t="e">
        <f t="shared" ca="1" si="16"/>
        <v>#VALUE!</v>
      </c>
      <c r="Z110" s="23">
        <f ca="1">_xll.meLWOBondDirtyPrice($L110,$C$4,$S110%)</f>
        <v>118.83084226302863</v>
      </c>
      <c r="AA110" s="23">
        <f ca="1">_xll.meLWOBondModifiedDuration($L110,$C$4,$S110%)</f>
        <v>14.753064774704397</v>
      </c>
      <c r="AB110" s="22" t="str">
        <f ca="1">_xll.BDP($B110,AB$6,"YLD_YTM_ASK="&amp;$S110,"YAS_YLD_CONV=3")</f>
        <v>#N/A Requesting Data...</v>
      </c>
      <c r="AC110" s="24" t="e">
        <f t="shared" ca="1" si="17"/>
        <v>#VALUE!</v>
      </c>
      <c r="AD110" s="23">
        <f ca="1">_xll.meLWOBondDV01Numerical($L110,$C$4,$S110%,0.5,"CENTRAL")</f>
        <v>1753.1194173631095</v>
      </c>
    </row>
    <row r="111" spans="2:30">
      <c r="B111" s="15" t="s">
        <v>135</v>
      </c>
      <c r="C111" s="15" t="s">
        <v>136</v>
      </c>
      <c r="D111" s="15" t="s">
        <v>136</v>
      </c>
      <c r="E111" s="16">
        <v>40770</v>
      </c>
      <c r="F111" s="19">
        <v>40770</v>
      </c>
      <c r="G111" s="18" t="str">
        <f t="shared" si="14"/>
        <v/>
      </c>
      <c r="H111" s="16">
        <v>40954</v>
      </c>
      <c r="I111" s="16">
        <v>51547</v>
      </c>
      <c r="J111" s="17">
        <v>3.7499999999999999E-2</v>
      </c>
      <c r="K111" s="16">
        <v>51728</v>
      </c>
      <c r="L111" s="20" t="str">
        <f ca="1">_xll.meLWOBondCreateFromGeneratorLVB(C111,$L$4,_xll.meUtilityLVBFromKeysValues($C$6:$K$6,C111:K111))</f>
        <v>US912810QS06:2</v>
      </c>
      <c r="M111" s="92">
        <f ca="1">_xll.BDP($B111,$M$5)</f>
        <v>3.3066974999999998</v>
      </c>
      <c r="N111" s="89">
        <f ca="1">_xll.meLWOBondCleanPrice($L111,$C$4,$M111%)</f>
        <v>107.06250022540603</v>
      </c>
      <c r="O111" s="89">
        <f ca="1">_xll.meLWOBondDirtyPrice($L111,$C$4,$M111%)</f>
        <v>107.6942937036669</v>
      </c>
      <c r="P111" s="88">
        <f ca="1">_xll.meLWOBondYield($L111,$C$4,N111)</f>
        <v>3.3066975000000227E-2</v>
      </c>
      <c r="Q111" s="89">
        <f ca="1">_xll.meLWOBondModifiedDuration($L111,$C$4,$M111%)</f>
        <v>15.463352331048137</v>
      </c>
      <c r="R111" s="23">
        <f ca="1">_xll.meLWOBondDV01($L111,$C$4,$M111%)</f>
        <v>1665.3148075831803</v>
      </c>
      <c r="S111" s="85">
        <f t="shared" ca="1" si="13"/>
        <v>3.3066974999999998</v>
      </c>
      <c r="T111" s="22" t="str">
        <f ca="1">_xll.BDP($B111,T$6, "YAS_BOND_YLD="&amp;$S111,"YAS_YLD_CONV=2")</f>
        <v>#N/A Requesting Data...</v>
      </c>
      <c r="U111" s="23">
        <f ca="1">_xll.meLWOBondCleanPrice($L111,$C$4,$S111%)</f>
        <v>107.06250022540603</v>
      </c>
      <c r="V111" s="24" t="e">
        <f t="shared" ca="1" si="15"/>
        <v>#VALUE!</v>
      </c>
      <c r="W111" s="23">
        <f ca="1">_xll.meLWOBondDV01($L111,$C$4,$S111%)</f>
        <v>1665.3148075831803</v>
      </c>
      <c r="X111" s="22" t="e">
        <f ca="1">_xll.BDP($B111,X$6, "YLD_YTM_ASK="&amp;$S111,"YAS_YLD_CONV=3")*$X$3*0.0001</f>
        <v>#VALUE!</v>
      </c>
      <c r="Y111" s="24" t="e">
        <f t="shared" ca="1" si="16"/>
        <v>#VALUE!</v>
      </c>
      <c r="Z111" s="23">
        <f ca="1">_xll.meLWOBondDirtyPrice($L111,$C$4,$S111%)</f>
        <v>107.6942937036669</v>
      </c>
      <c r="AA111" s="23">
        <f ca="1">_xll.meLWOBondModifiedDuration($L111,$C$4,$S111%)</f>
        <v>15.463352331048137</v>
      </c>
      <c r="AB111" s="22" t="str">
        <f ca="1">_xll.BDP($B111,AB$6,"YLD_YTM_ASK="&amp;$S111,"YAS_YLD_CONV=3")</f>
        <v>#N/A Requesting Data...</v>
      </c>
      <c r="AC111" s="24" t="e">
        <f t="shared" ca="1" si="17"/>
        <v>#VALUE!</v>
      </c>
      <c r="AD111" s="23">
        <f ca="1">_xll.meLWOBondDV01Numerical($L111,$C$4,$S111%,0.5,"CENTRAL")</f>
        <v>1665.3151091585983</v>
      </c>
    </row>
    <row r="112" spans="2:30">
      <c r="B112" s="15" t="s">
        <v>263</v>
      </c>
      <c r="C112" s="15" t="s">
        <v>264</v>
      </c>
      <c r="D112" s="15" t="s">
        <v>264</v>
      </c>
      <c r="E112" s="16">
        <v>40862</v>
      </c>
      <c r="F112" s="19">
        <v>40862</v>
      </c>
      <c r="G112" s="18" t="str">
        <f t="shared" si="14"/>
        <v/>
      </c>
      <c r="H112" s="16">
        <v>41044</v>
      </c>
      <c r="I112" s="16">
        <v>51636</v>
      </c>
      <c r="J112" s="17">
        <v>3.125E-2</v>
      </c>
      <c r="K112" s="16">
        <v>51820</v>
      </c>
      <c r="L112" s="20" t="str">
        <f ca="1">_xll.meLWOBondCreateFromGeneratorLVB(C112,$L$4,_xll.meUtilityLVBFromKeysValues($C$6:$K$6,C112:K112))</f>
        <v>US912810QT88:2</v>
      </c>
      <c r="M112" s="92">
        <f ca="1">_xll.BDP($B112,$M$5)</f>
        <v>3.3088568</v>
      </c>
      <c r="N112" s="89">
        <f ca="1">_xll.meLWOBondCleanPrice($L112,$C$4,$M112%)</f>
        <v>97.046875262553797</v>
      </c>
      <c r="O112" s="89">
        <f ca="1">_xll.meLWOBondDirtyPrice($L112,$C$4,$M112%)</f>
        <v>98.354619827771188</v>
      </c>
      <c r="P112" s="88">
        <f ca="1">_xll.meLWOBondYield($L112,$C$4,N112)</f>
        <v>3.3088568000025527E-2</v>
      </c>
      <c r="Q112" s="89">
        <f ca="1">_xll.meLWOBondModifiedDuration($L112,$C$4,$M112%)</f>
        <v>16.016169209864984</v>
      </c>
      <c r="R112" s="23">
        <f ca="1">_xll.meLWOBondDV01($L112,$C$4,$M112%)</f>
        <v>1575.2642337335251</v>
      </c>
      <c r="S112" s="85">
        <f t="shared" ca="1" si="13"/>
        <v>3.3088568</v>
      </c>
      <c r="T112" s="22" t="str">
        <f ca="1">_xll.BDP($B112,T$6, "YAS_BOND_YLD="&amp;$S112,"YAS_YLD_CONV=2")</f>
        <v>#N/A Requesting Data...</v>
      </c>
      <c r="U112" s="23">
        <f ca="1">_xll.meLWOBondCleanPrice($L112,$C$4,$S112%)</f>
        <v>97.046875262553797</v>
      </c>
      <c r="V112" s="24" t="e">
        <f t="shared" ca="1" si="15"/>
        <v>#VALUE!</v>
      </c>
      <c r="W112" s="23">
        <f ca="1">_xll.meLWOBondDV01($L112,$C$4,$S112%)</f>
        <v>1575.2642337335251</v>
      </c>
      <c r="X112" s="22" t="e">
        <f ca="1">_xll.BDP($B112,X$6, "YLD_YTM_ASK="&amp;$S112,"YAS_YLD_CONV=3")*$X$3*0.0001</f>
        <v>#VALUE!</v>
      </c>
      <c r="Y112" s="24" t="e">
        <f t="shared" ca="1" si="16"/>
        <v>#VALUE!</v>
      </c>
      <c r="Z112" s="23">
        <f ca="1">_xll.meLWOBondDirtyPrice($L112,$C$4,$S112%)</f>
        <v>98.354619827771188</v>
      </c>
      <c r="AA112" s="23">
        <f ca="1">_xll.meLWOBondModifiedDuration($L112,$C$4,$S112%)</f>
        <v>16.016169209864984</v>
      </c>
      <c r="AB112" s="22" t="str">
        <f ca="1">_xll.BDP($B112,AB$6,"YLD_YTM_ASK="&amp;$S112,"YAS_YLD_CONV=3")</f>
        <v>#N/A Requesting Data...</v>
      </c>
      <c r="AC112" s="24" t="e">
        <f t="shared" ca="1" si="17"/>
        <v>#VALUE!</v>
      </c>
      <c r="AD112" s="23">
        <f ca="1">_xll.meLWOBondDV01Numerical($L112,$C$4,$S112%,0.5,"CENTRAL")</f>
        <v>1575.2645322488945</v>
      </c>
    </row>
    <row r="113" spans="1:16384">
      <c r="B113" s="15" t="s">
        <v>241</v>
      </c>
      <c r="C113" s="15" t="s">
        <v>242</v>
      </c>
      <c r="D113" s="15" t="s">
        <v>242</v>
      </c>
      <c r="E113" s="16">
        <v>40954</v>
      </c>
      <c r="F113" s="19">
        <v>40954</v>
      </c>
      <c r="G113" s="18" t="str">
        <f t="shared" si="14"/>
        <v/>
      </c>
      <c r="H113" s="16">
        <v>41136</v>
      </c>
      <c r="I113" s="16">
        <v>51728</v>
      </c>
      <c r="J113" s="17">
        <v>3.125E-2</v>
      </c>
      <c r="K113" s="16">
        <v>51912</v>
      </c>
      <c r="L113" s="20" t="str">
        <f ca="1">_xll.meLWOBondCreateFromGeneratorLVB(C113,$L$4,_xll.meUtilityLVBFromKeysValues($C$6:$K$6,C113:K113))</f>
        <v>US912810QU51:2</v>
      </c>
      <c r="M113" s="92">
        <f ca="1">_xll.BDP($B113,$M$5)</f>
        <v>3.3123711</v>
      </c>
      <c r="N113" s="89">
        <f ca="1">_xll.meLWOBondCleanPrice($L113,$C$4,$M113%)</f>
        <v>96.968749987739031</v>
      </c>
      <c r="O113" s="89">
        <f ca="1">_xll.meLWOBondDirtyPrice($L113,$C$4,$M113%)</f>
        <v>97.495244552956422</v>
      </c>
      <c r="P113" s="88">
        <f ca="1">_xll.meLWOBondYield($L113,$C$4,N113)</f>
        <v>3.3123711000025133E-2</v>
      </c>
      <c r="Q113" s="89">
        <f ca="1">_xll.meLWOBondModifiedDuration($L113,$C$4,$M113%)</f>
        <v>16.259591734573508</v>
      </c>
      <c r="R113" s="23">
        <f ca="1">_xll.meLWOBondDV01($L113,$C$4,$M113%)</f>
        <v>1585.2328724934732</v>
      </c>
      <c r="S113" s="85">
        <f t="shared" ca="1" si="13"/>
        <v>3.3123711</v>
      </c>
      <c r="T113" s="22" t="str">
        <f ca="1">_xll.BDP($B113,T$6, "YAS_BOND_YLD="&amp;$S113,"YAS_YLD_CONV=2")</f>
        <v>#N/A Requesting Data...</v>
      </c>
      <c r="U113" s="23">
        <f ca="1">_xll.meLWOBondCleanPrice($L113,$C$4,$S113%)</f>
        <v>96.968749987739031</v>
      </c>
      <c r="V113" s="24" t="e">
        <f t="shared" ca="1" si="15"/>
        <v>#VALUE!</v>
      </c>
      <c r="W113" s="23">
        <f ca="1">_xll.meLWOBondDV01($L113,$C$4,$S113%)</f>
        <v>1585.2328724934732</v>
      </c>
      <c r="X113" s="22" t="e">
        <f ca="1">_xll.BDP($B113,X$6, "YLD_YTM_ASK="&amp;$S113,"YAS_YLD_CONV=3")*$X$3*0.0001</f>
        <v>#VALUE!</v>
      </c>
      <c r="Y113" s="24" t="e">
        <f t="shared" ca="1" si="16"/>
        <v>#VALUE!</v>
      </c>
      <c r="Z113" s="23">
        <f ca="1">_xll.meLWOBondDirtyPrice($L113,$C$4,$S113%)</f>
        <v>97.495244552956422</v>
      </c>
      <c r="AA113" s="23">
        <f ca="1">_xll.meLWOBondModifiedDuration($L113,$C$4,$S113%)</f>
        <v>16.259591734573508</v>
      </c>
      <c r="AB113" s="22" t="str">
        <f ca="1">_xll.BDP($B113,AB$6,"YLD_YTM_ASK="&amp;$S113,"YAS_YLD_CONV=3")</f>
        <v>#N/A Requesting Data...</v>
      </c>
      <c r="AC113" s="24" t="e">
        <f t="shared" ca="1" si="17"/>
        <v>#VALUE!</v>
      </c>
      <c r="AD113" s="23">
        <f ca="1">_xll.meLWOBondDV01Numerical($L113,$C$4,$S113%,0.5,"CENTRAL")</f>
        <v>1585.2331785029605</v>
      </c>
    </row>
    <row r="114" spans="1:16384">
      <c r="B114" s="15" t="s">
        <v>281</v>
      </c>
      <c r="C114" s="15" t="s">
        <v>282</v>
      </c>
      <c r="D114" s="15" t="s">
        <v>282</v>
      </c>
      <c r="E114" s="16">
        <v>41044</v>
      </c>
      <c r="F114" s="19">
        <v>41044</v>
      </c>
      <c r="G114" s="18" t="str">
        <f t="shared" si="14"/>
        <v/>
      </c>
      <c r="H114" s="16">
        <v>41228</v>
      </c>
      <c r="I114" s="16">
        <v>51820</v>
      </c>
      <c r="J114" s="17">
        <v>0.03</v>
      </c>
      <c r="K114" s="16">
        <v>52001</v>
      </c>
      <c r="L114" s="20" t="str">
        <f ca="1">_xll.meLWOBondCreateFromGeneratorLVB(C114,$L$4,_xll.meUtilityLVBFromKeysValues($C$6:$K$6,C114:K114))</f>
        <v>US912810QW18:2</v>
      </c>
      <c r="M114" s="92">
        <f ca="1">_xll.BDP($B114,$M$5)</f>
        <v>3.3168191</v>
      </c>
      <c r="N114" s="89">
        <f ca="1">_xll.meLWOBondCleanPrice($L114,$C$4,$M114%)</f>
        <v>94.843750178020599</v>
      </c>
      <c r="O114" s="89">
        <f ca="1">_xll.meLWOBondDirtyPrice($L114,$C$4,$M114%)</f>
        <v>96.099184960629302</v>
      </c>
      <c r="P114" s="88">
        <f ca="1">_xll.meLWOBondYield($L114,$C$4,N114)</f>
        <v>3.3168191000000166E-2</v>
      </c>
      <c r="Q114" s="89">
        <f ca="1">_xll.meLWOBondModifiedDuration($L114,$C$4,$M114%)</f>
        <v>16.37497245129488</v>
      </c>
      <c r="R114" s="23">
        <f ca="1">_xll.meLWOBondDV01($L114,$C$4,$M114%)</f>
        <v>1573.6215063221962</v>
      </c>
      <c r="S114" s="85">
        <f t="shared" ca="1" si="13"/>
        <v>3.3168191</v>
      </c>
      <c r="T114" s="22" t="str">
        <f ca="1">_xll.BDP($B114,T$6, "YAS_BOND_YLD="&amp;$S114,"YAS_YLD_CONV=2")</f>
        <v>#N/A Requesting Data...</v>
      </c>
      <c r="U114" s="23">
        <f ca="1">_xll.meLWOBondCleanPrice($L114,$C$4,$S114%)</f>
        <v>94.843750178020599</v>
      </c>
      <c r="V114" s="24" t="e">
        <f t="shared" ca="1" si="15"/>
        <v>#VALUE!</v>
      </c>
      <c r="W114" s="23">
        <f ca="1">_xll.meLWOBondDV01($L114,$C$4,$S114%)</f>
        <v>1573.6215063221962</v>
      </c>
      <c r="X114" s="22" t="e">
        <f ca="1">_xll.BDP($B114,X$6, "YLD_YTM_ASK="&amp;$S114,"YAS_YLD_CONV=3")*$X$3*0.0001</f>
        <v>#VALUE!</v>
      </c>
      <c r="Y114" s="24" t="e">
        <f t="shared" ca="1" si="16"/>
        <v>#VALUE!</v>
      </c>
      <c r="Z114" s="23">
        <f ca="1">_xll.meLWOBondDirtyPrice($L114,$C$4,$S114%)</f>
        <v>96.099184960629302</v>
      </c>
      <c r="AA114" s="23">
        <f ca="1">_xll.meLWOBondModifiedDuration($L114,$C$4,$S114%)</f>
        <v>16.37497245129488</v>
      </c>
      <c r="AB114" s="22" t="str">
        <f ca="1">_xll.BDP($B114,AB$6,"YLD_YTM_ASK="&amp;$S114,"YAS_YLD_CONV=3")</f>
        <v>#N/A Requesting Data...</v>
      </c>
      <c r="AC114" s="24" t="e">
        <f t="shared" ca="1" si="17"/>
        <v>#VALUE!</v>
      </c>
      <c r="AD114" s="23">
        <f ca="1">_xll.meLWOBondDV01Numerical($L114,$C$4,$S114%,0.5,"CENTRAL")</f>
        <v>1573.6218175048577</v>
      </c>
    </row>
    <row r="115" spans="1:16384">
      <c r="B115" s="15" t="s">
        <v>48</v>
      </c>
      <c r="C115" s="15" t="s">
        <v>49</v>
      </c>
      <c r="D115" s="15" t="s">
        <v>49</v>
      </c>
      <c r="E115" s="16">
        <v>41136</v>
      </c>
      <c r="F115" s="19">
        <v>41136</v>
      </c>
      <c r="G115" s="18" t="str">
        <f t="shared" si="14"/>
        <v/>
      </c>
      <c r="H115" s="16">
        <v>41320</v>
      </c>
      <c r="I115" s="16">
        <v>51912</v>
      </c>
      <c r="J115" s="17">
        <v>2.75E-2</v>
      </c>
      <c r="K115" s="16">
        <v>52093</v>
      </c>
      <c r="L115" s="20" t="str">
        <f ca="1">_xll.meLWOBondCreateFromGeneratorLVB(C115,$L$4,_xll.meUtilityLVBFromKeysValues($C$6:$K$6,C115:K115))</f>
        <v>US912810QX90:2</v>
      </c>
      <c r="M115" s="92">
        <f ca="1">_xll.BDP($B115,$M$5)</f>
        <v>3.3203752999999998</v>
      </c>
      <c r="N115" s="89">
        <f ca="1">_xll.meLWOBondCleanPrice($L115,$C$4,$M115%)</f>
        <v>90.656250188820849</v>
      </c>
      <c r="O115" s="89">
        <f ca="1">_xll.meLWOBondDirtyPrice($L115,$C$4,$M115%)</f>
        <v>91.119565406212146</v>
      </c>
      <c r="P115" s="88">
        <f ca="1">_xll.meLWOBondYield($L115,$C$4,N115)</f>
        <v>3.3203753000000176E-2</v>
      </c>
      <c r="Q115" s="89">
        <f ca="1">_xll.meLWOBondModifiedDuration($L115,$C$4,$M115%)</f>
        <v>16.902967219952483</v>
      </c>
      <c r="R115" s="23">
        <f ca="1">_xll.meLWOBondDV01($L115,$C$4,$M115%)</f>
        <v>1540.1910271575202</v>
      </c>
      <c r="S115" s="85">
        <f t="shared" ca="1" si="13"/>
        <v>3.3203752999999998</v>
      </c>
      <c r="T115" s="22" t="str">
        <f ca="1">_xll.BDP($B115,T$6, "YAS_BOND_YLD="&amp;$S115,"YAS_YLD_CONV=2")</f>
        <v>#N/A Requesting Data...</v>
      </c>
      <c r="U115" s="23">
        <f ca="1">_xll.meLWOBondCleanPrice($L115,$C$4,$S115%)</f>
        <v>90.656250188820849</v>
      </c>
      <c r="V115" s="24" t="e">
        <f t="shared" ca="1" si="15"/>
        <v>#VALUE!</v>
      </c>
      <c r="W115" s="23">
        <f ca="1">_xll.meLWOBondDV01($L115,$C$4,$S115%)</f>
        <v>1540.1910271575202</v>
      </c>
      <c r="X115" s="22" t="e">
        <f ca="1">_xll.BDP($B115,X$6, "YLD_YTM_ASK="&amp;$S115,"YAS_YLD_CONV=3")*$X$3*0.0001</f>
        <v>#VALUE!</v>
      </c>
      <c r="Y115" s="24" t="e">
        <f t="shared" ca="1" si="16"/>
        <v>#VALUE!</v>
      </c>
      <c r="Z115" s="23">
        <f ca="1">_xll.meLWOBondDirtyPrice($L115,$C$4,$S115%)</f>
        <v>91.119565406212146</v>
      </c>
      <c r="AA115" s="23">
        <f ca="1">_xll.meLWOBondModifiedDuration($L115,$C$4,$S115%)</f>
        <v>16.902967219952483</v>
      </c>
      <c r="AB115" s="22" t="str">
        <f ca="1">_xll.BDP($B115,AB$6,"YLD_YTM_ASK="&amp;$S115,"YAS_YLD_CONV=3")</f>
        <v>#N/A Requesting Data...</v>
      </c>
      <c r="AC115" s="24" t="e">
        <f t="shared" ca="1" si="17"/>
        <v>#VALUE!</v>
      </c>
      <c r="AD115" s="23">
        <f ca="1">_xll.meLWOBondDV01Numerical($L115,$C$4,$S115%,0.5,"CENTRAL")</f>
        <v>1540.1913410552481</v>
      </c>
    </row>
    <row r="116" spans="1:16384">
      <c r="B116" s="15" t="s">
        <v>45</v>
      </c>
      <c r="C116" s="15" t="s">
        <v>46</v>
      </c>
      <c r="D116" s="15" t="s">
        <v>46</v>
      </c>
      <c r="E116" s="16">
        <v>41228</v>
      </c>
      <c r="F116" s="19">
        <v>41228</v>
      </c>
      <c r="G116" s="18" t="str">
        <f t="shared" si="14"/>
        <v/>
      </c>
      <c r="H116" s="16">
        <v>41409</v>
      </c>
      <c r="I116" s="16">
        <v>52001</v>
      </c>
      <c r="J116" s="17">
        <v>2.75E-2</v>
      </c>
      <c r="K116" s="16">
        <v>52185</v>
      </c>
      <c r="L116" s="20" t="str">
        <f ca="1">_xll.meLWOBondCreateFromGeneratorLVB(C116,$L$4,_xll.meUtilityLVBFromKeysValues($C$6:$K$6,C116:K116))</f>
        <v>US912810QY73:2</v>
      </c>
      <c r="M116" s="92">
        <f ca="1">_xll.BDP($B116,$M$5)</f>
        <v>3.3233506999999998</v>
      </c>
      <c r="N116" s="89">
        <f ca="1">_xll.meLWOBondCleanPrice($L116,$C$4,$M116%)</f>
        <v>90.546874533532915</v>
      </c>
      <c r="O116" s="89">
        <f ca="1">_xll.meLWOBondDirtyPrice($L116,$C$4,$M116%)</f>
        <v>91.697689750924212</v>
      </c>
      <c r="P116" s="88">
        <f ca="1">_xll.meLWOBondYield($L116,$C$4,N116)</f>
        <v>3.3233506999999753E-2</v>
      </c>
      <c r="Q116" s="89">
        <f ca="1">_xll.meLWOBondModifiedDuration($L116,$C$4,$M116%)</f>
        <v>16.891464747234934</v>
      </c>
      <c r="R116" s="23">
        <f ca="1">_xll.meLWOBondDV01($L116,$C$4,$M116%)</f>
        <v>1548.9082938306226</v>
      </c>
      <c r="S116" s="85">
        <f t="shared" ca="1" si="13"/>
        <v>3.3233506999999998</v>
      </c>
      <c r="T116" s="22" t="str">
        <f ca="1">_xll.BDP($B116,T$6, "YAS_BOND_YLD="&amp;$S116,"YAS_YLD_CONV=2")</f>
        <v>#N/A Requesting Data...</v>
      </c>
      <c r="U116" s="23">
        <f ca="1">_xll.meLWOBondCleanPrice($L116,$C$4,$S116%)</f>
        <v>90.546874533532915</v>
      </c>
      <c r="V116" s="24" t="e">
        <f t="shared" ca="1" si="15"/>
        <v>#VALUE!</v>
      </c>
      <c r="W116" s="23">
        <f ca="1">_xll.meLWOBondDV01($L116,$C$4,$S116%)</f>
        <v>1548.9082938306226</v>
      </c>
      <c r="X116" s="22" t="e">
        <f ca="1">_xll.BDP($B116,X$6, "YLD_YTM_ASK="&amp;$S116,"YAS_YLD_CONV=3")*$X$3*0.0001</f>
        <v>#VALUE!</v>
      </c>
      <c r="Y116" s="24" t="e">
        <f t="shared" ca="1" si="16"/>
        <v>#VALUE!</v>
      </c>
      <c r="Z116" s="23">
        <f ca="1">_xll.meLWOBondDirtyPrice($L116,$C$4,$S116%)</f>
        <v>91.697689750924212</v>
      </c>
      <c r="AA116" s="23">
        <f ca="1">_xll.meLWOBondModifiedDuration($L116,$C$4,$S116%)</f>
        <v>16.891464747234934</v>
      </c>
      <c r="AB116" s="22" t="str">
        <f ca="1">_xll.BDP($B116,AB$6,"YLD_YTM_ASK="&amp;$S116,"YAS_YLD_CONV=3")</f>
        <v>#N/A Requesting Data...</v>
      </c>
      <c r="AC116" s="24" t="e">
        <f t="shared" ca="1" si="17"/>
        <v>#VALUE!</v>
      </c>
      <c r="AD116" s="23">
        <f ca="1">_xll.meLWOBondDV01Numerical($L116,$C$4,$S116%,0.5,"CENTRAL")</f>
        <v>1548.9086152676634</v>
      </c>
    </row>
    <row r="117" spans="1:16384">
      <c r="B117" s="15" t="s">
        <v>249</v>
      </c>
      <c r="C117" s="15" t="s">
        <v>250</v>
      </c>
      <c r="D117" s="15" t="s">
        <v>250</v>
      </c>
      <c r="E117" s="16">
        <v>41320</v>
      </c>
      <c r="F117" s="19">
        <v>41320</v>
      </c>
      <c r="G117" s="18" t="str">
        <f t="shared" si="14"/>
        <v/>
      </c>
      <c r="H117" s="16">
        <v>41501</v>
      </c>
      <c r="I117" s="16">
        <v>52093</v>
      </c>
      <c r="J117" s="17">
        <v>3.125E-2</v>
      </c>
      <c r="K117" s="16">
        <v>52277</v>
      </c>
      <c r="L117" s="20" t="str">
        <f ca="1">_xll.meLWOBondCreateFromGeneratorLVB(C117,$L$4,_xll.meUtilityLVBFromKeysValues($C$6:$K$6,C117:K117))</f>
        <v>US912810QZ49:2</v>
      </c>
      <c r="M117" s="92">
        <f ca="1">_xll.BDP($B117,$M$5)</f>
        <v>3.3234789</v>
      </c>
      <c r="N117" s="89">
        <f ca="1">_xll.meLWOBondCleanPrice($L117,$C$4,$M117%)</f>
        <v>96.703124319946056</v>
      </c>
      <c r="O117" s="89">
        <f ca="1">_xll.meLWOBondDirtyPrice($L117,$C$4,$M117%)</f>
        <v>97.229618885163447</v>
      </c>
      <c r="P117" s="88">
        <f ca="1">_xll.meLWOBondYield($L117,$C$4,N117)</f>
        <v>3.3234789000019499E-2</v>
      </c>
      <c r="Q117" s="89">
        <f ca="1">_xll.meLWOBondModifiedDuration($L117,$C$4,$M117%)</f>
        <v>16.709835450697611</v>
      </c>
      <c r="R117" s="23">
        <f ca="1">_xll.meLWOBondDV01($L117,$C$4,$M117%)</f>
        <v>1624.690932505122</v>
      </c>
      <c r="S117" s="85">
        <f t="shared" ca="1" si="13"/>
        <v>3.3234789</v>
      </c>
      <c r="T117" s="22" t="str">
        <f ca="1">_xll.BDP($B117,T$6, "YAS_BOND_YLD="&amp;$S117,"YAS_YLD_CONV=2")</f>
        <v>#N/A Requesting Data...</v>
      </c>
      <c r="U117" s="23">
        <f ca="1">_xll.meLWOBondCleanPrice($L117,$C$4,$S117%)</f>
        <v>96.703124319946056</v>
      </c>
      <c r="V117" s="24" t="e">
        <f t="shared" ca="1" si="15"/>
        <v>#VALUE!</v>
      </c>
      <c r="W117" s="23">
        <f ca="1">_xll.meLWOBondDV01($L117,$C$4,$S117%)</f>
        <v>1624.690932505122</v>
      </c>
      <c r="X117" s="22" t="e">
        <f ca="1">_xll.BDP($B117,X$6, "YLD_YTM_ASK="&amp;$S117,"YAS_YLD_CONV=3")*$X$3*0.0001</f>
        <v>#VALUE!</v>
      </c>
      <c r="Y117" s="24" t="e">
        <f t="shared" ca="1" si="16"/>
        <v>#VALUE!</v>
      </c>
      <c r="Z117" s="23">
        <f ca="1">_xll.meLWOBondDirtyPrice($L117,$C$4,$S117%)</f>
        <v>97.229618885163447</v>
      </c>
      <c r="AA117" s="23">
        <f ca="1">_xll.meLWOBondModifiedDuration($L117,$C$4,$S117%)</f>
        <v>16.709835450697611</v>
      </c>
      <c r="AB117" s="22" t="str">
        <f ca="1">_xll.BDP($B117,AB$6,"YLD_YTM_ASK="&amp;$S117,"YAS_YLD_CONV=3")</f>
        <v>#N/A Requesting Data...</v>
      </c>
      <c r="AC117" s="24" t="e">
        <f t="shared" ca="1" si="17"/>
        <v>#VALUE!</v>
      </c>
      <c r="AD117" s="23">
        <f ca="1">_xll.meLWOBondDV01Numerical($L117,$C$4,$S117%,0.5,"CENTRAL")</f>
        <v>1624.6912695658011</v>
      </c>
    </row>
    <row r="118" spans="1:16384">
      <c r="B118" s="15" t="s">
        <v>51</v>
      </c>
      <c r="C118" s="15" t="s">
        <v>52</v>
      </c>
      <c r="D118" s="15" t="s">
        <v>52</v>
      </c>
      <c r="E118" s="16">
        <v>41409</v>
      </c>
      <c r="F118" s="19">
        <v>41409</v>
      </c>
      <c r="G118" s="18" t="str">
        <f t="shared" si="14"/>
        <v/>
      </c>
      <c r="H118" s="16">
        <v>41593</v>
      </c>
      <c r="I118" s="16">
        <v>52185</v>
      </c>
      <c r="J118" s="17">
        <v>2.8750000000000001E-2</v>
      </c>
      <c r="K118" s="16">
        <v>52366</v>
      </c>
      <c r="L118" s="20" t="str">
        <f ca="1">_xll.meLWOBondCreateFromGeneratorLVB(C118,$L$4,_xll.meUtilityLVBFromKeysValues($C$6:$K$6,C118:K118))</f>
        <v>US912810RB61:2</v>
      </c>
      <c r="M118" s="92">
        <f ca="1">_xll.BDP($B118,$M$5)</f>
        <v>3.3248175</v>
      </c>
      <c r="N118" s="89">
        <f ca="1">_xll.meLWOBondCleanPrice($L118,$C$4,$M118%)</f>
        <v>92.484375528559724</v>
      </c>
      <c r="O118" s="89">
        <f ca="1">_xll.meLWOBondDirtyPrice($L118,$C$4,$M118%)</f>
        <v>93.687500528559724</v>
      </c>
      <c r="P118" s="88">
        <f ca="1">_xll.meLWOBondYield($L118,$C$4,N118)</f>
        <v>3.3248175000000234E-2</v>
      </c>
      <c r="Q118" s="89">
        <f ca="1">_xll.meLWOBondModifiedDuration($L118,$C$4,$M118%)</f>
        <v>16.970771993790979</v>
      </c>
      <c r="R118" s="23">
        <f ca="1">_xll.meLWOBondDV01($L118,$C$4,$M118%)</f>
        <v>1589.9492101383589</v>
      </c>
      <c r="S118" s="85">
        <f t="shared" ca="1" si="13"/>
        <v>3.3248175</v>
      </c>
      <c r="T118" s="22" t="str">
        <f ca="1">_xll.BDP($B118,T$6, "YAS_BOND_YLD="&amp;$S118,"YAS_YLD_CONV=2")</f>
        <v>#N/A Requesting Data...</v>
      </c>
      <c r="U118" s="23">
        <f ca="1">_xll.meLWOBondCleanPrice($L118,$C$4,$S118%)</f>
        <v>92.484375528559724</v>
      </c>
      <c r="V118" s="24" t="e">
        <f t="shared" ca="1" si="15"/>
        <v>#VALUE!</v>
      </c>
      <c r="W118" s="23">
        <f ca="1">_xll.meLWOBondDV01($L118,$C$4,$S118%)</f>
        <v>1589.9492101383589</v>
      </c>
      <c r="X118" s="22" t="e">
        <f ca="1">_xll.BDP($B118,X$6, "YLD_YTM_ASK="&amp;$S118,"YAS_YLD_CONV=3")*$X$3*0.0001</f>
        <v>#VALUE!</v>
      </c>
      <c r="Y118" s="24" t="e">
        <f t="shared" ca="1" si="16"/>
        <v>#VALUE!</v>
      </c>
      <c r="Z118" s="23">
        <f ca="1">_xll.meLWOBondDirtyPrice($L118,$C$4,$S118%)</f>
        <v>93.687500528559724</v>
      </c>
      <c r="AA118" s="23">
        <f ca="1">_xll.meLWOBondModifiedDuration($L118,$C$4,$S118%)</f>
        <v>16.970771993790979</v>
      </c>
      <c r="AB118" s="22" t="str">
        <f ca="1">_xll.BDP($B118,AB$6,"YLD_YTM_ASK="&amp;$S118,"YAS_YLD_CONV=3")</f>
        <v>#N/A Requesting Data...</v>
      </c>
      <c r="AC118" s="24" t="e">
        <f t="shared" ca="1" si="17"/>
        <v>#VALUE!</v>
      </c>
      <c r="AD118" s="23">
        <f ca="1">_xll.meLWOBondDV01Numerical($L118,$C$4,$S118%,0.5,"CENTRAL")</f>
        <v>1589.9495499211014</v>
      </c>
    </row>
    <row r="119" spans="1:16384">
      <c r="B119" s="15" t="s">
        <v>161</v>
      </c>
      <c r="C119" s="15" t="s">
        <v>162</v>
      </c>
      <c r="D119" s="15" t="s">
        <v>162</v>
      </c>
      <c r="E119" s="16">
        <v>41501</v>
      </c>
      <c r="F119" s="19">
        <v>41501</v>
      </c>
      <c r="G119" s="18" t="str">
        <f t="shared" si="14"/>
        <v/>
      </c>
      <c r="H119" s="16">
        <v>41685</v>
      </c>
      <c r="I119" s="16">
        <v>52277</v>
      </c>
      <c r="J119" s="17">
        <v>3.6249999999999998E-2</v>
      </c>
      <c r="K119" s="16">
        <v>52458</v>
      </c>
      <c r="L119" s="20" t="str">
        <f ca="1">_xll.meLWOBondCreateFromGeneratorLVB(C119,$L$4,_xll.meUtilityLVBFromKeysValues($C$6:$K$6,C119:K119))</f>
        <v>US912810RC45:2</v>
      </c>
      <c r="M119" s="92">
        <f ca="1">_xll.BDP($B119,$M$5)</f>
        <v>3.3237541999999998</v>
      </c>
      <c r="N119" s="89">
        <f ca="1">_xll.meLWOBondCleanPrice($L119,$C$4,$M119%)</f>
        <v>105.06249931422848</v>
      </c>
      <c r="O119" s="89">
        <f ca="1">_xll.meLWOBondDirtyPrice($L119,$C$4,$M119%)</f>
        <v>105.67323300988065</v>
      </c>
      <c r="P119" s="88">
        <f ca="1">_xll.meLWOBondYield($L119,$C$4,N119)</f>
        <v>3.3237542000000633E-2</v>
      </c>
      <c r="Q119" s="89">
        <f ca="1">_xll.meLWOBondModifiedDuration($L119,$C$4,$M119%)</f>
        <v>16.432703261333149</v>
      </c>
      <c r="R119" s="23">
        <f ca="1">_xll.meLWOBondDV01($L119,$C$4,$M119%)</f>
        <v>1736.4968807170835</v>
      </c>
      <c r="S119" s="85">
        <f t="shared" ca="1" si="13"/>
        <v>3.3237541999999998</v>
      </c>
      <c r="T119" s="22" t="str">
        <f ca="1">_xll.BDP($B119,T$6, "YAS_BOND_YLD="&amp;$S119,"YAS_YLD_CONV=2")</f>
        <v>#N/A Requesting Data...</v>
      </c>
      <c r="U119" s="23">
        <f ca="1">_xll.meLWOBondCleanPrice($L119,$C$4,$S119%)</f>
        <v>105.06249931422848</v>
      </c>
      <c r="V119" s="24" t="e">
        <f t="shared" ca="1" si="15"/>
        <v>#VALUE!</v>
      </c>
      <c r="W119" s="23">
        <f ca="1">_xll.meLWOBondDV01($L119,$C$4,$S119%)</f>
        <v>1736.4968807170835</v>
      </c>
      <c r="X119" s="22" t="e">
        <f ca="1">_xll.BDP($B119,X$6, "YLD_YTM_ASK="&amp;$S119,"YAS_YLD_CONV=3")*$X$3*0.0001</f>
        <v>#VALUE!</v>
      </c>
      <c r="Y119" s="24" t="e">
        <f t="shared" ca="1" si="16"/>
        <v>#VALUE!</v>
      </c>
      <c r="Z119" s="23">
        <f ca="1">_xll.meLWOBondDirtyPrice($L119,$C$4,$S119%)</f>
        <v>105.67323300988065</v>
      </c>
      <c r="AA119" s="23">
        <f ca="1">_xll.meLWOBondModifiedDuration($L119,$C$4,$S119%)</f>
        <v>16.432703261333149</v>
      </c>
      <c r="AB119" s="22" t="str">
        <f ca="1">_xll.BDP($B119,AB$6,"YLD_YTM_ASK="&amp;$S119,"YAS_YLD_CONV=3")</f>
        <v>#N/A Requesting Data...</v>
      </c>
      <c r="AC119" s="24" t="e">
        <f t="shared" ca="1" si="17"/>
        <v>#VALUE!</v>
      </c>
      <c r="AD119" s="23">
        <f ca="1">_xll.meLWOBondDV01Numerical($L119,$C$4,$S119%,0.5,"CENTRAL")</f>
        <v>1736.4972453428609</v>
      </c>
    </row>
    <row r="120" spans="1:16384">
      <c r="B120" s="15" t="s">
        <v>151</v>
      </c>
      <c r="C120" s="15" t="s">
        <v>152</v>
      </c>
      <c r="D120" s="15" t="s">
        <v>152</v>
      </c>
      <c r="E120" s="16">
        <v>41593</v>
      </c>
      <c r="F120" s="19">
        <v>41593</v>
      </c>
      <c r="G120" s="18" t="str">
        <f t="shared" si="14"/>
        <v/>
      </c>
      <c r="H120" s="16">
        <v>41774</v>
      </c>
      <c r="I120" s="16">
        <v>52366</v>
      </c>
      <c r="J120" s="17">
        <v>3.7499999999999999E-2</v>
      </c>
      <c r="K120" s="16">
        <v>52550</v>
      </c>
      <c r="L120" s="20" t="str">
        <f ca="1">_xll.meLWOBondCreateFromGeneratorLVB(C120,$L$4,_xll.meUtilityLVBFromKeysValues($C$6:$K$6,C120:K120))</f>
        <v>US912810RD28:2</v>
      </c>
      <c r="M120" s="92">
        <f ca="1">_xll.BDP($B120,$M$5)</f>
        <v>3.3233831999999999</v>
      </c>
      <c r="N120" s="89">
        <f ca="1">_xll.meLWOBondCleanPrice($L120,$C$4,$M120%)</f>
        <v>107.21875045862549</v>
      </c>
      <c r="O120" s="89">
        <f ca="1">_xll.meLWOBondDirtyPrice($L120,$C$4,$M120%)</f>
        <v>108.78804393688637</v>
      </c>
      <c r="P120" s="88">
        <f ca="1">_xll.meLWOBondYield($L120,$C$4,N120)</f>
        <v>3.3233832000000338E-2</v>
      </c>
      <c r="Q120" s="89">
        <f ca="1">_xll.meLWOBondModifiedDuration($L120,$C$4,$M120%)</f>
        <v>16.282769637711272</v>
      </c>
      <c r="R120" s="23">
        <f ca="1">_xll.meLWOBondDV01($L120,$C$4,$M120%)</f>
        <v>1771.3706587615334</v>
      </c>
      <c r="S120" s="85">
        <f t="shared" ca="1" si="13"/>
        <v>3.3233831999999999</v>
      </c>
      <c r="T120" s="22" t="str">
        <f ca="1">_xll.BDP($B120,T$6, "YAS_BOND_YLD="&amp;$S120,"YAS_YLD_CONV=2")</f>
        <v>#N/A Requesting Data...</v>
      </c>
      <c r="U120" s="23">
        <f ca="1">_xll.meLWOBondCleanPrice($L120,$C$4,$S120%)</f>
        <v>107.21875045862549</v>
      </c>
      <c r="V120" s="24" t="e">
        <f t="shared" ca="1" si="15"/>
        <v>#VALUE!</v>
      </c>
      <c r="W120" s="23">
        <f ca="1">_xll.meLWOBondDV01($L120,$C$4,$S120%)</f>
        <v>1771.3706587615334</v>
      </c>
      <c r="X120" s="22" t="e">
        <f ca="1">_xll.BDP($B120,X$6, "YLD_YTM_ASK="&amp;$S120,"YAS_YLD_CONV=3")*$X$3*0.0001</f>
        <v>#VALUE!</v>
      </c>
      <c r="Y120" s="24" t="e">
        <f t="shared" ca="1" si="16"/>
        <v>#VALUE!</v>
      </c>
      <c r="Z120" s="23">
        <f ca="1">_xll.meLWOBondDirtyPrice($L120,$C$4,$S120%)</f>
        <v>108.78804393688637</v>
      </c>
      <c r="AA120" s="23">
        <f ca="1">_xll.meLWOBondModifiedDuration($L120,$C$4,$S120%)</f>
        <v>16.282769637711272</v>
      </c>
      <c r="AB120" s="22" t="str">
        <f ca="1">_xll.BDP($B120,AB$6,"YLD_YTM_ASK="&amp;$S120,"YAS_YLD_CONV=3")</f>
        <v>#N/A Requesting Data...</v>
      </c>
      <c r="AC120" s="24" t="e">
        <f t="shared" ca="1" si="17"/>
        <v>#VALUE!</v>
      </c>
      <c r="AD120" s="23">
        <f ca="1">_xll.meLWOBondDV01Numerical($L120,$C$4,$S120%,0.5,"CENTRAL")</f>
        <v>1771.3710350355429</v>
      </c>
    </row>
    <row r="121" spans="1:16384">
      <c r="B121" s="15" t="s">
        <v>169</v>
      </c>
      <c r="C121" s="15" t="s">
        <v>170</v>
      </c>
      <c r="D121" s="15" t="s">
        <v>170</v>
      </c>
      <c r="E121" s="16">
        <v>41688</v>
      </c>
      <c r="F121" s="19">
        <v>41685</v>
      </c>
      <c r="G121" s="18" t="str">
        <f t="shared" si="14"/>
        <v/>
      </c>
      <c r="H121" s="16">
        <v>41866</v>
      </c>
      <c r="I121" s="16">
        <v>52458</v>
      </c>
      <c r="J121" s="17">
        <v>3.6249999999999998E-2</v>
      </c>
      <c r="K121" s="16">
        <v>52642</v>
      </c>
      <c r="L121" s="20" t="str">
        <f ca="1">_xll.meLWOBondCreateFromGeneratorLVB(C121,$L$4,_xll.meUtilityLVBFromKeysValues($C$6:$K$6,C121:K121))</f>
        <v>US912810RE01:2</v>
      </c>
      <c r="M121" s="92">
        <f ca="1">_xll.BDP($B121,$M$5)</f>
        <v>3.3239160999999999</v>
      </c>
      <c r="N121" s="89">
        <f ca="1">_xll.meLWOBondCleanPrice($L121,$C$4,$M121%)</f>
        <v>105.12499917310376</v>
      </c>
      <c r="O121" s="89">
        <f ca="1">_xll.meLWOBondDirtyPrice($L121,$C$4,$M121%)</f>
        <v>105.73573286875593</v>
      </c>
      <c r="P121" s="88">
        <f ca="1">_xll.meLWOBondYield($L121,$C$4,N121)</f>
        <v>3.3239161000000038E-2</v>
      </c>
      <c r="Q121" s="89">
        <f ca="1">_xll.meLWOBondModifiedDuration($L121,$C$4,$M121%)</f>
        <v>16.642964295105308</v>
      </c>
      <c r="R121" s="23">
        <f ca="1">_xll.meLWOBondDV01($L121,$C$4,$M121%)</f>
        <v>1759.7560268514976</v>
      </c>
      <c r="S121" s="85">
        <f t="shared" ca="1" si="13"/>
        <v>3.3239160999999999</v>
      </c>
      <c r="T121" s="22" t="str">
        <f ca="1">_xll.BDP($B121,T$6, "YAS_BOND_YLD="&amp;$S121,"YAS_YLD_CONV=2")</f>
        <v>#N/A Requesting Data...</v>
      </c>
      <c r="U121" s="23">
        <f ca="1">_xll.meLWOBondCleanPrice($L121,$C$4,$S121%)</f>
        <v>105.12499917310376</v>
      </c>
      <c r="V121" s="24" t="e">
        <f t="shared" ca="1" si="15"/>
        <v>#VALUE!</v>
      </c>
      <c r="W121" s="23">
        <f ca="1">_xll.meLWOBondDV01($L121,$C$4,$S121%)</f>
        <v>1759.7560268514976</v>
      </c>
      <c r="X121" s="22" t="e">
        <f ca="1">_xll.BDP($B121,X$6, "YLD_YTM_ASK="&amp;$S121,"YAS_YLD_CONV=3")*$X$3*0.0001</f>
        <v>#VALUE!</v>
      </c>
      <c r="Y121" s="24" t="e">
        <f t="shared" ca="1" si="16"/>
        <v>#VALUE!</v>
      </c>
      <c r="Z121" s="23">
        <f ca="1">_xll.meLWOBondDirtyPrice($L121,$C$4,$S121%)</f>
        <v>105.73573286875593</v>
      </c>
      <c r="AA121" s="23">
        <f ca="1">_xll.meLWOBondModifiedDuration($L121,$C$4,$S121%)</f>
        <v>16.642964295105308</v>
      </c>
      <c r="AB121" s="22" t="str">
        <f ca="1">_xll.BDP($B121,AB$6,"YLD_YTM_ASK="&amp;$S121,"YAS_YLD_CONV=3")</f>
        <v>#N/A Requesting Data...</v>
      </c>
      <c r="AC121" s="24" t="e">
        <f t="shared" ca="1" si="17"/>
        <v>#VALUE!</v>
      </c>
      <c r="AD121" s="23">
        <f ca="1">_xll.meLWOBondDV01Numerical($L121,$C$4,$S121%,0.5,"CENTRAL")</f>
        <v>1759.7564090678477</v>
      </c>
    </row>
    <row r="122" spans="1:16384">
      <c r="B122" s="15" t="s">
        <v>201</v>
      </c>
      <c r="C122" s="15" t="s">
        <v>202</v>
      </c>
      <c r="D122" s="15" t="s">
        <v>202</v>
      </c>
      <c r="E122" s="16">
        <v>41774</v>
      </c>
      <c r="F122" s="19">
        <v>41774</v>
      </c>
      <c r="G122" s="18" t="str">
        <f t="shared" si="14"/>
        <v/>
      </c>
      <c r="H122" s="16">
        <v>41958</v>
      </c>
      <c r="I122" s="16">
        <v>52550</v>
      </c>
      <c r="J122" s="17">
        <v>3.3750000000000002E-2</v>
      </c>
      <c r="K122" s="16">
        <v>52732</v>
      </c>
      <c r="L122" s="20" t="str">
        <f ca="1">_xll.meLWOBondCreateFromGeneratorLVB(C122,$L$4,_xll.meUtilityLVBFromKeysValues($C$6:$K$6,C122:K122))</f>
        <v>US912810RG58:2</v>
      </c>
      <c r="M122" s="92">
        <f ca="1">_xll.BDP($B122,$M$5)</f>
        <v>3.3238393999999998</v>
      </c>
      <c r="N122" s="89">
        <f ca="1">_xll.meLWOBondCleanPrice($L122,$C$4,$M122%)</f>
        <v>100.87500047418315</v>
      </c>
      <c r="O122" s="89">
        <f ca="1">_xll.meLWOBondDirtyPrice($L122,$C$4,$M122%)</f>
        <v>102.28736460461793</v>
      </c>
      <c r="P122" s="88">
        <f ca="1">_xll.meLWOBondYield($L122,$C$4,N122)</f>
        <v>3.3238394000006999E-2</v>
      </c>
      <c r="Q122" s="89">
        <f ca="1">_xll.meLWOBondModifiedDuration($L122,$C$4,$M122%)</f>
        <v>16.852434389198585</v>
      </c>
      <c r="R122" s="23">
        <f ca="1">_xll.meLWOBondDV01($L122,$C$4,$M122%)</f>
        <v>1723.7911008433573</v>
      </c>
      <c r="S122" s="85">
        <f t="shared" ca="1" si="13"/>
        <v>3.3238393999999998</v>
      </c>
      <c r="T122" s="22" t="str">
        <f ca="1">_xll.BDP($B122,T$6, "YAS_BOND_YLD="&amp;$S122,"YAS_YLD_CONV=2")</f>
        <v>#N/A Requesting Data...</v>
      </c>
      <c r="U122" s="23">
        <f ca="1">_xll.meLWOBondCleanPrice($L122,$C$4,$S122%)</f>
        <v>100.87500047418315</v>
      </c>
      <c r="V122" s="24" t="e">
        <f t="shared" ca="1" si="15"/>
        <v>#VALUE!</v>
      </c>
      <c r="W122" s="23">
        <f ca="1">_xll.meLWOBondDV01($L122,$C$4,$S122%)</f>
        <v>1723.7911008433573</v>
      </c>
      <c r="X122" s="22" t="e">
        <f ca="1">_xll.BDP($B122,X$6, "YLD_YTM_ASK="&amp;$S122,"YAS_YLD_CONV=3")*$X$3*0.0001</f>
        <v>#VALUE!</v>
      </c>
      <c r="Y122" s="24" t="e">
        <f t="shared" ca="1" si="16"/>
        <v>#VALUE!</v>
      </c>
      <c r="Z122" s="23">
        <f ca="1">_xll.meLWOBondDirtyPrice($L122,$C$4,$S122%)</f>
        <v>102.28736460461793</v>
      </c>
      <c r="AA122" s="23">
        <f ca="1">_xll.meLWOBondModifiedDuration($L122,$C$4,$S122%)</f>
        <v>16.852434389198585</v>
      </c>
      <c r="AB122" s="22" t="str">
        <f ca="1">_xll.BDP($B122,AB$6,"YLD_YTM_ASK="&amp;$S122,"YAS_YLD_CONV=3")</f>
        <v>#N/A Requesting Data...</v>
      </c>
      <c r="AC122" s="24" t="e">
        <f t="shared" ca="1" si="17"/>
        <v>#VALUE!</v>
      </c>
      <c r="AD122" s="23">
        <f ca="1">_xll.meLWOBondDV01Numerical($L122,$C$4,$S122%,0.5,"CENTRAL")</f>
        <v>1723.7914859188666</v>
      </c>
    </row>
    <row r="123" spans="1:16384">
      <c r="B123" s="15" t="s">
        <v>261</v>
      </c>
      <c r="C123" s="15" t="s">
        <v>262</v>
      </c>
      <c r="D123" s="15" t="s">
        <v>262</v>
      </c>
      <c r="E123" s="16">
        <v>41866</v>
      </c>
      <c r="F123" s="19">
        <v>41866</v>
      </c>
      <c r="G123" s="18" t="str">
        <f t="shared" si="14"/>
        <v/>
      </c>
      <c r="H123" s="16">
        <v>42050</v>
      </c>
      <c r="I123" s="16">
        <v>52642</v>
      </c>
      <c r="J123" s="17">
        <v>3.125E-2</v>
      </c>
      <c r="K123" s="16">
        <v>52824</v>
      </c>
      <c r="L123" s="20" t="str">
        <f ca="1">_xll.meLWOBondCreateFromGeneratorLVB(C123,$L$4,_xll.meUtilityLVBFromKeysValues($C$6:$K$6,C123:K123))</f>
        <v>US912810RH32:2</v>
      </c>
      <c r="M123" s="92">
        <f ca="1">_xll.BDP($B123,$M$5)</f>
        <v>3.3260106</v>
      </c>
      <c r="N123" s="89">
        <f ca="1">_xll.meLWOBondCleanPrice($L123,$C$4,$M123%)</f>
        <v>96.531249731410867</v>
      </c>
      <c r="O123" s="89">
        <f ca="1">_xll.meLWOBondDirtyPrice($L123,$C$4,$M123%)</f>
        <v>97.057744296628258</v>
      </c>
      <c r="P123" s="88">
        <f ca="1">_xll.meLWOBondYield($L123,$C$4,N123)</f>
        <v>3.3260106000003585E-2</v>
      </c>
      <c r="Q123" s="89">
        <f ca="1">_xll.meLWOBondModifiedDuration($L123,$C$4,$M123%)</f>
        <v>17.367004604389944</v>
      </c>
      <c r="R123" s="23">
        <f ca="1">_xll.meLWOBondDV01($L123,$C$4,$M123%)</f>
        <v>1685.6022920912449</v>
      </c>
      <c r="S123" s="85">
        <f t="shared" ca="1" si="13"/>
        <v>3.3260106</v>
      </c>
      <c r="T123" s="22" t="str">
        <f ca="1">_xll.BDP($B123,T$6, "YAS_BOND_YLD="&amp;$S123,"YAS_YLD_CONV=2")</f>
        <v>#N/A Requesting Data...</v>
      </c>
      <c r="U123" s="23">
        <f ca="1">_xll.meLWOBondCleanPrice($L123,$C$4,$S123%)</f>
        <v>96.531249731410867</v>
      </c>
      <c r="V123" s="24" t="e">
        <f t="shared" ca="1" si="15"/>
        <v>#VALUE!</v>
      </c>
      <c r="W123" s="23">
        <f ca="1">_xll.meLWOBondDV01($L123,$C$4,$S123%)</f>
        <v>1685.6022920912449</v>
      </c>
      <c r="X123" s="22" t="e">
        <f ca="1">_xll.BDP($B123,X$6, "YLD_YTM_ASK="&amp;$S123,"YAS_YLD_CONV=3")*$X$3*0.0001</f>
        <v>#VALUE!</v>
      </c>
      <c r="Y123" s="24" t="e">
        <f t="shared" ca="1" si="16"/>
        <v>#VALUE!</v>
      </c>
      <c r="Z123" s="23">
        <f ca="1">_xll.meLWOBondDirtyPrice($L123,$C$4,$S123%)</f>
        <v>97.057744296628258</v>
      </c>
      <c r="AA123" s="23">
        <f ca="1">_xll.meLWOBondModifiedDuration($L123,$C$4,$S123%)</f>
        <v>17.367004604389944</v>
      </c>
      <c r="AB123" s="22" t="str">
        <f ca="1">_xll.BDP($B123,AB$6,"YLD_YTM_ASK="&amp;$S123,"YAS_YLD_CONV=3")</f>
        <v>#N/A Requesting Data...</v>
      </c>
      <c r="AC123" s="24" t="e">
        <f t="shared" ca="1" si="17"/>
        <v>#VALUE!</v>
      </c>
      <c r="AD123" s="23">
        <f ca="1">_xll.meLWOBondDV01Numerical($L123,$C$4,$S123%,0.5,"CENTRAL")</f>
        <v>1685.6026795204573</v>
      </c>
    </row>
    <row r="124" spans="1:16384">
      <c r="B124" s="15" t="s">
        <v>53</v>
      </c>
      <c r="C124" s="15" t="s">
        <v>54</v>
      </c>
      <c r="D124" s="15" t="s">
        <v>54</v>
      </c>
      <c r="E124" s="16">
        <v>41960</v>
      </c>
      <c r="F124" s="19">
        <v>41958</v>
      </c>
      <c r="G124" s="18" t="str">
        <f t="shared" si="14"/>
        <v/>
      </c>
      <c r="H124" s="16">
        <v>42139</v>
      </c>
      <c r="I124" s="16">
        <v>52732</v>
      </c>
      <c r="J124" s="17">
        <v>0.03</v>
      </c>
      <c r="K124" s="16">
        <v>52916</v>
      </c>
      <c r="L124" s="20" t="str">
        <f ca="1">_xll.meLWOBondCreateFromGeneratorLVB(C124,$L$4,_xll.meUtilityLVBFromKeysValues($C$6:$K$6,C124:K124))</f>
        <v>US912810RJ97:2</v>
      </c>
      <c r="M124" s="92">
        <f ca="1">_xll.BDP($B124,$M$5)</f>
        <v>3.3259549000000002</v>
      </c>
      <c r="N124" s="89">
        <f ca="1">_xll.meLWOBondCleanPrice($L124,$C$4,$M124%)</f>
        <v>94.343750054634057</v>
      </c>
      <c r="O124" s="89">
        <f ca="1">_xll.meLWOBondDirtyPrice($L124,$C$4,$M124%)</f>
        <v>95.59918483724276</v>
      </c>
      <c r="P124" s="88">
        <f ca="1">_xll.meLWOBondYield($L124,$C$4,N124)</f>
        <v>3.3259548999999916E-2</v>
      </c>
      <c r="Q124" s="89">
        <f ca="1">_xll.meLWOBondModifiedDuration($L124,$C$4,$M124%)</f>
        <v>17.480946424725243</v>
      </c>
      <c r="R124" s="23">
        <f ca="1">_xll.meLWOBondDV01($L124,$C$4,$M124%)</f>
        <v>1671.1642283872463</v>
      </c>
      <c r="S124" s="85">
        <f t="shared" ca="1" si="13"/>
        <v>3.3259549000000002</v>
      </c>
      <c r="T124" s="22" t="str">
        <f ca="1">_xll.BDP($B124,T$6, "YAS_BOND_YLD="&amp;$S124,"YAS_YLD_CONV=2")</f>
        <v>#N/A Requesting Data...</v>
      </c>
      <c r="U124" s="23">
        <f ca="1">_xll.meLWOBondCleanPrice($L124,$C$4,$S124%)</f>
        <v>94.343750054634057</v>
      </c>
      <c r="V124" s="24" t="e">
        <f t="shared" ca="1" si="15"/>
        <v>#VALUE!</v>
      </c>
      <c r="W124" s="23">
        <f ca="1">_xll.meLWOBondDV01($L124,$C$4,$S124%)</f>
        <v>1671.1642283872463</v>
      </c>
      <c r="X124" s="22" t="e">
        <f ca="1">_xll.BDP($B124,X$6, "YLD_YTM_ASK="&amp;$S124,"YAS_YLD_CONV=3")*$X$3*0.0001</f>
        <v>#VALUE!</v>
      </c>
      <c r="Y124" s="24" t="e">
        <f t="shared" ca="1" si="16"/>
        <v>#VALUE!</v>
      </c>
      <c r="Z124" s="23">
        <f ca="1">_xll.meLWOBondDirtyPrice($L124,$C$4,$S124%)</f>
        <v>95.59918483724276</v>
      </c>
      <c r="AA124" s="23">
        <f ca="1">_xll.meLWOBondModifiedDuration($L124,$C$4,$S124%)</f>
        <v>17.480946424725243</v>
      </c>
      <c r="AB124" s="22" t="str">
        <f ca="1">_xll.BDP($B124,AB$6,"YLD_YTM_ASK="&amp;$S124,"YAS_YLD_CONV=3")</f>
        <v>#N/A Requesting Data...</v>
      </c>
      <c r="AC124" s="24" t="e">
        <f t="shared" ca="1" si="17"/>
        <v>#VALUE!</v>
      </c>
      <c r="AD124" s="23">
        <f ca="1">_xll.meLWOBondDV01Numerical($L124,$C$4,$S124%,0.5,"CENTRAL")</f>
        <v>1671.1646213283871</v>
      </c>
    </row>
    <row r="125" spans="1:16384">
      <c r="B125" s="15" t="s">
        <v>179</v>
      </c>
      <c r="C125" s="15" t="s">
        <v>180</v>
      </c>
      <c r="D125" s="15" t="s">
        <v>180</v>
      </c>
      <c r="E125" s="16">
        <v>42052</v>
      </c>
      <c r="F125" s="19">
        <v>42050</v>
      </c>
      <c r="G125" s="18" t="str">
        <f t="shared" si="14"/>
        <v/>
      </c>
      <c r="H125" s="16">
        <v>42231</v>
      </c>
      <c r="I125" s="16">
        <v>52824</v>
      </c>
      <c r="J125" s="17">
        <v>2.5000000000000001E-2</v>
      </c>
      <c r="K125" s="16">
        <v>53008</v>
      </c>
      <c r="L125" s="20" t="str">
        <f ca="1">_xll.meLWOBondCreateFromGeneratorLVB(C125,$L$4,_xll.meUtilityLVBFromKeysValues($C$6:$K$6,C125:K125))</f>
        <v>US912810RK60:2</v>
      </c>
      <c r="M125" s="92">
        <f ca="1">_xll.BDP($B125,$M$5)</f>
        <v>3.3302184000000001</v>
      </c>
      <c r="N125" s="89">
        <f ca="1">_xll.meLWOBondCleanPrice($L125,$C$4,$M125%)</f>
        <v>85.51562482266803</v>
      </c>
      <c r="O125" s="89">
        <f ca="1">_xll.meLWOBondDirtyPrice($L125,$C$4,$M125%)</f>
        <v>85.936820474841937</v>
      </c>
      <c r="P125" s="88">
        <f ca="1">_xll.meLWOBondYield($L125,$C$4,N125)</f>
        <v>3.3302184000000193E-2</v>
      </c>
      <c r="Q125" s="89">
        <f ca="1">_xll.meLWOBondModifiedDuration($L125,$C$4,$M125%)</f>
        <v>18.387566342048988</v>
      </c>
      <c r="R125" s="23">
        <f ca="1">_xll.meLWOBondDV01($L125,$C$4,$M125%)</f>
        <v>1580.16898770591</v>
      </c>
      <c r="S125" s="85">
        <f t="shared" ca="1" si="13"/>
        <v>3.3302184000000001</v>
      </c>
      <c r="T125" s="22" t="str">
        <f ca="1">_xll.BDP($B125,T$6, "YAS_BOND_YLD="&amp;$S125,"YAS_YLD_CONV=2")</f>
        <v>#N/A Requesting Data...</v>
      </c>
      <c r="U125" s="23">
        <f ca="1">_xll.meLWOBondCleanPrice($L125,$C$4,$S125%)</f>
        <v>85.51562482266803</v>
      </c>
      <c r="V125" s="24" t="e">
        <f t="shared" ca="1" si="15"/>
        <v>#VALUE!</v>
      </c>
      <c r="W125" s="23">
        <f ca="1">_xll.meLWOBondDV01($L125,$C$4,$S125%)</f>
        <v>1580.16898770591</v>
      </c>
      <c r="X125" s="22" t="e">
        <f ca="1">_xll.BDP($B125,X$6, "YLD_YTM_ASK="&amp;$S125,"YAS_YLD_CONV=3")*$X$3*0.0001</f>
        <v>#VALUE!</v>
      </c>
      <c r="Y125" s="24" t="e">
        <f t="shared" ca="1" si="16"/>
        <v>#VALUE!</v>
      </c>
      <c r="Z125" s="23">
        <f ca="1">_xll.meLWOBondDirtyPrice($L125,$C$4,$S125%)</f>
        <v>85.936820474841937</v>
      </c>
      <c r="AA125" s="23">
        <f ca="1">_xll.meLWOBondModifiedDuration($L125,$C$4,$S125%)</f>
        <v>18.387566342048988</v>
      </c>
      <c r="AB125" s="22" t="str">
        <f ca="1">_xll.BDP($B125,AB$6,"YLD_YTM_ASK="&amp;$S125,"YAS_YLD_CONV=3")</f>
        <v>#N/A Requesting Data...</v>
      </c>
      <c r="AC125" s="24" t="e">
        <f t="shared" ca="1" si="17"/>
        <v>#VALUE!</v>
      </c>
      <c r="AD125" s="23">
        <f ca="1">_xll.meLWOBondDV01Numerical($L125,$C$4,$S125%,0.5,"CENTRAL")</f>
        <v>1580.1693755463475</v>
      </c>
    </row>
    <row r="126" spans="1:16384" s="29" customFormat="1">
      <c r="A126" s="1"/>
      <c r="B126" s="15" t="s">
        <v>277</v>
      </c>
      <c r="C126" s="15" t="s">
        <v>278</v>
      </c>
      <c r="D126" s="15" t="s">
        <v>278</v>
      </c>
      <c r="E126" s="16">
        <v>42139</v>
      </c>
      <c r="F126" s="19">
        <v>42139</v>
      </c>
      <c r="G126" s="18" t="str">
        <f t="shared" si="14"/>
        <v/>
      </c>
      <c r="H126" s="16">
        <v>42323</v>
      </c>
      <c r="I126" s="16">
        <v>52916</v>
      </c>
      <c r="J126" s="17">
        <v>0.03</v>
      </c>
      <c r="K126" s="16">
        <v>53097</v>
      </c>
      <c r="L126" s="20" t="str">
        <f ca="1">_xll.meLWOBondCreateFromGeneratorLVB(C126,$L$4,_xll.meUtilityLVBFromKeysValues($C$6:$K$6,C126:K126))</f>
        <v>US912810RM27:2</v>
      </c>
      <c r="M126" s="92">
        <f ca="1">_xll.BDP($B126,$M$5)</f>
        <v>3.3265649000000002</v>
      </c>
      <c r="N126" s="89">
        <f ca="1">_xll.meLWOBondCleanPrice($L126,$C$4,$M126%)</f>
        <v>94.265624931172169</v>
      </c>
      <c r="O126" s="89">
        <f ca="1">_xll.meLWOBondDirtyPrice($L126,$C$4,$M126%)</f>
        <v>95.521059713780872</v>
      </c>
      <c r="P126" s="88">
        <f ca="1">_xll.meLWOBondYield($L126,$C$4,N126)</f>
        <v>3.3265649000000112E-2</v>
      </c>
      <c r="Q126" s="89">
        <f ca="1">_xll.meLWOBondModifiedDuration($L126,$C$4,$M126%)</f>
        <v>17.691994961457723</v>
      </c>
      <c r="R126" s="23">
        <f ca="1">_xll.meLWOBondDV01($L126,$C$4,$M126%)</f>
        <v>1689.9581071693135</v>
      </c>
      <c r="S126" s="85">
        <f t="shared" ca="1" si="13"/>
        <v>3.3265649000000002</v>
      </c>
      <c r="T126" s="22" t="str">
        <f ca="1">_xll.BDP($B126,T$6, "YAS_BOND_YLD="&amp;$S126,"YAS_YLD_CONV=2")</f>
        <v>#N/A Requesting Data...</v>
      </c>
      <c r="U126" s="23">
        <f ca="1">_xll.meLWOBondCleanPrice($L126,$C$4,$S126%)</f>
        <v>94.265624931172169</v>
      </c>
      <c r="V126" s="24" t="e">
        <f t="shared" ca="1" si="15"/>
        <v>#VALUE!</v>
      </c>
      <c r="W126" s="23">
        <f ca="1">_xll.meLWOBondDV01($L126,$C$4,$S126%)</f>
        <v>1689.9581071693135</v>
      </c>
      <c r="X126" s="22" t="e">
        <f ca="1">_xll.BDP($B126,X$6, "YLD_YTM_ASK="&amp;$S126,"YAS_YLD_CONV=3")*$X$3*0.0001</f>
        <v>#VALUE!</v>
      </c>
      <c r="Y126" s="24" t="e">
        <f t="shared" ca="1" si="16"/>
        <v>#VALUE!</v>
      </c>
      <c r="Z126" s="23">
        <f ca="1">_xll.meLWOBondDirtyPrice($L126,$C$4,$S126%)</f>
        <v>95.521059713780872</v>
      </c>
      <c r="AA126" s="23">
        <f ca="1">_xll.meLWOBondModifiedDuration($L126,$C$4,$S126%)</f>
        <v>17.691994961457723</v>
      </c>
      <c r="AB126" s="22" t="str">
        <f ca="1">_xll.BDP($B126,AB$6,"YLD_YTM_ASK="&amp;$S126,"YAS_YLD_CONV=3")</f>
        <v>#N/A Requesting Data...</v>
      </c>
      <c r="AC126" s="24" t="e">
        <f t="shared" ca="1" si="17"/>
        <v>#VALUE!</v>
      </c>
      <c r="AD126" s="23">
        <f ca="1">_xll.meLWOBondDV01Numerical($L126,$C$4,$S126%,0.5,"CENTRAL")</f>
        <v>1689.9585176163612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  <c r="VA126" s="1"/>
      <c r="VB126" s="1"/>
      <c r="VC126" s="1"/>
      <c r="VD126" s="1"/>
      <c r="VE126" s="1"/>
      <c r="VF126" s="1"/>
      <c r="VG126" s="1"/>
      <c r="VH126" s="1"/>
      <c r="VI126" s="1"/>
      <c r="VJ126" s="1"/>
      <c r="VK126" s="1"/>
      <c r="VL126" s="1"/>
      <c r="VM126" s="1"/>
      <c r="VN126" s="1"/>
      <c r="VO126" s="1"/>
      <c r="VP126" s="1"/>
      <c r="VQ126" s="1"/>
      <c r="VR126" s="1"/>
      <c r="VS126" s="1"/>
      <c r="VT126" s="1"/>
      <c r="VU126" s="1"/>
      <c r="VV126" s="1"/>
      <c r="VW126" s="1"/>
      <c r="VX126" s="1"/>
      <c r="VY126" s="1"/>
      <c r="VZ126" s="1"/>
      <c r="WA126" s="1"/>
      <c r="WB126" s="1"/>
      <c r="WC126" s="1"/>
      <c r="WD126" s="1"/>
      <c r="WE126" s="1"/>
      <c r="WF126" s="1"/>
      <c r="WG126" s="1"/>
      <c r="WH126" s="1"/>
      <c r="WI126" s="1"/>
      <c r="WJ126" s="1"/>
      <c r="WK126" s="1"/>
      <c r="WL126" s="1"/>
      <c r="WM126" s="1"/>
      <c r="WN126" s="1"/>
      <c r="WO126" s="1"/>
      <c r="WP126" s="1"/>
      <c r="WQ126" s="1"/>
      <c r="WR126" s="1"/>
      <c r="WS126" s="1"/>
      <c r="WT126" s="1"/>
      <c r="WU126" s="1"/>
      <c r="WV126" s="1"/>
      <c r="WW126" s="1"/>
      <c r="WX126" s="1"/>
      <c r="WY126" s="1"/>
      <c r="WZ126" s="1"/>
      <c r="XA126" s="1"/>
      <c r="XB126" s="1"/>
      <c r="XC126" s="1"/>
      <c r="XD126" s="1"/>
      <c r="XE126" s="1"/>
      <c r="XF126" s="1"/>
      <c r="XG126" s="1"/>
      <c r="XH126" s="1"/>
      <c r="XI126" s="1"/>
      <c r="XJ126" s="1"/>
      <c r="XK126" s="1"/>
      <c r="XL126" s="1"/>
      <c r="XM126" s="1"/>
      <c r="XN126" s="1"/>
      <c r="XO126" s="1"/>
      <c r="XP126" s="1"/>
      <c r="XQ126" s="1"/>
      <c r="XR126" s="1"/>
      <c r="XS126" s="1"/>
      <c r="XT126" s="1"/>
      <c r="XU126" s="1"/>
      <c r="XV126" s="1"/>
      <c r="XW126" s="1"/>
      <c r="XX126" s="1"/>
      <c r="XY126" s="1"/>
      <c r="XZ126" s="1"/>
      <c r="YA126" s="1"/>
      <c r="YB126" s="1"/>
      <c r="YC126" s="1"/>
      <c r="YD126" s="1"/>
      <c r="YE126" s="1"/>
      <c r="YF126" s="1"/>
      <c r="YG126" s="1"/>
      <c r="YH126" s="1"/>
      <c r="YI126" s="1"/>
      <c r="YJ126" s="1"/>
      <c r="YK126" s="1"/>
      <c r="YL126" s="1"/>
      <c r="YM126" s="1"/>
      <c r="YN126" s="1"/>
      <c r="YO126" s="1"/>
      <c r="YP126" s="1"/>
      <c r="YQ126" s="1"/>
      <c r="YR126" s="1"/>
      <c r="YS126" s="1"/>
      <c r="YT126" s="1"/>
      <c r="YU126" s="1"/>
      <c r="YV126" s="1"/>
      <c r="YW126" s="1"/>
      <c r="YX126" s="1"/>
      <c r="YY126" s="1"/>
      <c r="YZ126" s="1"/>
      <c r="ZA126" s="1"/>
      <c r="ZB126" s="1"/>
      <c r="ZC126" s="1"/>
      <c r="ZD126" s="1"/>
      <c r="ZE126" s="1"/>
      <c r="ZF126" s="1"/>
      <c r="ZG126" s="1"/>
      <c r="ZH126" s="1"/>
      <c r="ZI126" s="1"/>
      <c r="ZJ126" s="1"/>
      <c r="ZK126" s="1"/>
      <c r="ZL126" s="1"/>
      <c r="ZM126" s="1"/>
      <c r="ZN126" s="1"/>
      <c r="ZO126" s="1"/>
      <c r="ZP126" s="1"/>
      <c r="ZQ126" s="1"/>
      <c r="ZR126" s="1"/>
      <c r="ZS126" s="1"/>
      <c r="ZT126" s="1"/>
      <c r="ZU126" s="1"/>
      <c r="ZV126" s="1"/>
      <c r="ZW126" s="1"/>
      <c r="ZX126" s="1"/>
      <c r="ZY126" s="1"/>
      <c r="ZZ126" s="1"/>
      <c r="AAA126" s="1"/>
      <c r="AAB126" s="1"/>
      <c r="AAC126" s="1"/>
      <c r="AAD126" s="1"/>
      <c r="AAE126" s="1"/>
      <c r="AAF126" s="1"/>
      <c r="AAG126" s="1"/>
      <c r="AAH126" s="1"/>
      <c r="AAI126" s="1"/>
      <c r="AAJ126" s="1"/>
      <c r="AAK126" s="1"/>
      <c r="AAL126" s="1"/>
      <c r="AAM126" s="1"/>
      <c r="AAN126" s="1"/>
      <c r="AAO126" s="1"/>
      <c r="AAP126" s="1"/>
      <c r="AAQ126" s="1"/>
      <c r="AAR126" s="1"/>
      <c r="AAS126" s="1"/>
      <c r="AAT126" s="1"/>
      <c r="AAU126" s="1"/>
      <c r="AAV126" s="1"/>
      <c r="AAW126" s="1"/>
      <c r="AAX126" s="1"/>
      <c r="AAY126" s="1"/>
      <c r="AAZ126" s="1"/>
      <c r="ABA126" s="1"/>
      <c r="ABB126" s="1"/>
      <c r="ABC126" s="1"/>
      <c r="ABD126" s="1"/>
      <c r="ABE126" s="1"/>
      <c r="ABF126" s="1"/>
      <c r="ABG126" s="1"/>
      <c r="ABH126" s="1"/>
      <c r="ABI126" s="1"/>
      <c r="ABJ126" s="1"/>
      <c r="ABK126" s="1"/>
      <c r="ABL126" s="1"/>
      <c r="ABM126" s="1"/>
      <c r="ABN126" s="1"/>
      <c r="ABO126" s="1"/>
      <c r="ABP126" s="1"/>
      <c r="ABQ126" s="1"/>
      <c r="ABR126" s="1"/>
      <c r="ABS126" s="1"/>
      <c r="ABT126" s="1"/>
      <c r="ABU126" s="1"/>
      <c r="ABV126" s="1"/>
      <c r="ABW126" s="1"/>
      <c r="ABX126" s="1"/>
      <c r="ABY126" s="1"/>
      <c r="ABZ126" s="1"/>
      <c r="ACA126" s="1"/>
      <c r="ACB126" s="1"/>
      <c r="ACC126" s="1"/>
      <c r="ACD126" s="1"/>
      <c r="ACE126" s="1"/>
      <c r="ACF126" s="1"/>
      <c r="ACG126" s="1"/>
      <c r="ACH126" s="1"/>
      <c r="ACI126" s="1"/>
      <c r="ACJ126" s="1"/>
      <c r="ACK126" s="1"/>
      <c r="ACL126" s="1"/>
      <c r="ACM126" s="1"/>
      <c r="ACN126" s="1"/>
      <c r="ACO126" s="1"/>
      <c r="ACP126" s="1"/>
      <c r="ACQ126" s="1"/>
      <c r="ACR126" s="1"/>
      <c r="ACS126" s="1"/>
      <c r="ACT126" s="1"/>
      <c r="ACU126" s="1"/>
      <c r="ACV126" s="1"/>
      <c r="ACW126" s="1"/>
      <c r="ACX126" s="1"/>
      <c r="ACY126" s="1"/>
      <c r="ACZ126" s="1"/>
      <c r="ADA126" s="1"/>
      <c r="ADB126" s="1"/>
      <c r="ADC126" s="1"/>
      <c r="ADD126" s="1"/>
      <c r="ADE126" s="1"/>
      <c r="ADF126" s="1"/>
      <c r="ADG126" s="1"/>
      <c r="ADH126" s="1"/>
      <c r="ADI126" s="1"/>
      <c r="ADJ126" s="1"/>
      <c r="ADK126" s="1"/>
      <c r="ADL126" s="1"/>
      <c r="ADM126" s="1"/>
      <c r="ADN126" s="1"/>
      <c r="ADO126" s="1"/>
      <c r="ADP126" s="1"/>
      <c r="ADQ126" s="1"/>
      <c r="ADR126" s="1"/>
      <c r="ADS126" s="1"/>
      <c r="ADT126" s="1"/>
      <c r="ADU126" s="1"/>
      <c r="ADV126" s="1"/>
      <c r="ADW126" s="1"/>
      <c r="ADX126" s="1"/>
      <c r="ADY126" s="1"/>
      <c r="ADZ126" s="1"/>
      <c r="AEA126" s="1"/>
      <c r="AEB126" s="1"/>
      <c r="AEC126" s="1"/>
      <c r="AED126" s="1"/>
      <c r="AEE126" s="1"/>
      <c r="AEF126" s="1"/>
      <c r="AEG126" s="1"/>
      <c r="AEH126" s="1"/>
      <c r="AEI126" s="1"/>
      <c r="AEJ126" s="1"/>
      <c r="AEK126" s="1"/>
      <c r="AEL126" s="1"/>
      <c r="AEM126" s="1"/>
      <c r="AEN126" s="1"/>
      <c r="AEO126" s="1"/>
      <c r="AEP126" s="1"/>
      <c r="AEQ126" s="1"/>
      <c r="AER126" s="1"/>
      <c r="AES126" s="1"/>
      <c r="AET126" s="1"/>
      <c r="AEU126" s="1"/>
      <c r="AEV126" s="1"/>
      <c r="AEW126" s="1"/>
      <c r="AEX126" s="1"/>
      <c r="AEY126" s="1"/>
      <c r="AEZ126" s="1"/>
      <c r="AFA126" s="1"/>
      <c r="AFB126" s="1"/>
      <c r="AFC126" s="1"/>
      <c r="AFD126" s="1"/>
      <c r="AFE126" s="1"/>
      <c r="AFF126" s="1"/>
      <c r="AFG126" s="1"/>
      <c r="AFH126" s="1"/>
      <c r="AFI126" s="1"/>
      <c r="AFJ126" s="1"/>
      <c r="AFK126" s="1"/>
      <c r="AFL126" s="1"/>
      <c r="AFM126" s="1"/>
      <c r="AFN126" s="1"/>
      <c r="AFO126" s="1"/>
      <c r="AFP126" s="1"/>
      <c r="AFQ126" s="1"/>
      <c r="AFR126" s="1"/>
      <c r="AFS126" s="1"/>
      <c r="AFT126" s="1"/>
      <c r="AFU126" s="1"/>
      <c r="AFV126" s="1"/>
      <c r="AFW126" s="1"/>
      <c r="AFX126" s="1"/>
      <c r="AFY126" s="1"/>
      <c r="AFZ126" s="1"/>
      <c r="AGA126" s="1"/>
      <c r="AGB126" s="1"/>
      <c r="AGC126" s="1"/>
      <c r="AGD126" s="1"/>
      <c r="AGE126" s="1"/>
      <c r="AGF126" s="1"/>
      <c r="AGG126" s="1"/>
      <c r="AGH126" s="1"/>
      <c r="AGI126" s="1"/>
      <c r="AGJ126" s="1"/>
      <c r="AGK126" s="1"/>
      <c r="AGL126" s="1"/>
      <c r="AGM126" s="1"/>
      <c r="AGN126" s="1"/>
      <c r="AGO126" s="1"/>
      <c r="AGP126" s="1"/>
      <c r="AGQ126" s="1"/>
      <c r="AGR126" s="1"/>
      <c r="AGS126" s="1"/>
      <c r="AGT126" s="1"/>
      <c r="AGU126" s="1"/>
      <c r="AGV126" s="1"/>
      <c r="AGW126" s="1"/>
      <c r="AGX126" s="1"/>
      <c r="AGY126" s="1"/>
      <c r="AGZ126" s="1"/>
      <c r="AHA126" s="1"/>
      <c r="AHB126" s="1"/>
      <c r="AHC126" s="1"/>
      <c r="AHD126" s="1"/>
      <c r="AHE126" s="1"/>
      <c r="AHF126" s="1"/>
      <c r="AHG126" s="1"/>
      <c r="AHH126" s="1"/>
      <c r="AHI126" s="1"/>
      <c r="AHJ126" s="1"/>
      <c r="AHK126" s="1"/>
      <c r="AHL126" s="1"/>
      <c r="AHM126" s="1"/>
      <c r="AHN126" s="1"/>
      <c r="AHO126" s="1"/>
      <c r="AHP126" s="1"/>
      <c r="AHQ126" s="1"/>
      <c r="AHR126" s="1"/>
      <c r="AHS126" s="1"/>
      <c r="AHT126" s="1"/>
      <c r="AHU126" s="1"/>
      <c r="AHV126" s="1"/>
      <c r="AHW126" s="1"/>
      <c r="AHX126" s="1"/>
      <c r="AHY126" s="1"/>
      <c r="AHZ126" s="1"/>
      <c r="AIA126" s="1"/>
      <c r="AIB126" s="1"/>
      <c r="AIC126" s="1"/>
      <c r="AID126" s="1"/>
      <c r="AIE126" s="1"/>
      <c r="AIF126" s="1"/>
      <c r="AIG126" s="1"/>
      <c r="AIH126" s="1"/>
      <c r="AII126" s="1"/>
      <c r="AIJ126" s="1"/>
      <c r="AIK126" s="1"/>
      <c r="AIL126" s="1"/>
      <c r="AIM126" s="1"/>
      <c r="AIN126" s="1"/>
      <c r="AIO126" s="1"/>
      <c r="AIP126" s="1"/>
      <c r="AIQ126" s="1"/>
      <c r="AIR126" s="1"/>
      <c r="AIS126" s="1"/>
      <c r="AIT126" s="1"/>
      <c r="AIU126" s="1"/>
      <c r="AIV126" s="1"/>
      <c r="AIW126" s="1"/>
      <c r="AIX126" s="1"/>
      <c r="AIY126" s="1"/>
      <c r="AIZ126" s="1"/>
      <c r="AJA126" s="1"/>
      <c r="AJB126" s="1"/>
      <c r="AJC126" s="1"/>
      <c r="AJD126" s="1"/>
      <c r="AJE126" s="1"/>
      <c r="AJF126" s="1"/>
      <c r="AJG126" s="1"/>
      <c r="AJH126" s="1"/>
      <c r="AJI126" s="1"/>
      <c r="AJJ126" s="1"/>
      <c r="AJK126" s="1"/>
      <c r="AJL126" s="1"/>
      <c r="AJM126" s="1"/>
      <c r="AJN126" s="1"/>
      <c r="AJO126" s="1"/>
      <c r="AJP126" s="1"/>
      <c r="AJQ126" s="1"/>
      <c r="AJR126" s="1"/>
      <c r="AJS126" s="1"/>
      <c r="AJT126" s="1"/>
      <c r="AJU126" s="1"/>
      <c r="AJV126" s="1"/>
      <c r="AJW126" s="1"/>
      <c r="AJX126" s="1"/>
      <c r="AJY126" s="1"/>
      <c r="AJZ126" s="1"/>
      <c r="AKA126" s="1"/>
      <c r="AKB126" s="1"/>
      <c r="AKC126" s="1"/>
      <c r="AKD126" s="1"/>
      <c r="AKE126" s="1"/>
      <c r="AKF126" s="1"/>
      <c r="AKG126" s="1"/>
      <c r="AKH126" s="1"/>
      <c r="AKI126" s="1"/>
      <c r="AKJ126" s="1"/>
      <c r="AKK126" s="1"/>
      <c r="AKL126" s="1"/>
      <c r="AKM126" s="1"/>
      <c r="AKN126" s="1"/>
      <c r="AKO126" s="1"/>
      <c r="AKP126" s="1"/>
      <c r="AKQ126" s="1"/>
      <c r="AKR126" s="1"/>
      <c r="AKS126" s="1"/>
      <c r="AKT126" s="1"/>
      <c r="AKU126" s="1"/>
      <c r="AKV126" s="1"/>
      <c r="AKW126" s="1"/>
      <c r="AKX126" s="1"/>
      <c r="AKY126" s="1"/>
      <c r="AKZ126" s="1"/>
      <c r="ALA126" s="1"/>
      <c r="ALB126" s="1"/>
      <c r="ALC126" s="1"/>
      <c r="ALD126" s="1"/>
      <c r="ALE126" s="1"/>
      <c r="ALF126" s="1"/>
      <c r="ALG126" s="1"/>
      <c r="ALH126" s="1"/>
      <c r="ALI126" s="1"/>
      <c r="ALJ126" s="1"/>
      <c r="ALK126" s="1"/>
      <c r="ALL126" s="1"/>
      <c r="ALM126" s="1"/>
      <c r="ALN126" s="1"/>
      <c r="ALO126" s="1"/>
      <c r="ALP126" s="1"/>
      <c r="ALQ126" s="1"/>
      <c r="ALR126" s="1"/>
      <c r="ALS126" s="1"/>
      <c r="ALT126" s="1"/>
      <c r="ALU126" s="1"/>
      <c r="ALV126" s="1"/>
      <c r="ALW126" s="1"/>
      <c r="ALX126" s="1"/>
      <c r="ALY126" s="1"/>
      <c r="ALZ126" s="1"/>
      <c r="AMA126" s="1"/>
      <c r="AMB126" s="1"/>
      <c r="AMC126" s="1"/>
      <c r="AMD126" s="1"/>
      <c r="AME126" s="1"/>
      <c r="AMF126" s="1"/>
      <c r="AMG126" s="1"/>
      <c r="AMH126" s="1"/>
      <c r="AMI126" s="1"/>
      <c r="AMJ126" s="1"/>
      <c r="AMK126" s="1"/>
      <c r="AML126" s="1"/>
      <c r="AMM126" s="1"/>
      <c r="AMN126" s="1"/>
      <c r="AMO126" s="1"/>
      <c r="AMP126" s="1"/>
      <c r="AMQ126" s="1"/>
      <c r="AMR126" s="1"/>
      <c r="AMS126" s="1"/>
      <c r="AMT126" s="1"/>
      <c r="AMU126" s="1"/>
      <c r="AMV126" s="1"/>
      <c r="AMW126" s="1"/>
      <c r="AMX126" s="1"/>
      <c r="AMY126" s="1"/>
      <c r="AMZ126" s="1"/>
      <c r="ANA126" s="1"/>
      <c r="ANB126" s="1"/>
      <c r="ANC126" s="1"/>
      <c r="AND126" s="1"/>
      <c r="ANE126" s="1"/>
      <c r="ANF126" s="1"/>
      <c r="ANG126" s="1"/>
      <c r="ANH126" s="1"/>
      <c r="ANI126" s="1"/>
      <c r="ANJ126" s="1"/>
      <c r="ANK126" s="1"/>
      <c r="ANL126" s="1"/>
      <c r="ANM126" s="1"/>
      <c r="ANN126" s="1"/>
      <c r="ANO126" s="1"/>
      <c r="ANP126" s="1"/>
      <c r="ANQ126" s="1"/>
      <c r="ANR126" s="1"/>
      <c r="ANS126" s="1"/>
      <c r="ANT126" s="1"/>
      <c r="ANU126" s="1"/>
      <c r="ANV126" s="1"/>
      <c r="ANW126" s="1"/>
      <c r="ANX126" s="1"/>
      <c r="ANY126" s="1"/>
      <c r="ANZ126" s="1"/>
      <c r="AOA126" s="1"/>
      <c r="AOB126" s="1"/>
      <c r="AOC126" s="1"/>
      <c r="AOD126" s="1"/>
      <c r="AOE126" s="1"/>
      <c r="AOF126" s="1"/>
      <c r="AOG126" s="1"/>
      <c r="AOH126" s="1"/>
      <c r="AOI126" s="1"/>
      <c r="AOJ126" s="1"/>
      <c r="AOK126" s="1"/>
      <c r="AOL126" s="1"/>
      <c r="AOM126" s="1"/>
      <c r="AON126" s="1"/>
      <c r="AOO126" s="1"/>
      <c r="AOP126" s="1"/>
      <c r="AOQ126" s="1"/>
      <c r="AOR126" s="1"/>
      <c r="AOS126" s="1"/>
      <c r="AOT126" s="1"/>
      <c r="AOU126" s="1"/>
      <c r="AOV126" s="1"/>
      <c r="AOW126" s="1"/>
      <c r="AOX126" s="1"/>
      <c r="AOY126" s="1"/>
      <c r="AOZ126" s="1"/>
      <c r="APA126" s="1"/>
      <c r="APB126" s="1"/>
      <c r="APC126" s="1"/>
      <c r="APD126" s="1"/>
      <c r="APE126" s="1"/>
      <c r="APF126" s="1"/>
      <c r="APG126" s="1"/>
      <c r="APH126" s="1"/>
      <c r="API126" s="1"/>
      <c r="APJ126" s="1"/>
      <c r="APK126" s="1"/>
      <c r="APL126" s="1"/>
      <c r="APM126" s="1"/>
      <c r="APN126" s="1"/>
      <c r="APO126" s="1"/>
      <c r="APP126" s="1"/>
      <c r="APQ126" s="1"/>
      <c r="APR126" s="1"/>
      <c r="APS126" s="1"/>
      <c r="APT126" s="1"/>
      <c r="APU126" s="1"/>
      <c r="APV126" s="1"/>
      <c r="APW126" s="1"/>
      <c r="APX126" s="1"/>
      <c r="APY126" s="1"/>
      <c r="APZ126" s="1"/>
      <c r="AQA126" s="1"/>
      <c r="AQB126" s="1"/>
      <c r="AQC126" s="1"/>
      <c r="AQD126" s="1"/>
      <c r="AQE126" s="1"/>
      <c r="AQF126" s="1"/>
      <c r="AQG126" s="1"/>
      <c r="AQH126" s="1"/>
      <c r="AQI126" s="1"/>
      <c r="AQJ126" s="1"/>
      <c r="AQK126" s="1"/>
      <c r="AQL126" s="1"/>
      <c r="AQM126" s="1"/>
      <c r="AQN126" s="1"/>
      <c r="AQO126" s="1"/>
      <c r="AQP126" s="1"/>
      <c r="AQQ126" s="1"/>
      <c r="AQR126" s="1"/>
      <c r="AQS126" s="1"/>
      <c r="AQT126" s="1"/>
      <c r="AQU126" s="1"/>
      <c r="AQV126" s="1"/>
      <c r="AQW126" s="1"/>
      <c r="AQX126" s="1"/>
      <c r="AQY126" s="1"/>
      <c r="AQZ126" s="1"/>
      <c r="ARA126" s="1"/>
      <c r="ARB126" s="1"/>
      <c r="ARC126" s="1"/>
      <c r="ARD126" s="1"/>
      <c r="ARE126" s="1"/>
      <c r="ARF126" s="1"/>
      <c r="ARG126" s="1"/>
      <c r="ARH126" s="1"/>
      <c r="ARI126" s="1"/>
      <c r="ARJ126" s="1"/>
      <c r="ARK126" s="1"/>
      <c r="ARL126" s="1"/>
      <c r="ARM126" s="1"/>
      <c r="ARN126" s="1"/>
      <c r="ARO126" s="1"/>
      <c r="ARP126" s="1"/>
      <c r="ARQ126" s="1"/>
      <c r="ARR126" s="1"/>
      <c r="ARS126" s="1"/>
      <c r="ART126" s="1"/>
      <c r="ARU126" s="1"/>
      <c r="ARV126" s="1"/>
      <c r="ARW126" s="1"/>
      <c r="ARX126" s="1"/>
      <c r="ARY126" s="1"/>
      <c r="ARZ126" s="1"/>
      <c r="ASA126" s="1"/>
      <c r="ASB126" s="1"/>
      <c r="ASC126" s="1"/>
      <c r="ASD126" s="1"/>
      <c r="ASE126" s="1"/>
      <c r="ASF126" s="1"/>
      <c r="ASG126" s="1"/>
      <c r="ASH126" s="1"/>
      <c r="ASI126" s="1"/>
      <c r="ASJ126" s="1"/>
      <c r="ASK126" s="1"/>
      <c r="ASL126" s="1"/>
      <c r="ASM126" s="1"/>
      <c r="ASN126" s="1"/>
      <c r="ASO126" s="1"/>
      <c r="ASP126" s="1"/>
      <c r="ASQ126" s="1"/>
      <c r="ASR126" s="1"/>
      <c r="ASS126" s="1"/>
      <c r="AST126" s="1"/>
      <c r="ASU126" s="1"/>
      <c r="ASV126" s="1"/>
      <c r="ASW126" s="1"/>
      <c r="ASX126" s="1"/>
      <c r="ASY126" s="1"/>
      <c r="ASZ126" s="1"/>
      <c r="ATA126" s="1"/>
      <c r="ATB126" s="1"/>
      <c r="ATC126" s="1"/>
      <c r="ATD126" s="1"/>
      <c r="ATE126" s="1"/>
      <c r="ATF126" s="1"/>
      <c r="ATG126" s="1"/>
      <c r="ATH126" s="1"/>
      <c r="ATI126" s="1"/>
      <c r="ATJ126" s="1"/>
      <c r="ATK126" s="1"/>
      <c r="ATL126" s="1"/>
      <c r="ATM126" s="1"/>
      <c r="ATN126" s="1"/>
      <c r="ATO126" s="1"/>
      <c r="ATP126" s="1"/>
      <c r="ATQ126" s="1"/>
      <c r="ATR126" s="1"/>
      <c r="ATS126" s="1"/>
      <c r="ATT126" s="1"/>
      <c r="ATU126" s="1"/>
      <c r="ATV126" s="1"/>
      <c r="ATW126" s="1"/>
      <c r="ATX126" s="1"/>
      <c r="ATY126" s="1"/>
      <c r="ATZ126" s="1"/>
      <c r="AUA126" s="1"/>
      <c r="AUB126" s="1"/>
      <c r="AUC126" s="1"/>
      <c r="AUD126" s="1"/>
      <c r="AUE126" s="1"/>
      <c r="AUF126" s="1"/>
      <c r="AUG126" s="1"/>
      <c r="AUH126" s="1"/>
      <c r="AUI126" s="1"/>
      <c r="AUJ126" s="1"/>
      <c r="AUK126" s="1"/>
      <c r="AUL126" s="1"/>
      <c r="AUM126" s="1"/>
      <c r="AUN126" s="1"/>
      <c r="AUO126" s="1"/>
      <c r="AUP126" s="1"/>
      <c r="AUQ126" s="1"/>
      <c r="AUR126" s="1"/>
      <c r="AUS126" s="1"/>
      <c r="AUT126" s="1"/>
      <c r="AUU126" s="1"/>
      <c r="AUV126" s="1"/>
      <c r="AUW126" s="1"/>
      <c r="AUX126" s="1"/>
      <c r="AUY126" s="1"/>
      <c r="AUZ126" s="1"/>
      <c r="AVA126" s="1"/>
      <c r="AVB126" s="1"/>
      <c r="AVC126" s="1"/>
      <c r="AVD126" s="1"/>
      <c r="AVE126" s="1"/>
      <c r="AVF126" s="1"/>
      <c r="AVG126" s="1"/>
      <c r="AVH126" s="1"/>
      <c r="AVI126" s="1"/>
      <c r="AVJ126" s="1"/>
      <c r="AVK126" s="1"/>
      <c r="AVL126" s="1"/>
      <c r="AVM126" s="1"/>
      <c r="AVN126" s="1"/>
      <c r="AVO126" s="1"/>
      <c r="AVP126" s="1"/>
      <c r="AVQ126" s="1"/>
      <c r="AVR126" s="1"/>
      <c r="AVS126" s="1"/>
      <c r="AVT126" s="1"/>
      <c r="AVU126" s="1"/>
      <c r="AVV126" s="1"/>
      <c r="AVW126" s="1"/>
      <c r="AVX126" s="1"/>
      <c r="AVY126" s="1"/>
      <c r="AVZ126" s="1"/>
      <c r="AWA126" s="1"/>
      <c r="AWB126" s="1"/>
      <c r="AWC126" s="1"/>
      <c r="AWD126" s="1"/>
      <c r="AWE126" s="1"/>
      <c r="AWF126" s="1"/>
      <c r="AWG126" s="1"/>
      <c r="AWH126" s="1"/>
      <c r="AWI126" s="1"/>
      <c r="AWJ126" s="1"/>
      <c r="AWK126" s="1"/>
      <c r="AWL126" s="1"/>
      <c r="AWM126" s="1"/>
      <c r="AWN126" s="1"/>
      <c r="AWO126" s="1"/>
      <c r="AWP126" s="1"/>
      <c r="AWQ126" s="1"/>
      <c r="AWR126" s="1"/>
      <c r="AWS126" s="1"/>
      <c r="AWT126" s="1"/>
      <c r="AWU126" s="1"/>
      <c r="AWV126" s="1"/>
      <c r="AWW126" s="1"/>
      <c r="AWX126" s="1"/>
      <c r="AWY126" s="1"/>
      <c r="AWZ126" s="1"/>
      <c r="AXA126" s="1"/>
      <c r="AXB126" s="1"/>
      <c r="AXC126" s="1"/>
      <c r="AXD126" s="1"/>
      <c r="AXE126" s="1"/>
      <c r="AXF126" s="1"/>
      <c r="AXG126" s="1"/>
      <c r="AXH126" s="1"/>
      <c r="AXI126" s="1"/>
      <c r="AXJ126" s="1"/>
      <c r="AXK126" s="1"/>
      <c r="AXL126" s="1"/>
      <c r="AXM126" s="1"/>
      <c r="AXN126" s="1"/>
      <c r="AXO126" s="1"/>
      <c r="AXP126" s="1"/>
      <c r="AXQ126" s="1"/>
      <c r="AXR126" s="1"/>
      <c r="AXS126" s="1"/>
      <c r="AXT126" s="1"/>
      <c r="AXU126" s="1"/>
      <c r="AXV126" s="1"/>
      <c r="AXW126" s="1"/>
      <c r="AXX126" s="1"/>
      <c r="AXY126" s="1"/>
      <c r="AXZ126" s="1"/>
      <c r="AYA126" s="1"/>
      <c r="AYB126" s="1"/>
      <c r="AYC126" s="1"/>
      <c r="AYD126" s="1"/>
      <c r="AYE126" s="1"/>
      <c r="AYF126" s="1"/>
      <c r="AYG126" s="1"/>
      <c r="AYH126" s="1"/>
      <c r="AYI126" s="1"/>
      <c r="AYJ126" s="1"/>
      <c r="AYK126" s="1"/>
      <c r="AYL126" s="1"/>
      <c r="AYM126" s="1"/>
      <c r="AYN126" s="1"/>
      <c r="AYO126" s="1"/>
      <c r="AYP126" s="1"/>
      <c r="AYQ126" s="1"/>
      <c r="AYR126" s="1"/>
      <c r="AYS126" s="1"/>
      <c r="AYT126" s="1"/>
      <c r="AYU126" s="1"/>
      <c r="AYV126" s="1"/>
      <c r="AYW126" s="1"/>
      <c r="AYX126" s="1"/>
      <c r="AYY126" s="1"/>
      <c r="AYZ126" s="1"/>
      <c r="AZA126" s="1"/>
      <c r="AZB126" s="1"/>
      <c r="AZC126" s="1"/>
      <c r="AZD126" s="1"/>
      <c r="AZE126" s="1"/>
      <c r="AZF126" s="1"/>
      <c r="AZG126" s="1"/>
      <c r="AZH126" s="1"/>
      <c r="AZI126" s="1"/>
      <c r="AZJ126" s="1"/>
      <c r="AZK126" s="1"/>
      <c r="AZL126" s="1"/>
      <c r="AZM126" s="1"/>
      <c r="AZN126" s="1"/>
      <c r="AZO126" s="1"/>
      <c r="AZP126" s="1"/>
      <c r="AZQ126" s="1"/>
      <c r="AZR126" s="1"/>
      <c r="AZS126" s="1"/>
      <c r="AZT126" s="1"/>
      <c r="AZU126" s="1"/>
      <c r="AZV126" s="1"/>
      <c r="AZW126" s="1"/>
      <c r="AZX126" s="1"/>
      <c r="AZY126" s="1"/>
      <c r="AZZ126" s="1"/>
      <c r="BAA126" s="1"/>
      <c r="BAB126" s="1"/>
      <c r="BAC126" s="1"/>
      <c r="BAD126" s="1"/>
      <c r="BAE126" s="1"/>
      <c r="BAF126" s="1"/>
      <c r="BAG126" s="1"/>
      <c r="BAH126" s="1"/>
      <c r="BAI126" s="1"/>
      <c r="BAJ126" s="1"/>
      <c r="BAK126" s="1"/>
      <c r="BAL126" s="1"/>
      <c r="BAM126" s="1"/>
      <c r="BAN126" s="1"/>
      <c r="BAO126" s="1"/>
      <c r="BAP126" s="1"/>
      <c r="BAQ126" s="1"/>
      <c r="BAR126" s="1"/>
      <c r="BAS126" s="1"/>
      <c r="BAT126" s="1"/>
      <c r="BAU126" s="1"/>
      <c r="BAV126" s="1"/>
      <c r="BAW126" s="1"/>
      <c r="BAX126" s="1"/>
      <c r="BAY126" s="1"/>
      <c r="BAZ126" s="1"/>
      <c r="BBA126" s="1"/>
      <c r="BBB126" s="1"/>
      <c r="BBC126" s="1"/>
      <c r="BBD126" s="1"/>
      <c r="BBE126" s="1"/>
      <c r="BBF126" s="1"/>
      <c r="BBG126" s="1"/>
      <c r="BBH126" s="1"/>
      <c r="BBI126" s="1"/>
      <c r="BBJ126" s="1"/>
      <c r="BBK126" s="1"/>
      <c r="BBL126" s="1"/>
      <c r="BBM126" s="1"/>
      <c r="BBN126" s="1"/>
      <c r="BBO126" s="1"/>
      <c r="BBP126" s="1"/>
      <c r="BBQ126" s="1"/>
      <c r="BBR126" s="1"/>
      <c r="BBS126" s="1"/>
      <c r="BBT126" s="1"/>
      <c r="BBU126" s="1"/>
      <c r="BBV126" s="1"/>
      <c r="BBW126" s="1"/>
      <c r="BBX126" s="1"/>
      <c r="BBY126" s="1"/>
      <c r="BBZ126" s="1"/>
      <c r="BCA126" s="1"/>
      <c r="BCB126" s="1"/>
      <c r="BCC126" s="1"/>
      <c r="BCD126" s="1"/>
      <c r="BCE126" s="1"/>
      <c r="BCF126" s="1"/>
      <c r="BCG126" s="1"/>
      <c r="BCH126" s="1"/>
      <c r="BCI126" s="1"/>
      <c r="BCJ126" s="1"/>
      <c r="BCK126" s="1"/>
      <c r="BCL126" s="1"/>
      <c r="BCM126" s="1"/>
      <c r="BCN126" s="1"/>
      <c r="BCO126" s="1"/>
      <c r="BCP126" s="1"/>
      <c r="BCQ126" s="1"/>
      <c r="BCR126" s="1"/>
      <c r="BCS126" s="1"/>
      <c r="BCT126" s="1"/>
      <c r="BCU126" s="1"/>
      <c r="BCV126" s="1"/>
      <c r="BCW126" s="1"/>
      <c r="BCX126" s="1"/>
      <c r="BCY126" s="1"/>
      <c r="BCZ126" s="1"/>
      <c r="BDA126" s="1"/>
      <c r="BDB126" s="1"/>
      <c r="BDC126" s="1"/>
      <c r="BDD126" s="1"/>
      <c r="BDE126" s="1"/>
      <c r="BDF126" s="1"/>
      <c r="BDG126" s="1"/>
      <c r="BDH126" s="1"/>
      <c r="BDI126" s="1"/>
      <c r="BDJ126" s="1"/>
      <c r="BDK126" s="1"/>
      <c r="BDL126" s="1"/>
      <c r="BDM126" s="1"/>
      <c r="BDN126" s="1"/>
      <c r="BDO126" s="1"/>
      <c r="BDP126" s="1"/>
      <c r="BDQ126" s="1"/>
      <c r="BDR126" s="1"/>
      <c r="BDS126" s="1"/>
      <c r="BDT126" s="1"/>
      <c r="BDU126" s="1"/>
      <c r="BDV126" s="1"/>
      <c r="BDW126" s="1"/>
      <c r="BDX126" s="1"/>
      <c r="BDY126" s="1"/>
      <c r="BDZ126" s="1"/>
      <c r="BEA126" s="1"/>
      <c r="BEB126" s="1"/>
      <c r="BEC126" s="1"/>
      <c r="BED126" s="1"/>
      <c r="BEE126" s="1"/>
      <c r="BEF126" s="1"/>
      <c r="BEG126" s="1"/>
      <c r="BEH126" s="1"/>
      <c r="BEI126" s="1"/>
      <c r="BEJ126" s="1"/>
      <c r="BEK126" s="1"/>
      <c r="BEL126" s="1"/>
      <c r="BEM126" s="1"/>
      <c r="BEN126" s="1"/>
      <c r="BEO126" s="1"/>
      <c r="BEP126" s="1"/>
      <c r="BEQ126" s="1"/>
      <c r="BER126" s="1"/>
      <c r="BES126" s="1"/>
      <c r="BET126" s="1"/>
      <c r="BEU126" s="1"/>
      <c r="BEV126" s="1"/>
      <c r="BEW126" s="1"/>
      <c r="BEX126" s="1"/>
      <c r="BEY126" s="1"/>
      <c r="BEZ126" s="1"/>
      <c r="BFA126" s="1"/>
      <c r="BFB126" s="1"/>
      <c r="BFC126" s="1"/>
      <c r="BFD126" s="1"/>
      <c r="BFE126" s="1"/>
      <c r="BFF126" s="1"/>
      <c r="BFG126" s="1"/>
      <c r="BFH126" s="1"/>
      <c r="BFI126" s="1"/>
      <c r="BFJ126" s="1"/>
      <c r="BFK126" s="1"/>
      <c r="BFL126" s="1"/>
      <c r="BFM126" s="1"/>
      <c r="BFN126" s="1"/>
      <c r="BFO126" s="1"/>
      <c r="BFP126" s="1"/>
      <c r="BFQ126" s="1"/>
      <c r="BFR126" s="1"/>
      <c r="BFS126" s="1"/>
      <c r="BFT126" s="1"/>
      <c r="BFU126" s="1"/>
      <c r="BFV126" s="1"/>
      <c r="BFW126" s="1"/>
      <c r="BFX126" s="1"/>
      <c r="BFY126" s="1"/>
      <c r="BFZ126" s="1"/>
      <c r="BGA126" s="1"/>
      <c r="BGB126" s="1"/>
      <c r="BGC126" s="1"/>
      <c r="BGD126" s="1"/>
      <c r="BGE126" s="1"/>
      <c r="BGF126" s="1"/>
      <c r="BGG126" s="1"/>
      <c r="BGH126" s="1"/>
      <c r="BGI126" s="1"/>
      <c r="BGJ126" s="1"/>
      <c r="BGK126" s="1"/>
      <c r="BGL126" s="1"/>
      <c r="BGM126" s="1"/>
      <c r="BGN126" s="1"/>
      <c r="BGO126" s="1"/>
      <c r="BGP126" s="1"/>
      <c r="BGQ126" s="1"/>
      <c r="BGR126" s="1"/>
      <c r="BGS126" s="1"/>
      <c r="BGT126" s="1"/>
      <c r="BGU126" s="1"/>
      <c r="BGV126" s="1"/>
      <c r="BGW126" s="1"/>
      <c r="BGX126" s="1"/>
      <c r="BGY126" s="1"/>
      <c r="BGZ126" s="1"/>
      <c r="BHA126" s="1"/>
      <c r="BHB126" s="1"/>
      <c r="BHC126" s="1"/>
      <c r="BHD126" s="1"/>
      <c r="BHE126" s="1"/>
      <c r="BHF126" s="1"/>
      <c r="BHG126" s="1"/>
      <c r="BHH126" s="1"/>
      <c r="BHI126" s="1"/>
      <c r="BHJ126" s="1"/>
      <c r="BHK126" s="1"/>
      <c r="BHL126" s="1"/>
      <c r="BHM126" s="1"/>
      <c r="BHN126" s="1"/>
      <c r="BHO126" s="1"/>
      <c r="BHP126" s="1"/>
      <c r="BHQ126" s="1"/>
      <c r="BHR126" s="1"/>
      <c r="BHS126" s="1"/>
      <c r="BHT126" s="1"/>
      <c r="BHU126" s="1"/>
      <c r="BHV126" s="1"/>
      <c r="BHW126" s="1"/>
      <c r="BHX126" s="1"/>
      <c r="BHY126" s="1"/>
      <c r="BHZ126" s="1"/>
      <c r="BIA126" s="1"/>
      <c r="BIB126" s="1"/>
      <c r="BIC126" s="1"/>
      <c r="BID126" s="1"/>
      <c r="BIE126" s="1"/>
      <c r="BIF126" s="1"/>
      <c r="BIG126" s="1"/>
      <c r="BIH126" s="1"/>
      <c r="BII126" s="1"/>
      <c r="BIJ126" s="1"/>
      <c r="BIK126" s="1"/>
      <c r="BIL126" s="1"/>
      <c r="BIM126" s="1"/>
      <c r="BIN126" s="1"/>
      <c r="BIO126" s="1"/>
      <c r="BIP126" s="1"/>
      <c r="BIQ126" s="1"/>
      <c r="BIR126" s="1"/>
      <c r="BIS126" s="1"/>
      <c r="BIT126" s="1"/>
      <c r="BIU126" s="1"/>
      <c r="BIV126" s="1"/>
      <c r="BIW126" s="1"/>
      <c r="BIX126" s="1"/>
      <c r="BIY126" s="1"/>
      <c r="BIZ126" s="1"/>
      <c r="BJA126" s="1"/>
      <c r="BJB126" s="1"/>
      <c r="BJC126" s="1"/>
      <c r="BJD126" s="1"/>
      <c r="BJE126" s="1"/>
      <c r="BJF126" s="1"/>
      <c r="BJG126" s="1"/>
      <c r="BJH126" s="1"/>
      <c r="BJI126" s="1"/>
      <c r="BJJ126" s="1"/>
      <c r="BJK126" s="1"/>
      <c r="BJL126" s="1"/>
      <c r="BJM126" s="1"/>
      <c r="BJN126" s="1"/>
      <c r="BJO126" s="1"/>
      <c r="BJP126" s="1"/>
      <c r="BJQ126" s="1"/>
      <c r="BJR126" s="1"/>
      <c r="BJS126" s="1"/>
      <c r="BJT126" s="1"/>
      <c r="BJU126" s="1"/>
      <c r="BJV126" s="1"/>
      <c r="BJW126" s="1"/>
      <c r="BJX126" s="1"/>
      <c r="BJY126" s="1"/>
      <c r="BJZ126" s="1"/>
      <c r="BKA126" s="1"/>
      <c r="BKB126" s="1"/>
      <c r="BKC126" s="1"/>
      <c r="BKD126" s="1"/>
      <c r="BKE126" s="1"/>
      <c r="BKF126" s="1"/>
      <c r="BKG126" s="1"/>
      <c r="BKH126" s="1"/>
      <c r="BKI126" s="1"/>
      <c r="BKJ126" s="1"/>
      <c r="BKK126" s="1"/>
      <c r="BKL126" s="1"/>
      <c r="BKM126" s="1"/>
      <c r="BKN126" s="1"/>
      <c r="BKO126" s="1"/>
      <c r="BKP126" s="1"/>
      <c r="BKQ126" s="1"/>
      <c r="BKR126" s="1"/>
      <c r="BKS126" s="1"/>
      <c r="BKT126" s="1"/>
      <c r="BKU126" s="1"/>
      <c r="BKV126" s="1"/>
      <c r="BKW126" s="1"/>
      <c r="BKX126" s="1"/>
      <c r="BKY126" s="1"/>
      <c r="BKZ126" s="1"/>
      <c r="BLA126" s="1"/>
      <c r="BLB126" s="1"/>
      <c r="BLC126" s="1"/>
      <c r="BLD126" s="1"/>
      <c r="BLE126" s="1"/>
      <c r="BLF126" s="1"/>
      <c r="BLG126" s="1"/>
      <c r="BLH126" s="1"/>
      <c r="BLI126" s="1"/>
      <c r="BLJ126" s="1"/>
      <c r="BLK126" s="1"/>
      <c r="BLL126" s="1"/>
      <c r="BLM126" s="1"/>
      <c r="BLN126" s="1"/>
      <c r="BLO126" s="1"/>
      <c r="BLP126" s="1"/>
      <c r="BLQ126" s="1"/>
      <c r="BLR126" s="1"/>
      <c r="BLS126" s="1"/>
      <c r="BLT126" s="1"/>
      <c r="BLU126" s="1"/>
      <c r="BLV126" s="1"/>
      <c r="BLW126" s="1"/>
      <c r="BLX126" s="1"/>
      <c r="BLY126" s="1"/>
      <c r="BLZ126" s="1"/>
      <c r="BMA126" s="1"/>
      <c r="BMB126" s="1"/>
      <c r="BMC126" s="1"/>
      <c r="BMD126" s="1"/>
      <c r="BME126" s="1"/>
      <c r="BMF126" s="1"/>
      <c r="BMG126" s="1"/>
      <c r="BMH126" s="1"/>
      <c r="BMI126" s="1"/>
      <c r="BMJ126" s="1"/>
      <c r="BMK126" s="1"/>
      <c r="BML126" s="1"/>
      <c r="BMM126" s="1"/>
      <c r="BMN126" s="1"/>
      <c r="BMO126" s="1"/>
      <c r="BMP126" s="1"/>
      <c r="BMQ126" s="1"/>
      <c r="BMR126" s="1"/>
      <c r="BMS126" s="1"/>
      <c r="BMT126" s="1"/>
      <c r="BMU126" s="1"/>
      <c r="BMV126" s="1"/>
      <c r="BMW126" s="1"/>
      <c r="BMX126" s="1"/>
      <c r="BMY126" s="1"/>
      <c r="BMZ126" s="1"/>
      <c r="BNA126" s="1"/>
      <c r="BNB126" s="1"/>
      <c r="BNC126" s="1"/>
      <c r="BND126" s="1"/>
      <c r="BNE126" s="1"/>
      <c r="BNF126" s="1"/>
      <c r="BNG126" s="1"/>
      <c r="BNH126" s="1"/>
      <c r="BNI126" s="1"/>
      <c r="BNJ126" s="1"/>
      <c r="BNK126" s="1"/>
      <c r="BNL126" s="1"/>
      <c r="BNM126" s="1"/>
      <c r="BNN126" s="1"/>
      <c r="BNO126" s="1"/>
      <c r="BNP126" s="1"/>
      <c r="BNQ126" s="1"/>
      <c r="BNR126" s="1"/>
      <c r="BNS126" s="1"/>
      <c r="BNT126" s="1"/>
      <c r="BNU126" s="1"/>
      <c r="BNV126" s="1"/>
      <c r="BNW126" s="1"/>
      <c r="BNX126" s="1"/>
      <c r="BNY126" s="1"/>
      <c r="BNZ126" s="1"/>
      <c r="BOA126" s="1"/>
      <c r="BOB126" s="1"/>
      <c r="BOC126" s="1"/>
      <c r="BOD126" s="1"/>
      <c r="BOE126" s="1"/>
      <c r="BOF126" s="1"/>
      <c r="BOG126" s="1"/>
      <c r="BOH126" s="1"/>
      <c r="BOI126" s="1"/>
      <c r="BOJ126" s="1"/>
      <c r="BOK126" s="1"/>
      <c r="BOL126" s="1"/>
      <c r="BOM126" s="1"/>
      <c r="BON126" s="1"/>
      <c r="BOO126" s="1"/>
      <c r="BOP126" s="1"/>
      <c r="BOQ126" s="1"/>
      <c r="BOR126" s="1"/>
      <c r="BOS126" s="1"/>
      <c r="BOT126" s="1"/>
      <c r="BOU126" s="1"/>
      <c r="BOV126" s="1"/>
      <c r="BOW126" s="1"/>
      <c r="BOX126" s="1"/>
      <c r="BOY126" s="1"/>
      <c r="BOZ126" s="1"/>
      <c r="BPA126" s="1"/>
      <c r="BPB126" s="1"/>
      <c r="BPC126" s="1"/>
      <c r="BPD126" s="1"/>
      <c r="BPE126" s="1"/>
      <c r="BPF126" s="1"/>
      <c r="BPG126" s="1"/>
      <c r="BPH126" s="1"/>
      <c r="BPI126" s="1"/>
      <c r="BPJ126" s="1"/>
      <c r="BPK126" s="1"/>
      <c r="BPL126" s="1"/>
      <c r="BPM126" s="1"/>
      <c r="BPN126" s="1"/>
      <c r="BPO126" s="1"/>
      <c r="BPP126" s="1"/>
      <c r="BPQ126" s="1"/>
      <c r="BPR126" s="1"/>
      <c r="BPS126" s="1"/>
      <c r="BPT126" s="1"/>
      <c r="BPU126" s="1"/>
      <c r="BPV126" s="1"/>
      <c r="BPW126" s="1"/>
      <c r="BPX126" s="1"/>
      <c r="BPY126" s="1"/>
      <c r="BPZ126" s="1"/>
      <c r="BQA126" s="1"/>
      <c r="BQB126" s="1"/>
      <c r="BQC126" s="1"/>
      <c r="BQD126" s="1"/>
      <c r="BQE126" s="1"/>
      <c r="BQF126" s="1"/>
      <c r="BQG126" s="1"/>
      <c r="BQH126" s="1"/>
      <c r="BQI126" s="1"/>
      <c r="BQJ126" s="1"/>
      <c r="BQK126" s="1"/>
      <c r="BQL126" s="1"/>
      <c r="BQM126" s="1"/>
      <c r="BQN126" s="1"/>
      <c r="BQO126" s="1"/>
      <c r="BQP126" s="1"/>
      <c r="BQQ126" s="1"/>
      <c r="BQR126" s="1"/>
      <c r="BQS126" s="1"/>
      <c r="BQT126" s="1"/>
      <c r="BQU126" s="1"/>
      <c r="BQV126" s="1"/>
      <c r="BQW126" s="1"/>
      <c r="BQX126" s="1"/>
      <c r="BQY126" s="1"/>
      <c r="BQZ126" s="1"/>
      <c r="BRA126" s="1"/>
      <c r="BRB126" s="1"/>
      <c r="BRC126" s="1"/>
      <c r="BRD126" s="1"/>
      <c r="BRE126" s="1"/>
      <c r="BRF126" s="1"/>
      <c r="BRG126" s="1"/>
      <c r="BRH126" s="1"/>
      <c r="BRI126" s="1"/>
      <c r="BRJ126" s="1"/>
      <c r="BRK126" s="1"/>
      <c r="BRL126" s="1"/>
      <c r="BRM126" s="1"/>
      <c r="BRN126" s="1"/>
      <c r="BRO126" s="1"/>
      <c r="BRP126" s="1"/>
      <c r="BRQ126" s="1"/>
      <c r="BRR126" s="1"/>
      <c r="BRS126" s="1"/>
      <c r="BRT126" s="1"/>
      <c r="BRU126" s="1"/>
      <c r="BRV126" s="1"/>
      <c r="BRW126" s="1"/>
      <c r="BRX126" s="1"/>
      <c r="BRY126" s="1"/>
      <c r="BRZ126" s="1"/>
      <c r="BSA126" s="1"/>
      <c r="BSB126" s="1"/>
      <c r="BSC126" s="1"/>
      <c r="BSD126" s="1"/>
      <c r="BSE126" s="1"/>
      <c r="BSF126" s="1"/>
      <c r="BSG126" s="1"/>
      <c r="BSH126" s="1"/>
      <c r="BSI126" s="1"/>
      <c r="BSJ126" s="1"/>
      <c r="BSK126" s="1"/>
      <c r="BSL126" s="1"/>
      <c r="BSM126" s="1"/>
      <c r="BSN126" s="1"/>
      <c r="BSO126" s="1"/>
      <c r="BSP126" s="1"/>
      <c r="BSQ126" s="1"/>
      <c r="BSR126" s="1"/>
      <c r="BSS126" s="1"/>
      <c r="BST126" s="1"/>
      <c r="BSU126" s="1"/>
      <c r="BSV126" s="1"/>
      <c r="BSW126" s="1"/>
      <c r="BSX126" s="1"/>
      <c r="BSY126" s="1"/>
      <c r="BSZ126" s="1"/>
      <c r="BTA126" s="1"/>
      <c r="BTB126" s="1"/>
      <c r="BTC126" s="1"/>
      <c r="BTD126" s="1"/>
      <c r="BTE126" s="1"/>
      <c r="BTF126" s="1"/>
      <c r="BTG126" s="1"/>
      <c r="BTH126" s="1"/>
      <c r="BTI126" s="1"/>
      <c r="BTJ126" s="1"/>
      <c r="BTK126" s="1"/>
      <c r="BTL126" s="1"/>
      <c r="BTM126" s="1"/>
      <c r="BTN126" s="1"/>
      <c r="BTO126" s="1"/>
      <c r="BTP126" s="1"/>
      <c r="BTQ126" s="1"/>
      <c r="BTR126" s="1"/>
      <c r="BTS126" s="1"/>
      <c r="BTT126" s="1"/>
      <c r="BTU126" s="1"/>
      <c r="BTV126" s="1"/>
      <c r="BTW126" s="1"/>
      <c r="BTX126" s="1"/>
      <c r="BTY126" s="1"/>
      <c r="BTZ126" s="1"/>
      <c r="BUA126" s="1"/>
      <c r="BUB126" s="1"/>
      <c r="BUC126" s="1"/>
      <c r="BUD126" s="1"/>
      <c r="BUE126" s="1"/>
      <c r="BUF126" s="1"/>
      <c r="BUG126" s="1"/>
      <c r="BUH126" s="1"/>
      <c r="BUI126" s="1"/>
      <c r="BUJ126" s="1"/>
      <c r="BUK126" s="1"/>
      <c r="BUL126" s="1"/>
      <c r="BUM126" s="1"/>
      <c r="BUN126" s="1"/>
      <c r="BUO126" s="1"/>
      <c r="BUP126" s="1"/>
      <c r="BUQ126" s="1"/>
      <c r="BUR126" s="1"/>
      <c r="BUS126" s="1"/>
      <c r="BUT126" s="1"/>
      <c r="BUU126" s="1"/>
      <c r="BUV126" s="1"/>
      <c r="BUW126" s="1"/>
      <c r="BUX126" s="1"/>
      <c r="BUY126" s="1"/>
      <c r="BUZ126" s="1"/>
      <c r="BVA126" s="1"/>
      <c r="BVB126" s="1"/>
      <c r="BVC126" s="1"/>
      <c r="BVD126" s="1"/>
      <c r="BVE126" s="1"/>
      <c r="BVF126" s="1"/>
      <c r="BVG126" s="1"/>
      <c r="BVH126" s="1"/>
      <c r="BVI126" s="1"/>
      <c r="BVJ126" s="1"/>
      <c r="BVK126" s="1"/>
      <c r="BVL126" s="1"/>
      <c r="BVM126" s="1"/>
      <c r="BVN126" s="1"/>
      <c r="BVO126" s="1"/>
      <c r="BVP126" s="1"/>
      <c r="BVQ126" s="1"/>
      <c r="BVR126" s="1"/>
      <c r="BVS126" s="1"/>
      <c r="BVT126" s="1"/>
      <c r="BVU126" s="1"/>
      <c r="BVV126" s="1"/>
      <c r="BVW126" s="1"/>
      <c r="BVX126" s="1"/>
      <c r="BVY126" s="1"/>
      <c r="BVZ126" s="1"/>
      <c r="BWA126" s="1"/>
      <c r="BWB126" s="1"/>
      <c r="BWC126" s="1"/>
      <c r="BWD126" s="1"/>
      <c r="BWE126" s="1"/>
      <c r="BWF126" s="1"/>
      <c r="BWG126" s="1"/>
      <c r="BWH126" s="1"/>
      <c r="BWI126" s="1"/>
      <c r="BWJ126" s="1"/>
      <c r="BWK126" s="1"/>
      <c r="BWL126" s="1"/>
      <c r="BWM126" s="1"/>
      <c r="BWN126" s="1"/>
      <c r="BWO126" s="1"/>
      <c r="BWP126" s="1"/>
      <c r="BWQ126" s="1"/>
      <c r="BWR126" s="1"/>
      <c r="BWS126" s="1"/>
      <c r="BWT126" s="1"/>
      <c r="BWU126" s="1"/>
      <c r="BWV126" s="1"/>
      <c r="BWW126" s="1"/>
      <c r="BWX126" s="1"/>
      <c r="BWY126" s="1"/>
      <c r="BWZ126" s="1"/>
      <c r="BXA126" s="1"/>
      <c r="BXB126" s="1"/>
      <c r="BXC126" s="1"/>
      <c r="BXD126" s="1"/>
      <c r="BXE126" s="1"/>
      <c r="BXF126" s="1"/>
      <c r="BXG126" s="1"/>
      <c r="BXH126" s="1"/>
      <c r="BXI126" s="1"/>
      <c r="BXJ126" s="1"/>
      <c r="BXK126" s="1"/>
      <c r="BXL126" s="1"/>
      <c r="BXM126" s="1"/>
      <c r="BXN126" s="1"/>
      <c r="BXO126" s="1"/>
      <c r="BXP126" s="1"/>
      <c r="BXQ126" s="1"/>
      <c r="BXR126" s="1"/>
      <c r="BXS126" s="1"/>
      <c r="BXT126" s="1"/>
      <c r="BXU126" s="1"/>
      <c r="BXV126" s="1"/>
      <c r="BXW126" s="1"/>
      <c r="BXX126" s="1"/>
      <c r="BXY126" s="1"/>
      <c r="BXZ126" s="1"/>
      <c r="BYA126" s="1"/>
      <c r="BYB126" s="1"/>
      <c r="BYC126" s="1"/>
      <c r="BYD126" s="1"/>
      <c r="BYE126" s="1"/>
      <c r="BYF126" s="1"/>
      <c r="BYG126" s="1"/>
      <c r="BYH126" s="1"/>
      <c r="BYI126" s="1"/>
      <c r="BYJ126" s="1"/>
      <c r="BYK126" s="1"/>
      <c r="BYL126" s="1"/>
      <c r="BYM126" s="1"/>
      <c r="BYN126" s="1"/>
      <c r="BYO126" s="1"/>
      <c r="BYP126" s="1"/>
      <c r="BYQ126" s="1"/>
      <c r="BYR126" s="1"/>
      <c r="BYS126" s="1"/>
      <c r="BYT126" s="1"/>
      <c r="BYU126" s="1"/>
      <c r="BYV126" s="1"/>
      <c r="BYW126" s="1"/>
      <c r="BYX126" s="1"/>
      <c r="BYY126" s="1"/>
      <c r="BYZ126" s="1"/>
      <c r="BZA126" s="1"/>
      <c r="BZB126" s="1"/>
      <c r="BZC126" s="1"/>
      <c r="BZD126" s="1"/>
      <c r="BZE126" s="1"/>
      <c r="BZF126" s="1"/>
      <c r="BZG126" s="1"/>
      <c r="BZH126" s="1"/>
      <c r="BZI126" s="1"/>
      <c r="BZJ126" s="1"/>
      <c r="BZK126" s="1"/>
      <c r="BZL126" s="1"/>
      <c r="BZM126" s="1"/>
      <c r="BZN126" s="1"/>
      <c r="BZO126" s="1"/>
      <c r="BZP126" s="1"/>
      <c r="BZQ126" s="1"/>
      <c r="BZR126" s="1"/>
      <c r="BZS126" s="1"/>
      <c r="BZT126" s="1"/>
      <c r="BZU126" s="1"/>
      <c r="BZV126" s="1"/>
      <c r="BZW126" s="1"/>
      <c r="BZX126" s="1"/>
      <c r="BZY126" s="1"/>
      <c r="BZZ126" s="1"/>
      <c r="CAA126" s="1"/>
      <c r="CAB126" s="1"/>
      <c r="CAC126" s="1"/>
      <c r="CAD126" s="1"/>
      <c r="CAE126" s="1"/>
      <c r="CAF126" s="1"/>
      <c r="CAG126" s="1"/>
      <c r="CAH126" s="1"/>
      <c r="CAI126" s="1"/>
      <c r="CAJ126" s="1"/>
      <c r="CAK126" s="1"/>
      <c r="CAL126" s="1"/>
      <c r="CAM126" s="1"/>
      <c r="CAN126" s="1"/>
      <c r="CAO126" s="1"/>
      <c r="CAP126" s="1"/>
      <c r="CAQ126" s="1"/>
      <c r="CAR126" s="1"/>
      <c r="CAS126" s="1"/>
      <c r="CAT126" s="1"/>
      <c r="CAU126" s="1"/>
      <c r="CAV126" s="1"/>
      <c r="CAW126" s="1"/>
      <c r="CAX126" s="1"/>
      <c r="CAY126" s="1"/>
      <c r="CAZ126" s="1"/>
      <c r="CBA126" s="1"/>
      <c r="CBB126" s="1"/>
      <c r="CBC126" s="1"/>
      <c r="CBD126" s="1"/>
      <c r="CBE126" s="1"/>
      <c r="CBF126" s="1"/>
      <c r="CBG126" s="1"/>
      <c r="CBH126" s="1"/>
      <c r="CBI126" s="1"/>
      <c r="CBJ126" s="1"/>
      <c r="CBK126" s="1"/>
      <c r="CBL126" s="1"/>
      <c r="CBM126" s="1"/>
      <c r="CBN126" s="1"/>
      <c r="CBO126" s="1"/>
      <c r="CBP126" s="1"/>
      <c r="CBQ126" s="1"/>
      <c r="CBR126" s="1"/>
      <c r="CBS126" s="1"/>
      <c r="CBT126" s="1"/>
      <c r="CBU126" s="1"/>
      <c r="CBV126" s="1"/>
      <c r="CBW126" s="1"/>
      <c r="CBX126" s="1"/>
      <c r="CBY126" s="1"/>
      <c r="CBZ126" s="1"/>
      <c r="CCA126" s="1"/>
      <c r="CCB126" s="1"/>
      <c r="CCC126" s="1"/>
      <c r="CCD126" s="1"/>
      <c r="CCE126" s="1"/>
      <c r="CCF126" s="1"/>
      <c r="CCG126" s="1"/>
      <c r="CCH126" s="1"/>
      <c r="CCI126" s="1"/>
      <c r="CCJ126" s="1"/>
      <c r="CCK126" s="1"/>
      <c r="CCL126" s="1"/>
      <c r="CCM126" s="1"/>
      <c r="CCN126" s="1"/>
      <c r="CCO126" s="1"/>
      <c r="CCP126" s="1"/>
      <c r="CCQ126" s="1"/>
      <c r="CCR126" s="1"/>
      <c r="CCS126" s="1"/>
      <c r="CCT126" s="1"/>
      <c r="CCU126" s="1"/>
      <c r="CCV126" s="1"/>
      <c r="CCW126" s="1"/>
      <c r="CCX126" s="1"/>
      <c r="CCY126" s="1"/>
      <c r="CCZ126" s="1"/>
      <c r="CDA126" s="1"/>
      <c r="CDB126" s="1"/>
      <c r="CDC126" s="1"/>
      <c r="CDD126" s="1"/>
      <c r="CDE126" s="1"/>
      <c r="CDF126" s="1"/>
      <c r="CDG126" s="1"/>
      <c r="CDH126" s="1"/>
      <c r="CDI126" s="1"/>
      <c r="CDJ126" s="1"/>
      <c r="CDK126" s="1"/>
      <c r="CDL126" s="1"/>
      <c r="CDM126" s="1"/>
      <c r="CDN126" s="1"/>
      <c r="CDO126" s="1"/>
      <c r="CDP126" s="1"/>
      <c r="CDQ126" s="1"/>
      <c r="CDR126" s="1"/>
      <c r="CDS126" s="1"/>
      <c r="CDT126" s="1"/>
      <c r="CDU126" s="1"/>
      <c r="CDV126" s="1"/>
      <c r="CDW126" s="1"/>
      <c r="CDX126" s="1"/>
      <c r="CDY126" s="1"/>
      <c r="CDZ126" s="1"/>
      <c r="CEA126" s="1"/>
      <c r="CEB126" s="1"/>
      <c r="CEC126" s="1"/>
      <c r="CED126" s="1"/>
      <c r="CEE126" s="1"/>
      <c r="CEF126" s="1"/>
      <c r="CEG126" s="1"/>
      <c r="CEH126" s="1"/>
      <c r="CEI126" s="1"/>
      <c r="CEJ126" s="1"/>
      <c r="CEK126" s="1"/>
      <c r="CEL126" s="1"/>
      <c r="CEM126" s="1"/>
      <c r="CEN126" s="1"/>
      <c r="CEO126" s="1"/>
      <c r="CEP126" s="1"/>
      <c r="CEQ126" s="1"/>
      <c r="CER126" s="1"/>
      <c r="CES126" s="1"/>
      <c r="CET126" s="1"/>
      <c r="CEU126" s="1"/>
      <c r="CEV126" s="1"/>
      <c r="CEW126" s="1"/>
      <c r="CEX126" s="1"/>
      <c r="CEY126" s="1"/>
      <c r="CEZ126" s="1"/>
      <c r="CFA126" s="1"/>
      <c r="CFB126" s="1"/>
      <c r="CFC126" s="1"/>
      <c r="CFD126" s="1"/>
      <c r="CFE126" s="1"/>
      <c r="CFF126" s="1"/>
      <c r="CFG126" s="1"/>
      <c r="CFH126" s="1"/>
      <c r="CFI126" s="1"/>
      <c r="CFJ126" s="1"/>
      <c r="CFK126" s="1"/>
      <c r="CFL126" s="1"/>
      <c r="CFM126" s="1"/>
      <c r="CFN126" s="1"/>
      <c r="CFO126" s="1"/>
      <c r="CFP126" s="1"/>
      <c r="CFQ126" s="1"/>
      <c r="CFR126" s="1"/>
      <c r="CFS126" s="1"/>
      <c r="CFT126" s="1"/>
      <c r="CFU126" s="1"/>
      <c r="CFV126" s="1"/>
      <c r="CFW126" s="1"/>
      <c r="CFX126" s="1"/>
      <c r="CFY126" s="1"/>
      <c r="CFZ126" s="1"/>
      <c r="CGA126" s="1"/>
      <c r="CGB126" s="1"/>
      <c r="CGC126" s="1"/>
      <c r="CGD126" s="1"/>
      <c r="CGE126" s="1"/>
      <c r="CGF126" s="1"/>
      <c r="CGG126" s="1"/>
      <c r="CGH126" s="1"/>
      <c r="CGI126" s="1"/>
      <c r="CGJ126" s="1"/>
      <c r="CGK126" s="1"/>
      <c r="CGL126" s="1"/>
      <c r="CGM126" s="1"/>
      <c r="CGN126" s="1"/>
      <c r="CGO126" s="1"/>
      <c r="CGP126" s="1"/>
      <c r="CGQ126" s="1"/>
      <c r="CGR126" s="1"/>
      <c r="CGS126" s="1"/>
      <c r="CGT126" s="1"/>
      <c r="CGU126" s="1"/>
      <c r="CGV126" s="1"/>
      <c r="CGW126" s="1"/>
      <c r="CGX126" s="1"/>
      <c r="CGY126" s="1"/>
      <c r="CGZ126" s="1"/>
      <c r="CHA126" s="1"/>
      <c r="CHB126" s="1"/>
      <c r="CHC126" s="1"/>
      <c r="CHD126" s="1"/>
      <c r="CHE126" s="1"/>
      <c r="CHF126" s="1"/>
      <c r="CHG126" s="1"/>
      <c r="CHH126" s="1"/>
      <c r="CHI126" s="1"/>
      <c r="CHJ126" s="1"/>
      <c r="CHK126" s="1"/>
      <c r="CHL126" s="1"/>
      <c r="CHM126" s="1"/>
      <c r="CHN126" s="1"/>
      <c r="CHO126" s="1"/>
      <c r="CHP126" s="1"/>
      <c r="CHQ126" s="1"/>
      <c r="CHR126" s="1"/>
      <c r="CHS126" s="1"/>
      <c r="CHT126" s="1"/>
      <c r="CHU126" s="1"/>
      <c r="CHV126" s="1"/>
      <c r="CHW126" s="1"/>
      <c r="CHX126" s="1"/>
      <c r="CHY126" s="1"/>
      <c r="CHZ126" s="1"/>
      <c r="CIA126" s="1"/>
      <c r="CIB126" s="1"/>
      <c r="CIC126" s="1"/>
      <c r="CID126" s="1"/>
      <c r="CIE126" s="1"/>
      <c r="CIF126" s="1"/>
      <c r="CIG126" s="1"/>
      <c r="CIH126" s="1"/>
      <c r="CII126" s="1"/>
      <c r="CIJ126" s="1"/>
      <c r="CIK126" s="1"/>
      <c r="CIL126" s="1"/>
      <c r="CIM126" s="1"/>
      <c r="CIN126" s="1"/>
      <c r="CIO126" s="1"/>
      <c r="CIP126" s="1"/>
      <c r="CIQ126" s="1"/>
      <c r="CIR126" s="1"/>
      <c r="CIS126" s="1"/>
      <c r="CIT126" s="1"/>
      <c r="CIU126" s="1"/>
      <c r="CIV126" s="1"/>
      <c r="CIW126" s="1"/>
      <c r="CIX126" s="1"/>
      <c r="CIY126" s="1"/>
      <c r="CIZ126" s="1"/>
      <c r="CJA126" s="1"/>
      <c r="CJB126" s="1"/>
      <c r="CJC126" s="1"/>
      <c r="CJD126" s="1"/>
      <c r="CJE126" s="1"/>
      <c r="CJF126" s="1"/>
      <c r="CJG126" s="1"/>
      <c r="CJH126" s="1"/>
      <c r="CJI126" s="1"/>
      <c r="CJJ126" s="1"/>
      <c r="CJK126" s="1"/>
      <c r="CJL126" s="1"/>
      <c r="CJM126" s="1"/>
      <c r="CJN126" s="1"/>
      <c r="CJO126" s="1"/>
      <c r="CJP126" s="1"/>
      <c r="CJQ126" s="1"/>
      <c r="CJR126" s="1"/>
      <c r="CJS126" s="1"/>
      <c r="CJT126" s="1"/>
      <c r="CJU126" s="1"/>
      <c r="CJV126" s="1"/>
      <c r="CJW126" s="1"/>
      <c r="CJX126" s="1"/>
      <c r="CJY126" s="1"/>
      <c r="CJZ126" s="1"/>
      <c r="CKA126" s="1"/>
      <c r="CKB126" s="1"/>
      <c r="CKC126" s="1"/>
      <c r="CKD126" s="1"/>
      <c r="CKE126" s="1"/>
      <c r="CKF126" s="1"/>
      <c r="CKG126" s="1"/>
      <c r="CKH126" s="1"/>
      <c r="CKI126" s="1"/>
      <c r="CKJ126" s="1"/>
      <c r="CKK126" s="1"/>
      <c r="CKL126" s="1"/>
      <c r="CKM126" s="1"/>
      <c r="CKN126" s="1"/>
      <c r="CKO126" s="1"/>
      <c r="CKP126" s="1"/>
      <c r="CKQ126" s="1"/>
      <c r="CKR126" s="1"/>
      <c r="CKS126" s="1"/>
      <c r="CKT126" s="1"/>
      <c r="CKU126" s="1"/>
      <c r="CKV126" s="1"/>
      <c r="CKW126" s="1"/>
      <c r="CKX126" s="1"/>
      <c r="CKY126" s="1"/>
      <c r="CKZ126" s="1"/>
      <c r="CLA126" s="1"/>
      <c r="CLB126" s="1"/>
      <c r="CLC126" s="1"/>
      <c r="CLD126" s="1"/>
      <c r="CLE126" s="1"/>
      <c r="CLF126" s="1"/>
      <c r="CLG126" s="1"/>
      <c r="CLH126" s="1"/>
      <c r="CLI126" s="1"/>
      <c r="CLJ126" s="1"/>
      <c r="CLK126" s="1"/>
      <c r="CLL126" s="1"/>
      <c r="CLM126" s="1"/>
      <c r="CLN126" s="1"/>
      <c r="CLO126" s="1"/>
      <c r="CLP126" s="1"/>
      <c r="CLQ126" s="1"/>
      <c r="CLR126" s="1"/>
      <c r="CLS126" s="1"/>
      <c r="CLT126" s="1"/>
      <c r="CLU126" s="1"/>
      <c r="CLV126" s="1"/>
      <c r="CLW126" s="1"/>
      <c r="CLX126" s="1"/>
      <c r="CLY126" s="1"/>
      <c r="CLZ126" s="1"/>
      <c r="CMA126" s="1"/>
      <c r="CMB126" s="1"/>
      <c r="CMC126" s="1"/>
      <c r="CMD126" s="1"/>
      <c r="CME126" s="1"/>
      <c r="CMF126" s="1"/>
      <c r="CMG126" s="1"/>
      <c r="CMH126" s="1"/>
      <c r="CMI126" s="1"/>
      <c r="CMJ126" s="1"/>
      <c r="CMK126" s="1"/>
      <c r="CML126" s="1"/>
      <c r="CMM126" s="1"/>
      <c r="CMN126" s="1"/>
      <c r="CMO126" s="1"/>
      <c r="CMP126" s="1"/>
      <c r="CMQ126" s="1"/>
      <c r="CMR126" s="1"/>
      <c r="CMS126" s="1"/>
      <c r="CMT126" s="1"/>
      <c r="CMU126" s="1"/>
      <c r="CMV126" s="1"/>
      <c r="CMW126" s="1"/>
      <c r="CMX126" s="1"/>
      <c r="CMY126" s="1"/>
      <c r="CMZ126" s="1"/>
      <c r="CNA126" s="1"/>
      <c r="CNB126" s="1"/>
      <c r="CNC126" s="1"/>
      <c r="CND126" s="1"/>
      <c r="CNE126" s="1"/>
      <c r="CNF126" s="1"/>
      <c r="CNG126" s="1"/>
      <c r="CNH126" s="1"/>
      <c r="CNI126" s="1"/>
      <c r="CNJ126" s="1"/>
      <c r="CNK126" s="1"/>
      <c r="CNL126" s="1"/>
      <c r="CNM126" s="1"/>
      <c r="CNN126" s="1"/>
      <c r="CNO126" s="1"/>
      <c r="CNP126" s="1"/>
      <c r="CNQ126" s="1"/>
      <c r="CNR126" s="1"/>
      <c r="CNS126" s="1"/>
      <c r="CNT126" s="1"/>
      <c r="CNU126" s="1"/>
      <c r="CNV126" s="1"/>
      <c r="CNW126" s="1"/>
      <c r="CNX126" s="1"/>
      <c r="CNY126" s="1"/>
      <c r="CNZ126" s="1"/>
      <c r="COA126" s="1"/>
      <c r="COB126" s="1"/>
      <c r="COC126" s="1"/>
      <c r="COD126" s="1"/>
      <c r="COE126" s="1"/>
      <c r="COF126" s="1"/>
      <c r="COG126" s="1"/>
      <c r="COH126" s="1"/>
      <c r="COI126" s="1"/>
      <c r="COJ126" s="1"/>
      <c r="COK126" s="1"/>
      <c r="COL126" s="1"/>
      <c r="COM126" s="1"/>
      <c r="CON126" s="1"/>
      <c r="COO126" s="1"/>
      <c r="COP126" s="1"/>
      <c r="COQ126" s="1"/>
      <c r="COR126" s="1"/>
      <c r="COS126" s="1"/>
      <c r="COT126" s="1"/>
      <c r="COU126" s="1"/>
      <c r="COV126" s="1"/>
      <c r="COW126" s="1"/>
      <c r="COX126" s="1"/>
      <c r="COY126" s="1"/>
      <c r="COZ126" s="1"/>
      <c r="CPA126" s="1"/>
      <c r="CPB126" s="1"/>
      <c r="CPC126" s="1"/>
      <c r="CPD126" s="1"/>
      <c r="CPE126" s="1"/>
      <c r="CPF126" s="1"/>
      <c r="CPG126" s="1"/>
      <c r="CPH126" s="1"/>
      <c r="CPI126" s="1"/>
      <c r="CPJ126" s="1"/>
      <c r="CPK126" s="1"/>
      <c r="CPL126" s="1"/>
      <c r="CPM126" s="1"/>
      <c r="CPN126" s="1"/>
      <c r="CPO126" s="1"/>
      <c r="CPP126" s="1"/>
      <c r="CPQ126" s="1"/>
      <c r="CPR126" s="1"/>
      <c r="CPS126" s="1"/>
      <c r="CPT126" s="1"/>
      <c r="CPU126" s="1"/>
      <c r="CPV126" s="1"/>
      <c r="CPW126" s="1"/>
      <c r="CPX126" s="1"/>
      <c r="CPY126" s="1"/>
      <c r="CPZ126" s="1"/>
      <c r="CQA126" s="1"/>
      <c r="CQB126" s="1"/>
      <c r="CQC126" s="1"/>
      <c r="CQD126" s="1"/>
      <c r="CQE126" s="1"/>
      <c r="CQF126" s="1"/>
      <c r="CQG126" s="1"/>
      <c r="CQH126" s="1"/>
      <c r="CQI126" s="1"/>
      <c r="CQJ126" s="1"/>
      <c r="CQK126" s="1"/>
      <c r="CQL126" s="1"/>
      <c r="CQM126" s="1"/>
      <c r="CQN126" s="1"/>
      <c r="CQO126" s="1"/>
      <c r="CQP126" s="1"/>
      <c r="CQQ126" s="1"/>
      <c r="CQR126" s="1"/>
      <c r="CQS126" s="1"/>
      <c r="CQT126" s="1"/>
      <c r="CQU126" s="1"/>
      <c r="CQV126" s="1"/>
      <c r="CQW126" s="1"/>
      <c r="CQX126" s="1"/>
      <c r="CQY126" s="1"/>
      <c r="CQZ126" s="1"/>
      <c r="CRA126" s="1"/>
      <c r="CRB126" s="1"/>
      <c r="CRC126" s="1"/>
      <c r="CRD126" s="1"/>
      <c r="CRE126" s="1"/>
      <c r="CRF126" s="1"/>
      <c r="CRG126" s="1"/>
      <c r="CRH126" s="1"/>
      <c r="CRI126" s="1"/>
      <c r="CRJ126" s="1"/>
      <c r="CRK126" s="1"/>
      <c r="CRL126" s="1"/>
      <c r="CRM126" s="1"/>
      <c r="CRN126" s="1"/>
      <c r="CRO126" s="1"/>
      <c r="CRP126" s="1"/>
      <c r="CRQ126" s="1"/>
      <c r="CRR126" s="1"/>
      <c r="CRS126" s="1"/>
      <c r="CRT126" s="1"/>
      <c r="CRU126" s="1"/>
      <c r="CRV126" s="1"/>
      <c r="CRW126" s="1"/>
      <c r="CRX126" s="1"/>
      <c r="CRY126" s="1"/>
      <c r="CRZ126" s="1"/>
      <c r="CSA126" s="1"/>
      <c r="CSB126" s="1"/>
      <c r="CSC126" s="1"/>
      <c r="CSD126" s="1"/>
      <c r="CSE126" s="1"/>
      <c r="CSF126" s="1"/>
      <c r="CSG126" s="1"/>
      <c r="CSH126" s="1"/>
      <c r="CSI126" s="1"/>
      <c r="CSJ126" s="1"/>
      <c r="CSK126" s="1"/>
      <c r="CSL126" s="1"/>
      <c r="CSM126" s="1"/>
      <c r="CSN126" s="1"/>
      <c r="CSO126" s="1"/>
      <c r="CSP126" s="1"/>
      <c r="CSQ126" s="1"/>
      <c r="CSR126" s="1"/>
      <c r="CSS126" s="1"/>
      <c r="CST126" s="1"/>
      <c r="CSU126" s="1"/>
      <c r="CSV126" s="1"/>
      <c r="CSW126" s="1"/>
      <c r="CSX126" s="1"/>
      <c r="CSY126" s="1"/>
      <c r="CSZ126" s="1"/>
      <c r="CTA126" s="1"/>
      <c r="CTB126" s="1"/>
      <c r="CTC126" s="1"/>
      <c r="CTD126" s="1"/>
      <c r="CTE126" s="1"/>
      <c r="CTF126" s="1"/>
      <c r="CTG126" s="1"/>
      <c r="CTH126" s="1"/>
      <c r="CTI126" s="1"/>
      <c r="CTJ126" s="1"/>
      <c r="CTK126" s="1"/>
      <c r="CTL126" s="1"/>
      <c r="CTM126" s="1"/>
      <c r="CTN126" s="1"/>
      <c r="CTO126" s="1"/>
      <c r="CTP126" s="1"/>
      <c r="CTQ126" s="1"/>
      <c r="CTR126" s="1"/>
      <c r="CTS126" s="1"/>
      <c r="CTT126" s="1"/>
      <c r="CTU126" s="1"/>
      <c r="CTV126" s="1"/>
      <c r="CTW126" s="1"/>
      <c r="CTX126" s="1"/>
      <c r="CTY126" s="1"/>
      <c r="CTZ126" s="1"/>
      <c r="CUA126" s="1"/>
      <c r="CUB126" s="1"/>
      <c r="CUC126" s="1"/>
      <c r="CUD126" s="1"/>
      <c r="CUE126" s="1"/>
      <c r="CUF126" s="1"/>
      <c r="CUG126" s="1"/>
      <c r="CUH126" s="1"/>
      <c r="CUI126" s="1"/>
      <c r="CUJ126" s="1"/>
      <c r="CUK126" s="1"/>
      <c r="CUL126" s="1"/>
      <c r="CUM126" s="1"/>
      <c r="CUN126" s="1"/>
      <c r="CUO126" s="1"/>
      <c r="CUP126" s="1"/>
      <c r="CUQ126" s="1"/>
      <c r="CUR126" s="1"/>
      <c r="CUS126" s="1"/>
      <c r="CUT126" s="1"/>
      <c r="CUU126" s="1"/>
      <c r="CUV126" s="1"/>
      <c r="CUW126" s="1"/>
      <c r="CUX126" s="1"/>
      <c r="CUY126" s="1"/>
      <c r="CUZ126" s="1"/>
      <c r="CVA126" s="1"/>
      <c r="CVB126" s="1"/>
      <c r="CVC126" s="1"/>
      <c r="CVD126" s="1"/>
      <c r="CVE126" s="1"/>
      <c r="CVF126" s="1"/>
      <c r="CVG126" s="1"/>
      <c r="CVH126" s="1"/>
      <c r="CVI126" s="1"/>
      <c r="CVJ126" s="1"/>
      <c r="CVK126" s="1"/>
      <c r="CVL126" s="1"/>
      <c r="CVM126" s="1"/>
      <c r="CVN126" s="1"/>
      <c r="CVO126" s="1"/>
      <c r="CVP126" s="1"/>
      <c r="CVQ126" s="1"/>
      <c r="CVR126" s="1"/>
      <c r="CVS126" s="1"/>
      <c r="CVT126" s="1"/>
      <c r="CVU126" s="1"/>
      <c r="CVV126" s="1"/>
      <c r="CVW126" s="1"/>
      <c r="CVX126" s="1"/>
      <c r="CVY126" s="1"/>
      <c r="CVZ126" s="1"/>
      <c r="CWA126" s="1"/>
      <c r="CWB126" s="1"/>
      <c r="CWC126" s="1"/>
      <c r="CWD126" s="1"/>
      <c r="CWE126" s="1"/>
      <c r="CWF126" s="1"/>
      <c r="CWG126" s="1"/>
      <c r="CWH126" s="1"/>
      <c r="CWI126" s="1"/>
      <c r="CWJ126" s="1"/>
      <c r="CWK126" s="1"/>
      <c r="CWL126" s="1"/>
      <c r="CWM126" s="1"/>
      <c r="CWN126" s="1"/>
      <c r="CWO126" s="1"/>
      <c r="CWP126" s="1"/>
      <c r="CWQ126" s="1"/>
      <c r="CWR126" s="1"/>
      <c r="CWS126" s="1"/>
      <c r="CWT126" s="1"/>
      <c r="CWU126" s="1"/>
      <c r="CWV126" s="1"/>
      <c r="CWW126" s="1"/>
      <c r="CWX126" s="1"/>
      <c r="CWY126" s="1"/>
      <c r="CWZ126" s="1"/>
      <c r="CXA126" s="1"/>
      <c r="CXB126" s="1"/>
      <c r="CXC126" s="1"/>
      <c r="CXD126" s="1"/>
      <c r="CXE126" s="1"/>
      <c r="CXF126" s="1"/>
      <c r="CXG126" s="1"/>
      <c r="CXH126" s="1"/>
      <c r="CXI126" s="1"/>
      <c r="CXJ126" s="1"/>
      <c r="CXK126" s="1"/>
      <c r="CXL126" s="1"/>
      <c r="CXM126" s="1"/>
      <c r="CXN126" s="1"/>
      <c r="CXO126" s="1"/>
      <c r="CXP126" s="1"/>
      <c r="CXQ126" s="1"/>
      <c r="CXR126" s="1"/>
      <c r="CXS126" s="1"/>
      <c r="CXT126" s="1"/>
      <c r="CXU126" s="1"/>
      <c r="CXV126" s="1"/>
      <c r="CXW126" s="1"/>
      <c r="CXX126" s="1"/>
      <c r="CXY126" s="1"/>
      <c r="CXZ126" s="1"/>
      <c r="CYA126" s="1"/>
      <c r="CYB126" s="1"/>
      <c r="CYC126" s="1"/>
      <c r="CYD126" s="1"/>
      <c r="CYE126" s="1"/>
      <c r="CYF126" s="1"/>
      <c r="CYG126" s="1"/>
      <c r="CYH126" s="1"/>
      <c r="CYI126" s="1"/>
      <c r="CYJ126" s="1"/>
      <c r="CYK126" s="1"/>
      <c r="CYL126" s="1"/>
      <c r="CYM126" s="1"/>
      <c r="CYN126" s="1"/>
      <c r="CYO126" s="1"/>
      <c r="CYP126" s="1"/>
      <c r="CYQ126" s="1"/>
      <c r="CYR126" s="1"/>
      <c r="CYS126" s="1"/>
      <c r="CYT126" s="1"/>
      <c r="CYU126" s="1"/>
      <c r="CYV126" s="1"/>
      <c r="CYW126" s="1"/>
      <c r="CYX126" s="1"/>
      <c r="CYY126" s="1"/>
      <c r="CYZ126" s="1"/>
      <c r="CZA126" s="1"/>
      <c r="CZB126" s="1"/>
      <c r="CZC126" s="1"/>
      <c r="CZD126" s="1"/>
      <c r="CZE126" s="1"/>
      <c r="CZF126" s="1"/>
      <c r="CZG126" s="1"/>
      <c r="CZH126" s="1"/>
      <c r="CZI126" s="1"/>
      <c r="CZJ126" s="1"/>
      <c r="CZK126" s="1"/>
      <c r="CZL126" s="1"/>
      <c r="CZM126" s="1"/>
      <c r="CZN126" s="1"/>
      <c r="CZO126" s="1"/>
      <c r="CZP126" s="1"/>
      <c r="CZQ126" s="1"/>
      <c r="CZR126" s="1"/>
      <c r="CZS126" s="1"/>
      <c r="CZT126" s="1"/>
      <c r="CZU126" s="1"/>
      <c r="CZV126" s="1"/>
      <c r="CZW126" s="1"/>
      <c r="CZX126" s="1"/>
      <c r="CZY126" s="1"/>
      <c r="CZZ126" s="1"/>
      <c r="DAA126" s="1"/>
      <c r="DAB126" s="1"/>
      <c r="DAC126" s="1"/>
      <c r="DAD126" s="1"/>
      <c r="DAE126" s="1"/>
      <c r="DAF126" s="1"/>
      <c r="DAG126" s="1"/>
      <c r="DAH126" s="1"/>
      <c r="DAI126" s="1"/>
      <c r="DAJ126" s="1"/>
      <c r="DAK126" s="1"/>
      <c r="DAL126" s="1"/>
      <c r="DAM126" s="1"/>
      <c r="DAN126" s="1"/>
      <c r="DAO126" s="1"/>
      <c r="DAP126" s="1"/>
      <c r="DAQ126" s="1"/>
      <c r="DAR126" s="1"/>
      <c r="DAS126" s="1"/>
      <c r="DAT126" s="1"/>
      <c r="DAU126" s="1"/>
      <c r="DAV126" s="1"/>
      <c r="DAW126" s="1"/>
      <c r="DAX126" s="1"/>
      <c r="DAY126" s="1"/>
      <c r="DAZ126" s="1"/>
      <c r="DBA126" s="1"/>
      <c r="DBB126" s="1"/>
      <c r="DBC126" s="1"/>
      <c r="DBD126" s="1"/>
      <c r="DBE126" s="1"/>
      <c r="DBF126" s="1"/>
      <c r="DBG126" s="1"/>
      <c r="DBH126" s="1"/>
      <c r="DBI126" s="1"/>
      <c r="DBJ126" s="1"/>
      <c r="DBK126" s="1"/>
      <c r="DBL126" s="1"/>
      <c r="DBM126" s="1"/>
      <c r="DBN126" s="1"/>
      <c r="DBO126" s="1"/>
      <c r="DBP126" s="1"/>
      <c r="DBQ126" s="1"/>
      <c r="DBR126" s="1"/>
      <c r="DBS126" s="1"/>
      <c r="DBT126" s="1"/>
      <c r="DBU126" s="1"/>
      <c r="DBV126" s="1"/>
      <c r="DBW126" s="1"/>
      <c r="DBX126" s="1"/>
      <c r="DBY126" s="1"/>
      <c r="DBZ126" s="1"/>
      <c r="DCA126" s="1"/>
      <c r="DCB126" s="1"/>
      <c r="DCC126" s="1"/>
      <c r="DCD126" s="1"/>
      <c r="DCE126" s="1"/>
      <c r="DCF126" s="1"/>
      <c r="DCG126" s="1"/>
      <c r="DCH126" s="1"/>
      <c r="DCI126" s="1"/>
      <c r="DCJ126" s="1"/>
      <c r="DCK126" s="1"/>
      <c r="DCL126" s="1"/>
      <c r="DCM126" s="1"/>
      <c r="DCN126" s="1"/>
      <c r="DCO126" s="1"/>
      <c r="DCP126" s="1"/>
      <c r="DCQ126" s="1"/>
      <c r="DCR126" s="1"/>
      <c r="DCS126" s="1"/>
      <c r="DCT126" s="1"/>
      <c r="DCU126" s="1"/>
      <c r="DCV126" s="1"/>
      <c r="DCW126" s="1"/>
      <c r="DCX126" s="1"/>
      <c r="DCY126" s="1"/>
      <c r="DCZ126" s="1"/>
      <c r="DDA126" s="1"/>
      <c r="DDB126" s="1"/>
      <c r="DDC126" s="1"/>
      <c r="DDD126" s="1"/>
      <c r="DDE126" s="1"/>
      <c r="DDF126" s="1"/>
      <c r="DDG126" s="1"/>
      <c r="DDH126" s="1"/>
      <c r="DDI126" s="1"/>
      <c r="DDJ126" s="1"/>
      <c r="DDK126" s="1"/>
      <c r="DDL126" s="1"/>
      <c r="DDM126" s="1"/>
      <c r="DDN126" s="1"/>
      <c r="DDO126" s="1"/>
      <c r="DDP126" s="1"/>
      <c r="DDQ126" s="1"/>
      <c r="DDR126" s="1"/>
      <c r="DDS126" s="1"/>
      <c r="DDT126" s="1"/>
      <c r="DDU126" s="1"/>
      <c r="DDV126" s="1"/>
      <c r="DDW126" s="1"/>
      <c r="DDX126" s="1"/>
      <c r="DDY126" s="1"/>
      <c r="DDZ126" s="1"/>
      <c r="DEA126" s="1"/>
      <c r="DEB126" s="1"/>
      <c r="DEC126" s="1"/>
      <c r="DED126" s="1"/>
      <c r="DEE126" s="1"/>
      <c r="DEF126" s="1"/>
      <c r="DEG126" s="1"/>
      <c r="DEH126" s="1"/>
      <c r="DEI126" s="1"/>
      <c r="DEJ126" s="1"/>
      <c r="DEK126" s="1"/>
      <c r="DEL126" s="1"/>
      <c r="DEM126" s="1"/>
      <c r="DEN126" s="1"/>
      <c r="DEO126" s="1"/>
      <c r="DEP126" s="1"/>
      <c r="DEQ126" s="1"/>
      <c r="DER126" s="1"/>
      <c r="DES126" s="1"/>
      <c r="DET126" s="1"/>
      <c r="DEU126" s="1"/>
      <c r="DEV126" s="1"/>
      <c r="DEW126" s="1"/>
      <c r="DEX126" s="1"/>
      <c r="DEY126" s="1"/>
      <c r="DEZ126" s="1"/>
      <c r="DFA126" s="1"/>
      <c r="DFB126" s="1"/>
      <c r="DFC126" s="1"/>
      <c r="DFD126" s="1"/>
      <c r="DFE126" s="1"/>
      <c r="DFF126" s="1"/>
      <c r="DFG126" s="1"/>
      <c r="DFH126" s="1"/>
      <c r="DFI126" s="1"/>
      <c r="DFJ126" s="1"/>
      <c r="DFK126" s="1"/>
      <c r="DFL126" s="1"/>
      <c r="DFM126" s="1"/>
      <c r="DFN126" s="1"/>
      <c r="DFO126" s="1"/>
      <c r="DFP126" s="1"/>
      <c r="DFQ126" s="1"/>
      <c r="DFR126" s="1"/>
      <c r="DFS126" s="1"/>
      <c r="DFT126" s="1"/>
      <c r="DFU126" s="1"/>
      <c r="DFV126" s="1"/>
      <c r="DFW126" s="1"/>
      <c r="DFX126" s="1"/>
      <c r="DFY126" s="1"/>
      <c r="DFZ126" s="1"/>
      <c r="DGA126" s="1"/>
      <c r="DGB126" s="1"/>
      <c r="DGC126" s="1"/>
      <c r="DGD126" s="1"/>
      <c r="DGE126" s="1"/>
      <c r="DGF126" s="1"/>
      <c r="DGG126" s="1"/>
      <c r="DGH126" s="1"/>
      <c r="DGI126" s="1"/>
      <c r="DGJ126" s="1"/>
      <c r="DGK126" s="1"/>
      <c r="DGL126" s="1"/>
      <c r="DGM126" s="1"/>
      <c r="DGN126" s="1"/>
      <c r="DGO126" s="1"/>
      <c r="DGP126" s="1"/>
      <c r="DGQ126" s="1"/>
      <c r="DGR126" s="1"/>
      <c r="DGS126" s="1"/>
      <c r="DGT126" s="1"/>
      <c r="DGU126" s="1"/>
      <c r="DGV126" s="1"/>
      <c r="DGW126" s="1"/>
      <c r="DGX126" s="1"/>
      <c r="DGY126" s="1"/>
      <c r="DGZ126" s="1"/>
      <c r="DHA126" s="1"/>
      <c r="DHB126" s="1"/>
      <c r="DHC126" s="1"/>
      <c r="DHD126" s="1"/>
      <c r="DHE126" s="1"/>
      <c r="DHF126" s="1"/>
      <c r="DHG126" s="1"/>
      <c r="DHH126" s="1"/>
      <c r="DHI126" s="1"/>
      <c r="DHJ126" s="1"/>
      <c r="DHK126" s="1"/>
      <c r="DHL126" s="1"/>
      <c r="DHM126" s="1"/>
      <c r="DHN126" s="1"/>
      <c r="DHO126" s="1"/>
      <c r="DHP126" s="1"/>
      <c r="DHQ126" s="1"/>
      <c r="DHR126" s="1"/>
      <c r="DHS126" s="1"/>
      <c r="DHT126" s="1"/>
      <c r="DHU126" s="1"/>
      <c r="DHV126" s="1"/>
      <c r="DHW126" s="1"/>
      <c r="DHX126" s="1"/>
      <c r="DHY126" s="1"/>
      <c r="DHZ126" s="1"/>
      <c r="DIA126" s="1"/>
      <c r="DIB126" s="1"/>
      <c r="DIC126" s="1"/>
      <c r="DID126" s="1"/>
      <c r="DIE126" s="1"/>
      <c r="DIF126" s="1"/>
      <c r="DIG126" s="1"/>
      <c r="DIH126" s="1"/>
      <c r="DII126" s="1"/>
      <c r="DIJ126" s="1"/>
      <c r="DIK126" s="1"/>
      <c r="DIL126" s="1"/>
      <c r="DIM126" s="1"/>
      <c r="DIN126" s="1"/>
      <c r="DIO126" s="1"/>
      <c r="DIP126" s="1"/>
      <c r="DIQ126" s="1"/>
      <c r="DIR126" s="1"/>
      <c r="DIS126" s="1"/>
      <c r="DIT126" s="1"/>
      <c r="DIU126" s="1"/>
      <c r="DIV126" s="1"/>
      <c r="DIW126" s="1"/>
      <c r="DIX126" s="1"/>
      <c r="DIY126" s="1"/>
      <c r="DIZ126" s="1"/>
      <c r="DJA126" s="1"/>
      <c r="DJB126" s="1"/>
      <c r="DJC126" s="1"/>
      <c r="DJD126" s="1"/>
      <c r="DJE126" s="1"/>
      <c r="DJF126" s="1"/>
      <c r="DJG126" s="1"/>
      <c r="DJH126" s="1"/>
      <c r="DJI126" s="1"/>
      <c r="DJJ126" s="1"/>
      <c r="DJK126" s="1"/>
      <c r="DJL126" s="1"/>
      <c r="DJM126" s="1"/>
      <c r="DJN126" s="1"/>
      <c r="DJO126" s="1"/>
      <c r="DJP126" s="1"/>
      <c r="DJQ126" s="1"/>
      <c r="DJR126" s="1"/>
      <c r="DJS126" s="1"/>
      <c r="DJT126" s="1"/>
      <c r="DJU126" s="1"/>
      <c r="DJV126" s="1"/>
      <c r="DJW126" s="1"/>
      <c r="DJX126" s="1"/>
      <c r="DJY126" s="1"/>
      <c r="DJZ126" s="1"/>
      <c r="DKA126" s="1"/>
      <c r="DKB126" s="1"/>
      <c r="DKC126" s="1"/>
      <c r="DKD126" s="1"/>
      <c r="DKE126" s="1"/>
      <c r="DKF126" s="1"/>
      <c r="DKG126" s="1"/>
      <c r="DKH126" s="1"/>
      <c r="DKI126" s="1"/>
      <c r="DKJ126" s="1"/>
      <c r="DKK126" s="1"/>
      <c r="DKL126" s="1"/>
      <c r="DKM126" s="1"/>
      <c r="DKN126" s="1"/>
      <c r="DKO126" s="1"/>
      <c r="DKP126" s="1"/>
      <c r="DKQ126" s="1"/>
      <c r="DKR126" s="1"/>
      <c r="DKS126" s="1"/>
      <c r="DKT126" s="1"/>
      <c r="DKU126" s="1"/>
      <c r="DKV126" s="1"/>
      <c r="DKW126" s="1"/>
      <c r="DKX126" s="1"/>
      <c r="DKY126" s="1"/>
      <c r="DKZ126" s="1"/>
      <c r="DLA126" s="1"/>
      <c r="DLB126" s="1"/>
      <c r="DLC126" s="1"/>
      <c r="DLD126" s="1"/>
      <c r="DLE126" s="1"/>
      <c r="DLF126" s="1"/>
      <c r="DLG126" s="1"/>
      <c r="DLH126" s="1"/>
      <c r="DLI126" s="1"/>
      <c r="DLJ126" s="1"/>
      <c r="DLK126" s="1"/>
      <c r="DLL126" s="1"/>
      <c r="DLM126" s="1"/>
      <c r="DLN126" s="1"/>
      <c r="DLO126" s="1"/>
      <c r="DLP126" s="1"/>
      <c r="DLQ126" s="1"/>
      <c r="DLR126" s="1"/>
      <c r="DLS126" s="1"/>
      <c r="DLT126" s="1"/>
      <c r="DLU126" s="1"/>
      <c r="DLV126" s="1"/>
      <c r="DLW126" s="1"/>
      <c r="DLX126" s="1"/>
      <c r="DLY126" s="1"/>
      <c r="DLZ126" s="1"/>
      <c r="DMA126" s="1"/>
      <c r="DMB126" s="1"/>
      <c r="DMC126" s="1"/>
      <c r="DMD126" s="1"/>
      <c r="DME126" s="1"/>
      <c r="DMF126" s="1"/>
      <c r="DMG126" s="1"/>
      <c r="DMH126" s="1"/>
      <c r="DMI126" s="1"/>
      <c r="DMJ126" s="1"/>
      <c r="DMK126" s="1"/>
      <c r="DML126" s="1"/>
      <c r="DMM126" s="1"/>
      <c r="DMN126" s="1"/>
      <c r="DMO126" s="1"/>
      <c r="DMP126" s="1"/>
      <c r="DMQ126" s="1"/>
      <c r="DMR126" s="1"/>
      <c r="DMS126" s="1"/>
      <c r="DMT126" s="1"/>
      <c r="DMU126" s="1"/>
      <c r="DMV126" s="1"/>
      <c r="DMW126" s="1"/>
      <c r="DMX126" s="1"/>
      <c r="DMY126" s="1"/>
      <c r="DMZ126" s="1"/>
      <c r="DNA126" s="1"/>
      <c r="DNB126" s="1"/>
      <c r="DNC126" s="1"/>
      <c r="DND126" s="1"/>
      <c r="DNE126" s="1"/>
      <c r="DNF126" s="1"/>
      <c r="DNG126" s="1"/>
      <c r="DNH126" s="1"/>
      <c r="DNI126" s="1"/>
      <c r="DNJ126" s="1"/>
      <c r="DNK126" s="1"/>
      <c r="DNL126" s="1"/>
      <c r="DNM126" s="1"/>
      <c r="DNN126" s="1"/>
      <c r="DNO126" s="1"/>
      <c r="DNP126" s="1"/>
      <c r="DNQ126" s="1"/>
      <c r="DNR126" s="1"/>
      <c r="DNS126" s="1"/>
      <c r="DNT126" s="1"/>
      <c r="DNU126" s="1"/>
      <c r="DNV126" s="1"/>
      <c r="DNW126" s="1"/>
      <c r="DNX126" s="1"/>
      <c r="DNY126" s="1"/>
      <c r="DNZ126" s="1"/>
      <c r="DOA126" s="1"/>
      <c r="DOB126" s="1"/>
      <c r="DOC126" s="1"/>
      <c r="DOD126" s="1"/>
      <c r="DOE126" s="1"/>
      <c r="DOF126" s="1"/>
      <c r="DOG126" s="1"/>
      <c r="DOH126" s="1"/>
      <c r="DOI126" s="1"/>
      <c r="DOJ126" s="1"/>
      <c r="DOK126" s="1"/>
      <c r="DOL126" s="1"/>
      <c r="DOM126" s="1"/>
      <c r="DON126" s="1"/>
      <c r="DOO126" s="1"/>
      <c r="DOP126" s="1"/>
      <c r="DOQ126" s="1"/>
      <c r="DOR126" s="1"/>
      <c r="DOS126" s="1"/>
      <c r="DOT126" s="1"/>
      <c r="DOU126" s="1"/>
      <c r="DOV126" s="1"/>
      <c r="DOW126" s="1"/>
      <c r="DOX126" s="1"/>
      <c r="DOY126" s="1"/>
      <c r="DOZ126" s="1"/>
      <c r="DPA126" s="1"/>
      <c r="DPB126" s="1"/>
      <c r="DPC126" s="1"/>
      <c r="DPD126" s="1"/>
      <c r="DPE126" s="1"/>
      <c r="DPF126" s="1"/>
      <c r="DPG126" s="1"/>
      <c r="DPH126" s="1"/>
      <c r="DPI126" s="1"/>
      <c r="DPJ126" s="1"/>
      <c r="DPK126" s="1"/>
      <c r="DPL126" s="1"/>
      <c r="DPM126" s="1"/>
      <c r="DPN126" s="1"/>
      <c r="DPO126" s="1"/>
      <c r="DPP126" s="1"/>
      <c r="DPQ126" s="1"/>
      <c r="DPR126" s="1"/>
      <c r="DPS126" s="1"/>
      <c r="DPT126" s="1"/>
      <c r="DPU126" s="1"/>
      <c r="DPV126" s="1"/>
      <c r="DPW126" s="1"/>
      <c r="DPX126" s="1"/>
      <c r="DPY126" s="1"/>
      <c r="DPZ126" s="1"/>
      <c r="DQA126" s="1"/>
      <c r="DQB126" s="1"/>
      <c r="DQC126" s="1"/>
      <c r="DQD126" s="1"/>
      <c r="DQE126" s="1"/>
      <c r="DQF126" s="1"/>
      <c r="DQG126" s="1"/>
      <c r="DQH126" s="1"/>
      <c r="DQI126" s="1"/>
      <c r="DQJ126" s="1"/>
      <c r="DQK126" s="1"/>
      <c r="DQL126" s="1"/>
      <c r="DQM126" s="1"/>
      <c r="DQN126" s="1"/>
      <c r="DQO126" s="1"/>
      <c r="DQP126" s="1"/>
      <c r="DQQ126" s="1"/>
      <c r="DQR126" s="1"/>
      <c r="DQS126" s="1"/>
      <c r="DQT126" s="1"/>
      <c r="DQU126" s="1"/>
      <c r="DQV126" s="1"/>
      <c r="DQW126" s="1"/>
      <c r="DQX126" s="1"/>
      <c r="DQY126" s="1"/>
      <c r="DQZ126" s="1"/>
      <c r="DRA126" s="1"/>
      <c r="DRB126" s="1"/>
      <c r="DRC126" s="1"/>
      <c r="DRD126" s="1"/>
      <c r="DRE126" s="1"/>
      <c r="DRF126" s="1"/>
      <c r="DRG126" s="1"/>
      <c r="DRH126" s="1"/>
      <c r="DRI126" s="1"/>
      <c r="DRJ126" s="1"/>
      <c r="DRK126" s="1"/>
      <c r="DRL126" s="1"/>
      <c r="DRM126" s="1"/>
      <c r="DRN126" s="1"/>
      <c r="DRO126" s="1"/>
      <c r="DRP126" s="1"/>
      <c r="DRQ126" s="1"/>
      <c r="DRR126" s="1"/>
      <c r="DRS126" s="1"/>
      <c r="DRT126" s="1"/>
      <c r="DRU126" s="1"/>
      <c r="DRV126" s="1"/>
      <c r="DRW126" s="1"/>
      <c r="DRX126" s="1"/>
      <c r="DRY126" s="1"/>
      <c r="DRZ126" s="1"/>
      <c r="DSA126" s="1"/>
      <c r="DSB126" s="1"/>
      <c r="DSC126" s="1"/>
      <c r="DSD126" s="1"/>
      <c r="DSE126" s="1"/>
      <c r="DSF126" s="1"/>
      <c r="DSG126" s="1"/>
      <c r="DSH126" s="1"/>
      <c r="DSI126" s="1"/>
      <c r="DSJ126" s="1"/>
      <c r="DSK126" s="1"/>
      <c r="DSL126" s="1"/>
      <c r="DSM126" s="1"/>
      <c r="DSN126" s="1"/>
      <c r="DSO126" s="1"/>
      <c r="DSP126" s="1"/>
      <c r="DSQ126" s="1"/>
      <c r="DSR126" s="1"/>
      <c r="DSS126" s="1"/>
      <c r="DST126" s="1"/>
      <c r="DSU126" s="1"/>
      <c r="DSV126" s="1"/>
      <c r="DSW126" s="1"/>
      <c r="DSX126" s="1"/>
      <c r="DSY126" s="1"/>
      <c r="DSZ126" s="1"/>
      <c r="DTA126" s="1"/>
      <c r="DTB126" s="1"/>
      <c r="DTC126" s="1"/>
      <c r="DTD126" s="1"/>
      <c r="DTE126" s="1"/>
      <c r="DTF126" s="1"/>
      <c r="DTG126" s="1"/>
      <c r="DTH126" s="1"/>
      <c r="DTI126" s="1"/>
      <c r="DTJ126" s="1"/>
      <c r="DTK126" s="1"/>
      <c r="DTL126" s="1"/>
      <c r="DTM126" s="1"/>
      <c r="DTN126" s="1"/>
      <c r="DTO126" s="1"/>
      <c r="DTP126" s="1"/>
      <c r="DTQ126" s="1"/>
      <c r="DTR126" s="1"/>
      <c r="DTS126" s="1"/>
      <c r="DTT126" s="1"/>
      <c r="DTU126" s="1"/>
      <c r="DTV126" s="1"/>
      <c r="DTW126" s="1"/>
      <c r="DTX126" s="1"/>
      <c r="DTY126" s="1"/>
      <c r="DTZ126" s="1"/>
      <c r="DUA126" s="1"/>
      <c r="DUB126" s="1"/>
      <c r="DUC126" s="1"/>
      <c r="DUD126" s="1"/>
      <c r="DUE126" s="1"/>
      <c r="DUF126" s="1"/>
      <c r="DUG126" s="1"/>
      <c r="DUH126" s="1"/>
      <c r="DUI126" s="1"/>
      <c r="DUJ126" s="1"/>
      <c r="DUK126" s="1"/>
      <c r="DUL126" s="1"/>
      <c r="DUM126" s="1"/>
      <c r="DUN126" s="1"/>
      <c r="DUO126" s="1"/>
      <c r="DUP126" s="1"/>
      <c r="DUQ126" s="1"/>
      <c r="DUR126" s="1"/>
      <c r="DUS126" s="1"/>
      <c r="DUT126" s="1"/>
      <c r="DUU126" s="1"/>
      <c r="DUV126" s="1"/>
      <c r="DUW126" s="1"/>
      <c r="DUX126" s="1"/>
      <c r="DUY126" s="1"/>
      <c r="DUZ126" s="1"/>
      <c r="DVA126" s="1"/>
      <c r="DVB126" s="1"/>
      <c r="DVC126" s="1"/>
      <c r="DVD126" s="1"/>
      <c r="DVE126" s="1"/>
      <c r="DVF126" s="1"/>
      <c r="DVG126" s="1"/>
      <c r="DVH126" s="1"/>
      <c r="DVI126" s="1"/>
      <c r="DVJ126" s="1"/>
      <c r="DVK126" s="1"/>
      <c r="DVL126" s="1"/>
      <c r="DVM126" s="1"/>
      <c r="DVN126" s="1"/>
      <c r="DVO126" s="1"/>
      <c r="DVP126" s="1"/>
      <c r="DVQ126" s="1"/>
      <c r="DVR126" s="1"/>
      <c r="DVS126" s="1"/>
      <c r="DVT126" s="1"/>
      <c r="DVU126" s="1"/>
      <c r="DVV126" s="1"/>
      <c r="DVW126" s="1"/>
      <c r="DVX126" s="1"/>
      <c r="DVY126" s="1"/>
      <c r="DVZ126" s="1"/>
      <c r="DWA126" s="1"/>
      <c r="DWB126" s="1"/>
      <c r="DWC126" s="1"/>
      <c r="DWD126" s="1"/>
      <c r="DWE126" s="1"/>
      <c r="DWF126" s="1"/>
      <c r="DWG126" s="1"/>
      <c r="DWH126" s="1"/>
      <c r="DWI126" s="1"/>
      <c r="DWJ126" s="1"/>
      <c r="DWK126" s="1"/>
      <c r="DWL126" s="1"/>
      <c r="DWM126" s="1"/>
      <c r="DWN126" s="1"/>
      <c r="DWO126" s="1"/>
      <c r="DWP126" s="1"/>
      <c r="DWQ126" s="1"/>
      <c r="DWR126" s="1"/>
      <c r="DWS126" s="1"/>
      <c r="DWT126" s="1"/>
      <c r="DWU126" s="1"/>
      <c r="DWV126" s="1"/>
      <c r="DWW126" s="1"/>
      <c r="DWX126" s="1"/>
      <c r="DWY126" s="1"/>
      <c r="DWZ126" s="1"/>
      <c r="DXA126" s="1"/>
      <c r="DXB126" s="1"/>
      <c r="DXC126" s="1"/>
      <c r="DXD126" s="1"/>
      <c r="DXE126" s="1"/>
      <c r="DXF126" s="1"/>
      <c r="DXG126" s="1"/>
      <c r="DXH126" s="1"/>
      <c r="DXI126" s="1"/>
      <c r="DXJ126" s="1"/>
      <c r="DXK126" s="1"/>
      <c r="DXL126" s="1"/>
      <c r="DXM126" s="1"/>
      <c r="DXN126" s="1"/>
      <c r="DXO126" s="1"/>
      <c r="DXP126" s="1"/>
      <c r="DXQ126" s="1"/>
      <c r="DXR126" s="1"/>
      <c r="DXS126" s="1"/>
      <c r="DXT126" s="1"/>
      <c r="DXU126" s="1"/>
      <c r="DXV126" s="1"/>
      <c r="DXW126" s="1"/>
      <c r="DXX126" s="1"/>
      <c r="DXY126" s="1"/>
      <c r="DXZ126" s="1"/>
      <c r="DYA126" s="1"/>
      <c r="DYB126" s="1"/>
      <c r="DYC126" s="1"/>
      <c r="DYD126" s="1"/>
      <c r="DYE126" s="1"/>
      <c r="DYF126" s="1"/>
      <c r="DYG126" s="1"/>
      <c r="DYH126" s="1"/>
      <c r="DYI126" s="1"/>
      <c r="DYJ126" s="1"/>
      <c r="DYK126" s="1"/>
      <c r="DYL126" s="1"/>
      <c r="DYM126" s="1"/>
      <c r="DYN126" s="1"/>
      <c r="DYO126" s="1"/>
      <c r="DYP126" s="1"/>
      <c r="DYQ126" s="1"/>
      <c r="DYR126" s="1"/>
      <c r="DYS126" s="1"/>
      <c r="DYT126" s="1"/>
      <c r="DYU126" s="1"/>
      <c r="DYV126" s="1"/>
      <c r="DYW126" s="1"/>
      <c r="DYX126" s="1"/>
      <c r="DYY126" s="1"/>
      <c r="DYZ126" s="1"/>
      <c r="DZA126" s="1"/>
      <c r="DZB126" s="1"/>
      <c r="DZC126" s="1"/>
      <c r="DZD126" s="1"/>
      <c r="DZE126" s="1"/>
      <c r="DZF126" s="1"/>
      <c r="DZG126" s="1"/>
      <c r="DZH126" s="1"/>
      <c r="DZI126" s="1"/>
      <c r="DZJ126" s="1"/>
      <c r="DZK126" s="1"/>
      <c r="DZL126" s="1"/>
      <c r="DZM126" s="1"/>
      <c r="DZN126" s="1"/>
      <c r="DZO126" s="1"/>
      <c r="DZP126" s="1"/>
      <c r="DZQ126" s="1"/>
      <c r="DZR126" s="1"/>
      <c r="DZS126" s="1"/>
      <c r="DZT126" s="1"/>
      <c r="DZU126" s="1"/>
      <c r="DZV126" s="1"/>
      <c r="DZW126" s="1"/>
      <c r="DZX126" s="1"/>
      <c r="DZY126" s="1"/>
      <c r="DZZ126" s="1"/>
      <c r="EAA126" s="1"/>
      <c r="EAB126" s="1"/>
      <c r="EAC126" s="1"/>
      <c r="EAD126" s="1"/>
      <c r="EAE126" s="1"/>
      <c r="EAF126" s="1"/>
      <c r="EAG126" s="1"/>
      <c r="EAH126" s="1"/>
      <c r="EAI126" s="1"/>
      <c r="EAJ126" s="1"/>
      <c r="EAK126" s="1"/>
      <c r="EAL126" s="1"/>
      <c r="EAM126" s="1"/>
      <c r="EAN126" s="1"/>
      <c r="EAO126" s="1"/>
      <c r="EAP126" s="1"/>
      <c r="EAQ126" s="1"/>
      <c r="EAR126" s="1"/>
      <c r="EAS126" s="1"/>
      <c r="EAT126" s="1"/>
      <c r="EAU126" s="1"/>
      <c r="EAV126" s="1"/>
      <c r="EAW126" s="1"/>
      <c r="EAX126" s="1"/>
      <c r="EAY126" s="1"/>
      <c r="EAZ126" s="1"/>
      <c r="EBA126" s="1"/>
      <c r="EBB126" s="1"/>
      <c r="EBC126" s="1"/>
      <c r="EBD126" s="1"/>
      <c r="EBE126" s="1"/>
      <c r="EBF126" s="1"/>
      <c r="EBG126" s="1"/>
      <c r="EBH126" s="1"/>
      <c r="EBI126" s="1"/>
      <c r="EBJ126" s="1"/>
      <c r="EBK126" s="1"/>
      <c r="EBL126" s="1"/>
      <c r="EBM126" s="1"/>
      <c r="EBN126" s="1"/>
      <c r="EBO126" s="1"/>
      <c r="EBP126" s="1"/>
      <c r="EBQ126" s="1"/>
      <c r="EBR126" s="1"/>
      <c r="EBS126" s="1"/>
      <c r="EBT126" s="1"/>
      <c r="EBU126" s="1"/>
      <c r="EBV126" s="1"/>
      <c r="EBW126" s="1"/>
      <c r="EBX126" s="1"/>
      <c r="EBY126" s="1"/>
      <c r="EBZ126" s="1"/>
      <c r="ECA126" s="1"/>
      <c r="ECB126" s="1"/>
      <c r="ECC126" s="1"/>
      <c r="ECD126" s="1"/>
      <c r="ECE126" s="1"/>
      <c r="ECF126" s="1"/>
      <c r="ECG126" s="1"/>
      <c r="ECH126" s="1"/>
      <c r="ECI126" s="1"/>
      <c r="ECJ126" s="1"/>
      <c r="ECK126" s="1"/>
      <c r="ECL126" s="1"/>
      <c r="ECM126" s="1"/>
      <c r="ECN126" s="1"/>
      <c r="ECO126" s="1"/>
      <c r="ECP126" s="1"/>
      <c r="ECQ126" s="1"/>
      <c r="ECR126" s="1"/>
      <c r="ECS126" s="1"/>
      <c r="ECT126" s="1"/>
      <c r="ECU126" s="1"/>
      <c r="ECV126" s="1"/>
      <c r="ECW126" s="1"/>
      <c r="ECX126" s="1"/>
      <c r="ECY126" s="1"/>
      <c r="ECZ126" s="1"/>
      <c r="EDA126" s="1"/>
      <c r="EDB126" s="1"/>
      <c r="EDC126" s="1"/>
      <c r="EDD126" s="1"/>
      <c r="EDE126" s="1"/>
      <c r="EDF126" s="1"/>
      <c r="EDG126" s="1"/>
      <c r="EDH126" s="1"/>
      <c r="EDI126" s="1"/>
      <c r="EDJ126" s="1"/>
      <c r="EDK126" s="1"/>
      <c r="EDL126" s="1"/>
      <c r="EDM126" s="1"/>
      <c r="EDN126" s="1"/>
      <c r="EDO126" s="1"/>
      <c r="EDP126" s="1"/>
      <c r="EDQ126" s="1"/>
      <c r="EDR126" s="1"/>
      <c r="EDS126" s="1"/>
      <c r="EDT126" s="1"/>
      <c r="EDU126" s="1"/>
      <c r="EDV126" s="1"/>
      <c r="EDW126" s="1"/>
      <c r="EDX126" s="1"/>
      <c r="EDY126" s="1"/>
      <c r="EDZ126" s="1"/>
      <c r="EEA126" s="1"/>
      <c r="EEB126" s="1"/>
      <c r="EEC126" s="1"/>
      <c r="EED126" s="1"/>
      <c r="EEE126" s="1"/>
      <c r="EEF126" s="1"/>
      <c r="EEG126" s="1"/>
      <c r="EEH126" s="1"/>
      <c r="EEI126" s="1"/>
      <c r="EEJ126" s="1"/>
      <c r="EEK126" s="1"/>
      <c r="EEL126" s="1"/>
      <c r="EEM126" s="1"/>
      <c r="EEN126" s="1"/>
      <c r="EEO126" s="1"/>
      <c r="EEP126" s="1"/>
      <c r="EEQ126" s="1"/>
      <c r="EER126" s="1"/>
      <c r="EES126" s="1"/>
      <c r="EET126" s="1"/>
      <c r="EEU126" s="1"/>
      <c r="EEV126" s="1"/>
      <c r="EEW126" s="1"/>
      <c r="EEX126" s="1"/>
      <c r="EEY126" s="1"/>
      <c r="EEZ126" s="1"/>
      <c r="EFA126" s="1"/>
      <c r="EFB126" s="1"/>
      <c r="EFC126" s="1"/>
      <c r="EFD126" s="1"/>
      <c r="EFE126" s="1"/>
      <c r="EFF126" s="1"/>
      <c r="EFG126" s="1"/>
      <c r="EFH126" s="1"/>
      <c r="EFI126" s="1"/>
      <c r="EFJ126" s="1"/>
      <c r="EFK126" s="1"/>
      <c r="EFL126" s="1"/>
      <c r="EFM126" s="1"/>
      <c r="EFN126" s="1"/>
      <c r="EFO126" s="1"/>
      <c r="EFP126" s="1"/>
      <c r="EFQ126" s="1"/>
      <c r="EFR126" s="1"/>
      <c r="EFS126" s="1"/>
      <c r="EFT126" s="1"/>
      <c r="EFU126" s="1"/>
      <c r="EFV126" s="1"/>
      <c r="EFW126" s="1"/>
      <c r="EFX126" s="1"/>
      <c r="EFY126" s="1"/>
      <c r="EFZ126" s="1"/>
      <c r="EGA126" s="1"/>
      <c r="EGB126" s="1"/>
      <c r="EGC126" s="1"/>
      <c r="EGD126" s="1"/>
      <c r="EGE126" s="1"/>
      <c r="EGF126" s="1"/>
      <c r="EGG126" s="1"/>
      <c r="EGH126" s="1"/>
      <c r="EGI126" s="1"/>
      <c r="EGJ126" s="1"/>
      <c r="EGK126" s="1"/>
      <c r="EGL126" s="1"/>
      <c r="EGM126" s="1"/>
      <c r="EGN126" s="1"/>
      <c r="EGO126" s="1"/>
      <c r="EGP126" s="1"/>
      <c r="EGQ126" s="1"/>
      <c r="EGR126" s="1"/>
      <c r="EGS126" s="1"/>
      <c r="EGT126" s="1"/>
      <c r="EGU126" s="1"/>
      <c r="EGV126" s="1"/>
      <c r="EGW126" s="1"/>
      <c r="EGX126" s="1"/>
      <c r="EGY126" s="1"/>
      <c r="EGZ126" s="1"/>
      <c r="EHA126" s="1"/>
      <c r="EHB126" s="1"/>
      <c r="EHC126" s="1"/>
      <c r="EHD126" s="1"/>
      <c r="EHE126" s="1"/>
      <c r="EHF126" s="1"/>
      <c r="EHG126" s="1"/>
      <c r="EHH126" s="1"/>
      <c r="EHI126" s="1"/>
      <c r="EHJ126" s="1"/>
      <c r="EHK126" s="1"/>
      <c r="EHL126" s="1"/>
      <c r="EHM126" s="1"/>
      <c r="EHN126" s="1"/>
      <c r="EHO126" s="1"/>
      <c r="EHP126" s="1"/>
      <c r="EHQ126" s="1"/>
      <c r="EHR126" s="1"/>
      <c r="EHS126" s="1"/>
      <c r="EHT126" s="1"/>
      <c r="EHU126" s="1"/>
      <c r="EHV126" s="1"/>
      <c r="EHW126" s="1"/>
      <c r="EHX126" s="1"/>
      <c r="EHY126" s="1"/>
      <c r="EHZ126" s="1"/>
      <c r="EIA126" s="1"/>
      <c r="EIB126" s="1"/>
      <c r="EIC126" s="1"/>
      <c r="EID126" s="1"/>
      <c r="EIE126" s="1"/>
      <c r="EIF126" s="1"/>
      <c r="EIG126" s="1"/>
      <c r="EIH126" s="1"/>
      <c r="EII126" s="1"/>
      <c r="EIJ126" s="1"/>
      <c r="EIK126" s="1"/>
      <c r="EIL126" s="1"/>
      <c r="EIM126" s="1"/>
      <c r="EIN126" s="1"/>
      <c r="EIO126" s="1"/>
      <c r="EIP126" s="1"/>
      <c r="EIQ126" s="1"/>
      <c r="EIR126" s="1"/>
      <c r="EIS126" s="1"/>
      <c r="EIT126" s="1"/>
      <c r="EIU126" s="1"/>
      <c r="EIV126" s="1"/>
      <c r="EIW126" s="1"/>
      <c r="EIX126" s="1"/>
      <c r="EIY126" s="1"/>
      <c r="EIZ126" s="1"/>
      <c r="EJA126" s="1"/>
      <c r="EJB126" s="1"/>
      <c r="EJC126" s="1"/>
      <c r="EJD126" s="1"/>
      <c r="EJE126" s="1"/>
      <c r="EJF126" s="1"/>
      <c r="EJG126" s="1"/>
      <c r="EJH126" s="1"/>
      <c r="EJI126" s="1"/>
      <c r="EJJ126" s="1"/>
      <c r="EJK126" s="1"/>
      <c r="EJL126" s="1"/>
      <c r="EJM126" s="1"/>
      <c r="EJN126" s="1"/>
      <c r="EJO126" s="1"/>
      <c r="EJP126" s="1"/>
      <c r="EJQ126" s="1"/>
      <c r="EJR126" s="1"/>
      <c r="EJS126" s="1"/>
      <c r="EJT126" s="1"/>
      <c r="EJU126" s="1"/>
      <c r="EJV126" s="1"/>
      <c r="EJW126" s="1"/>
      <c r="EJX126" s="1"/>
      <c r="EJY126" s="1"/>
      <c r="EJZ126" s="1"/>
      <c r="EKA126" s="1"/>
      <c r="EKB126" s="1"/>
      <c r="EKC126" s="1"/>
      <c r="EKD126" s="1"/>
      <c r="EKE126" s="1"/>
      <c r="EKF126" s="1"/>
      <c r="EKG126" s="1"/>
      <c r="EKH126" s="1"/>
      <c r="EKI126" s="1"/>
      <c r="EKJ126" s="1"/>
      <c r="EKK126" s="1"/>
      <c r="EKL126" s="1"/>
      <c r="EKM126" s="1"/>
      <c r="EKN126" s="1"/>
      <c r="EKO126" s="1"/>
      <c r="EKP126" s="1"/>
      <c r="EKQ126" s="1"/>
      <c r="EKR126" s="1"/>
      <c r="EKS126" s="1"/>
      <c r="EKT126" s="1"/>
      <c r="EKU126" s="1"/>
      <c r="EKV126" s="1"/>
      <c r="EKW126" s="1"/>
      <c r="EKX126" s="1"/>
      <c r="EKY126" s="1"/>
      <c r="EKZ126" s="1"/>
      <c r="ELA126" s="1"/>
      <c r="ELB126" s="1"/>
      <c r="ELC126" s="1"/>
      <c r="ELD126" s="1"/>
      <c r="ELE126" s="1"/>
      <c r="ELF126" s="1"/>
      <c r="ELG126" s="1"/>
      <c r="ELH126" s="1"/>
      <c r="ELI126" s="1"/>
      <c r="ELJ126" s="1"/>
      <c r="ELK126" s="1"/>
      <c r="ELL126" s="1"/>
      <c r="ELM126" s="1"/>
      <c r="ELN126" s="1"/>
      <c r="ELO126" s="1"/>
      <c r="ELP126" s="1"/>
      <c r="ELQ126" s="1"/>
      <c r="ELR126" s="1"/>
      <c r="ELS126" s="1"/>
      <c r="ELT126" s="1"/>
      <c r="ELU126" s="1"/>
      <c r="ELV126" s="1"/>
      <c r="ELW126" s="1"/>
      <c r="ELX126" s="1"/>
      <c r="ELY126" s="1"/>
      <c r="ELZ126" s="1"/>
      <c r="EMA126" s="1"/>
      <c r="EMB126" s="1"/>
      <c r="EMC126" s="1"/>
      <c r="EMD126" s="1"/>
      <c r="EME126" s="1"/>
      <c r="EMF126" s="1"/>
      <c r="EMG126" s="1"/>
      <c r="EMH126" s="1"/>
      <c r="EMI126" s="1"/>
      <c r="EMJ126" s="1"/>
      <c r="EMK126" s="1"/>
      <c r="EML126" s="1"/>
      <c r="EMM126" s="1"/>
      <c r="EMN126" s="1"/>
      <c r="EMO126" s="1"/>
      <c r="EMP126" s="1"/>
      <c r="EMQ126" s="1"/>
      <c r="EMR126" s="1"/>
      <c r="EMS126" s="1"/>
      <c r="EMT126" s="1"/>
      <c r="EMU126" s="1"/>
      <c r="EMV126" s="1"/>
      <c r="EMW126" s="1"/>
      <c r="EMX126" s="1"/>
      <c r="EMY126" s="1"/>
      <c r="EMZ126" s="1"/>
      <c r="ENA126" s="1"/>
      <c r="ENB126" s="1"/>
      <c r="ENC126" s="1"/>
      <c r="END126" s="1"/>
      <c r="ENE126" s="1"/>
      <c r="ENF126" s="1"/>
      <c r="ENG126" s="1"/>
      <c r="ENH126" s="1"/>
      <c r="ENI126" s="1"/>
      <c r="ENJ126" s="1"/>
      <c r="ENK126" s="1"/>
      <c r="ENL126" s="1"/>
      <c r="ENM126" s="1"/>
      <c r="ENN126" s="1"/>
      <c r="ENO126" s="1"/>
      <c r="ENP126" s="1"/>
      <c r="ENQ126" s="1"/>
      <c r="ENR126" s="1"/>
      <c r="ENS126" s="1"/>
      <c r="ENT126" s="1"/>
      <c r="ENU126" s="1"/>
      <c r="ENV126" s="1"/>
      <c r="ENW126" s="1"/>
      <c r="ENX126" s="1"/>
      <c r="ENY126" s="1"/>
      <c r="ENZ126" s="1"/>
      <c r="EOA126" s="1"/>
      <c r="EOB126" s="1"/>
      <c r="EOC126" s="1"/>
      <c r="EOD126" s="1"/>
      <c r="EOE126" s="1"/>
      <c r="EOF126" s="1"/>
      <c r="EOG126" s="1"/>
      <c r="EOH126" s="1"/>
      <c r="EOI126" s="1"/>
      <c r="EOJ126" s="1"/>
      <c r="EOK126" s="1"/>
      <c r="EOL126" s="1"/>
      <c r="EOM126" s="1"/>
      <c r="EON126" s="1"/>
      <c r="EOO126" s="1"/>
      <c r="EOP126" s="1"/>
      <c r="EOQ126" s="1"/>
      <c r="EOR126" s="1"/>
      <c r="EOS126" s="1"/>
      <c r="EOT126" s="1"/>
      <c r="EOU126" s="1"/>
      <c r="EOV126" s="1"/>
      <c r="EOW126" s="1"/>
      <c r="EOX126" s="1"/>
      <c r="EOY126" s="1"/>
      <c r="EOZ126" s="1"/>
      <c r="EPA126" s="1"/>
      <c r="EPB126" s="1"/>
      <c r="EPC126" s="1"/>
      <c r="EPD126" s="1"/>
      <c r="EPE126" s="1"/>
      <c r="EPF126" s="1"/>
      <c r="EPG126" s="1"/>
      <c r="EPH126" s="1"/>
      <c r="EPI126" s="1"/>
      <c r="EPJ126" s="1"/>
      <c r="EPK126" s="1"/>
      <c r="EPL126" s="1"/>
      <c r="EPM126" s="1"/>
      <c r="EPN126" s="1"/>
      <c r="EPO126" s="1"/>
      <c r="EPP126" s="1"/>
      <c r="EPQ126" s="1"/>
      <c r="EPR126" s="1"/>
      <c r="EPS126" s="1"/>
      <c r="EPT126" s="1"/>
      <c r="EPU126" s="1"/>
      <c r="EPV126" s="1"/>
      <c r="EPW126" s="1"/>
      <c r="EPX126" s="1"/>
      <c r="EPY126" s="1"/>
      <c r="EPZ126" s="1"/>
      <c r="EQA126" s="1"/>
      <c r="EQB126" s="1"/>
      <c r="EQC126" s="1"/>
      <c r="EQD126" s="1"/>
      <c r="EQE126" s="1"/>
      <c r="EQF126" s="1"/>
      <c r="EQG126" s="1"/>
      <c r="EQH126" s="1"/>
      <c r="EQI126" s="1"/>
      <c r="EQJ126" s="1"/>
      <c r="EQK126" s="1"/>
      <c r="EQL126" s="1"/>
      <c r="EQM126" s="1"/>
      <c r="EQN126" s="1"/>
      <c r="EQO126" s="1"/>
      <c r="EQP126" s="1"/>
      <c r="EQQ126" s="1"/>
      <c r="EQR126" s="1"/>
      <c r="EQS126" s="1"/>
      <c r="EQT126" s="1"/>
      <c r="EQU126" s="1"/>
      <c r="EQV126" s="1"/>
      <c r="EQW126" s="1"/>
      <c r="EQX126" s="1"/>
      <c r="EQY126" s="1"/>
      <c r="EQZ126" s="1"/>
      <c r="ERA126" s="1"/>
      <c r="ERB126" s="1"/>
      <c r="ERC126" s="1"/>
      <c r="ERD126" s="1"/>
      <c r="ERE126" s="1"/>
      <c r="ERF126" s="1"/>
      <c r="ERG126" s="1"/>
      <c r="ERH126" s="1"/>
      <c r="ERI126" s="1"/>
      <c r="ERJ126" s="1"/>
      <c r="ERK126" s="1"/>
      <c r="ERL126" s="1"/>
      <c r="ERM126" s="1"/>
      <c r="ERN126" s="1"/>
      <c r="ERO126" s="1"/>
      <c r="ERP126" s="1"/>
      <c r="ERQ126" s="1"/>
      <c r="ERR126" s="1"/>
      <c r="ERS126" s="1"/>
      <c r="ERT126" s="1"/>
      <c r="ERU126" s="1"/>
      <c r="ERV126" s="1"/>
      <c r="ERW126" s="1"/>
      <c r="ERX126" s="1"/>
      <c r="ERY126" s="1"/>
      <c r="ERZ126" s="1"/>
      <c r="ESA126" s="1"/>
      <c r="ESB126" s="1"/>
      <c r="ESC126" s="1"/>
      <c r="ESD126" s="1"/>
      <c r="ESE126" s="1"/>
      <c r="ESF126" s="1"/>
      <c r="ESG126" s="1"/>
      <c r="ESH126" s="1"/>
      <c r="ESI126" s="1"/>
      <c r="ESJ126" s="1"/>
      <c r="ESK126" s="1"/>
      <c r="ESL126" s="1"/>
      <c r="ESM126" s="1"/>
      <c r="ESN126" s="1"/>
      <c r="ESO126" s="1"/>
      <c r="ESP126" s="1"/>
      <c r="ESQ126" s="1"/>
      <c r="ESR126" s="1"/>
      <c r="ESS126" s="1"/>
      <c r="EST126" s="1"/>
      <c r="ESU126" s="1"/>
      <c r="ESV126" s="1"/>
      <c r="ESW126" s="1"/>
      <c r="ESX126" s="1"/>
      <c r="ESY126" s="1"/>
      <c r="ESZ126" s="1"/>
      <c r="ETA126" s="1"/>
      <c r="ETB126" s="1"/>
      <c r="ETC126" s="1"/>
      <c r="ETD126" s="1"/>
      <c r="ETE126" s="1"/>
      <c r="ETF126" s="1"/>
      <c r="ETG126" s="1"/>
      <c r="ETH126" s="1"/>
      <c r="ETI126" s="1"/>
      <c r="ETJ126" s="1"/>
      <c r="ETK126" s="1"/>
      <c r="ETL126" s="1"/>
      <c r="ETM126" s="1"/>
      <c r="ETN126" s="1"/>
      <c r="ETO126" s="1"/>
      <c r="ETP126" s="1"/>
      <c r="ETQ126" s="1"/>
      <c r="ETR126" s="1"/>
      <c r="ETS126" s="1"/>
      <c r="ETT126" s="1"/>
      <c r="ETU126" s="1"/>
      <c r="ETV126" s="1"/>
      <c r="ETW126" s="1"/>
      <c r="ETX126" s="1"/>
      <c r="ETY126" s="1"/>
      <c r="ETZ126" s="1"/>
      <c r="EUA126" s="1"/>
      <c r="EUB126" s="1"/>
      <c r="EUC126" s="1"/>
      <c r="EUD126" s="1"/>
      <c r="EUE126" s="1"/>
      <c r="EUF126" s="1"/>
      <c r="EUG126" s="1"/>
      <c r="EUH126" s="1"/>
      <c r="EUI126" s="1"/>
      <c r="EUJ126" s="1"/>
      <c r="EUK126" s="1"/>
      <c r="EUL126" s="1"/>
      <c r="EUM126" s="1"/>
      <c r="EUN126" s="1"/>
      <c r="EUO126" s="1"/>
      <c r="EUP126" s="1"/>
      <c r="EUQ126" s="1"/>
      <c r="EUR126" s="1"/>
      <c r="EUS126" s="1"/>
      <c r="EUT126" s="1"/>
      <c r="EUU126" s="1"/>
      <c r="EUV126" s="1"/>
      <c r="EUW126" s="1"/>
      <c r="EUX126" s="1"/>
      <c r="EUY126" s="1"/>
      <c r="EUZ126" s="1"/>
      <c r="EVA126" s="1"/>
      <c r="EVB126" s="1"/>
      <c r="EVC126" s="1"/>
      <c r="EVD126" s="1"/>
      <c r="EVE126" s="1"/>
      <c r="EVF126" s="1"/>
      <c r="EVG126" s="1"/>
      <c r="EVH126" s="1"/>
      <c r="EVI126" s="1"/>
      <c r="EVJ126" s="1"/>
      <c r="EVK126" s="1"/>
      <c r="EVL126" s="1"/>
      <c r="EVM126" s="1"/>
      <c r="EVN126" s="1"/>
      <c r="EVO126" s="1"/>
      <c r="EVP126" s="1"/>
      <c r="EVQ126" s="1"/>
      <c r="EVR126" s="1"/>
      <c r="EVS126" s="1"/>
      <c r="EVT126" s="1"/>
      <c r="EVU126" s="1"/>
      <c r="EVV126" s="1"/>
      <c r="EVW126" s="1"/>
      <c r="EVX126" s="1"/>
      <c r="EVY126" s="1"/>
      <c r="EVZ126" s="1"/>
      <c r="EWA126" s="1"/>
      <c r="EWB126" s="1"/>
      <c r="EWC126" s="1"/>
      <c r="EWD126" s="1"/>
      <c r="EWE126" s="1"/>
      <c r="EWF126" s="1"/>
      <c r="EWG126" s="1"/>
      <c r="EWH126" s="1"/>
      <c r="EWI126" s="1"/>
      <c r="EWJ126" s="1"/>
      <c r="EWK126" s="1"/>
      <c r="EWL126" s="1"/>
      <c r="EWM126" s="1"/>
      <c r="EWN126" s="1"/>
      <c r="EWO126" s="1"/>
      <c r="EWP126" s="1"/>
      <c r="EWQ126" s="1"/>
      <c r="EWR126" s="1"/>
      <c r="EWS126" s="1"/>
      <c r="EWT126" s="1"/>
      <c r="EWU126" s="1"/>
      <c r="EWV126" s="1"/>
      <c r="EWW126" s="1"/>
      <c r="EWX126" s="1"/>
      <c r="EWY126" s="1"/>
      <c r="EWZ126" s="1"/>
      <c r="EXA126" s="1"/>
      <c r="EXB126" s="1"/>
      <c r="EXC126" s="1"/>
      <c r="EXD126" s="1"/>
      <c r="EXE126" s="1"/>
      <c r="EXF126" s="1"/>
      <c r="EXG126" s="1"/>
      <c r="EXH126" s="1"/>
      <c r="EXI126" s="1"/>
      <c r="EXJ126" s="1"/>
      <c r="EXK126" s="1"/>
      <c r="EXL126" s="1"/>
      <c r="EXM126" s="1"/>
      <c r="EXN126" s="1"/>
      <c r="EXO126" s="1"/>
      <c r="EXP126" s="1"/>
      <c r="EXQ126" s="1"/>
      <c r="EXR126" s="1"/>
      <c r="EXS126" s="1"/>
      <c r="EXT126" s="1"/>
      <c r="EXU126" s="1"/>
      <c r="EXV126" s="1"/>
      <c r="EXW126" s="1"/>
      <c r="EXX126" s="1"/>
      <c r="EXY126" s="1"/>
      <c r="EXZ126" s="1"/>
      <c r="EYA126" s="1"/>
      <c r="EYB126" s="1"/>
      <c r="EYC126" s="1"/>
      <c r="EYD126" s="1"/>
      <c r="EYE126" s="1"/>
      <c r="EYF126" s="1"/>
      <c r="EYG126" s="1"/>
      <c r="EYH126" s="1"/>
      <c r="EYI126" s="1"/>
      <c r="EYJ126" s="1"/>
      <c r="EYK126" s="1"/>
      <c r="EYL126" s="1"/>
      <c r="EYM126" s="1"/>
      <c r="EYN126" s="1"/>
      <c r="EYO126" s="1"/>
      <c r="EYP126" s="1"/>
      <c r="EYQ126" s="1"/>
      <c r="EYR126" s="1"/>
      <c r="EYS126" s="1"/>
      <c r="EYT126" s="1"/>
      <c r="EYU126" s="1"/>
      <c r="EYV126" s="1"/>
      <c r="EYW126" s="1"/>
      <c r="EYX126" s="1"/>
      <c r="EYY126" s="1"/>
      <c r="EYZ126" s="1"/>
      <c r="EZA126" s="1"/>
      <c r="EZB126" s="1"/>
      <c r="EZC126" s="1"/>
      <c r="EZD126" s="1"/>
      <c r="EZE126" s="1"/>
      <c r="EZF126" s="1"/>
      <c r="EZG126" s="1"/>
      <c r="EZH126" s="1"/>
      <c r="EZI126" s="1"/>
      <c r="EZJ126" s="1"/>
      <c r="EZK126" s="1"/>
      <c r="EZL126" s="1"/>
      <c r="EZM126" s="1"/>
      <c r="EZN126" s="1"/>
      <c r="EZO126" s="1"/>
      <c r="EZP126" s="1"/>
      <c r="EZQ126" s="1"/>
      <c r="EZR126" s="1"/>
      <c r="EZS126" s="1"/>
      <c r="EZT126" s="1"/>
      <c r="EZU126" s="1"/>
      <c r="EZV126" s="1"/>
      <c r="EZW126" s="1"/>
      <c r="EZX126" s="1"/>
      <c r="EZY126" s="1"/>
      <c r="EZZ126" s="1"/>
      <c r="FAA126" s="1"/>
      <c r="FAB126" s="1"/>
      <c r="FAC126" s="1"/>
      <c r="FAD126" s="1"/>
      <c r="FAE126" s="1"/>
      <c r="FAF126" s="1"/>
      <c r="FAG126" s="1"/>
      <c r="FAH126" s="1"/>
      <c r="FAI126" s="1"/>
      <c r="FAJ126" s="1"/>
      <c r="FAK126" s="1"/>
      <c r="FAL126" s="1"/>
      <c r="FAM126" s="1"/>
      <c r="FAN126" s="1"/>
      <c r="FAO126" s="1"/>
      <c r="FAP126" s="1"/>
      <c r="FAQ126" s="1"/>
      <c r="FAR126" s="1"/>
      <c r="FAS126" s="1"/>
      <c r="FAT126" s="1"/>
      <c r="FAU126" s="1"/>
      <c r="FAV126" s="1"/>
      <c r="FAW126" s="1"/>
      <c r="FAX126" s="1"/>
      <c r="FAY126" s="1"/>
      <c r="FAZ126" s="1"/>
      <c r="FBA126" s="1"/>
      <c r="FBB126" s="1"/>
      <c r="FBC126" s="1"/>
      <c r="FBD126" s="1"/>
      <c r="FBE126" s="1"/>
      <c r="FBF126" s="1"/>
      <c r="FBG126" s="1"/>
      <c r="FBH126" s="1"/>
      <c r="FBI126" s="1"/>
      <c r="FBJ126" s="1"/>
      <c r="FBK126" s="1"/>
      <c r="FBL126" s="1"/>
      <c r="FBM126" s="1"/>
      <c r="FBN126" s="1"/>
      <c r="FBO126" s="1"/>
      <c r="FBP126" s="1"/>
      <c r="FBQ126" s="1"/>
      <c r="FBR126" s="1"/>
      <c r="FBS126" s="1"/>
      <c r="FBT126" s="1"/>
      <c r="FBU126" s="1"/>
      <c r="FBV126" s="1"/>
      <c r="FBW126" s="1"/>
      <c r="FBX126" s="1"/>
      <c r="FBY126" s="1"/>
      <c r="FBZ126" s="1"/>
      <c r="FCA126" s="1"/>
      <c r="FCB126" s="1"/>
      <c r="FCC126" s="1"/>
      <c r="FCD126" s="1"/>
      <c r="FCE126" s="1"/>
      <c r="FCF126" s="1"/>
      <c r="FCG126" s="1"/>
      <c r="FCH126" s="1"/>
      <c r="FCI126" s="1"/>
      <c r="FCJ126" s="1"/>
      <c r="FCK126" s="1"/>
      <c r="FCL126" s="1"/>
      <c r="FCM126" s="1"/>
      <c r="FCN126" s="1"/>
      <c r="FCO126" s="1"/>
      <c r="FCP126" s="1"/>
      <c r="FCQ126" s="1"/>
      <c r="FCR126" s="1"/>
      <c r="FCS126" s="1"/>
      <c r="FCT126" s="1"/>
      <c r="FCU126" s="1"/>
      <c r="FCV126" s="1"/>
      <c r="FCW126" s="1"/>
      <c r="FCX126" s="1"/>
      <c r="FCY126" s="1"/>
      <c r="FCZ126" s="1"/>
      <c r="FDA126" s="1"/>
      <c r="FDB126" s="1"/>
      <c r="FDC126" s="1"/>
      <c r="FDD126" s="1"/>
      <c r="FDE126" s="1"/>
      <c r="FDF126" s="1"/>
      <c r="FDG126" s="1"/>
      <c r="FDH126" s="1"/>
      <c r="FDI126" s="1"/>
      <c r="FDJ126" s="1"/>
      <c r="FDK126" s="1"/>
      <c r="FDL126" s="1"/>
      <c r="FDM126" s="1"/>
      <c r="FDN126" s="1"/>
      <c r="FDO126" s="1"/>
      <c r="FDP126" s="1"/>
      <c r="FDQ126" s="1"/>
      <c r="FDR126" s="1"/>
      <c r="FDS126" s="1"/>
      <c r="FDT126" s="1"/>
      <c r="FDU126" s="1"/>
      <c r="FDV126" s="1"/>
      <c r="FDW126" s="1"/>
      <c r="FDX126" s="1"/>
      <c r="FDY126" s="1"/>
      <c r="FDZ126" s="1"/>
      <c r="FEA126" s="1"/>
      <c r="FEB126" s="1"/>
      <c r="FEC126" s="1"/>
      <c r="FED126" s="1"/>
      <c r="FEE126" s="1"/>
      <c r="FEF126" s="1"/>
      <c r="FEG126" s="1"/>
      <c r="FEH126" s="1"/>
      <c r="FEI126" s="1"/>
      <c r="FEJ126" s="1"/>
      <c r="FEK126" s="1"/>
      <c r="FEL126" s="1"/>
      <c r="FEM126" s="1"/>
      <c r="FEN126" s="1"/>
      <c r="FEO126" s="1"/>
      <c r="FEP126" s="1"/>
      <c r="FEQ126" s="1"/>
      <c r="FER126" s="1"/>
      <c r="FES126" s="1"/>
      <c r="FET126" s="1"/>
      <c r="FEU126" s="1"/>
      <c r="FEV126" s="1"/>
      <c r="FEW126" s="1"/>
      <c r="FEX126" s="1"/>
      <c r="FEY126" s="1"/>
      <c r="FEZ126" s="1"/>
      <c r="FFA126" s="1"/>
      <c r="FFB126" s="1"/>
      <c r="FFC126" s="1"/>
      <c r="FFD126" s="1"/>
      <c r="FFE126" s="1"/>
      <c r="FFF126" s="1"/>
      <c r="FFG126" s="1"/>
      <c r="FFH126" s="1"/>
      <c r="FFI126" s="1"/>
      <c r="FFJ126" s="1"/>
      <c r="FFK126" s="1"/>
      <c r="FFL126" s="1"/>
      <c r="FFM126" s="1"/>
      <c r="FFN126" s="1"/>
      <c r="FFO126" s="1"/>
      <c r="FFP126" s="1"/>
      <c r="FFQ126" s="1"/>
      <c r="FFR126" s="1"/>
      <c r="FFS126" s="1"/>
      <c r="FFT126" s="1"/>
      <c r="FFU126" s="1"/>
      <c r="FFV126" s="1"/>
      <c r="FFW126" s="1"/>
      <c r="FFX126" s="1"/>
      <c r="FFY126" s="1"/>
      <c r="FFZ126" s="1"/>
      <c r="FGA126" s="1"/>
      <c r="FGB126" s="1"/>
      <c r="FGC126" s="1"/>
      <c r="FGD126" s="1"/>
      <c r="FGE126" s="1"/>
      <c r="FGF126" s="1"/>
      <c r="FGG126" s="1"/>
      <c r="FGH126" s="1"/>
      <c r="FGI126" s="1"/>
      <c r="FGJ126" s="1"/>
      <c r="FGK126" s="1"/>
      <c r="FGL126" s="1"/>
      <c r="FGM126" s="1"/>
      <c r="FGN126" s="1"/>
      <c r="FGO126" s="1"/>
      <c r="FGP126" s="1"/>
      <c r="FGQ126" s="1"/>
      <c r="FGR126" s="1"/>
      <c r="FGS126" s="1"/>
      <c r="FGT126" s="1"/>
      <c r="FGU126" s="1"/>
      <c r="FGV126" s="1"/>
      <c r="FGW126" s="1"/>
      <c r="FGX126" s="1"/>
      <c r="FGY126" s="1"/>
      <c r="FGZ126" s="1"/>
      <c r="FHA126" s="1"/>
      <c r="FHB126" s="1"/>
      <c r="FHC126" s="1"/>
      <c r="FHD126" s="1"/>
      <c r="FHE126" s="1"/>
      <c r="FHF126" s="1"/>
      <c r="FHG126" s="1"/>
      <c r="FHH126" s="1"/>
      <c r="FHI126" s="1"/>
      <c r="FHJ126" s="1"/>
      <c r="FHK126" s="1"/>
      <c r="FHL126" s="1"/>
      <c r="FHM126" s="1"/>
      <c r="FHN126" s="1"/>
      <c r="FHO126" s="1"/>
      <c r="FHP126" s="1"/>
      <c r="FHQ126" s="1"/>
      <c r="FHR126" s="1"/>
      <c r="FHS126" s="1"/>
      <c r="FHT126" s="1"/>
      <c r="FHU126" s="1"/>
      <c r="FHV126" s="1"/>
      <c r="FHW126" s="1"/>
      <c r="FHX126" s="1"/>
      <c r="FHY126" s="1"/>
      <c r="FHZ126" s="1"/>
      <c r="FIA126" s="1"/>
      <c r="FIB126" s="1"/>
      <c r="FIC126" s="1"/>
      <c r="FID126" s="1"/>
      <c r="FIE126" s="1"/>
      <c r="FIF126" s="1"/>
      <c r="FIG126" s="1"/>
      <c r="FIH126" s="1"/>
      <c r="FII126" s="1"/>
      <c r="FIJ126" s="1"/>
      <c r="FIK126" s="1"/>
      <c r="FIL126" s="1"/>
      <c r="FIM126" s="1"/>
      <c r="FIN126" s="1"/>
      <c r="FIO126" s="1"/>
      <c r="FIP126" s="1"/>
      <c r="FIQ126" s="1"/>
      <c r="FIR126" s="1"/>
      <c r="FIS126" s="1"/>
      <c r="FIT126" s="1"/>
      <c r="FIU126" s="1"/>
      <c r="FIV126" s="1"/>
      <c r="FIW126" s="1"/>
      <c r="FIX126" s="1"/>
      <c r="FIY126" s="1"/>
      <c r="FIZ126" s="1"/>
      <c r="FJA126" s="1"/>
      <c r="FJB126" s="1"/>
      <c r="FJC126" s="1"/>
      <c r="FJD126" s="1"/>
      <c r="FJE126" s="1"/>
      <c r="FJF126" s="1"/>
      <c r="FJG126" s="1"/>
      <c r="FJH126" s="1"/>
      <c r="FJI126" s="1"/>
      <c r="FJJ126" s="1"/>
      <c r="FJK126" s="1"/>
      <c r="FJL126" s="1"/>
      <c r="FJM126" s="1"/>
      <c r="FJN126" s="1"/>
      <c r="FJO126" s="1"/>
      <c r="FJP126" s="1"/>
      <c r="FJQ126" s="1"/>
      <c r="FJR126" s="1"/>
      <c r="FJS126" s="1"/>
      <c r="FJT126" s="1"/>
      <c r="FJU126" s="1"/>
      <c r="FJV126" s="1"/>
      <c r="FJW126" s="1"/>
      <c r="FJX126" s="1"/>
      <c r="FJY126" s="1"/>
      <c r="FJZ126" s="1"/>
      <c r="FKA126" s="1"/>
      <c r="FKB126" s="1"/>
      <c r="FKC126" s="1"/>
      <c r="FKD126" s="1"/>
      <c r="FKE126" s="1"/>
      <c r="FKF126" s="1"/>
      <c r="FKG126" s="1"/>
      <c r="FKH126" s="1"/>
      <c r="FKI126" s="1"/>
      <c r="FKJ126" s="1"/>
      <c r="FKK126" s="1"/>
      <c r="FKL126" s="1"/>
      <c r="FKM126" s="1"/>
      <c r="FKN126" s="1"/>
      <c r="FKO126" s="1"/>
      <c r="FKP126" s="1"/>
      <c r="FKQ126" s="1"/>
      <c r="FKR126" s="1"/>
      <c r="FKS126" s="1"/>
      <c r="FKT126" s="1"/>
      <c r="FKU126" s="1"/>
      <c r="FKV126" s="1"/>
      <c r="FKW126" s="1"/>
      <c r="FKX126" s="1"/>
      <c r="FKY126" s="1"/>
      <c r="FKZ126" s="1"/>
      <c r="FLA126" s="1"/>
      <c r="FLB126" s="1"/>
      <c r="FLC126" s="1"/>
      <c r="FLD126" s="1"/>
      <c r="FLE126" s="1"/>
      <c r="FLF126" s="1"/>
      <c r="FLG126" s="1"/>
      <c r="FLH126" s="1"/>
      <c r="FLI126" s="1"/>
      <c r="FLJ126" s="1"/>
      <c r="FLK126" s="1"/>
      <c r="FLL126" s="1"/>
      <c r="FLM126" s="1"/>
      <c r="FLN126" s="1"/>
      <c r="FLO126" s="1"/>
      <c r="FLP126" s="1"/>
      <c r="FLQ126" s="1"/>
      <c r="FLR126" s="1"/>
      <c r="FLS126" s="1"/>
      <c r="FLT126" s="1"/>
      <c r="FLU126" s="1"/>
      <c r="FLV126" s="1"/>
      <c r="FLW126" s="1"/>
      <c r="FLX126" s="1"/>
      <c r="FLY126" s="1"/>
      <c r="FLZ126" s="1"/>
      <c r="FMA126" s="1"/>
      <c r="FMB126" s="1"/>
      <c r="FMC126" s="1"/>
      <c r="FMD126" s="1"/>
      <c r="FME126" s="1"/>
      <c r="FMF126" s="1"/>
      <c r="FMG126" s="1"/>
      <c r="FMH126" s="1"/>
      <c r="FMI126" s="1"/>
      <c r="FMJ126" s="1"/>
      <c r="FMK126" s="1"/>
      <c r="FML126" s="1"/>
      <c r="FMM126" s="1"/>
      <c r="FMN126" s="1"/>
      <c r="FMO126" s="1"/>
      <c r="FMP126" s="1"/>
      <c r="FMQ126" s="1"/>
      <c r="FMR126" s="1"/>
      <c r="FMS126" s="1"/>
      <c r="FMT126" s="1"/>
      <c r="FMU126" s="1"/>
      <c r="FMV126" s="1"/>
      <c r="FMW126" s="1"/>
      <c r="FMX126" s="1"/>
      <c r="FMY126" s="1"/>
      <c r="FMZ126" s="1"/>
      <c r="FNA126" s="1"/>
      <c r="FNB126" s="1"/>
      <c r="FNC126" s="1"/>
      <c r="FND126" s="1"/>
      <c r="FNE126" s="1"/>
      <c r="FNF126" s="1"/>
      <c r="FNG126" s="1"/>
      <c r="FNH126" s="1"/>
      <c r="FNI126" s="1"/>
      <c r="FNJ126" s="1"/>
      <c r="FNK126" s="1"/>
      <c r="FNL126" s="1"/>
      <c r="FNM126" s="1"/>
      <c r="FNN126" s="1"/>
      <c r="FNO126" s="1"/>
      <c r="FNP126" s="1"/>
      <c r="FNQ126" s="1"/>
      <c r="FNR126" s="1"/>
      <c r="FNS126" s="1"/>
      <c r="FNT126" s="1"/>
      <c r="FNU126" s="1"/>
      <c r="FNV126" s="1"/>
      <c r="FNW126" s="1"/>
      <c r="FNX126" s="1"/>
      <c r="FNY126" s="1"/>
      <c r="FNZ126" s="1"/>
      <c r="FOA126" s="1"/>
      <c r="FOB126" s="1"/>
      <c r="FOC126" s="1"/>
      <c r="FOD126" s="1"/>
      <c r="FOE126" s="1"/>
      <c r="FOF126" s="1"/>
      <c r="FOG126" s="1"/>
      <c r="FOH126" s="1"/>
      <c r="FOI126" s="1"/>
      <c r="FOJ126" s="1"/>
      <c r="FOK126" s="1"/>
      <c r="FOL126" s="1"/>
      <c r="FOM126" s="1"/>
      <c r="FON126" s="1"/>
      <c r="FOO126" s="1"/>
      <c r="FOP126" s="1"/>
      <c r="FOQ126" s="1"/>
      <c r="FOR126" s="1"/>
      <c r="FOS126" s="1"/>
      <c r="FOT126" s="1"/>
      <c r="FOU126" s="1"/>
      <c r="FOV126" s="1"/>
      <c r="FOW126" s="1"/>
      <c r="FOX126" s="1"/>
      <c r="FOY126" s="1"/>
      <c r="FOZ126" s="1"/>
      <c r="FPA126" s="1"/>
      <c r="FPB126" s="1"/>
      <c r="FPC126" s="1"/>
      <c r="FPD126" s="1"/>
      <c r="FPE126" s="1"/>
      <c r="FPF126" s="1"/>
      <c r="FPG126" s="1"/>
      <c r="FPH126" s="1"/>
      <c r="FPI126" s="1"/>
      <c r="FPJ126" s="1"/>
      <c r="FPK126" s="1"/>
      <c r="FPL126" s="1"/>
      <c r="FPM126" s="1"/>
      <c r="FPN126" s="1"/>
      <c r="FPO126" s="1"/>
      <c r="FPP126" s="1"/>
      <c r="FPQ126" s="1"/>
      <c r="FPR126" s="1"/>
      <c r="FPS126" s="1"/>
      <c r="FPT126" s="1"/>
      <c r="FPU126" s="1"/>
      <c r="FPV126" s="1"/>
      <c r="FPW126" s="1"/>
      <c r="FPX126" s="1"/>
      <c r="FPY126" s="1"/>
      <c r="FPZ126" s="1"/>
      <c r="FQA126" s="1"/>
      <c r="FQB126" s="1"/>
      <c r="FQC126" s="1"/>
      <c r="FQD126" s="1"/>
      <c r="FQE126" s="1"/>
      <c r="FQF126" s="1"/>
      <c r="FQG126" s="1"/>
      <c r="FQH126" s="1"/>
      <c r="FQI126" s="1"/>
      <c r="FQJ126" s="1"/>
      <c r="FQK126" s="1"/>
      <c r="FQL126" s="1"/>
      <c r="FQM126" s="1"/>
      <c r="FQN126" s="1"/>
      <c r="FQO126" s="1"/>
      <c r="FQP126" s="1"/>
      <c r="FQQ126" s="1"/>
      <c r="FQR126" s="1"/>
      <c r="FQS126" s="1"/>
      <c r="FQT126" s="1"/>
      <c r="FQU126" s="1"/>
      <c r="FQV126" s="1"/>
      <c r="FQW126" s="1"/>
      <c r="FQX126" s="1"/>
      <c r="FQY126" s="1"/>
      <c r="FQZ126" s="1"/>
      <c r="FRA126" s="1"/>
      <c r="FRB126" s="1"/>
      <c r="FRC126" s="1"/>
      <c r="FRD126" s="1"/>
      <c r="FRE126" s="1"/>
      <c r="FRF126" s="1"/>
      <c r="FRG126" s="1"/>
      <c r="FRH126" s="1"/>
      <c r="FRI126" s="1"/>
      <c r="FRJ126" s="1"/>
      <c r="FRK126" s="1"/>
      <c r="FRL126" s="1"/>
      <c r="FRM126" s="1"/>
      <c r="FRN126" s="1"/>
      <c r="FRO126" s="1"/>
      <c r="FRP126" s="1"/>
      <c r="FRQ126" s="1"/>
      <c r="FRR126" s="1"/>
      <c r="FRS126" s="1"/>
      <c r="FRT126" s="1"/>
      <c r="FRU126" s="1"/>
      <c r="FRV126" s="1"/>
      <c r="FRW126" s="1"/>
      <c r="FRX126" s="1"/>
      <c r="FRY126" s="1"/>
      <c r="FRZ126" s="1"/>
      <c r="FSA126" s="1"/>
      <c r="FSB126" s="1"/>
      <c r="FSC126" s="1"/>
      <c r="FSD126" s="1"/>
      <c r="FSE126" s="1"/>
      <c r="FSF126" s="1"/>
      <c r="FSG126" s="1"/>
      <c r="FSH126" s="1"/>
      <c r="FSI126" s="1"/>
      <c r="FSJ126" s="1"/>
      <c r="FSK126" s="1"/>
      <c r="FSL126" s="1"/>
      <c r="FSM126" s="1"/>
      <c r="FSN126" s="1"/>
      <c r="FSO126" s="1"/>
      <c r="FSP126" s="1"/>
      <c r="FSQ126" s="1"/>
      <c r="FSR126" s="1"/>
      <c r="FSS126" s="1"/>
      <c r="FST126" s="1"/>
      <c r="FSU126" s="1"/>
      <c r="FSV126" s="1"/>
      <c r="FSW126" s="1"/>
      <c r="FSX126" s="1"/>
      <c r="FSY126" s="1"/>
      <c r="FSZ126" s="1"/>
      <c r="FTA126" s="1"/>
      <c r="FTB126" s="1"/>
      <c r="FTC126" s="1"/>
      <c r="FTD126" s="1"/>
      <c r="FTE126" s="1"/>
      <c r="FTF126" s="1"/>
      <c r="FTG126" s="1"/>
      <c r="FTH126" s="1"/>
      <c r="FTI126" s="1"/>
      <c r="FTJ126" s="1"/>
      <c r="FTK126" s="1"/>
      <c r="FTL126" s="1"/>
      <c r="FTM126" s="1"/>
      <c r="FTN126" s="1"/>
      <c r="FTO126" s="1"/>
      <c r="FTP126" s="1"/>
      <c r="FTQ126" s="1"/>
      <c r="FTR126" s="1"/>
      <c r="FTS126" s="1"/>
      <c r="FTT126" s="1"/>
      <c r="FTU126" s="1"/>
      <c r="FTV126" s="1"/>
      <c r="FTW126" s="1"/>
      <c r="FTX126" s="1"/>
      <c r="FTY126" s="1"/>
      <c r="FTZ126" s="1"/>
      <c r="FUA126" s="1"/>
      <c r="FUB126" s="1"/>
      <c r="FUC126" s="1"/>
      <c r="FUD126" s="1"/>
      <c r="FUE126" s="1"/>
      <c r="FUF126" s="1"/>
      <c r="FUG126" s="1"/>
      <c r="FUH126" s="1"/>
      <c r="FUI126" s="1"/>
      <c r="FUJ126" s="1"/>
      <c r="FUK126" s="1"/>
      <c r="FUL126" s="1"/>
      <c r="FUM126" s="1"/>
      <c r="FUN126" s="1"/>
      <c r="FUO126" s="1"/>
      <c r="FUP126" s="1"/>
      <c r="FUQ126" s="1"/>
      <c r="FUR126" s="1"/>
      <c r="FUS126" s="1"/>
      <c r="FUT126" s="1"/>
      <c r="FUU126" s="1"/>
      <c r="FUV126" s="1"/>
      <c r="FUW126" s="1"/>
      <c r="FUX126" s="1"/>
      <c r="FUY126" s="1"/>
      <c r="FUZ126" s="1"/>
      <c r="FVA126" s="1"/>
      <c r="FVB126" s="1"/>
      <c r="FVC126" s="1"/>
      <c r="FVD126" s="1"/>
      <c r="FVE126" s="1"/>
      <c r="FVF126" s="1"/>
      <c r="FVG126" s="1"/>
      <c r="FVH126" s="1"/>
      <c r="FVI126" s="1"/>
      <c r="FVJ126" s="1"/>
      <c r="FVK126" s="1"/>
      <c r="FVL126" s="1"/>
      <c r="FVM126" s="1"/>
      <c r="FVN126" s="1"/>
      <c r="FVO126" s="1"/>
      <c r="FVP126" s="1"/>
      <c r="FVQ126" s="1"/>
      <c r="FVR126" s="1"/>
      <c r="FVS126" s="1"/>
      <c r="FVT126" s="1"/>
      <c r="FVU126" s="1"/>
      <c r="FVV126" s="1"/>
      <c r="FVW126" s="1"/>
      <c r="FVX126" s="1"/>
      <c r="FVY126" s="1"/>
      <c r="FVZ126" s="1"/>
      <c r="FWA126" s="1"/>
      <c r="FWB126" s="1"/>
      <c r="FWC126" s="1"/>
      <c r="FWD126" s="1"/>
      <c r="FWE126" s="1"/>
      <c r="FWF126" s="1"/>
      <c r="FWG126" s="1"/>
      <c r="FWH126" s="1"/>
      <c r="FWI126" s="1"/>
      <c r="FWJ126" s="1"/>
      <c r="FWK126" s="1"/>
      <c r="FWL126" s="1"/>
      <c r="FWM126" s="1"/>
      <c r="FWN126" s="1"/>
      <c r="FWO126" s="1"/>
      <c r="FWP126" s="1"/>
      <c r="FWQ126" s="1"/>
      <c r="FWR126" s="1"/>
      <c r="FWS126" s="1"/>
      <c r="FWT126" s="1"/>
      <c r="FWU126" s="1"/>
      <c r="FWV126" s="1"/>
      <c r="FWW126" s="1"/>
      <c r="FWX126" s="1"/>
      <c r="FWY126" s="1"/>
      <c r="FWZ126" s="1"/>
      <c r="FXA126" s="1"/>
      <c r="FXB126" s="1"/>
      <c r="FXC126" s="1"/>
      <c r="FXD126" s="1"/>
      <c r="FXE126" s="1"/>
      <c r="FXF126" s="1"/>
      <c r="FXG126" s="1"/>
      <c r="FXH126" s="1"/>
      <c r="FXI126" s="1"/>
      <c r="FXJ126" s="1"/>
      <c r="FXK126" s="1"/>
      <c r="FXL126" s="1"/>
      <c r="FXM126" s="1"/>
      <c r="FXN126" s="1"/>
      <c r="FXO126" s="1"/>
      <c r="FXP126" s="1"/>
      <c r="FXQ126" s="1"/>
      <c r="FXR126" s="1"/>
      <c r="FXS126" s="1"/>
      <c r="FXT126" s="1"/>
      <c r="FXU126" s="1"/>
      <c r="FXV126" s="1"/>
      <c r="FXW126" s="1"/>
      <c r="FXX126" s="1"/>
      <c r="FXY126" s="1"/>
      <c r="FXZ126" s="1"/>
      <c r="FYA126" s="1"/>
      <c r="FYB126" s="1"/>
      <c r="FYC126" s="1"/>
      <c r="FYD126" s="1"/>
      <c r="FYE126" s="1"/>
      <c r="FYF126" s="1"/>
      <c r="FYG126" s="1"/>
      <c r="FYH126" s="1"/>
      <c r="FYI126" s="1"/>
      <c r="FYJ126" s="1"/>
      <c r="FYK126" s="1"/>
      <c r="FYL126" s="1"/>
      <c r="FYM126" s="1"/>
      <c r="FYN126" s="1"/>
      <c r="FYO126" s="1"/>
      <c r="FYP126" s="1"/>
      <c r="FYQ126" s="1"/>
      <c r="FYR126" s="1"/>
      <c r="FYS126" s="1"/>
      <c r="FYT126" s="1"/>
      <c r="FYU126" s="1"/>
      <c r="FYV126" s="1"/>
      <c r="FYW126" s="1"/>
      <c r="FYX126" s="1"/>
      <c r="FYY126" s="1"/>
      <c r="FYZ126" s="1"/>
      <c r="FZA126" s="1"/>
      <c r="FZB126" s="1"/>
      <c r="FZC126" s="1"/>
      <c r="FZD126" s="1"/>
      <c r="FZE126" s="1"/>
      <c r="FZF126" s="1"/>
      <c r="FZG126" s="1"/>
      <c r="FZH126" s="1"/>
      <c r="FZI126" s="1"/>
      <c r="FZJ126" s="1"/>
      <c r="FZK126" s="1"/>
      <c r="FZL126" s="1"/>
      <c r="FZM126" s="1"/>
      <c r="FZN126" s="1"/>
      <c r="FZO126" s="1"/>
      <c r="FZP126" s="1"/>
      <c r="FZQ126" s="1"/>
      <c r="FZR126" s="1"/>
      <c r="FZS126" s="1"/>
      <c r="FZT126" s="1"/>
      <c r="FZU126" s="1"/>
      <c r="FZV126" s="1"/>
      <c r="FZW126" s="1"/>
      <c r="FZX126" s="1"/>
      <c r="FZY126" s="1"/>
      <c r="FZZ126" s="1"/>
      <c r="GAA126" s="1"/>
      <c r="GAB126" s="1"/>
      <c r="GAC126" s="1"/>
      <c r="GAD126" s="1"/>
      <c r="GAE126" s="1"/>
      <c r="GAF126" s="1"/>
      <c r="GAG126" s="1"/>
      <c r="GAH126" s="1"/>
      <c r="GAI126" s="1"/>
      <c r="GAJ126" s="1"/>
      <c r="GAK126" s="1"/>
      <c r="GAL126" s="1"/>
      <c r="GAM126" s="1"/>
      <c r="GAN126" s="1"/>
      <c r="GAO126" s="1"/>
      <c r="GAP126" s="1"/>
      <c r="GAQ126" s="1"/>
      <c r="GAR126" s="1"/>
      <c r="GAS126" s="1"/>
      <c r="GAT126" s="1"/>
      <c r="GAU126" s="1"/>
      <c r="GAV126" s="1"/>
      <c r="GAW126" s="1"/>
      <c r="GAX126" s="1"/>
      <c r="GAY126" s="1"/>
      <c r="GAZ126" s="1"/>
      <c r="GBA126" s="1"/>
      <c r="GBB126" s="1"/>
      <c r="GBC126" s="1"/>
      <c r="GBD126" s="1"/>
      <c r="GBE126" s="1"/>
      <c r="GBF126" s="1"/>
      <c r="GBG126" s="1"/>
      <c r="GBH126" s="1"/>
      <c r="GBI126" s="1"/>
      <c r="GBJ126" s="1"/>
      <c r="GBK126" s="1"/>
      <c r="GBL126" s="1"/>
      <c r="GBM126" s="1"/>
      <c r="GBN126" s="1"/>
      <c r="GBO126" s="1"/>
      <c r="GBP126" s="1"/>
      <c r="GBQ126" s="1"/>
      <c r="GBR126" s="1"/>
      <c r="GBS126" s="1"/>
      <c r="GBT126" s="1"/>
      <c r="GBU126" s="1"/>
      <c r="GBV126" s="1"/>
      <c r="GBW126" s="1"/>
      <c r="GBX126" s="1"/>
      <c r="GBY126" s="1"/>
      <c r="GBZ126" s="1"/>
      <c r="GCA126" s="1"/>
      <c r="GCB126" s="1"/>
      <c r="GCC126" s="1"/>
      <c r="GCD126" s="1"/>
      <c r="GCE126" s="1"/>
      <c r="GCF126" s="1"/>
      <c r="GCG126" s="1"/>
      <c r="GCH126" s="1"/>
      <c r="GCI126" s="1"/>
      <c r="GCJ126" s="1"/>
      <c r="GCK126" s="1"/>
      <c r="GCL126" s="1"/>
      <c r="GCM126" s="1"/>
      <c r="GCN126" s="1"/>
      <c r="GCO126" s="1"/>
      <c r="GCP126" s="1"/>
      <c r="GCQ126" s="1"/>
      <c r="GCR126" s="1"/>
      <c r="GCS126" s="1"/>
      <c r="GCT126" s="1"/>
      <c r="GCU126" s="1"/>
      <c r="GCV126" s="1"/>
      <c r="GCW126" s="1"/>
      <c r="GCX126" s="1"/>
      <c r="GCY126" s="1"/>
      <c r="GCZ126" s="1"/>
      <c r="GDA126" s="1"/>
      <c r="GDB126" s="1"/>
      <c r="GDC126" s="1"/>
      <c r="GDD126" s="1"/>
      <c r="GDE126" s="1"/>
      <c r="GDF126" s="1"/>
      <c r="GDG126" s="1"/>
      <c r="GDH126" s="1"/>
      <c r="GDI126" s="1"/>
      <c r="GDJ126" s="1"/>
      <c r="GDK126" s="1"/>
      <c r="GDL126" s="1"/>
      <c r="GDM126" s="1"/>
      <c r="GDN126" s="1"/>
      <c r="GDO126" s="1"/>
      <c r="GDP126" s="1"/>
      <c r="GDQ126" s="1"/>
      <c r="GDR126" s="1"/>
      <c r="GDS126" s="1"/>
      <c r="GDT126" s="1"/>
      <c r="GDU126" s="1"/>
      <c r="GDV126" s="1"/>
      <c r="GDW126" s="1"/>
      <c r="GDX126" s="1"/>
      <c r="GDY126" s="1"/>
      <c r="GDZ126" s="1"/>
      <c r="GEA126" s="1"/>
      <c r="GEB126" s="1"/>
      <c r="GEC126" s="1"/>
      <c r="GED126" s="1"/>
      <c r="GEE126" s="1"/>
      <c r="GEF126" s="1"/>
      <c r="GEG126" s="1"/>
      <c r="GEH126" s="1"/>
      <c r="GEI126" s="1"/>
      <c r="GEJ126" s="1"/>
      <c r="GEK126" s="1"/>
      <c r="GEL126" s="1"/>
      <c r="GEM126" s="1"/>
      <c r="GEN126" s="1"/>
      <c r="GEO126" s="1"/>
      <c r="GEP126" s="1"/>
      <c r="GEQ126" s="1"/>
      <c r="GER126" s="1"/>
      <c r="GES126" s="1"/>
      <c r="GET126" s="1"/>
      <c r="GEU126" s="1"/>
      <c r="GEV126" s="1"/>
      <c r="GEW126" s="1"/>
      <c r="GEX126" s="1"/>
      <c r="GEY126" s="1"/>
      <c r="GEZ126" s="1"/>
      <c r="GFA126" s="1"/>
      <c r="GFB126" s="1"/>
      <c r="GFC126" s="1"/>
      <c r="GFD126" s="1"/>
      <c r="GFE126" s="1"/>
      <c r="GFF126" s="1"/>
      <c r="GFG126" s="1"/>
      <c r="GFH126" s="1"/>
      <c r="GFI126" s="1"/>
      <c r="GFJ126" s="1"/>
      <c r="GFK126" s="1"/>
      <c r="GFL126" s="1"/>
      <c r="GFM126" s="1"/>
      <c r="GFN126" s="1"/>
      <c r="GFO126" s="1"/>
      <c r="GFP126" s="1"/>
      <c r="GFQ126" s="1"/>
      <c r="GFR126" s="1"/>
      <c r="GFS126" s="1"/>
      <c r="GFT126" s="1"/>
      <c r="GFU126" s="1"/>
      <c r="GFV126" s="1"/>
      <c r="GFW126" s="1"/>
      <c r="GFX126" s="1"/>
      <c r="GFY126" s="1"/>
      <c r="GFZ126" s="1"/>
      <c r="GGA126" s="1"/>
      <c r="GGB126" s="1"/>
      <c r="GGC126" s="1"/>
      <c r="GGD126" s="1"/>
      <c r="GGE126" s="1"/>
      <c r="GGF126" s="1"/>
      <c r="GGG126" s="1"/>
      <c r="GGH126" s="1"/>
      <c r="GGI126" s="1"/>
      <c r="GGJ126" s="1"/>
      <c r="GGK126" s="1"/>
      <c r="GGL126" s="1"/>
      <c r="GGM126" s="1"/>
      <c r="GGN126" s="1"/>
      <c r="GGO126" s="1"/>
      <c r="GGP126" s="1"/>
      <c r="GGQ126" s="1"/>
      <c r="GGR126" s="1"/>
      <c r="GGS126" s="1"/>
      <c r="GGT126" s="1"/>
      <c r="GGU126" s="1"/>
      <c r="GGV126" s="1"/>
      <c r="GGW126" s="1"/>
      <c r="GGX126" s="1"/>
      <c r="GGY126" s="1"/>
      <c r="GGZ126" s="1"/>
      <c r="GHA126" s="1"/>
      <c r="GHB126" s="1"/>
      <c r="GHC126" s="1"/>
      <c r="GHD126" s="1"/>
      <c r="GHE126" s="1"/>
      <c r="GHF126" s="1"/>
      <c r="GHG126" s="1"/>
      <c r="GHH126" s="1"/>
      <c r="GHI126" s="1"/>
      <c r="GHJ126" s="1"/>
      <c r="GHK126" s="1"/>
      <c r="GHL126" s="1"/>
      <c r="GHM126" s="1"/>
      <c r="GHN126" s="1"/>
      <c r="GHO126" s="1"/>
      <c r="GHP126" s="1"/>
      <c r="GHQ126" s="1"/>
      <c r="GHR126" s="1"/>
      <c r="GHS126" s="1"/>
      <c r="GHT126" s="1"/>
      <c r="GHU126" s="1"/>
      <c r="GHV126" s="1"/>
      <c r="GHW126" s="1"/>
      <c r="GHX126" s="1"/>
      <c r="GHY126" s="1"/>
      <c r="GHZ126" s="1"/>
      <c r="GIA126" s="1"/>
      <c r="GIB126" s="1"/>
      <c r="GIC126" s="1"/>
      <c r="GID126" s="1"/>
      <c r="GIE126" s="1"/>
      <c r="GIF126" s="1"/>
      <c r="GIG126" s="1"/>
      <c r="GIH126" s="1"/>
      <c r="GII126" s="1"/>
      <c r="GIJ126" s="1"/>
      <c r="GIK126" s="1"/>
      <c r="GIL126" s="1"/>
      <c r="GIM126" s="1"/>
      <c r="GIN126" s="1"/>
      <c r="GIO126" s="1"/>
      <c r="GIP126" s="1"/>
      <c r="GIQ126" s="1"/>
      <c r="GIR126" s="1"/>
      <c r="GIS126" s="1"/>
      <c r="GIT126" s="1"/>
      <c r="GIU126" s="1"/>
      <c r="GIV126" s="1"/>
      <c r="GIW126" s="1"/>
      <c r="GIX126" s="1"/>
      <c r="GIY126" s="1"/>
      <c r="GIZ126" s="1"/>
      <c r="GJA126" s="1"/>
      <c r="GJB126" s="1"/>
      <c r="GJC126" s="1"/>
      <c r="GJD126" s="1"/>
      <c r="GJE126" s="1"/>
      <c r="GJF126" s="1"/>
      <c r="GJG126" s="1"/>
      <c r="GJH126" s="1"/>
      <c r="GJI126" s="1"/>
      <c r="GJJ126" s="1"/>
      <c r="GJK126" s="1"/>
      <c r="GJL126" s="1"/>
      <c r="GJM126" s="1"/>
      <c r="GJN126" s="1"/>
      <c r="GJO126" s="1"/>
      <c r="GJP126" s="1"/>
      <c r="GJQ126" s="1"/>
      <c r="GJR126" s="1"/>
      <c r="GJS126" s="1"/>
      <c r="GJT126" s="1"/>
      <c r="GJU126" s="1"/>
      <c r="GJV126" s="1"/>
      <c r="GJW126" s="1"/>
      <c r="GJX126" s="1"/>
      <c r="GJY126" s="1"/>
      <c r="GJZ126" s="1"/>
      <c r="GKA126" s="1"/>
      <c r="GKB126" s="1"/>
      <c r="GKC126" s="1"/>
      <c r="GKD126" s="1"/>
      <c r="GKE126" s="1"/>
      <c r="GKF126" s="1"/>
      <c r="GKG126" s="1"/>
      <c r="GKH126" s="1"/>
      <c r="GKI126" s="1"/>
      <c r="GKJ126" s="1"/>
      <c r="GKK126" s="1"/>
      <c r="GKL126" s="1"/>
      <c r="GKM126" s="1"/>
      <c r="GKN126" s="1"/>
      <c r="GKO126" s="1"/>
      <c r="GKP126" s="1"/>
      <c r="GKQ126" s="1"/>
      <c r="GKR126" s="1"/>
      <c r="GKS126" s="1"/>
      <c r="GKT126" s="1"/>
      <c r="GKU126" s="1"/>
      <c r="GKV126" s="1"/>
      <c r="GKW126" s="1"/>
      <c r="GKX126" s="1"/>
      <c r="GKY126" s="1"/>
      <c r="GKZ126" s="1"/>
      <c r="GLA126" s="1"/>
      <c r="GLB126" s="1"/>
      <c r="GLC126" s="1"/>
      <c r="GLD126" s="1"/>
      <c r="GLE126" s="1"/>
      <c r="GLF126" s="1"/>
      <c r="GLG126" s="1"/>
      <c r="GLH126" s="1"/>
      <c r="GLI126" s="1"/>
      <c r="GLJ126" s="1"/>
      <c r="GLK126" s="1"/>
      <c r="GLL126" s="1"/>
      <c r="GLM126" s="1"/>
      <c r="GLN126" s="1"/>
      <c r="GLO126" s="1"/>
      <c r="GLP126" s="1"/>
      <c r="GLQ126" s="1"/>
      <c r="GLR126" s="1"/>
      <c r="GLS126" s="1"/>
      <c r="GLT126" s="1"/>
      <c r="GLU126" s="1"/>
      <c r="GLV126" s="1"/>
      <c r="GLW126" s="1"/>
      <c r="GLX126" s="1"/>
      <c r="GLY126" s="1"/>
      <c r="GLZ126" s="1"/>
      <c r="GMA126" s="1"/>
      <c r="GMB126" s="1"/>
      <c r="GMC126" s="1"/>
      <c r="GMD126" s="1"/>
      <c r="GME126" s="1"/>
      <c r="GMF126" s="1"/>
      <c r="GMG126" s="1"/>
      <c r="GMH126" s="1"/>
      <c r="GMI126" s="1"/>
      <c r="GMJ126" s="1"/>
      <c r="GMK126" s="1"/>
      <c r="GML126" s="1"/>
      <c r="GMM126" s="1"/>
      <c r="GMN126" s="1"/>
      <c r="GMO126" s="1"/>
      <c r="GMP126" s="1"/>
      <c r="GMQ126" s="1"/>
      <c r="GMR126" s="1"/>
      <c r="GMS126" s="1"/>
      <c r="GMT126" s="1"/>
      <c r="GMU126" s="1"/>
      <c r="GMV126" s="1"/>
      <c r="GMW126" s="1"/>
      <c r="GMX126" s="1"/>
      <c r="GMY126" s="1"/>
      <c r="GMZ126" s="1"/>
      <c r="GNA126" s="1"/>
      <c r="GNB126" s="1"/>
      <c r="GNC126" s="1"/>
      <c r="GND126" s="1"/>
      <c r="GNE126" s="1"/>
      <c r="GNF126" s="1"/>
      <c r="GNG126" s="1"/>
      <c r="GNH126" s="1"/>
      <c r="GNI126" s="1"/>
      <c r="GNJ126" s="1"/>
      <c r="GNK126" s="1"/>
      <c r="GNL126" s="1"/>
      <c r="GNM126" s="1"/>
      <c r="GNN126" s="1"/>
      <c r="GNO126" s="1"/>
      <c r="GNP126" s="1"/>
      <c r="GNQ126" s="1"/>
      <c r="GNR126" s="1"/>
      <c r="GNS126" s="1"/>
      <c r="GNT126" s="1"/>
      <c r="GNU126" s="1"/>
      <c r="GNV126" s="1"/>
      <c r="GNW126" s="1"/>
      <c r="GNX126" s="1"/>
      <c r="GNY126" s="1"/>
      <c r="GNZ126" s="1"/>
      <c r="GOA126" s="1"/>
      <c r="GOB126" s="1"/>
      <c r="GOC126" s="1"/>
      <c r="GOD126" s="1"/>
      <c r="GOE126" s="1"/>
      <c r="GOF126" s="1"/>
      <c r="GOG126" s="1"/>
      <c r="GOH126" s="1"/>
      <c r="GOI126" s="1"/>
      <c r="GOJ126" s="1"/>
      <c r="GOK126" s="1"/>
      <c r="GOL126" s="1"/>
      <c r="GOM126" s="1"/>
      <c r="GON126" s="1"/>
      <c r="GOO126" s="1"/>
      <c r="GOP126" s="1"/>
      <c r="GOQ126" s="1"/>
      <c r="GOR126" s="1"/>
      <c r="GOS126" s="1"/>
      <c r="GOT126" s="1"/>
      <c r="GOU126" s="1"/>
      <c r="GOV126" s="1"/>
      <c r="GOW126" s="1"/>
      <c r="GOX126" s="1"/>
      <c r="GOY126" s="1"/>
      <c r="GOZ126" s="1"/>
      <c r="GPA126" s="1"/>
      <c r="GPB126" s="1"/>
      <c r="GPC126" s="1"/>
      <c r="GPD126" s="1"/>
      <c r="GPE126" s="1"/>
      <c r="GPF126" s="1"/>
      <c r="GPG126" s="1"/>
      <c r="GPH126" s="1"/>
      <c r="GPI126" s="1"/>
      <c r="GPJ126" s="1"/>
      <c r="GPK126" s="1"/>
      <c r="GPL126" s="1"/>
      <c r="GPM126" s="1"/>
      <c r="GPN126" s="1"/>
      <c r="GPO126" s="1"/>
      <c r="GPP126" s="1"/>
      <c r="GPQ126" s="1"/>
      <c r="GPR126" s="1"/>
      <c r="GPS126" s="1"/>
      <c r="GPT126" s="1"/>
      <c r="GPU126" s="1"/>
      <c r="GPV126" s="1"/>
      <c r="GPW126" s="1"/>
      <c r="GPX126" s="1"/>
      <c r="GPY126" s="1"/>
      <c r="GPZ126" s="1"/>
      <c r="GQA126" s="1"/>
      <c r="GQB126" s="1"/>
      <c r="GQC126" s="1"/>
      <c r="GQD126" s="1"/>
      <c r="GQE126" s="1"/>
      <c r="GQF126" s="1"/>
      <c r="GQG126" s="1"/>
      <c r="GQH126" s="1"/>
      <c r="GQI126" s="1"/>
      <c r="GQJ126" s="1"/>
      <c r="GQK126" s="1"/>
      <c r="GQL126" s="1"/>
      <c r="GQM126" s="1"/>
      <c r="GQN126" s="1"/>
      <c r="GQO126" s="1"/>
      <c r="GQP126" s="1"/>
      <c r="GQQ126" s="1"/>
      <c r="GQR126" s="1"/>
      <c r="GQS126" s="1"/>
      <c r="GQT126" s="1"/>
      <c r="GQU126" s="1"/>
      <c r="GQV126" s="1"/>
      <c r="GQW126" s="1"/>
      <c r="GQX126" s="1"/>
      <c r="GQY126" s="1"/>
      <c r="GQZ126" s="1"/>
      <c r="GRA126" s="1"/>
      <c r="GRB126" s="1"/>
      <c r="GRC126" s="1"/>
      <c r="GRD126" s="1"/>
      <c r="GRE126" s="1"/>
      <c r="GRF126" s="1"/>
      <c r="GRG126" s="1"/>
      <c r="GRH126" s="1"/>
      <c r="GRI126" s="1"/>
      <c r="GRJ126" s="1"/>
      <c r="GRK126" s="1"/>
      <c r="GRL126" s="1"/>
      <c r="GRM126" s="1"/>
      <c r="GRN126" s="1"/>
      <c r="GRO126" s="1"/>
      <c r="GRP126" s="1"/>
      <c r="GRQ126" s="1"/>
      <c r="GRR126" s="1"/>
      <c r="GRS126" s="1"/>
      <c r="GRT126" s="1"/>
      <c r="GRU126" s="1"/>
      <c r="GRV126" s="1"/>
      <c r="GRW126" s="1"/>
      <c r="GRX126" s="1"/>
      <c r="GRY126" s="1"/>
      <c r="GRZ126" s="1"/>
      <c r="GSA126" s="1"/>
      <c r="GSB126" s="1"/>
      <c r="GSC126" s="1"/>
      <c r="GSD126" s="1"/>
      <c r="GSE126" s="1"/>
      <c r="GSF126" s="1"/>
      <c r="GSG126" s="1"/>
      <c r="GSH126" s="1"/>
      <c r="GSI126" s="1"/>
      <c r="GSJ126" s="1"/>
      <c r="GSK126" s="1"/>
      <c r="GSL126" s="1"/>
      <c r="GSM126" s="1"/>
      <c r="GSN126" s="1"/>
      <c r="GSO126" s="1"/>
      <c r="GSP126" s="1"/>
      <c r="GSQ126" s="1"/>
      <c r="GSR126" s="1"/>
      <c r="GSS126" s="1"/>
      <c r="GST126" s="1"/>
      <c r="GSU126" s="1"/>
      <c r="GSV126" s="1"/>
      <c r="GSW126" s="1"/>
      <c r="GSX126" s="1"/>
      <c r="GSY126" s="1"/>
      <c r="GSZ126" s="1"/>
      <c r="GTA126" s="1"/>
      <c r="GTB126" s="1"/>
      <c r="GTC126" s="1"/>
      <c r="GTD126" s="1"/>
      <c r="GTE126" s="1"/>
      <c r="GTF126" s="1"/>
      <c r="GTG126" s="1"/>
      <c r="GTH126" s="1"/>
      <c r="GTI126" s="1"/>
      <c r="GTJ126" s="1"/>
      <c r="GTK126" s="1"/>
      <c r="GTL126" s="1"/>
      <c r="GTM126" s="1"/>
      <c r="GTN126" s="1"/>
      <c r="GTO126" s="1"/>
      <c r="GTP126" s="1"/>
      <c r="GTQ126" s="1"/>
      <c r="GTR126" s="1"/>
      <c r="GTS126" s="1"/>
      <c r="GTT126" s="1"/>
      <c r="GTU126" s="1"/>
      <c r="GTV126" s="1"/>
      <c r="GTW126" s="1"/>
      <c r="GTX126" s="1"/>
      <c r="GTY126" s="1"/>
      <c r="GTZ126" s="1"/>
      <c r="GUA126" s="1"/>
      <c r="GUB126" s="1"/>
      <c r="GUC126" s="1"/>
      <c r="GUD126" s="1"/>
      <c r="GUE126" s="1"/>
      <c r="GUF126" s="1"/>
      <c r="GUG126" s="1"/>
      <c r="GUH126" s="1"/>
      <c r="GUI126" s="1"/>
      <c r="GUJ126" s="1"/>
      <c r="GUK126" s="1"/>
      <c r="GUL126" s="1"/>
      <c r="GUM126" s="1"/>
      <c r="GUN126" s="1"/>
      <c r="GUO126" s="1"/>
      <c r="GUP126" s="1"/>
      <c r="GUQ126" s="1"/>
      <c r="GUR126" s="1"/>
      <c r="GUS126" s="1"/>
      <c r="GUT126" s="1"/>
      <c r="GUU126" s="1"/>
      <c r="GUV126" s="1"/>
      <c r="GUW126" s="1"/>
      <c r="GUX126" s="1"/>
      <c r="GUY126" s="1"/>
      <c r="GUZ126" s="1"/>
      <c r="GVA126" s="1"/>
      <c r="GVB126" s="1"/>
      <c r="GVC126" s="1"/>
      <c r="GVD126" s="1"/>
      <c r="GVE126" s="1"/>
      <c r="GVF126" s="1"/>
      <c r="GVG126" s="1"/>
      <c r="GVH126" s="1"/>
      <c r="GVI126" s="1"/>
      <c r="GVJ126" s="1"/>
      <c r="GVK126" s="1"/>
      <c r="GVL126" s="1"/>
      <c r="GVM126" s="1"/>
      <c r="GVN126" s="1"/>
      <c r="GVO126" s="1"/>
      <c r="GVP126" s="1"/>
      <c r="GVQ126" s="1"/>
      <c r="GVR126" s="1"/>
      <c r="GVS126" s="1"/>
      <c r="GVT126" s="1"/>
      <c r="GVU126" s="1"/>
      <c r="GVV126" s="1"/>
      <c r="GVW126" s="1"/>
      <c r="GVX126" s="1"/>
      <c r="GVY126" s="1"/>
      <c r="GVZ126" s="1"/>
      <c r="GWA126" s="1"/>
      <c r="GWB126" s="1"/>
      <c r="GWC126" s="1"/>
      <c r="GWD126" s="1"/>
      <c r="GWE126" s="1"/>
      <c r="GWF126" s="1"/>
      <c r="GWG126" s="1"/>
      <c r="GWH126" s="1"/>
      <c r="GWI126" s="1"/>
      <c r="GWJ126" s="1"/>
      <c r="GWK126" s="1"/>
      <c r="GWL126" s="1"/>
      <c r="GWM126" s="1"/>
      <c r="GWN126" s="1"/>
      <c r="GWO126" s="1"/>
      <c r="GWP126" s="1"/>
      <c r="GWQ126" s="1"/>
      <c r="GWR126" s="1"/>
      <c r="GWS126" s="1"/>
      <c r="GWT126" s="1"/>
      <c r="GWU126" s="1"/>
      <c r="GWV126" s="1"/>
      <c r="GWW126" s="1"/>
      <c r="GWX126" s="1"/>
      <c r="GWY126" s="1"/>
      <c r="GWZ126" s="1"/>
      <c r="GXA126" s="1"/>
      <c r="GXB126" s="1"/>
      <c r="GXC126" s="1"/>
      <c r="GXD126" s="1"/>
      <c r="GXE126" s="1"/>
      <c r="GXF126" s="1"/>
      <c r="GXG126" s="1"/>
      <c r="GXH126" s="1"/>
      <c r="GXI126" s="1"/>
      <c r="GXJ126" s="1"/>
      <c r="GXK126" s="1"/>
      <c r="GXL126" s="1"/>
      <c r="GXM126" s="1"/>
      <c r="GXN126" s="1"/>
      <c r="GXO126" s="1"/>
      <c r="GXP126" s="1"/>
      <c r="GXQ126" s="1"/>
      <c r="GXR126" s="1"/>
      <c r="GXS126" s="1"/>
      <c r="GXT126" s="1"/>
      <c r="GXU126" s="1"/>
      <c r="GXV126" s="1"/>
      <c r="GXW126" s="1"/>
      <c r="GXX126" s="1"/>
      <c r="GXY126" s="1"/>
      <c r="GXZ126" s="1"/>
      <c r="GYA126" s="1"/>
      <c r="GYB126" s="1"/>
      <c r="GYC126" s="1"/>
      <c r="GYD126" s="1"/>
      <c r="GYE126" s="1"/>
      <c r="GYF126" s="1"/>
      <c r="GYG126" s="1"/>
      <c r="GYH126" s="1"/>
      <c r="GYI126" s="1"/>
      <c r="GYJ126" s="1"/>
      <c r="GYK126" s="1"/>
      <c r="GYL126" s="1"/>
      <c r="GYM126" s="1"/>
      <c r="GYN126" s="1"/>
      <c r="GYO126" s="1"/>
      <c r="GYP126" s="1"/>
      <c r="GYQ126" s="1"/>
      <c r="GYR126" s="1"/>
      <c r="GYS126" s="1"/>
      <c r="GYT126" s="1"/>
      <c r="GYU126" s="1"/>
      <c r="GYV126" s="1"/>
      <c r="GYW126" s="1"/>
      <c r="GYX126" s="1"/>
      <c r="GYY126" s="1"/>
      <c r="GYZ126" s="1"/>
      <c r="GZA126" s="1"/>
      <c r="GZB126" s="1"/>
      <c r="GZC126" s="1"/>
      <c r="GZD126" s="1"/>
      <c r="GZE126" s="1"/>
      <c r="GZF126" s="1"/>
      <c r="GZG126" s="1"/>
      <c r="GZH126" s="1"/>
      <c r="GZI126" s="1"/>
      <c r="GZJ126" s="1"/>
      <c r="GZK126" s="1"/>
      <c r="GZL126" s="1"/>
      <c r="GZM126" s="1"/>
      <c r="GZN126" s="1"/>
      <c r="GZO126" s="1"/>
      <c r="GZP126" s="1"/>
      <c r="GZQ126" s="1"/>
      <c r="GZR126" s="1"/>
      <c r="GZS126" s="1"/>
      <c r="GZT126" s="1"/>
      <c r="GZU126" s="1"/>
      <c r="GZV126" s="1"/>
      <c r="GZW126" s="1"/>
      <c r="GZX126" s="1"/>
      <c r="GZY126" s="1"/>
      <c r="GZZ126" s="1"/>
      <c r="HAA126" s="1"/>
      <c r="HAB126" s="1"/>
      <c r="HAC126" s="1"/>
      <c r="HAD126" s="1"/>
      <c r="HAE126" s="1"/>
      <c r="HAF126" s="1"/>
      <c r="HAG126" s="1"/>
      <c r="HAH126" s="1"/>
      <c r="HAI126" s="1"/>
      <c r="HAJ126" s="1"/>
      <c r="HAK126" s="1"/>
      <c r="HAL126" s="1"/>
      <c r="HAM126" s="1"/>
      <c r="HAN126" s="1"/>
      <c r="HAO126" s="1"/>
      <c r="HAP126" s="1"/>
      <c r="HAQ126" s="1"/>
      <c r="HAR126" s="1"/>
      <c r="HAS126" s="1"/>
      <c r="HAT126" s="1"/>
      <c r="HAU126" s="1"/>
      <c r="HAV126" s="1"/>
      <c r="HAW126" s="1"/>
      <c r="HAX126" s="1"/>
      <c r="HAY126" s="1"/>
      <c r="HAZ126" s="1"/>
      <c r="HBA126" s="1"/>
      <c r="HBB126" s="1"/>
      <c r="HBC126" s="1"/>
      <c r="HBD126" s="1"/>
      <c r="HBE126" s="1"/>
      <c r="HBF126" s="1"/>
      <c r="HBG126" s="1"/>
      <c r="HBH126" s="1"/>
      <c r="HBI126" s="1"/>
      <c r="HBJ126" s="1"/>
      <c r="HBK126" s="1"/>
      <c r="HBL126" s="1"/>
      <c r="HBM126" s="1"/>
      <c r="HBN126" s="1"/>
      <c r="HBO126" s="1"/>
      <c r="HBP126" s="1"/>
      <c r="HBQ126" s="1"/>
      <c r="HBR126" s="1"/>
      <c r="HBS126" s="1"/>
      <c r="HBT126" s="1"/>
      <c r="HBU126" s="1"/>
      <c r="HBV126" s="1"/>
      <c r="HBW126" s="1"/>
      <c r="HBX126" s="1"/>
      <c r="HBY126" s="1"/>
      <c r="HBZ126" s="1"/>
      <c r="HCA126" s="1"/>
      <c r="HCB126" s="1"/>
      <c r="HCC126" s="1"/>
      <c r="HCD126" s="1"/>
      <c r="HCE126" s="1"/>
      <c r="HCF126" s="1"/>
      <c r="HCG126" s="1"/>
      <c r="HCH126" s="1"/>
      <c r="HCI126" s="1"/>
      <c r="HCJ126" s="1"/>
      <c r="HCK126" s="1"/>
      <c r="HCL126" s="1"/>
      <c r="HCM126" s="1"/>
      <c r="HCN126" s="1"/>
      <c r="HCO126" s="1"/>
      <c r="HCP126" s="1"/>
      <c r="HCQ126" s="1"/>
      <c r="HCR126" s="1"/>
      <c r="HCS126" s="1"/>
      <c r="HCT126" s="1"/>
      <c r="HCU126" s="1"/>
      <c r="HCV126" s="1"/>
      <c r="HCW126" s="1"/>
      <c r="HCX126" s="1"/>
      <c r="HCY126" s="1"/>
      <c r="HCZ126" s="1"/>
      <c r="HDA126" s="1"/>
      <c r="HDB126" s="1"/>
      <c r="HDC126" s="1"/>
      <c r="HDD126" s="1"/>
      <c r="HDE126" s="1"/>
      <c r="HDF126" s="1"/>
      <c r="HDG126" s="1"/>
      <c r="HDH126" s="1"/>
      <c r="HDI126" s="1"/>
      <c r="HDJ126" s="1"/>
      <c r="HDK126" s="1"/>
      <c r="HDL126" s="1"/>
      <c r="HDM126" s="1"/>
      <c r="HDN126" s="1"/>
      <c r="HDO126" s="1"/>
      <c r="HDP126" s="1"/>
      <c r="HDQ126" s="1"/>
      <c r="HDR126" s="1"/>
      <c r="HDS126" s="1"/>
      <c r="HDT126" s="1"/>
      <c r="HDU126" s="1"/>
      <c r="HDV126" s="1"/>
      <c r="HDW126" s="1"/>
      <c r="HDX126" s="1"/>
      <c r="HDY126" s="1"/>
      <c r="HDZ126" s="1"/>
      <c r="HEA126" s="1"/>
      <c r="HEB126" s="1"/>
      <c r="HEC126" s="1"/>
      <c r="HED126" s="1"/>
      <c r="HEE126" s="1"/>
      <c r="HEF126" s="1"/>
      <c r="HEG126" s="1"/>
      <c r="HEH126" s="1"/>
      <c r="HEI126" s="1"/>
      <c r="HEJ126" s="1"/>
      <c r="HEK126" s="1"/>
      <c r="HEL126" s="1"/>
      <c r="HEM126" s="1"/>
      <c r="HEN126" s="1"/>
      <c r="HEO126" s="1"/>
      <c r="HEP126" s="1"/>
      <c r="HEQ126" s="1"/>
      <c r="HER126" s="1"/>
      <c r="HES126" s="1"/>
      <c r="HET126" s="1"/>
      <c r="HEU126" s="1"/>
      <c r="HEV126" s="1"/>
      <c r="HEW126" s="1"/>
      <c r="HEX126" s="1"/>
      <c r="HEY126" s="1"/>
      <c r="HEZ126" s="1"/>
      <c r="HFA126" s="1"/>
      <c r="HFB126" s="1"/>
      <c r="HFC126" s="1"/>
      <c r="HFD126" s="1"/>
      <c r="HFE126" s="1"/>
      <c r="HFF126" s="1"/>
      <c r="HFG126" s="1"/>
      <c r="HFH126" s="1"/>
      <c r="HFI126" s="1"/>
      <c r="HFJ126" s="1"/>
      <c r="HFK126" s="1"/>
      <c r="HFL126" s="1"/>
      <c r="HFM126" s="1"/>
      <c r="HFN126" s="1"/>
      <c r="HFO126" s="1"/>
      <c r="HFP126" s="1"/>
      <c r="HFQ126" s="1"/>
      <c r="HFR126" s="1"/>
      <c r="HFS126" s="1"/>
      <c r="HFT126" s="1"/>
      <c r="HFU126" s="1"/>
      <c r="HFV126" s="1"/>
      <c r="HFW126" s="1"/>
      <c r="HFX126" s="1"/>
      <c r="HFY126" s="1"/>
      <c r="HFZ126" s="1"/>
      <c r="HGA126" s="1"/>
      <c r="HGB126" s="1"/>
      <c r="HGC126" s="1"/>
      <c r="HGD126" s="1"/>
      <c r="HGE126" s="1"/>
      <c r="HGF126" s="1"/>
      <c r="HGG126" s="1"/>
      <c r="HGH126" s="1"/>
      <c r="HGI126" s="1"/>
      <c r="HGJ126" s="1"/>
      <c r="HGK126" s="1"/>
      <c r="HGL126" s="1"/>
      <c r="HGM126" s="1"/>
      <c r="HGN126" s="1"/>
      <c r="HGO126" s="1"/>
      <c r="HGP126" s="1"/>
      <c r="HGQ126" s="1"/>
      <c r="HGR126" s="1"/>
      <c r="HGS126" s="1"/>
      <c r="HGT126" s="1"/>
      <c r="HGU126" s="1"/>
      <c r="HGV126" s="1"/>
      <c r="HGW126" s="1"/>
      <c r="HGX126" s="1"/>
      <c r="HGY126" s="1"/>
      <c r="HGZ126" s="1"/>
      <c r="HHA126" s="1"/>
      <c r="HHB126" s="1"/>
      <c r="HHC126" s="1"/>
      <c r="HHD126" s="1"/>
      <c r="HHE126" s="1"/>
      <c r="HHF126" s="1"/>
      <c r="HHG126" s="1"/>
      <c r="HHH126" s="1"/>
      <c r="HHI126" s="1"/>
      <c r="HHJ126" s="1"/>
      <c r="HHK126" s="1"/>
      <c r="HHL126" s="1"/>
      <c r="HHM126" s="1"/>
      <c r="HHN126" s="1"/>
      <c r="HHO126" s="1"/>
      <c r="HHP126" s="1"/>
      <c r="HHQ126" s="1"/>
      <c r="HHR126" s="1"/>
      <c r="HHS126" s="1"/>
      <c r="HHT126" s="1"/>
      <c r="HHU126" s="1"/>
      <c r="HHV126" s="1"/>
      <c r="HHW126" s="1"/>
      <c r="HHX126" s="1"/>
      <c r="HHY126" s="1"/>
      <c r="HHZ126" s="1"/>
      <c r="HIA126" s="1"/>
      <c r="HIB126" s="1"/>
      <c r="HIC126" s="1"/>
      <c r="HID126" s="1"/>
      <c r="HIE126" s="1"/>
      <c r="HIF126" s="1"/>
      <c r="HIG126" s="1"/>
      <c r="HIH126" s="1"/>
      <c r="HII126" s="1"/>
      <c r="HIJ126" s="1"/>
      <c r="HIK126" s="1"/>
      <c r="HIL126" s="1"/>
      <c r="HIM126" s="1"/>
      <c r="HIN126" s="1"/>
      <c r="HIO126" s="1"/>
      <c r="HIP126" s="1"/>
      <c r="HIQ126" s="1"/>
      <c r="HIR126" s="1"/>
      <c r="HIS126" s="1"/>
      <c r="HIT126" s="1"/>
      <c r="HIU126" s="1"/>
      <c r="HIV126" s="1"/>
      <c r="HIW126" s="1"/>
      <c r="HIX126" s="1"/>
      <c r="HIY126" s="1"/>
      <c r="HIZ126" s="1"/>
      <c r="HJA126" s="1"/>
      <c r="HJB126" s="1"/>
      <c r="HJC126" s="1"/>
      <c r="HJD126" s="1"/>
      <c r="HJE126" s="1"/>
      <c r="HJF126" s="1"/>
      <c r="HJG126" s="1"/>
      <c r="HJH126" s="1"/>
      <c r="HJI126" s="1"/>
      <c r="HJJ126" s="1"/>
      <c r="HJK126" s="1"/>
      <c r="HJL126" s="1"/>
      <c r="HJM126" s="1"/>
      <c r="HJN126" s="1"/>
      <c r="HJO126" s="1"/>
      <c r="HJP126" s="1"/>
      <c r="HJQ126" s="1"/>
      <c r="HJR126" s="1"/>
      <c r="HJS126" s="1"/>
      <c r="HJT126" s="1"/>
      <c r="HJU126" s="1"/>
      <c r="HJV126" s="1"/>
      <c r="HJW126" s="1"/>
      <c r="HJX126" s="1"/>
      <c r="HJY126" s="1"/>
      <c r="HJZ126" s="1"/>
      <c r="HKA126" s="1"/>
      <c r="HKB126" s="1"/>
      <c r="HKC126" s="1"/>
      <c r="HKD126" s="1"/>
      <c r="HKE126" s="1"/>
      <c r="HKF126" s="1"/>
      <c r="HKG126" s="1"/>
      <c r="HKH126" s="1"/>
      <c r="HKI126" s="1"/>
      <c r="HKJ126" s="1"/>
      <c r="HKK126" s="1"/>
      <c r="HKL126" s="1"/>
      <c r="HKM126" s="1"/>
      <c r="HKN126" s="1"/>
      <c r="HKO126" s="1"/>
      <c r="HKP126" s="1"/>
      <c r="HKQ126" s="1"/>
      <c r="HKR126" s="1"/>
      <c r="HKS126" s="1"/>
      <c r="HKT126" s="1"/>
      <c r="HKU126" s="1"/>
      <c r="HKV126" s="1"/>
      <c r="HKW126" s="1"/>
      <c r="HKX126" s="1"/>
      <c r="HKY126" s="1"/>
      <c r="HKZ126" s="1"/>
      <c r="HLA126" s="1"/>
      <c r="HLB126" s="1"/>
      <c r="HLC126" s="1"/>
      <c r="HLD126" s="1"/>
      <c r="HLE126" s="1"/>
      <c r="HLF126" s="1"/>
      <c r="HLG126" s="1"/>
      <c r="HLH126" s="1"/>
      <c r="HLI126" s="1"/>
      <c r="HLJ126" s="1"/>
      <c r="HLK126" s="1"/>
      <c r="HLL126" s="1"/>
      <c r="HLM126" s="1"/>
      <c r="HLN126" s="1"/>
      <c r="HLO126" s="1"/>
      <c r="HLP126" s="1"/>
      <c r="HLQ126" s="1"/>
      <c r="HLR126" s="1"/>
      <c r="HLS126" s="1"/>
      <c r="HLT126" s="1"/>
      <c r="HLU126" s="1"/>
      <c r="HLV126" s="1"/>
      <c r="HLW126" s="1"/>
      <c r="HLX126" s="1"/>
      <c r="HLY126" s="1"/>
      <c r="HLZ126" s="1"/>
      <c r="HMA126" s="1"/>
      <c r="HMB126" s="1"/>
      <c r="HMC126" s="1"/>
      <c r="HMD126" s="1"/>
      <c r="HME126" s="1"/>
      <c r="HMF126" s="1"/>
      <c r="HMG126" s="1"/>
      <c r="HMH126" s="1"/>
      <c r="HMI126" s="1"/>
      <c r="HMJ126" s="1"/>
      <c r="HMK126" s="1"/>
      <c r="HML126" s="1"/>
      <c r="HMM126" s="1"/>
      <c r="HMN126" s="1"/>
      <c r="HMO126" s="1"/>
      <c r="HMP126" s="1"/>
      <c r="HMQ126" s="1"/>
      <c r="HMR126" s="1"/>
      <c r="HMS126" s="1"/>
      <c r="HMT126" s="1"/>
      <c r="HMU126" s="1"/>
      <c r="HMV126" s="1"/>
      <c r="HMW126" s="1"/>
      <c r="HMX126" s="1"/>
      <c r="HMY126" s="1"/>
      <c r="HMZ126" s="1"/>
      <c r="HNA126" s="1"/>
      <c r="HNB126" s="1"/>
      <c r="HNC126" s="1"/>
      <c r="HND126" s="1"/>
      <c r="HNE126" s="1"/>
      <c r="HNF126" s="1"/>
      <c r="HNG126" s="1"/>
      <c r="HNH126" s="1"/>
      <c r="HNI126" s="1"/>
      <c r="HNJ126" s="1"/>
      <c r="HNK126" s="1"/>
      <c r="HNL126" s="1"/>
      <c r="HNM126" s="1"/>
      <c r="HNN126" s="1"/>
      <c r="HNO126" s="1"/>
      <c r="HNP126" s="1"/>
      <c r="HNQ126" s="1"/>
      <c r="HNR126" s="1"/>
      <c r="HNS126" s="1"/>
      <c r="HNT126" s="1"/>
      <c r="HNU126" s="1"/>
      <c r="HNV126" s="1"/>
      <c r="HNW126" s="1"/>
      <c r="HNX126" s="1"/>
      <c r="HNY126" s="1"/>
      <c r="HNZ126" s="1"/>
      <c r="HOA126" s="1"/>
      <c r="HOB126" s="1"/>
      <c r="HOC126" s="1"/>
      <c r="HOD126" s="1"/>
      <c r="HOE126" s="1"/>
      <c r="HOF126" s="1"/>
      <c r="HOG126" s="1"/>
      <c r="HOH126" s="1"/>
      <c r="HOI126" s="1"/>
      <c r="HOJ126" s="1"/>
      <c r="HOK126" s="1"/>
      <c r="HOL126" s="1"/>
      <c r="HOM126" s="1"/>
      <c r="HON126" s="1"/>
      <c r="HOO126" s="1"/>
      <c r="HOP126" s="1"/>
      <c r="HOQ126" s="1"/>
      <c r="HOR126" s="1"/>
      <c r="HOS126" s="1"/>
      <c r="HOT126" s="1"/>
      <c r="HOU126" s="1"/>
      <c r="HOV126" s="1"/>
      <c r="HOW126" s="1"/>
      <c r="HOX126" s="1"/>
      <c r="HOY126" s="1"/>
      <c r="HOZ126" s="1"/>
      <c r="HPA126" s="1"/>
      <c r="HPB126" s="1"/>
      <c r="HPC126" s="1"/>
      <c r="HPD126" s="1"/>
      <c r="HPE126" s="1"/>
      <c r="HPF126" s="1"/>
      <c r="HPG126" s="1"/>
      <c r="HPH126" s="1"/>
      <c r="HPI126" s="1"/>
      <c r="HPJ126" s="1"/>
      <c r="HPK126" s="1"/>
      <c r="HPL126" s="1"/>
      <c r="HPM126" s="1"/>
      <c r="HPN126" s="1"/>
      <c r="HPO126" s="1"/>
      <c r="HPP126" s="1"/>
      <c r="HPQ126" s="1"/>
      <c r="HPR126" s="1"/>
      <c r="HPS126" s="1"/>
      <c r="HPT126" s="1"/>
      <c r="HPU126" s="1"/>
      <c r="HPV126" s="1"/>
      <c r="HPW126" s="1"/>
      <c r="HPX126" s="1"/>
      <c r="HPY126" s="1"/>
      <c r="HPZ126" s="1"/>
      <c r="HQA126" s="1"/>
      <c r="HQB126" s="1"/>
      <c r="HQC126" s="1"/>
      <c r="HQD126" s="1"/>
      <c r="HQE126" s="1"/>
      <c r="HQF126" s="1"/>
      <c r="HQG126" s="1"/>
      <c r="HQH126" s="1"/>
      <c r="HQI126" s="1"/>
      <c r="HQJ126" s="1"/>
      <c r="HQK126" s="1"/>
      <c r="HQL126" s="1"/>
      <c r="HQM126" s="1"/>
      <c r="HQN126" s="1"/>
      <c r="HQO126" s="1"/>
      <c r="HQP126" s="1"/>
      <c r="HQQ126" s="1"/>
      <c r="HQR126" s="1"/>
      <c r="HQS126" s="1"/>
      <c r="HQT126" s="1"/>
      <c r="HQU126" s="1"/>
      <c r="HQV126" s="1"/>
      <c r="HQW126" s="1"/>
      <c r="HQX126" s="1"/>
      <c r="HQY126" s="1"/>
      <c r="HQZ126" s="1"/>
      <c r="HRA126" s="1"/>
      <c r="HRB126" s="1"/>
      <c r="HRC126" s="1"/>
      <c r="HRD126" s="1"/>
      <c r="HRE126" s="1"/>
      <c r="HRF126" s="1"/>
      <c r="HRG126" s="1"/>
      <c r="HRH126" s="1"/>
      <c r="HRI126" s="1"/>
      <c r="HRJ126" s="1"/>
      <c r="HRK126" s="1"/>
      <c r="HRL126" s="1"/>
      <c r="HRM126" s="1"/>
      <c r="HRN126" s="1"/>
      <c r="HRO126" s="1"/>
      <c r="HRP126" s="1"/>
      <c r="HRQ126" s="1"/>
      <c r="HRR126" s="1"/>
      <c r="HRS126" s="1"/>
      <c r="HRT126" s="1"/>
      <c r="HRU126" s="1"/>
      <c r="HRV126" s="1"/>
      <c r="HRW126" s="1"/>
      <c r="HRX126" s="1"/>
      <c r="HRY126" s="1"/>
      <c r="HRZ126" s="1"/>
      <c r="HSA126" s="1"/>
      <c r="HSB126" s="1"/>
      <c r="HSC126" s="1"/>
      <c r="HSD126" s="1"/>
      <c r="HSE126" s="1"/>
      <c r="HSF126" s="1"/>
      <c r="HSG126" s="1"/>
      <c r="HSH126" s="1"/>
      <c r="HSI126" s="1"/>
      <c r="HSJ126" s="1"/>
      <c r="HSK126" s="1"/>
      <c r="HSL126" s="1"/>
      <c r="HSM126" s="1"/>
      <c r="HSN126" s="1"/>
      <c r="HSO126" s="1"/>
      <c r="HSP126" s="1"/>
      <c r="HSQ126" s="1"/>
      <c r="HSR126" s="1"/>
      <c r="HSS126" s="1"/>
      <c r="HST126" s="1"/>
      <c r="HSU126" s="1"/>
      <c r="HSV126" s="1"/>
      <c r="HSW126" s="1"/>
      <c r="HSX126" s="1"/>
      <c r="HSY126" s="1"/>
      <c r="HSZ126" s="1"/>
      <c r="HTA126" s="1"/>
      <c r="HTB126" s="1"/>
      <c r="HTC126" s="1"/>
      <c r="HTD126" s="1"/>
      <c r="HTE126" s="1"/>
      <c r="HTF126" s="1"/>
      <c r="HTG126" s="1"/>
      <c r="HTH126" s="1"/>
      <c r="HTI126" s="1"/>
      <c r="HTJ126" s="1"/>
      <c r="HTK126" s="1"/>
      <c r="HTL126" s="1"/>
      <c r="HTM126" s="1"/>
      <c r="HTN126" s="1"/>
      <c r="HTO126" s="1"/>
      <c r="HTP126" s="1"/>
      <c r="HTQ126" s="1"/>
      <c r="HTR126" s="1"/>
      <c r="HTS126" s="1"/>
      <c r="HTT126" s="1"/>
      <c r="HTU126" s="1"/>
      <c r="HTV126" s="1"/>
      <c r="HTW126" s="1"/>
      <c r="HTX126" s="1"/>
      <c r="HTY126" s="1"/>
      <c r="HTZ126" s="1"/>
      <c r="HUA126" s="1"/>
      <c r="HUB126" s="1"/>
      <c r="HUC126" s="1"/>
      <c r="HUD126" s="1"/>
      <c r="HUE126" s="1"/>
      <c r="HUF126" s="1"/>
      <c r="HUG126" s="1"/>
      <c r="HUH126" s="1"/>
      <c r="HUI126" s="1"/>
      <c r="HUJ126" s="1"/>
      <c r="HUK126" s="1"/>
      <c r="HUL126" s="1"/>
      <c r="HUM126" s="1"/>
      <c r="HUN126" s="1"/>
      <c r="HUO126" s="1"/>
      <c r="HUP126" s="1"/>
      <c r="HUQ126" s="1"/>
      <c r="HUR126" s="1"/>
      <c r="HUS126" s="1"/>
      <c r="HUT126" s="1"/>
      <c r="HUU126" s="1"/>
      <c r="HUV126" s="1"/>
      <c r="HUW126" s="1"/>
      <c r="HUX126" s="1"/>
      <c r="HUY126" s="1"/>
      <c r="HUZ126" s="1"/>
      <c r="HVA126" s="1"/>
      <c r="HVB126" s="1"/>
      <c r="HVC126" s="1"/>
      <c r="HVD126" s="1"/>
      <c r="HVE126" s="1"/>
      <c r="HVF126" s="1"/>
      <c r="HVG126" s="1"/>
      <c r="HVH126" s="1"/>
      <c r="HVI126" s="1"/>
      <c r="HVJ126" s="1"/>
      <c r="HVK126" s="1"/>
      <c r="HVL126" s="1"/>
      <c r="HVM126" s="1"/>
      <c r="HVN126" s="1"/>
      <c r="HVO126" s="1"/>
      <c r="HVP126" s="1"/>
      <c r="HVQ126" s="1"/>
      <c r="HVR126" s="1"/>
      <c r="HVS126" s="1"/>
      <c r="HVT126" s="1"/>
      <c r="HVU126" s="1"/>
      <c r="HVV126" s="1"/>
      <c r="HVW126" s="1"/>
      <c r="HVX126" s="1"/>
      <c r="HVY126" s="1"/>
      <c r="HVZ126" s="1"/>
      <c r="HWA126" s="1"/>
      <c r="HWB126" s="1"/>
      <c r="HWC126" s="1"/>
      <c r="HWD126" s="1"/>
      <c r="HWE126" s="1"/>
      <c r="HWF126" s="1"/>
      <c r="HWG126" s="1"/>
      <c r="HWH126" s="1"/>
      <c r="HWI126" s="1"/>
      <c r="HWJ126" s="1"/>
      <c r="HWK126" s="1"/>
      <c r="HWL126" s="1"/>
      <c r="HWM126" s="1"/>
      <c r="HWN126" s="1"/>
      <c r="HWO126" s="1"/>
      <c r="HWP126" s="1"/>
      <c r="HWQ126" s="1"/>
      <c r="HWR126" s="1"/>
      <c r="HWS126" s="1"/>
      <c r="HWT126" s="1"/>
      <c r="HWU126" s="1"/>
      <c r="HWV126" s="1"/>
      <c r="HWW126" s="1"/>
      <c r="HWX126" s="1"/>
      <c r="HWY126" s="1"/>
      <c r="HWZ126" s="1"/>
      <c r="HXA126" s="1"/>
      <c r="HXB126" s="1"/>
      <c r="HXC126" s="1"/>
      <c r="HXD126" s="1"/>
      <c r="HXE126" s="1"/>
      <c r="HXF126" s="1"/>
      <c r="HXG126" s="1"/>
      <c r="HXH126" s="1"/>
      <c r="HXI126" s="1"/>
      <c r="HXJ126" s="1"/>
      <c r="HXK126" s="1"/>
      <c r="HXL126" s="1"/>
      <c r="HXM126" s="1"/>
      <c r="HXN126" s="1"/>
      <c r="HXO126" s="1"/>
      <c r="HXP126" s="1"/>
      <c r="HXQ126" s="1"/>
      <c r="HXR126" s="1"/>
      <c r="HXS126" s="1"/>
      <c r="HXT126" s="1"/>
      <c r="HXU126" s="1"/>
      <c r="HXV126" s="1"/>
      <c r="HXW126" s="1"/>
      <c r="HXX126" s="1"/>
      <c r="HXY126" s="1"/>
      <c r="HXZ126" s="1"/>
      <c r="HYA126" s="1"/>
      <c r="HYB126" s="1"/>
      <c r="HYC126" s="1"/>
      <c r="HYD126" s="1"/>
      <c r="HYE126" s="1"/>
      <c r="HYF126" s="1"/>
      <c r="HYG126" s="1"/>
      <c r="HYH126" s="1"/>
      <c r="HYI126" s="1"/>
      <c r="HYJ126" s="1"/>
      <c r="HYK126" s="1"/>
      <c r="HYL126" s="1"/>
      <c r="HYM126" s="1"/>
      <c r="HYN126" s="1"/>
      <c r="HYO126" s="1"/>
      <c r="HYP126" s="1"/>
      <c r="HYQ126" s="1"/>
      <c r="HYR126" s="1"/>
      <c r="HYS126" s="1"/>
      <c r="HYT126" s="1"/>
      <c r="HYU126" s="1"/>
      <c r="HYV126" s="1"/>
      <c r="HYW126" s="1"/>
      <c r="HYX126" s="1"/>
      <c r="HYY126" s="1"/>
      <c r="HYZ126" s="1"/>
      <c r="HZA126" s="1"/>
      <c r="HZB126" s="1"/>
      <c r="HZC126" s="1"/>
      <c r="HZD126" s="1"/>
      <c r="HZE126" s="1"/>
      <c r="HZF126" s="1"/>
      <c r="HZG126" s="1"/>
      <c r="HZH126" s="1"/>
      <c r="HZI126" s="1"/>
      <c r="HZJ126" s="1"/>
      <c r="HZK126" s="1"/>
      <c r="HZL126" s="1"/>
      <c r="HZM126" s="1"/>
      <c r="HZN126" s="1"/>
      <c r="HZO126" s="1"/>
      <c r="HZP126" s="1"/>
      <c r="HZQ126" s="1"/>
      <c r="HZR126" s="1"/>
      <c r="HZS126" s="1"/>
      <c r="HZT126" s="1"/>
      <c r="HZU126" s="1"/>
      <c r="HZV126" s="1"/>
      <c r="HZW126" s="1"/>
      <c r="HZX126" s="1"/>
      <c r="HZY126" s="1"/>
      <c r="HZZ126" s="1"/>
      <c r="IAA126" s="1"/>
      <c r="IAB126" s="1"/>
      <c r="IAC126" s="1"/>
      <c r="IAD126" s="1"/>
      <c r="IAE126" s="1"/>
      <c r="IAF126" s="1"/>
      <c r="IAG126" s="1"/>
      <c r="IAH126" s="1"/>
      <c r="IAI126" s="1"/>
      <c r="IAJ126" s="1"/>
      <c r="IAK126" s="1"/>
      <c r="IAL126" s="1"/>
      <c r="IAM126" s="1"/>
      <c r="IAN126" s="1"/>
      <c r="IAO126" s="1"/>
      <c r="IAP126" s="1"/>
      <c r="IAQ126" s="1"/>
      <c r="IAR126" s="1"/>
      <c r="IAS126" s="1"/>
      <c r="IAT126" s="1"/>
      <c r="IAU126" s="1"/>
      <c r="IAV126" s="1"/>
      <c r="IAW126" s="1"/>
      <c r="IAX126" s="1"/>
      <c r="IAY126" s="1"/>
      <c r="IAZ126" s="1"/>
      <c r="IBA126" s="1"/>
      <c r="IBB126" s="1"/>
      <c r="IBC126" s="1"/>
      <c r="IBD126" s="1"/>
      <c r="IBE126" s="1"/>
      <c r="IBF126" s="1"/>
      <c r="IBG126" s="1"/>
      <c r="IBH126" s="1"/>
      <c r="IBI126" s="1"/>
      <c r="IBJ126" s="1"/>
      <c r="IBK126" s="1"/>
      <c r="IBL126" s="1"/>
      <c r="IBM126" s="1"/>
      <c r="IBN126" s="1"/>
      <c r="IBO126" s="1"/>
      <c r="IBP126" s="1"/>
      <c r="IBQ126" s="1"/>
      <c r="IBR126" s="1"/>
      <c r="IBS126" s="1"/>
      <c r="IBT126" s="1"/>
      <c r="IBU126" s="1"/>
      <c r="IBV126" s="1"/>
      <c r="IBW126" s="1"/>
      <c r="IBX126" s="1"/>
      <c r="IBY126" s="1"/>
      <c r="IBZ126" s="1"/>
      <c r="ICA126" s="1"/>
      <c r="ICB126" s="1"/>
      <c r="ICC126" s="1"/>
      <c r="ICD126" s="1"/>
      <c r="ICE126" s="1"/>
      <c r="ICF126" s="1"/>
      <c r="ICG126" s="1"/>
      <c r="ICH126" s="1"/>
      <c r="ICI126" s="1"/>
      <c r="ICJ126" s="1"/>
      <c r="ICK126" s="1"/>
      <c r="ICL126" s="1"/>
      <c r="ICM126" s="1"/>
      <c r="ICN126" s="1"/>
      <c r="ICO126" s="1"/>
      <c r="ICP126" s="1"/>
      <c r="ICQ126" s="1"/>
      <c r="ICR126" s="1"/>
      <c r="ICS126" s="1"/>
      <c r="ICT126" s="1"/>
      <c r="ICU126" s="1"/>
      <c r="ICV126" s="1"/>
      <c r="ICW126" s="1"/>
      <c r="ICX126" s="1"/>
      <c r="ICY126" s="1"/>
      <c r="ICZ126" s="1"/>
      <c r="IDA126" s="1"/>
      <c r="IDB126" s="1"/>
      <c r="IDC126" s="1"/>
      <c r="IDD126" s="1"/>
      <c r="IDE126" s="1"/>
      <c r="IDF126" s="1"/>
      <c r="IDG126" s="1"/>
      <c r="IDH126" s="1"/>
      <c r="IDI126" s="1"/>
      <c r="IDJ126" s="1"/>
      <c r="IDK126" s="1"/>
      <c r="IDL126" s="1"/>
      <c r="IDM126" s="1"/>
      <c r="IDN126" s="1"/>
      <c r="IDO126" s="1"/>
      <c r="IDP126" s="1"/>
      <c r="IDQ126" s="1"/>
      <c r="IDR126" s="1"/>
      <c r="IDS126" s="1"/>
      <c r="IDT126" s="1"/>
      <c r="IDU126" s="1"/>
      <c r="IDV126" s="1"/>
      <c r="IDW126" s="1"/>
      <c r="IDX126" s="1"/>
      <c r="IDY126" s="1"/>
      <c r="IDZ126" s="1"/>
      <c r="IEA126" s="1"/>
      <c r="IEB126" s="1"/>
      <c r="IEC126" s="1"/>
      <c r="IED126" s="1"/>
      <c r="IEE126" s="1"/>
      <c r="IEF126" s="1"/>
      <c r="IEG126" s="1"/>
      <c r="IEH126" s="1"/>
      <c r="IEI126" s="1"/>
      <c r="IEJ126" s="1"/>
      <c r="IEK126" s="1"/>
      <c r="IEL126" s="1"/>
      <c r="IEM126" s="1"/>
      <c r="IEN126" s="1"/>
      <c r="IEO126" s="1"/>
      <c r="IEP126" s="1"/>
      <c r="IEQ126" s="1"/>
      <c r="IER126" s="1"/>
      <c r="IES126" s="1"/>
      <c r="IET126" s="1"/>
      <c r="IEU126" s="1"/>
      <c r="IEV126" s="1"/>
      <c r="IEW126" s="1"/>
      <c r="IEX126" s="1"/>
      <c r="IEY126" s="1"/>
      <c r="IEZ126" s="1"/>
      <c r="IFA126" s="1"/>
      <c r="IFB126" s="1"/>
      <c r="IFC126" s="1"/>
      <c r="IFD126" s="1"/>
      <c r="IFE126" s="1"/>
      <c r="IFF126" s="1"/>
      <c r="IFG126" s="1"/>
      <c r="IFH126" s="1"/>
      <c r="IFI126" s="1"/>
      <c r="IFJ126" s="1"/>
      <c r="IFK126" s="1"/>
      <c r="IFL126" s="1"/>
      <c r="IFM126" s="1"/>
      <c r="IFN126" s="1"/>
      <c r="IFO126" s="1"/>
      <c r="IFP126" s="1"/>
      <c r="IFQ126" s="1"/>
      <c r="IFR126" s="1"/>
      <c r="IFS126" s="1"/>
      <c r="IFT126" s="1"/>
      <c r="IFU126" s="1"/>
      <c r="IFV126" s="1"/>
      <c r="IFW126" s="1"/>
      <c r="IFX126" s="1"/>
      <c r="IFY126" s="1"/>
      <c r="IFZ126" s="1"/>
      <c r="IGA126" s="1"/>
      <c r="IGB126" s="1"/>
      <c r="IGC126" s="1"/>
      <c r="IGD126" s="1"/>
      <c r="IGE126" s="1"/>
      <c r="IGF126" s="1"/>
      <c r="IGG126" s="1"/>
      <c r="IGH126" s="1"/>
      <c r="IGI126" s="1"/>
      <c r="IGJ126" s="1"/>
      <c r="IGK126" s="1"/>
      <c r="IGL126" s="1"/>
      <c r="IGM126" s="1"/>
      <c r="IGN126" s="1"/>
      <c r="IGO126" s="1"/>
      <c r="IGP126" s="1"/>
      <c r="IGQ126" s="1"/>
      <c r="IGR126" s="1"/>
      <c r="IGS126" s="1"/>
      <c r="IGT126" s="1"/>
      <c r="IGU126" s="1"/>
      <c r="IGV126" s="1"/>
      <c r="IGW126" s="1"/>
      <c r="IGX126" s="1"/>
      <c r="IGY126" s="1"/>
      <c r="IGZ126" s="1"/>
      <c r="IHA126" s="1"/>
      <c r="IHB126" s="1"/>
      <c r="IHC126" s="1"/>
      <c r="IHD126" s="1"/>
      <c r="IHE126" s="1"/>
      <c r="IHF126" s="1"/>
      <c r="IHG126" s="1"/>
      <c r="IHH126" s="1"/>
      <c r="IHI126" s="1"/>
      <c r="IHJ126" s="1"/>
      <c r="IHK126" s="1"/>
      <c r="IHL126" s="1"/>
      <c r="IHM126" s="1"/>
      <c r="IHN126" s="1"/>
      <c r="IHO126" s="1"/>
      <c r="IHP126" s="1"/>
      <c r="IHQ126" s="1"/>
      <c r="IHR126" s="1"/>
      <c r="IHS126" s="1"/>
      <c r="IHT126" s="1"/>
      <c r="IHU126" s="1"/>
      <c r="IHV126" s="1"/>
      <c r="IHW126" s="1"/>
      <c r="IHX126" s="1"/>
      <c r="IHY126" s="1"/>
      <c r="IHZ126" s="1"/>
      <c r="IIA126" s="1"/>
      <c r="IIB126" s="1"/>
      <c r="IIC126" s="1"/>
      <c r="IID126" s="1"/>
      <c r="IIE126" s="1"/>
      <c r="IIF126" s="1"/>
      <c r="IIG126" s="1"/>
      <c r="IIH126" s="1"/>
      <c r="III126" s="1"/>
      <c r="IIJ126" s="1"/>
      <c r="IIK126" s="1"/>
      <c r="IIL126" s="1"/>
      <c r="IIM126" s="1"/>
      <c r="IIN126" s="1"/>
      <c r="IIO126" s="1"/>
      <c r="IIP126" s="1"/>
      <c r="IIQ126" s="1"/>
      <c r="IIR126" s="1"/>
      <c r="IIS126" s="1"/>
      <c r="IIT126" s="1"/>
      <c r="IIU126" s="1"/>
      <c r="IIV126" s="1"/>
      <c r="IIW126" s="1"/>
      <c r="IIX126" s="1"/>
      <c r="IIY126" s="1"/>
      <c r="IIZ126" s="1"/>
      <c r="IJA126" s="1"/>
      <c r="IJB126" s="1"/>
      <c r="IJC126" s="1"/>
      <c r="IJD126" s="1"/>
      <c r="IJE126" s="1"/>
      <c r="IJF126" s="1"/>
      <c r="IJG126" s="1"/>
      <c r="IJH126" s="1"/>
      <c r="IJI126" s="1"/>
      <c r="IJJ126" s="1"/>
      <c r="IJK126" s="1"/>
      <c r="IJL126" s="1"/>
      <c r="IJM126" s="1"/>
      <c r="IJN126" s="1"/>
      <c r="IJO126" s="1"/>
      <c r="IJP126" s="1"/>
      <c r="IJQ126" s="1"/>
      <c r="IJR126" s="1"/>
      <c r="IJS126" s="1"/>
      <c r="IJT126" s="1"/>
      <c r="IJU126" s="1"/>
      <c r="IJV126" s="1"/>
      <c r="IJW126" s="1"/>
      <c r="IJX126" s="1"/>
      <c r="IJY126" s="1"/>
      <c r="IJZ126" s="1"/>
      <c r="IKA126" s="1"/>
      <c r="IKB126" s="1"/>
      <c r="IKC126" s="1"/>
      <c r="IKD126" s="1"/>
      <c r="IKE126" s="1"/>
      <c r="IKF126" s="1"/>
      <c r="IKG126" s="1"/>
      <c r="IKH126" s="1"/>
      <c r="IKI126" s="1"/>
      <c r="IKJ126" s="1"/>
      <c r="IKK126" s="1"/>
      <c r="IKL126" s="1"/>
      <c r="IKM126" s="1"/>
      <c r="IKN126" s="1"/>
      <c r="IKO126" s="1"/>
      <c r="IKP126" s="1"/>
      <c r="IKQ126" s="1"/>
      <c r="IKR126" s="1"/>
      <c r="IKS126" s="1"/>
      <c r="IKT126" s="1"/>
      <c r="IKU126" s="1"/>
      <c r="IKV126" s="1"/>
      <c r="IKW126" s="1"/>
      <c r="IKX126" s="1"/>
      <c r="IKY126" s="1"/>
      <c r="IKZ126" s="1"/>
      <c r="ILA126" s="1"/>
      <c r="ILB126" s="1"/>
      <c r="ILC126" s="1"/>
      <c r="ILD126" s="1"/>
      <c r="ILE126" s="1"/>
      <c r="ILF126" s="1"/>
      <c r="ILG126" s="1"/>
      <c r="ILH126" s="1"/>
      <c r="ILI126" s="1"/>
      <c r="ILJ126" s="1"/>
      <c r="ILK126" s="1"/>
      <c r="ILL126" s="1"/>
      <c r="ILM126" s="1"/>
      <c r="ILN126" s="1"/>
      <c r="ILO126" s="1"/>
      <c r="ILP126" s="1"/>
      <c r="ILQ126" s="1"/>
      <c r="ILR126" s="1"/>
      <c r="ILS126" s="1"/>
      <c r="ILT126" s="1"/>
      <c r="ILU126" s="1"/>
      <c r="ILV126" s="1"/>
      <c r="ILW126" s="1"/>
      <c r="ILX126" s="1"/>
      <c r="ILY126" s="1"/>
      <c r="ILZ126" s="1"/>
      <c r="IMA126" s="1"/>
      <c r="IMB126" s="1"/>
      <c r="IMC126" s="1"/>
      <c r="IMD126" s="1"/>
      <c r="IME126" s="1"/>
      <c r="IMF126" s="1"/>
      <c r="IMG126" s="1"/>
      <c r="IMH126" s="1"/>
      <c r="IMI126" s="1"/>
      <c r="IMJ126" s="1"/>
      <c r="IMK126" s="1"/>
      <c r="IML126" s="1"/>
      <c r="IMM126" s="1"/>
      <c r="IMN126" s="1"/>
      <c r="IMO126" s="1"/>
      <c r="IMP126" s="1"/>
      <c r="IMQ126" s="1"/>
      <c r="IMR126" s="1"/>
      <c r="IMS126" s="1"/>
      <c r="IMT126" s="1"/>
      <c r="IMU126" s="1"/>
      <c r="IMV126" s="1"/>
      <c r="IMW126" s="1"/>
      <c r="IMX126" s="1"/>
      <c r="IMY126" s="1"/>
      <c r="IMZ126" s="1"/>
      <c r="INA126" s="1"/>
      <c r="INB126" s="1"/>
      <c r="INC126" s="1"/>
      <c r="IND126" s="1"/>
      <c r="INE126" s="1"/>
      <c r="INF126" s="1"/>
      <c r="ING126" s="1"/>
      <c r="INH126" s="1"/>
      <c r="INI126" s="1"/>
      <c r="INJ126" s="1"/>
      <c r="INK126" s="1"/>
      <c r="INL126" s="1"/>
      <c r="INM126" s="1"/>
      <c r="INN126" s="1"/>
      <c r="INO126" s="1"/>
      <c r="INP126" s="1"/>
      <c r="INQ126" s="1"/>
      <c r="INR126" s="1"/>
      <c r="INS126" s="1"/>
      <c r="INT126" s="1"/>
      <c r="INU126" s="1"/>
      <c r="INV126" s="1"/>
      <c r="INW126" s="1"/>
      <c r="INX126" s="1"/>
      <c r="INY126" s="1"/>
      <c r="INZ126" s="1"/>
      <c r="IOA126" s="1"/>
      <c r="IOB126" s="1"/>
      <c r="IOC126" s="1"/>
      <c r="IOD126" s="1"/>
      <c r="IOE126" s="1"/>
      <c r="IOF126" s="1"/>
      <c r="IOG126" s="1"/>
      <c r="IOH126" s="1"/>
      <c r="IOI126" s="1"/>
      <c r="IOJ126" s="1"/>
      <c r="IOK126" s="1"/>
      <c r="IOL126" s="1"/>
      <c r="IOM126" s="1"/>
      <c r="ION126" s="1"/>
      <c r="IOO126" s="1"/>
      <c r="IOP126" s="1"/>
      <c r="IOQ126" s="1"/>
      <c r="IOR126" s="1"/>
      <c r="IOS126" s="1"/>
      <c r="IOT126" s="1"/>
      <c r="IOU126" s="1"/>
      <c r="IOV126" s="1"/>
      <c r="IOW126" s="1"/>
      <c r="IOX126" s="1"/>
      <c r="IOY126" s="1"/>
      <c r="IOZ126" s="1"/>
      <c r="IPA126" s="1"/>
      <c r="IPB126" s="1"/>
      <c r="IPC126" s="1"/>
      <c r="IPD126" s="1"/>
      <c r="IPE126" s="1"/>
      <c r="IPF126" s="1"/>
      <c r="IPG126" s="1"/>
      <c r="IPH126" s="1"/>
      <c r="IPI126" s="1"/>
      <c r="IPJ126" s="1"/>
      <c r="IPK126" s="1"/>
      <c r="IPL126" s="1"/>
      <c r="IPM126" s="1"/>
      <c r="IPN126" s="1"/>
      <c r="IPO126" s="1"/>
      <c r="IPP126" s="1"/>
      <c r="IPQ126" s="1"/>
      <c r="IPR126" s="1"/>
      <c r="IPS126" s="1"/>
      <c r="IPT126" s="1"/>
      <c r="IPU126" s="1"/>
      <c r="IPV126" s="1"/>
      <c r="IPW126" s="1"/>
      <c r="IPX126" s="1"/>
      <c r="IPY126" s="1"/>
      <c r="IPZ126" s="1"/>
      <c r="IQA126" s="1"/>
      <c r="IQB126" s="1"/>
      <c r="IQC126" s="1"/>
      <c r="IQD126" s="1"/>
      <c r="IQE126" s="1"/>
      <c r="IQF126" s="1"/>
      <c r="IQG126" s="1"/>
      <c r="IQH126" s="1"/>
      <c r="IQI126" s="1"/>
      <c r="IQJ126" s="1"/>
      <c r="IQK126" s="1"/>
      <c r="IQL126" s="1"/>
      <c r="IQM126" s="1"/>
      <c r="IQN126" s="1"/>
      <c r="IQO126" s="1"/>
      <c r="IQP126" s="1"/>
      <c r="IQQ126" s="1"/>
      <c r="IQR126" s="1"/>
      <c r="IQS126" s="1"/>
      <c r="IQT126" s="1"/>
      <c r="IQU126" s="1"/>
      <c r="IQV126" s="1"/>
      <c r="IQW126" s="1"/>
      <c r="IQX126" s="1"/>
      <c r="IQY126" s="1"/>
      <c r="IQZ126" s="1"/>
      <c r="IRA126" s="1"/>
      <c r="IRB126" s="1"/>
      <c r="IRC126" s="1"/>
      <c r="IRD126" s="1"/>
      <c r="IRE126" s="1"/>
      <c r="IRF126" s="1"/>
      <c r="IRG126" s="1"/>
      <c r="IRH126" s="1"/>
      <c r="IRI126" s="1"/>
      <c r="IRJ126" s="1"/>
      <c r="IRK126" s="1"/>
      <c r="IRL126" s="1"/>
      <c r="IRM126" s="1"/>
      <c r="IRN126" s="1"/>
      <c r="IRO126" s="1"/>
      <c r="IRP126" s="1"/>
      <c r="IRQ126" s="1"/>
      <c r="IRR126" s="1"/>
      <c r="IRS126" s="1"/>
      <c r="IRT126" s="1"/>
      <c r="IRU126" s="1"/>
      <c r="IRV126" s="1"/>
      <c r="IRW126" s="1"/>
      <c r="IRX126" s="1"/>
      <c r="IRY126" s="1"/>
      <c r="IRZ126" s="1"/>
      <c r="ISA126" s="1"/>
      <c r="ISB126" s="1"/>
      <c r="ISC126" s="1"/>
      <c r="ISD126" s="1"/>
      <c r="ISE126" s="1"/>
      <c r="ISF126" s="1"/>
      <c r="ISG126" s="1"/>
      <c r="ISH126" s="1"/>
      <c r="ISI126" s="1"/>
      <c r="ISJ126" s="1"/>
      <c r="ISK126" s="1"/>
      <c r="ISL126" s="1"/>
      <c r="ISM126" s="1"/>
      <c r="ISN126" s="1"/>
      <c r="ISO126" s="1"/>
      <c r="ISP126" s="1"/>
      <c r="ISQ126" s="1"/>
      <c r="ISR126" s="1"/>
      <c r="ISS126" s="1"/>
      <c r="IST126" s="1"/>
      <c r="ISU126" s="1"/>
      <c r="ISV126" s="1"/>
      <c r="ISW126" s="1"/>
      <c r="ISX126" s="1"/>
      <c r="ISY126" s="1"/>
      <c r="ISZ126" s="1"/>
      <c r="ITA126" s="1"/>
      <c r="ITB126" s="1"/>
      <c r="ITC126" s="1"/>
      <c r="ITD126" s="1"/>
      <c r="ITE126" s="1"/>
      <c r="ITF126" s="1"/>
      <c r="ITG126" s="1"/>
      <c r="ITH126" s="1"/>
      <c r="ITI126" s="1"/>
      <c r="ITJ126" s="1"/>
      <c r="ITK126" s="1"/>
      <c r="ITL126" s="1"/>
      <c r="ITM126" s="1"/>
      <c r="ITN126" s="1"/>
      <c r="ITO126" s="1"/>
      <c r="ITP126" s="1"/>
      <c r="ITQ126" s="1"/>
      <c r="ITR126" s="1"/>
      <c r="ITS126" s="1"/>
      <c r="ITT126" s="1"/>
      <c r="ITU126" s="1"/>
      <c r="ITV126" s="1"/>
      <c r="ITW126" s="1"/>
      <c r="ITX126" s="1"/>
      <c r="ITY126" s="1"/>
      <c r="ITZ126" s="1"/>
      <c r="IUA126" s="1"/>
      <c r="IUB126" s="1"/>
      <c r="IUC126" s="1"/>
      <c r="IUD126" s="1"/>
      <c r="IUE126" s="1"/>
      <c r="IUF126" s="1"/>
      <c r="IUG126" s="1"/>
      <c r="IUH126" s="1"/>
      <c r="IUI126" s="1"/>
      <c r="IUJ126" s="1"/>
      <c r="IUK126" s="1"/>
      <c r="IUL126" s="1"/>
      <c r="IUM126" s="1"/>
      <c r="IUN126" s="1"/>
      <c r="IUO126" s="1"/>
      <c r="IUP126" s="1"/>
      <c r="IUQ126" s="1"/>
      <c r="IUR126" s="1"/>
      <c r="IUS126" s="1"/>
      <c r="IUT126" s="1"/>
      <c r="IUU126" s="1"/>
      <c r="IUV126" s="1"/>
      <c r="IUW126" s="1"/>
      <c r="IUX126" s="1"/>
      <c r="IUY126" s="1"/>
      <c r="IUZ126" s="1"/>
      <c r="IVA126" s="1"/>
      <c r="IVB126" s="1"/>
      <c r="IVC126" s="1"/>
      <c r="IVD126" s="1"/>
      <c r="IVE126" s="1"/>
      <c r="IVF126" s="1"/>
      <c r="IVG126" s="1"/>
      <c r="IVH126" s="1"/>
      <c r="IVI126" s="1"/>
      <c r="IVJ126" s="1"/>
      <c r="IVK126" s="1"/>
      <c r="IVL126" s="1"/>
      <c r="IVM126" s="1"/>
      <c r="IVN126" s="1"/>
      <c r="IVO126" s="1"/>
      <c r="IVP126" s="1"/>
      <c r="IVQ126" s="1"/>
      <c r="IVR126" s="1"/>
      <c r="IVS126" s="1"/>
      <c r="IVT126" s="1"/>
      <c r="IVU126" s="1"/>
      <c r="IVV126" s="1"/>
      <c r="IVW126" s="1"/>
      <c r="IVX126" s="1"/>
      <c r="IVY126" s="1"/>
      <c r="IVZ126" s="1"/>
      <c r="IWA126" s="1"/>
      <c r="IWB126" s="1"/>
      <c r="IWC126" s="1"/>
      <c r="IWD126" s="1"/>
      <c r="IWE126" s="1"/>
      <c r="IWF126" s="1"/>
      <c r="IWG126" s="1"/>
      <c r="IWH126" s="1"/>
      <c r="IWI126" s="1"/>
      <c r="IWJ126" s="1"/>
      <c r="IWK126" s="1"/>
      <c r="IWL126" s="1"/>
      <c r="IWM126" s="1"/>
      <c r="IWN126" s="1"/>
      <c r="IWO126" s="1"/>
      <c r="IWP126" s="1"/>
      <c r="IWQ126" s="1"/>
      <c r="IWR126" s="1"/>
      <c r="IWS126" s="1"/>
      <c r="IWT126" s="1"/>
      <c r="IWU126" s="1"/>
      <c r="IWV126" s="1"/>
      <c r="IWW126" s="1"/>
      <c r="IWX126" s="1"/>
      <c r="IWY126" s="1"/>
      <c r="IWZ126" s="1"/>
      <c r="IXA126" s="1"/>
      <c r="IXB126" s="1"/>
      <c r="IXC126" s="1"/>
      <c r="IXD126" s="1"/>
      <c r="IXE126" s="1"/>
      <c r="IXF126" s="1"/>
      <c r="IXG126" s="1"/>
      <c r="IXH126" s="1"/>
      <c r="IXI126" s="1"/>
      <c r="IXJ126" s="1"/>
      <c r="IXK126" s="1"/>
      <c r="IXL126" s="1"/>
      <c r="IXM126" s="1"/>
      <c r="IXN126" s="1"/>
      <c r="IXO126" s="1"/>
      <c r="IXP126" s="1"/>
      <c r="IXQ126" s="1"/>
      <c r="IXR126" s="1"/>
      <c r="IXS126" s="1"/>
      <c r="IXT126" s="1"/>
      <c r="IXU126" s="1"/>
      <c r="IXV126" s="1"/>
      <c r="IXW126" s="1"/>
      <c r="IXX126" s="1"/>
      <c r="IXY126" s="1"/>
      <c r="IXZ126" s="1"/>
      <c r="IYA126" s="1"/>
      <c r="IYB126" s="1"/>
      <c r="IYC126" s="1"/>
      <c r="IYD126" s="1"/>
      <c r="IYE126" s="1"/>
      <c r="IYF126" s="1"/>
      <c r="IYG126" s="1"/>
      <c r="IYH126" s="1"/>
      <c r="IYI126" s="1"/>
      <c r="IYJ126" s="1"/>
      <c r="IYK126" s="1"/>
      <c r="IYL126" s="1"/>
      <c r="IYM126" s="1"/>
      <c r="IYN126" s="1"/>
      <c r="IYO126" s="1"/>
      <c r="IYP126" s="1"/>
      <c r="IYQ126" s="1"/>
      <c r="IYR126" s="1"/>
      <c r="IYS126" s="1"/>
      <c r="IYT126" s="1"/>
      <c r="IYU126" s="1"/>
      <c r="IYV126" s="1"/>
      <c r="IYW126" s="1"/>
      <c r="IYX126" s="1"/>
      <c r="IYY126" s="1"/>
      <c r="IYZ126" s="1"/>
      <c r="IZA126" s="1"/>
      <c r="IZB126" s="1"/>
      <c r="IZC126" s="1"/>
      <c r="IZD126" s="1"/>
      <c r="IZE126" s="1"/>
      <c r="IZF126" s="1"/>
      <c r="IZG126" s="1"/>
      <c r="IZH126" s="1"/>
      <c r="IZI126" s="1"/>
      <c r="IZJ126" s="1"/>
      <c r="IZK126" s="1"/>
      <c r="IZL126" s="1"/>
      <c r="IZM126" s="1"/>
      <c r="IZN126" s="1"/>
      <c r="IZO126" s="1"/>
      <c r="IZP126" s="1"/>
      <c r="IZQ126" s="1"/>
      <c r="IZR126" s="1"/>
      <c r="IZS126" s="1"/>
      <c r="IZT126" s="1"/>
      <c r="IZU126" s="1"/>
      <c r="IZV126" s="1"/>
      <c r="IZW126" s="1"/>
      <c r="IZX126" s="1"/>
      <c r="IZY126" s="1"/>
      <c r="IZZ126" s="1"/>
      <c r="JAA126" s="1"/>
      <c r="JAB126" s="1"/>
      <c r="JAC126" s="1"/>
      <c r="JAD126" s="1"/>
      <c r="JAE126" s="1"/>
      <c r="JAF126" s="1"/>
      <c r="JAG126" s="1"/>
      <c r="JAH126" s="1"/>
      <c r="JAI126" s="1"/>
      <c r="JAJ126" s="1"/>
      <c r="JAK126" s="1"/>
      <c r="JAL126" s="1"/>
      <c r="JAM126" s="1"/>
      <c r="JAN126" s="1"/>
      <c r="JAO126" s="1"/>
      <c r="JAP126" s="1"/>
      <c r="JAQ126" s="1"/>
      <c r="JAR126" s="1"/>
      <c r="JAS126" s="1"/>
      <c r="JAT126" s="1"/>
      <c r="JAU126" s="1"/>
      <c r="JAV126" s="1"/>
      <c r="JAW126" s="1"/>
      <c r="JAX126" s="1"/>
      <c r="JAY126" s="1"/>
      <c r="JAZ126" s="1"/>
      <c r="JBA126" s="1"/>
      <c r="JBB126" s="1"/>
      <c r="JBC126" s="1"/>
      <c r="JBD126" s="1"/>
      <c r="JBE126" s="1"/>
      <c r="JBF126" s="1"/>
      <c r="JBG126" s="1"/>
      <c r="JBH126" s="1"/>
      <c r="JBI126" s="1"/>
      <c r="JBJ126" s="1"/>
      <c r="JBK126" s="1"/>
      <c r="JBL126" s="1"/>
      <c r="JBM126" s="1"/>
      <c r="JBN126" s="1"/>
      <c r="JBO126" s="1"/>
      <c r="JBP126" s="1"/>
      <c r="JBQ126" s="1"/>
      <c r="JBR126" s="1"/>
      <c r="JBS126" s="1"/>
      <c r="JBT126" s="1"/>
      <c r="JBU126" s="1"/>
      <c r="JBV126" s="1"/>
      <c r="JBW126" s="1"/>
      <c r="JBX126" s="1"/>
      <c r="JBY126" s="1"/>
      <c r="JBZ126" s="1"/>
      <c r="JCA126" s="1"/>
      <c r="JCB126" s="1"/>
      <c r="JCC126" s="1"/>
      <c r="JCD126" s="1"/>
      <c r="JCE126" s="1"/>
      <c r="JCF126" s="1"/>
      <c r="JCG126" s="1"/>
      <c r="JCH126" s="1"/>
      <c r="JCI126" s="1"/>
      <c r="JCJ126" s="1"/>
      <c r="JCK126" s="1"/>
      <c r="JCL126" s="1"/>
      <c r="JCM126" s="1"/>
      <c r="JCN126" s="1"/>
      <c r="JCO126" s="1"/>
      <c r="JCP126" s="1"/>
      <c r="JCQ126" s="1"/>
      <c r="JCR126" s="1"/>
      <c r="JCS126" s="1"/>
      <c r="JCT126" s="1"/>
      <c r="JCU126" s="1"/>
      <c r="JCV126" s="1"/>
      <c r="JCW126" s="1"/>
      <c r="JCX126" s="1"/>
      <c r="JCY126" s="1"/>
      <c r="JCZ126" s="1"/>
      <c r="JDA126" s="1"/>
      <c r="JDB126" s="1"/>
      <c r="JDC126" s="1"/>
      <c r="JDD126" s="1"/>
      <c r="JDE126" s="1"/>
      <c r="JDF126" s="1"/>
      <c r="JDG126" s="1"/>
      <c r="JDH126" s="1"/>
      <c r="JDI126" s="1"/>
      <c r="JDJ126" s="1"/>
      <c r="JDK126" s="1"/>
      <c r="JDL126" s="1"/>
      <c r="JDM126" s="1"/>
      <c r="JDN126" s="1"/>
      <c r="JDO126" s="1"/>
      <c r="JDP126" s="1"/>
      <c r="JDQ126" s="1"/>
      <c r="JDR126" s="1"/>
      <c r="JDS126" s="1"/>
      <c r="JDT126" s="1"/>
      <c r="JDU126" s="1"/>
      <c r="JDV126" s="1"/>
      <c r="JDW126" s="1"/>
      <c r="JDX126" s="1"/>
      <c r="JDY126" s="1"/>
      <c r="JDZ126" s="1"/>
      <c r="JEA126" s="1"/>
      <c r="JEB126" s="1"/>
      <c r="JEC126" s="1"/>
      <c r="JED126" s="1"/>
      <c r="JEE126" s="1"/>
      <c r="JEF126" s="1"/>
      <c r="JEG126" s="1"/>
      <c r="JEH126" s="1"/>
      <c r="JEI126" s="1"/>
      <c r="JEJ126" s="1"/>
      <c r="JEK126" s="1"/>
      <c r="JEL126" s="1"/>
      <c r="JEM126" s="1"/>
      <c r="JEN126" s="1"/>
      <c r="JEO126" s="1"/>
      <c r="JEP126" s="1"/>
      <c r="JEQ126" s="1"/>
      <c r="JER126" s="1"/>
      <c r="JES126" s="1"/>
      <c r="JET126" s="1"/>
      <c r="JEU126" s="1"/>
      <c r="JEV126" s="1"/>
      <c r="JEW126" s="1"/>
      <c r="JEX126" s="1"/>
      <c r="JEY126" s="1"/>
      <c r="JEZ126" s="1"/>
      <c r="JFA126" s="1"/>
      <c r="JFB126" s="1"/>
      <c r="JFC126" s="1"/>
      <c r="JFD126" s="1"/>
      <c r="JFE126" s="1"/>
      <c r="JFF126" s="1"/>
      <c r="JFG126" s="1"/>
      <c r="JFH126" s="1"/>
      <c r="JFI126" s="1"/>
      <c r="JFJ126" s="1"/>
      <c r="JFK126" s="1"/>
      <c r="JFL126" s="1"/>
      <c r="JFM126" s="1"/>
      <c r="JFN126" s="1"/>
      <c r="JFO126" s="1"/>
      <c r="JFP126" s="1"/>
      <c r="JFQ126" s="1"/>
      <c r="JFR126" s="1"/>
      <c r="JFS126" s="1"/>
      <c r="JFT126" s="1"/>
      <c r="JFU126" s="1"/>
      <c r="JFV126" s="1"/>
      <c r="JFW126" s="1"/>
      <c r="JFX126" s="1"/>
      <c r="JFY126" s="1"/>
      <c r="JFZ126" s="1"/>
      <c r="JGA126" s="1"/>
      <c r="JGB126" s="1"/>
      <c r="JGC126" s="1"/>
      <c r="JGD126" s="1"/>
      <c r="JGE126" s="1"/>
      <c r="JGF126" s="1"/>
      <c r="JGG126" s="1"/>
      <c r="JGH126" s="1"/>
      <c r="JGI126" s="1"/>
      <c r="JGJ126" s="1"/>
      <c r="JGK126" s="1"/>
      <c r="JGL126" s="1"/>
      <c r="JGM126" s="1"/>
      <c r="JGN126" s="1"/>
      <c r="JGO126" s="1"/>
      <c r="JGP126" s="1"/>
      <c r="JGQ126" s="1"/>
      <c r="JGR126" s="1"/>
      <c r="JGS126" s="1"/>
      <c r="JGT126" s="1"/>
      <c r="JGU126" s="1"/>
      <c r="JGV126" s="1"/>
      <c r="JGW126" s="1"/>
      <c r="JGX126" s="1"/>
      <c r="JGY126" s="1"/>
      <c r="JGZ126" s="1"/>
      <c r="JHA126" s="1"/>
      <c r="JHB126" s="1"/>
      <c r="JHC126" s="1"/>
      <c r="JHD126" s="1"/>
      <c r="JHE126" s="1"/>
      <c r="JHF126" s="1"/>
      <c r="JHG126" s="1"/>
      <c r="JHH126" s="1"/>
      <c r="JHI126" s="1"/>
      <c r="JHJ126" s="1"/>
      <c r="JHK126" s="1"/>
      <c r="JHL126" s="1"/>
      <c r="JHM126" s="1"/>
      <c r="JHN126" s="1"/>
      <c r="JHO126" s="1"/>
      <c r="JHP126" s="1"/>
      <c r="JHQ126" s="1"/>
      <c r="JHR126" s="1"/>
      <c r="JHS126" s="1"/>
      <c r="JHT126" s="1"/>
      <c r="JHU126" s="1"/>
      <c r="JHV126" s="1"/>
      <c r="JHW126" s="1"/>
      <c r="JHX126" s="1"/>
      <c r="JHY126" s="1"/>
      <c r="JHZ126" s="1"/>
      <c r="JIA126" s="1"/>
      <c r="JIB126" s="1"/>
      <c r="JIC126" s="1"/>
      <c r="JID126" s="1"/>
      <c r="JIE126" s="1"/>
      <c r="JIF126" s="1"/>
      <c r="JIG126" s="1"/>
      <c r="JIH126" s="1"/>
      <c r="JII126" s="1"/>
      <c r="JIJ126" s="1"/>
      <c r="JIK126" s="1"/>
      <c r="JIL126" s="1"/>
      <c r="JIM126" s="1"/>
      <c r="JIN126" s="1"/>
      <c r="JIO126" s="1"/>
      <c r="JIP126" s="1"/>
      <c r="JIQ126" s="1"/>
      <c r="JIR126" s="1"/>
      <c r="JIS126" s="1"/>
      <c r="JIT126" s="1"/>
      <c r="JIU126" s="1"/>
      <c r="JIV126" s="1"/>
      <c r="JIW126" s="1"/>
      <c r="JIX126" s="1"/>
      <c r="JIY126" s="1"/>
      <c r="JIZ126" s="1"/>
      <c r="JJA126" s="1"/>
      <c r="JJB126" s="1"/>
      <c r="JJC126" s="1"/>
      <c r="JJD126" s="1"/>
      <c r="JJE126" s="1"/>
      <c r="JJF126" s="1"/>
      <c r="JJG126" s="1"/>
      <c r="JJH126" s="1"/>
      <c r="JJI126" s="1"/>
      <c r="JJJ126" s="1"/>
      <c r="JJK126" s="1"/>
      <c r="JJL126" s="1"/>
      <c r="JJM126" s="1"/>
      <c r="JJN126" s="1"/>
      <c r="JJO126" s="1"/>
      <c r="JJP126" s="1"/>
      <c r="JJQ126" s="1"/>
      <c r="JJR126" s="1"/>
      <c r="JJS126" s="1"/>
      <c r="JJT126" s="1"/>
      <c r="JJU126" s="1"/>
      <c r="JJV126" s="1"/>
      <c r="JJW126" s="1"/>
      <c r="JJX126" s="1"/>
      <c r="JJY126" s="1"/>
      <c r="JJZ126" s="1"/>
      <c r="JKA126" s="1"/>
      <c r="JKB126" s="1"/>
      <c r="JKC126" s="1"/>
      <c r="JKD126" s="1"/>
      <c r="JKE126" s="1"/>
      <c r="JKF126" s="1"/>
      <c r="JKG126" s="1"/>
      <c r="JKH126" s="1"/>
      <c r="JKI126" s="1"/>
      <c r="JKJ126" s="1"/>
      <c r="JKK126" s="1"/>
      <c r="JKL126" s="1"/>
      <c r="JKM126" s="1"/>
      <c r="JKN126" s="1"/>
      <c r="JKO126" s="1"/>
      <c r="JKP126" s="1"/>
      <c r="JKQ126" s="1"/>
      <c r="JKR126" s="1"/>
      <c r="JKS126" s="1"/>
      <c r="JKT126" s="1"/>
      <c r="JKU126" s="1"/>
      <c r="JKV126" s="1"/>
      <c r="JKW126" s="1"/>
      <c r="JKX126" s="1"/>
      <c r="JKY126" s="1"/>
      <c r="JKZ126" s="1"/>
      <c r="JLA126" s="1"/>
      <c r="JLB126" s="1"/>
      <c r="JLC126" s="1"/>
      <c r="JLD126" s="1"/>
      <c r="JLE126" s="1"/>
      <c r="JLF126" s="1"/>
      <c r="JLG126" s="1"/>
      <c r="JLH126" s="1"/>
      <c r="JLI126" s="1"/>
      <c r="JLJ126" s="1"/>
      <c r="JLK126" s="1"/>
      <c r="JLL126" s="1"/>
      <c r="JLM126" s="1"/>
      <c r="JLN126" s="1"/>
      <c r="JLO126" s="1"/>
      <c r="JLP126" s="1"/>
      <c r="JLQ126" s="1"/>
      <c r="JLR126" s="1"/>
      <c r="JLS126" s="1"/>
      <c r="JLT126" s="1"/>
      <c r="JLU126" s="1"/>
      <c r="JLV126" s="1"/>
      <c r="JLW126" s="1"/>
      <c r="JLX126" s="1"/>
      <c r="JLY126" s="1"/>
      <c r="JLZ126" s="1"/>
      <c r="JMA126" s="1"/>
      <c r="JMB126" s="1"/>
      <c r="JMC126" s="1"/>
      <c r="JMD126" s="1"/>
      <c r="JME126" s="1"/>
      <c r="JMF126" s="1"/>
      <c r="JMG126" s="1"/>
      <c r="JMH126" s="1"/>
      <c r="JMI126" s="1"/>
      <c r="JMJ126" s="1"/>
      <c r="JMK126" s="1"/>
      <c r="JML126" s="1"/>
      <c r="JMM126" s="1"/>
      <c r="JMN126" s="1"/>
      <c r="JMO126" s="1"/>
      <c r="JMP126" s="1"/>
      <c r="JMQ126" s="1"/>
      <c r="JMR126" s="1"/>
      <c r="JMS126" s="1"/>
      <c r="JMT126" s="1"/>
      <c r="JMU126" s="1"/>
      <c r="JMV126" s="1"/>
      <c r="JMW126" s="1"/>
      <c r="JMX126" s="1"/>
      <c r="JMY126" s="1"/>
      <c r="JMZ126" s="1"/>
      <c r="JNA126" s="1"/>
      <c r="JNB126" s="1"/>
      <c r="JNC126" s="1"/>
      <c r="JND126" s="1"/>
      <c r="JNE126" s="1"/>
      <c r="JNF126" s="1"/>
      <c r="JNG126" s="1"/>
      <c r="JNH126" s="1"/>
      <c r="JNI126" s="1"/>
      <c r="JNJ126" s="1"/>
      <c r="JNK126" s="1"/>
      <c r="JNL126" s="1"/>
      <c r="JNM126" s="1"/>
      <c r="JNN126" s="1"/>
      <c r="JNO126" s="1"/>
      <c r="JNP126" s="1"/>
      <c r="JNQ126" s="1"/>
      <c r="JNR126" s="1"/>
      <c r="JNS126" s="1"/>
      <c r="JNT126" s="1"/>
      <c r="JNU126" s="1"/>
      <c r="JNV126" s="1"/>
      <c r="JNW126" s="1"/>
      <c r="JNX126" s="1"/>
      <c r="JNY126" s="1"/>
      <c r="JNZ126" s="1"/>
      <c r="JOA126" s="1"/>
      <c r="JOB126" s="1"/>
      <c r="JOC126" s="1"/>
      <c r="JOD126" s="1"/>
      <c r="JOE126" s="1"/>
      <c r="JOF126" s="1"/>
      <c r="JOG126" s="1"/>
      <c r="JOH126" s="1"/>
      <c r="JOI126" s="1"/>
      <c r="JOJ126" s="1"/>
      <c r="JOK126" s="1"/>
      <c r="JOL126" s="1"/>
      <c r="JOM126" s="1"/>
      <c r="JON126" s="1"/>
      <c r="JOO126" s="1"/>
      <c r="JOP126" s="1"/>
      <c r="JOQ126" s="1"/>
      <c r="JOR126" s="1"/>
      <c r="JOS126" s="1"/>
      <c r="JOT126" s="1"/>
      <c r="JOU126" s="1"/>
      <c r="JOV126" s="1"/>
      <c r="JOW126" s="1"/>
      <c r="JOX126" s="1"/>
      <c r="JOY126" s="1"/>
      <c r="JOZ126" s="1"/>
      <c r="JPA126" s="1"/>
      <c r="JPB126" s="1"/>
      <c r="JPC126" s="1"/>
      <c r="JPD126" s="1"/>
      <c r="JPE126" s="1"/>
      <c r="JPF126" s="1"/>
      <c r="JPG126" s="1"/>
      <c r="JPH126" s="1"/>
      <c r="JPI126" s="1"/>
      <c r="JPJ126" s="1"/>
      <c r="JPK126" s="1"/>
      <c r="JPL126" s="1"/>
      <c r="JPM126" s="1"/>
      <c r="JPN126" s="1"/>
      <c r="JPO126" s="1"/>
      <c r="JPP126" s="1"/>
      <c r="JPQ126" s="1"/>
      <c r="JPR126" s="1"/>
      <c r="JPS126" s="1"/>
      <c r="JPT126" s="1"/>
      <c r="JPU126" s="1"/>
      <c r="JPV126" s="1"/>
      <c r="JPW126" s="1"/>
      <c r="JPX126" s="1"/>
      <c r="JPY126" s="1"/>
      <c r="JPZ126" s="1"/>
      <c r="JQA126" s="1"/>
      <c r="JQB126" s="1"/>
      <c r="JQC126" s="1"/>
      <c r="JQD126" s="1"/>
      <c r="JQE126" s="1"/>
      <c r="JQF126" s="1"/>
      <c r="JQG126" s="1"/>
      <c r="JQH126" s="1"/>
      <c r="JQI126" s="1"/>
      <c r="JQJ126" s="1"/>
      <c r="JQK126" s="1"/>
      <c r="JQL126" s="1"/>
      <c r="JQM126" s="1"/>
      <c r="JQN126" s="1"/>
      <c r="JQO126" s="1"/>
      <c r="JQP126" s="1"/>
      <c r="JQQ126" s="1"/>
      <c r="JQR126" s="1"/>
      <c r="JQS126" s="1"/>
      <c r="JQT126" s="1"/>
      <c r="JQU126" s="1"/>
      <c r="JQV126" s="1"/>
      <c r="JQW126" s="1"/>
      <c r="JQX126" s="1"/>
      <c r="JQY126" s="1"/>
      <c r="JQZ126" s="1"/>
      <c r="JRA126" s="1"/>
      <c r="JRB126" s="1"/>
      <c r="JRC126" s="1"/>
      <c r="JRD126" s="1"/>
      <c r="JRE126" s="1"/>
      <c r="JRF126" s="1"/>
      <c r="JRG126" s="1"/>
      <c r="JRH126" s="1"/>
      <c r="JRI126" s="1"/>
      <c r="JRJ126" s="1"/>
      <c r="JRK126" s="1"/>
      <c r="JRL126" s="1"/>
      <c r="JRM126" s="1"/>
      <c r="JRN126" s="1"/>
      <c r="JRO126" s="1"/>
      <c r="JRP126" s="1"/>
      <c r="JRQ126" s="1"/>
      <c r="JRR126" s="1"/>
      <c r="JRS126" s="1"/>
      <c r="JRT126" s="1"/>
      <c r="JRU126" s="1"/>
      <c r="JRV126" s="1"/>
      <c r="JRW126" s="1"/>
      <c r="JRX126" s="1"/>
      <c r="JRY126" s="1"/>
      <c r="JRZ126" s="1"/>
      <c r="JSA126" s="1"/>
      <c r="JSB126" s="1"/>
      <c r="JSC126" s="1"/>
      <c r="JSD126" s="1"/>
      <c r="JSE126" s="1"/>
      <c r="JSF126" s="1"/>
      <c r="JSG126" s="1"/>
      <c r="JSH126" s="1"/>
      <c r="JSI126" s="1"/>
      <c r="JSJ126" s="1"/>
      <c r="JSK126" s="1"/>
      <c r="JSL126" s="1"/>
      <c r="JSM126" s="1"/>
      <c r="JSN126" s="1"/>
      <c r="JSO126" s="1"/>
      <c r="JSP126" s="1"/>
      <c r="JSQ126" s="1"/>
      <c r="JSR126" s="1"/>
      <c r="JSS126" s="1"/>
      <c r="JST126" s="1"/>
      <c r="JSU126" s="1"/>
      <c r="JSV126" s="1"/>
      <c r="JSW126" s="1"/>
      <c r="JSX126" s="1"/>
      <c r="JSY126" s="1"/>
      <c r="JSZ126" s="1"/>
      <c r="JTA126" s="1"/>
      <c r="JTB126" s="1"/>
      <c r="JTC126" s="1"/>
      <c r="JTD126" s="1"/>
      <c r="JTE126" s="1"/>
      <c r="JTF126" s="1"/>
      <c r="JTG126" s="1"/>
      <c r="JTH126" s="1"/>
      <c r="JTI126" s="1"/>
      <c r="JTJ126" s="1"/>
      <c r="JTK126" s="1"/>
      <c r="JTL126" s="1"/>
      <c r="JTM126" s="1"/>
      <c r="JTN126" s="1"/>
      <c r="JTO126" s="1"/>
      <c r="JTP126" s="1"/>
      <c r="JTQ126" s="1"/>
      <c r="JTR126" s="1"/>
      <c r="JTS126" s="1"/>
      <c r="JTT126" s="1"/>
      <c r="JTU126" s="1"/>
      <c r="JTV126" s="1"/>
      <c r="JTW126" s="1"/>
      <c r="JTX126" s="1"/>
      <c r="JTY126" s="1"/>
      <c r="JTZ126" s="1"/>
      <c r="JUA126" s="1"/>
      <c r="JUB126" s="1"/>
      <c r="JUC126" s="1"/>
      <c r="JUD126" s="1"/>
      <c r="JUE126" s="1"/>
      <c r="JUF126" s="1"/>
      <c r="JUG126" s="1"/>
      <c r="JUH126" s="1"/>
      <c r="JUI126" s="1"/>
      <c r="JUJ126" s="1"/>
      <c r="JUK126" s="1"/>
      <c r="JUL126" s="1"/>
      <c r="JUM126" s="1"/>
      <c r="JUN126" s="1"/>
      <c r="JUO126" s="1"/>
      <c r="JUP126" s="1"/>
      <c r="JUQ126" s="1"/>
      <c r="JUR126" s="1"/>
      <c r="JUS126" s="1"/>
      <c r="JUT126" s="1"/>
      <c r="JUU126" s="1"/>
      <c r="JUV126" s="1"/>
      <c r="JUW126" s="1"/>
      <c r="JUX126" s="1"/>
      <c r="JUY126" s="1"/>
      <c r="JUZ126" s="1"/>
      <c r="JVA126" s="1"/>
      <c r="JVB126" s="1"/>
      <c r="JVC126" s="1"/>
      <c r="JVD126" s="1"/>
      <c r="JVE126" s="1"/>
      <c r="JVF126" s="1"/>
      <c r="JVG126" s="1"/>
      <c r="JVH126" s="1"/>
      <c r="JVI126" s="1"/>
      <c r="JVJ126" s="1"/>
      <c r="JVK126" s="1"/>
      <c r="JVL126" s="1"/>
      <c r="JVM126" s="1"/>
      <c r="JVN126" s="1"/>
      <c r="JVO126" s="1"/>
      <c r="JVP126" s="1"/>
      <c r="JVQ126" s="1"/>
      <c r="JVR126" s="1"/>
      <c r="JVS126" s="1"/>
      <c r="JVT126" s="1"/>
      <c r="JVU126" s="1"/>
      <c r="JVV126" s="1"/>
      <c r="JVW126" s="1"/>
      <c r="JVX126" s="1"/>
      <c r="JVY126" s="1"/>
      <c r="JVZ126" s="1"/>
      <c r="JWA126" s="1"/>
      <c r="JWB126" s="1"/>
      <c r="JWC126" s="1"/>
      <c r="JWD126" s="1"/>
      <c r="JWE126" s="1"/>
      <c r="JWF126" s="1"/>
      <c r="JWG126" s="1"/>
      <c r="JWH126" s="1"/>
      <c r="JWI126" s="1"/>
      <c r="JWJ126" s="1"/>
      <c r="JWK126" s="1"/>
      <c r="JWL126" s="1"/>
      <c r="JWM126" s="1"/>
      <c r="JWN126" s="1"/>
      <c r="JWO126" s="1"/>
      <c r="JWP126" s="1"/>
      <c r="JWQ126" s="1"/>
      <c r="JWR126" s="1"/>
      <c r="JWS126" s="1"/>
      <c r="JWT126" s="1"/>
      <c r="JWU126" s="1"/>
      <c r="JWV126" s="1"/>
      <c r="JWW126" s="1"/>
      <c r="JWX126" s="1"/>
      <c r="JWY126" s="1"/>
      <c r="JWZ126" s="1"/>
      <c r="JXA126" s="1"/>
      <c r="JXB126" s="1"/>
      <c r="JXC126" s="1"/>
      <c r="JXD126" s="1"/>
      <c r="JXE126" s="1"/>
      <c r="JXF126" s="1"/>
      <c r="JXG126" s="1"/>
      <c r="JXH126" s="1"/>
      <c r="JXI126" s="1"/>
      <c r="JXJ126" s="1"/>
      <c r="JXK126" s="1"/>
      <c r="JXL126" s="1"/>
      <c r="JXM126" s="1"/>
      <c r="JXN126" s="1"/>
      <c r="JXO126" s="1"/>
      <c r="JXP126" s="1"/>
      <c r="JXQ126" s="1"/>
      <c r="JXR126" s="1"/>
      <c r="JXS126" s="1"/>
      <c r="JXT126" s="1"/>
      <c r="JXU126" s="1"/>
      <c r="JXV126" s="1"/>
      <c r="JXW126" s="1"/>
      <c r="JXX126" s="1"/>
      <c r="JXY126" s="1"/>
      <c r="JXZ126" s="1"/>
      <c r="JYA126" s="1"/>
      <c r="JYB126" s="1"/>
      <c r="JYC126" s="1"/>
      <c r="JYD126" s="1"/>
      <c r="JYE126" s="1"/>
      <c r="JYF126" s="1"/>
      <c r="JYG126" s="1"/>
      <c r="JYH126" s="1"/>
      <c r="JYI126" s="1"/>
      <c r="JYJ126" s="1"/>
      <c r="JYK126" s="1"/>
      <c r="JYL126" s="1"/>
      <c r="JYM126" s="1"/>
      <c r="JYN126" s="1"/>
      <c r="JYO126" s="1"/>
      <c r="JYP126" s="1"/>
      <c r="JYQ126" s="1"/>
      <c r="JYR126" s="1"/>
      <c r="JYS126" s="1"/>
      <c r="JYT126" s="1"/>
      <c r="JYU126" s="1"/>
      <c r="JYV126" s="1"/>
      <c r="JYW126" s="1"/>
      <c r="JYX126" s="1"/>
      <c r="JYY126" s="1"/>
      <c r="JYZ126" s="1"/>
      <c r="JZA126" s="1"/>
      <c r="JZB126" s="1"/>
      <c r="JZC126" s="1"/>
      <c r="JZD126" s="1"/>
      <c r="JZE126" s="1"/>
      <c r="JZF126" s="1"/>
      <c r="JZG126" s="1"/>
      <c r="JZH126" s="1"/>
      <c r="JZI126" s="1"/>
      <c r="JZJ126" s="1"/>
      <c r="JZK126" s="1"/>
      <c r="JZL126" s="1"/>
      <c r="JZM126" s="1"/>
      <c r="JZN126" s="1"/>
      <c r="JZO126" s="1"/>
      <c r="JZP126" s="1"/>
      <c r="JZQ126" s="1"/>
      <c r="JZR126" s="1"/>
      <c r="JZS126" s="1"/>
      <c r="JZT126" s="1"/>
      <c r="JZU126" s="1"/>
      <c r="JZV126" s="1"/>
      <c r="JZW126" s="1"/>
      <c r="JZX126" s="1"/>
      <c r="JZY126" s="1"/>
      <c r="JZZ126" s="1"/>
      <c r="KAA126" s="1"/>
      <c r="KAB126" s="1"/>
      <c r="KAC126" s="1"/>
      <c r="KAD126" s="1"/>
      <c r="KAE126" s="1"/>
      <c r="KAF126" s="1"/>
      <c r="KAG126" s="1"/>
      <c r="KAH126" s="1"/>
      <c r="KAI126" s="1"/>
      <c r="KAJ126" s="1"/>
      <c r="KAK126" s="1"/>
      <c r="KAL126" s="1"/>
      <c r="KAM126" s="1"/>
      <c r="KAN126" s="1"/>
      <c r="KAO126" s="1"/>
      <c r="KAP126" s="1"/>
      <c r="KAQ126" s="1"/>
      <c r="KAR126" s="1"/>
      <c r="KAS126" s="1"/>
      <c r="KAT126" s="1"/>
      <c r="KAU126" s="1"/>
      <c r="KAV126" s="1"/>
      <c r="KAW126" s="1"/>
      <c r="KAX126" s="1"/>
      <c r="KAY126" s="1"/>
      <c r="KAZ126" s="1"/>
      <c r="KBA126" s="1"/>
      <c r="KBB126" s="1"/>
      <c r="KBC126" s="1"/>
      <c r="KBD126" s="1"/>
      <c r="KBE126" s="1"/>
      <c r="KBF126" s="1"/>
      <c r="KBG126" s="1"/>
      <c r="KBH126" s="1"/>
      <c r="KBI126" s="1"/>
      <c r="KBJ126" s="1"/>
      <c r="KBK126" s="1"/>
      <c r="KBL126" s="1"/>
      <c r="KBM126" s="1"/>
      <c r="KBN126" s="1"/>
      <c r="KBO126" s="1"/>
      <c r="KBP126" s="1"/>
      <c r="KBQ126" s="1"/>
      <c r="KBR126" s="1"/>
      <c r="KBS126" s="1"/>
      <c r="KBT126" s="1"/>
      <c r="KBU126" s="1"/>
      <c r="KBV126" s="1"/>
      <c r="KBW126" s="1"/>
      <c r="KBX126" s="1"/>
      <c r="KBY126" s="1"/>
      <c r="KBZ126" s="1"/>
      <c r="KCA126" s="1"/>
      <c r="KCB126" s="1"/>
      <c r="KCC126" s="1"/>
      <c r="KCD126" s="1"/>
      <c r="KCE126" s="1"/>
      <c r="KCF126" s="1"/>
      <c r="KCG126" s="1"/>
      <c r="KCH126" s="1"/>
      <c r="KCI126" s="1"/>
      <c r="KCJ126" s="1"/>
      <c r="KCK126" s="1"/>
      <c r="KCL126" s="1"/>
      <c r="KCM126" s="1"/>
      <c r="KCN126" s="1"/>
      <c r="KCO126" s="1"/>
      <c r="KCP126" s="1"/>
      <c r="KCQ126" s="1"/>
      <c r="KCR126" s="1"/>
      <c r="KCS126" s="1"/>
      <c r="KCT126" s="1"/>
      <c r="KCU126" s="1"/>
      <c r="KCV126" s="1"/>
      <c r="KCW126" s="1"/>
      <c r="KCX126" s="1"/>
      <c r="KCY126" s="1"/>
      <c r="KCZ126" s="1"/>
      <c r="KDA126" s="1"/>
      <c r="KDB126" s="1"/>
      <c r="KDC126" s="1"/>
      <c r="KDD126" s="1"/>
      <c r="KDE126" s="1"/>
      <c r="KDF126" s="1"/>
      <c r="KDG126" s="1"/>
      <c r="KDH126" s="1"/>
      <c r="KDI126" s="1"/>
      <c r="KDJ126" s="1"/>
      <c r="KDK126" s="1"/>
      <c r="KDL126" s="1"/>
      <c r="KDM126" s="1"/>
      <c r="KDN126" s="1"/>
      <c r="KDO126" s="1"/>
      <c r="KDP126" s="1"/>
      <c r="KDQ126" s="1"/>
      <c r="KDR126" s="1"/>
      <c r="KDS126" s="1"/>
      <c r="KDT126" s="1"/>
      <c r="KDU126" s="1"/>
      <c r="KDV126" s="1"/>
      <c r="KDW126" s="1"/>
      <c r="KDX126" s="1"/>
      <c r="KDY126" s="1"/>
      <c r="KDZ126" s="1"/>
      <c r="KEA126" s="1"/>
      <c r="KEB126" s="1"/>
      <c r="KEC126" s="1"/>
      <c r="KED126" s="1"/>
      <c r="KEE126" s="1"/>
      <c r="KEF126" s="1"/>
      <c r="KEG126" s="1"/>
      <c r="KEH126" s="1"/>
      <c r="KEI126" s="1"/>
      <c r="KEJ126" s="1"/>
      <c r="KEK126" s="1"/>
      <c r="KEL126" s="1"/>
      <c r="KEM126" s="1"/>
      <c r="KEN126" s="1"/>
      <c r="KEO126" s="1"/>
      <c r="KEP126" s="1"/>
      <c r="KEQ126" s="1"/>
      <c r="KER126" s="1"/>
      <c r="KES126" s="1"/>
      <c r="KET126" s="1"/>
      <c r="KEU126" s="1"/>
      <c r="KEV126" s="1"/>
      <c r="KEW126" s="1"/>
      <c r="KEX126" s="1"/>
      <c r="KEY126" s="1"/>
      <c r="KEZ126" s="1"/>
      <c r="KFA126" s="1"/>
      <c r="KFB126" s="1"/>
      <c r="KFC126" s="1"/>
      <c r="KFD126" s="1"/>
      <c r="KFE126" s="1"/>
      <c r="KFF126" s="1"/>
      <c r="KFG126" s="1"/>
      <c r="KFH126" s="1"/>
      <c r="KFI126" s="1"/>
      <c r="KFJ126" s="1"/>
      <c r="KFK126" s="1"/>
      <c r="KFL126" s="1"/>
      <c r="KFM126" s="1"/>
      <c r="KFN126" s="1"/>
      <c r="KFO126" s="1"/>
      <c r="KFP126" s="1"/>
      <c r="KFQ126" s="1"/>
      <c r="KFR126" s="1"/>
      <c r="KFS126" s="1"/>
      <c r="KFT126" s="1"/>
      <c r="KFU126" s="1"/>
      <c r="KFV126" s="1"/>
      <c r="KFW126" s="1"/>
      <c r="KFX126" s="1"/>
      <c r="KFY126" s="1"/>
      <c r="KFZ126" s="1"/>
      <c r="KGA126" s="1"/>
      <c r="KGB126" s="1"/>
      <c r="KGC126" s="1"/>
      <c r="KGD126" s="1"/>
      <c r="KGE126" s="1"/>
      <c r="KGF126" s="1"/>
      <c r="KGG126" s="1"/>
      <c r="KGH126" s="1"/>
      <c r="KGI126" s="1"/>
      <c r="KGJ126" s="1"/>
      <c r="KGK126" s="1"/>
      <c r="KGL126" s="1"/>
      <c r="KGM126" s="1"/>
      <c r="KGN126" s="1"/>
      <c r="KGO126" s="1"/>
      <c r="KGP126" s="1"/>
      <c r="KGQ126" s="1"/>
      <c r="KGR126" s="1"/>
      <c r="KGS126" s="1"/>
      <c r="KGT126" s="1"/>
      <c r="KGU126" s="1"/>
      <c r="KGV126" s="1"/>
      <c r="KGW126" s="1"/>
      <c r="KGX126" s="1"/>
      <c r="KGY126" s="1"/>
      <c r="KGZ126" s="1"/>
      <c r="KHA126" s="1"/>
      <c r="KHB126" s="1"/>
      <c r="KHC126" s="1"/>
      <c r="KHD126" s="1"/>
      <c r="KHE126" s="1"/>
      <c r="KHF126" s="1"/>
      <c r="KHG126" s="1"/>
      <c r="KHH126" s="1"/>
      <c r="KHI126" s="1"/>
      <c r="KHJ126" s="1"/>
      <c r="KHK126" s="1"/>
      <c r="KHL126" s="1"/>
      <c r="KHM126" s="1"/>
      <c r="KHN126" s="1"/>
      <c r="KHO126" s="1"/>
      <c r="KHP126" s="1"/>
      <c r="KHQ126" s="1"/>
      <c r="KHR126" s="1"/>
      <c r="KHS126" s="1"/>
      <c r="KHT126" s="1"/>
      <c r="KHU126" s="1"/>
      <c r="KHV126" s="1"/>
      <c r="KHW126" s="1"/>
      <c r="KHX126" s="1"/>
      <c r="KHY126" s="1"/>
      <c r="KHZ126" s="1"/>
      <c r="KIA126" s="1"/>
      <c r="KIB126" s="1"/>
      <c r="KIC126" s="1"/>
      <c r="KID126" s="1"/>
      <c r="KIE126" s="1"/>
      <c r="KIF126" s="1"/>
      <c r="KIG126" s="1"/>
      <c r="KIH126" s="1"/>
      <c r="KII126" s="1"/>
      <c r="KIJ126" s="1"/>
      <c r="KIK126" s="1"/>
      <c r="KIL126" s="1"/>
      <c r="KIM126" s="1"/>
      <c r="KIN126" s="1"/>
      <c r="KIO126" s="1"/>
      <c r="KIP126" s="1"/>
      <c r="KIQ126" s="1"/>
      <c r="KIR126" s="1"/>
      <c r="KIS126" s="1"/>
      <c r="KIT126" s="1"/>
      <c r="KIU126" s="1"/>
      <c r="KIV126" s="1"/>
      <c r="KIW126" s="1"/>
      <c r="KIX126" s="1"/>
      <c r="KIY126" s="1"/>
      <c r="KIZ126" s="1"/>
      <c r="KJA126" s="1"/>
      <c r="KJB126" s="1"/>
      <c r="KJC126" s="1"/>
      <c r="KJD126" s="1"/>
      <c r="KJE126" s="1"/>
      <c r="KJF126" s="1"/>
      <c r="KJG126" s="1"/>
      <c r="KJH126" s="1"/>
      <c r="KJI126" s="1"/>
      <c r="KJJ126" s="1"/>
      <c r="KJK126" s="1"/>
      <c r="KJL126" s="1"/>
      <c r="KJM126" s="1"/>
      <c r="KJN126" s="1"/>
      <c r="KJO126" s="1"/>
      <c r="KJP126" s="1"/>
      <c r="KJQ126" s="1"/>
      <c r="KJR126" s="1"/>
      <c r="KJS126" s="1"/>
      <c r="KJT126" s="1"/>
      <c r="KJU126" s="1"/>
      <c r="KJV126" s="1"/>
      <c r="KJW126" s="1"/>
      <c r="KJX126" s="1"/>
      <c r="KJY126" s="1"/>
      <c r="KJZ126" s="1"/>
      <c r="KKA126" s="1"/>
      <c r="KKB126" s="1"/>
      <c r="KKC126" s="1"/>
      <c r="KKD126" s="1"/>
      <c r="KKE126" s="1"/>
      <c r="KKF126" s="1"/>
      <c r="KKG126" s="1"/>
      <c r="KKH126" s="1"/>
      <c r="KKI126" s="1"/>
      <c r="KKJ126" s="1"/>
      <c r="KKK126" s="1"/>
      <c r="KKL126" s="1"/>
      <c r="KKM126" s="1"/>
      <c r="KKN126" s="1"/>
      <c r="KKO126" s="1"/>
      <c r="KKP126" s="1"/>
      <c r="KKQ126" s="1"/>
      <c r="KKR126" s="1"/>
      <c r="KKS126" s="1"/>
      <c r="KKT126" s="1"/>
      <c r="KKU126" s="1"/>
      <c r="KKV126" s="1"/>
      <c r="KKW126" s="1"/>
      <c r="KKX126" s="1"/>
      <c r="KKY126" s="1"/>
      <c r="KKZ126" s="1"/>
      <c r="KLA126" s="1"/>
      <c r="KLB126" s="1"/>
      <c r="KLC126" s="1"/>
      <c r="KLD126" s="1"/>
      <c r="KLE126" s="1"/>
      <c r="KLF126" s="1"/>
      <c r="KLG126" s="1"/>
      <c r="KLH126" s="1"/>
      <c r="KLI126" s="1"/>
      <c r="KLJ126" s="1"/>
      <c r="KLK126" s="1"/>
      <c r="KLL126" s="1"/>
      <c r="KLM126" s="1"/>
      <c r="KLN126" s="1"/>
      <c r="KLO126" s="1"/>
      <c r="KLP126" s="1"/>
      <c r="KLQ126" s="1"/>
      <c r="KLR126" s="1"/>
      <c r="KLS126" s="1"/>
      <c r="KLT126" s="1"/>
      <c r="KLU126" s="1"/>
      <c r="KLV126" s="1"/>
      <c r="KLW126" s="1"/>
      <c r="KLX126" s="1"/>
      <c r="KLY126" s="1"/>
      <c r="KLZ126" s="1"/>
      <c r="KMA126" s="1"/>
      <c r="KMB126" s="1"/>
      <c r="KMC126" s="1"/>
      <c r="KMD126" s="1"/>
      <c r="KME126" s="1"/>
      <c r="KMF126" s="1"/>
      <c r="KMG126" s="1"/>
      <c r="KMH126" s="1"/>
      <c r="KMI126" s="1"/>
      <c r="KMJ126" s="1"/>
      <c r="KMK126" s="1"/>
      <c r="KML126" s="1"/>
      <c r="KMM126" s="1"/>
      <c r="KMN126" s="1"/>
      <c r="KMO126" s="1"/>
      <c r="KMP126" s="1"/>
      <c r="KMQ126" s="1"/>
      <c r="KMR126" s="1"/>
      <c r="KMS126" s="1"/>
      <c r="KMT126" s="1"/>
      <c r="KMU126" s="1"/>
      <c r="KMV126" s="1"/>
      <c r="KMW126" s="1"/>
      <c r="KMX126" s="1"/>
      <c r="KMY126" s="1"/>
      <c r="KMZ126" s="1"/>
      <c r="KNA126" s="1"/>
      <c r="KNB126" s="1"/>
      <c r="KNC126" s="1"/>
      <c r="KND126" s="1"/>
      <c r="KNE126" s="1"/>
      <c r="KNF126" s="1"/>
      <c r="KNG126" s="1"/>
      <c r="KNH126" s="1"/>
      <c r="KNI126" s="1"/>
      <c r="KNJ126" s="1"/>
      <c r="KNK126" s="1"/>
      <c r="KNL126" s="1"/>
      <c r="KNM126" s="1"/>
      <c r="KNN126" s="1"/>
      <c r="KNO126" s="1"/>
      <c r="KNP126" s="1"/>
      <c r="KNQ126" s="1"/>
      <c r="KNR126" s="1"/>
      <c r="KNS126" s="1"/>
      <c r="KNT126" s="1"/>
      <c r="KNU126" s="1"/>
      <c r="KNV126" s="1"/>
      <c r="KNW126" s="1"/>
      <c r="KNX126" s="1"/>
      <c r="KNY126" s="1"/>
      <c r="KNZ126" s="1"/>
      <c r="KOA126" s="1"/>
      <c r="KOB126" s="1"/>
      <c r="KOC126" s="1"/>
      <c r="KOD126" s="1"/>
      <c r="KOE126" s="1"/>
      <c r="KOF126" s="1"/>
      <c r="KOG126" s="1"/>
      <c r="KOH126" s="1"/>
      <c r="KOI126" s="1"/>
      <c r="KOJ126" s="1"/>
      <c r="KOK126" s="1"/>
      <c r="KOL126" s="1"/>
      <c r="KOM126" s="1"/>
      <c r="KON126" s="1"/>
      <c r="KOO126" s="1"/>
      <c r="KOP126" s="1"/>
      <c r="KOQ126" s="1"/>
      <c r="KOR126" s="1"/>
      <c r="KOS126" s="1"/>
      <c r="KOT126" s="1"/>
      <c r="KOU126" s="1"/>
      <c r="KOV126" s="1"/>
      <c r="KOW126" s="1"/>
      <c r="KOX126" s="1"/>
      <c r="KOY126" s="1"/>
      <c r="KOZ126" s="1"/>
      <c r="KPA126" s="1"/>
      <c r="KPB126" s="1"/>
      <c r="KPC126" s="1"/>
      <c r="KPD126" s="1"/>
      <c r="KPE126" s="1"/>
      <c r="KPF126" s="1"/>
      <c r="KPG126" s="1"/>
      <c r="KPH126" s="1"/>
      <c r="KPI126" s="1"/>
      <c r="KPJ126" s="1"/>
      <c r="KPK126" s="1"/>
      <c r="KPL126" s="1"/>
      <c r="KPM126" s="1"/>
      <c r="KPN126" s="1"/>
      <c r="KPO126" s="1"/>
      <c r="KPP126" s="1"/>
      <c r="KPQ126" s="1"/>
      <c r="KPR126" s="1"/>
      <c r="KPS126" s="1"/>
      <c r="KPT126" s="1"/>
      <c r="KPU126" s="1"/>
      <c r="KPV126" s="1"/>
      <c r="KPW126" s="1"/>
      <c r="KPX126" s="1"/>
      <c r="KPY126" s="1"/>
      <c r="KPZ126" s="1"/>
      <c r="KQA126" s="1"/>
      <c r="KQB126" s="1"/>
      <c r="KQC126" s="1"/>
      <c r="KQD126" s="1"/>
      <c r="KQE126" s="1"/>
      <c r="KQF126" s="1"/>
      <c r="KQG126" s="1"/>
      <c r="KQH126" s="1"/>
      <c r="KQI126" s="1"/>
      <c r="KQJ126" s="1"/>
      <c r="KQK126" s="1"/>
      <c r="KQL126" s="1"/>
      <c r="KQM126" s="1"/>
      <c r="KQN126" s="1"/>
      <c r="KQO126" s="1"/>
      <c r="KQP126" s="1"/>
      <c r="KQQ126" s="1"/>
      <c r="KQR126" s="1"/>
      <c r="KQS126" s="1"/>
      <c r="KQT126" s="1"/>
      <c r="KQU126" s="1"/>
      <c r="KQV126" s="1"/>
      <c r="KQW126" s="1"/>
      <c r="KQX126" s="1"/>
      <c r="KQY126" s="1"/>
      <c r="KQZ126" s="1"/>
      <c r="KRA126" s="1"/>
      <c r="KRB126" s="1"/>
      <c r="KRC126" s="1"/>
      <c r="KRD126" s="1"/>
      <c r="KRE126" s="1"/>
      <c r="KRF126" s="1"/>
      <c r="KRG126" s="1"/>
      <c r="KRH126" s="1"/>
      <c r="KRI126" s="1"/>
      <c r="KRJ126" s="1"/>
      <c r="KRK126" s="1"/>
      <c r="KRL126" s="1"/>
      <c r="KRM126" s="1"/>
      <c r="KRN126" s="1"/>
      <c r="KRO126" s="1"/>
      <c r="KRP126" s="1"/>
      <c r="KRQ126" s="1"/>
      <c r="KRR126" s="1"/>
      <c r="KRS126" s="1"/>
      <c r="KRT126" s="1"/>
      <c r="KRU126" s="1"/>
      <c r="KRV126" s="1"/>
      <c r="KRW126" s="1"/>
      <c r="KRX126" s="1"/>
      <c r="KRY126" s="1"/>
      <c r="KRZ126" s="1"/>
      <c r="KSA126" s="1"/>
      <c r="KSB126" s="1"/>
      <c r="KSC126" s="1"/>
      <c r="KSD126" s="1"/>
      <c r="KSE126" s="1"/>
      <c r="KSF126" s="1"/>
      <c r="KSG126" s="1"/>
      <c r="KSH126" s="1"/>
      <c r="KSI126" s="1"/>
      <c r="KSJ126" s="1"/>
      <c r="KSK126" s="1"/>
      <c r="KSL126" s="1"/>
      <c r="KSM126" s="1"/>
      <c r="KSN126" s="1"/>
      <c r="KSO126" s="1"/>
      <c r="KSP126" s="1"/>
      <c r="KSQ126" s="1"/>
      <c r="KSR126" s="1"/>
      <c r="KSS126" s="1"/>
      <c r="KST126" s="1"/>
      <c r="KSU126" s="1"/>
      <c r="KSV126" s="1"/>
      <c r="KSW126" s="1"/>
      <c r="KSX126" s="1"/>
      <c r="KSY126" s="1"/>
      <c r="KSZ126" s="1"/>
      <c r="KTA126" s="1"/>
      <c r="KTB126" s="1"/>
      <c r="KTC126" s="1"/>
      <c r="KTD126" s="1"/>
      <c r="KTE126" s="1"/>
      <c r="KTF126" s="1"/>
      <c r="KTG126" s="1"/>
      <c r="KTH126" s="1"/>
      <c r="KTI126" s="1"/>
      <c r="KTJ126" s="1"/>
      <c r="KTK126" s="1"/>
      <c r="KTL126" s="1"/>
      <c r="KTM126" s="1"/>
      <c r="KTN126" s="1"/>
      <c r="KTO126" s="1"/>
      <c r="KTP126" s="1"/>
      <c r="KTQ126" s="1"/>
      <c r="KTR126" s="1"/>
      <c r="KTS126" s="1"/>
      <c r="KTT126" s="1"/>
      <c r="KTU126" s="1"/>
      <c r="KTV126" s="1"/>
      <c r="KTW126" s="1"/>
      <c r="KTX126" s="1"/>
      <c r="KTY126" s="1"/>
      <c r="KTZ126" s="1"/>
      <c r="KUA126" s="1"/>
      <c r="KUB126" s="1"/>
      <c r="KUC126" s="1"/>
      <c r="KUD126" s="1"/>
      <c r="KUE126" s="1"/>
      <c r="KUF126" s="1"/>
      <c r="KUG126" s="1"/>
      <c r="KUH126" s="1"/>
      <c r="KUI126" s="1"/>
      <c r="KUJ126" s="1"/>
      <c r="KUK126" s="1"/>
      <c r="KUL126" s="1"/>
      <c r="KUM126" s="1"/>
      <c r="KUN126" s="1"/>
      <c r="KUO126" s="1"/>
      <c r="KUP126" s="1"/>
      <c r="KUQ126" s="1"/>
      <c r="KUR126" s="1"/>
      <c r="KUS126" s="1"/>
      <c r="KUT126" s="1"/>
      <c r="KUU126" s="1"/>
      <c r="KUV126" s="1"/>
      <c r="KUW126" s="1"/>
      <c r="KUX126" s="1"/>
      <c r="KUY126" s="1"/>
      <c r="KUZ126" s="1"/>
      <c r="KVA126" s="1"/>
      <c r="KVB126" s="1"/>
      <c r="KVC126" s="1"/>
      <c r="KVD126" s="1"/>
      <c r="KVE126" s="1"/>
      <c r="KVF126" s="1"/>
      <c r="KVG126" s="1"/>
      <c r="KVH126" s="1"/>
      <c r="KVI126" s="1"/>
      <c r="KVJ126" s="1"/>
      <c r="KVK126" s="1"/>
      <c r="KVL126" s="1"/>
      <c r="KVM126" s="1"/>
      <c r="KVN126" s="1"/>
      <c r="KVO126" s="1"/>
      <c r="KVP126" s="1"/>
      <c r="KVQ126" s="1"/>
      <c r="KVR126" s="1"/>
      <c r="KVS126" s="1"/>
      <c r="KVT126" s="1"/>
      <c r="KVU126" s="1"/>
      <c r="KVV126" s="1"/>
      <c r="KVW126" s="1"/>
      <c r="KVX126" s="1"/>
      <c r="KVY126" s="1"/>
      <c r="KVZ126" s="1"/>
      <c r="KWA126" s="1"/>
      <c r="KWB126" s="1"/>
      <c r="KWC126" s="1"/>
      <c r="KWD126" s="1"/>
      <c r="KWE126" s="1"/>
      <c r="KWF126" s="1"/>
      <c r="KWG126" s="1"/>
      <c r="KWH126" s="1"/>
      <c r="KWI126" s="1"/>
      <c r="KWJ126" s="1"/>
      <c r="KWK126" s="1"/>
      <c r="KWL126" s="1"/>
      <c r="KWM126" s="1"/>
      <c r="KWN126" s="1"/>
      <c r="KWO126" s="1"/>
      <c r="KWP126" s="1"/>
      <c r="KWQ126" s="1"/>
      <c r="KWR126" s="1"/>
      <c r="KWS126" s="1"/>
      <c r="KWT126" s="1"/>
      <c r="KWU126" s="1"/>
      <c r="KWV126" s="1"/>
      <c r="KWW126" s="1"/>
      <c r="KWX126" s="1"/>
      <c r="KWY126" s="1"/>
      <c r="KWZ126" s="1"/>
      <c r="KXA126" s="1"/>
      <c r="KXB126" s="1"/>
      <c r="KXC126" s="1"/>
      <c r="KXD126" s="1"/>
      <c r="KXE126" s="1"/>
      <c r="KXF126" s="1"/>
      <c r="KXG126" s="1"/>
      <c r="KXH126" s="1"/>
      <c r="KXI126" s="1"/>
      <c r="KXJ126" s="1"/>
      <c r="KXK126" s="1"/>
      <c r="KXL126" s="1"/>
      <c r="KXM126" s="1"/>
      <c r="KXN126" s="1"/>
      <c r="KXO126" s="1"/>
      <c r="KXP126" s="1"/>
      <c r="KXQ126" s="1"/>
      <c r="KXR126" s="1"/>
      <c r="KXS126" s="1"/>
      <c r="KXT126" s="1"/>
      <c r="KXU126" s="1"/>
      <c r="KXV126" s="1"/>
      <c r="KXW126" s="1"/>
      <c r="KXX126" s="1"/>
      <c r="KXY126" s="1"/>
      <c r="KXZ126" s="1"/>
      <c r="KYA126" s="1"/>
      <c r="KYB126" s="1"/>
      <c r="KYC126" s="1"/>
      <c r="KYD126" s="1"/>
      <c r="KYE126" s="1"/>
      <c r="KYF126" s="1"/>
      <c r="KYG126" s="1"/>
      <c r="KYH126" s="1"/>
      <c r="KYI126" s="1"/>
      <c r="KYJ126" s="1"/>
      <c r="KYK126" s="1"/>
      <c r="KYL126" s="1"/>
      <c r="KYM126" s="1"/>
      <c r="KYN126" s="1"/>
      <c r="KYO126" s="1"/>
      <c r="KYP126" s="1"/>
      <c r="KYQ126" s="1"/>
      <c r="KYR126" s="1"/>
      <c r="KYS126" s="1"/>
      <c r="KYT126" s="1"/>
      <c r="KYU126" s="1"/>
      <c r="KYV126" s="1"/>
      <c r="KYW126" s="1"/>
      <c r="KYX126" s="1"/>
      <c r="KYY126" s="1"/>
      <c r="KYZ126" s="1"/>
      <c r="KZA126" s="1"/>
      <c r="KZB126" s="1"/>
      <c r="KZC126" s="1"/>
      <c r="KZD126" s="1"/>
      <c r="KZE126" s="1"/>
      <c r="KZF126" s="1"/>
      <c r="KZG126" s="1"/>
      <c r="KZH126" s="1"/>
      <c r="KZI126" s="1"/>
      <c r="KZJ126" s="1"/>
      <c r="KZK126" s="1"/>
      <c r="KZL126" s="1"/>
      <c r="KZM126" s="1"/>
      <c r="KZN126" s="1"/>
      <c r="KZO126" s="1"/>
      <c r="KZP126" s="1"/>
      <c r="KZQ126" s="1"/>
      <c r="KZR126" s="1"/>
      <c r="KZS126" s="1"/>
      <c r="KZT126" s="1"/>
      <c r="KZU126" s="1"/>
      <c r="KZV126" s="1"/>
      <c r="KZW126" s="1"/>
      <c r="KZX126" s="1"/>
      <c r="KZY126" s="1"/>
      <c r="KZZ126" s="1"/>
      <c r="LAA126" s="1"/>
      <c r="LAB126" s="1"/>
      <c r="LAC126" s="1"/>
      <c r="LAD126" s="1"/>
      <c r="LAE126" s="1"/>
      <c r="LAF126" s="1"/>
      <c r="LAG126" s="1"/>
      <c r="LAH126" s="1"/>
      <c r="LAI126" s="1"/>
      <c r="LAJ126" s="1"/>
      <c r="LAK126" s="1"/>
      <c r="LAL126" s="1"/>
      <c r="LAM126" s="1"/>
      <c r="LAN126" s="1"/>
      <c r="LAO126" s="1"/>
      <c r="LAP126" s="1"/>
      <c r="LAQ126" s="1"/>
      <c r="LAR126" s="1"/>
      <c r="LAS126" s="1"/>
      <c r="LAT126" s="1"/>
      <c r="LAU126" s="1"/>
      <c r="LAV126" s="1"/>
      <c r="LAW126" s="1"/>
      <c r="LAX126" s="1"/>
      <c r="LAY126" s="1"/>
      <c r="LAZ126" s="1"/>
      <c r="LBA126" s="1"/>
      <c r="LBB126" s="1"/>
      <c r="LBC126" s="1"/>
      <c r="LBD126" s="1"/>
      <c r="LBE126" s="1"/>
      <c r="LBF126" s="1"/>
      <c r="LBG126" s="1"/>
      <c r="LBH126" s="1"/>
      <c r="LBI126" s="1"/>
      <c r="LBJ126" s="1"/>
      <c r="LBK126" s="1"/>
      <c r="LBL126" s="1"/>
      <c r="LBM126" s="1"/>
      <c r="LBN126" s="1"/>
      <c r="LBO126" s="1"/>
      <c r="LBP126" s="1"/>
      <c r="LBQ126" s="1"/>
      <c r="LBR126" s="1"/>
      <c r="LBS126" s="1"/>
      <c r="LBT126" s="1"/>
      <c r="LBU126" s="1"/>
      <c r="LBV126" s="1"/>
      <c r="LBW126" s="1"/>
      <c r="LBX126" s="1"/>
      <c r="LBY126" s="1"/>
      <c r="LBZ126" s="1"/>
      <c r="LCA126" s="1"/>
      <c r="LCB126" s="1"/>
      <c r="LCC126" s="1"/>
      <c r="LCD126" s="1"/>
      <c r="LCE126" s="1"/>
      <c r="LCF126" s="1"/>
      <c r="LCG126" s="1"/>
      <c r="LCH126" s="1"/>
      <c r="LCI126" s="1"/>
      <c r="LCJ126" s="1"/>
      <c r="LCK126" s="1"/>
      <c r="LCL126" s="1"/>
      <c r="LCM126" s="1"/>
      <c r="LCN126" s="1"/>
      <c r="LCO126" s="1"/>
      <c r="LCP126" s="1"/>
      <c r="LCQ126" s="1"/>
      <c r="LCR126" s="1"/>
      <c r="LCS126" s="1"/>
      <c r="LCT126" s="1"/>
      <c r="LCU126" s="1"/>
      <c r="LCV126" s="1"/>
      <c r="LCW126" s="1"/>
      <c r="LCX126" s="1"/>
      <c r="LCY126" s="1"/>
      <c r="LCZ126" s="1"/>
      <c r="LDA126" s="1"/>
      <c r="LDB126" s="1"/>
      <c r="LDC126" s="1"/>
      <c r="LDD126" s="1"/>
      <c r="LDE126" s="1"/>
      <c r="LDF126" s="1"/>
      <c r="LDG126" s="1"/>
      <c r="LDH126" s="1"/>
      <c r="LDI126" s="1"/>
      <c r="LDJ126" s="1"/>
      <c r="LDK126" s="1"/>
      <c r="LDL126" s="1"/>
      <c r="LDM126" s="1"/>
      <c r="LDN126" s="1"/>
      <c r="LDO126" s="1"/>
      <c r="LDP126" s="1"/>
      <c r="LDQ126" s="1"/>
      <c r="LDR126" s="1"/>
      <c r="LDS126" s="1"/>
      <c r="LDT126" s="1"/>
      <c r="LDU126" s="1"/>
      <c r="LDV126" s="1"/>
      <c r="LDW126" s="1"/>
      <c r="LDX126" s="1"/>
      <c r="LDY126" s="1"/>
      <c r="LDZ126" s="1"/>
      <c r="LEA126" s="1"/>
      <c r="LEB126" s="1"/>
      <c r="LEC126" s="1"/>
      <c r="LED126" s="1"/>
      <c r="LEE126" s="1"/>
      <c r="LEF126" s="1"/>
      <c r="LEG126" s="1"/>
      <c r="LEH126" s="1"/>
      <c r="LEI126" s="1"/>
      <c r="LEJ126" s="1"/>
      <c r="LEK126" s="1"/>
      <c r="LEL126" s="1"/>
      <c r="LEM126" s="1"/>
      <c r="LEN126" s="1"/>
      <c r="LEO126" s="1"/>
      <c r="LEP126" s="1"/>
      <c r="LEQ126" s="1"/>
      <c r="LER126" s="1"/>
      <c r="LES126" s="1"/>
      <c r="LET126" s="1"/>
      <c r="LEU126" s="1"/>
      <c r="LEV126" s="1"/>
      <c r="LEW126" s="1"/>
      <c r="LEX126" s="1"/>
      <c r="LEY126" s="1"/>
      <c r="LEZ126" s="1"/>
      <c r="LFA126" s="1"/>
      <c r="LFB126" s="1"/>
      <c r="LFC126" s="1"/>
      <c r="LFD126" s="1"/>
      <c r="LFE126" s="1"/>
      <c r="LFF126" s="1"/>
      <c r="LFG126" s="1"/>
      <c r="LFH126" s="1"/>
      <c r="LFI126" s="1"/>
      <c r="LFJ126" s="1"/>
      <c r="LFK126" s="1"/>
      <c r="LFL126" s="1"/>
      <c r="LFM126" s="1"/>
      <c r="LFN126" s="1"/>
      <c r="LFO126" s="1"/>
      <c r="LFP126" s="1"/>
      <c r="LFQ126" s="1"/>
      <c r="LFR126" s="1"/>
      <c r="LFS126" s="1"/>
      <c r="LFT126" s="1"/>
      <c r="LFU126" s="1"/>
      <c r="LFV126" s="1"/>
      <c r="LFW126" s="1"/>
      <c r="LFX126" s="1"/>
      <c r="LFY126" s="1"/>
      <c r="LFZ126" s="1"/>
      <c r="LGA126" s="1"/>
      <c r="LGB126" s="1"/>
      <c r="LGC126" s="1"/>
      <c r="LGD126" s="1"/>
      <c r="LGE126" s="1"/>
      <c r="LGF126" s="1"/>
      <c r="LGG126" s="1"/>
      <c r="LGH126" s="1"/>
      <c r="LGI126" s="1"/>
      <c r="LGJ126" s="1"/>
      <c r="LGK126" s="1"/>
      <c r="LGL126" s="1"/>
      <c r="LGM126" s="1"/>
      <c r="LGN126" s="1"/>
      <c r="LGO126" s="1"/>
      <c r="LGP126" s="1"/>
      <c r="LGQ126" s="1"/>
      <c r="LGR126" s="1"/>
      <c r="LGS126" s="1"/>
      <c r="LGT126" s="1"/>
      <c r="LGU126" s="1"/>
      <c r="LGV126" s="1"/>
      <c r="LGW126" s="1"/>
      <c r="LGX126" s="1"/>
      <c r="LGY126" s="1"/>
      <c r="LGZ126" s="1"/>
      <c r="LHA126" s="1"/>
      <c r="LHB126" s="1"/>
      <c r="LHC126" s="1"/>
      <c r="LHD126" s="1"/>
      <c r="LHE126" s="1"/>
      <c r="LHF126" s="1"/>
      <c r="LHG126" s="1"/>
      <c r="LHH126" s="1"/>
      <c r="LHI126" s="1"/>
      <c r="LHJ126" s="1"/>
      <c r="LHK126" s="1"/>
      <c r="LHL126" s="1"/>
      <c r="LHM126" s="1"/>
      <c r="LHN126" s="1"/>
      <c r="LHO126" s="1"/>
      <c r="LHP126" s="1"/>
      <c r="LHQ126" s="1"/>
      <c r="LHR126" s="1"/>
      <c r="LHS126" s="1"/>
      <c r="LHT126" s="1"/>
      <c r="LHU126" s="1"/>
      <c r="LHV126" s="1"/>
      <c r="LHW126" s="1"/>
      <c r="LHX126" s="1"/>
      <c r="LHY126" s="1"/>
      <c r="LHZ126" s="1"/>
      <c r="LIA126" s="1"/>
      <c r="LIB126" s="1"/>
      <c r="LIC126" s="1"/>
      <c r="LID126" s="1"/>
      <c r="LIE126" s="1"/>
      <c r="LIF126" s="1"/>
      <c r="LIG126" s="1"/>
      <c r="LIH126" s="1"/>
      <c r="LII126" s="1"/>
      <c r="LIJ126" s="1"/>
      <c r="LIK126" s="1"/>
      <c r="LIL126" s="1"/>
      <c r="LIM126" s="1"/>
      <c r="LIN126" s="1"/>
      <c r="LIO126" s="1"/>
      <c r="LIP126" s="1"/>
      <c r="LIQ126" s="1"/>
      <c r="LIR126" s="1"/>
      <c r="LIS126" s="1"/>
      <c r="LIT126" s="1"/>
      <c r="LIU126" s="1"/>
      <c r="LIV126" s="1"/>
      <c r="LIW126" s="1"/>
      <c r="LIX126" s="1"/>
      <c r="LIY126" s="1"/>
      <c r="LIZ126" s="1"/>
      <c r="LJA126" s="1"/>
      <c r="LJB126" s="1"/>
      <c r="LJC126" s="1"/>
      <c r="LJD126" s="1"/>
      <c r="LJE126" s="1"/>
      <c r="LJF126" s="1"/>
      <c r="LJG126" s="1"/>
      <c r="LJH126" s="1"/>
      <c r="LJI126" s="1"/>
      <c r="LJJ126" s="1"/>
      <c r="LJK126" s="1"/>
      <c r="LJL126" s="1"/>
      <c r="LJM126" s="1"/>
      <c r="LJN126" s="1"/>
      <c r="LJO126" s="1"/>
      <c r="LJP126" s="1"/>
      <c r="LJQ126" s="1"/>
      <c r="LJR126" s="1"/>
      <c r="LJS126" s="1"/>
      <c r="LJT126" s="1"/>
      <c r="LJU126" s="1"/>
      <c r="LJV126" s="1"/>
      <c r="LJW126" s="1"/>
      <c r="LJX126" s="1"/>
      <c r="LJY126" s="1"/>
      <c r="LJZ126" s="1"/>
      <c r="LKA126" s="1"/>
      <c r="LKB126" s="1"/>
      <c r="LKC126" s="1"/>
      <c r="LKD126" s="1"/>
      <c r="LKE126" s="1"/>
      <c r="LKF126" s="1"/>
      <c r="LKG126" s="1"/>
      <c r="LKH126" s="1"/>
      <c r="LKI126" s="1"/>
      <c r="LKJ126" s="1"/>
      <c r="LKK126" s="1"/>
      <c r="LKL126" s="1"/>
      <c r="LKM126" s="1"/>
      <c r="LKN126" s="1"/>
      <c r="LKO126" s="1"/>
      <c r="LKP126" s="1"/>
      <c r="LKQ126" s="1"/>
      <c r="LKR126" s="1"/>
      <c r="LKS126" s="1"/>
      <c r="LKT126" s="1"/>
      <c r="LKU126" s="1"/>
      <c r="LKV126" s="1"/>
      <c r="LKW126" s="1"/>
      <c r="LKX126" s="1"/>
      <c r="LKY126" s="1"/>
      <c r="LKZ126" s="1"/>
      <c r="LLA126" s="1"/>
      <c r="LLB126" s="1"/>
      <c r="LLC126" s="1"/>
      <c r="LLD126" s="1"/>
      <c r="LLE126" s="1"/>
      <c r="LLF126" s="1"/>
      <c r="LLG126" s="1"/>
      <c r="LLH126" s="1"/>
      <c r="LLI126" s="1"/>
      <c r="LLJ126" s="1"/>
      <c r="LLK126" s="1"/>
      <c r="LLL126" s="1"/>
      <c r="LLM126" s="1"/>
      <c r="LLN126" s="1"/>
      <c r="LLO126" s="1"/>
      <c r="LLP126" s="1"/>
      <c r="LLQ126" s="1"/>
      <c r="LLR126" s="1"/>
      <c r="LLS126" s="1"/>
      <c r="LLT126" s="1"/>
      <c r="LLU126" s="1"/>
      <c r="LLV126" s="1"/>
      <c r="LLW126" s="1"/>
      <c r="LLX126" s="1"/>
      <c r="LLY126" s="1"/>
      <c r="LLZ126" s="1"/>
      <c r="LMA126" s="1"/>
      <c r="LMB126" s="1"/>
      <c r="LMC126" s="1"/>
      <c r="LMD126" s="1"/>
      <c r="LME126" s="1"/>
      <c r="LMF126" s="1"/>
      <c r="LMG126" s="1"/>
      <c r="LMH126" s="1"/>
      <c r="LMI126" s="1"/>
      <c r="LMJ126" s="1"/>
      <c r="LMK126" s="1"/>
      <c r="LML126" s="1"/>
      <c r="LMM126" s="1"/>
      <c r="LMN126" s="1"/>
      <c r="LMO126" s="1"/>
      <c r="LMP126" s="1"/>
      <c r="LMQ126" s="1"/>
      <c r="LMR126" s="1"/>
      <c r="LMS126" s="1"/>
      <c r="LMT126" s="1"/>
      <c r="LMU126" s="1"/>
      <c r="LMV126" s="1"/>
      <c r="LMW126" s="1"/>
      <c r="LMX126" s="1"/>
      <c r="LMY126" s="1"/>
      <c r="LMZ126" s="1"/>
      <c r="LNA126" s="1"/>
      <c r="LNB126" s="1"/>
      <c r="LNC126" s="1"/>
      <c r="LND126" s="1"/>
      <c r="LNE126" s="1"/>
      <c r="LNF126" s="1"/>
      <c r="LNG126" s="1"/>
      <c r="LNH126" s="1"/>
      <c r="LNI126" s="1"/>
      <c r="LNJ126" s="1"/>
      <c r="LNK126" s="1"/>
      <c r="LNL126" s="1"/>
      <c r="LNM126" s="1"/>
      <c r="LNN126" s="1"/>
      <c r="LNO126" s="1"/>
      <c r="LNP126" s="1"/>
      <c r="LNQ126" s="1"/>
      <c r="LNR126" s="1"/>
      <c r="LNS126" s="1"/>
      <c r="LNT126" s="1"/>
      <c r="LNU126" s="1"/>
      <c r="LNV126" s="1"/>
      <c r="LNW126" s="1"/>
      <c r="LNX126" s="1"/>
      <c r="LNY126" s="1"/>
      <c r="LNZ126" s="1"/>
      <c r="LOA126" s="1"/>
      <c r="LOB126" s="1"/>
      <c r="LOC126" s="1"/>
      <c r="LOD126" s="1"/>
      <c r="LOE126" s="1"/>
      <c r="LOF126" s="1"/>
      <c r="LOG126" s="1"/>
      <c r="LOH126" s="1"/>
      <c r="LOI126" s="1"/>
      <c r="LOJ126" s="1"/>
      <c r="LOK126" s="1"/>
      <c r="LOL126" s="1"/>
      <c r="LOM126" s="1"/>
      <c r="LON126" s="1"/>
      <c r="LOO126" s="1"/>
      <c r="LOP126" s="1"/>
      <c r="LOQ126" s="1"/>
      <c r="LOR126" s="1"/>
      <c r="LOS126" s="1"/>
      <c r="LOT126" s="1"/>
      <c r="LOU126" s="1"/>
      <c r="LOV126" s="1"/>
      <c r="LOW126" s="1"/>
      <c r="LOX126" s="1"/>
      <c r="LOY126" s="1"/>
      <c r="LOZ126" s="1"/>
      <c r="LPA126" s="1"/>
      <c r="LPB126" s="1"/>
      <c r="LPC126" s="1"/>
      <c r="LPD126" s="1"/>
      <c r="LPE126" s="1"/>
      <c r="LPF126" s="1"/>
      <c r="LPG126" s="1"/>
      <c r="LPH126" s="1"/>
      <c r="LPI126" s="1"/>
      <c r="LPJ126" s="1"/>
      <c r="LPK126" s="1"/>
      <c r="LPL126" s="1"/>
      <c r="LPM126" s="1"/>
      <c r="LPN126" s="1"/>
      <c r="LPO126" s="1"/>
      <c r="LPP126" s="1"/>
      <c r="LPQ126" s="1"/>
      <c r="LPR126" s="1"/>
      <c r="LPS126" s="1"/>
      <c r="LPT126" s="1"/>
      <c r="LPU126" s="1"/>
      <c r="LPV126" s="1"/>
      <c r="LPW126" s="1"/>
      <c r="LPX126" s="1"/>
      <c r="LPY126" s="1"/>
      <c r="LPZ126" s="1"/>
      <c r="LQA126" s="1"/>
      <c r="LQB126" s="1"/>
      <c r="LQC126" s="1"/>
      <c r="LQD126" s="1"/>
      <c r="LQE126" s="1"/>
      <c r="LQF126" s="1"/>
      <c r="LQG126" s="1"/>
      <c r="LQH126" s="1"/>
      <c r="LQI126" s="1"/>
      <c r="LQJ126" s="1"/>
      <c r="LQK126" s="1"/>
      <c r="LQL126" s="1"/>
      <c r="LQM126" s="1"/>
      <c r="LQN126" s="1"/>
      <c r="LQO126" s="1"/>
      <c r="LQP126" s="1"/>
      <c r="LQQ126" s="1"/>
      <c r="LQR126" s="1"/>
      <c r="LQS126" s="1"/>
      <c r="LQT126" s="1"/>
      <c r="LQU126" s="1"/>
      <c r="LQV126" s="1"/>
      <c r="LQW126" s="1"/>
      <c r="LQX126" s="1"/>
      <c r="LQY126" s="1"/>
      <c r="LQZ126" s="1"/>
      <c r="LRA126" s="1"/>
      <c r="LRB126" s="1"/>
      <c r="LRC126" s="1"/>
      <c r="LRD126" s="1"/>
      <c r="LRE126" s="1"/>
      <c r="LRF126" s="1"/>
      <c r="LRG126" s="1"/>
      <c r="LRH126" s="1"/>
      <c r="LRI126" s="1"/>
      <c r="LRJ126" s="1"/>
      <c r="LRK126" s="1"/>
      <c r="LRL126" s="1"/>
      <c r="LRM126" s="1"/>
      <c r="LRN126" s="1"/>
      <c r="LRO126" s="1"/>
      <c r="LRP126" s="1"/>
      <c r="LRQ126" s="1"/>
      <c r="LRR126" s="1"/>
      <c r="LRS126" s="1"/>
      <c r="LRT126" s="1"/>
      <c r="LRU126" s="1"/>
      <c r="LRV126" s="1"/>
      <c r="LRW126" s="1"/>
      <c r="LRX126" s="1"/>
      <c r="LRY126" s="1"/>
      <c r="LRZ126" s="1"/>
      <c r="LSA126" s="1"/>
      <c r="LSB126" s="1"/>
      <c r="LSC126" s="1"/>
      <c r="LSD126" s="1"/>
      <c r="LSE126" s="1"/>
      <c r="LSF126" s="1"/>
      <c r="LSG126" s="1"/>
      <c r="LSH126" s="1"/>
      <c r="LSI126" s="1"/>
      <c r="LSJ126" s="1"/>
      <c r="LSK126" s="1"/>
      <c r="LSL126" s="1"/>
      <c r="LSM126" s="1"/>
      <c r="LSN126" s="1"/>
      <c r="LSO126" s="1"/>
      <c r="LSP126" s="1"/>
      <c r="LSQ126" s="1"/>
      <c r="LSR126" s="1"/>
      <c r="LSS126" s="1"/>
      <c r="LST126" s="1"/>
      <c r="LSU126" s="1"/>
      <c r="LSV126" s="1"/>
      <c r="LSW126" s="1"/>
      <c r="LSX126" s="1"/>
      <c r="LSY126" s="1"/>
      <c r="LSZ126" s="1"/>
      <c r="LTA126" s="1"/>
      <c r="LTB126" s="1"/>
      <c r="LTC126" s="1"/>
      <c r="LTD126" s="1"/>
      <c r="LTE126" s="1"/>
      <c r="LTF126" s="1"/>
      <c r="LTG126" s="1"/>
      <c r="LTH126" s="1"/>
      <c r="LTI126" s="1"/>
      <c r="LTJ126" s="1"/>
      <c r="LTK126" s="1"/>
      <c r="LTL126" s="1"/>
      <c r="LTM126" s="1"/>
      <c r="LTN126" s="1"/>
      <c r="LTO126" s="1"/>
      <c r="LTP126" s="1"/>
      <c r="LTQ126" s="1"/>
      <c r="LTR126" s="1"/>
      <c r="LTS126" s="1"/>
      <c r="LTT126" s="1"/>
      <c r="LTU126" s="1"/>
      <c r="LTV126" s="1"/>
      <c r="LTW126" s="1"/>
      <c r="LTX126" s="1"/>
      <c r="LTY126" s="1"/>
      <c r="LTZ126" s="1"/>
      <c r="LUA126" s="1"/>
      <c r="LUB126" s="1"/>
      <c r="LUC126" s="1"/>
      <c r="LUD126" s="1"/>
      <c r="LUE126" s="1"/>
      <c r="LUF126" s="1"/>
      <c r="LUG126" s="1"/>
      <c r="LUH126" s="1"/>
      <c r="LUI126" s="1"/>
      <c r="LUJ126" s="1"/>
      <c r="LUK126" s="1"/>
      <c r="LUL126" s="1"/>
      <c r="LUM126" s="1"/>
      <c r="LUN126" s="1"/>
      <c r="LUO126" s="1"/>
      <c r="LUP126" s="1"/>
      <c r="LUQ126" s="1"/>
      <c r="LUR126" s="1"/>
      <c r="LUS126" s="1"/>
      <c r="LUT126" s="1"/>
      <c r="LUU126" s="1"/>
      <c r="LUV126" s="1"/>
      <c r="LUW126" s="1"/>
      <c r="LUX126" s="1"/>
      <c r="LUY126" s="1"/>
      <c r="LUZ126" s="1"/>
      <c r="LVA126" s="1"/>
      <c r="LVB126" s="1"/>
      <c r="LVC126" s="1"/>
      <c r="LVD126" s="1"/>
      <c r="LVE126" s="1"/>
      <c r="LVF126" s="1"/>
      <c r="LVG126" s="1"/>
      <c r="LVH126" s="1"/>
      <c r="LVI126" s="1"/>
      <c r="LVJ126" s="1"/>
      <c r="LVK126" s="1"/>
      <c r="LVL126" s="1"/>
      <c r="LVM126" s="1"/>
      <c r="LVN126" s="1"/>
      <c r="LVO126" s="1"/>
      <c r="LVP126" s="1"/>
      <c r="LVQ126" s="1"/>
      <c r="LVR126" s="1"/>
      <c r="LVS126" s="1"/>
      <c r="LVT126" s="1"/>
      <c r="LVU126" s="1"/>
      <c r="LVV126" s="1"/>
      <c r="LVW126" s="1"/>
      <c r="LVX126" s="1"/>
      <c r="LVY126" s="1"/>
      <c r="LVZ126" s="1"/>
      <c r="LWA126" s="1"/>
      <c r="LWB126" s="1"/>
      <c r="LWC126" s="1"/>
      <c r="LWD126" s="1"/>
      <c r="LWE126" s="1"/>
      <c r="LWF126" s="1"/>
      <c r="LWG126" s="1"/>
      <c r="LWH126" s="1"/>
      <c r="LWI126" s="1"/>
      <c r="LWJ126" s="1"/>
      <c r="LWK126" s="1"/>
      <c r="LWL126" s="1"/>
      <c r="LWM126" s="1"/>
      <c r="LWN126" s="1"/>
      <c r="LWO126" s="1"/>
      <c r="LWP126" s="1"/>
      <c r="LWQ126" s="1"/>
      <c r="LWR126" s="1"/>
      <c r="LWS126" s="1"/>
      <c r="LWT126" s="1"/>
      <c r="LWU126" s="1"/>
      <c r="LWV126" s="1"/>
      <c r="LWW126" s="1"/>
      <c r="LWX126" s="1"/>
      <c r="LWY126" s="1"/>
      <c r="LWZ126" s="1"/>
      <c r="LXA126" s="1"/>
      <c r="LXB126" s="1"/>
      <c r="LXC126" s="1"/>
      <c r="LXD126" s="1"/>
      <c r="LXE126" s="1"/>
      <c r="LXF126" s="1"/>
      <c r="LXG126" s="1"/>
      <c r="LXH126" s="1"/>
      <c r="LXI126" s="1"/>
      <c r="LXJ126" s="1"/>
      <c r="LXK126" s="1"/>
      <c r="LXL126" s="1"/>
      <c r="LXM126" s="1"/>
      <c r="LXN126" s="1"/>
      <c r="LXO126" s="1"/>
      <c r="LXP126" s="1"/>
      <c r="LXQ126" s="1"/>
      <c r="LXR126" s="1"/>
      <c r="LXS126" s="1"/>
      <c r="LXT126" s="1"/>
      <c r="LXU126" s="1"/>
      <c r="LXV126" s="1"/>
      <c r="LXW126" s="1"/>
      <c r="LXX126" s="1"/>
      <c r="LXY126" s="1"/>
      <c r="LXZ126" s="1"/>
      <c r="LYA126" s="1"/>
      <c r="LYB126" s="1"/>
      <c r="LYC126" s="1"/>
      <c r="LYD126" s="1"/>
      <c r="LYE126" s="1"/>
      <c r="LYF126" s="1"/>
      <c r="LYG126" s="1"/>
      <c r="LYH126" s="1"/>
      <c r="LYI126" s="1"/>
      <c r="LYJ126" s="1"/>
      <c r="LYK126" s="1"/>
      <c r="LYL126" s="1"/>
      <c r="LYM126" s="1"/>
      <c r="LYN126" s="1"/>
      <c r="LYO126" s="1"/>
      <c r="LYP126" s="1"/>
      <c r="LYQ126" s="1"/>
      <c r="LYR126" s="1"/>
      <c r="LYS126" s="1"/>
      <c r="LYT126" s="1"/>
      <c r="LYU126" s="1"/>
      <c r="LYV126" s="1"/>
      <c r="LYW126" s="1"/>
      <c r="LYX126" s="1"/>
      <c r="LYY126" s="1"/>
      <c r="LYZ126" s="1"/>
      <c r="LZA126" s="1"/>
      <c r="LZB126" s="1"/>
      <c r="LZC126" s="1"/>
      <c r="LZD126" s="1"/>
      <c r="LZE126" s="1"/>
      <c r="LZF126" s="1"/>
      <c r="LZG126" s="1"/>
      <c r="LZH126" s="1"/>
      <c r="LZI126" s="1"/>
      <c r="LZJ126" s="1"/>
      <c r="LZK126" s="1"/>
      <c r="LZL126" s="1"/>
      <c r="LZM126" s="1"/>
      <c r="LZN126" s="1"/>
      <c r="LZO126" s="1"/>
      <c r="LZP126" s="1"/>
      <c r="LZQ126" s="1"/>
      <c r="LZR126" s="1"/>
      <c r="LZS126" s="1"/>
      <c r="LZT126" s="1"/>
      <c r="LZU126" s="1"/>
      <c r="LZV126" s="1"/>
      <c r="LZW126" s="1"/>
      <c r="LZX126" s="1"/>
      <c r="LZY126" s="1"/>
      <c r="LZZ126" s="1"/>
      <c r="MAA126" s="1"/>
      <c r="MAB126" s="1"/>
      <c r="MAC126" s="1"/>
      <c r="MAD126" s="1"/>
      <c r="MAE126" s="1"/>
      <c r="MAF126" s="1"/>
      <c r="MAG126" s="1"/>
      <c r="MAH126" s="1"/>
      <c r="MAI126" s="1"/>
      <c r="MAJ126" s="1"/>
      <c r="MAK126" s="1"/>
      <c r="MAL126" s="1"/>
      <c r="MAM126" s="1"/>
      <c r="MAN126" s="1"/>
      <c r="MAO126" s="1"/>
      <c r="MAP126" s="1"/>
      <c r="MAQ126" s="1"/>
      <c r="MAR126" s="1"/>
      <c r="MAS126" s="1"/>
      <c r="MAT126" s="1"/>
      <c r="MAU126" s="1"/>
      <c r="MAV126" s="1"/>
      <c r="MAW126" s="1"/>
      <c r="MAX126" s="1"/>
      <c r="MAY126" s="1"/>
      <c r="MAZ126" s="1"/>
      <c r="MBA126" s="1"/>
      <c r="MBB126" s="1"/>
      <c r="MBC126" s="1"/>
      <c r="MBD126" s="1"/>
      <c r="MBE126" s="1"/>
      <c r="MBF126" s="1"/>
      <c r="MBG126" s="1"/>
      <c r="MBH126" s="1"/>
      <c r="MBI126" s="1"/>
      <c r="MBJ126" s="1"/>
      <c r="MBK126" s="1"/>
      <c r="MBL126" s="1"/>
      <c r="MBM126" s="1"/>
      <c r="MBN126" s="1"/>
      <c r="MBO126" s="1"/>
      <c r="MBP126" s="1"/>
      <c r="MBQ126" s="1"/>
      <c r="MBR126" s="1"/>
      <c r="MBS126" s="1"/>
      <c r="MBT126" s="1"/>
      <c r="MBU126" s="1"/>
      <c r="MBV126" s="1"/>
      <c r="MBW126" s="1"/>
      <c r="MBX126" s="1"/>
      <c r="MBY126" s="1"/>
      <c r="MBZ126" s="1"/>
      <c r="MCA126" s="1"/>
      <c r="MCB126" s="1"/>
      <c r="MCC126" s="1"/>
      <c r="MCD126" s="1"/>
      <c r="MCE126" s="1"/>
      <c r="MCF126" s="1"/>
      <c r="MCG126" s="1"/>
      <c r="MCH126" s="1"/>
      <c r="MCI126" s="1"/>
      <c r="MCJ126" s="1"/>
      <c r="MCK126" s="1"/>
      <c r="MCL126" s="1"/>
      <c r="MCM126" s="1"/>
      <c r="MCN126" s="1"/>
      <c r="MCO126" s="1"/>
      <c r="MCP126" s="1"/>
      <c r="MCQ126" s="1"/>
      <c r="MCR126" s="1"/>
      <c r="MCS126" s="1"/>
      <c r="MCT126" s="1"/>
      <c r="MCU126" s="1"/>
      <c r="MCV126" s="1"/>
      <c r="MCW126" s="1"/>
      <c r="MCX126" s="1"/>
      <c r="MCY126" s="1"/>
      <c r="MCZ126" s="1"/>
      <c r="MDA126" s="1"/>
      <c r="MDB126" s="1"/>
      <c r="MDC126" s="1"/>
      <c r="MDD126" s="1"/>
      <c r="MDE126" s="1"/>
      <c r="MDF126" s="1"/>
      <c r="MDG126" s="1"/>
      <c r="MDH126" s="1"/>
      <c r="MDI126" s="1"/>
      <c r="MDJ126" s="1"/>
      <c r="MDK126" s="1"/>
      <c r="MDL126" s="1"/>
      <c r="MDM126" s="1"/>
      <c r="MDN126" s="1"/>
      <c r="MDO126" s="1"/>
      <c r="MDP126" s="1"/>
      <c r="MDQ126" s="1"/>
      <c r="MDR126" s="1"/>
      <c r="MDS126" s="1"/>
      <c r="MDT126" s="1"/>
      <c r="MDU126" s="1"/>
      <c r="MDV126" s="1"/>
      <c r="MDW126" s="1"/>
      <c r="MDX126" s="1"/>
      <c r="MDY126" s="1"/>
      <c r="MDZ126" s="1"/>
      <c r="MEA126" s="1"/>
      <c r="MEB126" s="1"/>
      <c r="MEC126" s="1"/>
      <c r="MED126" s="1"/>
      <c r="MEE126" s="1"/>
      <c r="MEF126" s="1"/>
      <c r="MEG126" s="1"/>
      <c r="MEH126" s="1"/>
      <c r="MEI126" s="1"/>
      <c r="MEJ126" s="1"/>
      <c r="MEK126" s="1"/>
      <c r="MEL126" s="1"/>
      <c r="MEM126" s="1"/>
      <c r="MEN126" s="1"/>
      <c r="MEO126" s="1"/>
      <c r="MEP126" s="1"/>
      <c r="MEQ126" s="1"/>
      <c r="MER126" s="1"/>
      <c r="MES126" s="1"/>
      <c r="MET126" s="1"/>
      <c r="MEU126" s="1"/>
      <c r="MEV126" s="1"/>
      <c r="MEW126" s="1"/>
      <c r="MEX126" s="1"/>
      <c r="MEY126" s="1"/>
      <c r="MEZ126" s="1"/>
      <c r="MFA126" s="1"/>
      <c r="MFB126" s="1"/>
      <c r="MFC126" s="1"/>
      <c r="MFD126" s="1"/>
      <c r="MFE126" s="1"/>
      <c r="MFF126" s="1"/>
      <c r="MFG126" s="1"/>
      <c r="MFH126" s="1"/>
      <c r="MFI126" s="1"/>
      <c r="MFJ126" s="1"/>
      <c r="MFK126" s="1"/>
      <c r="MFL126" s="1"/>
      <c r="MFM126" s="1"/>
      <c r="MFN126" s="1"/>
      <c r="MFO126" s="1"/>
      <c r="MFP126" s="1"/>
      <c r="MFQ126" s="1"/>
      <c r="MFR126" s="1"/>
      <c r="MFS126" s="1"/>
      <c r="MFT126" s="1"/>
      <c r="MFU126" s="1"/>
      <c r="MFV126" s="1"/>
      <c r="MFW126" s="1"/>
      <c r="MFX126" s="1"/>
      <c r="MFY126" s="1"/>
      <c r="MFZ126" s="1"/>
      <c r="MGA126" s="1"/>
      <c r="MGB126" s="1"/>
      <c r="MGC126" s="1"/>
      <c r="MGD126" s="1"/>
      <c r="MGE126" s="1"/>
      <c r="MGF126" s="1"/>
      <c r="MGG126" s="1"/>
      <c r="MGH126" s="1"/>
      <c r="MGI126" s="1"/>
      <c r="MGJ126" s="1"/>
      <c r="MGK126" s="1"/>
      <c r="MGL126" s="1"/>
      <c r="MGM126" s="1"/>
      <c r="MGN126" s="1"/>
      <c r="MGO126" s="1"/>
      <c r="MGP126" s="1"/>
      <c r="MGQ126" s="1"/>
      <c r="MGR126" s="1"/>
      <c r="MGS126" s="1"/>
      <c r="MGT126" s="1"/>
      <c r="MGU126" s="1"/>
      <c r="MGV126" s="1"/>
      <c r="MGW126" s="1"/>
      <c r="MGX126" s="1"/>
      <c r="MGY126" s="1"/>
      <c r="MGZ126" s="1"/>
      <c r="MHA126" s="1"/>
      <c r="MHB126" s="1"/>
      <c r="MHC126" s="1"/>
      <c r="MHD126" s="1"/>
      <c r="MHE126" s="1"/>
      <c r="MHF126" s="1"/>
      <c r="MHG126" s="1"/>
      <c r="MHH126" s="1"/>
      <c r="MHI126" s="1"/>
      <c r="MHJ126" s="1"/>
      <c r="MHK126" s="1"/>
      <c r="MHL126" s="1"/>
      <c r="MHM126" s="1"/>
      <c r="MHN126" s="1"/>
      <c r="MHO126" s="1"/>
      <c r="MHP126" s="1"/>
      <c r="MHQ126" s="1"/>
      <c r="MHR126" s="1"/>
      <c r="MHS126" s="1"/>
      <c r="MHT126" s="1"/>
      <c r="MHU126" s="1"/>
      <c r="MHV126" s="1"/>
      <c r="MHW126" s="1"/>
      <c r="MHX126" s="1"/>
      <c r="MHY126" s="1"/>
      <c r="MHZ126" s="1"/>
      <c r="MIA126" s="1"/>
      <c r="MIB126" s="1"/>
      <c r="MIC126" s="1"/>
      <c r="MID126" s="1"/>
      <c r="MIE126" s="1"/>
      <c r="MIF126" s="1"/>
      <c r="MIG126" s="1"/>
      <c r="MIH126" s="1"/>
      <c r="MII126" s="1"/>
      <c r="MIJ126" s="1"/>
      <c r="MIK126" s="1"/>
      <c r="MIL126" s="1"/>
      <c r="MIM126" s="1"/>
      <c r="MIN126" s="1"/>
      <c r="MIO126" s="1"/>
      <c r="MIP126" s="1"/>
      <c r="MIQ126" s="1"/>
      <c r="MIR126" s="1"/>
      <c r="MIS126" s="1"/>
      <c r="MIT126" s="1"/>
      <c r="MIU126" s="1"/>
      <c r="MIV126" s="1"/>
      <c r="MIW126" s="1"/>
      <c r="MIX126" s="1"/>
      <c r="MIY126" s="1"/>
      <c r="MIZ126" s="1"/>
      <c r="MJA126" s="1"/>
      <c r="MJB126" s="1"/>
      <c r="MJC126" s="1"/>
      <c r="MJD126" s="1"/>
      <c r="MJE126" s="1"/>
      <c r="MJF126" s="1"/>
      <c r="MJG126" s="1"/>
      <c r="MJH126" s="1"/>
      <c r="MJI126" s="1"/>
      <c r="MJJ126" s="1"/>
      <c r="MJK126" s="1"/>
      <c r="MJL126" s="1"/>
      <c r="MJM126" s="1"/>
      <c r="MJN126" s="1"/>
      <c r="MJO126" s="1"/>
      <c r="MJP126" s="1"/>
      <c r="MJQ126" s="1"/>
      <c r="MJR126" s="1"/>
      <c r="MJS126" s="1"/>
      <c r="MJT126" s="1"/>
      <c r="MJU126" s="1"/>
      <c r="MJV126" s="1"/>
      <c r="MJW126" s="1"/>
      <c r="MJX126" s="1"/>
      <c r="MJY126" s="1"/>
      <c r="MJZ126" s="1"/>
      <c r="MKA126" s="1"/>
      <c r="MKB126" s="1"/>
      <c r="MKC126" s="1"/>
      <c r="MKD126" s="1"/>
      <c r="MKE126" s="1"/>
      <c r="MKF126" s="1"/>
      <c r="MKG126" s="1"/>
      <c r="MKH126" s="1"/>
      <c r="MKI126" s="1"/>
      <c r="MKJ126" s="1"/>
      <c r="MKK126" s="1"/>
      <c r="MKL126" s="1"/>
      <c r="MKM126" s="1"/>
      <c r="MKN126" s="1"/>
      <c r="MKO126" s="1"/>
      <c r="MKP126" s="1"/>
      <c r="MKQ126" s="1"/>
      <c r="MKR126" s="1"/>
      <c r="MKS126" s="1"/>
      <c r="MKT126" s="1"/>
      <c r="MKU126" s="1"/>
      <c r="MKV126" s="1"/>
      <c r="MKW126" s="1"/>
      <c r="MKX126" s="1"/>
      <c r="MKY126" s="1"/>
      <c r="MKZ126" s="1"/>
      <c r="MLA126" s="1"/>
      <c r="MLB126" s="1"/>
      <c r="MLC126" s="1"/>
      <c r="MLD126" s="1"/>
      <c r="MLE126" s="1"/>
      <c r="MLF126" s="1"/>
      <c r="MLG126" s="1"/>
      <c r="MLH126" s="1"/>
      <c r="MLI126" s="1"/>
      <c r="MLJ126" s="1"/>
      <c r="MLK126" s="1"/>
      <c r="MLL126" s="1"/>
      <c r="MLM126" s="1"/>
      <c r="MLN126" s="1"/>
      <c r="MLO126" s="1"/>
      <c r="MLP126" s="1"/>
      <c r="MLQ126" s="1"/>
      <c r="MLR126" s="1"/>
      <c r="MLS126" s="1"/>
      <c r="MLT126" s="1"/>
      <c r="MLU126" s="1"/>
      <c r="MLV126" s="1"/>
      <c r="MLW126" s="1"/>
      <c r="MLX126" s="1"/>
      <c r="MLY126" s="1"/>
      <c r="MLZ126" s="1"/>
      <c r="MMA126" s="1"/>
      <c r="MMB126" s="1"/>
      <c r="MMC126" s="1"/>
      <c r="MMD126" s="1"/>
      <c r="MME126" s="1"/>
      <c r="MMF126" s="1"/>
      <c r="MMG126" s="1"/>
      <c r="MMH126" s="1"/>
      <c r="MMI126" s="1"/>
      <c r="MMJ126" s="1"/>
      <c r="MMK126" s="1"/>
      <c r="MML126" s="1"/>
      <c r="MMM126" s="1"/>
      <c r="MMN126" s="1"/>
      <c r="MMO126" s="1"/>
      <c r="MMP126" s="1"/>
      <c r="MMQ126" s="1"/>
      <c r="MMR126" s="1"/>
      <c r="MMS126" s="1"/>
      <c r="MMT126" s="1"/>
      <c r="MMU126" s="1"/>
      <c r="MMV126" s="1"/>
      <c r="MMW126" s="1"/>
      <c r="MMX126" s="1"/>
      <c r="MMY126" s="1"/>
      <c r="MMZ126" s="1"/>
      <c r="MNA126" s="1"/>
      <c r="MNB126" s="1"/>
      <c r="MNC126" s="1"/>
      <c r="MND126" s="1"/>
      <c r="MNE126" s="1"/>
      <c r="MNF126" s="1"/>
      <c r="MNG126" s="1"/>
      <c r="MNH126" s="1"/>
      <c r="MNI126" s="1"/>
      <c r="MNJ126" s="1"/>
      <c r="MNK126" s="1"/>
      <c r="MNL126" s="1"/>
      <c r="MNM126" s="1"/>
      <c r="MNN126" s="1"/>
      <c r="MNO126" s="1"/>
      <c r="MNP126" s="1"/>
      <c r="MNQ126" s="1"/>
      <c r="MNR126" s="1"/>
      <c r="MNS126" s="1"/>
      <c r="MNT126" s="1"/>
      <c r="MNU126" s="1"/>
      <c r="MNV126" s="1"/>
      <c r="MNW126" s="1"/>
      <c r="MNX126" s="1"/>
      <c r="MNY126" s="1"/>
      <c r="MNZ126" s="1"/>
      <c r="MOA126" s="1"/>
      <c r="MOB126" s="1"/>
      <c r="MOC126" s="1"/>
      <c r="MOD126" s="1"/>
      <c r="MOE126" s="1"/>
      <c r="MOF126" s="1"/>
      <c r="MOG126" s="1"/>
      <c r="MOH126" s="1"/>
      <c r="MOI126" s="1"/>
      <c r="MOJ126" s="1"/>
      <c r="MOK126" s="1"/>
      <c r="MOL126" s="1"/>
      <c r="MOM126" s="1"/>
      <c r="MON126" s="1"/>
      <c r="MOO126" s="1"/>
      <c r="MOP126" s="1"/>
      <c r="MOQ126" s="1"/>
      <c r="MOR126" s="1"/>
      <c r="MOS126" s="1"/>
      <c r="MOT126" s="1"/>
      <c r="MOU126" s="1"/>
      <c r="MOV126" s="1"/>
      <c r="MOW126" s="1"/>
      <c r="MOX126" s="1"/>
      <c r="MOY126" s="1"/>
      <c r="MOZ126" s="1"/>
      <c r="MPA126" s="1"/>
      <c r="MPB126" s="1"/>
      <c r="MPC126" s="1"/>
      <c r="MPD126" s="1"/>
      <c r="MPE126" s="1"/>
      <c r="MPF126" s="1"/>
      <c r="MPG126" s="1"/>
      <c r="MPH126" s="1"/>
      <c r="MPI126" s="1"/>
      <c r="MPJ126" s="1"/>
      <c r="MPK126" s="1"/>
      <c r="MPL126" s="1"/>
      <c r="MPM126" s="1"/>
      <c r="MPN126" s="1"/>
      <c r="MPO126" s="1"/>
      <c r="MPP126" s="1"/>
      <c r="MPQ126" s="1"/>
      <c r="MPR126" s="1"/>
      <c r="MPS126" s="1"/>
      <c r="MPT126" s="1"/>
      <c r="MPU126" s="1"/>
      <c r="MPV126" s="1"/>
      <c r="MPW126" s="1"/>
      <c r="MPX126" s="1"/>
      <c r="MPY126" s="1"/>
      <c r="MPZ126" s="1"/>
      <c r="MQA126" s="1"/>
      <c r="MQB126" s="1"/>
      <c r="MQC126" s="1"/>
      <c r="MQD126" s="1"/>
      <c r="MQE126" s="1"/>
      <c r="MQF126" s="1"/>
      <c r="MQG126" s="1"/>
      <c r="MQH126" s="1"/>
      <c r="MQI126" s="1"/>
      <c r="MQJ126" s="1"/>
      <c r="MQK126" s="1"/>
      <c r="MQL126" s="1"/>
      <c r="MQM126" s="1"/>
      <c r="MQN126" s="1"/>
      <c r="MQO126" s="1"/>
      <c r="MQP126" s="1"/>
      <c r="MQQ126" s="1"/>
      <c r="MQR126" s="1"/>
      <c r="MQS126" s="1"/>
      <c r="MQT126" s="1"/>
      <c r="MQU126" s="1"/>
      <c r="MQV126" s="1"/>
      <c r="MQW126" s="1"/>
      <c r="MQX126" s="1"/>
      <c r="MQY126" s="1"/>
      <c r="MQZ126" s="1"/>
      <c r="MRA126" s="1"/>
      <c r="MRB126" s="1"/>
      <c r="MRC126" s="1"/>
      <c r="MRD126" s="1"/>
      <c r="MRE126" s="1"/>
      <c r="MRF126" s="1"/>
      <c r="MRG126" s="1"/>
      <c r="MRH126" s="1"/>
      <c r="MRI126" s="1"/>
      <c r="MRJ126" s="1"/>
      <c r="MRK126" s="1"/>
      <c r="MRL126" s="1"/>
      <c r="MRM126" s="1"/>
      <c r="MRN126" s="1"/>
      <c r="MRO126" s="1"/>
      <c r="MRP126" s="1"/>
      <c r="MRQ126" s="1"/>
      <c r="MRR126" s="1"/>
      <c r="MRS126" s="1"/>
      <c r="MRT126" s="1"/>
      <c r="MRU126" s="1"/>
      <c r="MRV126" s="1"/>
      <c r="MRW126" s="1"/>
      <c r="MRX126" s="1"/>
      <c r="MRY126" s="1"/>
      <c r="MRZ126" s="1"/>
      <c r="MSA126" s="1"/>
      <c r="MSB126" s="1"/>
      <c r="MSC126" s="1"/>
      <c r="MSD126" s="1"/>
      <c r="MSE126" s="1"/>
      <c r="MSF126" s="1"/>
      <c r="MSG126" s="1"/>
      <c r="MSH126" s="1"/>
      <c r="MSI126" s="1"/>
      <c r="MSJ126" s="1"/>
      <c r="MSK126" s="1"/>
      <c r="MSL126" s="1"/>
      <c r="MSM126" s="1"/>
      <c r="MSN126" s="1"/>
      <c r="MSO126" s="1"/>
      <c r="MSP126" s="1"/>
      <c r="MSQ126" s="1"/>
      <c r="MSR126" s="1"/>
      <c r="MSS126" s="1"/>
      <c r="MST126" s="1"/>
      <c r="MSU126" s="1"/>
      <c r="MSV126" s="1"/>
      <c r="MSW126" s="1"/>
      <c r="MSX126" s="1"/>
      <c r="MSY126" s="1"/>
      <c r="MSZ126" s="1"/>
      <c r="MTA126" s="1"/>
      <c r="MTB126" s="1"/>
      <c r="MTC126" s="1"/>
      <c r="MTD126" s="1"/>
      <c r="MTE126" s="1"/>
      <c r="MTF126" s="1"/>
      <c r="MTG126" s="1"/>
      <c r="MTH126" s="1"/>
      <c r="MTI126" s="1"/>
      <c r="MTJ126" s="1"/>
      <c r="MTK126" s="1"/>
      <c r="MTL126" s="1"/>
      <c r="MTM126" s="1"/>
      <c r="MTN126" s="1"/>
      <c r="MTO126" s="1"/>
      <c r="MTP126" s="1"/>
      <c r="MTQ126" s="1"/>
      <c r="MTR126" s="1"/>
      <c r="MTS126" s="1"/>
      <c r="MTT126" s="1"/>
      <c r="MTU126" s="1"/>
      <c r="MTV126" s="1"/>
      <c r="MTW126" s="1"/>
      <c r="MTX126" s="1"/>
      <c r="MTY126" s="1"/>
      <c r="MTZ126" s="1"/>
      <c r="MUA126" s="1"/>
      <c r="MUB126" s="1"/>
      <c r="MUC126" s="1"/>
      <c r="MUD126" s="1"/>
      <c r="MUE126" s="1"/>
      <c r="MUF126" s="1"/>
      <c r="MUG126" s="1"/>
      <c r="MUH126" s="1"/>
      <c r="MUI126" s="1"/>
      <c r="MUJ126" s="1"/>
      <c r="MUK126" s="1"/>
      <c r="MUL126" s="1"/>
      <c r="MUM126" s="1"/>
      <c r="MUN126" s="1"/>
      <c r="MUO126" s="1"/>
      <c r="MUP126" s="1"/>
      <c r="MUQ126" s="1"/>
      <c r="MUR126" s="1"/>
      <c r="MUS126" s="1"/>
      <c r="MUT126" s="1"/>
      <c r="MUU126" s="1"/>
      <c r="MUV126" s="1"/>
      <c r="MUW126" s="1"/>
      <c r="MUX126" s="1"/>
      <c r="MUY126" s="1"/>
      <c r="MUZ126" s="1"/>
      <c r="MVA126" s="1"/>
      <c r="MVB126" s="1"/>
      <c r="MVC126" s="1"/>
      <c r="MVD126" s="1"/>
      <c r="MVE126" s="1"/>
      <c r="MVF126" s="1"/>
      <c r="MVG126" s="1"/>
      <c r="MVH126" s="1"/>
      <c r="MVI126" s="1"/>
      <c r="MVJ126" s="1"/>
      <c r="MVK126" s="1"/>
      <c r="MVL126" s="1"/>
      <c r="MVM126" s="1"/>
      <c r="MVN126" s="1"/>
      <c r="MVO126" s="1"/>
      <c r="MVP126" s="1"/>
      <c r="MVQ126" s="1"/>
      <c r="MVR126" s="1"/>
      <c r="MVS126" s="1"/>
      <c r="MVT126" s="1"/>
      <c r="MVU126" s="1"/>
      <c r="MVV126" s="1"/>
      <c r="MVW126" s="1"/>
      <c r="MVX126" s="1"/>
      <c r="MVY126" s="1"/>
      <c r="MVZ126" s="1"/>
      <c r="MWA126" s="1"/>
      <c r="MWB126" s="1"/>
      <c r="MWC126" s="1"/>
      <c r="MWD126" s="1"/>
      <c r="MWE126" s="1"/>
      <c r="MWF126" s="1"/>
      <c r="MWG126" s="1"/>
      <c r="MWH126" s="1"/>
      <c r="MWI126" s="1"/>
      <c r="MWJ126" s="1"/>
      <c r="MWK126" s="1"/>
      <c r="MWL126" s="1"/>
      <c r="MWM126" s="1"/>
      <c r="MWN126" s="1"/>
      <c r="MWO126" s="1"/>
      <c r="MWP126" s="1"/>
      <c r="MWQ126" s="1"/>
      <c r="MWR126" s="1"/>
      <c r="MWS126" s="1"/>
      <c r="MWT126" s="1"/>
      <c r="MWU126" s="1"/>
      <c r="MWV126" s="1"/>
      <c r="MWW126" s="1"/>
      <c r="MWX126" s="1"/>
      <c r="MWY126" s="1"/>
      <c r="MWZ126" s="1"/>
      <c r="MXA126" s="1"/>
      <c r="MXB126" s="1"/>
      <c r="MXC126" s="1"/>
      <c r="MXD126" s="1"/>
      <c r="MXE126" s="1"/>
      <c r="MXF126" s="1"/>
      <c r="MXG126" s="1"/>
      <c r="MXH126" s="1"/>
      <c r="MXI126" s="1"/>
      <c r="MXJ126" s="1"/>
      <c r="MXK126" s="1"/>
      <c r="MXL126" s="1"/>
      <c r="MXM126" s="1"/>
      <c r="MXN126" s="1"/>
      <c r="MXO126" s="1"/>
      <c r="MXP126" s="1"/>
      <c r="MXQ126" s="1"/>
      <c r="MXR126" s="1"/>
      <c r="MXS126" s="1"/>
      <c r="MXT126" s="1"/>
      <c r="MXU126" s="1"/>
      <c r="MXV126" s="1"/>
      <c r="MXW126" s="1"/>
      <c r="MXX126" s="1"/>
      <c r="MXY126" s="1"/>
      <c r="MXZ126" s="1"/>
      <c r="MYA126" s="1"/>
      <c r="MYB126" s="1"/>
      <c r="MYC126" s="1"/>
      <c r="MYD126" s="1"/>
      <c r="MYE126" s="1"/>
      <c r="MYF126" s="1"/>
      <c r="MYG126" s="1"/>
      <c r="MYH126" s="1"/>
      <c r="MYI126" s="1"/>
      <c r="MYJ126" s="1"/>
      <c r="MYK126" s="1"/>
      <c r="MYL126" s="1"/>
      <c r="MYM126" s="1"/>
      <c r="MYN126" s="1"/>
      <c r="MYO126" s="1"/>
      <c r="MYP126" s="1"/>
      <c r="MYQ126" s="1"/>
      <c r="MYR126" s="1"/>
      <c r="MYS126" s="1"/>
      <c r="MYT126" s="1"/>
      <c r="MYU126" s="1"/>
      <c r="MYV126" s="1"/>
      <c r="MYW126" s="1"/>
      <c r="MYX126" s="1"/>
      <c r="MYY126" s="1"/>
      <c r="MYZ126" s="1"/>
      <c r="MZA126" s="1"/>
      <c r="MZB126" s="1"/>
      <c r="MZC126" s="1"/>
      <c r="MZD126" s="1"/>
      <c r="MZE126" s="1"/>
      <c r="MZF126" s="1"/>
      <c r="MZG126" s="1"/>
      <c r="MZH126" s="1"/>
      <c r="MZI126" s="1"/>
      <c r="MZJ126" s="1"/>
      <c r="MZK126" s="1"/>
      <c r="MZL126" s="1"/>
      <c r="MZM126" s="1"/>
      <c r="MZN126" s="1"/>
      <c r="MZO126" s="1"/>
      <c r="MZP126" s="1"/>
      <c r="MZQ126" s="1"/>
      <c r="MZR126" s="1"/>
      <c r="MZS126" s="1"/>
      <c r="MZT126" s="1"/>
      <c r="MZU126" s="1"/>
      <c r="MZV126" s="1"/>
      <c r="MZW126" s="1"/>
      <c r="MZX126" s="1"/>
      <c r="MZY126" s="1"/>
      <c r="MZZ126" s="1"/>
      <c r="NAA126" s="1"/>
      <c r="NAB126" s="1"/>
      <c r="NAC126" s="1"/>
      <c r="NAD126" s="1"/>
      <c r="NAE126" s="1"/>
      <c r="NAF126" s="1"/>
      <c r="NAG126" s="1"/>
      <c r="NAH126" s="1"/>
      <c r="NAI126" s="1"/>
      <c r="NAJ126" s="1"/>
      <c r="NAK126" s="1"/>
      <c r="NAL126" s="1"/>
      <c r="NAM126" s="1"/>
      <c r="NAN126" s="1"/>
      <c r="NAO126" s="1"/>
      <c r="NAP126" s="1"/>
      <c r="NAQ126" s="1"/>
      <c r="NAR126" s="1"/>
      <c r="NAS126" s="1"/>
      <c r="NAT126" s="1"/>
      <c r="NAU126" s="1"/>
      <c r="NAV126" s="1"/>
      <c r="NAW126" s="1"/>
      <c r="NAX126" s="1"/>
      <c r="NAY126" s="1"/>
      <c r="NAZ126" s="1"/>
      <c r="NBA126" s="1"/>
      <c r="NBB126" s="1"/>
      <c r="NBC126" s="1"/>
      <c r="NBD126" s="1"/>
      <c r="NBE126" s="1"/>
      <c r="NBF126" s="1"/>
      <c r="NBG126" s="1"/>
      <c r="NBH126" s="1"/>
      <c r="NBI126" s="1"/>
      <c r="NBJ126" s="1"/>
      <c r="NBK126" s="1"/>
      <c r="NBL126" s="1"/>
      <c r="NBM126" s="1"/>
      <c r="NBN126" s="1"/>
      <c r="NBO126" s="1"/>
      <c r="NBP126" s="1"/>
      <c r="NBQ126" s="1"/>
      <c r="NBR126" s="1"/>
      <c r="NBS126" s="1"/>
      <c r="NBT126" s="1"/>
      <c r="NBU126" s="1"/>
      <c r="NBV126" s="1"/>
      <c r="NBW126" s="1"/>
      <c r="NBX126" s="1"/>
      <c r="NBY126" s="1"/>
      <c r="NBZ126" s="1"/>
      <c r="NCA126" s="1"/>
      <c r="NCB126" s="1"/>
      <c r="NCC126" s="1"/>
      <c r="NCD126" s="1"/>
      <c r="NCE126" s="1"/>
      <c r="NCF126" s="1"/>
      <c r="NCG126" s="1"/>
      <c r="NCH126" s="1"/>
      <c r="NCI126" s="1"/>
      <c r="NCJ126" s="1"/>
      <c r="NCK126" s="1"/>
      <c r="NCL126" s="1"/>
      <c r="NCM126" s="1"/>
      <c r="NCN126" s="1"/>
      <c r="NCO126" s="1"/>
      <c r="NCP126" s="1"/>
      <c r="NCQ126" s="1"/>
      <c r="NCR126" s="1"/>
      <c r="NCS126" s="1"/>
      <c r="NCT126" s="1"/>
      <c r="NCU126" s="1"/>
      <c r="NCV126" s="1"/>
      <c r="NCW126" s="1"/>
      <c r="NCX126" s="1"/>
      <c r="NCY126" s="1"/>
      <c r="NCZ126" s="1"/>
      <c r="NDA126" s="1"/>
      <c r="NDB126" s="1"/>
      <c r="NDC126" s="1"/>
      <c r="NDD126" s="1"/>
      <c r="NDE126" s="1"/>
      <c r="NDF126" s="1"/>
      <c r="NDG126" s="1"/>
      <c r="NDH126" s="1"/>
      <c r="NDI126" s="1"/>
      <c r="NDJ126" s="1"/>
      <c r="NDK126" s="1"/>
      <c r="NDL126" s="1"/>
      <c r="NDM126" s="1"/>
      <c r="NDN126" s="1"/>
      <c r="NDO126" s="1"/>
      <c r="NDP126" s="1"/>
      <c r="NDQ126" s="1"/>
      <c r="NDR126" s="1"/>
      <c r="NDS126" s="1"/>
      <c r="NDT126" s="1"/>
      <c r="NDU126" s="1"/>
      <c r="NDV126" s="1"/>
      <c r="NDW126" s="1"/>
      <c r="NDX126" s="1"/>
      <c r="NDY126" s="1"/>
      <c r="NDZ126" s="1"/>
      <c r="NEA126" s="1"/>
      <c r="NEB126" s="1"/>
      <c r="NEC126" s="1"/>
      <c r="NED126" s="1"/>
      <c r="NEE126" s="1"/>
      <c r="NEF126" s="1"/>
      <c r="NEG126" s="1"/>
      <c r="NEH126" s="1"/>
      <c r="NEI126" s="1"/>
      <c r="NEJ126" s="1"/>
      <c r="NEK126" s="1"/>
      <c r="NEL126" s="1"/>
      <c r="NEM126" s="1"/>
      <c r="NEN126" s="1"/>
      <c r="NEO126" s="1"/>
      <c r="NEP126" s="1"/>
      <c r="NEQ126" s="1"/>
      <c r="NER126" s="1"/>
      <c r="NES126" s="1"/>
      <c r="NET126" s="1"/>
      <c r="NEU126" s="1"/>
      <c r="NEV126" s="1"/>
      <c r="NEW126" s="1"/>
      <c r="NEX126" s="1"/>
      <c r="NEY126" s="1"/>
      <c r="NEZ126" s="1"/>
      <c r="NFA126" s="1"/>
      <c r="NFB126" s="1"/>
      <c r="NFC126" s="1"/>
      <c r="NFD126" s="1"/>
      <c r="NFE126" s="1"/>
      <c r="NFF126" s="1"/>
      <c r="NFG126" s="1"/>
      <c r="NFH126" s="1"/>
      <c r="NFI126" s="1"/>
      <c r="NFJ126" s="1"/>
      <c r="NFK126" s="1"/>
      <c r="NFL126" s="1"/>
      <c r="NFM126" s="1"/>
      <c r="NFN126" s="1"/>
      <c r="NFO126" s="1"/>
      <c r="NFP126" s="1"/>
      <c r="NFQ126" s="1"/>
      <c r="NFR126" s="1"/>
      <c r="NFS126" s="1"/>
      <c r="NFT126" s="1"/>
      <c r="NFU126" s="1"/>
      <c r="NFV126" s="1"/>
      <c r="NFW126" s="1"/>
      <c r="NFX126" s="1"/>
      <c r="NFY126" s="1"/>
      <c r="NFZ126" s="1"/>
      <c r="NGA126" s="1"/>
      <c r="NGB126" s="1"/>
      <c r="NGC126" s="1"/>
      <c r="NGD126" s="1"/>
      <c r="NGE126" s="1"/>
      <c r="NGF126" s="1"/>
      <c r="NGG126" s="1"/>
      <c r="NGH126" s="1"/>
      <c r="NGI126" s="1"/>
      <c r="NGJ126" s="1"/>
      <c r="NGK126" s="1"/>
      <c r="NGL126" s="1"/>
      <c r="NGM126" s="1"/>
      <c r="NGN126" s="1"/>
      <c r="NGO126" s="1"/>
      <c r="NGP126" s="1"/>
      <c r="NGQ126" s="1"/>
      <c r="NGR126" s="1"/>
      <c r="NGS126" s="1"/>
      <c r="NGT126" s="1"/>
      <c r="NGU126" s="1"/>
      <c r="NGV126" s="1"/>
      <c r="NGW126" s="1"/>
      <c r="NGX126" s="1"/>
      <c r="NGY126" s="1"/>
      <c r="NGZ126" s="1"/>
      <c r="NHA126" s="1"/>
      <c r="NHB126" s="1"/>
      <c r="NHC126" s="1"/>
      <c r="NHD126" s="1"/>
      <c r="NHE126" s="1"/>
      <c r="NHF126" s="1"/>
      <c r="NHG126" s="1"/>
      <c r="NHH126" s="1"/>
      <c r="NHI126" s="1"/>
      <c r="NHJ126" s="1"/>
      <c r="NHK126" s="1"/>
      <c r="NHL126" s="1"/>
      <c r="NHM126" s="1"/>
      <c r="NHN126" s="1"/>
      <c r="NHO126" s="1"/>
      <c r="NHP126" s="1"/>
      <c r="NHQ126" s="1"/>
      <c r="NHR126" s="1"/>
      <c r="NHS126" s="1"/>
      <c r="NHT126" s="1"/>
      <c r="NHU126" s="1"/>
      <c r="NHV126" s="1"/>
      <c r="NHW126" s="1"/>
      <c r="NHX126" s="1"/>
      <c r="NHY126" s="1"/>
      <c r="NHZ126" s="1"/>
      <c r="NIA126" s="1"/>
      <c r="NIB126" s="1"/>
      <c r="NIC126" s="1"/>
      <c r="NID126" s="1"/>
      <c r="NIE126" s="1"/>
      <c r="NIF126" s="1"/>
      <c r="NIG126" s="1"/>
      <c r="NIH126" s="1"/>
      <c r="NII126" s="1"/>
      <c r="NIJ126" s="1"/>
      <c r="NIK126" s="1"/>
      <c r="NIL126" s="1"/>
      <c r="NIM126" s="1"/>
      <c r="NIN126" s="1"/>
      <c r="NIO126" s="1"/>
      <c r="NIP126" s="1"/>
      <c r="NIQ126" s="1"/>
      <c r="NIR126" s="1"/>
      <c r="NIS126" s="1"/>
      <c r="NIT126" s="1"/>
      <c r="NIU126" s="1"/>
      <c r="NIV126" s="1"/>
      <c r="NIW126" s="1"/>
      <c r="NIX126" s="1"/>
      <c r="NIY126" s="1"/>
      <c r="NIZ126" s="1"/>
      <c r="NJA126" s="1"/>
      <c r="NJB126" s="1"/>
      <c r="NJC126" s="1"/>
      <c r="NJD126" s="1"/>
      <c r="NJE126" s="1"/>
      <c r="NJF126" s="1"/>
      <c r="NJG126" s="1"/>
      <c r="NJH126" s="1"/>
      <c r="NJI126" s="1"/>
      <c r="NJJ126" s="1"/>
      <c r="NJK126" s="1"/>
      <c r="NJL126" s="1"/>
      <c r="NJM126" s="1"/>
      <c r="NJN126" s="1"/>
      <c r="NJO126" s="1"/>
      <c r="NJP126" s="1"/>
      <c r="NJQ126" s="1"/>
      <c r="NJR126" s="1"/>
      <c r="NJS126" s="1"/>
      <c r="NJT126" s="1"/>
      <c r="NJU126" s="1"/>
      <c r="NJV126" s="1"/>
      <c r="NJW126" s="1"/>
      <c r="NJX126" s="1"/>
      <c r="NJY126" s="1"/>
      <c r="NJZ126" s="1"/>
      <c r="NKA126" s="1"/>
      <c r="NKB126" s="1"/>
      <c r="NKC126" s="1"/>
      <c r="NKD126" s="1"/>
      <c r="NKE126" s="1"/>
      <c r="NKF126" s="1"/>
      <c r="NKG126" s="1"/>
      <c r="NKH126" s="1"/>
      <c r="NKI126" s="1"/>
      <c r="NKJ126" s="1"/>
      <c r="NKK126" s="1"/>
      <c r="NKL126" s="1"/>
      <c r="NKM126" s="1"/>
      <c r="NKN126" s="1"/>
      <c r="NKO126" s="1"/>
      <c r="NKP126" s="1"/>
      <c r="NKQ126" s="1"/>
      <c r="NKR126" s="1"/>
      <c r="NKS126" s="1"/>
      <c r="NKT126" s="1"/>
      <c r="NKU126" s="1"/>
      <c r="NKV126" s="1"/>
      <c r="NKW126" s="1"/>
      <c r="NKX126" s="1"/>
      <c r="NKY126" s="1"/>
      <c r="NKZ126" s="1"/>
      <c r="NLA126" s="1"/>
      <c r="NLB126" s="1"/>
      <c r="NLC126" s="1"/>
      <c r="NLD126" s="1"/>
      <c r="NLE126" s="1"/>
      <c r="NLF126" s="1"/>
      <c r="NLG126" s="1"/>
      <c r="NLH126" s="1"/>
      <c r="NLI126" s="1"/>
      <c r="NLJ126" s="1"/>
      <c r="NLK126" s="1"/>
      <c r="NLL126" s="1"/>
      <c r="NLM126" s="1"/>
      <c r="NLN126" s="1"/>
      <c r="NLO126" s="1"/>
      <c r="NLP126" s="1"/>
      <c r="NLQ126" s="1"/>
      <c r="NLR126" s="1"/>
      <c r="NLS126" s="1"/>
      <c r="NLT126" s="1"/>
      <c r="NLU126" s="1"/>
      <c r="NLV126" s="1"/>
      <c r="NLW126" s="1"/>
      <c r="NLX126" s="1"/>
      <c r="NLY126" s="1"/>
      <c r="NLZ126" s="1"/>
      <c r="NMA126" s="1"/>
      <c r="NMB126" s="1"/>
      <c r="NMC126" s="1"/>
      <c r="NMD126" s="1"/>
      <c r="NME126" s="1"/>
      <c r="NMF126" s="1"/>
      <c r="NMG126" s="1"/>
      <c r="NMH126" s="1"/>
      <c r="NMI126" s="1"/>
      <c r="NMJ126" s="1"/>
      <c r="NMK126" s="1"/>
      <c r="NML126" s="1"/>
      <c r="NMM126" s="1"/>
      <c r="NMN126" s="1"/>
      <c r="NMO126" s="1"/>
      <c r="NMP126" s="1"/>
      <c r="NMQ126" s="1"/>
      <c r="NMR126" s="1"/>
      <c r="NMS126" s="1"/>
      <c r="NMT126" s="1"/>
      <c r="NMU126" s="1"/>
      <c r="NMV126" s="1"/>
      <c r="NMW126" s="1"/>
      <c r="NMX126" s="1"/>
      <c r="NMY126" s="1"/>
      <c r="NMZ126" s="1"/>
      <c r="NNA126" s="1"/>
      <c r="NNB126" s="1"/>
      <c r="NNC126" s="1"/>
      <c r="NND126" s="1"/>
      <c r="NNE126" s="1"/>
      <c r="NNF126" s="1"/>
      <c r="NNG126" s="1"/>
      <c r="NNH126" s="1"/>
      <c r="NNI126" s="1"/>
      <c r="NNJ126" s="1"/>
      <c r="NNK126" s="1"/>
      <c r="NNL126" s="1"/>
      <c r="NNM126" s="1"/>
      <c r="NNN126" s="1"/>
      <c r="NNO126" s="1"/>
      <c r="NNP126" s="1"/>
      <c r="NNQ126" s="1"/>
      <c r="NNR126" s="1"/>
      <c r="NNS126" s="1"/>
      <c r="NNT126" s="1"/>
      <c r="NNU126" s="1"/>
      <c r="NNV126" s="1"/>
      <c r="NNW126" s="1"/>
      <c r="NNX126" s="1"/>
      <c r="NNY126" s="1"/>
      <c r="NNZ126" s="1"/>
      <c r="NOA126" s="1"/>
      <c r="NOB126" s="1"/>
      <c r="NOC126" s="1"/>
      <c r="NOD126" s="1"/>
      <c r="NOE126" s="1"/>
      <c r="NOF126" s="1"/>
      <c r="NOG126" s="1"/>
      <c r="NOH126" s="1"/>
      <c r="NOI126" s="1"/>
      <c r="NOJ126" s="1"/>
      <c r="NOK126" s="1"/>
      <c r="NOL126" s="1"/>
      <c r="NOM126" s="1"/>
      <c r="NON126" s="1"/>
      <c r="NOO126" s="1"/>
      <c r="NOP126" s="1"/>
      <c r="NOQ126" s="1"/>
      <c r="NOR126" s="1"/>
      <c r="NOS126" s="1"/>
      <c r="NOT126" s="1"/>
      <c r="NOU126" s="1"/>
      <c r="NOV126" s="1"/>
      <c r="NOW126" s="1"/>
      <c r="NOX126" s="1"/>
      <c r="NOY126" s="1"/>
      <c r="NOZ126" s="1"/>
      <c r="NPA126" s="1"/>
      <c r="NPB126" s="1"/>
      <c r="NPC126" s="1"/>
      <c r="NPD126" s="1"/>
      <c r="NPE126" s="1"/>
      <c r="NPF126" s="1"/>
      <c r="NPG126" s="1"/>
      <c r="NPH126" s="1"/>
      <c r="NPI126" s="1"/>
      <c r="NPJ126" s="1"/>
      <c r="NPK126" s="1"/>
      <c r="NPL126" s="1"/>
      <c r="NPM126" s="1"/>
      <c r="NPN126" s="1"/>
      <c r="NPO126" s="1"/>
      <c r="NPP126" s="1"/>
      <c r="NPQ126" s="1"/>
      <c r="NPR126" s="1"/>
      <c r="NPS126" s="1"/>
      <c r="NPT126" s="1"/>
      <c r="NPU126" s="1"/>
      <c r="NPV126" s="1"/>
      <c r="NPW126" s="1"/>
      <c r="NPX126" s="1"/>
      <c r="NPY126" s="1"/>
      <c r="NPZ126" s="1"/>
      <c r="NQA126" s="1"/>
      <c r="NQB126" s="1"/>
      <c r="NQC126" s="1"/>
      <c r="NQD126" s="1"/>
      <c r="NQE126" s="1"/>
      <c r="NQF126" s="1"/>
      <c r="NQG126" s="1"/>
      <c r="NQH126" s="1"/>
      <c r="NQI126" s="1"/>
      <c r="NQJ126" s="1"/>
      <c r="NQK126" s="1"/>
      <c r="NQL126" s="1"/>
      <c r="NQM126" s="1"/>
      <c r="NQN126" s="1"/>
      <c r="NQO126" s="1"/>
      <c r="NQP126" s="1"/>
      <c r="NQQ126" s="1"/>
      <c r="NQR126" s="1"/>
      <c r="NQS126" s="1"/>
      <c r="NQT126" s="1"/>
      <c r="NQU126" s="1"/>
      <c r="NQV126" s="1"/>
      <c r="NQW126" s="1"/>
      <c r="NQX126" s="1"/>
      <c r="NQY126" s="1"/>
      <c r="NQZ126" s="1"/>
      <c r="NRA126" s="1"/>
      <c r="NRB126" s="1"/>
      <c r="NRC126" s="1"/>
      <c r="NRD126" s="1"/>
      <c r="NRE126" s="1"/>
      <c r="NRF126" s="1"/>
      <c r="NRG126" s="1"/>
      <c r="NRH126" s="1"/>
      <c r="NRI126" s="1"/>
      <c r="NRJ126" s="1"/>
      <c r="NRK126" s="1"/>
      <c r="NRL126" s="1"/>
      <c r="NRM126" s="1"/>
      <c r="NRN126" s="1"/>
      <c r="NRO126" s="1"/>
      <c r="NRP126" s="1"/>
      <c r="NRQ126" s="1"/>
      <c r="NRR126" s="1"/>
      <c r="NRS126" s="1"/>
      <c r="NRT126" s="1"/>
      <c r="NRU126" s="1"/>
      <c r="NRV126" s="1"/>
      <c r="NRW126" s="1"/>
      <c r="NRX126" s="1"/>
      <c r="NRY126" s="1"/>
      <c r="NRZ126" s="1"/>
      <c r="NSA126" s="1"/>
      <c r="NSB126" s="1"/>
      <c r="NSC126" s="1"/>
      <c r="NSD126" s="1"/>
      <c r="NSE126" s="1"/>
      <c r="NSF126" s="1"/>
      <c r="NSG126" s="1"/>
      <c r="NSH126" s="1"/>
      <c r="NSI126" s="1"/>
      <c r="NSJ126" s="1"/>
      <c r="NSK126" s="1"/>
      <c r="NSL126" s="1"/>
      <c r="NSM126" s="1"/>
      <c r="NSN126" s="1"/>
      <c r="NSO126" s="1"/>
      <c r="NSP126" s="1"/>
      <c r="NSQ126" s="1"/>
      <c r="NSR126" s="1"/>
      <c r="NSS126" s="1"/>
      <c r="NST126" s="1"/>
      <c r="NSU126" s="1"/>
      <c r="NSV126" s="1"/>
      <c r="NSW126" s="1"/>
      <c r="NSX126" s="1"/>
      <c r="NSY126" s="1"/>
      <c r="NSZ126" s="1"/>
      <c r="NTA126" s="1"/>
      <c r="NTB126" s="1"/>
      <c r="NTC126" s="1"/>
      <c r="NTD126" s="1"/>
      <c r="NTE126" s="1"/>
      <c r="NTF126" s="1"/>
      <c r="NTG126" s="1"/>
      <c r="NTH126" s="1"/>
      <c r="NTI126" s="1"/>
      <c r="NTJ126" s="1"/>
      <c r="NTK126" s="1"/>
      <c r="NTL126" s="1"/>
      <c r="NTM126" s="1"/>
      <c r="NTN126" s="1"/>
      <c r="NTO126" s="1"/>
      <c r="NTP126" s="1"/>
      <c r="NTQ126" s="1"/>
      <c r="NTR126" s="1"/>
      <c r="NTS126" s="1"/>
      <c r="NTT126" s="1"/>
      <c r="NTU126" s="1"/>
      <c r="NTV126" s="1"/>
      <c r="NTW126" s="1"/>
      <c r="NTX126" s="1"/>
      <c r="NTY126" s="1"/>
      <c r="NTZ126" s="1"/>
      <c r="NUA126" s="1"/>
      <c r="NUB126" s="1"/>
      <c r="NUC126" s="1"/>
      <c r="NUD126" s="1"/>
      <c r="NUE126" s="1"/>
      <c r="NUF126" s="1"/>
      <c r="NUG126" s="1"/>
      <c r="NUH126" s="1"/>
      <c r="NUI126" s="1"/>
      <c r="NUJ126" s="1"/>
      <c r="NUK126" s="1"/>
      <c r="NUL126" s="1"/>
      <c r="NUM126" s="1"/>
      <c r="NUN126" s="1"/>
      <c r="NUO126" s="1"/>
      <c r="NUP126" s="1"/>
      <c r="NUQ126" s="1"/>
      <c r="NUR126" s="1"/>
      <c r="NUS126" s="1"/>
      <c r="NUT126" s="1"/>
      <c r="NUU126" s="1"/>
      <c r="NUV126" s="1"/>
      <c r="NUW126" s="1"/>
      <c r="NUX126" s="1"/>
      <c r="NUY126" s="1"/>
      <c r="NUZ126" s="1"/>
      <c r="NVA126" s="1"/>
      <c r="NVB126" s="1"/>
      <c r="NVC126" s="1"/>
      <c r="NVD126" s="1"/>
      <c r="NVE126" s="1"/>
      <c r="NVF126" s="1"/>
      <c r="NVG126" s="1"/>
      <c r="NVH126" s="1"/>
      <c r="NVI126" s="1"/>
      <c r="NVJ126" s="1"/>
      <c r="NVK126" s="1"/>
      <c r="NVL126" s="1"/>
      <c r="NVM126" s="1"/>
      <c r="NVN126" s="1"/>
      <c r="NVO126" s="1"/>
      <c r="NVP126" s="1"/>
      <c r="NVQ126" s="1"/>
      <c r="NVR126" s="1"/>
      <c r="NVS126" s="1"/>
      <c r="NVT126" s="1"/>
      <c r="NVU126" s="1"/>
      <c r="NVV126" s="1"/>
      <c r="NVW126" s="1"/>
      <c r="NVX126" s="1"/>
      <c r="NVY126" s="1"/>
      <c r="NVZ126" s="1"/>
      <c r="NWA126" s="1"/>
      <c r="NWB126" s="1"/>
      <c r="NWC126" s="1"/>
      <c r="NWD126" s="1"/>
      <c r="NWE126" s="1"/>
      <c r="NWF126" s="1"/>
      <c r="NWG126" s="1"/>
      <c r="NWH126" s="1"/>
      <c r="NWI126" s="1"/>
      <c r="NWJ126" s="1"/>
      <c r="NWK126" s="1"/>
      <c r="NWL126" s="1"/>
      <c r="NWM126" s="1"/>
      <c r="NWN126" s="1"/>
      <c r="NWO126" s="1"/>
      <c r="NWP126" s="1"/>
      <c r="NWQ126" s="1"/>
      <c r="NWR126" s="1"/>
      <c r="NWS126" s="1"/>
      <c r="NWT126" s="1"/>
      <c r="NWU126" s="1"/>
      <c r="NWV126" s="1"/>
      <c r="NWW126" s="1"/>
      <c r="NWX126" s="1"/>
      <c r="NWY126" s="1"/>
      <c r="NWZ126" s="1"/>
      <c r="NXA126" s="1"/>
      <c r="NXB126" s="1"/>
      <c r="NXC126" s="1"/>
      <c r="NXD126" s="1"/>
      <c r="NXE126" s="1"/>
      <c r="NXF126" s="1"/>
      <c r="NXG126" s="1"/>
      <c r="NXH126" s="1"/>
      <c r="NXI126" s="1"/>
      <c r="NXJ126" s="1"/>
      <c r="NXK126" s="1"/>
      <c r="NXL126" s="1"/>
      <c r="NXM126" s="1"/>
      <c r="NXN126" s="1"/>
      <c r="NXO126" s="1"/>
      <c r="NXP126" s="1"/>
      <c r="NXQ126" s="1"/>
      <c r="NXR126" s="1"/>
      <c r="NXS126" s="1"/>
      <c r="NXT126" s="1"/>
      <c r="NXU126" s="1"/>
      <c r="NXV126" s="1"/>
      <c r="NXW126" s="1"/>
      <c r="NXX126" s="1"/>
      <c r="NXY126" s="1"/>
      <c r="NXZ126" s="1"/>
      <c r="NYA126" s="1"/>
      <c r="NYB126" s="1"/>
      <c r="NYC126" s="1"/>
      <c r="NYD126" s="1"/>
      <c r="NYE126" s="1"/>
      <c r="NYF126" s="1"/>
      <c r="NYG126" s="1"/>
      <c r="NYH126" s="1"/>
      <c r="NYI126" s="1"/>
      <c r="NYJ126" s="1"/>
      <c r="NYK126" s="1"/>
      <c r="NYL126" s="1"/>
      <c r="NYM126" s="1"/>
      <c r="NYN126" s="1"/>
      <c r="NYO126" s="1"/>
      <c r="NYP126" s="1"/>
      <c r="NYQ126" s="1"/>
      <c r="NYR126" s="1"/>
      <c r="NYS126" s="1"/>
      <c r="NYT126" s="1"/>
      <c r="NYU126" s="1"/>
      <c r="NYV126" s="1"/>
      <c r="NYW126" s="1"/>
      <c r="NYX126" s="1"/>
      <c r="NYY126" s="1"/>
      <c r="NYZ126" s="1"/>
      <c r="NZA126" s="1"/>
      <c r="NZB126" s="1"/>
      <c r="NZC126" s="1"/>
      <c r="NZD126" s="1"/>
      <c r="NZE126" s="1"/>
      <c r="NZF126" s="1"/>
      <c r="NZG126" s="1"/>
      <c r="NZH126" s="1"/>
      <c r="NZI126" s="1"/>
      <c r="NZJ126" s="1"/>
      <c r="NZK126" s="1"/>
      <c r="NZL126" s="1"/>
      <c r="NZM126" s="1"/>
      <c r="NZN126" s="1"/>
      <c r="NZO126" s="1"/>
      <c r="NZP126" s="1"/>
      <c r="NZQ126" s="1"/>
      <c r="NZR126" s="1"/>
      <c r="NZS126" s="1"/>
      <c r="NZT126" s="1"/>
      <c r="NZU126" s="1"/>
      <c r="NZV126" s="1"/>
      <c r="NZW126" s="1"/>
      <c r="NZX126" s="1"/>
      <c r="NZY126" s="1"/>
      <c r="NZZ126" s="1"/>
      <c r="OAA126" s="1"/>
      <c r="OAB126" s="1"/>
      <c r="OAC126" s="1"/>
      <c r="OAD126" s="1"/>
      <c r="OAE126" s="1"/>
      <c r="OAF126" s="1"/>
      <c r="OAG126" s="1"/>
      <c r="OAH126" s="1"/>
      <c r="OAI126" s="1"/>
      <c r="OAJ126" s="1"/>
      <c r="OAK126" s="1"/>
      <c r="OAL126" s="1"/>
      <c r="OAM126" s="1"/>
      <c r="OAN126" s="1"/>
      <c r="OAO126" s="1"/>
      <c r="OAP126" s="1"/>
      <c r="OAQ126" s="1"/>
      <c r="OAR126" s="1"/>
      <c r="OAS126" s="1"/>
      <c r="OAT126" s="1"/>
      <c r="OAU126" s="1"/>
      <c r="OAV126" s="1"/>
      <c r="OAW126" s="1"/>
      <c r="OAX126" s="1"/>
      <c r="OAY126" s="1"/>
      <c r="OAZ126" s="1"/>
      <c r="OBA126" s="1"/>
      <c r="OBB126" s="1"/>
      <c r="OBC126" s="1"/>
      <c r="OBD126" s="1"/>
      <c r="OBE126" s="1"/>
      <c r="OBF126" s="1"/>
      <c r="OBG126" s="1"/>
      <c r="OBH126" s="1"/>
      <c r="OBI126" s="1"/>
      <c r="OBJ126" s="1"/>
      <c r="OBK126" s="1"/>
      <c r="OBL126" s="1"/>
      <c r="OBM126" s="1"/>
      <c r="OBN126" s="1"/>
      <c r="OBO126" s="1"/>
      <c r="OBP126" s="1"/>
      <c r="OBQ126" s="1"/>
      <c r="OBR126" s="1"/>
      <c r="OBS126" s="1"/>
      <c r="OBT126" s="1"/>
      <c r="OBU126" s="1"/>
      <c r="OBV126" s="1"/>
      <c r="OBW126" s="1"/>
      <c r="OBX126" s="1"/>
      <c r="OBY126" s="1"/>
      <c r="OBZ126" s="1"/>
      <c r="OCA126" s="1"/>
      <c r="OCB126" s="1"/>
      <c r="OCC126" s="1"/>
      <c r="OCD126" s="1"/>
      <c r="OCE126" s="1"/>
      <c r="OCF126" s="1"/>
      <c r="OCG126" s="1"/>
      <c r="OCH126" s="1"/>
      <c r="OCI126" s="1"/>
      <c r="OCJ126" s="1"/>
      <c r="OCK126" s="1"/>
      <c r="OCL126" s="1"/>
      <c r="OCM126" s="1"/>
      <c r="OCN126" s="1"/>
      <c r="OCO126" s="1"/>
      <c r="OCP126" s="1"/>
      <c r="OCQ126" s="1"/>
      <c r="OCR126" s="1"/>
      <c r="OCS126" s="1"/>
      <c r="OCT126" s="1"/>
      <c r="OCU126" s="1"/>
      <c r="OCV126" s="1"/>
      <c r="OCW126" s="1"/>
      <c r="OCX126" s="1"/>
      <c r="OCY126" s="1"/>
      <c r="OCZ126" s="1"/>
      <c r="ODA126" s="1"/>
      <c r="ODB126" s="1"/>
      <c r="ODC126" s="1"/>
      <c r="ODD126" s="1"/>
      <c r="ODE126" s="1"/>
      <c r="ODF126" s="1"/>
      <c r="ODG126" s="1"/>
      <c r="ODH126" s="1"/>
      <c r="ODI126" s="1"/>
      <c r="ODJ126" s="1"/>
      <c r="ODK126" s="1"/>
      <c r="ODL126" s="1"/>
      <c r="ODM126" s="1"/>
      <c r="ODN126" s="1"/>
      <c r="ODO126" s="1"/>
      <c r="ODP126" s="1"/>
      <c r="ODQ126" s="1"/>
      <c r="ODR126" s="1"/>
      <c r="ODS126" s="1"/>
      <c r="ODT126" s="1"/>
      <c r="ODU126" s="1"/>
      <c r="ODV126" s="1"/>
      <c r="ODW126" s="1"/>
      <c r="ODX126" s="1"/>
      <c r="ODY126" s="1"/>
      <c r="ODZ126" s="1"/>
      <c r="OEA126" s="1"/>
      <c r="OEB126" s="1"/>
      <c r="OEC126" s="1"/>
      <c r="OED126" s="1"/>
      <c r="OEE126" s="1"/>
      <c r="OEF126" s="1"/>
      <c r="OEG126" s="1"/>
      <c r="OEH126" s="1"/>
      <c r="OEI126" s="1"/>
      <c r="OEJ126" s="1"/>
      <c r="OEK126" s="1"/>
      <c r="OEL126" s="1"/>
      <c r="OEM126" s="1"/>
      <c r="OEN126" s="1"/>
      <c r="OEO126" s="1"/>
      <c r="OEP126" s="1"/>
      <c r="OEQ126" s="1"/>
      <c r="OER126" s="1"/>
      <c r="OES126" s="1"/>
      <c r="OET126" s="1"/>
      <c r="OEU126" s="1"/>
      <c r="OEV126" s="1"/>
      <c r="OEW126" s="1"/>
      <c r="OEX126" s="1"/>
      <c r="OEY126" s="1"/>
      <c r="OEZ126" s="1"/>
      <c r="OFA126" s="1"/>
      <c r="OFB126" s="1"/>
      <c r="OFC126" s="1"/>
      <c r="OFD126" s="1"/>
      <c r="OFE126" s="1"/>
      <c r="OFF126" s="1"/>
      <c r="OFG126" s="1"/>
      <c r="OFH126" s="1"/>
      <c r="OFI126" s="1"/>
      <c r="OFJ126" s="1"/>
      <c r="OFK126" s="1"/>
      <c r="OFL126" s="1"/>
      <c r="OFM126" s="1"/>
      <c r="OFN126" s="1"/>
      <c r="OFO126" s="1"/>
      <c r="OFP126" s="1"/>
      <c r="OFQ126" s="1"/>
      <c r="OFR126" s="1"/>
      <c r="OFS126" s="1"/>
      <c r="OFT126" s="1"/>
      <c r="OFU126" s="1"/>
      <c r="OFV126" s="1"/>
      <c r="OFW126" s="1"/>
      <c r="OFX126" s="1"/>
      <c r="OFY126" s="1"/>
      <c r="OFZ126" s="1"/>
      <c r="OGA126" s="1"/>
      <c r="OGB126" s="1"/>
      <c r="OGC126" s="1"/>
      <c r="OGD126" s="1"/>
      <c r="OGE126" s="1"/>
      <c r="OGF126" s="1"/>
      <c r="OGG126" s="1"/>
      <c r="OGH126" s="1"/>
      <c r="OGI126" s="1"/>
      <c r="OGJ126" s="1"/>
      <c r="OGK126" s="1"/>
      <c r="OGL126" s="1"/>
      <c r="OGM126" s="1"/>
      <c r="OGN126" s="1"/>
      <c r="OGO126" s="1"/>
      <c r="OGP126" s="1"/>
      <c r="OGQ126" s="1"/>
      <c r="OGR126" s="1"/>
      <c r="OGS126" s="1"/>
      <c r="OGT126" s="1"/>
      <c r="OGU126" s="1"/>
      <c r="OGV126" s="1"/>
      <c r="OGW126" s="1"/>
      <c r="OGX126" s="1"/>
      <c r="OGY126" s="1"/>
      <c r="OGZ126" s="1"/>
      <c r="OHA126" s="1"/>
      <c r="OHB126" s="1"/>
      <c r="OHC126" s="1"/>
      <c r="OHD126" s="1"/>
      <c r="OHE126" s="1"/>
      <c r="OHF126" s="1"/>
      <c r="OHG126" s="1"/>
      <c r="OHH126" s="1"/>
      <c r="OHI126" s="1"/>
      <c r="OHJ126" s="1"/>
      <c r="OHK126" s="1"/>
      <c r="OHL126" s="1"/>
      <c r="OHM126" s="1"/>
      <c r="OHN126" s="1"/>
      <c r="OHO126" s="1"/>
      <c r="OHP126" s="1"/>
      <c r="OHQ126" s="1"/>
      <c r="OHR126" s="1"/>
      <c r="OHS126" s="1"/>
      <c r="OHT126" s="1"/>
      <c r="OHU126" s="1"/>
      <c r="OHV126" s="1"/>
      <c r="OHW126" s="1"/>
      <c r="OHX126" s="1"/>
      <c r="OHY126" s="1"/>
      <c r="OHZ126" s="1"/>
      <c r="OIA126" s="1"/>
      <c r="OIB126" s="1"/>
      <c r="OIC126" s="1"/>
      <c r="OID126" s="1"/>
      <c r="OIE126" s="1"/>
      <c r="OIF126" s="1"/>
      <c r="OIG126" s="1"/>
      <c r="OIH126" s="1"/>
      <c r="OII126" s="1"/>
      <c r="OIJ126" s="1"/>
      <c r="OIK126" s="1"/>
      <c r="OIL126" s="1"/>
      <c r="OIM126" s="1"/>
      <c r="OIN126" s="1"/>
      <c r="OIO126" s="1"/>
      <c r="OIP126" s="1"/>
      <c r="OIQ126" s="1"/>
      <c r="OIR126" s="1"/>
      <c r="OIS126" s="1"/>
      <c r="OIT126" s="1"/>
      <c r="OIU126" s="1"/>
      <c r="OIV126" s="1"/>
      <c r="OIW126" s="1"/>
      <c r="OIX126" s="1"/>
      <c r="OIY126" s="1"/>
      <c r="OIZ126" s="1"/>
      <c r="OJA126" s="1"/>
      <c r="OJB126" s="1"/>
      <c r="OJC126" s="1"/>
      <c r="OJD126" s="1"/>
      <c r="OJE126" s="1"/>
      <c r="OJF126" s="1"/>
      <c r="OJG126" s="1"/>
      <c r="OJH126" s="1"/>
      <c r="OJI126" s="1"/>
      <c r="OJJ126" s="1"/>
      <c r="OJK126" s="1"/>
      <c r="OJL126" s="1"/>
      <c r="OJM126" s="1"/>
      <c r="OJN126" s="1"/>
      <c r="OJO126" s="1"/>
      <c r="OJP126" s="1"/>
      <c r="OJQ126" s="1"/>
      <c r="OJR126" s="1"/>
      <c r="OJS126" s="1"/>
      <c r="OJT126" s="1"/>
      <c r="OJU126" s="1"/>
      <c r="OJV126" s="1"/>
      <c r="OJW126" s="1"/>
      <c r="OJX126" s="1"/>
      <c r="OJY126" s="1"/>
      <c r="OJZ126" s="1"/>
      <c r="OKA126" s="1"/>
      <c r="OKB126" s="1"/>
      <c r="OKC126" s="1"/>
      <c r="OKD126" s="1"/>
      <c r="OKE126" s="1"/>
      <c r="OKF126" s="1"/>
      <c r="OKG126" s="1"/>
      <c r="OKH126" s="1"/>
      <c r="OKI126" s="1"/>
      <c r="OKJ126" s="1"/>
      <c r="OKK126" s="1"/>
      <c r="OKL126" s="1"/>
      <c r="OKM126" s="1"/>
      <c r="OKN126" s="1"/>
      <c r="OKO126" s="1"/>
      <c r="OKP126" s="1"/>
      <c r="OKQ126" s="1"/>
      <c r="OKR126" s="1"/>
      <c r="OKS126" s="1"/>
      <c r="OKT126" s="1"/>
      <c r="OKU126" s="1"/>
      <c r="OKV126" s="1"/>
      <c r="OKW126" s="1"/>
      <c r="OKX126" s="1"/>
      <c r="OKY126" s="1"/>
      <c r="OKZ126" s="1"/>
      <c r="OLA126" s="1"/>
      <c r="OLB126" s="1"/>
      <c r="OLC126" s="1"/>
      <c r="OLD126" s="1"/>
      <c r="OLE126" s="1"/>
      <c r="OLF126" s="1"/>
      <c r="OLG126" s="1"/>
      <c r="OLH126" s="1"/>
      <c r="OLI126" s="1"/>
      <c r="OLJ126" s="1"/>
      <c r="OLK126" s="1"/>
      <c r="OLL126" s="1"/>
      <c r="OLM126" s="1"/>
      <c r="OLN126" s="1"/>
      <c r="OLO126" s="1"/>
      <c r="OLP126" s="1"/>
      <c r="OLQ126" s="1"/>
      <c r="OLR126" s="1"/>
      <c r="OLS126" s="1"/>
      <c r="OLT126" s="1"/>
      <c r="OLU126" s="1"/>
      <c r="OLV126" s="1"/>
      <c r="OLW126" s="1"/>
      <c r="OLX126" s="1"/>
      <c r="OLY126" s="1"/>
      <c r="OLZ126" s="1"/>
      <c r="OMA126" s="1"/>
      <c r="OMB126" s="1"/>
      <c r="OMC126" s="1"/>
      <c r="OMD126" s="1"/>
      <c r="OME126" s="1"/>
      <c r="OMF126" s="1"/>
      <c r="OMG126" s="1"/>
      <c r="OMH126" s="1"/>
      <c r="OMI126" s="1"/>
      <c r="OMJ126" s="1"/>
      <c r="OMK126" s="1"/>
      <c r="OML126" s="1"/>
      <c r="OMM126" s="1"/>
      <c r="OMN126" s="1"/>
      <c r="OMO126" s="1"/>
      <c r="OMP126" s="1"/>
      <c r="OMQ126" s="1"/>
      <c r="OMR126" s="1"/>
      <c r="OMS126" s="1"/>
      <c r="OMT126" s="1"/>
      <c r="OMU126" s="1"/>
      <c r="OMV126" s="1"/>
      <c r="OMW126" s="1"/>
      <c r="OMX126" s="1"/>
      <c r="OMY126" s="1"/>
      <c r="OMZ126" s="1"/>
      <c r="ONA126" s="1"/>
      <c r="ONB126" s="1"/>
      <c r="ONC126" s="1"/>
      <c r="OND126" s="1"/>
      <c r="ONE126" s="1"/>
      <c r="ONF126" s="1"/>
      <c r="ONG126" s="1"/>
      <c r="ONH126" s="1"/>
      <c r="ONI126" s="1"/>
      <c r="ONJ126" s="1"/>
      <c r="ONK126" s="1"/>
      <c r="ONL126" s="1"/>
      <c r="ONM126" s="1"/>
      <c r="ONN126" s="1"/>
      <c r="ONO126" s="1"/>
      <c r="ONP126" s="1"/>
      <c r="ONQ126" s="1"/>
      <c r="ONR126" s="1"/>
      <c r="ONS126" s="1"/>
      <c r="ONT126" s="1"/>
      <c r="ONU126" s="1"/>
      <c r="ONV126" s="1"/>
      <c r="ONW126" s="1"/>
      <c r="ONX126" s="1"/>
      <c r="ONY126" s="1"/>
      <c r="ONZ126" s="1"/>
      <c r="OOA126" s="1"/>
      <c r="OOB126" s="1"/>
      <c r="OOC126" s="1"/>
      <c r="OOD126" s="1"/>
      <c r="OOE126" s="1"/>
      <c r="OOF126" s="1"/>
      <c r="OOG126" s="1"/>
      <c r="OOH126" s="1"/>
      <c r="OOI126" s="1"/>
      <c r="OOJ126" s="1"/>
      <c r="OOK126" s="1"/>
      <c r="OOL126" s="1"/>
      <c r="OOM126" s="1"/>
      <c r="OON126" s="1"/>
      <c r="OOO126" s="1"/>
      <c r="OOP126" s="1"/>
      <c r="OOQ126" s="1"/>
      <c r="OOR126" s="1"/>
      <c r="OOS126" s="1"/>
      <c r="OOT126" s="1"/>
      <c r="OOU126" s="1"/>
      <c r="OOV126" s="1"/>
      <c r="OOW126" s="1"/>
      <c r="OOX126" s="1"/>
      <c r="OOY126" s="1"/>
      <c r="OOZ126" s="1"/>
      <c r="OPA126" s="1"/>
      <c r="OPB126" s="1"/>
      <c r="OPC126" s="1"/>
      <c r="OPD126" s="1"/>
      <c r="OPE126" s="1"/>
      <c r="OPF126" s="1"/>
      <c r="OPG126" s="1"/>
      <c r="OPH126" s="1"/>
      <c r="OPI126" s="1"/>
      <c r="OPJ126" s="1"/>
      <c r="OPK126" s="1"/>
      <c r="OPL126" s="1"/>
      <c r="OPM126" s="1"/>
      <c r="OPN126" s="1"/>
      <c r="OPO126" s="1"/>
      <c r="OPP126" s="1"/>
      <c r="OPQ126" s="1"/>
      <c r="OPR126" s="1"/>
      <c r="OPS126" s="1"/>
      <c r="OPT126" s="1"/>
      <c r="OPU126" s="1"/>
      <c r="OPV126" s="1"/>
      <c r="OPW126" s="1"/>
      <c r="OPX126" s="1"/>
      <c r="OPY126" s="1"/>
      <c r="OPZ126" s="1"/>
      <c r="OQA126" s="1"/>
      <c r="OQB126" s="1"/>
      <c r="OQC126" s="1"/>
      <c r="OQD126" s="1"/>
      <c r="OQE126" s="1"/>
      <c r="OQF126" s="1"/>
      <c r="OQG126" s="1"/>
      <c r="OQH126" s="1"/>
      <c r="OQI126" s="1"/>
      <c r="OQJ126" s="1"/>
      <c r="OQK126" s="1"/>
      <c r="OQL126" s="1"/>
      <c r="OQM126" s="1"/>
      <c r="OQN126" s="1"/>
      <c r="OQO126" s="1"/>
      <c r="OQP126" s="1"/>
      <c r="OQQ126" s="1"/>
      <c r="OQR126" s="1"/>
      <c r="OQS126" s="1"/>
      <c r="OQT126" s="1"/>
      <c r="OQU126" s="1"/>
      <c r="OQV126" s="1"/>
      <c r="OQW126" s="1"/>
      <c r="OQX126" s="1"/>
      <c r="OQY126" s="1"/>
      <c r="OQZ126" s="1"/>
      <c r="ORA126" s="1"/>
      <c r="ORB126" s="1"/>
      <c r="ORC126" s="1"/>
      <c r="ORD126" s="1"/>
      <c r="ORE126" s="1"/>
      <c r="ORF126" s="1"/>
      <c r="ORG126" s="1"/>
      <c r="ORH126" s="1"/>
      <c r="ORI126" s="1"/>
      <c r="ORJ126" s="1"/>
      <c r="ORK126" s="1"/>
      <c r="ORL126" s="1"/>
      <c r="ORM126" s="1"/>
      <c r="ORN126" s="1"/>
      <c r="ORO126" s="1"/>
      <c r="ORP126" s="1"/>
      <c r="ORQ126" s="1"/>
      <c r="ORR126" s="1"/>
      <c r="ORS126" s="1"/>
      <c r="ORT126" s="1"/>
      <c r="ORU126" s="1"/>
      <c r="ORV126" s="1"/>
      <c r="ORW126" s="1"/>
      <c r="ORX126" s="1"/>
      <c r="ORY126" s="1"/>
      <c r="ORZ126" s="1"/>
      <c r="OSA126" s="1"/>
      <c r="OSB126" s="1"/>
      <c r="OSC126" s="1"/>
      <c r="OSD126" s="1"/>
      <c r="OSE126" s="1"/>
      <c r="OSF126" s="1"/>
      <c r="OSG126" s="1"/>
      <c r="OSH126" s="1"/>
      <c r="OSI126" s="1"/>
      <c r="OSJ126" s="1"/>
      <c r="OSK126" s="1"/>
      <c r="OSL126" s="1"/>
      <c r="OSM126" s="1"/>
      <c r="OSN126" s="1"/>
      <c r="OSO126" s="1"/>
      <c r="OSP126" s="1"/>
      <c r="OSQ126" s="1"/>
      <c r="OSR126" s="1"/>
      <c r="OSS126" s="1"/>
      <c r="OST126" s="1"/>
      <c r="OSU126" s="1"/>
      <c r="OSV126" s="1"/>
      <c r="OSW126" s="1"/>
      <c r="OSX126" s="1"/>
      <c r="OSY126" s="1"/>
      <c r="OSZ126" s="1"/>
      <c r="OTA126" s="1"/>
      <c r="OTB126" s="1"/>
      <c r="OTC126" s="1"/>
      <c r="OTD126" s="1"/>
      <c r="OTE126" s="1"/>
      <c r="OTF126" s="1"/>
      <c r="OTG126" s="1"/>
      <c r="OTH126" s="1"/>
      <c r="OTI126" s="1"/>
      <c r="OTJ126" s="1"/>
      <c r="OTK126" s="1"/>
      <c r="OTL126" s="1"/>
      <c r="OTM126" s="1"/>
      <c r="OTN126" s="1"/>
      <c r="OTO126" s="1"/>
      <c r="OTP126" s="1"/>
      <c r="OTQ126" s="1"/>
      <c r="OTR126" s="1"/>
      <c r="OTS126" s="1"/>
      <c r="OTT126" s="1"/>
      <c r="OTU126" s="1"/>
      <c r="OTV126" s="1"/>
      <c r="OTW126" s="1"/>
      <c r="OTX126" s="1"/>
      <c r="OTY126" s="1"/>
      <c r="OTZ126" s="1"/>
      <c r="OUA126" s="1"/>
      <c r="OUB126" s="1"/>
      <c r="OUC126" s="1"/>
      <c r="OUD126" s="1"/>
      <c r="OUE126" s="1"/>
      <c r="OUF126" s="1"/>
      <c r="OUG126" s="1"/>
      <c r="OUH126" s="1"/>
      <c r="OUI126" s="1"/>
      <c r="OUJ126" s="1"/>
      <c r="OUK126" s="1"/>
      <c r="OUL126" s="1"/>
      <c r="OUM126" s="1"/>
      <c r="OUN126" s="1"/>
      <c r="OUO126" s="1"/>
      <c r="OUP126" s="1"/>
      <c r="OUQ126" s="1"/>
      <c r="OUR126" s="1"/>
      <c r="OUS126" s="1"/>
      <c r="OUT126" s="1"/>
      <c r="OUU126" s="1"/>
      <c r="OUV126" s="1"/>
      <c r="OUW126" s="1"/>
      <c r="OUX126" s="1"/>
      <c r="OUY126" s="1"/>
      <c r="OUZ126" s="1"/>
      <c r="OVA126" s="1"/>
      <c r="OVB126" s="1"/>
      <c r="OVC126" s="1"/>
      <c r="OVD126" s="1"/>
      <c r="OVE126" s="1"/>
      <c r="OVF126" s="1"/>
      <c r="OVG126" s="1"/>
      <c r="OVH126" s="1"/>
      <c r="OVI126" s="1"/>
      <c r="OVJ126" s="1"/>
      <c r="OVK126" s="1"/>
      <c r="OVL126" s="1"/>
      <c r="OVM126" s="1"/>
      <c r="OVN126" s="1"/>
      <c r="OVO126" s="1"/>
      <c r="OVP126" s="1"/>
      <c r="OVQ126" s="1"/>
      <c r="OVR126" s="1"/>
      <c r="OVS126" s="1"/>
      <c r="OVT126" s="1"/>
      <c r="OVU126" s="1"/>
      <c r="OVV126" s="1"/>
      <c r="OVW126" s="1"/>
      <c r="OVX126" s="1"/>
      <c r="OVY126" s="1"/>
      <c r="OVZ126" s="1"/>
      <c r="OWA126" s="1"/>
      <c r="OWB126" s="1"/>
      <c r="OWC126" s="1"/>
      <c r="OWD126" s="1"/>
      <c r="OWE126" s="1"/>
      <c r="OWF126" s="1"/>
      <c r="OWG126" s="1"/>
      <c r="OWH126" s="1"/>
      <c r="OWI126" s="1"/>
      <c r="OWJ126" s="1"/>
      <c r="OWK126" s="1"/>
      <c r="OWL126" s="1"/>
      <c r="OWM126" s="1"/>
      <c r="OWN126" s="1"/>
      <c r="OWO126" s="1"/>
      <c r="OWP126" s="1"/>
      <c r="OWQ126" s="1"/>
      <c r="OWR126" s="1"/>
      <c r="OWS126" s="1"/>
      <c r="OWT126" s="1"/>
      <c r="OWU126" s="1"/>
      <c r="OWV126" s="1"/>
      <c r="OWW126" s="1"/>
      <c r="OWX126" s="1"/>
      <c r="OWY126" s="1"/>
      <c r="OWZ126" s="1"/>
      <c r="OXA126" s="1"/>
      <c r="OXB126" s="1"/>
      <c r="OXC126" s="1"/>
      <c r="OXD126" s="1"/>
      <c r="OXE126" s="1"/>
      <c r="OXF126" s="1"/>
      <c r="OXG126" s="1"/>
      <c r="OXH126" s="1"/>
      <c r="OXI126" s="1"/>
      <c r="OXJ126" s="1"/>
      <c r="OXK126" s="1"/>
      <c r="OXL126" s="1"/>
      <c r="OXM126" s="1"/>
      <c r="OXN126" s="1"/>
      <c r="OXO126" s="1"/>
      <c r="OXP126" s="1"/>
      <c r="OXQ126" s="1"/>
      <c r="OXR126" s="1"/>
      <c r="OXS126" s="1"/>
      <c r="OXT126" s="1"/>
      <c r="OXU126" s="1"/>
      <c r="OXV126" s="1"/>
      <c r="OXW126" s="1"/>
      <c r="OXX126" s="1"/>
      <c r="OXY126" s="1"/>
      <c r="OXZ126" s="1"/>
      <c r="OYA126" s="1"/>
      <c r="OYB126" s="1"/>
      <c r="OYC126" s="1"/>
      <c r="OYD126" s="1"/>
      <c r="OYE126" s="1"/>
      <c r="OYF126" s="1"/>
      <c r="OYG126" s="1"/>
      <c r="OYH126" s="1"/>
      <c r="OYI126" s="1"/>
      <c r="OYJ126" s="1"/>
      <c r="OYK126" s="1"/>
      <c r="OYL126" s="1"/>
      <c r="OYM126" s="1"/>
      <c r="OYN126" s="1"/>
      <c r="OYO126" s="1"/>
      <c r="OYP126" s="1"/>
      <c r="OYQ126" s="1"/>
      <c r="OYR126" s="1"/>
      <c r="OYS126" s="1"/>
      <c r="OYT126" s="1"/>
      <c r="OYU126" s="1"/>
      <c r="OYV126" s="1"/>
      <c r="OYW126" s="1"/>
      <c r="OYX126" s="1"/>
      <c r="OYY126" s="1"/>
      <c r="OYZ126" s="1"/>
      <c r="OZA126" s="1"/>
      <c r="OZB126" s="1"/>
      <c r="OZC126" s="1"/>
      <c r="OZD126" s="1"/>
      <c r="OZE126" s="1"/>
      <c r="OZF126" s="1"/>
      <c r="OZG126" s="1"/>
      <c r="OZH126" s="1"/>
      <c r="OZI126" s="1"/>
      <c r="OZJ126" s="1"/>
      <c r="OZK126" s="1"/>
      <c r="OZL126" s="1"/>
      <c r="OZM126" s="1"/>
      <c r="OZN126" s="1"/>
      <c r="OZO126" s="1"/>
      <c r="OZP126" s="1"/>
      <c r="OZQ126" s="1"/>
      <c r="OZR126" s="1"/>
      <c r="OZS126" s="1"/>
      <c r="OZT126" s="1"/>
      <c r="OZU126" s="1"/>
      <c r="OZV126" s="1"/>
      <c r="OZW126" s="1"/>
      <c r="OZX126" s="1"/>
      <c r="OZY126" s="1"/>
      <c r="OZZ126" s="1"/>
      <c r="PAA126" s="1"/>
      <c r="PAB126" s="1"/>
      <c r="PAC126" s="1"/>
      <c r="PAD126" s="1"/>
      <c r="PAE126" s="1"/>
      <c r="PAF126" s="1"/>
      <c r="PAG126" s="1"/>
      <c r="PAH126" s="1"/>
      <c r="PAI126" s="1"/>
      <c r="PAJ126" s="1"/>
      <c r="PAK126" s="1"/>
      <c r="PAL126" s="1"/>
      <c r="PAM126" s="1"/>
      <c r="PAN126" s="1"/>
      <c r="PAO126" s="1"/>
      <c r="PAP126" s="1"/>
      <c r="PAQ126" s="1"/>
      <c r="PAR126" s="1"/>
      <c r="PAS126" s="1"/>
      <c r="PAT126" s="1"/>
      <c r="PAU126" s="1"/>
      <c r="PAV126" s="1"/>
      <c r="PAW126" s="1"/>
      <c r="PAX126" s="1"/>
      <c r="PAY126" s="1"/>
      <c r="PAZ126" s="1"/>
      <c r="PBA126" s="1"/>
      <c r="PBB126" s="1"/>
      <c r="PBC126" s="1"/>
      <c r="PBD126" s="1"/>
      <c r="PBE126" s="1"/>
      <c r="PBF126" s="1"/>
      <c r="PBG126" s="1"/>
      <c r="PBH126" s="1"/>
      <c r="PBI126" s="1"/>
      <c r="PBJ126" s="1"/>
      <c r="PBK126" s="1"/>
      <c r="PBL126" s="1"/>
      <c r="PBM126" s="1"/>
      <c r="PBN126" s="1"/>
      <c r="PBO126" s="1"/>
      <c r="PBP126" s="1"/>
      <c r="PBQ126" s="1"/>
      <c r="PBR126" s="1"/>
      <c r="PBS126" s="1"/>
      <c r="PBT126" s="1"/>
      <c r="PBU126" s="1"/>
      <c r="PBV126" s="1"/>
      <c r="PBW126" s="1"/>
      <c r="PBX126" s="1"/>
      <c r="PBY126" s="1"/>
      <c r="PBZ126" s="1"/>
      <c r="PCA126" s="1"/>
      <c r="PCB126" s="1"/>
      <c r="PCC126" s="1"/>
      <c r="PCD126" s="1"/>
      <c r="PCE126" s="1"/>
      <c r="PCF126" s="1"/>
      <c r="PCG126" s="1"/>
      <c r="PCH126" s="1"/>
      <c r="PCI126" s="1"/>
      <c r="PCJ126" s="1"/>
      <c r="PCK126" s="1"/>
      <c r="PCL126" s="1"/>
      <c r="PCM126" s="1"/>
      <c r="PCN126" s="1"/>
      <c r="PCO126" s="1"/>
      <c r="PCP126" s="1"/>
      <c r="PCQ126" s="1"/>
      <c r="PCR126" s="1"/>
      <c r="PCS126" s="1"/>
      <c r="PCT126" s="1"/>
      <c r="PCU126" s="1"/>
      <c r="PCV126" s="1"/>
      <c r="PCW126" s="1"/>
      <c r="PCX126" s="1"/>
      <c r="PCY126" s="1"/>
      <c r="PCZ126" s="1"/>
      <c r="PDA126" s="1"/>
      <c r="PDB126" s="1"/>
      <c r="PDC126" s="1"/>
      <c r="PDD126" s="1"/>
      <c r="PDE126" s="1"/>
      <c r="PDF126" s="1"/>
      <c r="PDG126" s="1"/>
      <c r="PDH126" s="1"/>
      <c r="PDI126" s="1"/>
      <c r="PDJ126" s="1"/>
      <c r="PDK126" s="1"/>
      <c r="PDL126" s="1"/>
      <c r="PDM126" s="1"/>
      <c r="PDN126" s="1"/>
      <c r="PDO126" s="1"/>
      <c r="PDP126" s="1"/>
      <c r="PDQ126" s="1"/>
      <c r="PDR126" s="1"/>
      <c r="PDS126" s="1"/>
      <c r="PDT126" s="1"/>
      <c r="PDU126" s="1"/>
      <c r="PDV126" s="1"/>
      <c r="PDW126" s="1"/>
      <c r="PDX126" s="1"/>
      <c r="PDY126" s="1"/>
      <c r="PDZ126" s="1"/>
      <c r="PEA126" s="1"/>
      <c r="PEB126" s="1"/>
      <c r="PEC126" s="1"/>
      <c r="PED126" s="1"/>
      <c r="PEE126" s="1"/>
      <c r="PEF126" s="1"/>
      <c r="PEG126" s="1"/>
      <c r="PEH126" s="1"/>
      <c r="PEI126" s="1"/>
      <c r="PEJ126" s="1"/>
      <c r="PEK126" s="1"/>
      <c r="PEL126" s="1"/>
      <c r="PEM126" s="1"/>
      <c r="PEN126" s="1"/>
      <c r="PEO126" s="1"/>
      <c r="PEP126" s="1"/>
      <c r="PEQ126" s="1"/>
      <c r="PER126" s="1"/>
      <c r="PES126" s="1"/>
      <c r="PET126" s="1"/>
      <c r="PEU126" s="1"/>
      <c r="PEV126" s="1"/>
      <c r="PEW126" s="1"/>
      <c r="PEX126" s="1"/>
      <c r="PEY126" s="1"/>
      <c r="PEZ126" s="1"/>
      <c r="PFA126" s="1"/>
      <c r="PFB126" s="1"/>
      <c r="PFC126" s="1"/>
      <c r="PFD126" s="1"/>
      <c r="PFE126" s="1"/>
      <c r="PFF126" s="1"/>
      <c r="PFG126" s="1"/>
      <c r="PFH126" s="1"/>
      <c r="PFI126" s="1"/>
      <c r="PFJ126" s="1"/>
      <c r="PFK126" s="1"/>
      <c r="PFL126" s="1"/>
      <c r="PFM126" s="1"/>
      <c r="PFN126" s="1"/>
      <c r="PFO126" s="1"/>
      <c r="PFP126" s="1"/>
      <c r="PFQ126" s="1"/>
      <c r="PFR126" s="1"/>
      <c r="PFS126" s="1"/>
      <c r="PFT126" s="1"/>
      <c r="PFU126" s="1"/>
      <c r="PFV126" s="1"/>
      <c r="PFW126" s="1"/>
      <c r="PFX126" s="1"/>
      <c r="PFY126" s="1"/>
      <c r="PFZ126" s="1"/>
      <c r="PGA126" s="1"/>
      <c r="PGB126" s="1"/>
      <c r="PGC126" s="1"/>
      <c r="PGD126" s="1"/>
      <c r="PGE126" s="1"/>
      <c r="PGF126" s="1"/>
      <c r="PGG126" s="1"/>
      <c r="PGH126" s="1"/>
      <c r="PGI126" s="1"/>
      <c r="PGJ126" s="1"/>
      <c r="PGK126" s="1"/>
      <c r="PGL126" s="1"/>
      <c r="PGM126" s="1"/>
      <c r="PGN126" s="1"/>
      <c r="PGO126" s="1"/>
      <c r="PGP126" s="1"/>
      <c r="PGQ126" s="1"/>
      <c r="PGR126" s="1"/>
      <c r="PGS126" s="1"/>
      <c r="PGT126" s="1"/>
      <c r="PGU126" s="1"/>
      <c r="PGV126" s="1"/>
      <c r="PGW126" s="1"/>
      <c r="PGX126" s="1"/>
      <c r="PGY126" s="1"/>
      <c r="PGZ126" s="1"/>
      <c r="PHA126" s="1"/>
      <c r="PHB126" s="1"/>
      <c r="PHC126" s="1"/>
      <c r="PHD126" s="1"/>
      <c r="PHE126" s="1"/>
      <c r="PHF126" s="1"/>
      <c r="PHG126" s="1"/>
      <c r="PHH126" s="1"/>
      <c r="PHI126" s="1"/>
      <c r="PHJ126" s="1"/>
      <c r="PHK126" s="1"/>
      <c r="PHL126" s="1"/>
      <c r="PHM126" s="1"/>
      <c r="PHN126" s="1"/>
      <c r="PHO126" s="1"/>
      <c r="PHP126" s="1"/>
      <c r="PHQ126" s="1"/>
      <c r="PHR126" s="1"/>
      <c r="PHS126" s="1"/>
      <c r="PHT126" s="1"/>
      <c r="PHU126" s="1"/>
      <c r="PHV126" s="1"/>
      <c r="PHW126" s="1"/>
      <c r="PHX126" s="1"/>
      <c r="PHY126" s="1"/>
      <c r="PHZ126" s="1"/>
      <c r="PIA126" s="1"/>
      <c r="PIB126" s="1"/>
      <c r="PIC126" s="1"/>
      <c r="PID126" s="1"/>
      <c r="PIE126" s="1"/>
      <c r="PIF126" s="1"/>
      <c r="PIG126" s="1"/>
      <c r="PIH126" s="1"/>
      <c r="PII126" s="1"/>
      <c r="PIJ126" s="1"/>
      <c r="PIK126" s="1"/>
      <c r="PIL126" s="1"/>
      <c r="PIM126" s="1"/>
      <c r="PIN126" s="1"/>
      <c r="PIO126" s="1"/>
      <c r="PIP126" s="1"/>
      <c r="PIQ126" s="1"/>
      <c r="PIR126" s="1"/>
      <c r="PIS126" s="1"/>
      <c r="PIT126" s="1"/>
      <c r="PIU126" s="1"/>
      <c r="PIV126" s="1"/>
      <c r="PIW126" s="1"/>
      <c r="PIX126" s="1"/>
      <c r="PIY126" s="1"/>
      <c r="PIZ126" s="1"/>
      <c r="PJA126" s="1"/>
      <c r="PJB126" s="1"/>
      <c r="PJC126" s="1"/>
      <c r="PJD126" s="1"/>
      <c r="PJE126" s="1"/>
      <c r="PJF126" s="1"/>
      <c r="PJG126" s="1"/>
      <c r="PJH126" s="1"/>
      <c r="PJI126" s="1"/>
      <c r="PJJ126" s="1"/>
      <c r="PJK126" s="1"/>
      <c r="PJL126" s="1"/>
      <c r="PJM126" s="1"/>
      <c r="PJN126" s="1"/>
      <c r="PJO126" s="1"/>
      <c r="PJP126" s="1"/>
      <c r="PJQ126" s="1"/>
      <c r="PJR126" s="1"/>
      <c r="PJS126" s="1"/>
      <c r="PJT126" s="1"/>
      <c r="PJU126" s="1"/>
      <c r="PJV126" s="1"/>
      <c r="PJW126" s="1"/>
      <c r="PJX126" s="1"/>
      <c r="PJY126" s="1"/>
      <c r="PJZ126" s="1"/>
      <c r="PKA126" s="1"/>
      <c r="PKB126" s="1"/>
      <c r="PKC126" s="1"/>
      <c r="PKD126" s="1"/>
      <c r="PKE126" s="1"/>
      <c r="PKF126" s="1"/>
      <c r="PKG126" s="1"/>
      <c r="PKH126" s="1"/>
      <c r="PKI126" s="1"/>
      <c r="PKJ126" s="1"/>
      <c r="PKK126" s="1"/>
      <c r="PKL126" s="1"/>
      <c r="PKM126" s="1"/>
      <c r="PKN126" s="1"/>
      <c r="PKO126" s="1"/>
      <c r="PKP126" s="1"/>
      <c r="PKQ126" s="1"/>
      <c r="PKR126" s="1"/>
      <c r="PKS126" s="1"/>
      <c r="PKT126" s="1"/>
      <c r="PKU126" s="1"/>
      <c r="PKV126" s="1"/>
      <c r="PKW126" s="1"/>
      <c r="PKX126" s="1"/>
      <c r="PKY126" s="1"/>
      <c r="PKZ126" s="1"/>
      <c r="PLA126" s="1"/>
      <c r="PLB126" s="1"/>
      <c r="PLC126" s="1"/>
      <c r="PLD126" s="1"/>
      <c r="PLE126" s="1"/>
      <c r="PLF126" s="1"/>
      <c r="PLG126" s="1"/>
      <c r="PLH126" s="1"/>
      <c r="PLI126" s="1"/>
      <c r="PLJ126" s="1"/>
      <c r="PLK126" s="1"/>
      <c r="PLL126" s="1"/>
      <c r="PLM126" s="1"/>
      <c r="PLN126" s="1"/>
      <c r="PLO126" s="1"/>
      <c r="PLP126" s="1"/>
      <c r="PLQ126" s="1"/>
      <c r="PLR126" s="1"/>
      <c r="PLS126" s="1"/>
      <c r="PLT126" s="1"/>
      <c r="PLU126" s="1"/>
      <c r="PLV126" s="1"/>
      <c r="PLW126" s="1"/>
      <c r="PLX126" s="1"/>
      <c r="PLY126" s="1"/>
      <c r="PLZ126" s="1"/>
      <c r="PMA126" s="1"/>
      <c r="PMB126" s="1"/>
      <c r="PMC126" s="1"/>
      <c r="PMD126" s="1"/>
      <c r="PME126" s="1"/>
      <c r="PMF126" s="1"/>
      <c r="PMG126" s="1"/>
      <c r="PMH126" s="1"/>
      <c r="PMI126" s="1"/>
      <c r="PMJ126" s="1"/>
      <c r="PMK126" s="1"/>
      <c r="PML126" s="1"/>
      <c r="PMM126" s="1"/>
      <c r="PMN126" s="1"/>
      <c r="PMO126" s="1"/>
      <c r="PMP126" s="1"/>
      <c r="PMQ126" s="1"/>
      <c r="PMR126" s="1"/>
      <c r="PMS126" s="1"/>
      <c r="PMT126" s="1"/>
      <c r="PMU126" s="1"/>
      <c r="PMV126" s="1"/>
      <c r="PMW126" s="1"/>
      <c r="PMX126" s="1"/>
      <c r="PMY126" s="1"/>
      <c r="PMZ126" s="1"/>
      <c r="PNA126" s="1"/>
      <c r="PNB126" s="1"/>
      <c r="PNC126" s="1"/>
      <c r="PND126" s="1"/>
      <c r="PNE126" s="1"/>
      <c r="PNF126" s="1"/>
      <c r="PNG126" s="1"/>
      <c r="PNH126" s="1"/>
      <c r="PNI126" s="1"/>
      <c r="PNJ126" s="1"/>
      <c r="PNK126" s="1"/>
      <c r="PNL126" s="1"/>
      <c r="PNM126" s="1"/>
      <c r="PNN126" s="1"/>
      <c r="PNO126" s="1"/>
      <c r="PNP126" s="1"/>
      <c r="PNQ126" s="1"/>
      <c r="PNR126" s="1"/>
      <c r="PNS126" s="1"/>
      <c r="PNT126" s="1"/>
      <c r="PNU126" s="1"/>
      <c r="PNV126" s="1"/>
      <c r="PNW126" s="1"/>
      <c r="PNX126" s="1"/>
      <c r="PNY126" s="1"/>
      <c r="PNZ126" s="1"/>
      <c r="POA126" s="1"/>
      <c r="POB126" s="1"/>
      <c r="POC126" s="1"/>
      <c r="POD126" s="1"/>
      <c r="POE126" s="1"/>
      <c r="POF126" s="1"/>
      <c r="POG126" s="1"/>
      <c r="POH126" s="1"/>
      <c r="POI126" s="1"/>
      <c r="POJ126" s="1"/>
      <c r="POK126" s="1"/>
      <c r="POL126" s="1"/>
      <c r="POM126" s="1"/>
      <c r="PON126" s="1"/>
      <c r="POO126" s="1"/>
      <c r="POP126" s="1"/>
      <c r="POQ126" s="1"/>
      <c r="POR126" s="1"/>
      <c r="POS126" s="1"/>
      <c r="POT126" s="1"/>
      <c r="POU126" s="1"/>
      <c r="POV126" s="1"/>
      <c r="POW126" s="1"/>
      <c r="POX126" s="1"/>
      <c r="POY126" s="1"/>
      <c r="POZ126" s="1"/>
      <c r="PPA126" s="1"/>
      <c r="PPB126" s="1"/>
      <c r="PPC126" s="1"/>
      <c r="PPD126" s="1"/>
      <c r="PPE126" s="1"/>
      <c r="PPF126" s="1"/>
      <c r="PPG126" s="1"/>
      <c r="PPH126" s="1"/>
      <c r="PPI126" s="1"/>
      <c r="PPJ126" s="1"/>
      <c r="PPK126" s="1"/>
      <c r="PPL126" s="1"/>
      <c r="PPM126" s="1"/>
      <c r="PPN126" s="1"/>
      <c r="PPO126" s="1"/>
      <c r="PPP126" s="1"/>
      <c r="PPQ126" s="1"/>
      <c r="PPR126" s="1"/>
      <c r="PPS126" s="1"/>
      <c r="PPT126" s="1"/>
      <c r="PPU126" s="1"/>
      <c r="PPV126" s="1"/>
      <c r="PPW126" s="1"/>
      <c r="PPX126" s="1"/>
      <c r="PPY126" s="1"/>
      <c r="PPZ126" s="1"/>
      <c r="PQA126" s="1"/>
      <c r="PQB126" s="1"/>
      <c r="PQC126" s="1"/>
      <c r="PQD126" s="1"/>
      <c r="PQE126" s="1"/>
      <c r="PQF126" s="1"/>
      <c r="PQG126" s="1"/>
      <c r="PQH126" s="1"/>
      <c r="PQI126" s="1"/>
      <c r="PQJ126" s="1"/>
      <c r="PQK126" s="1"/>
      <c r="PQL126" s="1"/>
      <c r="PQM126" s="1"/>
      <c r="PQN126" s="1"/>
      <c r="PQO126" s="1"/>
      <c r="PQP126" s="1"/>
      <c r="PQQ126" s="1"/>
      <c r="PQR126" s="1"/>
      <c r="PQS126" s="1"/>
      <c r="PQT126" s="1"/>
      <c r="PQU126" s="1"/>
      <c r="PQV126" s="1"/>
      <c r="PQW126" s="1"/>
      <c r="PQX126" s="1"/>
      <c r="PQY126" s="1"/>
      <c r="PQZ126" s="1"/>
      <c r="PRA126" s="1"/>
      <c r="PRB126" s="1"/>
      <c r="PRC126" s="1"/>
      <c r="PRD126" s="1"/>
      <c r="PRE126" s="1"/>
      <c r="PRF126" s="1"/>
      <c r="PRG126" s="1"/>
      <c r="PRH126" s="1"/>
      <c r="PRI126" s="1"/>
      <c r="PRJ126" s="1"/>
      <c r="PRK126" s="1"/>
      <c r="PRL126" s="1"/>
      <c r="PRM126" s="1"/>
      <c r="PRN126" s="1"/>
      <c r="PRO126" s="1"/>
      <c r="PRP126" s="1"/>
      <c r="PRQ126" s="1"/>
      <c r="PRR126" s="1"/>
      <c r="PRS126" s="1"/>
      <c r="PRT126" s="1"/>
      <c r="PRU126" s="1"/>
      <c r="PRV126" s="1"/>
      <c r="PRW126" s="1"/>
      <c r="PRX126" s="1"/>
      <c r="PRY126" s="1"/>
      <c r="PRZ126" s="1"/>
      <c r="PSA126" s="1"/>
      <c r="PSB126" s="1"/>
      <c r="PSC126" s="1"/>
      <c r="PSD126" s="1"/>
      <c r="PSE126" s="1"/>
      <c r="PSF126" s="1"/>
      <c r="PSG126" s="1"/>
      <c r="PSH126" s="1"/>
      <c r="PSI126" s="1"/>
      <c r="PSJ126" s="1"/>
      <c r="PSK126" s="1"/>
      <c r="PSL126" s="1"/>
      <c r="PSM126" s="1"/>
      <c r="PSN126" s="1"/>
      <c r="PSO126" s="1"/>
      <c r="PSP126" s="1"/>
      <c r="PSQ126" s="1"/>
      <c r="PSR126" s="1"/>
      <c r="PSS126" s="1"/>
      <c r="PST126" s="1"/>
      <c r="PSU126" s="1"/>
      <c r="PSV126" s="1"/>
      <c r="PSW126" s="1"/>
      <c r="PSX126" s="1"/>
      <c r="PSY126" s="1"/>
      <c r="PSZ126" s="1"/>
      <c r="PTA126" s="1"/>
      <c r="PTB126" s="1"/>
      <c r="PTC126" s="1"/>
      <c r="PTD126" s="1"/>
      <c r="PTE126" s="1"/>
      <c r="PTF126" s="1"/>
      <c r="PTG126" s="1"/>
      <c r="PTH126" s="1"/>
      <c r="PTI126" s="1"/>
      <c r="PTJ126" s="1"/>
      <c r="PTK126" s="1"/>
      <c r="PTL126" s="1"/>
      <c r="PTM126" s="1"/>
      <c r="PTN126" s="1"/>
      <c r="PTO126" s="1"/>
      <c r="PTP126" s="1"/>
      <c r="PTQ126" s="1"/>
      <c r="PTR126" s="1"/>
      <c r="PTS126" s="1"/>
      <c r="PTT126" s="1"/>
      <c r="PTU126" s="1"/>
      <c r="PTV126" s="1"/>
      <c r="PTW126" s="1"/>
      <c r="PTX126" s="1"/>
      <c r="PTY126" s="1"/>
      <c r="PTZ126" s="1"/>
      <c r="PUA126" s="1"/>
      <c r="PUB126" s="1"/>
      <c r="PUC126" s="1"/>
      <c r="PUD126" s="1"/>
      <c r="PUE126" s="1"/>
      <c r="PUF126" s="1"/>
      <c r="PUG126" s="1"/>
      <c r="PUH126" s="1"/>
      <c r="PUI126" s="1"/>
      <c r="PUJ126" s="1"/>
      <c r="PUK126" s="1"/>
      <c r="PUL126" s="1"/>
      <c r="PUM126" s="1"/>
      <c r="PUN126" s="1"/>
      <c r="PUO126" s="1"/>
      <c r="PUP126" s="1"/>
      <c r="PUQ126" s="1"/>
      <c r="PUR126" s="1"/>
      <c r="PUS126" s="1"/>
      <c r="PUT126" s="1"/>
      <c r="PUU126" s="1"/>
      <c r="PUV126" s="1"/>
      <c r="PUW126" s="1"/>
      <c r="PUX126" s="1"/>
      <c r="PUY126" s="1"/>
      <c r="PUZ126" s="1"/>
      <c r="PVA126" s="1"/>
      <c r="PVB126" s="1"/>
      <c r="PVC126" s="1"/>
      <c r="PVD126" s="1"/>
      <c r="PVE126" s="1"/>
      <c r="PVF126" s="1"/>
      <c r="PVG126" s="1"/>
      <c r="PVH126" s="1"/>
      <c r="PVI126" s="1"/>
      <c r="PVJ126" s="1"/>
      <c r="PVK126" s="1"/>
      <c r="PVL126" s="1"/>
      <c r="PVM126" s="1"/>
      <c r="PVN126" s="1"/>
      <c r="PVO126" s="1"/>
      <c r="PVP126" s="1"/>
      <c r="PVQ126" s="1"/>
      <c r="PVR126" s="1"/>
      <c r="PVS126" s="1"/>
      <c r="PVT126" s="1"/>
      <c r="PVU126" s="1"/>
      <c r="PVV126" s="1"/>
      <c r="PVW126" s="1"/>
      <c r="PVX126" s="1"/>
      <c r="PVY126" s="1"/>
      <c r="PVZ126" s="1"/>
      <c r="PWA126" s="1"/>
      <c r="PWB126" s="1"/>
      <c r="PWC126" s="1"/>
      <c r="PWD126" s="1"/>
      <c r="PWE126" s="1"/>
      <c r="PWF126" s="1"/>
      <c r="PWG126" s="1"/>
      <c r="PWH126" s="1"/>
      <c r="PWI126" s="1"/>
      <c r="PWJ126" s="1"/>
      <c r="PWK126" s="1"/>
      <c r="PWL126" s="1"/>
      <c r="PWM126" s="1"/>
      <c r="PWN126" s="1"/>
      <c r="PWO126" s="1"/>
      <c r="PWP126" s="1"/>
      <c r="PWQ126" s="1"/>
      <c r="PWR126" s="1"/>
      <c r="PWS126" s="1"/>
      <c r="PWT126" s="1"/>
      <c r="PWU126" s="1"/>
      <c r="PWV126" s="1"/>
      <c r="PWW126" s="1"/>
      <c r="PWX126" s="1"/>
      <c r="PWY126" s="1"/>
      <c r="PWZ126" s="1"/>
      <c r="PXA126" s="1"/>
      <c r="PXB126" s="1"/>
      <c r="PXC126" s="1"/>
      <c r="PXD126" s="1"/>
      <c r="PXE126" s="1"/>
      <c r="PXF126" s="1"/>
      <c r="PXG126" s="1"/>
      <c r="PXH126" s="1"/>
      <c r="PXI126" s="1"/>
      <c r="PXJ126" s="1"/>
      <c r="PXK126" s="1"/>
      <c r="PXL126" s="1"/>
      <c r="PXM126" s="1"/>
      <c r="PXN126" s="1"/>
      <c r="PXO126" s="1"/>
      <c r="PXP126" s="1"/>
      <c r="PXQ126" s="1"/>
      <c r="PXR126" s="1"/>
      <c r="PXS126" s="1"/>
      <c r="PXT126" s="1"/>
      <c r="PXU126" s="1"/>
      <c r="PXV126" s="1"/>
      <c r="PXW126" s="1"/>
      <c r="PXX126" s="1"/>
      <c r="PXY126" s="1"/>
      <c r="PXZ126" s="1"/>
      <c r="PYA126" s="1"/>
      <c r="PYB126" s="1"/>
      <c r="PYC126" s="1"/>
      <c r="PYD126" s="1"/>
      <c r="PYE126" s="1"/>
      <c r="PYF126" s="1"/>
      <c r="PYG126" s="1"/>
      <c r="PYH126" s="1"/>
      <c r="PYI126" s="1"/>
      <c r="PYJ126" s="1"/>
      <c r="PYK126" s="1"/>
      <c r="PYL126" s="1"/>
      <c r="PYM126" s="1"/>
      <c r="PYN126" s="1"/>
      <c r="PYO126" s="1"/>
      <c r="PYP126" s="1"/>
      <c r="PYQ126" s="1"/>
      <c r="PYR126" s="1"/>
      <c r="PYS126" s="1"/>
      <c r="PYT126" s="1"/>
      <c r="PYU126" s="1"/>
      <c r="PYV126" s="1"/>
      <c r="PYW126" s="1"/>
      <c r="PYX126" s="1"/>
      <c r="PYY126" s="1"/>
      <c r="PYZ126" s="1"/>
      <c r="PZA126" s="1"/>
      <c r="PZB126" s="1"/>
      <c r="PZC126" s="1"/>
      <c r="PZD126" s="1"/>
      <c r="PZE126" s="1"/>
      <c r="PZF126" s="1"/>
      <c r="PZG126" s="1"/>
      <c r="PZH126" s="1"/>
      <c r="PZI126" s="1"/>
      <c r="PZJ126" s="1"/>
      <c r="PZK126" s="1"/>
      <c r="PZL126" s="1"/>
      <c r="PZM126" s="1"/>
      <c r="PZN126" s="1"/>
      <c r="PZO126" s="1"/>
      <c r="PZP126" s="1"/>
      <c r="PZQ126" s="1"/>
      <c r="PZR126" s="1"/>
      <c r="PZS126" s="1"/>
      <c r="PZT126" s="1"/>
      <c r="PZU126" s="1"/>
      <c r="PZV126" s="1"/>
      <c r="PZW126" s="1"/>
      <c r="PZX126" s="1"/>
      <c r="PZY126" s="1"/>
      <c r="PZZ126" s="1"/>
      <c r="QAA126" s="1"/>
      <c r="QAB126" s="1"/>
      <c r="QAC126" s="1"/>
      <c r="QAD126" s="1"/>
      <c r="QAE126" s="1"/>
      <c r="QAF126" s="1"/>
      <c r="QAG126" s="1"/>
      <c r="QAH126" s="1"/>
      <c r="QAI126" s="1"/>
      <c r="QAJ126" s="1"/>
      <c r="QAK126" s="1"/>
      <c r="QAL126" s="1"/>
      <c r="QAM126" s="1"/>
      <c r="QAN126" s="1"/>
      <c r="QAO126" s="1"/>
      <c r="QAP126" s="1"/>
      <c r="QAQ126" s="1"/>
      <c r="QAR126" s="1"/>
      <c r="QAS126" s="1"/>
      <c r="QAT126" s="1"/>
      <c r="QAU126" s="1"/>
      <c r="QAV126" s="1"/>
      <c r="QAW126" s="1"/>
      <c r="QAX126" s="1"/>
      <c r="QAY126" s="1"/>
      <c r="QAZ126" s="1"/>
      <c r="QBA126" s="1"/>
      <c r="QBB126" s="1"/>
      <c r="QBC126" s="1"/>
      <c r="QBD126" s="1"/>
      <c r="QBE126" s="1"/>
      <c r="QBF126" s="1"/>
      <c r="QBG126" s="1"/>
      <c r="QBH126" s="1"/>
      <c r="QBI126" s="1"/>
      <c r="QBJ126" s="1"/>
      <c r="QBK126" s="1"/>
      <c r="QBL126" s="1"/>
      <c r="QBM126" s="1"/>
      <c r="QBN126" s="1"/>
      <c r="QBO126" s="1"/>
      <c r="QBP126" s="1"/>
      <c r="QBQ126" s="1"/>
      <c r="QBR126" s="1"/>
      <c r="QBS126" s="1"/>
      <c r="QBT126" s="1"/>
      <c r="QBU126" s="1"/>
      <c r="QBV126" s="1"/>
      <c r="QBW126" s="1"/>
      <c r="QBX126" s="1"/>
      <c r="QBY126" s="1"/>
      <c r="QBZ126" s="1"/>
      <c r="QCA126" s="1"/>
      <c r="QCB126" s="1"/>
      <c r="QCC126" s="1"/>
      <c r="QCD126" s="1"/>
      <c r="QCE126" s="1"/>
      <c r="QCF126" s="1"/>
      <c r="QCG126" s="1"/>
      <c r="QCH126" s="1"/>
      <c r="QCI126" s="1"/>
      <c r="QCJ126" s="1"/>
      <c r="QCK126" s="1"/>
      <c r="QCL126" s="1"/>
      <c r="QCM126" s="1"/>
      <c r="QCN126" s="1"/>
      <c r="QCO126" s="1"/>
      <c r="QCP126" s="1"/>
      <c r="QCQ126" s="1"/>
      <c r="QCR126" s="1"/>
      <c r="QCS126" s="1"/>
      <c r="QCT126" s="1"/>
      <c r="QCU126" s="1"/>
      <c r="QCV126" s="1"/>
      <c r="QCW126" s="1"/>
      <c r="QCX126" s="1"/>
      <c r="QCY126" s="1"/>
      <c r="QCZ126" s="1"/>
      <c r="QDA126" s="1"/>
      <c r="QDB126" s="1"/>
      <c r="QDC126" s="1"/>
      <c r="QDD126" s="1"/>
      <c r="QDE126" s="1"/>
      <c r="QDF126" s="1"/>
      <c r="QDG126" s="1"/>
      <c r="QDH126" s="1"/>
      <c r="QDI126" s="1"/>
      <c r="QDJ126" s="1"/>
      <c r="QDK126" s="1"/>
      <c r="QDL126" s="1"/>
      <c r="QDM126" s="1"/>
      <c r="QDN126" s="1"/>
      <c r="QDO126" s="1"/>
      <c r="QDP126" s="1"/>
      <c r="QDQ126" s="1"/>
      <c r="QDR126" s="1"/>
      <c r="QDS126" s="1"/>
      <c r="QDT126" s="1"/>
      <c r="QDU126" s="1"/>
      <c r="QDV126" s="1"/>
      <c r="QDW126" s="1"/>
      <c r="QDX126" s="1"/>
      <c r="QDY126" s="1"/>
      <c r="QDZ126" s="1"/>
      <c r="QEA126" s="1"/>
      <c r="QEB126" s="1"/>
      <c r="QEC126" s="1"/>
      <c r="QED126" s="1"/>
      <c r="QEE126" s="1"/>
      <c r="QEF126" s="1"/>
      <c r="QEG126" s="1"/>
      <c r="QEH126" s="1"/>
      <c r="QEI126" s="1"/>
      <c r="QEJ126" s="1"/>
      <c r="QEK126" s="1"/>
      <c r="QEL126" s="1"/>
      <c r="QEM126" s="1"/>
      <c r="QEN126" s="1"/>
      <c r="QEO126" s="1"/>
      <c r="QEP126" s="1"/>
      <c r="QEQ126" s="1"/>
      <c r="QER126" s="1"/>
      <c r="QES126" s="1"/>
      <c r="QET126" s="1"/>
      <c r="QEU126" s="1"/>
      <c r="QEV126" s="1"/>
      <c r="QEW126" s="1"/>
      <c r="QEX126" s="1"/>
      <c r="QEY126" s="1"/>
      <c r="QEZ126" s="1"/>
      <c r="QFA126" s="1"/>
      <c r="QFB126" s="1"/>
      <c r="QFC126" s="1"/>
      <c r="QFD126" s="1"/>
      <c r="QFE126" s="1"/>
      <c r="QFF126" s="1"/>
      <c r="QFG126" s="1"/>
      <c r="QFH126" s="1"/>
      <c r="QFI126" s="1"/>
      <c r="QFJ126" s="1"/>
      <c r="QFK126" s="1"/>
      <c r="QFL126" s="1"/>
      <c r="QFM126" s="1"/>
      <c r="QFN126" s="1"/>
      <c r="QFO126" s="1"/>
      <c r="QFP126" s="1"/>
      <c r="QFQ126" s="1"/>
      <c r="QFR126" s="1"/>
      <c r="QFS126" s="1"/>
      <c r="QFT126" s="1"/>
      <c r="QFU126" s="1"/>
      <c r="QFV126" s="1"/>
      <c r="QFW126" s="1"/>
      <c r="QFX126" s="1"/>
      <c r="QFY126" s="1"/>
      <c r="QFZ126" s="1"/>
      <c r="QGA126" s="1"/>
      <c r="QGB126" s="1"/>
      <c r="QGC126" s="1"/>
      <c r="QGD126" s="1"/>
      <c r="QGE126" s="1"/>
      <c r="QGF126" s="1"/>
      <c r="QGG126" s="1"/>
      <c r="QGH126" s="1"/>
      <c r="QGI126" s="1"/>
      <c r="QGJ126" s="1"/>
      <c r="QGK126" s="1"/>
      <c r="QGL126" s="1"/>
      <c r="QGM126" s="1"/>
      <c r="QGN126" s="1"/>
      <c r="QGO126" s="1"/>
      <c r="QGP126" s="1"/>
      <c r="QGQ126" s="1"/>
      <c r="QGR126" s="1"/>
      <c r="QGS126" s="1"/>
      <c r="QGT126" s="1"/>
      <c r="QGU126" s="1"/>
      <c r="QGV126" s="1"/>
      <c r="QGW126" s="1"/>
      <c r="QGX126" s="1"/>
      <c r="QGY126" s="1"/>
      <c r="QGZ126" s="1"/>
      <c r="QHA126" s="1"/>
      <c r="QHB126" s="1"/>
      <c r="QHC126" s="1"/>
      <c r="QHD126" s="1"/>
      <c r="QHE126" s="1"/>
      <c r="QHF126" s="1"/>
      <c r="QHG126" s="1"/>
      <c r="QHH126" s="1"/>
      <c r="QHI126" s="1"/>
      <c r="QHJ126" s="1"/>
      <c r="QHK126" s="1"/>
      <c r="QHL126" s="1"/>
      <c r="QHM126" s="1"/>
      <c r="QHN126" s="1"/>
      <c r="QHO126" s="1"/>
      <c r="QHP126" s="1"/>
      <c r="QHQ126" s="1"/>
      <c r="QHR126" s="1"/>
      <c r="QHS126" s="1"/>
      <c r="QHT126" s="1"/>
      <c r="QHU126" s="1"/>
      <c r="QHV126" s="1"/>
      <c r="QHW126" s="1"/>
      <c r="QHX126" s="1"/>
      <c r="QHY126" s="1"/>
      <c r="QHZ126" s="1"/>
      <c r="QIA126" s="1"/>
      <c r="QIB126" s="1"/>
      <c r="QIC126" s="1"/>
      <c r="QID126" s="1"/>
      <c r="QIE126" s="1"/>
      <c r="QIF126" s="1"/>
      <c r="QIG126" s="1"/>
      <c r="QIH126" s="1"/>
      <c r="QII126" s="1"/>
      <c r="QIJ126" s="1"/>
      <c r="QIK126" s="1"/>
      <c r="QIL126" s="1"/>
      <c r="QIM126" s="1"/>
      <c r="QIN126" s="1"/>
      <c r="QIO126" s="1"/>
      <c r="QIP126" s="1"/>
      <c r="QIQ126" s="1"/>
      <c r="QIR126" s="1"/>
      <c r="QIS126" s="1"/>
      <c r="QIT126" s="1"/>
      <c r="QIU126" s="1"/>
      <c r="QIV126" s="1"/>
      <c r="QIW126" s="1"/>
      <c r="QIX126" s="1"/>
      <c r="QIY126" s="1"/>
      <c r="QIZ126" s="1"/>
      <c r="QJA126" s="1"/>
      <c r="QJB126" s="1"/>
      <c r="QJC126" s="1"/>
      <c r="QJD126" s="1"/>
      <c r="QJE126" s="1"/>
      <c r="QJF126" s="1"/>
      <c r="QJG126" s="1"/>
      <c r="QJH126" s="1"/>
      <c r="QJI126" s="1"/>
      <c r="QJJ126" s="1"/>
      <c r="QJK126" s="1"/>
      <c r="QJL126" s="1"/>
      <c r="QJM126" s="1"/>
      <c r="QJN126" s="1"/>
      <c r="QJO126" s="1"/>
      <c r="QJP126" s="1"/>
      <c r="QJQ126" s="1"/>
      <c r="QJR126" s="1"/>
      <c r="QJS126" s="1"/>
      <c r="QJT126" s="1"/>
      <c r="QJU126" s="1"/>
      <c r="QJV126" s="1"/>
      <c r="QJW126" s="1"/>
      <c r="QJX126" s="1"/>
      <c r="QJY126" s="1"/>
      <c r="QJZ126" s="1"/>
      <c r="QKA126" s="1"/>
      <c r="QKB126" s="1"/>
      <c r="QKC126" s="1"/>
      <c r="QKD126" s="1"/>
      <c r="QKE126" s="1"/>
      <c r="QKF126" s="1"/>
      <c r="QKG126" s="1"/>
      <c r="QKH126" s="1"/>
      <c r="QKI126" s="1"/>
      <c r="QKJ126" s="1"/>
      <c r="QKK126" s="1"/>
      <c r="QKL126" s="1"/>
      <c r="QKM126" s="1"/>
      <c r="QKN126" s="1"/>
      <c r="QKO126" s="1"/>
      <c r="QKP126" s="1"/>
      <c r="QKQ126" s="1"/>
      <c r="QKR126" s="1"/>
      <c r="QKS126" s="1"/>
      <c r="QKT126" s="1"/>
      <c r="QKU126" s="1"/>
      <c r="QKV126" s="1"/>
      <c r="QKW126" s="1"/>
      <c r="QKX126" s="1"/>
      <c r="QKY126" s="1"/>
      <c r="QKZ126" s="1"/>
      <c r="QLA126" s="1"/>
      <c r="QLB126" s="1"/>
      <c r="QLC126" s="1"/>
      <c r="QLD126" s="1"/>
      <c r="QLE126" s="1"/>
      <c r="QLF126" s="1"/>
      <c r="QLG126" s="1"/>
      <c r="QLH126" s="1"/>
      <c r="QLI126" s="1"/>
      <c r="QLJ126" s="1"/>
      <c r="QLK126" s="1"/>
      <c r="QLL126" s="1"/>
      <c r="QLM126" s="1"/>
      <c r="QLN126" s="1"/>
      <c r="QLO126" s="1"/>
      <c r="QLP126" s="1"/>
      <c r="QLQ126" s="1"/>
      <c r="QLR126" s="1"/>
      <c r="QLS126" s="1"/>
      <c r="QLT126" s="1"/>
      <c r="QLU126" s="1"/>
      <c r="QLV126" s="1"/>
      <c r="QLW126" s="1"/>
      <c r="QLX126" s="1"/>
      <c r="QLY126" s="1"/>
      <c r="QLZ126" s="1"/>
      <c r="QMA126" s="1"/>
      <c r="QMB126" s="1"/>
      <c r="QMC126" s="1"/>
      <c r="QMD126" s="1"/>
      <c r="QME126" s="1"/>
      <c r="QMF126" s="1"/>
      <c r="QMG126" s="1"/>
      <c r="QMH126" s="1"/>
      <c r="QMI126" s="1"/>
      <c r="QMJ126" s="1"/>
      <c r="QMK126" s="1"/>
      <c r="QML126" s="1"/>
      <c r="QMM126" s="1"/>
      <c r="QMN126" s="1"/>
      <c r="QMO126" s="1"/>
      <c r="QMP126" s="1"/>
      <c r="QMQ126" s="1"/>
      <c r="QMR126" s="1"/>
      <c r="QMS126" s="1"/>
      <c r="QMT126" s="1"/>
      <c r="QMU126" s="1"/>
      <c r="QMV126" s="1"/>
      <c r="QMW126" s="1"/>
      <c r="QMX126" s="1"/>
      <c r="QMY126" s="1"/>
      <c r="QMZ126" s="1"/>
      <c r="QNA126" s="1"/>
      <c r="QNB126" s="1"/>
      <c r="QNC126" s="1"/>
      <c r="QND126" s="1"/>
      <c r="QNE126" s="1"/>
      <c r="QNF126" s="1"/>
      <c r="QNG126" s="1"/>
      <c r="QNH126" s="1"/>
      <c r="QNI126" s="1"/>
      <c r="QNJ126" s="1"/>
      <c r="QNK126" s="1"/>
      <c r="QNL126" s="1"/>
      <c r="QNM126" s="1"/>
      <c r="QNN126" s="1"/>
      <c r="QNO126" s="1"/>
      <c r="QNP126" s="1"/>
      <c r="QNQ126" s="1"/>
      <c r="QNR126" s="1"/>
      <c r="QNS126" s="1"/>
      <c r="QNT126" s="1"/>
      <c r="QNU126" s="1"/>
      <c r="QNV126" s="1"/>
      <c r="QNW126" s="1"/>
      <c r="QNX126" s="1"/>
      <c r="QNY126" s="1"/>
      <c r="QNZ126" s="1"/>
      <c r="QOA126" s="1"/>
      <c r="QOB126" s="1"/>
      <c r="QOC126" s="1"/>
      <c r="QOD126" s="1"/>
      <c r="QOE126" s="1"/>
      <c r="QOF126" s="1"/>
      <c r="QOG126" s="1"/>
      <c r="QOH126" s="1"/>
      <c r="QOI126" s="1"/>
      <c r="QOJ126" s="1"/>
      <c r="QOK126" s="1"/>
      <c r="QOL126" s="1"/>
      <c r="QOM126" s="1"/>
      <c r="QON126" s="1"/>
      <c r="QOO126" s="1"/>
      <c r="QOP126" s="1"/>
      <c r="QOQ126" s="1"/>
      <c r="QOR126" s="1"/>
      <c r="QOS126" s="1"/>
      <c r="QOT126" s="1"/>
      <c r="QOU126" s="1"/>
      <c r="QOV126" s="1"/>
      <c r="QOW126" s="1"/>
      <c r="QOX126" s="1"/>
      <c r="QOY126" s="1"/>
      <c r="QOZ126" s="1"/>
      <c r="QPA126" s="1"/>
      <c r="QPB126" s="1"/>
      <c r="QPC126" s="1"/>
      <c r="QPD126" s="1"/>
      <c r="QPE126" s="1"/>
      <c r="QPF126" s="1"/>
      <c r="QPG126" s="1"/>
      <c r="QPH126" s="1"/>
      <c r="QPI126" s="1"/>
      <c r="QPJ126" s="1"/>
      <c r="QPK126" s="1"/>
      <c r="QPL126" s="1"/>
      <c r="QPM126" s="1"/>
      <c r="QPN126" s="1"/>
      <c r="QPO126" s="1"/>
      <c r="QPP126" s="1"/>
      <c r="QPQ126" s="1"/>
      <c r="QPR126" s="1"/>
      <c r="QPS126" s="1"/>
      <c r="QPT126" s="1"/>
      <c r="QPU126" s="1"/>
      <c r="QPV126" s="1"/>
      <c r="QPW126" s="1"/>
      <c r="QPX126" s="1"/>
      <c r="QPY126" s="1"/>
      <c r="QPZ126" s="1"/>
      <c r="QQA126" s="1"/>
      <c r="QQB126" s="1"/>
      <c r="QQC126" s="1"/>
      <c r="QQD126" s="1"/>
      <c r="QQE126" s="1"/>
      <c r="QQF126" s="1"/>
      <c r="QQG126" s="1"/>
      <c r="QQH126" s="1"/>
      <c r="QQI126" s="1"/>
      <c r="QQJ126" s="1"/>
      <c r="QQK126" s="1"/>
      <c r="QQL126" s="1"/>
      <c r="QQM126" s="1"/>
      <c r="QQN126" s="1"/>
      <c r="QQO126" s="1"/>
      <c r="QQP126" s="1"/>
      <c r="QQQ126" s="1"/>
      <c r="QQR126" s="1"/>
      <c r="QQS126" s="1"/>
      <c r="QQT126" s="1"/>
      <c r="QQU126" s="1"/>
      <c r="QQV126" s="1"/>
      <c r="QQW126" s="1"/>
      <c r="QQX126" s="1"/>
      <c r="QQY126" s="1"/>
      <c r="QQZ126" s="1"/>
      <c r="QRA126" s="1"/>
      <c r="QRB126" s="1"/>
      <c r="QRC126" s="1"/>
      <c r="QRD126" s="1"/>
      <c r="QRE126" s="1"/>
      <c r="QRF126" s="1"/>
      <c r="QRG126" s="1"/>
      <c r="QRH126" s="1"/>
      <c r="QRI126" s="1"/>
      <c r="QRJ126" s="1"/>
      <c r="QRK126" s="1"/>
      <c r="QRL126" s="1"/>
      <c r="QRM126" s="1"/>
      <c r="QRN126" s="1"/>
      <c r="QRO126" s="1"/>
      <c r="QRP126" s="1"/>
      <c r="QRQ126" s="1"/>
      <c r="QRR126" s="1"/>
      <c r="QRS126" s="1"/>
      <c r="QRT126" s="1"/>
      <c r="QRU126" s="1"/>
      <c r="QRV126" s="1"/>
      <c r="QRW126" s="1"/>
      <c r="QRX126" s="1"/>
      <c r="QRY126" s="1"/>
      <c r="QRZ126" s="1"/>
      <c r="QSA126" s="1"/>
      <c r="QSB126" s="1"/>
      <c r="QSC126" s="1"/>
      <c r="QSD126" s="1"/>
      <c r="QSE126" s="1"/>
      <c r="QSF126" s="1"/>
      <c r="QSG126" s="1"/>
      <c r="QSH126" s="1"/>
      <c r="QSI126" s="1"/>
      <c r="QSJ126" s="1"/>
      <c r="QSK126" s="1"/>
      <c r="QSL126" s="1"/>
      <c r="QSM126" s="1"/>
      <c r="QSN126" s="1"/>
      <c r="QSO126" s="1"/>
      <c r="QSP126" s="1"/>
      <c r="QSQ126" s="1"/>
      <c r="QSR126" s="1"/>
      <c r="QSS126" s="1"/>
      <c r="QST126" s="1"/>
      <c r="QSU126" s="1"/>
      <c r="QSV126" s="1"/>
      <c r="QSW126" s="1"/>
      <c r="QSX126" s="1"/>
      <c r="QSY126" s="1"/>
      <c r="QSZ126" s="1"/>
      <c r="QTA126" s="1"/>
      <c r="QTB126" s="1"/>
      <c r="QTC126" s="1"/>
      <c r="QTD126" s="1"/>
      <c r="QTE126" s="1"/>
      <c r="QTF126" s="1"/>
      <c r="QTG126" s="1"/>
      <c r="QTH126" s="1"/>
      <c r="QTI126" s="1"/>
      <c r="QTJ126" s="1"/>
      <c r="QTK126" s="1"/>
      <c r="QTL126" s="1"/>
      <c r="QTM126" s="1"/>
      <c r="QTN126" s="1"/>
      <c r="QTO126" s="1"/>
      <c r="QTP126" s="1"/>
      <c r="QTQ126" s="1"/>
      <c r="QTR126" s="1"/>
      <c r="QTS126" s="1"/>
      <c r="QTT126" s="1"/>
      <c r="QTU126" s="1"/>
      <c r="QTV126" s="1"/>
      <c r="QTW126" s="1"/>
      <c r="QTX126" s="1"/>
      <c r="QTY126" s="1"/>
      <c r="QTZ126" s="1"/>
      <c r="QUA126" s="1"/>
      <c r="QUB126" s="1"/>
      <c r="QUC126" s="1"/>
      <c r="QUD126" s="1"/>
      <c r="QUE126" s="1"/>
      <c r="QUF126" s="1"/>
      <c r="QUG126" s="1"/>
      <c r="QUH126" s="1"/>
      <c r="QUI126" s="1"/>
      <c r="QUJ126" s="1"/>
      <c r="QUK126" s="1"/>
      <c r="QUL126" s="1"/>
      <c r="QUM126" s="1"/>
      <c r="QUN126" s="1"/>
      <c r="QUO126" s="1"/>
      <c r="QUP126" s="1"/>
      <c r="QUQ126" s="1"/>
      <c r="QUR126" s="1"/>
      <c r="QUS126" s="1"/>
      <c r="QUT126" s="1"/>
      <c r="QUU126" s="1"/>
      <c r="QUV126" s="1"/>
      <c r="QUW126" s="1"/>
      <c r="QUX126" s="1"/>
      <c r="QUY126" s="1"/>
      <c r="QUZ126" s="1"/>
      <c r="QVA126" s="1"/>
      <c r="QVB126" s="1"/>
      <c r="QVC126" s="1"/>
      <c r="QVD126" s="1"/>
      <c r="QVE126" s="1"/>
      <c r="QVF126" s="1"/>
      <c r="QVG126" s="1"/>
      <c r="QVH126" s="1"/>
      <c r="QVI126" s="1"/>
      <c r="QVJ126" s="1"/>
      <c r="QVK126" s="1"/>
      <c r="QVL126" s="1"/>
      <c r="QVM126" s="1"/>
      <c r="QVN126" s="1"/>
      <c r="QVO126" s="1"/>
      <c r="QVP126" s="1"/>
      <c r="QVQ126" s="1"/>
      <c r="QVR126" s="1"/>
      <c r="QVS126" s="1"/>
      <c r="QVT126" s="1"/>
      <c r="QVU126" s="1"/>
      <c r="QVV126" s="1"/>
      <c r="QVW126" s="1"/>
      <c r="QVX126" s="1"/>
      <c r="QVY126" s="1"/>
      <c r="QVZ126" s="1"/>
      <c r="QWA126" s="1"/>
      <c r="QWB126" s="1"/>
      <c r="QWC126" s="1"/>
      <c r="QWD126" s="1"/>
      <c r="QWE126" s="1"/>
      <c r="QWF126" s="1"/>
      <c r="QWG126" s="1"/>
      <c r="QWH126" s="1"/>
      <c r="QWI126" s="1"/>
      <c r="QWJ126" s="1"/>
      <c r="QWK126" s="1"/>
      <c r="QWL126" s="1"/>
      <c r="QWM126" s="1"/>
      <c r="QWN126" s="1"/>
      <c r="QWO126" s="1"/>
      <c r="QWP126" s="1"/>
      <c r="QWQ126" s="1"/>
      <c r="QWR126" s="1"/>
      <c r="QWS126" s="1"/>
      <c r="QWT126" s="1"/>
      <c r="QWU126" s="1"/>
      <c r="QWV126" s="1"/>
      <c r="QWW126" s="1"/>
      <c r="QWX126" s="1"/>
      <c r="QWY126" s="1"/>
      <c r="QWZ126" s="1"/>
      <c r="QXA126" s="1"/>
      <c r="QXB126" s="1"/>
      <c r="QXC126" s="1"/>
      <c r="QXD126" s="1"/>
      <c r="QXE126" s="1"/>
      <c r="QXF126" s="1"/>
      <c r="QXG126" s="1"/>
      <c r="QXH126" s="1"/>
      <c r="QXI126" s="1"/>
      <c r="QXJ126" s="1"/>
      <c r="QXK126" s="1"/>
      <c r="QXL126" s="1"/>
      <c r="QXM126" s="1"/>
      <c r="QXN126" s="1"/>
      <c r="QXO126" s="1"/>
      <c r="QXP126" s="1"/>
      <c r="QXQ126" s="1"/>
      <c r="QXR126" s="1"/>
      <c r="QXS126" s="1"/>
      <c r="QXT126" s="1"/>
      <c r="QXU126" s="1"/>
      <c r="QXV126" s="1"/>
      <c r="QXW126" s="1"/>
      <c r="QXX126" s="1"/>
      <c r="QXY126" s="1"/>
      <c r="QXZ126" s="1"/>
      <c r="QYA126" s="1"/>
      <c r="QYB126" s="1"/>
      <c r="QYC126" s="1"/>
      <c r="QYD126" s="1"/>
      <c r="QYE126" s="1"/>
      <c r="QYF126" s="1"/>
      <c r="QYG126" s="1"/>
      <c r="QYH126" s="1"/>
      <c r="QYI126" s="1"/>
      <c r="QYJ126" s="1"/>
      <c r="QYK126" s="1"/>
      <c r="QYL126" s="1"/>
      <c r="QYM126" s="1"/>
      <c r="QYN126" s="1"/>
      <c r="QYO126" s="1"/>
      <c r="QYP126" s="1"/>
      <c r="QYQ126" s="1"/>
      <c r="QYR126" s="1"/>
      <c r="QYS126" s="1"/>
      <c r="QYT126" s="1"/>
      <c r="QYU126" s="1"/>
      <c r="QYV126" s="1"/>
      <c r="QYW126" s="1"/>
      <c r="QYX126" s="1"/>
      <c r="QYY126" s="1"/>
      <c r="QYZ126" s="1"/>
      <c r="QZA126" s="1"/>
      <c r="QZB126" s="1"/>
      <c r="QZC126" s="1"/>
      <c r="QZD126" s="1"/>
      <c r="QZE126" s="1"/>
      <c r="QZF126" s="1"/>
      <c r="QZG126" s="1"/>
      <c r="QZH126" s="1"/>
      <c r="QZI126" s="1"/>
      <c r="QZJ126" s="1"/>
      <c r="QZK126" s="1"/>
      <c r="QZL126" s="1"/>
      <c r="QZM126" s="1"/>
      <c r="QZN126" s="1"/>
      <c r="QZO126" s="1"/>
      <c r="QZP126" s="1"/>
      <c r="QZQ126" s="1"/>
      <c r="QZR126" s="1"/>
      <c r="QZS126" s="1"/>
      <c r="QZT126" s="1"/>
      <c r="QZU126" s="1"/>
      <c r="QZV126" s="1"/>
      <c r="QZW126" s="1"/>
      <c r="QZX126" s="1"/>
      <c r="QZY126" s="1"/>
      <c r="QZZ126" s="1"/>
      <c r="RAA126" s="1"/>
      <c r="RAB126" s="1"/>
      <c r="RAC126" s="1"/>
      <c r="RAD126" s="1"/>
      <c r="RAE126" s="1"/>
      <c r="RAF126" s="1"/>
      <c r="RAG126" s="1"/>
      <c r="RAH126" s="1"/>
      <c r="RAI126" s="1"/>
      <c r="RAJ126" s="1"/>
      <c r="RAK126" s="1"/>
      <c r="RAL126" s="1"/>
      <c r="RAM126" s="1"/>
      <c r="RAN126" s="1"/>
      <c r="RAO126" s="1"/>
      <c r="RAP126" s="1"/>
      <c r="RAQ126" s="1"/>
      <c r="RAR126" s="1"/>
      <c r="RAS126" s="1"/>
      <c r="RAT126" s="1"/>
      <c r="RAU126" s="1"/>
      <c r="RAV126" s="1"/>
      <c r="RAW126" s="1"/>
      <c r="RAX126" s="1"/>
      <c r="RAY126" s="1"/>
      <c r="RAZ126" s="1"/>
      <c r="RBA126" s="1"/>
      <c r="RBB126" s="1"/>
      <c r="RBC126" s="1"/>
      <c r="RBD126" s="1"/>
      <c r="RBE126" s="1"/>
      <c r="RBF126" s="1"/>
      <c r="RBG126" s="1"/>
      <c r="RBH126" s="1"/>
      <c r="RBI126" s="1"/>
      <c r="RBJ126" s="1"/>
      <c r="RBK126" s="1"/>
      <c r="RBL126" s="1"/>
      <c r="RBM126" s="1"/>
      <c r="RBN126" s="1"/>
      <c r="RBO126" s="1"/>
      <c r="RBP126" s="1"/>
      <c r="RBQ126" s="1"/>
      <c r="RBR126" s="1"/>
      <c r="RBS126" s="1"/>
      <c r="RBT126" s="1"/>
      <c r="RBU126" s="1"/>
      <c r="RBV126" s="1"/>
      <c r="RBW126" s="1"/>
      <c r="RBX126" s="1"/>
      <c r="RBY126" s="1"/>
      <c r="RBZ126" s="1"/>
      <c r="RCA126" s="1"/>
      <c r="RCB126" s="1"/>
      <c r="RCC126" s="1"/>
      <c r="RCD126" s="1"/>
      <c r="RCE126" s="1"/>
      <c r="RCF126" s="1"/>
      <c r="RCG126" s="1"/>
      <c r="RCH126" s="1"/>
      <c r="RCI126" s="1"/>
      <c r="RCJ126" s="1"/>
      <c r="RCK126" s="1"/>
      <c r="RCL126" s="1"/>
      <c r="RCM126" s="1"/>
      <c r="RCN126" s="1"/>
      <c r="RCO126" s="1"/>
      <c r="RCP126" s="1"/>
      <c r="RCQ126" s="1"/>
      <c r="RCR126" s="1"/>
      <c r="RCS126" s="1"/>
      <c r="RCT126" s="1"/>
      <c r="RCU126" s="1"/>
      <c r="RCV126" s="1"/>
      <c r="RCW126" s="1"/>
      <c r="RCX126" s="1"/>
      <c r="RCY126" s="1"/>
      <c r="RCZ126" s="1"/>
      <c r="RDA126" s="1"/>
      <c r="RDB126" s="1"/>
      <c r="RDC126" s="1"/>
      <c r="RDD126" s="1"/>
      <c r="RDE126" s="1"/>
      <c r="RDF126" s="1"/>
      <c r="RDG126" s="1"/>
      <c r="RDH126" s="1"/>
      <c r="RDI126" s="1"/>
      <c r="RDJ126" s="1"/>
      <c r="RDK126" s="1"/>
      <c r="RDL126" s="1"/>
      <c r="RDM126" s="1"/>
      <c r="RDN126" s="1"/>
      <c r="RDO126" s="1"/>
      <c r="RDP126" s="1"/>
      <c r="RDQ126" s="1"/>
      <c r="RDR126" s="1"/>
      <c r="RDS126" s="1"/>
      <c r="RDT126" s="1"/>
      <c r="RDU126" s="1"/>
      <c r="RDV126" s="1"/>
      <c r="RDW126" s="1"/>
      <c r="RDX126" s="1"/>
      <c r="RDY126" s="1"/>
      <c r="RDZ126" s="1"/>
      <c r="REA126" s="1"/>
      <c r="REB126" s="1"/>
      <c r="REC126" s="1"/>
      <c r="RED126" s="1"/>
      <c r="REE126" s="1"/>
      <c r="REF126" s="1"/>
      <c r="REG126" s="1"/>
      <c r="REH126" s="1"/>
      <c r="REI126" s="1"/>
      <c r="REJ126" s="1"/>
      <c r="REK126" s="1"/>
      <c r="REL126" s="1"/>
      <c r="REM126" s="1"/>
      <c r="REN126" s="1"/>
      <c r="REO126" s="1"/>
      <c r="REP126" s="1"/>
      <c r="REQ126" s="1"/>
      <c r="RER126" s="1"/>
      <c r="RES126" s="1"/>
      <c r="RET126" s="1"/>
      <c r="REU126" s="1"/>
      <c r="REV126" s="1"/>
      <c r="REW126" s="1"/>
      <c r="REX126" s="1"/>
      <c r="REY126" s="1"/>
      <c r="REZ126" s="1"/>
      <c r="RFA126" s="1"/>
      <c r="RFB126" s="1"/>
      <c r="RFC126" s="1"/>
      <c r="RFD126" s="1"/>
      <c r="RFE126" s="1"/>
      <c r="RFF126" s="1"/>
      <c r="RFG126" s="1"/>
      <c r="RFH126" s="1"/>
      <c r="RFI126" s="1"/>
      <c r="RFJ126" s="1"/>
      <c r="RFK126" s="1"/>
      <c r="RFL126" s="1"/>
      <c r="RFM126" s="1"/>
      <c r="RFN126" s="1"/>
      <c r="RFO126" s="1"/>
      <c r="RFP126" s="1"/>
      <c r="RFQ126" s="1"/>
      <c r="RFR126" s="1"/>
      <c r="RFS126" s="1"/>
      <c r="RFT126" s="1"/>
      <c r="RFU126" s="1"/>
      <c r="RFV126" s="1"/>
      <c r="RFW126" s="1"/>
      <c r="RFX126" s="1"/>
      <c r="RFY126" s="1"/>
      <c r="RFZ126" s="1"/>
      <c r="RGA126" s="1"/>
      <c r="RGB126" s="1"/>
      <c r="RGC126" s="1"/>
      <c r="RGD126" s="1"/>
      <c r="RGE126" s="1"/>
      <c r="RGF126" s="1"/>
      <c r="RGG126" s="1"/>
      <c r="RGH126" s="1"/>
      <c r="RGI126" s="1"/>
      <c r="RGJ126" s="1"/>
      <c r="RGK126" s="1"/>
      <c r="RGL126" s="1"/>
      <c r="RGM126" s="1"/>
      <c r="RGN126" s="1"/>
      <c r="RGO126" s="1"/>
      <c r="RGP126" s="1"/>
      <c r="RGQ126" s="1"/>
      <c r="RGR126" s="1"/>
      <c r="RGS126" s="1"/>
      <c r="RGT126" s="1"/>
      <c r="RGU126" s="1"/>
      <c r="RGV126" s="1"/>
      <c r="RGW126" s="1"/>
      <c r="RGX126" s="1"/>
      <c r="RGY126" s="1"/>
      <c r="RGZ126" s="1"/>
      <c r="RHA126" s="1"/>
      <c r="RHB126" s="1"/>
      <c r="RHC126" s="1"/>
      <c r="RHD126" s="1"/>
      <c r="RHE126" s="1"/>
      <c r="RHF126" s="1"/>
      <c r="RHG126" s="1"/>
      <c r="RHH126" s="1"/>
      <c r="RHI126" s="1"/>
      <c r="RHJ126" s="1"/>
      <c r="RHK126" s="1"/>
      <c r="RHL126" s="1"/>
      <c r="RHM126" s="1"/>
      <c r="RHN126" s="1"/>
      <c r="RHO126" s="1"/>
      <c r="RHP126" s="1"/>
      <c r="RHQ126" s="1"/>
      <c r="RHR126" s="1"/>
      <c r="RHS126" s="1"/>
      <c r="RHT126" s="1"/>
      <c r="RHU126" s="1"/>
      <c r="RHV126" s="1"/>
      <c r="RHW126" s="1"/>
      <c r="RHX126" s="1"/>
      <c r="RHY126" s="1"/>
      <c r="RHZ126" s="1"/>
      <c r="RIA126" s="1"/>
      <c r="RIB126" s="1"/>
      <c r="RIC126" s="1"/>
      <c r="RID126" s="1"/>
      <c r="RIE126" s="1"/>
      <c r="RIF126" s="1"/>
      <c r="RIG126" s="1"/>
      <c r="RIH126" s="1"/>
      <c r="RII126" s="1"/>
      <c r="RIJ126" s="1"/>
      <c r="RIK126" s="1"/>
      <c r="RIL126" s="1"/>
      <c r="RIM126" s="1"/>
      <c r="RIN126" s="1"/>
      <c r="RIO126" s="1"/>
      <c r="RIP126" s="1"/>
      <c r="RIQ126" s="1"/>
      <c r="RIR126" s="1"/>
      <c r="RIS126" s="1"/>
      <c r="RIT126" s="1"/>
      <c r="RIU126" s="1"/>
      <c r="RIV126" s="1"/>
      <c r="RIW126" s="1"/>
      <c r="RIX126" s="1"/>
      <c r="RIY126" s="1"/>
      <c r="RIZ126" s="1"/>
      <c r="RJA126" s="1"/>
      <c r="RJB126" s="1"/>
      <c r="RJC126" s="1"/>
      <c r="RJD126" s="1"/>
      <c r="RJE126" s="1"/>
      <c r="RJF126" s="1"/>
      <c r="RJG126" s="1"/>
      <c r="RJH126" s="1"/>
      <c r="RJI126" s="1"/>
      <c r="RJJ126" s="1"/>
      <c r="RJK126" s="1"/>
      <c r="RJL126" s="1"/>
      <c r="RJM126" s="1"/>
      <c r="RJN126" s="1"/>
      <c r="RJO126" s="1"/>
      <c r="RJP126" s="1"/>
      <c r="RJQ126" s="1"/>
      <c r="RJR126" s="1"/>
      <c r="RJS126" s="1"/>
      <c r="RJT126" s="1"/>
      <c r="RJU126" s="1"/>
      <c r="RJV126" s="1"/>
      <c r="RJW126" s="1"/>
      <c r="RJX126" s="1"/>
      <c r="RJY126" s="1"/>
      <c r="RJZ126" s="1"/>
      <c r="RKA126" s="1"/>
      <c r="RKB126" s="1"/>
      <c r="RKC126" s="1"/>
      <c r="RKD126" s="1"/>
      <c r="RKE126" s="1"/>
      <c r="RKF126" s="1"/>
      <c r="RKG126" s="1"/>
      <c r="RKH126" s="1"/>
      <c r="RKI126" s="1"/>
      <c r="RKJ126" s="1"/>
      <c r="RKK126" s="1"/>
      <c r="RKL126" s="1"/>
      <c r="RKM126" s="1"/>
      <c r="RKN126" s="1"/>
      <c r="RKO126" s="1"/>
      <c r="RKP126" s="1"/>
      <c r="RKQ126" s="1"/>
      <c r="RKR126" s="1"/>
      <c r="RKS126" s="1"/>
      <c r="RKT126" s="1"/>
      <c r="RKU126" s="1"/>
      <c r="RKV126" s="1"/>
      <c r="RKW126" s="1"/>
      <c r="RKX126" s="1"/>
      <c r="RKY126" s="1"/>
      <c r="RKZ126" s="1"/>
      <c r="RLA126" s="1"/>
      <c r="RLB126" s="1"/>
      <c r="RLC126" s="1"/>
      <c r="RLD126" s="1"/>
      <c r="RLE126" s="1"/>
      <c r="RLF126" s="1"/>
      <c r="RLG126" s="1"/>
      <c r="RLH126" s="1"/>
      <c r="RLI126" s="1"/>
      <c r="RLJ126" s="1"/>
      <c r="RLK126" s="1"/>
      <c r="RLL126" s="1"/>
      <c r="RLM126" s="1"/>
      <c r="RLN126" s="1"/>
      <c r="RLO126" s="1"/>
      <c r="RLP126" s="1"/>
      <c r="RLQ126" s="1"/>
      <c r="RLR126" s="1"/>
      <c r="RLS126" s="1"/>
      <c r="RLT126" s="1"/>
      <c r="RLU126" s="1"/>
      <c r="RLV126" s="1"/>
      <c r="RLW126" s="1"/>
      <c r="RLX126" s="1"/>
      <c r="RLY126" s="1"/>
      <c r="RLZ126" s="1"/>
      <c r="RMA126" s="1"/>
      <c r="RMB126" s="1"/>
      <c r="RMC126" s="1"/>
      <c r="RMD126" s="1"/>
      <c r="RME126" s="1"/>
      <c r="RMF126" s="1"/>
      <c r="RMG126" s="1"/>
      <c r="RMH126" s="1"/>
      <c r="RMI126" s="1"/>
      <c r="RMJ126" s="1"/>
      <c r="RMK126" s="1"/>
      <c r="RML126" s="1"/>
      <c r="RMM126" s="1"/>
      <c r="RMN126" s="1"/>
      <c r="RMO126" s="1"/>
      <c r="RMP126" s="1"/>
      <c r="RMQ126" s="1"/>
      <c r="RMR126" s="1"/>
      <c r="RMS126" s="1"/>
      <c r="RMT126" s="1"/>
      <c r="RMU126" s="1"/>
      <c r="RMV126" s="1"/>
      <c r="RMW126" s="1"/>
      <c r="RMX126" s="1"/>
      <c r="RMY126" s="1"/>
      <c r="RMZ126" s="1"/>
      <c r="RNA126" s="1"/>
      <c r="RNB126" s="1"/>
      <c r="RNC126" s="1"/>
      <c r="RND126" s="1"/>
      <c r="RNE126" s="1"/>
      <c r="RNF126" s="1"/>
      <c r="RNG126" s="1"/>
      <c r="RNH126" s="1"/>
      <c r="RNI126" s="1"/>
      <c r="RNJ126" s="1"/>
      <c r="RNK126" s="1"/>
      <c r="RNL126" s="1"/>
      <c r="RNM126" s="1"/>
      <c r="RNN126" s="1"/>
      <c r="RNO126" s="1"/>
      <c r="RNP126" s="1"/>
      <c r="RNQ126" s="1"/>
      <c r="RNR126" s="1"/>
      <c r="RNS126" s="1"/>
      <c r="RNT126" s="1"/>
      <c r="RNU126" s="1"/>
      <c r="RNV126" s="1"/>
      <c r="RNW126" s="1"/>
      <c r="RNX126" s="1"/>
      <c r="RNY126" s="1"/>
      <c r="RNZ126" s="1"/>
      <c r="ROA126" s="1"/>
      <c r="ROB126" s="1"/>
      <c r="ROC126" s="1"/>
      <c r="ROD126" s="1"/>
      <c r="ROE126" s="1"/>
      <c r="ROF126" s="1"/>
      <c r="ROG126" s="1"/>
      <c r="ROH126" s="1"/>
      <c r="ROI126" s="1"/>
      <c r="ROJ126" s="1"/>
      <c r="ROK126" s="1"/>
      <c r="ROL126" s="1"/>
      <c r="ROM126" s="1"/>
      <c r="RON126" s="1"/>
      <c r="ROO126" s="1"/>
      <c r="ROP126" s="1"/>
      <c r="ROQ126" s="1"/>
      <c r="ROR126" s="1"/>
      <c r="ROS126" s="1"/>
      <c r="ROT126" s="1"/>
      <c r="ROU126" s="1"/>
      <c r="ROV126" s="1"/>
      <c r="ROW126" s="1"/>
      <c r="ROX126" s="1"/>
      <c r="ROY126" s="1"/>
      <c r="ROZ126" s="1"/>
      <c r="RPA126" s="1"/>
      <c r="RPB126" s="1"/>
      <c r="RPC126" s="1"/>
      <c r="RPD126" s="1"/>
      <c r="RPE126" s="1"/>
      <c r="RPF126" s="1"/>
      <c r="RPG126" s="1"/>
      <c r="RPH126" s="1"/>
      <c r="RPI126" s="1"/>
      <c r="RPJ126" s="1"/>
      <c r="RPK126" s="1"/>
      <c r="RPL126" s="1"/>
      <c r="RPM126" s="1"/>
      <c r="RPN126" s="1"/>
      <c r="RPO126" s="1"/>
      <c r="RPP126" s="1"/>
      <c r="RPQ126" s="1"/>
      <c r="RPR126" s="1"/>
      <c r="RPS126" s="1"/>
      <c r="RPT126" s="1"/>
      <c r="RPU126" s="1"/>
      <c r="RPV126" s="1"/>
      <c r="RPW126" s="1"/>
      <c r="RPX126" s="1"/>
      <c r="RPY126" s="1"/>
      <c r="RPZ126" s="1"/>
      <c r="RQA126" s="1"/>
      <c r="RQB126" s="1"/>
      <c r="RQC126" s="1"/>
      <c r="RQD126" s="1"/>
      <c r="RQE126" s="1"/>
      <c r="RQF126" s="1"/>
      <c r="RQG126" s="1"/>
      <c r="RQH126" s="1"/>
      <c r="RQI126" s="1"/>
      <c r="RQJ126" s="1"/>
      <c r="RQK126" s="1"/>
      <c r="RQL126" s="1"/>
      <c r="RQM126" s="1"/>
      <c r="RQN126" s="1"/>
      <c r="RQO126" s="1"/>
      <c r="RQP126" s="1"/>
      <c r="RQQ126" s="1"/>
      <c r="RQR126" s="1"/>
      <c r="RQS126" s="1"/>
      <c r="RQT126" s="1"/>
      <c r="RQU126" s="1"/>
      <c r="RQV126" s="1"/>
      <c r="RQW126" s="1"/>
      <c r="RQX126" s="1"/>
      <c r="RQY126" s="1"/>
      <c r="RQZ126" s="1"/>
      <c r="RRA126" s="1"/>
      <c r="RRB126" s="1"/>
      <c r="RRC126" s="1"/>
      <c r="RRD126" s="1"/>
      <c r="RRE126" s="1"/>
      <c r="RRF126" s="1"/>
      <c r="RRG126" s="1"/>
      <c r="RRH126" s="1"/>
      <c r="RRI126" s="1"/>
      <c r="RRJ126" s="1"/>
      <c r="RRK126" s="1"/>
      <c r="RRL126" s="1"/>
      <c r="RRM126" s="1"/>
      <c r="RRN126" s="1"/>
      <c r="RRO126" s="1"/>
      <c r="RRP126" s="1"/>
      <c r="RRQ126" s="1"/>
      <c r="RRR126" s="1"/>
      <c r="RRS126" s="1"/>
      <c r="RRT126" s="1"/>
      <c r="RRU126" s="1"/>
      <c r="RRV126" s="1"/>
      <c r="RRW126" s="1"/>
      <c r="RRX126" s="1"/>
      <c r="RRY126" s="1"/>
      <c r="RRZ126" s="1"/>
      <c r="RSA126" s="1"/>
      <c r="RSB126" s="1"/>
      <c r="RSC126" s="1"/>
      <c r="RSD126" s="1"/>
      <c r="RSE126" s="1"/>
      <c r="RSF126" s="1"/>
      <c r="RSG126" s="1"/>
      <c r="RSH126" s="1"/>
      <c r="RSI126" s="1"/>
      <c r="RSJ126" s="1"/>
      <c r="RSK126" s="1"/>
      <c r="RSL126" s="1"/>
      <c r="RSM126" s="1"/>
      <c r="RSN126" s="1"/>
      <c r="RSO126" s="1"/>
      <c r="RSP126" s="1"/>
      <c r="RSQ126" s="1"/>
      <c r="RSR126" s="1"/>
      <c r="RSS126" s="1"/>
      <c r="RST126" s="1"/>
      <c r="RSU126" s="1"/>
      <c r="RSV126" s="1"/>
      <c r="RSW126" s="1"/>
      <c r="RSX126" s="1"/>
      <c r="RSY126" s="1"/>
      <c r="RSZ126" s="1"/>
      <c r="RTA126" s="1"/>
      <c r="RTB126" s="1"/>
      <c r="RTC126" s="1"/>
      <c r="RTD126" s="1"/>
      <c r="RTE126" s="1"/>
      <c r="RTF126" s="1"/>
      <c r="RTG126" s="1"/>
      <c r="RTH126" s="1"/>
      <c r="RTI126" s="1"/>
      <c r="RTJ126" s="1"/>
      <c r="RTK126" s="1"/>
      <c r="RTL126" s="1"/>
      <c r="RTM126" s="1"/>
      <c r="RTN126" s="1"/>
      <c r="RTO126" s="1"/>
      <c r="RTP126" s="1"/>
      <c r="RTQ126" s="1"/>
      <c r="RTR126" s="1"/>
      <c r="RTS126" s="1"/>
      <c r="RTT126" s="1"/>
      <c r="RTU126" s="1"/>
      <c r="RTV126" s="1"/>
      <c r="RTW126" s="1"/>
      <c r="RTX126" s="1"/>
      <c r="RTY126" s="1"/>
      <c r="RTZ126" s="1"/>
      <c r="RUA126" s="1"/>
      <c r="RUB126" s="1"/>
      <c r="RUC126" s="1"/>
      <c r="RUD126" s="1"/>
      <c r="RUE126" s="1"/>
      <c r="RUF126" s="1"/>
      <c r="RUG126" s="1"/>
      <c r="RUH126" s="1"/>
      <c r="RUI126" s="1"/>
      <c r="RUJ126" s="1"/>
      <c r="RUK126" s="1"/>
      <c r="RUL126" s="1"/>
      <c r="RUM126" s="1"/>
      <c r="RUN126" s="1"/>
      <c r="RUO126" s="1"/>
      <c r="RUP126" s="1"/>
      <c r="RUQ126" s="1"/>
      <c r="RUR126" s="1"/>
      <c r="RUS126" s="1"/>
      <c r="RUT126" s="1"/>
      <c r="RUU126" s="1"/>
      <c r="RUV126" s="1"/>
      <c r="RUW126" s="1"/>
      <c r="RUX126" s="1"/>
      <c r="RUY126" s="1"/>
      <c r="RUZ126" s="1"/>
      <c r="RVA126" s="1"/>
      <c r="RVB126" s="1"/>
      <c r="RVC126" s="1"/>
      <c r="RVD126" s="1"/>
      <c r="RVE126" s="1"/>
      <c r="RVF126" s="1"/>
      <c r="RVG126" s="1"/>
      <c r="RVH126" s="1"/>
      <c r="RVI126" s="1"/>
      <c r="RVJ126" s="1"/>
      <c r="RVK126" s="1"/>
      <c r="RVL126" s="1"/>
      <c r="RVM126" s="1"/>
      <c r="RVN126" s="1"/>
      <c r="RVO126" s="1"/>
      <c r="RVP126" s="1"/>
      <c r="RVQ126" s="1"/>
      <c r="RVR126" s="1"/>
      <c r="RVS126" s="1"/>
      <c r="RVT126" s="1"/>
      <c r="RVU126" s="1"/>
      <c r="RVV126" s="1"/>
      <c r="RVW126" s="1"/>
      <c r="RVX126" s="1"/>
      <c r="RVY126" s="1"/>
      <c r="RVZ126" s="1"/>
      <c r="RWA126" s="1"/>
      <c r="RWB126" s="1"/>
      <c r="RWC126" s="1"/>
      <c r="RWD126" s="1"/>
      <c r="RWE126" s="1"/>
      <c r="RWF126" s="1"/>
      <c r="RWG126" s="1"/>
      <c r="RWH126" s="1"/>
      <c r="RWI126" s="1"/>
      <c r="RWJ126" s="1"/>
      <c r="RWK126" s="1"/>
      <c r="RWL126" s="1"/>
      <c r="RWM126" s="1"/>
      <c r="RWN126" s="1"/>
      <c r="RWO126" s="1"/>
      <c r="RWP126" s="1"/>
      <c r="RWQ126" s="1"/>
      <c r="RWR126" s="1"/>
      <c r="RWS126" s="1"/>
      <c r="RWT126" s="1"/>
      <c r="RWU126" s="1"/>
      <c r="RWV126" s="1"/>
      <c r="RWW126" s="1"/>
      <c r="RWX126" s="1"/>
      <c r="RWY126" s="1"/>
      <c r="RWZ126" s="1"/>
      <c r="RXA126" s="1"/>
      <c r="RXB126" s="1"/>
      <c r="RXC126" s="1"/>
      <c r="RXD126" s="1"/>
      <c r="RXE126" s="1"/>
      <c r="RXF126" s="1"/>
      <c r="RXG126" s="1"/>
      <c r="RXH126" s="1"/>
      <c r="RXI126" s="1"/>
      <c r="RXJ126" s="1"/>
      <c r="RXK126" s="1"/>
      <c r="RXL126" s="1"/>
      <c r="RXM126" s="1"/>
      <c r="RXN126" s="1"/>
      <c r="RXO126" s="1"/>
      <c r="RXP126" s="1"/>
      <c r="RXQ126" s="1"/>
      <c r="RXR126" s="1"/>
      <c r="RXS126" s="1"/>
      <c r="RXT126" s="1"/>
      <c r="RXU126" s="1"/>
      <c r="RXV126" s="1"/>
      <c r="RXW126" s="1"/>
      <c r="RXX126" s="1"/>
      <c r="RXY126" s="1"/>
      <c r="RXZ126" s="1"/>
      <c r="RYA126" s="1"/>
      <c r="RYB126" s="1"/>
      <c r="RYC126" s="1"/>
      <c r="RYD126" s="1"/>
      <c r="RYE126" s="1"/>
      <c r="RYF126" s="1"/>
      <c r="RYG126" s="1"/>
      <c r="RYH126" s="1"/>
      <c r="RYI126" s="1"/>
      <c r="RYJ126" s="1"/>
      <c r="RYK126" s="1"/>
      <c r="RYL126" s="1"/>
      <c r="RYM126" s="1"/>
      <c r="RYN126" s="1"/>
      <c r="RYO126" s="1"/>
      <c r="RYP126" s="1"/>
      <c r="RYQ126" s="1"/>
      <c r="RYR126" s="1"/>
      <c r="RYS126" s="1"/>
      <c r="RYT126" s="1"/>
      <c r="RYU126" s="1"/>
      <c r="RYV126" s="1"/>
      <c r="RYW126" s="1"/>
      <c r="RYX126" s="1"/>
      <c r="RYY126" s="1"/>
      <c r="RYZ126" s="1"/>
      <c r="RZA126" s="1"/>
      <c r="RZB126" s="1"/>
      <c r="RZC126" s="1"/>
      <c r="RZD126" s="1"/>
      <c r="RZE126" s="1"/>
      <c r="RZF126" s="1"/>
      <c r="RZG126" s="1"/>
      <c r="RZH126" s="1"/>
      <c r="RZI126" s="1"/>
      <c r="RZJ126" s="1"/>
      <c r="RZK126" s="1"/>
      <c r="RZL126" s="1"/>
      <c r="RZM126" s="1"/>
      <c r="RZN126" s="1"/>
      <c r="RZO126" s="1"/>
      <c r="RZP126" s="1"/>
      <c r="RZQ126" s="1"/>
      <c r="RZR126" s="1"/>
      <c r="RZS126" s="1"/>
      <c r="RZT126" s="1"/>
      <c r="RZU126" s="1"/>
      <c r="RZV126" s="1"/>
      <c r="RZW126" s="1"/>
      <c r="RZX126" s="1"/>
      <c r="RZY126" s="1"/>
      <c r="RZZ126" s="1"/>
      <c r="SAA126" s="1"/>
      <c r="SAB126" s="1"/>
      <c r="SAC126" s="1"/>
      <c r="SAD126" s="1"/>
      <c r="SAE126" s="1"/>
      <c r="SAF126" s="1"/>
      <c r="SAG126" s="1"/>
      <c r="SAH126" s="1"/>
      <c r="SAI126" s="1"/>
      <c r="SAJ126" s="1"/>
      <c r="SAK126" s="1"/>
      <c r="SAL126" s="1"/>
      <c r="SAM126" s="1"/>
      <c r="SAN126" s="1"/>
      <c r="SAO126" s="1"/>
      <c r="SAP126" s="1"/>
      <c r="SAQ126" s="1"/>
      <c r="SAR126" s="1"/>
      <c r="SAS126" s="1"/>
      <c r="SAT126" s="1"/>
      <c r="SAU126" s="1"/>
      <c r="SAV126" s="1"/>
      <c r="SAW126" s="1"/>
      <c r="SAX126" s="1"/>
      <c r="SAY126" s="1"/>
      <c r="SAZ126" s="1"/>
      <c r="SBA126" s="1"/>
      <c r="SBB126" s="1"/>
      <c r="SBC126" s="1"/>
      <c r="SBD126" s="1"/>
      <c r="SBE126" s="1"/>
      <c r="SBF126" s="1"/>
      <c r="SBG126" s="1"/>
      <c r="SBH126" s="1"/>
      <c r="SBI126" s="1"/>
      <c r="SBJ126" s="1"/>
      <c r="SBK126" s="1"/>
      <c r="SBL126" s="1"/>
      <c r="SBM126" s="1"/>
      <c r="SBN126" s="1"/>
      <c r="SBO126" s="1"/>
      <c r="SBP126" s="1"/>
      <c r="SBQ126" s="1"/>
      <c r="SBR126" s="1"/>
      <c r="SBS126" s="1"/>
      <c r="SBT126" s="1"/>
      <c r="SBU126" s="1"/>
      <c r="SBV126" s="1"/>
      <c r="SBW126" s="1"/>
      <c r="SBX126" s="1"/>
      <c r="SBY126" s="1"/>
      <c r="SBZ126" s="1"/>
      <c r="SCA126" s="1"/>
      <c r="SCB126" s="1"/>
      <c r="SCC126" s="1"/>
      <c r="SCD126" s="1"/>
      <c r="SCE126" s="1"/>
      <c r="SCF126" s="1"/>
      <c r="SCG126" s="1"/>
      <c r="SCH126" s="1"/>
      <c r="SCI126" s="1"/>
      <c r="SCJ126" s="1"/>
      <c r="SCK126" s="1"/>
      <c r="SCL126" s="1"/>
      <c r="SCM126" s="1"/>
      <c r="SCN126" s="1"/>
      <c r="SCO126" s="1"/>
      <c r="SCP126" s="1"/>
      <c r="SCQ126" s="1"/>
      <c r="SCR126" s="1"/>
      <c r="SCS126" s="1"/>
      <c r="SCT126" s="1"/>
      <c r="SCU126" s="1"/>
      <c r="SCV126" s="1"/>
      <c r="SCW126" s="1"/>
      <c r="SCX126" s="1"/>
      <c r="SCY126" s="1"/>
      <c r="SCZ126" s="1"/>
      <c r="SDA126" s="1"/>
      <c r="SDB126" s="1"/>
      <c r="SDC126" s="1"/>
      <c r="SDD126" s="1"/>
      <c r="SDE126" s="1"/>
      <c r="SDF126" s="1"/>
      <c r="SDG126" s="1"/>
      <c r="SDH126" s="1"/>
      <c r="SDI126" s="1"/>
      <c r="SDJ126" s="1"/>
      <c r="SDK126" s="1"/>
      <c r="SDL126" s="1"/>
      <c r="SDM126" s="1"/>
      <c r="SDN126" s="1"/>
      <c r="SDO126" s="1"/>
      <c r="SDP126" s="1"/>
      <c r="SDQ126" s="1"/>
      <c r="SDR126" s="1"/>
      <c r="SDS126" s="1"/>
      <c r="SDT126" s="1"/>
      <c r="SDU126" s="1"/>
      <c r="SDV126" s="1"/>
      <c r="SDW126" s="1"/>
      <c r="SDX126" s="1"/>
      <c r="SDY126" s="1"/>
      <c r="SDZ126" s="1"/>
      <c r="SEA126" s="1"/>
      <c r="SEB126" s="1"/>
      <c r="SEC126" s="1"/>
      <c r="SED126" s="1"/>
      <c r="SEE126" s="1"/>
      <c r="SEF126" s="1"/>
      <c r="SEG126" s="1"/>
      <c r="SEH126" s="1"/>
      <c r="SEI126" s="1"/>
      <c r="SEJ126" s="1"/>
      <c r="SEK126" s="1"/>
      <c r="SEL126" s="1"/>
      <c r="SEM126" s="1"/>
      <c r="SEN126" s="1"/>
      <c r="SEO126" s="1"/>
      <c r="SEP126" s="1"/>
      <c r="SEQ126" s="1"/>
      <c r="SER126" s="1"/>
      <c r="SES126" s="1"/>
      <c r="SET126" s="1"/>
      <c r="SEU126" s="1"/>
      <c r="SEV126" s="1"/>
      <c r="SEW126" s="1"/>
      <c r="SEX126" s="1"/>
      <c r="SEY126" s="1"/>
      <c r="SEZ126" s="1"/>
      <c r="SFA126" s="1"/>
      <c r="SFB126" s="1"/>
      <c r="SFC126" s="1"/>
      <c r="SFD126" s="1"/>
      <c r="SFE126" s="1"/>
      <c r="SFF126" s="1"/>
      <c r="SFG126" s="1"/>
      <c r="SFH126" s="1"/>
      <c r="SFI126" s="1"/>
      <c r="SFJ126" s="1"/>
      <c r="SFK126" s="1"/>
      <c r="SFL126" s="1"/>
      <c r="SFM126" s="1"/>
      <c r="SFN126" s="1"/>
      <c r="SFO126" s="1"/>
      <c r="SFP126" s="1"/>
      <c r="SFQ126" s="1"/>
      <c r="SFR126" s="1"/>
      <c r="SFS126" s="1"/>
      <c r="SFT126" s="1"/>
      <c r="SFU126" s="1"/>
      <c r="SFV126" s="1"/>
      <c r="SFW126" s="1"/>
      <c r="SFX126" s="1"/>
      <c r="SFY126" s="1"/>
      <c r="SFZ126" s="1"/>
      <c r="SGA126" s="1"/>
      <c r="SGB126" s="1"/>
      <c r="SGC126" s="1"/>
      <c r="SGD126" s="1"/>
      <c r="SGE126" s="1"/>
      <c r="SGF126" s="1"/>
      <c r="SGG126" s="1"/>
      <c r="SGH126" s="1"/>
      <c r="SGI126" s="1"/>
      <c r="SGJ126" s="1"/>
      <c r="SGK126" s="1"/>
      <c r="SGL126" s="1"/>
      <c r="SGM126" s="1"/>
      <c r="SGN126" s="1"/>
      <c r="SGO126" s="1"/>
      <c r="SGP126" s="1"/>
      <c r="SGQ126" s="1"/>
      <c r="SGR126" s="1"/>
      <c r="SGS126" s="1"/>
      <c r="SGT126" s="1"/>
      <c r="SGU126" s="1"/>
      <c r="SGV126" s="1"/>
      <c r="SGW126" s="1"/>
      <c r="SGX126" s="1"/>
      <c r="SGY126" s="1"/>
      <c r="SGZ126" s="1"/>
      <c r="SHA126" s="1"/>
      <c r="SHB126" s="1"/>
      <c r="SHC126" s="1"/>
      <c r="SHD126" s="1"/>
      <c r="SHE126" s="1"/>
      <c r="SHF126" s="1"/>
      <c r="SHG126" s="1"/>
      <c r="SHH126" s="1"/>
      <c r="SHI126" s="1"/>
      <c r="SHJ126" s="1"/>
      <c r="SHK126" s="1"/>
      <c r="SHL126" s="1"/>
      <c r="SHM126" s="1"/>
      <c r="SHN126" s="1"/>
      <c r="SHO126" s="1"/>
      <c r="SHP126" s="1"/>
      <c r="SHQ126" s="1"/>
      <c r="SHR126" s="1"/>
      <c r="SHS126" s="1"/>
      <c r="SHT126" s="1"/>
      <c r="SHU126" s="1"/>
      <c r="SHV126" s="1"/>
      <c r="SHW126" s="1"/>
      <c r="SHX126" s="1"/>
      <c r="SHY126" s="1"/>
      <c r="SHZ126" s="1"/>
      <c r="SIA126" s="1"/>
      <c r="SIB126" s="1"/>
      <c r="SIC126" s="1"/>
      <c r="SID126" s="1"/>
      <c r="SIE126" s="1"/>
      <c r="SIF126" s="1"/>
      <c r="SIG126" s="1"/>
      <c r="SIH126" s="1"/>
      <c r="SII126" s="1"/>
      <c r="SIJ126" s="1"/>
      <c r="SIK126" s="1"/>
      <c r="SIL126" s="1"/>
      <c r="SIM126" s="1"/>
      <c r="SIN126" s="1"/>
      <c r="SIO126" s="1"/>
      <c r="SIP126" s="1"/>
      <c r="SIQ126" s="1"/>
      <c r="SIR126" s="1"/>
      <c r="SIS126" s="1"/>
      <c r="SIT126" s="1"/>
      <c r="SIU126" s="1"/>
      <c r="SIV126" s="1"/>
      <c r="SIW126" s="1"/>
      <c r="SIX126" s="1"/>
      <c r="SIY126" s="1"/>
      <c r="SIZ126" s="1"/>
      <c r="SJA126" s="1"/>
      <c r="SJB126" s="1"/>
      <c r="SJC126" s="1"/>
      <c r="SJD126" s="1"/>
      <c r="SJE126" s="1"/>
      <c r="SJF126" s="1"/>
      <c r="SJG126" s="1"/>
      <c r="SJH126" s="1"/>
      <c r="SJI126" s="1"/>
      <c r="SJJ126" s="1"/>
      <c r="SJK126" s="1"/>
      <c r="SJL126" s="1"/>
      <c r="SJM126" s="1"/>
      <c r="SJN126" s="1"/>
      <c r="SJO126" s="1"/>
      <c r="SJP126" s="1"/>
      <c r="SJQ126" s="1"/>
      <c r="SJR126" s="1"/>
      <c r="SJS126" s="1"/>
      <c r="SJT126" s="1"/>
      <c r="SJU126" s="1"/>
      <c r="SJV126" s="1"/>
      <c r="SJW126" s="1"/>
      <c r="SJX126" s="1"/>
      <c r="SJY126" s="1"/>
      <c r="SJZ126" s="1"/>
      <c r="SKA126" s="1"/>
      <c r="SKB126" s="1"/>
      <c r="SKC126" s="1"/>
      <c r="SKD126" s="1"/>
      <c r="SKE126" s="1"/>
      <c r="SKF126" s="1"/>
      <c r="SKG126" s="1"/>
      <c r="SKH126" s="1"/>
      <c r="SKI126" s="1"/>
      <c r="SKJ126" s="1"/>
      <c r="SKK126" s="1"/>
      <c r="SKL126" s="1"/>
      <c r="SKM126" s="1"/>
      <c r="SKN126" s="1"/>
      <c r="SKO126" s="1"/>
      <c r="SKP126" s="1"/>
      <c r="SKQ126" s="1"/>
      <c r="SKR126" s="1"/>
      <c r="SKS126" s="1"/>
      <c r="SKT126" s="1"/>
      <c r="SKU126" s="1"/>
      <c r="SKV126" s="1"/>
      <c r="SKW126" s="1"/>
      <c r="SKX126" s="1"/>
      <c r="SKY126" s="1"/>
      <c r="SKZ126" s="1"/>
      <c r="SLA126" s="1"/>
      <c r="SLB126" s="1"/>
      <c r="SLC126" s="1"/>
      <c r="SLD126" s="1"/>
      <c r="SLE126" s="1"/>
      <c r="SLF126" s="1"/>
      <c r="SLG126" s="1"/>
      <c r="SLH126" s="1"/>
      <c r="SLI126" s="1"/>
      <c r="SLJ126" s="1"/>
      <c r="SLK126" s="1"/>
      <c r="SLL126" s="1"/>
      <c r="SLM126" s="1"/>
      <c r="SLN126" s="1"/>
      <c r="SLO126" s="1"/>
      <c r="SLP126" s="1"/>
      <c r="SLQ126" s="1"/>
      <c r="SLR126" s="1"/>
      <c r="SLS126" s="1"/>
      <c r="SLT126" s="1"/>
      <c r="SLU126" s="1"/>
      <c r="SLV126" s="1"/>
      <c r="SLW126" s="1"/>
      <c r="SLX126" s="1"/>
      <c r="SLY126" s="1"/>
      <c r="SLZ126" s="1"/>
      <c r="SMA126" s="1"/>
      <c r="SMB126" s="1"/>
      <c r="SMC126" s="1"/>
      <c r="SMD126" s="1"/>
      <c r="SME126" s="1"/>
      <c r="SMF126" s="1"/>
      <c r="SMG126" s="1"/>
      <c r="SMH126" s="1"/>
      <c r="SMI126" s="1"/>
      <c r="SMJ126" s="1"/>
      <c r="SMK126" s="1"/>
      <c r="SML126" s="1"/>
      <c r="SMM126" s="1"/>
      <c r="SMN126" s="1"/>
      <c r="SMO126" s="1"/>
      <c r="SMP126" s="1"/>
      <c r="SMQ126" s="1"/>
      <c r="SMR126" s="1"/>
      <c r="SMS126" s="1"/>
      <c r="SMT126" s="1"/>
      <c r="SMU126" s="1"/>
      <c r="SMV126" s="1"/>
      <c r="SMW126" s="1"/>
      <c r="SMX126" s="1"/>
      <c r="SMY126" s="1"/>
      <c r="SMZ126" s="1"/>
      <c r="SNA126" s="1"/>
      <c r="SNB126" s="1"/>
      <c r="SNC126" s="1"/>
      <c r="SND126" s="1"/>
      <c r="SNE126" s="1"/>
      <c r="SNF126" s="1"/>
      <c r="SNG126" s="1"/>
      <c r="SNH126" s="1"/>
      <c r="SNI126" s="1"/>
      <c r="SNJ126" s="1"/>
      <c r="SNK126" s="1"/>
      <c r="SNL126" s="1"/>
      <c r="SNM126" s="1"/>
      <c r="SNN126" s="1"/>
      <c r="SNO126" s="1"/>
      <c r="SNP126" s="1"/>
      <c r="SNQ126" s="1"/>
      <c r="SNR126" s="1"/>
      <c r="SNS126" s="1"/>
      <c r="SNT126" s="1"/>
      <c r="SNU126" s="1"/>
      <c r="SNV126" s="1"/>
      <c r="SNW126" s="1"/>
      <c r="SNX126" s="1"/>
      <c r="SNY126" s="1"/>
      <c r="SNZ126" s="1"/>
      <c r="SOA126" s="1"/>
      <c r="SOB126" s="1"/>
      <c r="SOC126" s="1"/>
      <c r="SOD126" s="1"/>
      <c r="SOE126" s="1"/>
      <c r="SOF126" s="1"/>
      <c r="SOG126" s="1"/>
      <c r="SOH126" s="1"/>
      <c r="SOI126" s="1"/>
      <c r="SOJ126" s="1"/>
      <c r="SOK126" s="1"/>
      <c r="SOL126" s="1"/>
      <c r="SOM126" s="1"/>
      <c r="SON126" s="1"/>
      <c r="SOO126" s="1"/>
      <c r="SOP126" s="1"/>
      <c r="SOQ126" s="1"/>
      <c r="SOR126" s="1"/>
      <c r="SOS126" s="1"/>
      <c r="SOT126" s="1"/>
      <c r="SOU126" s="1"/>
      <c r="SOV126" s="1"/>
      <c r="SOW126" s="1"/>
      <c r="SOX126" s="1"/>
      <c r="SOY126" s="1"/>
      <c r="SOZ126" s="1"/>
      <c r="SPA126" s="1"/>
      <c r="SPB126" s="1"/>
      <c r="SPC126" s="1"/>
      <c r="SPD126" s="1"/>
      <c r="SPE126" s="1"/>
      <c r="SPF126" s="1"/>
      <c r="SPG126" s="1"/>
      <c r="SPH126" s="1"/>
      <c r="SPI126" s="1"/>
      <c r="SPJ126" s="1"/>
      <c r="SPK126" s="1"/>
      <c r="SPL126" s="1"/>
      <c r="SPM126" s="1"/>
      <c r="SPN126" s="1"/>
      <c r="SPO126" s="1"/>
      <c r="SPP126" s="1"/>
      <c r="SPQ126" s="1"/>
      <c r="SPR126" s="1"/>
      <c r="SPS126" s="1"/>
      <c r="SPT126" s="1"/>
      <c r="SPU126" s="1"/>
      <c r="SPV126" s="1"/>
      <c r="SPW126" s="1"/>
      <c r="SPX126" s="1"/>
      <c r="SPY126" s="1"/>
      <c r="SPZ126" s="1"/>
      <c r="SQA126" s="1"/>
      <c r="SQB126" s="1"/>
      <c r="SQC126" s="1"/>
      <c r="SQD126" s="1"/>
      <c r="SQE126" s="1"/>
      <c r="SQF126" s="1"/>
      <c r="SQG126" s="1"/>
      <c r="SQH126" s="1"/>
      <c r="SQI126" s="1"/>
      <c r="SQJ126" s="1"/>
      <c r="SQK126" s="1"/>
      <c r="SQL126" s="1"/>
      <c r="SQM126" s="1"/>
      <c r="SQN126" s="1"/>
      <c r="SQO126" s="1"/>
      <c r="SQP126" s="1"/>
      <c r="SQQ126" s="1"/>
      <c r="SQR126" s="1"/>
      <c r="SQS126" s="1"/>
      <c r="SQT126" s="1"/>
      <c r="SQU126" s="1"/>
      <c r="SQV126" s="1"/>
      <c r="SQW126" s="1"/>
      <c r="SQX126" s="1"/>
      <c r="SQY126" s="1"/>
      <c r="SQZ126" s="1"/>
      <c r="SRA126" s="1"/>
      <c r="SRB126" s="1"/>
      <c r="SRC126" s="1"/>
      <c r="SRD126" s="1"/>
      <c r="SRE126" s="1"/>
      <c r="SRF126" s="1"/>
      <c r="SRG126" s="1"/>
      <c r="SRH126" s="1"/>
      <c r="SRI126" s="1"/>
      <c r="SRJ126" s="1"/>
      <c r="SRK126" s="1"/>
      <c r="SRL126" s="1"/>
      <c r="SRM126" s="1"/>
      <c r="SRN126" s="1"/>
      <c r="SRO126" s="1"/>
      <c r="SRP126" s="1"/>
      <c r="SRQ126" s="1"/>
      <c r="SRR126" s="1"/>
      <c r="SRS126" s="1"/>
      <c r="SRT126" s="1"/>
      <c r="SRU126" s="1"/>
      <c r="SRV126" s="1"/>
      <c r="SRW126" s="1"/>
      <c r="SRX126" s="1"/>
      <c r="SRY126" s="1"/>
      <c r="SRZ126" s="1"/>
      <c r="SSA126" s="1"/>
      <c r="SSB126" s="1"/>
      <c r="SSC126" s="1"/>
      <c r="SSD126" s="1"/>
      <c r="SSE126" s="1"/>
      <c r="SSF126" s="1"/>
      <c r="SSG126" s="1"/>
      <c r="SSH126" s="1"/>
      <c r="SSI126" s="1"/>
      <c r="SSJ126" s="1"/>
      <c r="SSK126" s="1"/>
      <c r="SSL126" s="1"/>
      <c r="SSM126" s="1"/>
      <c r="SSN126" s="1"/>
      <c r="SSO126" s="1"/>
      <c r="SSP126" s="1"/>
      <c r="SSQ126" s="1"/>
      <c r="SSR126" s="1"/>
      <c r="SSS126" s="1"/>
      <c r="SST126" s="1"/>
      <c r="SSU126" s="1"/>
      <c r="SSV126" s="1"/>
      <c r="SSW126" s="1"/>
      <c r="SSX126" s="1"/>
      <c r="SSY126" s="1"/>
      <c r="SSZ126" s="1"/>
      <c r="STA126" s="1"/>
      <c r="STB126" s="1"/>
      <c r="STC126" s="1"/>
      <c r="STD126" s="1"/>
      <c r="STE126" s="1"/>
      <c r="STF126" s="1"/>
      <c r="STG126" s="1"/>
      <c r="STH126" s="1"/>
      <c r="STI126" s="1"/>
      <c r="STJ126" s="1"/>
      <c r="STK126" s="1"/>
      <c r="STL126" s="1"/>
      <c r="STM126" s="1"/>
      <c r="STN126" s="1"/>
      <c r="STO126" s="1"/>
      <c r="STP126" s="1"/>
      <c r="STQ126" s="1"/>
      <c r="STR126" s="1"/>
      <c r="STS126" s="1"/>
      <c r="STT126" s="1"/>
      <c r="STU126" s="1"/>
      <c r="STV126" s="1"/>
      <c r="STW126" s="1"/>
      <c r="STX126" s="1"/>
      <c r="STY126" s="1"/>
      <c r="STZ126" s="1"/>
      <c r="SUA126" s="1"/>
      <c r="SUB126" s="1"/>
      <c r="SUC126" s="1"/>
      <c r="SUD126" s="1"/>
      <c r="SUE126" s="1"/>
      <c r="SUF126" s="1"/>
      <c r="SUG126" s="1"/>
      <c r="SUH126" s="1"/>
      <c r="SUI126" s="1"/>
      <c r="SUJ126" s="1"/>
      <c r="SUK126" s="1"/>
      <c r="SUL126" s="1"/>
      <c r="SUM126" s="1"/>
      <c r="SUN126" s="1"/>
      <c r="SUO126" s="1"/>
      <c r="SUP126" s="1"/>
      <c r="SUQ126" s="1"/>
      <c r="SUR126" s="1"/>
      <c r="SUS126" s="1"/>
      <c r="SUT126" s="1"/>
      <c r="SUU126" s="1"/>
      <c r="SUV126" s="1"/>
      <c r="SUW126" s="1"/>
      <c r="SUX126" s="1"/>
      <c r="SUY126" s="1"/>
      <c r="SUZ126" s="1"/>
      <c r="SVA126" s="1"/>
      <c r="SVB126" s="1"/>
      <c r="SVC126" s="1"/>
      <c r="SVD126" s="1"/>
      <c r="SVE126" s="1"/>
      <c r="SVF126" s="1"/>
      <c r="SVG126" s="1"/>
      <c r="SVH126" s="1"/>
      <c r="SVI126" s="1"/>
      <c r="SVJ126" s="1"/>
      <c r="SVK126" s="1"/>
      <c r="SVL126" s="1"/>
      <c r="SVM126" s="1"/>
      <c r="SVN126" s="1"/>
      <c r="SVO126" s="1"/>
      <c r="SVP126" s="1"/>
      <c r="SVQ126" s="1"/>
      <c r="SVR126" s="1"/>
      <c r="SVS126" s="1"/>
      <c r="SVT126" s="1"/>
      <c r="SVU126" s="1"/>
      <c r="SVV126" s="1"/>
      <c r="SVW126" s="1"/>
      <c r="SVX126" s="1"/>
      <c r="SVY126" s="1"/>
      <c r="SVZ126" s="1"/>
      <c r="SWA126" s="1"/>
      <c r="SWB126" s="1"/>
      <c r="SWC126" s="1"/>
      <c r="SWD126" s="1"/>
      <c r="SWE126" s="1"/>
      <c r="SWF126" s="1"/>
      <c r="SWG126" s="1"/>
      <c r="SWH126" s="1"/>
      <c r="SWI126" s="1"/>
      <c r="SWJ126" s="1"/>
      <c r="SWK126" s="1"/>
      <c r="SWL126" s="1"/>
      <c r="SWM126" s="1"/>
      <c r="SWN126" s="1"/>
      <c r="SWO126" s="1"/>
      <c r="SWP126" s="1"/>
      <c r="SWQ126" s="1"/>
      <c r="SWR126" s="1"/>
      <c r="SWS126" s="1"/>
      <c r="SWT126" s="1"/>
      <c r="SWU126" s="1"/>
      <c r="SWV126" s="1"/>
      <c r="SWW126" s="1"/>
      <c r="SWX126" s="1"/>
      <c r="SWY126" s="1"/>
      <c r="SWZ126" s="1"/>
      <c r="SXA126" s="1"/>
      <c r="SXB126" s="1"/>
      <c r="SXC126" s="1"/>
      <c r="SXD126" s="1"/>
      <c r="SXE126" s="1"/>
      <c r="SXF126" s="1"/>
      <c r="SXG126" s="1"/>
      <c r="SXH126" s="1"/>
      <c r="SXI126" s="1"/>
      <c r="SXJ126" s="1"/>
      <c r="SXK126" s="1"/>
      <c r="SXL126" s="1"/>
      <c r="SXM126" s="1"/>
      <c r="SXN126" s="1"/>
      <c r="SXO126" s="1"/>
      <c r="SXP126" s="1"/>
      <c r="SXQ126" s="1"/>
      <c r="SXR126" s="1"/>
      <c r="SXS126" s="1"/>
      <c r="SXT126" s="1"/>
      <c r="SXU126" s="1"/>
      <c r="SXV126" s="1"/>
      <c r="SXW126" s="1"/>
      <c r="SXX126" s="1"/>
      <c r="SXY126" s="1"/>
      <c r="SXZ126" s="1"/>
      <c r="SYA126" s="1"/>
      <c r="SYB126" s="1"/>
      <c r="SYC126" s="1"/>
      <c r="SYD126" s="1"/>
      <c r="SYE126" s="1"/>
      <c r="SYF126" s="1"/>
      <c r="SYG126" s="1"/>
      <c r="SYH126" s="1"/>
      <c r="SYI126" s="1"/>
      <c r="SYJ126" s="1"/>
      <c r="SYK126" s="1"/>
      <c r="SYL126" s="1"/>
      <c r="SYM126" s="1"/>
      <c r="SYN126" s="1"/>
      <c r="SYO126" s="1"/>
      <c r="SYP126" s="1"/>
      <c r="SYQ126" s="1"/>
      <c r="SYR126" s="1"/>
      <c r="SYS126" s="1"/>
      <c r="SYT126" s="1"/>
      <c r="SYU126" s="1"/>
      <c r="SYV126" s="1"/>
      <c r="SYW126" s="1"/>
      <c r="SYX126" s="1"/>
      <c r="SYY126" s="1"/>
      <c r="SYZ126" s="1"/>
      <c r="SZA126" s="1"/>
      <c r="SZB126" s="1"/>
      <c r="SZC126" s="1"/>
      <c r="SZD126" s="1"/>
      <c r="SZE126" s="1"/>
      <c r="SZF126" s="1"/>
      <c r="SZG126" s="1"/>
      <c r="SZH126" s="1"/>
      <c r="SZI126" s="1"/>
      <c r="SZJ126" s="1"/>
      <c r="SZK126" s="1"/>
      <c r="SZL126" s="1"/>
      <c r="SZM126" s="1"/>
      <c r="SZN126" s="1"/>
      <c r="SZO126" s="1"/>
      <c r="SZP126" s="1"/>
      <c r="SZQ126" s="1"/>
      <c r="SZR126" s="1"/>
      <c r="SZS126" s="1"/>
      <c r="SZT126" s="1"/>
      <c r="SZU126" s="1"/>
      <c r="SZV126" s="1"/>
      <c r="SZW126" s="1"/>
      <c r="SZX126" s="1"/>
      <c r="SZY126" s="1"/>
      <c r="SZZ126" s="1"/>
      <c r="TAA126" s="1"/>
      <c r="TAB126" s="1"/>
      <c r="TAC126" s="1"/>
      <c r="TAD126" s="1"/>
      <c r="TAE126" s="1"/>
      <c r="TAF126" s="1"/>
      <c r="TAG126" s="1"/>
      <c r="TAH126" s="1"/>
      <c r="TAI126" s="1"/>
      <c r="TAJ126" s="1"/>
      <c r="TAK126" s="1"/>
      <c r="TAL126" s="1"/>
      <c r="TAM126" s="1"/>
      <c r="TAN126" s="1"/>
      <c r="TAO126" s="1"/>
      <c r="TAP126" s="1"/>
      <c r="TAQ126" s="1"/>
      <c r="TAR126" s="1"/>
      <c r="TAS126" s="1"/>
      <c r="TAT126" s="1"/>
      <c r="TAU126" s="1"/>
      <c r="TAV126" s="1"/>
      <c r="TAW126" s="1"/>
      <c r="TAX126" s="1"/>
      <c r="TAY126" s="1"/>
      <c r="TAZ126" s="1"/>
      <c r="TBA126" s="1"/>
      <c r="TBB126" s="1"/>
      <c r="TBC126" s="1"/>
      <c r="TBD126" s="1"/>
      <c r="TBE126" s="1"/>
      <c r="TBF126" s="1"/>
      <c r="TBG126" s="1"/>
      <c r="TBH126" s="1"/>
      <c r="TBI126" s="1"/>
      <c r="TBJ126" s="1"/>
      <c r="TBK126" s="1"/>
      <c r="TBL126" s="1"/>
      <c r="TBM126" s="1"/>
      <c r="TBN126" s="1"/>
      <c r="TBO126" s="1"/>
      <c r="TBP126" s="1"/>
      <c r="TBQ126" s="1"/>
      <c r="TBR126" s="1"/>
      <c r="TBS126" s="1"/>
      <c r="TBT126" s="1"/>
      <c r="TBU126" s="1"/>
      <c r="TBV126" s="1"/>
      <c r="TBW126" s="1"/>
      <c r="TBX126" s="1"/>
      <c r="TBY126" s="1"/>
      <c r="TBZ126" s="1"/>
      <c r="TCA126" s="1"/>
      <c r="TCB126" s="1"/>
      <c r="TCC126" s="1"/>
      <c r="TCD126" s="1"/>
      <c r="TCE126" s="1"/>
      <c r="TCF126" s="1"/>
      <c r="TCG126" s="1"/>
      <c r="TCH126" s="1"/>
      <c r="TCI126" s="1"/>
      <c r="TCJ126" s="1"/>
      <c r="TCK126" s="1"/>
      <c r="TCL126" s="1"/>
      <c r="TCM126" s="1"/>
      <c r="TCN126" s="1"/>
      <c r="TCO126" s="1"/>
      <c r="TCP126" s="1"/>
      <c r="TCQ126" s="1"/>
      <c r="TCR126" s="1"/>
      <c r="TCS126" s="1"/>
      <c r="TCT126" s="1"/>
      <c r="TCU126" s="1"/>
      <c r="TCV126" s="1"/>
      <c r="TCW126" s="1"/>
      <c r="TCX126" s="1"/>
      <c r="TCY126" s="1"/>
      <c r="TCZ126" s="1"/>
      <c r="TDA126" s="1"/>
      <c r="TDB126" s="1"/>
      <c r="TDC126" s="1"/>
      <c r="TDD126" s="1"/>
      <c r="TDE126" s="1"/>
      <c r="TDF126" s="1"/>
      <c r="TDG126" s="1"/>
      <c r="TDH126" s="1"/>
      <c r="TDI126" s="1"/>
      <c r="TDJ126" s="1"/>
      <c r="TDK126" s="1"/>
      <c r="TDL126" s="1"/>
      <c r="TDM126" s="1"/>
      <c r="TDN126" s="1"/>
      <c r="TDO126" s="1"/>
      <c r="TDP126" s="1"/>
      <c r="TDQ126" s="1"/>
      <c r="TDR126" s="1"/>
      <c r="TDS126" s="1"/>
      <c r="TDT126" s="1"/>
      <c r="TDU126" s="1"/>
      <c r="TDV126" s="1"/>
      <c r="TDW126" s="1"/>
      <c r="TDX126" s="1"/>
      <c r="TDY126" s="1"/>
      <c r="TDZ126" s="1"/>
      <c r="TEA126" s="1"/>
      <c r="TEB126" s="1"/>
      <c r="TEC126" s="1"/>
      <c r="TED126" s="1"/>
      <c r="TEE126" s="1"/>
      <c r="TEF126" s="1"/>
      <c r="TEG126" s="1"/>
      <c r="TEH126" s="1"/>
      <c r="TEI126" s="1"/>
      <c r="TEJ126" s="1"/>
      <c r="TEK126" s="1"/>
      <c r="TEL126" s="1"/>
      <c r="TEM126" s="1"/>
      <c r="TEN126" s="1"/>
      <c r="TEO126" s="1"/>
      <c r="TEP126" s="1"/>
      <c r="TEQ126" s="1"/>
      <c r="TER126" s="1"/>
      <c r="TES126" s="1"/>
      <c r="TET126" s="1"/>
      <c r="TEU126" s="1"/>
      <c r="TEV126" s="1"/>
      <c r="TEW126" s="1"/>
      <c r="TEX126" s="1"/>
      <c r="TEY126" s="1"/>
      <c r="TEZ126" s="1"/>
      <c r="TFA126" s="1"/>
      <c r="TFB126" s="1"/>
      <c r="TFC126" s="1"/>
      <c r="TFD126" s="1"/>
      <c r="TFE126" s="1"/>
      <c r="TFF126" s="1"/>
      <c r="TFG126" s="1"/>
      <c r="TFH126" s="1"/>
      <c r="TFI126" s="1"/>
      <c r="TFJ126" s="1"/>
      <c r="TFK126" s="1"/>
      <c r="TFL126" s="1"/>
      <c r="TFM126" s="1"/>
      <c r="TFN126" s="1"/>
      <c r="TFO126" s="1"/>
      <c r="TFP126" s="1"/>
      <c r="TFQ126" s="1"/>
      <c r="TFR126" s="1"/>
      <c r="TFS126" s="1"/>
      <c r="TFT126" s="1"/>
      <c r="TFU126" s="1"/>
      <c r="TFV126" s="1"/>
      <c r="TFW126" s="1"/>
      <c r="TFX126" s="1"/>
      <c r="TFY126" s="1"/>
      <c r="TFZ126" s="1"/>
      <c r="TGA126" s="1"/>
      <c r="TGB126" s="1"/>
      <c r="TGC126" s="1"/>
      <c r="TGD126" s="1"/>
      <c r="TGE126" s="1"/>
      <c r="TGF126" s="1"/>
      <c r="TGG126" s="1"/>
      <c r="TGH126" s="1"/>
      <c r="TGI126" s="1"/>
      <c r="TGJ126" s="1"/>
      <c r="TGK126" s="1"/>
      <c r="TGL126" s="1"/>
      <c r="TGM126" s="1"/>
      <c r="TGN126" s="1"/>
      <c r="TGO126" s="1"/>
      <c r="TGP126" s="1"/>
      <c r="TGQ126" s="1"/>
      <c r="TGR126" s="1"/>
      <c r="TGS126" s="1"/>
      <c r="TGT126" s="1"/>
      <c r="TGU126" s="1"/>
      <c r="TGV126" s="1"/>
      <c r="TGW126" s="1"/>
      <c r="TGX126" s="1"/>
      <c r="TGY126" s="1"/>
      <c r="TGZ126" s="1"/>
      <c r="THA126" s="1"/>
      <c r="THB126" s="1"/>
      <c r="THC126" s="1"/>
      <c r="THD126" s="1"/>
      <c r="THE126" s="1"/>
      <c r="THF126" s="1"/>
      <c r="THG126" s="1"/>
      <c r="THH126" s="1"/>
      <c r="THI126" s="1"/>
      <c r="THJ126" s="1"/>
      <c r="THK126" s="1"/>
      <c r="THL126" s="1"/>
      <c r="THM126" s="1"/>
      <c r="THN126" s="1"/>
      <c r="THO126" s="1"/>
      <c r="THP126" s="1"/>
      <c r="THQ126" s="1"/>
      <c r="THR126" s="1"/>
      <c r="THS126" s="1"/>
      <c r="THT126" s="1"/>
      <c r="THU126" s="1"/>
      <c r="THV126" s="1"/>
      <c r="THW126" s="1"/>
      <c r="THX126" s="1"/>
      <c r="THY126" s="1"/>
      <c r="THZ126" s="1"/>
      <c r="TIA126" s="1"/>
      <c r="TIB126" s="1"/>
      <c r="TIC126" s="1"/>
      <c r="TID126" s="1"/>
      <c r="TIE126" s="1"/>
      <c r="TIF126" s="1"/>
      <c r="TIG126" s="1"/>
      <c r="TIH126" s="1"/>
      <c r="TII126" s="1"/>
      <c r="TIJ126" s="1"/>
      <c r="TIK126" s="1"/>
      <c r="TIL126" s="1"/>
      <c r="TIM126" s="1"/>
      <c r="TIN126" s="1"/>
      <c r="TIO126" s="1"/>
      <c r="TIP126" s="1"/>
      <c r="TIQ126" s="1"/>
      <c r="TIR126" s="1"/>
      <c r="TIS126" s="1"/>
      <c r="TIT126" s="1"/>
      <c r="TIU126" s="1"/>
      <c r="TIV126" s="1"/>
      <c r="TIW126" s="1"/>
      <c r="TIX126" s="1"/>
      <c r="TIY126" s="1"/>
      <c r="TIZ126" s="1"/>
      <c r="TJA126" s="1"/>
      <c r="TJB126" s="1"/>
      <c r="TJC126" s="1"/>
      <c r="TJD126" s="1"/>
      <c r="TJE126" s="1"/>
      <c r="TJF126" s="1"/>
      <c r="TJG126" s="1"/>
      <c r="TJH126" s="1"/>
      <c r="TJI126" s="1"/>
      <c r="TJJ126" s="1"/>
      <c r="TJK126" s="1"/>
      <c r="TJL126" s="1"/>
      <c r="TJM126" s="1"/>
      <c r="TJN126" s="1"/>
      <c r="TJO126" s="1"/>
      <c r="TJP126" s="1"/>
      <c r="TJQ126" s="1"/>
      <c r="TJR126" s="1"/>
      <c r="TJS126" s="1"/>
      <c r="TJT126" s="1"/>
      <c r="TJU126" s="1"/>
      <c r="TJV126" s="1"/>
      <c r="TJW126" s="1"/>
      <c r="TJX126" s="1"/>
      <c r="TJY126" s="1"/>
      <c r="TJZ126" s="1"/>
      <c r="TKA126" s="1"/>
      <c r="TKB126" s="1"/>
      <c r="TKC126" s="1"/>
      <c r="TKD126" s="1"/>
      <c r="TKE126" s="1"/>
      <c r="TKF126" s="1"/>
      <c r="TKG126" s="1"/>
      <c r="TKH126" s="1"/>
      <c r="TKI126" s="1"/>
      <c r="TKJ126" s="1"/>
      <c r="TKK126" s="1"/>
      <c r="TKL126" s="1"/>
      <c r="TKM126" s="1"/>
      <c r="TKN126" s="1"/>
      <c r="TKO126" s="1"/>
      <c r="TKP126" s="1"/>
      <c r="TKQ126" s="1"/>
      <c r="TKR126" s="1"/>
      <c r="TKS126" s="1"/>
      <c r="TKT126" s="1"/>
      <c r="TKU126" s="1"/>
      <c r="TKV126" s="1"/>
      <c r="TKW126" s="1"/>
      <c r="TKX126" s="1"/>
      <c r="TKY126" s="1"/>
      <c r="TKZ126" s="1"/>
      <c r="TLA126" s="1"/>
      <c r="TLB126" s="1"/>
      <c r="TLC126" s="1"/>
      <c r="TLD126" s="1"/>
      <c r="TLE126" s="1"/>
      <c r="TLF126" s="1"/>
      <c r="TLG126" s="1"/>
      <c r="TLH126" s="1"/>
      <c r="TLI126" s="1"/>
      <c r="TLJ126" s="1"/>
      <c r="TLK126" s="1"/>
      <c r="TLL126" s="1"/>
      <c r="TLM126" s="1"/>
      <c r="TLN126" s="1"/>
      <c r="TLO126" s="1"/>
      <c r="TLP126" s="1"/>
      <c r="TLQ126" s="1"/>
      <c r="TLR126" s="1"/>
      <c r="TLS126" s="1"/>
      <c r="TLT126" s="1"/>
      <c r="TLU126" s="1"/>
      <c r="TLV126" s="1"/>
      <c r="TLW126" s="1"/>
      <c r="TLX126" s="1"/>
      <c r="TLY126" s="1"/>
      <c r="TLZ126" s="1"/>
      <c r="TMA126" s="1"/>
      <c r="TMB126" s="1"/>
      <c r="TMC126" s="1"/>
      <c r="TMD126" s="1"/>
      <c r="TME126" s="1"/>
      <c r="TMF126" s="1"/>
      <c r="TMG126" s="1"/>
      <c r="TMH126" s="1"/>
      <c r="TMI126" s="1"/>
      <c r="TMJ126" s="1"/>
      <c r="TMK126" s="1"/>
      <c r="TML126" s="1"/>
      <c r="TMM126" s="1"/>
      <c r="TMN126" s="1"/>
      <c r="TMO126" s="1"/>
      <c r="TMP126" s="1"/>
      <c r="TMQ126" s="1"/>
      <c r="TMR126" s="1"/>
      <c r="TMS126" s="1"/>
      <c r="TMT126" s="1"/>
      <c r="TMU126" s="1"/>
      <c r="TMV126" s="1"/>
      <c r="TMW126" s="1"/>
      <c r="TMX126" s="1"/>
      <c r="TMY126" s="1"/>
      <c r="TMZ126" s="1"/>
      <c r="TNA126" s="1"/>
      <c r="TNB126" s="1"/>
      <c r="TNC126" s="1"/>
      <c r="TND126" s="1"/>
      <c r="TNE126" s="1"/>
      <c r="TNF126" s="1"/>
      <c r="TNG126" s="1"/>
      <c r="TNH126" s="1"/>
      <c r="TNI126" s="1"/>
      <c r="TNJ126" s="1"/>
      <c r="TNK126" s="1"/>
      <c r="TNL126" s="1"/>
      <c r="TNM126" s="1"/>
      <c r="TNN126" s="1"/>
      <c r="TNO126" s="1"/>
      <c r="TNP126" s="1"/>
      <c r="TNQ126" s="1"/>
      <c r="TNR126" s="1"/>
      <c r="TNS126" s="1"/>
      <c r="TNT126" s="1"/>
      <c r="TNU126" s="1"/>
      <c r="TNV126" s="1"/>
      <c r="TNW126" s="1"/>
      <c r="TNX126" s="1"/>
      <c r="TNY126" s="1"/>
      <c r="TNZ126" s="1"/>
      <c r="TOA126" s="1"/>
      <c r="TOB126" s="1"/>
      <c r="TOC126" s="1"/>
      <c r="TOD126" s="1"/>
      <c r="TOE126" s="1"/>
      <c r="TOF126" s="1"/>
      <c r="TOG126" s="1"/>
      <c r="TOH126" s="1"/>
      <c r="TOI126" s="1"/>
      <c r="TOJ126" s="1"/>
      <c r="TOK126" s="1"/>
      <c r="TOL126" s="1"/>
      <c r="TOM126" s="1"/>
      <c r="TON126" s="1"/>
      <c r="TOO126" s="1"/>
      <c r="TOP126" s="1"/>
      <c r="TOQ126" s="1"/>
      <c r="TOR126" s="1"/>
      <c r="TOS126" s="1"/>
      <c r="TOT126" s="1"/>
      <c r="TOU126" s="1"/>
      <c r="TOV126" s="1"/>
      <c r="TOW126" s="1"/>
      <c r="TOX126" s="1"/>
      <c r="TOY126" s="1"/>
      <c r="TOZ126" s="1"/>
      <c r="TPA126" s="1"/>
      <c r="TPB126" s="1"/>
      <c r="TPC126" s="1"/>
      <c r="TPD126" s="1"/>
      <c r="TPE126" s="1"/>
      <c r="TPF126" s="1"/>
      <c r="TPG126" s="1"/>
      <c r="TPH126" s="1"/>
      <c r="TPI126" s="1"/>
      <c r="TPJ126" s="1"/>
      <c r="TPK126" s="1"/>
      <c r="TPL126" s="1"/>
      <c r="TPM126" s="1"/>
      <c r="TPN126" s="1"/>
      <c r="TPO126" s="1"/>
      <c r="TPP126" s="1"/>
      <c r="TPQ126" s="1"/>
      <c r="TPR126" s="1"/>
      <c r="TPS126" s="1"/>
      <c r="TPT126" s="1"/>
      <c r="TPU126" s="1"/>
      <c r="TPV126" s="1"/>
      <c r="TPW126" s="1"/>
      <c r="TPX126" s="1"/>
      <c r="TPY126" s="1"/>
      <c r="TPZ126" s="1"/>
      <c r="TQA126" s="1"/>
      <c r="TQB126" s="1"/>
      <c r="TQC126" s="1"/>
      <c r="TQD126" s="1"/>
      <c r="TQE126" s="1"/>
      <c r="TQF126" s="1"/>
      <c r="TQG126" s="1"/>
      <c r="TQH126" s="1"/>
      <c r="TQI126" s="1"/>
      <c r="TQJ126" s="1"/>
      <c r="TQK126" s="1"/>
      <c r="TQL126" s="1"/>
      <c r="TQM126" s="1"/>
      <c r="TQN126" s="1"/>
      <c r="TQO126" s="1"/>
      <c r="TQP126" s="1"/>
      <c r="TQQ126" s="1"/>
      <c r="TQR126" s="1"/>
      <c r="TQS126" s="1"/>
      <c r="TQT126" s="1"/>
      <c r="TQU126" s="1"/>
      <c r="TQV126" s="1"/>
      <c r="TQW126" s="1"/>
      <c r="TQX126" s="1"/>
      <c r="TQY126" s="1"/>
      <c r="TQZ126" s="1"/>
      <c r="TRA126" s="1"/>
      <c r="TRB126" s="1"/>
      <c r="TRC126" s="1"/>
      <c r="TRD126" s="1"/>
      <c r="TRE126" s="1"/>
      <c r="TRF126" s="1"/>
      <c r="TRG126" s="1"/>
      <c r="TRH126" s="1"/>
      <c r="TRI126" s="1"/>
      <c r="TRJ126" s="1"/>
      <c r="TRK126" s="1"/>
      <c r="TRL126" s="1"/>
      <c r="TRM126" s="1"/>
      <c r="TRN126" s="1"/>
      <c r="TRO126" s="1"/>
      <c r="TRP126" s="1"/>
      <c r="TRQ126" s="1"/>
      <c r="TRR126" s="1"/>
      <c r="TRS126" s="1"/>
      <c r="TRT126" s="1"/>
      <c r="TRU126" s="1"/>
      <c r="TRV126" s="1"/>
      <c r="TRW126" s="1"/>
      <c r="TRX126" s="1"/>
      <c r="TRY126" s="1"/>
      <c r="TRZ126" s="1"/>
      <c r="TSA126" s="1"/>
      <c r="TSB126" s="1"/>
      <c r="TSC126" s="1"/>
      <c r="TSD126" s="1"/>
      <c r="TSE126" s="1"/>
      <c r="TSF126" s="1"/>
      <c r="TSG126" s="1"/>
      <c r="TSH126" s="1"/>
      <c r="TSI126" s="1"/>
      <c r="TSJ126" s="1"/>
      <c r="TSK126" s="1"/>
      <c r="TSL126" s="1"/>
      <c r="TSM126" s="1"/>
      <c r="TSN126" s="1"/>
      <c r="TSO126" s="1"/>
      <c r="TSP126" s="1"/>
      <c r="TSQ126" s="1"/>
      <c r="TSR126" s="1"/>
      <c r="TSS126" s="1"/>
      <c r="TST126" s="1"/>
      <c r="TSU126" s="1"/>
      <c r="TSV126" s="1"/>
      <c r="TSW126" s="1"/>
      <c r="TSX126" s="1"/>
      <c r="TSY126" s="1"/>
      <c r="TSZ126" s="1"/>
      <c r="TTA126" s="1"/>
      <c r="TTB126" s="1"/>
      <c r="TTC126" s="1"/>
      <c r="TTD126" s="1"/>
      <c r="TTE126" s="1"/>
      <c r="TTF126" s="1"/>
      <c r="TTG126" s="1"/>
      <c r="TTH126" s="1"/>
      <c r="TTI126" s="1"/>
      <c r="TTJ126" s="1"/>
      <c r="TTK126" s="1"/>
      <c r="TTL126" s="1"/>
      <c r="TTM126" s="1"/>
      <c r="TTN126" s="1"/>
      <c r="TTO126" s="1"/>
      <c r="TTP126" s="1"/>
      <c r="TTQ126" s="1"/>
      <c r="TTR126" s="1"/>
      <c r="TTS126" s="1"/>
      <c r="TTT126" s="1"/>
      <c r="TTU126" s="1"/>
      <c r="TTV126" s="1"/>
      <c r="TTW126" s="1"/>
      <c r="TTX126" s="1"/>
      <c r="TTY126" s="1"/>
      <c r="TTZ126" s="1"/>
      <c r="TUA126" s="1"/>
      <c r="TUB126" s="1"/>
      <c r="TUC126" s="1"/>
      <c r="TUD126" s="1"/>
      <c r="TUE126" s="1"/>
      <c r="TUF126" s="1"/>
      <c r="TUG126" s="1"/>
      <c r="TUH126" s="1"/>
      <c r="TUI126" s="1"/>
      <c r="TUJ126" s="1"/>
      <c r="TUK126" s="1"/>
      <c r="TUL126" s="1"/>
      <c r="TUM126" s="1"/>
      <c r="TUN126" s="1"/>
      <c r="TUO126" s="1"/>
      <c r="TUP126" s="1"/>
      <c r="TUQ126" s="1"/>
      <c r="TUR126" s="1"/>
      <c r="TUS126" s="1"/>
      <c r="TUT126" s="1"/>
      <c r="TUU126" s="1"/>
      <c r="TUV126" s="1"/>
      <c r="TUW126" s="1"/>
      <c r="TUX126" s="1"/>
      <c r="TUY126" s="1"/>
      <c r="TUZ126" s="1"/>
      <c r="TVA126" s="1"/>
      <c r="TVB126" s="1"/>
      <c r="TVC126" s="1"/>
      <c r="TVD126" s="1"/>
      <c r="TVE126" s="1"/>
      <c r="TVF126" s="1"/>
      <c r="TVG126" s="1"/>
      <c r="TVH126" s="1"/>
      <c r="TVI126" s="1"/>
      <c r="TVJ126" s="1"/>
      <c r="TVK126" s="1"/>
      <c r="TVL126" s="1"/>
      <c r="TVM126" s="1"/>
      <c r="TVN126" s="1"/>
      <c r="TVO126" s="1"/>
      <c r="TVP126" s="1"/>
      <c r="TVQ126" s="1"/>
      <c r="TVR126" s="1"/>
      <c r="TVS126" s="1"/>
      <c r="TVT126" s="1"/>
      <c r="TVU126" s="1"/>
      <c r="TVV126" s="1"/>
      <c r="TVW126" s="1"/>
      <c r="TVX126" s="1"/>
      <c r="TVY126" s="1"/>
      <c r="TVZ126" s="1"/>
      <c r="TWA126" s="1"/>
      <c r="TWB126" s="1"/>
      <c r="TWC126" s="1"/>
      <c r="TWD126" s="1"/>
      <c r="TWE126" s="1"/>
      <c r="TWF126" s="1"/>
      <c r="TWG126" s="1"/>
      <c r="TWH126" s="1"/>
      <c r="TWI126" s="1"/>
      <c r="TWJ126" s="1"/>
      <c r="TWK126" s="1"/>
      <c r="TWL126" s="1"/>
      <c r="TWM126" s="1"/>
      <c r="TWN126" s="1"/>
      <c r="TWO126" s="1"/>
      <c r="TWP126" s="1"/>
      <c r="TWQ126" s="1"/>
      <c r="TWR126" s="1"/>
      <c r="TWS126" s="1"/>
      <c r="TWT126" s="1"/>
      <c r="TWU126" s="1"/>
      <c r="TWV126" s="1"/>
      <c r="TWW126" s="1"/>
      <c r="TWX126" s="1"/>
      <c r="TWY126" s="1"/>
      <c r="TWZ126" s="1"/>
      <c r="TXA126" s="1"/>
      <c r="TXB126" s="1"/>
      <c r="TXC126" s="1"/>
      <c r="TXD126" s="1"/>
      <c r="TXE126" s="1"/>
      <c r="TXF126" s="1"/>
      <c r="TXG126" s="1"/>
      <c r="TXH126" s="1"/>
      <c r="TXI126" s="1"/>
      <c r="TXJ126" s="1"/>
      <c r="TXK126" s="1"/>
      <c r="TXL126" s="1"/>
      <c r="TXM126" s="1"/>
      <c r="TXN126" s="1"/>
      <c r="TXO126" s="1"/>
      <c r="TXP126" s="1"/>
      <c r="TXQ126" s="1"/>
      <c r="TXR126" s="1"/>
      <c r="TXS126" s="1"/>
      <c r="TXT126" s="1"/>
      <c r="TXU126" s="1"/>
      <c r="TXV126" s="1"/>
      <c r="TXW126" s="1"/>
      <c r="TXX126" s="1"/>
      <c r="TXY126" s="1"/>
      <c r="TXZ126" s="1"/>
      <c r="TYA126" s="1"/>
      <c r="TYB126" s="1"/>
      <c r="TYC126" s="1"/>
      <c r="TYD126" s="1"/>
      <c r="TYE126" s="1"/>
      <c r="TYF126" s="1"/>
      <c r="TYG126" s="1"/>
      <c r="TYH126" s="1"/>
      <c r="TYI126" s="1"/>
      <c r="TYJ126" s="1"/>
      <c r="TYK126" s="1"/>
      <c r="TYL126" s="1"/>
      <c r="TYM126" s="1"/>
      <c r="TYN126" s="1"/>
      <c r="TYO126" s="1"/>
      <c r="TYP126" s="1"/>
      <c r="TYQ126" s="1"/>
      <c r="TYR126" s="1"/>
      <c r="TYS126" s="1"/>
      <c r="TYT126" s="1"/>
      <c r="TYU126" s="1"/>
      <c r="TYV126" s="1"/>
      <c r="TYW126" s="1"/>
      <c r="TYX126" s="1"/>
      <c r="TYY126" s="1"/>
      <c r="TYZ126" s="1"/>
      <c r="TZA126" s="1"/>
      <c r="TZB126" s="1"/>
      <c r="TZC126" s="1"/>
      <c r="TZD126" s="1"/>
      <c r="TZE126" s="1"/>
      <c r="TZF126" s="1"/>
      <c r="TZG126" s="1"/>
      <c r="TZH126" s="1"/>
      <c r="TZI126" s="1"/>
      <c r="TZJ126" s="1"/>
      <c r="TZK126" s="1"/>
      <c r="TZL126" s="1"/>
      <c r="TZM126" s="1"/>
      <c r="TZN126" s="1"/>
      <c r="TZO126" s="1"/>
      <c r="TZP126" s="1"/>
      <c r="TZQ126" s="1"/>
      <c r="TZR126" s="1"/>
      <c r="TZS126" s="1"/>
      <c r="TZT126" s="1"/>
      <c r="TZU126" s="1"/>
      <c r="TZV126" s="1"/>
      <c r="TZW126" s="1"/>
      <c r="TZX126" s="1"/>
      <c r="TZY126" s="1"/>
      <c r="TZZ126" s="1"/>
      <c r="UAA126" s="1"/>
      <c r="UAB126" s="1"/>
      <c r="UAC126" s="1"/>
      <c r="UAD126" s="1"/>
      <c r="UAE126" s="1"/>
      <c r="UAF126" s="1"/>
      <c r="UAG126" s="1"/>
      <c r="UAH126" s="1"/>
      <c r="UAI126" s="1"/>
      <c r="UAJ126" s="1"/>
      <c r="UAK126" s="1"/>
      <c r="UAL126" s="1"/>
      <c r="UAM126" s="1"/>
      <c r="UAN126" s="1"/>
      <c r="UAO126" s="1"/>
      <c r="UAP126" s="1"/>
      <c r="UAQ126" s="1"/>
      <c r="UAR126" s="1"/>
      <c r="UAS126" s="1"/>
      <c r="UAT126" s="1"/>
      <c r="UAU126" s="1"/>
      <c r="UAV126" s="1"/>
      <c r="UAW126" s="1"/>
      <c r="UAX126" s="1"/>
      <c r="UAY126" s="1"/>
      <c r="UAZ126" s="1"/>
      <c r="UBA126" s="1"/>
      <c r="UBB126" s="1"/>
      <c r="UBC126" s="1"/>
      <c r="UBD126" s="1"/>
      <c r="UBE126" s="1"/>
      <c r="UBF126" s="1"/>
      <c r="UBG126" s="1"/>
      <c r="UBH126" s="1"/>
      <c r="UBI126" s="1"/>
      <c r="UBJ126" s="1"/>
      <c r="UBK126" s="1"/>
      <c r="UBL126" s="1"/>
      <c r="UBM126" s="1"/>
      <c r="UBN126" s="1"/>
      <c r="UBO126" s="1"/>
      <c r="UBP126" s="1"/>
      <c r="UBQ126" s="1"/>
      <c r="UBR126" s="1"/>
      <c r="UBS126" s="1"/>
      <c r="UBT126" s="1"/>
      <c r="UBU126" s="1"/>
      <c r="UBV126" s="1"/>
      <c r="UBW126" s="1"/>
      <c r="UBX126" s="1"/>
      <c r="UBY126" s="1"/>
      <c r="UBZ126" s="1"/>
      <c r="UCA126" s="1"/>
      <c r="UCB126" s="1"/>
      <c r="UCC126" s="1"/>
      <c r="UCD126" s="1"/>
      <c r="UCE126" s="1"/>
      <c r="UCF126" s="1"/>
      <c r="UCG126" s="1"/>
      <c r="UCH126" s="1"/>
      <c r="UCI126" s="1"/>
      <c r="UCJ126" s="1"/>
      <c r="UCK126" s="1"/>
      <c r="UCL126" s="1"/>
      <c r="UCM126" s="1"/>
      <c r="UCN126" s="1"/>
      <c r="UCO126" s="1"/>
      <c r="UCP126" s="1"/>
      <c r="UCQ126" s="1"/>
      <c r="UCR126" s="1"/>
      <c r="UCS126" s="1"/>
      <c r="UCT126" s="1"/>
      <c r="UCU126" s="1"/>
      <c r="UCV126" s="1"/>
      <c r="UCW126" s="1"/>
      <c r="UCX126" s="1"/>
      <c r="UCY126" s="1"/>
      <c r="UCZ126" s="1"/>
      <c r="UDA126" s="1"/>
      <c r="UDB126" s="1"/>
      <c r="UDC126" s="1"/>
      <c r="UDD126" s="1"/>
      <c r="UDE126" s="1"/>
      <c r="UDF126" s="1"/>
      <c r="UDG126" s="1"/>
      <c r="UDH126" s="1"/>
      <c r="UDI126" s="1"/>
      <c r="UDJ126" s="1"/>
      <c r="UDK126" s="1"/>
      <c r="UDL126" s="1"/>
      <c r="UDM126" s="1"/>
      <c r="UDN126" s="1"/>
      <c r="UDO126" s="1"/>
      <c r="UDP126" s="1"/>
      <c r="UDQ126" s="1"/>
      <c r="UDR126" s="1"/>
      <c r="UDS126" s="1"/>
      <c r="UDT126" s="1"/>
      <c r="UDU126" s="1"/>
      <c r="UDV126" s="1"/>
      <c r="UDW126" s="1"/>
      <c r="UDX126" s="1"/>
      <c r="UDY126" s="1"/>
      <c r="UDZ126" s="1"/>
      <c r="UEA126" s="1"/>
      <c r="UEB126" s="1"/>
      <c r="UEC126" s="1"/>
      <c r="UED126" s="1"/>
      <c r="UEE126" s="1"/>
      <c r="UEF126" s="1"/>
      <c r="UEG126" s="1"/>
      <c r="UEH126" s="1"/>
      <c r="UEI126" s="1"/>
      <c r="UEJ126" s="1"/>
      <c r="UEK126" s="1"/>
      <c r="UEL126" s="1"/>
      <c r="UEM126" s="1"/>
      <c r="UEN126" s="1"/>
      <c r="UEO126" s="1"/>
      <c r="UEP126" s="1"/>
      <c r="UEQ126" s="1"/>
      <c r="UER126" s="1"/>
      <c r="UES126" s="1"/>
      <c r="UET126" s="1"/>
      <c r="UEU126" s="1"/>
      <c r="UEV126" s="1"/>
      <c r="UEW126" s="1"/>
      <c r="UEX126" s="1"/>
      <c r="UEY126" s="1"/>
      <c r="UEZ126" s="1"/>
      <c r="UFA126" s="1"/>
      <c r="UFB126" s="1"/>
      <c r="UFC126" s="1"/>
      <c r="UFD126" s="1"/>
      <c r="UFE126" s="1"/>
      <c r="UFF126" s="1"/>
      <c r="UFG126" s="1"/>
      <c r="UFH126" s="1"/>
      <c r="UFI126" s="1"/>
      <c r="UFJ126" s="1"/>
      <c r="UFK126" s="1"/>
      <c r="UFL126" s="1"/>
      <c r="UFM126" s="1"/>
      <c r="UFN126" s="1"/>
      <c r="UFO126" s="1"/>
      <c r="UFP126" s="1"/>
      <c r="UFQ126" s="1"/>
      <c r="UFR126" s="1"/>
      <c r="UFS126" s="1"/>
      <c r="UFT126" s="1"/>
      <c r="UFU126" s="1"/>
      <c r="UFV126" s="1"/>
      <c r="UFW126" s="1"/>
      <c r="UFX126" s="1"/>
      <c r="UFY126" s="1"/>
      <c r="UFZ126" s="1"/>
      <c r="UGA126" s="1"/>
      <c r="UGB126" s="1"/>
      <c r="UGC126" s="1"/>
      <c r="UGD126" s="1"/>
      <c r="UGE126" s="1"/>
      <c r="UGF126" s="1"/>
      <c r="UGG126" s="1"/>
      <c r="UGH126" s="1"/>
      <c r="UGI126" s="1"/>
      <c r="UGJ126" s="1"/>
      <c r="UGK126" s="1"/>
      <c r="UGL126" s="1"/>
      <c r="UGM126" s="1"/>
      <c r="UGN126" s="1"/>
      <c r="UGO126" s="1"/>
      <c r="UGP126" s="1"/>
      <c r="UGQ126" s="1"/>
      <c r="UGR126" s="1"/>
      <c r="UGS126" s="1"/>
      <c r="UGT126" s="1"/>
      <c r="UGU126" s="1"/>
      <c r="UGV126" s="1"/>
      <c r="UGW126" s="1"/>
      <c r="UGX126" s="1"/>
      <c r="UGY126" s="1"/>
      <c r="UGZ126" s="1"/>
      <c r="UHA126" s="1"/>
      <c r="UHB126" s="1"/>
      <c r="UHC126" s="1"/>
      <c r="UHD126" s="1"/>
      <c r="UHE126" s="1"/>
      <c r="UHF126" s="1"/>
      <c r="UHG126" s="1"/>
      <c r="UHH126" s="1"/>
      <c r="UHI126" s="1"/>
      <c r="UHJ126" s="1"/>
      <c r="UHK126" s="1"/>
      <c r="UHL126" s="1"/>
      <c r="UHM126" s="1"/>
      <c r="UHN126" s="1"/>
      <c r="UHO126" s="1"/>
      <c r="UHP126" s="1"/>
      <c r="UHQ126" s="1"/>
      <c r="UHR126" s="1"/>
      <c r="UHS126" s="1"/>
      <c r="UHT126" s="1"/>
      <c r="UHU126" s="1"/>
      <c r="UHV126" s="1"/>
      <c r="UHW126" s="1"/>
      <c r="UHX126" s="1"/>
      <c r="UHY126" s="1"/>
      <c r="UHZ126" s="1"/>
      <c r="UIA126" s="1"/>
      <c r="UIB126" s="1"/>
      <c r="UIC126" s="1"/>
      <c r="UID126" s="1"/>
      <c r="UIE126" s="1"/>
      <c r="UIF126" s="1"/>
      <c r="UIG126" s="1"/>
      <c r="UIH126" s="1"/>
      <c r="UII126" s="1"/>
      <c r="UIJ126" s="1"/>
      <c r="UIK126" s="1"/>
      <c r="UIL126" s="1"/>
      <c r="UIM126" s="1"/>
      <c r="UIN126" s="1"/>
      <c r="UIO126" s="1"/>
      <c r="UIP126" s="1"/>
      <c r="UIQ126" s="1"/>
      <c r="UIR126" s="1"/>
      <c r="UIS126" s="1"/>
      <c r="UIT126" s="1"/>
      <c r="UIU126" s="1"/>
      <c r="UIV126" s="1"/>
      <c r="UIW126" s="1"/>
      <c r="UIX126" s="1"/>
      <c r="UIY126" s="1"/>
      <c r="UIZ126" s="1"/>
      <c r="UJA126" s="1"/>
      <c r="UJB126" s="1"/>
      <c r="UJC126" s="1"/>
      <c r="UJD126" s="1"/>
      <c r="UJE126" s="1"/>
      <c r="UJF126" s="1"/>
      <c r="UJG126" s="1"/>
      <c r="UJH126" s="1"/>
      <c r="UJI126" s="1"/>
      <c r="UJJ126" s="1"/>
      <c r="UJK126" s="1"/>
      <c r="UJL126" s="1"/>
      <c r="UJM126" s="1"/>
      <c r="UJN126" s="1"/>
      <c r="UJO126" s="1"/>
      <c r="UJP126" s="1"/>
      <c r="UJQ126" s="1"/>
      <c r="UJR126" s="1"/>
      <c r="UJS126" s="1"/>
      <c r="UJT126" s="1"/>
      <c r="UJU126" s="1"/>
      <c r="UJV126" s="1"/>
      <c r="UJW126" s="1"/>
      <c r="UJX126" s="1"/>
      <c r="UJY126" s="1"/>
      <c r="UJZ126" s="1"/>
      <c r="UKA126" s="1"/>
      <c r="UKB126" s="1"/>
      <c r="UKC126" s="1"/>
      <c r="UKD126" s="1"/>
      <c r="UKE126" s="1"/>
      <c r="UKF126" s="1"/>
      <c r="UKG126" s="1"/>
      <c r="UKH126" s="1"/>
      <c r="UKI126" s="1"/>
      <c r="UKJ126" s="1"/>
      <c r="UKK126" s="1"/>
      <c r="UKL126" s="1"/>
      <c r="UKM126" s="1"/>
      <c r="UKN126" s="1"/>
      <c r="UKO126" s="1"/>
      <c r="UKP126" s="1"/>
      <c r="UKQ126" s="1"/>
      <c r="UKR126" s="1"/>
      <c r="UKS126" s="1"/>
      <c r="UKT126" s="1"/>
      <c r="UKU126" s="1"/>
      <c r="UKV126" s="1"/>
      <c r="UKW126" s="1"/>
      <c r="UKX126" s="1"/>
      <c r="UKY126" s="1"/>
      <c r="UKZ126" s="1"/>
      <c r="ULA126" s="1"/>
      <c r="ULB126" s="1"/>
      <c r="ULC126" s="1"/>
      <c r="ULD126" s="1"/>
      <c r="ULE126" s="1"/>
      <c r="ULF126" s="1"/>
      <c r="ULG126" s="1"/>
      <c r="ULH126" s="1"/>
      <c r="ULI126" s="1"/>
      <c r="ULJ126" s="1"/>
      <c r="ULK126" s="1"/>
      <c r="ULL126" s="1"/>
      <c r="ULM126" s="1"/>
      <c r="ULN126" s="1"/>
      <c r="ULO126" s="1"/>
      <c r="ULP126" s="1"/>
      <c r="ULQ126" s="1"/>
      <c r="ULR126" s="1"/>
      <c r="ULS126" s="1"/>
      <c r="ULT126" s="1"/>
      <c r="ULU126" s="1"/>
      <c r="ULV126" s="1"/>
      <c r="ULW126" s="1"/>
      <c r="ULX126" s="1"/>
      <c r="ULY126" s="1"/>
      <c r="ULZ126" s="1"/>
      <c r="UMA126" s="1"/>
      <c r="UMB126" s="1"/>
      <c r="UMC126" s="1"/>
      <c r="UMD126" s="1"/>
      <c r="UME126" s="1"/>
      <c r="UMF126" s="1"/>
      <c r="UMG126" s="1"/>
      <c r="UMH126" s="1"/>
      <c r="UMI126" s="1"/>
      <c r="UMJ126" s="1"/>
      <c r="UMK126" s="1"/>
      <c r="UML126" s="1"/>
      <c r="UMM126" s="1"/>
      <c r="UMN126" s="1"/>
      <c r="UMO126" s="1"/>
      <c r="UMP126" s="1"/>
      <c r="UMQ126" s="1"/>
      <c r="UMR126" s="1"/>
      <c r="UMS126" s="1"/>
      <c r="UMT126" s="1"/>
      <c r="UMU126" s="1"/>
      <c r="UMV126" s="1"/>
      <c r="UMW126" s="1"/>
      <c r="UMX126" s="1"/>
      <c r="UMY126" s="1"/>
      <c r="UMZ126" s="1"/>
      <c r="UNA126" s="1"/>
      <c r="UNB126" s="1"/>
      <c r="UNC126" s="1"/>
      <c r="UND126" s="1"/>
      <c r="UNE126" s="1"/>
      <c r="UNF126" s="1"/>
      <c r="UNG126" s="1"/>
      <c r="UNH126" s="1"/>
      <c r="UNI126" s="1"/>
      <c r="UNJ126" s="1"/>
      <c r="UNK126" s="1"/>
      <c r="UNL126" s="1"/>
      <c r="UNM126" s="1"/>
      <c r="UNN126" s="1"/>
      <c r="UNO126" s="1"/>
      <c r="UNP126" s="1"/>
      <c r="UNQ126" s="1"/>
      <c r="UNR126" s="1"/>
      <c r="UNS126" s="1"/>
      <c r="UNT126" s="1"/>
      <c r="UNU126" s="1"/>
      <c r="UNV126" s="1"/>
      <c r="UNW126" s="1"/>
      <c r="UNX126" s="1"/>
      <c r="UNY126" s="1"/>
      <c r="UNZ126" s="1"/>
      <c r="UOA126" s="1"/>
      <c r="UOB126" s="1"/>
      <c r="UOC126" s="1"/>
      <c r="UOD126" s="1"/>
      <c r="UOE126" s="1"/>
      <c r="UOF126" s="1"/>
      <c r="UOG126" s="1"/>
      <c r="UOH126" s="1"/>
      <c r="UOI126" s="1"/>
      <c r="UOJ126" s="1"/>
      <c r="UOK126" s="1"/>
      <c r="UOL126" s="1"/>
      <c r="UOM126" s="1"/>
      <c r="UON126" s="1"/>
      <c r="UOO126" s="1"/>
      <c r="UOP126" s="1"/>
      <c r="UOQ126" s="1"/>
      <c r="UOR126" s="1"/>
      <c r="UOS126" s="1"/>
      <c r="UOT126" s="1"/>
      <c r="UOU126" s="1"/>
      <c r="UOV126" s="1"/>
      <c r="UOW126" s="1"/>
      <c r="UOX126" s="1"/>
      <c r="UOY126" s="1"/>
      <c r="UOZ126" s="1"/>
      <c r="UPA126" s="1"/>
      <c r="UPB126" s="1"/>
      <c r="UPC126" s="1"/>
      <c r="UPD126" s="1"/>
      <c r="UPE126" s="1"/>
      <c r="UPF126" s="1"/>
      <c r="UPG126" s="1"/>
      <c r="UPH126" s="1"/>
      <c r="UPI126" s="1"/>
      <c r="UPJ126" s="1"/>
      <c r="UPK126" s="1"/>
      <c r="UPL126" s="1"/>
      <c r="UPM126" s="1"/>
      <c r="UPN126" s="1"/>
      <c r="UPO126" s="1"/>
      <c r="UPP126" s="1"/>
      <c r="UPQ126" s="1"/>
      <c r="UPR126" s="1"/>
      <c r="UPS126" s="1"/>
      <c r="UPT126" s="1"/>
      <c r="UPU126" s="1"/>
      <c r="UPV126" s="1"/>
      <c r="UPW126" s="1"/>
      <c r="UPX126" s="1"/>
      <c r="UPY126" s="1"/>
      <c r="UPZ126" s="1"/>
      <c r="UQA126" s="1"/>
      <c r="UQB126" s="1"/>
      <c r="UQC126" s="1"/>
      <c r="UQD126" s="1"/>
      <c r="UQE126" s="1"/>
      <c r="UQF126" s="1"/>
      <c r="UQG126" s="1"/>
      <c r="UQH126" s="1"/>
      <c r="UQI126" s="1"/>
      <c r="UQJ126" s="1"/>
      <c r="UQK126" s="1"/>
      <c r="UQL126" s="1"/>
      <c r="UQM126" s="1"/>
      <c r="UQN126" s="1"/>
      <c r="UQO126" s="1"/>
      <c r="UQP126" s="1"/>
      <c r="UQQ126" s="1"/>
      <c r="UQR126" s="1"/>
      <c r="UQS126" s="1"/>
      <c r="UQT126" s="1"/>
      <c r="UQU126" s="1"/>
      <c r="UQV126" s="1"/>
      <c r="UQW126" s="1"/>
      <c r="UQX126" s="1"/>
      <c r="UQY126" s="1"/>
      <c r="UQZ126" s="1"/>
      <c r="URA126" s="1"/>
      <c r="URB126" s="1"/>
      <c r="URC126" s="1"/>
      <c r="URD126" s="1"/>
      <c r="URE126" s="1"/>
      <c r="URF126" s="1"/>
      <c r="URG126" s="1"/>
      <c r="URH126" s="1"/>
      <c r="URI126" s="1"/>
      <c r="URJ126" s="1"/>
      <c r="URK126" s="1"/>
      <c r="URL126" s="1"/>
      <c r="URM126" s="1"/>
      <c r="URN126" s="1"/>
      <c r="URO126" s="1"/>
      <c r="URP126" s="1"/>
      <c r="URQ126" s="1"/>
      <c r="URR126" s="1"/>
      <c r="URS126" s="1"/>
      <c r="URT126" s="1"/>
      <c r="URU126" s="1"/>
      <c r="URV126" s="1"/>
      <c r="URW126" s="1"/>
      <c r="URX126" s="1"/>
      <c r="URY126" s="1"/>
      <c r="URZ126" s="1"/>
      <c r="USA126" s="1"/>
      <c r="USB126" s="1"/>
      <c r="USC126" s="1"/>
      <c r="USD126" s="1"/>
      <c r="USE126" s="1"/>
      <c r="USF126" s="1"/>
      <c r="USG126" s="1"/>
      <c r="USH126" s="1"/>
      <c r="USI126" s="1"/>
      <c r="USJ126" s="1"/>
      <c r="USK126" s="1"/>
      <c r="USL126" s="1"/>
      <c r="USM126" s="1"/>
      <c r="USN126" s="1"/>
      <c r="USO126" s="1"/>
      <c r="USP126" s="1"/>
      <c r="USQ126" s="1"/>
      <c r="USR126" s="1"/>
      <c r="USS126" s="1"/>
      <c r="UST126" s="1"/>
      <c r="USU126" s="1"/>
      <c r="USV126" s="1"/>
      <c r="USW126" s="1"/>
      <c r="USX126" s="1"/>
      <c r="USY126" s="1"/>
      <c r="USZ126" s="1"/>
      <c r="UTA126" s="1"/>
      <c r="UTB126" s="1"/>
      <c r="UTC126" s="1"/>
      <c r="UTD126" s="1"/>
      <c r="UTE126" s="1"/>
      <c r="UTF126" s="1"/>
      <c r="UTG126" s="1"/>
      <c r="UTH126" s="1"/>
      <c r="UTI126" s="1"/>
      <c r="UTJ126" s="1"/>
      <c r="UTK126" s="1"/>
      <c r="UTL126" s="1"/>
      <c r="UTM126" s="1"/>
      <c r="UTN126" s="1"/>
      <c r="UTO126" s="1"/>
      <c r="UTP126" s="1"/>
      <c r="UTQ126" s="1"/>
      <c r="UTR126" s="1"/>
      <c r="UTS126" s="1"/>
      <c r="UTT126" s="1"/>
      <c r="UTU126" s="1"/>
      <c r="UTV126" s="1"/>
      <c r="UTW126" s="1"/>
      <c r="UTX126" s="1"/>
      <c r="UTY126" s="1"/>
      <c r="UTZ126" s="1"/>
      <c r="UUA126" s="1"/>
      <c r="UUB126" s="1"/>
      <c r="UUC126" s="1"/>
      <c r="UUD126" s="1"/>
      <c r="UUE126" s="1"/>
      <c r="UUF126" s="1"/>
      <c r="UUG126" s="1"/>
      <c r="UUH126" s="1"/>
      <c r="UUI126" s="1"/>
      <c r="UUJ126" s="1"/>
      <c r="UUK126" s="1"/>
      <c r="UUL126" s="1"/>
      <c r="UUM126" s="1"/>
      <c r="UUN126" s="1"/>
      <c r="UUO126" s="1"/>
      <c r="UUP126" s="1"/>
      <c r="UUQ126" s="1"/>
      <c r="UUR126" s="1"/>
      <c r="UUS126" s="1"/>
      <c r="UUT126" s="1"/>
      <c r="UUU126" s="1"/>
      <c r="UUV126" s="1"/>
      <c r="UUW126" s="1"/>
      <c r="UUX126" s="1"/>
      <c r="UUY126" s="1"/>
      <c r="UUZ126" s="1"/>
      <c r="UVA126" s="1"/>
      <c r="UVB126" s="1"/>
      <c r="UVC126" s="1"/>
      <c r="UVD126" s="1"/>
      <c r="UVE126" s="1"/>
      <c r="UVF126" s="1"/>
      <c r="UVG126" s="1"/>
      <c r="UVH126" s="1"/>
      <c r="UVI126" s="1"/>
      <c r="UVJ126" s="1"/>
      <c r="UVK126" s="1"/>
      <c r="UVL126" s="1"/>
      <c r="UVM126" s="1"/>
      <c r="UVN126" s="1"/>
      <c r="UVO126" s="1"/>
      <c r="UVP126" s="1"/>
      <c r="UVQ126" s="1"/>
      <c r="UVR126" s="1"/>
      <c r="UVS126" s="1"/>
      <c r="UVT126" s="1"/>
      <c r="UVU126" s="1"/>
      <c r="UVV126" s="1"/>
      <c r="UVW126" s="1"/>
      <c r="UVX126" s="1"/>
      <c r="UVY126" s="1"/>
      <c r="UVZ126" s="1"/>
      <c r="UWA126" s="1"/>
      <c r="UWB126" s="1"/>
      <c r="UWC126" s="1"/>
      <c r="UWD126" s="1"/>
      <c r="UWE126" s="1"/>
      <c r="UWF126" s="1"/>
      <c r="UWG126" s="1"/>
      <c r="UWH126" s="1"/>
      <c r="UWI126" s="1"/>
      <c r="UWJ126" s="1"/>
      <c r="UWK126" s="1"/>
      <c r="UWL126" s="1"/>
      <c r="UWM126" s="1"/>
      <c r="UWN126" s="1"/>
      <c r="UWO126" s="1"/>
      <c r="UWP126" s="1"/>
      <c r="UWQ126" s="1"/>
      <c r="UWR126" s="1"/>
      <c r="UWS126" s="1"/>
      <c r="UWT126" s="1"/>
      <c r="UWU126" s="1"/>
      <c r="UWV126" s="1"/>
      <c r="UWW126" s="1"/>
      <c r="UWX126" s="1"/>
      <c r="UWY126" s="1"/>
      <c r="UWZ126" s="1"/>
      <c r="UXA126" s="1"/>
      <c r="UXB126" s="1"/>
      <c r="UXC126" s="1"/>
      <c r="UXD126" s="1"/>
      <c r="UXE126" s="1"/>
      <c r="UXF126" s="1"/>
      <c r="UXG126" s="1"/>
      <c r="UXH126" s="1"/>
      <c r="UXI126" s="1"/>
      <c r="UXJ126" s="1"/>
      <c r="UXK126" s="1"/>
      <c r="UXL126" s="1"/>
      <c r="UXM126" s="1"/>
      <c r="UXN126" s="1"/>
      <c r="UXO126" s="1"/>
      <c r="UXP126" s="1"/>
      <c r="UXQ126" s="1"/>
      <c r="UXR126" s="1"/>
      <c r="UXS126" s="1"/>
      <c r="UXT126" s="1"/>
      <c r="UXU126" s="1"/>
      <c r="UXV126" s="1"/>
      <c r="UXW126" s="1"/>
      <c r="UXX126" s="1"/>
      <c r="UXY126" s="1"/>
      <c r="UXZ126" s="1"/>
      <c r="UYA126" s="1"/>
      <c r="UYB126" s="1"/>
      <c r="UYC126" s="1"/>
      <c r="UYD126" s="1"/>
      <c r="UYE126" s="1"/>
      <c r="UYF126" s="1"/>
      <c r="UYG126" s="1"/>
      <c r="UYH126" s="1"/>
      <c r="UYI126" s="1"/>
      <c r="UYJ126" s="1"/>
      <c r="UYK126" s="1"/>
      <c r="UYL126" s="1"/>
      <c r="UYM126" s="1"/>
      <c r="UYN126" s="1"/>
      <c r="UYO126" s="1"/>
      <c r="UYP126" s="1"/>
      <c r="UYQ126" s="1"/>
      <c r="UYR126" s="1"/>
      <c r="UYS126" s="1"/>
      <c r="UYT126" s="1"/>
      <c r="UYU126" s="1"/>
      <c r="UYV126" s="1"/>
      <c r="UYW126" s="1"/>
      <c r="UYX126" s="1"/>
      <c r="UYY126" s="1"/>
      <c r="UYZ126" s="1"/>
      <c r="UZA126" s="1"/>
      <c r="UZB126" s="1"/>
      <c r="UZC126" s="1"/>
      <c r="UZD126" s="1"/>
      <c r="UZE126" s="1"/>
      <c r="UZF126" s="1"/>
      <c r="UZG126" s="1"/>
      <c r="UZH126" s="1"/>
      <c r="UZI126" s="1"/>
      <c r="UZJ126" s="1"/>
      <c r="UZK126" s="1"/>
      <c r="UZL126" s="1"/>
      <c r="UZM126" s="1"/>
      <c r="UZN126" s="1"/>
      <c r="UZO126" s="1"/>
      <c r="UZP126" s="1"/>
      <c r="UZQ126" s="1"/>
      <c r="UZR126" s="1"/>
      <c r="UZS126" s="1"/>
      <c r="UZT126" s="1"/>
      <c r="UZU126" s="1"/>
      <c r="UZV126" s="1"/>
      <c r="UZW126" s="1"/>
      <c r="UZX126" s="1"/>
      <c r="UZY126" s="1"/>
      <c r="UZZ126" s="1"/>
      <c r="VAA126" s="1"/>
      <c r="VAB126" s="1"/>
      <c r="VAC126" s="1"/>
      <c r="VAD126" s="1"/>
      <c r="VAE126" s="1"/>
      <c r="VAF126" s="1"/>
      <c r="VAG126" s="1"/>
      <c r="VAH126" s="1"/>
      <c r="VAI126" s="1"/>
      <c r="VAJ126" s="1"/>
      <c r="VAK126" s="1"/>
      <c r="VAL126" s="1"/>
      <c r="VAM126" s="1"/>
      <c r="VAN126" s="1"/>
      <c r="VAO126" s="1"/>
      <c r="VAP126" s="1"/>
      <c r="VAQ126" s="1"/>
      <c r="VAR126" s="1"/>
      <c r="VAS126" s="1"/>
      <c r="VAT126" s="1"/>
      <c r="VAU126" s="1"/>
      <c r="VAV126" s="1"/>
      <c r="VAW126" s="1"/>
      <c r="VAX126" s="1"/>
      <c r="VAY126" s="1"/>
      <c r="VAZ126" s="1"/>
      <c r="VBA126" s="1"/>
      <c r="VBB126" s="1"/>
      <c r="VBC126" s="1"/>
      <c r="VBD126" s="1"/>
      <c r="VBE126" s="1"/>
      <c r="VBF126" s="1"/>
      <c r="VBG126" s="1"/>
      <c r="VBH126" s="1"/>
      <c r="VBI126" s="1"/>
      <c r="VBJ126" s="1"/>
      <c r="VBK126" s="1"/>
      <c r="VBL126" s="1"/>
      <c r="VBM126" s="1"/>
      <c r="VBN126" s="1"/>
      <c r="VBO126" s="1"/>
      <c r="VBP126" s="1"/>
      <c r="VBQ126" s="1"/>
      <c r="VBR126" s="1"/>
      <c r="VBS126" s="1"/>
      <c r="VBT126" s="1"/>
      <c r="VBU126" s="1"/>
      <c r="VBV126" s="1"/>
      <c r="VBW126" s="1"/>
      <c r="VBX126" s="1"/>
      <c r="VBY126" s="1"/>
      <c r="VBZ126" s="1"/>
      <c r="VCA126" s="1"/>
      <c r="VCB126" s="1"/>
      <c r="VCC126" s="1"/>
      <c r="VCD126" s="1"/>
      <c r="VCE126" s="1"/>
      <c r="VCF126" s="1"/>
      <c r="VCG126" s="1"/>
      <c r="VCH126" s="1"/>
      <c r="VCI126" s="1"/>
      <c r="VCJ126" s="1"/>
      <c r="VCK126" s="1"/>
      <c r="VCL126" s="1"/>
      <c r="VCM126" s="1"/>
      <c r="VCN126" s="1"/>
      <c r="VCO126" s="1"/>
      <c r="VCP126" s="1"/>
      <c r="VCQ126" s="1"/>
      <c r="VCR126" s="1"/>
      <c r="VCS126" s="1"/>
      <c r="VCT126" s="1"/>
      <c r="VCU126" s="1"/>
      <c r="VCV126" s="1"/>
      <c r="VCW126" s="1"/>
      <c r="VCX126" s="1"/>
      <c r="VCY126" s="1"/>
      <c r="VCZ126" s="1"/>
      <c r="VDA126" s="1"/>
      <c r="VDB126" s="1"/>
      <c r="VDC126" s="1"/>
      <c r="VDD126" s="1"/>
      <c r="VDE126" s="1"/>
      <c r="VDF126" s="1"/>
      <c r="VDG126" s="1"/>
      <c r="VDH126" s="1"/>
      <c r="VDI126" s="1"/>
      <c r="VDJ126" s="1"/>
      <c r="VDK126" s="1"/>
      <c r="VDL126" s="1"/>
      <c r="VDM126" s="1"/>
      <c r="VDN126" s="1"/>
      <c r="VDO126" s="1"/>
      <c r="VDP126" s="1"/>
      <c r="VDQ126" s="1"/>
      <c r="VDR126" s="1"/>
      <c r="VDS126" s="1"/>
      <c r="VDT126" s="1"/>
      <c r="VDU126" s="1"/>
      <c r="VDV126" s="1"/>
      <c r="VDW126" s="1"/>
      <c r="VDX126" s="1"/>
      <c r="VDY126" s="1"/>
      <c r="VDZ126" s="1"/>
      <c r="VEA126" s="1"/>
      <c r="VEB126" s="1"/>
      <c r="VEC126" s="1"/>
      <c r="VED126" s="1"/>
      <c r="VEE126" s="1"/>
      <c r="VEF126" s="1"/>
      <c r="VEG126" s="1"/>
      <c r="VEH126" s="1"/>
      <c r="VEI126" s="1"/>
      <c r="VEJ126" s="1"/>
      <c r="VEK126" s="1"/>
      <c r="VEL126" s="1"/>
      <c r="VEM126" s="1"/>
      <c r="VEN126" s="1"/>
      <c r="VEO126" s="1"/>
      <c r="VEP126" s="1"/>
      <c r="VEQ126" s="1"/>
      <c r="VER126" s="1"/>
      <c r="VES126" s="1"/>
      <c r="VET126" s="1"/>
      <c r="VEU126" s="1"/>
      <c r="VEV126" s="1"/>
      <c r="VEW126" s="1"/>
      <c r="VEX126" s="1"/>
      <c r="VEY126" s="1"/>
      <c r="VEZ126" s="1"/>
      <c r="VFA126" s="1"/>
      <c r="VFB126" s="1"/>
      <c r="VFC126" s="1"/>
      <c r="VFD126" s="1"/>
      <c r="VFE126" s="1"/>
      <c r="VFF126" s="1"/>
      <c r="VFG126" s="1"/>
      <c r="VFH126" s="1"/>
      <c r="VFI126" s="1"/>
      <c r="VFJ126" s="1"/>
      <c r="VFK126" s="1"/>
      <c r="VFL126" s="1"/>
      <c r="VFM126" s="1"/>
      <c r="VFN126" s="1"/>
      <c r="VFO126" s="1"/>
      <c r="VFP126" s="1"/>
      <c r="VFQ126" s="1"/>
      <c r="VFR126" s="1"/>
      <c r="VFS126" s="1"/>
      <c r="VFT126" s="1"/>
      <c r="VFU126" s="1"/>
      <c r="VFV126" s="1"/>
      <c r="VFW126" s="1"/>
      <c r="VFX126" s="1"/>
      <c r="VFY126" s="1"/>
      <c r="VFZ126" s="1"/>
      <c r="VGA126" s="1"/>
      <c r="VGB126" s="1"/>
      <c r="VGC126" s="1"/>
      <c r="VGD126" s="1"/>
      <c r="VGE126" s="1"/>
      <c r="VGF126" s="1"/>
      <c r="VGG126" s="1"/>
      <c r="VGH126" s="1"/>
      <c r="VGI126" s="1"/>
      <c r="VGJ126" s="1"/>
      <c r="VGK126" s="1"/>
      <c r="VGL126" s="1"/>
      <c r="VGM126" s="1"/>
      <c r="VGN126" s="1"/>
      <c r="VGO126" s="1"/>
      <c r="VGP126" s="1"/>
      <c r="VGQ126" s="1"/>
      <c r="VGR126" s="1"/>
      <c r="VGS126" s="1"/>
      <c r="VGT126" s="1"/>
      <c r="VGU126" s="1"/>
      <c r="VGV126" s="1"/>
      <c r="VGW126" s="1"/>
      <c r="VGX126" s="1"/>
      <c r="VGY126" s="1"/>
      <c r="VGZ126" s="1"/>
      <c r="VHA126" s="1"/>
      <c r="VHB126" s="1"/>
      <c r="VHC126" s="1"/>
      <c r="VHD126" s="1"/>
      <c r="VHE126" s="1"/>
      <c r="VHF126" s="1"/>
      <c r="VHG126" s="1"/>
      <c r="VHH126" s="1"/>
      <c r="VHI126" s="1"/>
      <c r="VHJ126" s="1"/>
      <c r="VHK126" s="1"/>
      <c r="VHL126" s="1"/>
      <c r="VHM126" s="1"/>
      <c r="VHN126" s="1"/>
      <c r="VHO126" s="1"/>
      <c r="VHP126" s="1"/>
      <c r="VHQ126" s="1"/>
      <c r="VHR126" s="1"/>
      <c r="VHS126" s="1"/>
      <c r="VHT126" s="1"/>
      <c r="VHU126" s="1"/>
      <c r="VHV126" s="1"/>
      <c r="VHW126" s="1"/>
      <c r="VHX126" s="1"/>
      <c r="VHY126" s="1"/>
      <c r="VHZ126" s="1"/>
      <c r="VIA126" s="1"/>
      <c r="VIB126" s="1"/>
      <c r="VIC126" s="1"/>
      <c r="VID126" s="1"/>
      <c r="VIE126" s="1"/>
      <c r="VIF126" s="1"/>
      <c r="VIG126" s="1"/>
      <c r="VIH126" s="1"/>
      <c r="VII126" s="1"/>
      <c r="VIJ126" s="1"/>
      <c r="VIK126" s="1"/>
      <c r="VIL126" s="1"/>
      <c r="VIM126" s="1"/>
      <c r="VIN126" s="1"/>
      <c r="VIO126" s="1"/>
      <c r="VIP126" s="1"/>
      <c r="VIQ126" s="1"/>
      <c r="VIR126" s="1"/>
      <c r="VIS126" s="1"/>
      <c r="VIT126" s="1"/>
      <c r="VIU126" s="1"/>
      <c r="VIV126" s="1"/>
      <c r="VIW126" s="1"/>
      <c r="VIX126" s="1"/>
      <c r="VIY126" s="1"/>
      <c r="VIZ126" s="1"/>
      <c r="VJA126" s="1"/>
      <c r="VJB126" s="1"/>
      <c r="VJC126" s="1"/>
      <c r="VJD126" s="1"/>
      <c r="VJE126" s="1"/>
      <c r="VJF126" s="1"/>
      <c r="VJG126" s="1"/>
      <c r="VJH126" s="1"/>
      <c r="VJI126" s="1"/>
      <c r="VJJ126" s="1"/>
      <c r="VJK126" s="1"/>
      <c r="VJL126" s="1"/>
      <c r="VJM126" s="1"/>
      <c r="VJN126" s="1"/>
      <c r="VJO126" s="1"/>
      <c r="VJP126" s="1"/>
      <c r="VJQ126" s="1"/>
      <c r="VJR126" s="1"/>
      <c r="VJS126" s="1"/>
      <c r="VJT126" s="1"/>
      <c r="VJU126" s="1"/>
      <c r="VJV126" s="1"/>
      <c r="VJW126" s="1"/>
      <c r="VJX126" s="1"/>
      <c r="VJY126" s="1"/>
      <c r="VJZ126" s="1"/>
      <c r="VKA126" s="1"/>
      <c r="VKB126" s="1"/>
      <c r="VKC126" s="1"/>
      <c r="VKD126" s="1"/>
      <c r="VKE126" s="1"/>
      <c r="VKF126" s="1"/>
      <c r="VKG126" s="1"/>
      <c r="VKH126" s="1"/>
      <c r="VKI126" s="1"/>
      <c r="VKJ126" s="1"/>
      <c r="VKK126" s="1"/>
      <c r="VKL126" s="1"/>
      <c r="VKM126" s="1"/>
      <c r="VKN126" s="1"/>
      <c r="VKO126" s="1"/>
      <c r="VKP126" s="1"/>
      <c r="VKQ126" s="1"/>
      <c r="VKR126" s="1"/>
      <c r="VKS126" s="1"/>
      <c r="VKT126" s="1"/>
      <c r="VKU126" s="1"/>
      <c r="VKV126" s="1"/>
      <c r="VKW126" s="1"/>
      <c r="VKX126" s="1"/>
      <c r="VKY126" s="1"/>
      <c r="VKZ126" s="1"/>
      <c r="VLA126" s="1"/>
      <c r="VLB126" s="1"/>
      <c r="VLC126" s="1"/>
      <c r="VLD126" s="1"/>
      <c r="VLE126" s="1"/>
      <c r="VLF126" s="1"/>
      <c r="VLG126" s="1"/>
      <c r="VLH126" s="1"/>
      <c r="VLI126" s="1"/>
      <c r="VLJ126" s="1"/>
      <c r="VLK126" s="1"/>
      <c r="VLL126" s="1"/>
      <c r="VLM126" s="1"/>
      <c r="VLN126" s="1"/>
      <c r="VLO126" s="1"/>
      <c r="VLP126" s="1"/>
      <c r="VLQ126" s="1"/>
      <c r="VLR126" s="1"/>
      <c r="VLS126" s="1"/>
      <c r="VLT126" s="1"/>
      <c r="VLU126" s="1"/>
      <c r="VLV126" s="1"/>
      <c r="VLW126" s="1"/>
      <c r="VLX126" s="1"/>
      <c r="VLY126" s="1"/>
      <c r="VLZ126" s="1"/>
      <c r="VMA126" s="1"/>
      <c r="VMB126" s="1"/>
      <c r="VMC126" s="1"/>
      <c r="VMD126" s="1"/>
      <c r="VME126" s="1"/>
      <c r="VMF126" s="1"/>
      <c r="VMG126" s="1"/>
      <c r="VMH126" s="1"/>
      <c r="VMI126" s="1"/>
      <c r="VMJ126" s="1"/>
      <c r="VMK126" s="1"/>
      <c r="VML126" s="1"/>
      <c r="VMM126" s="1"/>
      <c r="VMN126" s="1"/>
      <c r="VMO126" s="1"/>
      <c r="VMP126" s="1"/>
      <c r="VMQ126" s="1"/>
      <c r="VMR126" s="1"/>
      <c r="VMS126" s="1"/>
      <c r="VMT126" s="1"/>
      <c r="VMU126" s="1"/>
      <c r="VMV126" s="1"/>
      <c r="VMW126" s="1"/>
      <c r="VMX126" s="1"/>
      <c r="VMY126" s="1"/>
      <c r="VMZ126" s="1"/>
      <c r="VNA126" s="1"/>
      <c r="VNB126" s="1"/>
      <c r="VNC126" s="1"/>
      <c r="VND126" s="1"/>
      <c r="VNE126" s="1"/>
      <c r="VNF126" s="1"/>
      <c r="VNG126" s="1"/>
      <c r="VNH126" s="1"/>
      <c r="VNI126" s="1"/>
      <c r="VNJ126" s="1"/>
      <c r="VNK126" s="1"/>
      <c r="VNL126" s="1"/>
      <c r="VNM126" s="1"/>
      <c r="VNN126" s="1"/>
      <c r="VNO126" s="1"/>
      <c r="VNP126" s="1"/>
      <c r="VNQ126" s="1"/>
      <c r="VNR126" s="1"/>
      <c r="VNS126" s="1"/>
      <c r="VNT126" s="1"/>
      <c r="VNU126" s="1"/>
      <c r="VNV126" s="1"/>
      <c r="VNW126" s="1"/>
      <c r="VNX126" s="1"/>
      <c r="VNY126" s="1"/>
      <c r="VNZ126" s="1"/>
      <c r="VOA126" s="1"/>
      <c r="VOB126" s="1"/>
      <c r="VOC126" s="1"/>
      <c r="VOD126" s="1"/>
      <c r="VOE126" s="1"/>
      <c r="VOF126" s="1"/>
      <c r="VOG126" s="1"/>
      <c r="VOH126" s="1"/>
      <c r="VOI126" s="1"/>
      <c r="VOJ126" s="1"/>
      <c r="VOK126" s="1"/>
      <c r="VOL126" s="1"/>
      <c r="VOM126" s="1"/>
      <c r="VON126" s="1"/>
      <c r="VOO126" s="1"/>
      <c r="VOP126" s="1"/>
      <c r="VOQ126" s="1"/>
      <c r="VOR126" s="1"/>
      <c r="VOS126" s="1"/>
      <c r="VOT126" s="1"/>
      <c r="VOU126" s="1"/>
      <c r="VOV126" s="1"/>
      <c r="VOW126" s="1"/>
      <c r="VOX126" s="1"/>
      <c r="VOY126" s="1"/>
      <c r="VOZ126" s="1"/>
      <c r="VPA126" s="1"/>
      <c r="VPB126" s="1"/>
      <c r="VPC126" s="1"/>
      <c r="VPD126" s="1"/>
      <c r="VPE126" s="1"/>
      <c r="VPF126" s="1"/>
      <c r="VPG126" s="1"/>
      <c r="VPH126" s="1"/>
      <c r="VPI126" s="1"/>
      <c r="VPJ126" s="1"/>
      <c r="VPK126" s="1"/>
      <c r="VPL126" s="1"/>
      <c r="VPM126" s="1"/>
      <c r="VPN126" s="1"/>
      <c r="VPO126" s="1"/>
      <c r="VPP126" s="1"/>
      <c r="VPQ126" s="1"/>
      <c r="VPR126" s="1"/>
      <c r="VPS126" s="1"/>
      <c r="VPT126" s="1"/>
      <c r="VPU126" s="1"/>
      <c r="VPV126" s="1"/>
      <c r="VPW126" s="1"/>
      <c r="VPX126" s="1"/>
      <c r="VPY126" s="1"/>
      <c r="VPZ126" s="1"/>
      <c r="VQA126" s="1"/>
      <c r="VQB126" s="1"/>
      <c r="VQC126" s="1"/>
      <c r="VQD126" s="1"/>
      <c r="VQE126" s="1"/>
      <c r="VQF126" s="1"/>
      <c r="VQG126" s="1"/>
      <c r="VQH126" s="1"/>
      <c r="VQI126" s="1"/>
      <c r="VQJ126" s="1"/>
      <c r="VQK126" s="1"/>
      <c r="VQL126" s="1"/>
      <c r="VQM126" s="1"/>
      <c r="VQN126" s="1"/>
      <c r="VQO126" s="1"/>
      <c r="VQP126" s="1"/>
      <c r="VQQ126" s="1"/>
      <c r="VQR126" s="1"/>
      <c r="VQS126" s="1"/>
      <c r="VQT126" s="1"/>
      <c r="VQU126" s="1"/>
      <c r="VQV126" s="1"/>
      <c r="VQW126" s="1"/>
      <c r="VQX126" s="1"/>
      <c r="VQY126" s="1"/>
      <c r="VQZ126" s="1"/>
      <c r="VRA126" s="1"/>
      <c r="VRB126" s="1"/>
      <c r="VRC126" s="1"/>
      <c r="VRD126" s="1"/>
      <c r="VRE126" s="1"/>
      <c r="VRF126" s="1"/>
      <c r="VRG126" s="1"/>
      <c r="VRH126" s="1"/>
      <c r="VRI126" s="1"/>
      <c r="VRJ126" s="1"/>
      <c r="VRK126" s="1"/>
      <c r="VRL126" s="1"/>
      <c r="VRM126" s="1"/>
      <c r="VRN126" s="1"/>
      <c r="VRO126" s="1"/>
      <c r="VRP126" s="1"/>
      <c r="VRQ126" s="1"/>
      <c r="VRR126" s="1"/>
      <c r="VRS126" s="1"/>
      <c r="VRT126" s="1"/>
      <c r="VRU126" s="1"/>
      <c r="VRV126" s="1"/>
      <c r="VRW126" s="1"/>
      <c r="VRX126" s="1"/>
      <c r="VRY126" s="1"/>
      <c r="VRZ126" s="1"/>
      <c r="VSA126" s="1"/>
      <c r="VSB126" s="1"/>
      <c r="VSC126" s="1"/>
      <c r="VSD126" s="1"/>
      <c r="VSE126" s="1"/>
      <c r="VSF126" s="1"/>
      <c r="VSG126" s="1"/>
      <c r="VSH126" s="1"/>
      <c r="VSI126" s="1"/>
      <c r="VSJ126" s="1"/>
      <c r="VSK126" s="1"/>
      <c r="VSL126" s="1"/>
      <c r="VSM126" s="1"/>
      <c r="VSN126" s="1"/>
      <c r="VSO126" s="1"/>
      <c r="VSP126" s="1"/>
      <c r="VSQ126" s="1"/>
      <c r="VSR126" s="1"/>
      <c r="VSS126" s="1"/>
      <c r="VST126" s="1"/>
      <c r="VSU126" s="1"/>
      <c r="VSV126" s="1"/>
      <c r="VSW126" s="1"/>
      <c r="VSX126" s="1"/>
      <c r="VSY126" s="1"/>
      <c r="VSZ126" s="1"/>
      <c r="VTA126" s="1"/>
      <c r="VTB126" s="1"/>
      <c r="VTC126" s="1"/>
      <c r="VTD126" s="1"/>
      <c r="VTE126" s="1"/>
      <c r="VTF126" s="1"/>
      <c r="VTG126" s="1"/>
      <c r="VTH126" s="1"/>
      <c r="VTI126" s="1"/>
      <c r="VTJ126" s="1"/>
      <c r="VTK126" s="1"/>
      <c r="VTL126" s="1"/>
      <c r="VTM126" s="1"/>
      <c r="VTN126" s="1"/>
      <c r="VTO126" s="1"/>
      <c r="VTP126" s="1"/>
      <c r="VTQ126" s="1"/>
      <c r="VTR126" s="1"/>
      <c r="VTS126" s="1"/>
      <c r="VTT126" s="1"/>
      <c r="VTU126" s="1"/>
      <c r="VTV126" s="1"/>
      <c r="VTW126" s="1"/>
      <c r="VTX126" s="1"/>
      <c r="VTY126" s="1"/>
      <c r="VTZ126" s="1"/>
      <c r="VUA126" s="1"/>
      <c r="VUB126" s="1"/>
      <c r="VUC126" s="1"/>
      <c r="VUD126" s="1"/>
      <c r="VUE126" s="1"/>
      <c r="VUF126" s="1"/>
      <c r="VUG126" s="1"/>
      <c r="VUH126" s="1"/>
      <c r="VUI126" s="1"/>
      <c r="VUJ126" s="1"/>
      <c r="VUK126" s="1"/>
      <c r="VUL126" s="1"/>
      <c r="VUM126" s="1"/>
      <c r="VUN126" s="1"/>
      <c r="VUO126" s="1"/>
      <c r="VUP126" s="1"/>
      <c r="VUQ126" s="1"/>
      <c r="VUR126" s="1"/>
      <c r="VUS126" s="1"/>
      <c r="VUT126" s="1"/>
      <c r="VUU126" s="1"/>
      <c r="VUV126" s="1"/>
      <c r="VUW126" s="1"/>
      <c r="VUX126" s="1"/>
      <c r="VUY126" s="1"/>
      <c r="VUZ126" s="1"/>
      <c r="VVA126" s="1"/>
      <c r="VVB126" s="1"/>
      <c r="VVC126" s="1"/>
      <c r="VVD126" s="1"/>
      <c r="VVE126" s="1"/>
      <c r="VVF126" s="1"/>
      <c r="VVG126" s="1"/>
      <c r="VVH126" s="1"/>
      <c r="VVI126" s="1"/>
      <c r="VVJ126" s="1"/>
      <c r="VVK126" s="1"/>
      <c r="VVL126" s="1"/>
      <c r="VVM126" s="1"/>
      <c r="VVN126" s="1"/>
      <c r="VVO126" s="1"/>
      <c r="VVP126" s="1"/>
      <c r="VVQ126" s="1"/>
      <c r="VVR126" s="1"/>
      <c r="VVS126" s="1"/>
      <c r="VVT126" s="1"/>
      <c r="VVU126" s="1"/>
      <c r="VVV126" s="1"/>
      <c r="VVW126" s="1"/>
      <c r="VVX126" s="1"/>
      <c r="VVY126" s="1"/>
      <c r="VVZ126" s="1"/>
      <c r="VWA126" s="1"/>
      <c r="VWB126" s="1"/>
      <c r="VWC126" s="1"/>
      <c r="VWD126" s="1"/>
      <c r="VWE126" s="1"/>
      <c r="VWF126" s="1"/>
      <c r="VWG126" s="1"/>
      <c r="VWH126" s="1"/>
      <c r="VWI126" s="1"/>
      <c r="VWJ126" s="1"/>
      <c r="VWK126" s="1"/>
      <c r="VWL126" s="1"/>
      <c r="VWM126" s="1"/>
      <c r="VWN126" s="1"/>
      <c r="VWO126" s="1"/>
      <c r="VWP126" s="1"/>
      <c r="VWQ126" s="1"/>
      <c r="VWR126" s="1"/>
      <c r="VWS126" s="1"/>
      <c r="VWT126" s="1"/>
      <c r="VWU126" s="1"/>
      <c r="VWV126" s="1"/>
      <c r="VWW126" s="1"/>
      <c r="VWX126" s="1"/>
      <c r="VWY126" s="1"/>
      <c r="VWZ126" s="1"/>
      <c r="VXA126" s="1"/>
      <c r="VXB126" s="1"/>
      <c r="VXC126" s="1"/>
      <c r="VXD126" s="1"/>
      <c r="VXE126" s="1"/>
      <c r="VXF126" s="1"/>
      <c r="VXG126" s="1"/>
      <c r="VXH126" s="1"/>
      <c r="VXI126" s="1"/>
      <c r="VXJ126" s="1"/>
      <c r="VXK126" s="1"/>
      <c r="VXL126" s="1"/>
      <c r="VXM126" s="1"/>
      <c r="VXN126" s="1"/>
      <c r="VXO126" s="1"/>
      <c r="VXP126" s="1"/>
      <c r="VXQ126" s="1"/>
      <c r="VXR126" s="1"/>
      <c r="VXS126" s="1"/>
      <c r="VXT126" s="1"/>
      <c r="VXU126" s="1"/>
      <c r="VXV126" s="1"/>
      <c r="VXW126" s="1"/>
      <c r="VXX126" s="1"/>
      <c r="VXY126" s="1"/>
      <c r="VXZ126" s="1"/>
      <c r="VYA126" s="1"/>
      <c r="VYB126" s="1"/>
      <c r="VYC126" s="1"/>
      <c r="VYD126" s="1"/>
      <c r="VYE126" s="1"/>
      <c r="VYF126" s="1"/>
      <c r="VYG126" s="1"/>
      <c r="VYH126" s="1"/>
      <c r="VYI126" s="1"/>
      <c r="VYJ126" s="1"/>
      <c r="VYK126" s="1"/>
      <c r="VYL126" s="1"/>
      <c r="VYM126" s="1"/>
      <c r="VYN126" s="1"/>
      <c r="VYO126" s="1"/>
      <c r="VYP126" s="1"/>
      <c r="VYQ126" s="1"/>
      <c r="VYR126" s="1"/>
      <c r="VYS126" s="1"/>
      <c r="VYT126" s="1"/>
      <c r="VYU126" s="1"/>
      <c r="VYV126" s="1"/>
      <c r="VYW126" s="1"/>
      <c r="VYX126" s="1"/>
      <c r="VYY126" s="1"/>
      <c r="VYZ126" s="1"/>
      <c r="VZA126" s="1"/>
      <c r="VZB126" s="1"/>
      <c r="VZC126" s="1"/>
      <c r="VZD126" s="1"/>
      <c r="VZE126" s="1"/>
      <c r="VZF126" s="1"/>
      <c r="VZG126" s="1"/>
      <c r="VZH126" s="1"/>
      <c r="VZI126" s="1"/>
      <c r="VZJ126" s="1"/>
      <c r="VZK126" s="1"/>
      <c r="VZL126" s="1"/>
      <c r="VZM126" s="1"/>
      <c r="VZN126" s="1"/>
      <c r="VZO126" s="1"/>
      <c r="VZP126" s="1"/>
      <c r="VZQ126" s="1"/>
      <c r="VZR126" s="1"/>
      <c r="VZS126" s="1"/>
      <c r="VZT126" s="1"/>
      <c r="VZU126" s="1"/>
      <c r="VZV126" s="1"/>
      <c r="VZW126" s="1"/>
      <c r="VZX126" s="1"/>
      <c r="VZY126" s="1"/>
      <c r="VZZ126" s="1"/>
      <c r="WAA126" s="1"/>
      <c r="WAB126" s="1"/>
      <c r="WAC126" s="1"/>
      <c r="WAD126" s="1"/>
      <c r="WAE126" s="1"/>
      <c r="WAF126" s="1"/>
      <c r="WAG126" s="1"/>
      <c r="WAH126" s="1"/>
      <c r="WAI126" s="1"/>
      <c r="WAJ126" s="1"/>
      <c r="WAK126" s="1"/>
      <c r="WAL126" s="1"/>
      <c r="WAM126" s="1"/>
      <c r="WAN126" s="1"/>
      <c r="WAO126" s="1"/>
      <c r="WAP126" s="1"/>
      <c r="WAQ126" s="1"/>
      <c r="WAR126" s="1"/>
      <c r="WAS126" s="1"/>
      <c r="WAT126" s="1"/>
      <c r="WAU126" s="1"/>
      <c r="WAV126" s="1"/>
      <c r="WAW126" s="1"/>
      <c r="WAX126" s="1"/>
      <c r="WAY126" s="1"/>
      <c r="WAZ126" s="1"/>
      <c r="WBA126" s="1"/>
      <c r="WBB126" s="1"/>
      <c r="WBC126" s="1"/>
      <c r="WBD126" s="1"/>
      <c r="WBE126" s="1"/>
      <c r="WBF126" s="1"/>
      <c r="WBG126" s="1"/>
      <c r="WBH126" s="1"/>
      <c r="WBI126" s="1"/>
      <c r="WBJ126" s="1"/>
      <c r="WBK126" s="1"/>
      <c r="WBL126" s="1"/>
      <c r="WBM126" s="1"/>
      <c r="WBN126" s="1"/>
      <c r="WBO126" s="1"/>
      <c r="WBP126" s="1"/>
      <c r="WBQ126" s="1"/>
      <c r="WBR126" s="1"/>
      <c r="WBS126" s="1"/>
      <c r="WBT126" s="1"/>
      <c r="WBU126" s="1"/>
      <c r="WBV126" s="1"/>
      <c r="WBW126" s="1"/>
      <c r="WBX126" s="1"/>
      <c r="WBY126" s="1"/>
      <c r="WBZ126" s="1"/>
      <c r="WCA126" s="1"/>
      <c r="WCB126" s="1"/>
      <c r="WCC126" s="1"/>
      <c r="WCD126" s="1"/>
      <c r="WCE126" s="1"/>
      <c r="WCF126" s="1"/>
      <c r="WCG126" s="1"/>
      <c r="WCH126" s="1"/>
      <c r="WCI126" s="1"/>
      <c r="WCJ126" s="1"/>
      <c r="WCK126" s="1"/>
      <c r="WCL126" s="1"/>
      <c r="WCM126" s="1"/>
      <c r="WCN126" s="1"/>
      <c r="WCO126" s="1"/>
      <c r="WCP126" s="1"/>
      <c r="WCQ126" s="1"/>
      <c r="WCR126" s="1"/>
      <c r="WCS126" s="1"/>
      <c r="WCT126" s="1"/>
      <c r="WCU126" s="1"/>
      <c r="WCV126" s="1"/>
      <c r="WCW126" s="1"/>
      <c r="WCX126" s="1"/>
      <c r="WCY126" s="1"/>
      <c r="WCZ126" s="1"/>
      <c r="WDA126" s="1"/>
      <c r="WDB126" s="1"/>
      <c r="WDC126" s="1"/>
      <c r="WDD126" s="1"/>
      <c r="WDE126" s="1"/>
      <c r="WDF126" s="1"/>
      <c r="WDG126" s="1"/>
      <c r="WDH126" s="1"/>
      <c r="WDI126" s="1"/>
      <c r="WDJ126" s="1"/>
      <c r="WDK126" s="1"/>
      <c r="WDL126" s="1"/>
      <c r="WDM126" s="1"/>
      <c r="WDN126" s="1"/>
      <c r="WDO126" s="1"/>
      <c r="WDP126" s="1"/>
      <c r="WDQ126" s="1"/>
      <c r="WDR126" s="1"/>
      <c r="WDS126" s="1"/>
      <c r="WDT126" s="1"/>
      <c r="WDU126" s="1"/>
      <c r="WDV126" s="1"/>
      <c r="WDW126" s="1"/>
      <c r="WDX126" s="1"/>
      <c r="WDY126" s="1"/>
      <c r="WDZ126" s="1"/>
      <c r="WEA126" s="1"/>
      <c r="WEB126" s="1"/>
      <c r="WEC126" s="1"/>
      <c r="WED126" s="1"/>
      <c r="WEE126" s="1"/>
      <c r="WEF126" s="1"/>
      <c r="WEG126" s="1"/>
      <c r="WEH126" s="1"/>
      <c r="WEI126" s="1"/>
      <c r="WEJ126" s="1"/>
      <c r="WEK126" s="1"/>
      <c r="WEL126" s="1"/>
      <c r="WEM126" s="1"/>
      <c r="WEN126" s="1"/>
      <c r="WEO126" s="1"/>
      <c r="WEP126" s="1"/>
      <c r="WEQ126" s="1"/>
      <c r="WER126" s="1"/>
      <c r="WES126" s="1"/>
      <c r="WET126" s="1"/>
      <c r="WEU126" s="1"/>
      <c r="WEV126" s="1"/>
      <c r="WEW126" s="1"/>
      <c r="WEX126" s="1"/>
      <c r="WEY126" s="1"/>
      <c r="WEZ126" s="1"/>
      <c r="WFA126" s="1"/>
      <c r="WFB126" s="1"/>
      <c r="WFC126" s="1"/>
      <c r="WFD126" s="1"/>
      <c r="WFE126" s="1"/>
      <c r="WFF126" s="1"/>
      <c r="WFG126" s="1"/>
      <c r="WFH126" s="1"/>
      <c r="WFI126" s="1"/>
      <c r="WFJ126" s="1"/>
      <c r="WFK126" s="1"/>
      <c r="WFL126" s="1"/>
      <c r="WFM126" s="1"/>
      <c r="WFN126" s="1"/>
      <c r="WFO126" s="1"/>
      <c r="WFP126" s="1"/>
      <c r="WFQ126" s="1"/>
      <c r="WFR126" s="1"/>
      <c r="WFS126" s="1"/>
      <c r="WFT126" s="1"/>
      <c r="WFU126" s="1"/>
      <c r="WFV126" s="1"/>
      <c r="WFW126" s="1"/>
      <c r="WFX126" s="1"/>
      <c r="WFY126" s="1"/>
      <c r="WFZ126" s="1"/>
      <c r="WGA126" s="1"/>
      <c r="WGB126" s="1"/>
      <c r="WGC126" s="1"/>
      <c r="WGD126" s="1"/>
      <c r="WGE126" s="1"/>
      <c r="WGF126" s="1"/>
      <c r="WGG126" s="1"/>
      <c r="WGH126" s="1"/>
      <c r="WGI126" s="1"/>
      <c r="WGJ126" s="1"/>
      <c r="WGK126" s="1"/>
      <c r="WGL126" s="1"/>
      <c r="WGM126" s="1"/>
      <c r="WGN126" s="1"/>
      <c r="WGO126" s="1"/>
      <c r="WGP126" s="1"/>
      <c r="WGQ126" s="1"/>
      <c r="WGR126" s="1"/>
      <c r="WGS126" s="1"/>
      <c r="WGT126" s="1"/>
      <c r="WGU126" s="1"/>
      <c r="WGV126" s="1"/>
      <c r="WGW126" s="1"/>
      <c r="WGX126" s="1"/>
      <c r="WGY126" s="1"/>
      <c r="WGZ126" s="1"/>
      <c r="WHA126" s="1"/>
      <c r="WHB126" s="1"/>
      <c r="WHC126" s="1"/>
      <c r="WHD126" s="1"/>
      <c r="WHE126" s="1"/>
      <c r="WHF126" s="1"/>
      <c r="WHG126" s="1"/>
      <c r="WHH126" s="1"/>
      <c r="WHI126" s="1"/>
      <c r="WHJ126" s="1"/>
      <c r="WHK126" s="1"/>
      <c r="WHL126" s="1"/>
      <c r="WHM126" s="1"/>
      <c r="WHN126" s="1"/>
      <c r="WHO126" s="1"/>
      <c r="WHP126" s="1"/>
      <c r="WHQ126" s="1"/>
      <c r="WHR126" s="1"/>
      <c r="WHS126" s="1"/>
      <c r="WHT126" s="1"/>
      <c r="WHU126" s="1"/>
      <c r="WHV126" s="1"/>
      <c r="WHW126" s="1"/>
      <c r="WHX126" s="1"/>
      <c r="WHY126" s="1"/>
      <c r="WHZ126" s="1"/>
      <c r="WIA126" s="1"/>
      <c r="WIB126" s="1"/>
      <c r="WIC126" s="1"/>
      <c r="WID126" s="1"/>
      <c r="WIE126" s="1"/>
      <c r="WIF126" s="1"/>
      <c r="WIG126" s="1"/>
      <c r="WIH126" s="1"/>
      <c r="WII126" s="1"/>
      <c r="WIJ126" s="1"/>
      <c r="WIK126" s="1"/>
      <c r="WIL126" s="1"/>
      <c r="WIM126" s="1"/>
      <c r="WIN126" s="1"/>
      <c r="WIO126" s="1"/>
      <c r="WIP126" s="1"/>
      <c r="WIQ126" s="1"/>
      <c r="WIR126" s="1"/>
      <c r="WIS126" s="1"/>
      <c r="WIT126" s="1"/>
      <c r="WIU126" s="1"/>
      <c r="WIV126" s="1"/>
      <c r="WIW126" s="1"/>
      <c r="WIX126" s="1"/>
      <c r="WIY126" s="1"/>
      <c r="WIZ126" s="1"/>
      <c r="WJA126" s="1"/>
      <c r="WJB126" s="1"/>
      <c r="WJC126" s="1"/>
      <c r="WJD126" s="1"/>
      <c r="WJE126" s="1"/>
      <c r="WJF126" s="1"/>
      <c r="WJG126" s="1"/>
      <c r="WJH126" s="1"/>
      <c r="WJI126" s="1"/>
      <c r="WJJ126" s="1"/>
      <c r="WJK126" s="1"/>
      <c r="WJL126" s="1"/>
      <c r="WJM126" s="1"/>
      <c r="WJN126" s="1"/>
      <c r="WJO126" s="1"/>
      <c r="WJP126" s="1"/>
      <c r="WJQ126" s="1"/>
      <c r="WJR126" s="1"/>
      <c r="WJS126" s="1"/>
      <c r="WJT126" s="1"/>
      <c r="WJU126" s="1"/>
      <c r="WJV126" s="1"/>
      <c r="WJW126" s="1"/>
      <c r="WJX126" s="1"/>
      <c r="WJY126" s="1"/>
      <c r="WJZ126" s="1"/>
      <c r="WKA126" s="1"/>
      <c r="WKB126" s="1"/>
      <c r="WKC126" s="1"/>
      <c r="WKD126" s="1"/>
      <c r="WKE126" s="1"/>
      <c r="WKF126" s="1"/>
      <c r="WKG126" s="1"/>
      <c r="WKH126" s="1"/>
      <c r="WKI126" s="1"/>
      <c r="WKJ126" s="1"/>
      <c r="WKK126" s="1"/>
      <c r="WKL126" s="1"/>
      <c r="WKM126" s="1"/>
      <c r="WKN126" s="1"/>
      <c r="WKO126" s="1"/>
      <c r="WKP126" s="1"/>
      <c r="WKQ126" s="1"/>
      <c r="WKR126" s="1"/>
      <c r="WKS126" s="1"/>
      <c r="WKT126" s="1"/>
      <c r="WKU126" s="1"/>
      <c r="WKV126" s="1"/>
      <c r="WKW126" s="1"/>
      <c r="WKX126" s="1"/>
      <c r="WKY126" s="1"/>
      <c r="WKZ126" s="1"/>
      <c r="WLA126" s="1"/>
      <c r="WLB126" s="1"/>
      <c r="WLC126" s="1"/>
      <c r="WLD126" s="1"/>
      <c r="WLE126" s="1"/>
      <c r="WLF126" s="1"/>
      <c r="WLG126" s="1"/>
      <c r="WLH126" s="1"/>
      <c r="WLI126" s="1"/>
      <c r="WLJ126" s="1"/>
      <c r="WLK126" s="1"/>
      <c r="WLL126" s="1"/>
      <c r="WLM126" s="1"/>
      <c r="WLN126" s="1"/>
      <c r="WLO126" s="1"/>
      <c r="WLP126" s="1"/>
      <c r="WLQ126" s="1"/>
      <c r="WLR126" s="1"/>
      <c r="WLS126" s="1"/>
      <c r="WLT126" s="1"/>
      <c r="WLU126" s="1"/>
      <c r="WLV126" s="1"/>
      <c r="WLW126" s="1"/>
      <c r="WLX126" s="1"/>
      <c r="WLY126" s="1"/>
      <c r="WLZ126" s="1"/>
      <c r="WMA126" s="1"/>
      <c r="WMB126" s="1"/>
      <c r="WMC126" s="1"/>
      <c r="WMD126" s="1"/>
      <c r="WME126" s="1"/>
      <c r="WMF126" s="1"/>
      <c r="WMG126" s="1"/>
      <c r="WMH126" s="1"/>
      <c r="WMI126" s="1"/>
      <c r="WMJ126" s="1"/>
      <c r="WMK126" s="1"/>
      <c r="WML126" s="1"/>
      <c r="WMM126" s="1"/>
      <c r="WMN126" s="1"/>
      <c r="WMO126" s="1"/>
      <c r="WMP126" s="1"/>
      <c r="WMQ126" s="1"/>
      <c r="WMR126" s="1"/>
      <c r="WMS126" s="1"/>
      <c r="WMT126" s="1"/>
      <c r="WMU126" s="1"/>
      <c r="WMV126" s="1"/>
      <c r="WMW126" s="1"/>
      <c r="WMX126" s="1"/>
      <c r="WMY126" s="1"/>
      <c r="WMZ126" s="1"/>
      <c r="WNA126" s="1"/>
      <c r="WNB126" s="1"/>
      <c r="WNC126" s="1"/>
      <c r="WND126" s="1"/>
      <c r="WNE126" s="1"/>
      <c r="WNF126" s="1"/>
      <c r="WNG126" s="1"/>
      <c r="WNH126" s="1"/>
      <c r="WNI126" s="1"/>
      <c r="WNJ126" s="1"/>
      <c r="WNK126" s="1"/>
      <c r="WNL126" s="1"/>
      <c r="WNM126" s="1"/>
      <c r="WNN126" s="1"/>
      <c r="WNO126" s="1"/>
      <c r="WNP126" s="1"/>
      <c r="WNQ126" s="1"/>
      <c r="WNR126" s="1"/>
      <c r="WNS126" s="1"/>
      <c r="WNT126" s="1"/>
      <c r="WNU126" s="1"/>
      <c r="WNV126" s="1"/>
      <c r="WNW126" s="1"/>
      <c r="WNX126" s="1"/>
      <c r="WNY126" s="1"/>
      <c r="WNZ126" s="1"/>
      <c r="WOA126" s="1"/>
      <c r="WOB126" s="1"/>
      <c r="WOC126" s="1"/>
      <c r="WOD126" s="1"/>
      <c r="WOE126" s="1"/>
      <c r="WOF126" s="1"/>
      <c r="WOG126" s="1"/>
      <c r="WOH126" s="1"/>
      <c r="WOI126" s="1"/>
      <c r="WOJ126" s="1"/>
      <c r="WOK126" s="1"/>
      <c r="WOL126" s="1"/>
      <c r="WOM126" s="1"/>
      <c r="WON126" s="1"/>
      <c r="WOO126" s="1"/>
      <c r="WOP126" s="1"/>
      <c r="WOQ126" s="1"/>
      <c r="WOR126" s="1"/>
      <c r="WOS126" s="1"/>
      <c r="WOT126" s="1"/>
      <c r="WOU126" s="1"/>
      <c r="WOV126" s="1"/>
      <c r="WOW126" s="1"/>
      <c r="WOX126" s="1"/>
      <c r="WOY126" s="1"/>
      <c r="WOZ126" s="1"/>
      <c r="WPA126" s="1"/>
      <c r="WPB126" s="1"/>
      <c r="WPC126" s="1"/>
      <c r="WPD126" s="1"/>
      <c r="WPE126" s="1"/>
      <c r="WPF126" s="1"/>
      <c r="WPG126" s="1"/>
      <c r="WPH126" s="1"/>
      <c r="WPI126" s="1"/>
      <c r="WPJ126" s="1"/>
      <c r="WPK126" s="1"/>
      <c r="WPL126" s="1"/>
      <c r="WPM126" s="1"/>
      <c r="WPN126" s="1"/>
      <c r="WPO126" s="1"/>
      <c r="WPP126" s="1"/>
      <c r="WPQ126" s="1"/>
      <c r="WPR126" s="1"/>
      <c r="WPS126" s="1"/>
      <c r="WPT126" s="1"/>
      <c r="WPU126" s="1"/>
      <c r="WPV126" s="1"/>
      <c r="WPW126" s="1"/>
      <c r="WPX126" s="1"/>
      <c r="WPY126" s="1"/>
      <c r="WPZ126" s="1"/>
      <c r="WQA126" s="1"/>
      <c r="WQB126" s="1"/>
      <c r="WQC126" s="1"/>
      <c r="WQD126" s="1"/>
      <c r="WQE126" s="1"/>
      <c r="WQF126" s="1"/>
      <c r="WQG126" s="1"/>
      <c r="WQH126" s="1"/>
      <c r="WQI126" s="1"/>
      <c r="WQJ126" s="1"/>
      <c r="WQK126" s="1"/>
      <c r="WQL126" s="1"/>
      <c r="WQM126" s="1"/>
      <c r="WQN126" s="1"/>
      <c r="WQO126" s="1"/>
      <c r="WQP126" s="1"/>
      <c r="WQQ126" s="1"/>
      <c r="WQR126" s="1"/>
      <c r="WQS126" s="1"/>
      <c r="WQT126" s="1"/>
      <c r="WQU126" s="1"/>
      <c r="WQV126" s="1"/>
      <c r="WQW126" s="1"/>
      <c r="WQX126" s="1"/>
      <c r="WQY126" s="1"/>
      <c r="WQZ126" s="1"/>
      <c r="WRA126" s="1"/>
      <c r="WRB126" s="1"/>
      <c r="WRC126" s="1"/>
      <c r="WRD126" s="1"/>
      <c r="WRE126" s="1"/>
      <c r="WRF126" s="1"/>
      <c r="WRG126" s="1"/>
      <c r="WRH126" s="1"/>
      <c r="WRI126" s="1"/>
      <c r="WRJ126" s="1"/>
      <c r="WRK126" s="1"/>
      <c r="WRL126" s="1"/>
      <c r="WRM126" s="1"/>
      <c r="WRN126" s="1"/>
      <c r="WRO126" s="1"/>
      <c r="WRP126" s="1"/>
      <c r="WRQ126" s="1"/>
      <c r="WRR126" s="1"/>
      <c r="WRS126" s="1"/>
      <c r="WRT126" s="1"/>
      <c r="WRU126" s="1"/>
      <c r="WRV126" s="1"/>
      <c r="WRW126" s="1"/>
      <c r="WRX126" s="1"/>
      <c r="WRY126" s="1"/>
      <c r="WRZ126" s="1"/>
      <c r="WSA126" s="1"/>
      <c r="WSB126" s="1"/>
      <c r="WSC126" s="1"/>
      <c r="WSD126" s="1"/>
      <c r="WSE126" s="1"/>
      <c r="WSF126" s="1"/>
      <c r="WSG126" s="1"/>
      <c r="WSH126" s="1"/>
      <c r="WSI126" s="1"/>
      <c r="WSJ126" s="1"/>
      <c r="WSK126" s="1"/>
      <c r="WSL126" s="1"/>
      <c r="WSM126" s="1"/>
      <c r="WSN126" s="1"/>
      <c r="WSO126" s="1"/>
      <c r="WSP126" s="1"/>
      <c r="WSQ126" s="1"/>
      <c r="WSR126" s="1"/>
      <c r="WSS126" s="1"/>
      <c r="WST126" s="1"/>
      <c r="WSU126" s="1"/>
      <c r="WSV126" s="1"/>
      <c r="WSW126" s="1"/>
      <c r="WSX126" s="1"/>
      <c r="WSY126" s="1"/>
      <c r="WSZ126" s="1"/>
      <c r="WTA126" s="1"/>
      <c r="WTB126" s="1"/>
      <c r="WTC126" s="1"/>
      <c r="WTD126" s="1"/>
      <c r="WTE126" s="1"/>
      <c r="WTF126" s="1"/>
      <c r="WTG126" s="1"/>
      <c r="WTH126" s="1"/>
      <c r="WTI126" s="1"/>
      <c r="WTJ126" s="1"/>
      <c r="WTK126" s="1"/>
      <c r="WTL126" s="1"/>
      <c r="WTM126" s="1"/>
      <c r="WTN126" s="1"/>
      <c r="WTO126" s="1"/>
      <c r="WTP126" s="1"/>
      <c r="WTQ126" s="1"/>
      <c r="WTR126" s="1"/>
      <c r="WTS126" s="1"/>
      <c r="WTT126" s="1"/>
      <c r="WTU126" s="1"/>
      <c r="WTV126" s="1"/>
      <c r="WTW126" s="1"/>
      <c r="WTX126" s="1"/>
      <c r="WTY126" s="1"/>
      <c r="WTZ126" s="1"/>
      <c r="WUA126" s="1"/>
      <c r="WUB126" s="1"/>
      <c r="WUC126" s="1"/>
      <c r="WUD126" s="1"/>
      <c r="WUE126" s="1"/>
      <c r="WUF126" s="1"/>
      <c r="WUG126" s="1"/>
      <c r="WUH126" s="1"/>
      <c r="WUI126" s="1"/>
      <c r="WUJ126" s="1"/>
      <c r="WUK126" s="1"/>
      <c r="WUL126" s="1"/>
      <c r="WUM126" s="1"/>
      <c r="WUN126" s="1"/>
      <c r="WUO126" s="1"/>
      <c r="WUP126" s="1"/>
      <c r="WUQ126" s="1"/>
      <c r="WUR126" s="1"/>
      <c r="WUS126" s="1"/>
      <c r="WUT126" s="1"/>
      <c r="WUU126" s="1"/>
      <c r="WUV126" s="1"/>
      <c r="WUW126" s="1"/>
      <c r="WUX126" s="1"/>
      <c r="WUY126" s="1"/>
      <c r="WUZ126" s="1"/>
      <c r="WVA126" s="1"/>
      <c r="WVB126" s="1"/>
      <c r="WVC126" s="1"/>
      <c r="WVD126" s="1"/>
      <c r="WVE126" s="1"/>
      <c r="WVF126" s="1"/>
      <c r="WVG126" s="1"/>
      <c r="WVH126" s="1"/>
      <c r="WVI126" s="1"/>
      <c r="WVJ126" s="1"/>
      <c r="WVK126" s="1"/>
      <c r="WVL126" s="1"/>
      <c r="WVM126" s="1"/>
      <c r="WVN126" s="1"/>
      <c r="WVO126" s="1"/>
      <c r="WVP126" s="1"/>
      <c r="WVQ126" s="1"/>
      <c r="WVR126" s="1"/>
      <c r="WVS126" s="1"/>
      <c r="WVT126" s="1"/>
      <c r="WVU126" s="1"/>
      <c r="WVV126" s="1"/>
      <c r="WVW126" s="1"/>
      <c r="WVX126" s="1"/>
      <c r="WVY126" s="1"/>
      <c r="WVZ126" s="1"/>
      <c r="WWA126" s="1"/>
      <c r="WWB126" s="1"/>
      <c r="WWC126" s="1"/>
      <c r="WWD126" s="1"/>
      <c r="WWE126" s="1"/>
      <c r="WWF126" s="1"/>
      <c r="WWG126" s="1"/>
      <c r="WWH126" s="1"/>
      <c r="WWI126" s="1"/>
      <c r="WWJ126" s="1"/>
      <c r="WWK126" s="1"/>
      <c r="WWL126" s="1"/>
      <c r="WWM126" s="1"/>
      <c r="WWN126" s="1"/>
      <c r="WWO126" s="1"/>
      <c r="WWP126" s="1"/>
      <c r="WWQ126" s="1"/>
      <c r="WWR126" s="1"/>
      <c r="WWS126" s="1"/>
      <c r="WWT126" s="1"/>
      <c r="WWU126" s="1"/>
      <c r="WWV126" s="1"/>
      <c r="WWW126" s="1"/>
      <c r="WWX126" s="1"/>
      <c r="WWY126" s="1"/>
      <c r="WWZ126" s="1"/>
      <c r="WXA126" s="1"/>
      <c r="WXB126" s="1"/>
      <c r="WXC126" s="1"/>
      <c r="WXD126" s="1"/>
      <c r="WXE126" s="1"/>
      <c r="WXF126" s="1"/>
      <c r="WXG126" s="1"/>
      <c r="WXH126" s="1"/>
      <c r="WXI126" s="1"/>
      <c r="WXJ126" s="1"/>
      <c r="WXK126" s="1"/>
      <c r="WXL126" s="1"/>
      <c r="WXM126" s="1"/>
      <c r="WXN126" s="1"/>
      <c r="WXO126" s="1"/>
      <c r="WXP126" s="1"/>
      <c r="WXQ126" s="1"/>
      <c r="WXR126" s="1"/>
      <c r="WXS126" s="1"/>
      <c r="WXT126" s="1"/>
      <c r="WXU126" s="1"/>
      <c r="WXV126" s="1"/>
      <c r="WXW126" s="1"/>
      <c r="WXX126" s="1"/>
      <c r="WXY126" s="1"/>
      <c r="WXZ126" s="1"/>
      <c r="WYA126" s="1"/>
      <c r="WYB126" s="1"/>
      <c r="WYC126" s="1"/>
      <c r="WYD126" s="1"/>
      <c r="WYE126" s="1"/>
      <c r="WYF126" s="1"/>
      <c r="WYG126" s="1"/>
      <c r="WYH126" s="1"/>
      <c r="WYI126" s="1"/>
      <c r="WYJ126" s="1"/>
      <c r="WYK126" s="1"/>
      <c r="WYL126" s="1"/>
      <c r="WYM126" s="1"/>
      <c r="WYN126" s="1"/>
      <c r="WYO126" s="1"/>
      <c r="WYP126" s="1"/>
      <c r="WYQ126" s="1"/>
      <c r="WYR126" s="1"/>
      <c r="WYS126" s="1"/>
      <c r="WYT126" s="1"/>
      <c r="WYU126" s="1"/>
      <c r="WYV126" s="1"/>
      <c r="WYW126" s="1"/>
      <c r="WYX126" s="1"/>
      <c r="WYY126" s="1"/>
      <c r="WYZ126" s="1"/>
      <c r="WZA126" s="1"/>
      <c r="WZB126" s="1"/>
      <c r="WZC126" s="1"/>
      <c r="WZD126" s="1"/>
      <c r="WZE126" s="1"/>
      <c r="WZF126" s="1"/>
      <c r="WZG126" s="1"/>
      <c r="WZH126" s="1"/>
      <c r="WZI126" s="1"/>
      <c r="WZJ126" s="1"/>
      <c r="WZK126" s="1"/>
      <c r="WZL126" s="1"/>
      <c r="WZM126" s="1"/>
      <c r="WZN126" s="1"/>
      <c r="WZO126" s="1"/>
      <c r="WZP126" s="1"/>
      <c r="WZQ126" s="1"/>
      <c r="WZR126" s="1"/>
      <c r="WZS126" s="1"/>
      <c r="WZT126" s="1"/>
      <c r="WZU126" s="1"/>
      <c r="WZV126" s="1"/>
      <c r="WZW126" s="1"/>
      <c r="WZX126" s="1"/>
      <c r="WZY126" s="1"/>
      <c r="WZZ126" s="1"/>
      <c r="XAA126" s="1"/>
      <c r="XAB126" s="1"/>
      <c r="XAC126" s="1"/>
      <c r="XAD126" s="1"/>
      <c r="XAE126" s="1"/>
      <c r="XAF126" s="1"/>
      <c r="XAG126" s="1"/>
      <c r="XAH126" s="1"/>
      <c r="XAI126" s="1"/>
      <c r="XAJ126" s="1"/>
      <c r="XAK126" s="1"/>
      <c r="XAL126" s="1"/>
      <c r="XAM126" s="1"/>
      <c r="XAN126" s="1"/>
      <c r="XAO126" s="1"/>
      <c r="XAP126" s="1"/>
      <c r="XAQ126" s="1"/>
      <c r="XAR126" s="1"/>
      <c r="XAS126" s="1"/>
      <c r="XAT126" s="1"/>
      <c r="XAU126" s="1"/>
      <c r="XAV126" s="1"/>
      <c r="XAW126" s="1"/>
      <c r="XAX126" s="1"/>
      <c r="XAY126" s="1"/>
      <c r="XAZ126" s="1"/>
      <c r="XBA126" s="1"/>
      <c r="XBB126" s="1"/>
      <c r="XBC126" s="1"/>
      <c r="XBD126" s="1"/>
      <c r="XBE126" s="1"/>
      <c r="XBF126" s="1"/>
      <c r="XBG126" s="1"/>
      <c r="XBH126" s="1"/>
      <c r="XBI126" s="1"/>
      <c r="XBJ126" s="1"/>
      <c r="XBK126" s="1"/>
      <c r="XBL126" s="1"/>
      <c r="XBM126" s="1"/>
      <c r="XBN126" s="1"/>
      <c r="XBO126" s="1"/>
      <c r="XBP126" s="1"/>
      <c r="XBQ126" s="1"/>
      <c r="XBR126" s="1"/>
      <c r="XBS126" s="1"/>
      <c r="XBT126" s="1"/>
      <c r="XBU126" s="1"/>
      <c r="XBV126" s="1"/>
      <c r="XBW126" s="1"/>
      <c r="XBX126" s="1"/>
      <c r="XBY126" s="1"/>
      <c r="XBZ126" s="1"/>
      <c r="XCA126" s="1"/>
      <c r="XCB126" s="1"/>
      <c r="XCC126" s="1"/>
      <c r="XCD126" s="1"/>
      <c r="XCE126" s="1"/>
      <c r="XCF126" s="1"/>
      <c r="XCG126" s="1"/>
      <c r="XCH126" s="1"/>
      <c r="XCI126" s="1"/>
      <c r="XCJ126" s="1"/>
      <c r="XCK126" s="1"/>
      <c r="XCL126" s="1"/>
      <c r="XCM126" s="1"/>
      <c r="XCN126" s="1"/>
      <c r="XCO126" s="1"/>
      <c r="XCP126" s="1"/>
      <c r="XCQ126" s="1"/>
      <c r="XCR126" s="1"/>
      <c r="XCS126" s="1"/>
      <c r="XCT126" s="1"/>
      <c r="XCU126" s="1"/>
      <c r="XCV126" s="1"/>
      <c r="XCW126" s="1"/>
      <c r="XCX126" s="1"/>
      <c r="XCY126" s="1"/>
      <c r="XCZ126" s="1"/>
      <c r="XDA126" s="1"/>
      <c r="XDB126" s="1"/>
      <c r="XDC126" s="1"/>
      <c r="XDD126" s="1"/>
      <c r="XDE126" s="1"/>
      <c r="XDF126" s="1"/>
      <c r="XDG126" s="1"/>
      <c r="XDH126" s="1"/>
      <c r="XDI126" s="1"/>
      <c r="XDJ126" s="1"/>
      <c r="XDK126" s="1"/>
      <c r="XDL126" s="1"/>
      <c r="XDM126" s="1"/>
      <c r="XDN126" s="1"/>
      <c r="XDO126" s="1"/>
      <c r="XDP126" s="1"/>
      <c r="XDQ126" s="1"/>
      <c r="XDR126" s="1"/>
      <c r="XDS126" s="1"/>
      <c r="XDT126" s="1"/>
      <c r="XDU126" s="1"/>
      <c r="XDV126" s="1"/>
      <c r="XDW126" s="1"/>
      <c r="XDX126" s="1"/>
      <c r="XDY126" s="1"/>
      <c r="XDZ126" s="1"/>
      <c r="XEA126" s="1"/>
      <c r="XEB126" s="1"/>
      <c r="XEC126" s="1"/>
      <c r="XED126" s="1"/>
      <c r="XEE126" s="1"/>
      <c r="XEF126" s="1"/>
      <c r="XEG126" s="1"/>
      <c r="XEH126" s="1"/>
      <c r="XEI126" s="1"/>
      <c r="XEJ126" s="1"/>
      <c r="XEK126" s="1"/>
      <c r="XEL126" s="1"/>
      <c r="XEM126" s="1"/>
      <c r="XEN126" s="1"/>
      <c r="XEO126" s="1"/>
      <c r="XEP126" s="1"/>
      <c r="XEQ126" s="1"/>
      <c r="XER126" s="1"/>
      <c r="XES126" s="1"/>
      <c r="XET126" s="1"/>
      <c r="XEU126" s="1"/>
      <c r="XEV126" s="1"/>
      <c r="XEW126" s="1"/>
      <c r="XEX126" s="1"/>
      <c r="XEY126" s="1"/>
      <c r="XEZ126" s="1"/>
      <c r="XFA126" s="1"/>
      <c r="XFB126" s="1"/>
      <c r="XFC126" s="1"/>
      <c r="XFD126" s="1"/>
    </row>
    <row r="127" spans="1:16384">
      <c r="B127" s="15" t="s">
        <v>255</v>
      </c>
      <c r="C127" s="15" t="s">
        <v>256</v>
      </c>
      <c r="D127" s="15" t="s">
        <v>256</v>
      </c>
      <c r="E127" s="16">
        <v>42233</v>
      </c>
      <c r="F127" s="19">
        <v>42231</v>
      </c>
      <c r="G127" s="18" t="str">
        <f t="shared" si="14"/>
        <v/>
      </c>
      <c r="H127" s="16">
        <v>42415</v>
      </c>
      <c r="I127" s="16">
        <v>53008</v>
      </c>
      <c r="J127" s="17">
        <v>2.8750000000000001E-2</v>
      </c>
      <c r="K127" s="16">
        <v>53189</v>
      </c>
      <c r="L127" s="20" t="str">
        <f ca="1">_xll.meLWOBondCreateFromGeneratorLVB(C127,$L$4,_xll.meUtilityLVBFromKeysValues($C$6:$K$6,C127:K127))</f>
        <v>US912810RN00:2</v>
      </c>
      <c r="M127" s="92">
        <f ca="1">_xll.BDP($B127,$M$5)</f>
        <v>3.3289308000000002</v>
      </c>
      <c r="N127" s="89">
        <f ca="1">_xll.meLWOBondCleanPrice($L127,$C$4,$M127%)</f>
        <v>91.984375244551927</v>
      </c>
      <c r="O127" s="89">
        <f ca="1">_xll.meLWOBondDirtyPrice($L127,$C$4,$M127%)</f>
        <v>92.468750244551927</v>
      </c>
      <c r="P127" s="88">
        <f ca="1">_xll.meLWOBondYield($L127,$C$4,N127)</f>
        <v>3.328930799999999E-2</v>
      </c>
      <c r="Q127" s="89">
        <f ca="1">_xll.meLWOBondModifiedDuration($L127,$C$4,$M127%)</f>
        <v>18.092770207180902</v>
      </c>
      <c r="R127" s="23">
        <f ca="1">_xll.meLWOBondDV01($L127,$C$4,$M127%)</f>
        <v>1673.0158495198809</v>
      </c>
      <c r="S127" s="85">
        <f t="shared" ca="1" si="13"/>
        <v>3.3289308000000002</v>
      </c>
      <c r="T127" s="22" t="str">
        <f ca="1">_xll.BDP($B127,T$6, "YAS_BOND_YLD="&amp;$S127,"YAS_YLD_CONV=2")</f>
        <v>#N/A Requesting Data...</v>
      </c>
      <c r="U127" s="23">
        <f ca="1">_xll.meLWOBondCleanPrice($L127,$C$4,$S127%)</f>
        <v>91.984375244551927</v>
      </c>
      <c r="V127" s="24" t="e">
        <f t="shared" ca="1" si="15"/>
        <v>#VALUE!</v>
      </c>
      <c r="W127" s="23">
        <f ca="1">_xll.meLWOBondDV01($L127,$C$4,$S127%)</f>
        <v>1673.0158495198809</v>
      </c>
      <c r="X127" s="22" t="e">
        <f ca="1">_xll.BDP($B127,X$6, "YLD_YTM_ASK="&amp;$S127,"YAS_YLD_CONV=3")*$X$3*0.0001</f>
        <v>#VALUE!</v>
      </c>
      <c r="Y127" s="24" t="e">
        <f t="shared" ca="1" si="16"/>
        <v>#VALUE!</v>
      </c>
      <c r="Z127" s="23">
        <f ca="1">_xll.meLWOBondDirtyPrice($L127,$C$4,$S127%)</f>
        <v>92.468750244551927</v>
      </c>
      <c r="AA127" s="23">
        <f ca="1">_xll.meLWOBondModifiedDuration($L127,$C$4,$S127%)</f>
        <v>18.092770207180902</v>
      </c>
      <c r="AB127" s="22" t="str">
        <f ca="1">_xll.BDP($B127,AB$6,"YLD_YTM_ASK="&amp;$S127,"YAS_YLD_CONV=3")</f>
        <v>#N/A Requesting Data...</v>
      </c>
      <c r="AC127" s="24" t="e">
        <f t="shared" ca="1" si="17"/>
        <v>#VALUE!</v>
      </c>
      <c r="AD127" s="23">
        <f ca="1">_xll.meLWOBondDV01Numerical($L127,$C$4,$S127%,0.5,"CENTRAL")</f>
        <v>1673.016265066565</v>
      </c>
    </row>
    <row r="128" spans="1:16384">
      <c r="B128" s="15" t="s">
        <v>275</v>
      </c>
      <c r="C128" s="15" t="s">
        <v>276</v>
      </c>
      <c r="D128" s="15" t="s">
        <v>276</v>
      </c>
      <c r="E128" s="16">
        <v>42324</v>
      </c>
      <c r="F128" s="19">
        <v>42323</v>
      </c>
      <c r="G128" s="18" t="str">
        <f t="shared" si="14"/>
        <v/>
      </c>
      <c r="H128" s="16">
        <v>42505</v>
      </c>
      <c r="I128" s="16">
        <v>53097</v>
      </c>
      <c r="J128" s="17">
        <v>0.03</v>
      </c>
      <c r="K128" s="16">
        <v>53281</v>
      </c>
      <c r="L128" s="20" t="str">
        <f ca="1">_xll.meLWOBondCreateFromGeneratorLVB(C128,$L$4,_xll.meUtilityLVBFromKeysValues($C$6:$K$6,C128:K128))</f>
        <v>US912810RP57:2</v>
      </c>
      <c r="M128" s="92">
        <f ca="1">_xll.BDP($B128,$M$5)</f>
        <v>3.3272265999999999</v>
      </c>
      <c r="N128" s="89">
        <f ca="1">_xll.meLWOBondCleanPrice($L128,$C$4,$M128%)</f>
        <v>94.187499421690347</v>
      </c>
      <c r="O128" s="89">
        <f ca="1">_xll.meLWOBondDirtyPrice($L128,$C$4,$M128%)</f>
        <v>95.44293420429905</v>
      </c>
      <c r="P128" s="88">
        <f ca="1">_xll.meLWOBondYield($L128,$C$4,N128)</f>
        <v>3.3272265999999953E-2</v>
      </c>
      <c r="Q128" s="89">
        <f ca="1">_xll.meLWOBondModifiedDuration($L128,$C$4,$M128%)</f>
        <v>17.89943357967007</v>
      </c>
      <c r="R128" s="23">
        <f ca="1">_xll.meLWOBondDV01($L128,$C$4,$M128%)</f>
        <v>1708.3744614386717</v>
      </c>
      <c r="S128" s="85">
        <f t="shared" ca="1" si="13"/>
        <v>3.3272265999999999</v>
      </c>
      <c r="T128" s="22" t="str">
        <f ca="1">_xll.BDP($B128,T$6, "YAS_BOND_YLD="&amp;$S128,"YAS_YLD_CONV=2")</f>
        <v>#N/A Requesting Data...</v>
      </c>
      <c r="U128" s="23">
        <f ca="1">_xll.meLWOBondCleanPrice($L128,$C$4,$S128%)</f>
        <v>94.187499421690347</v>
      </c>
      <c r="V128" s="24" t="e">
        <f t="shared" ca="1" si="15"/>
        <v>#VALUE!</v>
      </c>
      <c r="W128" s="23">
        <f ca="1">_xll.meLWOBondDV01($L128,$C$4,$S128%)</f>
        <v>1708.3744614386717</v>
      </c>
      <c r="X128" s="22" t="e">
        <f ca="1">_xll.BDP($B128,X$6, "YLD_YTM_ASK="&amp;$S128,"YAS_YLD_CONV=3")*$X$3*0.0001</f>
        <v>#VALUE!</v>
      </c>
      <c r="Y128" s="24" t="e">
        <f t="shared" ca="1" si="16"/>
        <v>#VALUE!</v>
      </c>
      <c r="Z128" s="23">
        <f ca="1">_xll.meLWOBondDirtyPrice($L128,$C$4,$S128%)</f>
        <v>95.44293420429905</v>
      </c>
      <c r="AA128" s="23">
        <f ca="1">_xll.meLWOBondModifiedDuration($L128,$C$4,$S128%)</f>
        <v>17.89943357967007</v>
      </c>
      <c r="AB128" s="22" t="str">
        <f ca="1">_xll.BDP($B128,AB$6,"YLD_YTM_ASK="&amp;$S128,"YAS_YLD_CONV=3")</f>
        <v>#N/A Requesting Data...</v>
      </c>
      <c r="AC128" s="24" t="e">
        <f t="shared" ca="1" si="17"/>
        <v>#VALUE!</v>
      </c>
      <c r="AD128" s="23">
        <f ca="1">_xll.meLWOBondDV01Numerical($L128,$C$4,$S128%,0.5,"CENTRAL")</f>
        <v>1708.374889738451</v>
      </c>
    </row>
    <row r="129" spans="2:30">
      <c r="B129" s="15" t="s">
        <v>183</v>
      </c>
      <c r="C129" s="15" t="s">
        <v>184</v>
      </c>
      <c r="D129" s="15" t="s">
        <v>184</v>
      </c>
      <c r="E129" s="16">
        <v>42416</v>
      </c>
      <c r="F129" s="19">
        <v>42415</v>
      </c>
      <c r="G129" s="18" t="str">
        <f t="shared" si="14"/>
        <v/>
      </c>
      <c r="H129" s="16">
        <v>42597</v>
      </c>
      <c r="I129" s="16">
        <v>53189</v>
      </c>
      <c r="J129" s="17">
        <v>2.5000000000000001E-2</v>
      </c>
      <c r="K129" s="16">
        <v>53373</v>
      </c>
      <c r="L129" s="20" t="str">
        <f ca="1">_xll.meLWOBondCreateFromGeneratorLVB(C129,$L$4,_xll.meUtilityLVBFromKeysValues($C$6:$K$6,C129:K129))</f>
        <v>US912810RQ31:2</v>
      </c>
      <c r="M129" s="92">
        <f ca="1">_xll.BDP($B129,$M$5)</f>
        <v>3.3324254</v>
      </c>
      <c r="N129" s="89">
        <f ca="1">_xll.meLWOBondCleanPrice($L129,$C$4,$M129%)</f>
        <v>85.1406245692163</v>
      </c>
      <c r="O129" s="89">
        <f ca="1">_xll.meLWOBondDirtyPrice($L129,$C$4,$M129%)</f>
        <v>85.561820221390207</v>
      </c>
      <c r="P129" s="88">
        <f ca="1">_xll.meLWOBondYield($L129,$C$4,N129)</f>
        <v>3.3324253999999998E-2</v>
      </c>
      <c r="Q129" s="89">
        <f ca="1">_xll.meLWOBondModifiedDuration($L129,$C$4,$M129%)</f>
        <v>18.830325845084353</v>
      </c>
      <c r="R129" s="23">
        <f ca="1">_xll.meLWOBondDV01($L129,$C$4,$M129%)</f>
        <v>1611.1569546673049</v>
      </c>
      <c r="S129" s="85">
        <f t="shared" ca="1" si="13"/>
        <v>3.3324254</v>
      </c>
      <c r="T129" s="22" t="str">
        <f ca="1">_xll.BDP($B129,T$6, "YAS_BOND_YLD="&amp;$S129,"YAS_YLD_CONV=2")</f>
        <v>#N/A Requesting Data...</v>
      </c>
      <c r="U129" s="23">
        <f ca="1">_xll.meLWOBondCleanPrice($L129,$C$4,$S129%)</f>
        <v>85.1406245692163</v>
      </c>
      <c r="V129" s="24" t="e">
        <f t="shared" ca="1" si="15"/>
        <v>#VALUE!</v>
      </c>
      <c r="W129" s="23">
        <f ca="1">_xll.meLWOBondDV01($L129,$C$4,$S129%)</f>
        <v>1611.1569546673049</v>
      </c>
      <c r="X129" s="22" t="e">
        <f ca="1">_xll.BDP($B129,X$6, "YLD_YTM_ASK="&amp;$S129,"YAS_YLD_CONV=3")*$X$3*0.0001</f>
        <v>#VALUE!</v>
      </c>
      <c r="Y129" s="24" t="e">
        <f t="shared" ca="1" si="16"/>
        <v>#VALUE!</v>
      </c>
      <c r="Z129" s="23">
        <f ca="1">_xll.meLWOBondDirtyPrice($L129,$C$4,$S129%)</f>
        <v>85.561820221390207</v>
      </c>
      <c r="AA129" s="23">
        <f ca="1">_xll.meLWOBondModifiedDuration($L129,$C$4,$S129%)</f>
        <v>18.830325845084353</v>
      </c>
      <c r="AB129" s="22" t="str">
        <f ca="1">_xll.BDP($B129,AB$6,"YLD_YTM_ASK="&amp;$S129,"YAS_YLD_CONV=3")</f>
        <v>#N/A Requesting Data...</v>
      </c>
      <c r="AC129" s="24" t="e">
        <f t="shared" ca="1" si="17"/>
        <v>#VALUE!</v>
      </c>
      <c r="AD129" s="23">
        <f ca="1">_xll.meLWOBondDV01Numerical($L129,$C$4,$S129%,0.5,"CENTRAL")</f>
        <v>1611.1573763613762</v>
      </c>
    </row>
    <row r="130" spans="2:30">
      <c r="B130" s="15" t="s">
        <v>177</v>
      </c>
      <c r="C130" s="15" t="s">
        <v>178</v>
      </c>
      <c r="D130" s="15" t="s">
        <v>178</v>
      </c>
      <c r="E130" s="16">
        <v>42506</v>
      </c>
      <c r="F130" s="19">
        <v>42505</v>
      </c>
      <c r="G130" s="18" t="str">
        <f t="shared" si="14"/>
        <v/>
      </c>
      <c r="H130" s="16">
        <v>42689</v>
      </c>
      <c r="I130" s="16">
        <v>53281</v>
      </c>
      <c r="J130" s="17">
        <v>2.5000000000000001E-2</v>
      </c>
      <c r="K130" s="16">
        <v>53462</v>
      </c>
      <c r="L130" s="20" t="str">
        <f ca="1">_xll.meLWOBondCreateFromGeneratorLVB(C130,$L$4,_xll.meUtilityLVBFromKeysValues($C$6:$K$6,C130:K130))</f>
        <v>US912810RS96:2</v>
      </c>
      <c r="M130" s="92">
        <f ca="1">_xll.BDP($B130,$M$5)</f>
        <v>3.3331265999999999</v>
      </c>
      <c r="N130" s="89">
        <f ca="1">_xll.meLWOBondCleanPrice($L130,$C$4,$M130%)</f>
        <v>85.046875709422409</v>
      </c>
      <c r="O130" s="89">
        <f ca="1">_xll.meLWOBondDirtyPrice($L130,$C$4,$M130%)</f>
        <v>86.093071361596316</v>
      </c>
      <c r="P130" s="88">
        <f ca="1">_xll.meLWOBondYield($L130,$C$4,N130)</f>
        <v>3.3331266000000082E-2</v>
      </c>
      <c r="Q130" s="89">
        <f ca="1">_xll.meLWOBondModifiedDuration($L130,$C$4,$M130%)</f>
        <v>18.800483105188068</v>
      </c>
      <c r="R130" s="23">
        <f ca="1">_xll.meLWOBondDV01($L130,$C$4,$M130%)</f>
        <v>1618.5913336074423</v>
      </c>
      <c r="S130" s="85">
        <f t="shared" ca="1" si="13"/>
        <v>3.3331265999999999</v>
      </c>
      <c r="T130" s="22" t="str">
        <f ca="1">_xll.BDP($B130,T$6, "YAS_BOND_YLD="&amp;$S130,"YAS_YLD_CONV=2")</f>
        <v>#N/A Requesting Data...</v>
      </c>
      <c r="U130" s="23">
        <f ca="1">_xll.meLWOBondCleanPrice($L130,$C$4,$S130%)</f>
        <v>85.046875709422409</v>
      </c>
      <c r="V130" s="24" t="e">
        <f t="shared" ca="1" si="15"/>
        <v>#VALUE!</v>
      </c>
      <c r="W130" s="23">
        <f ca="1">_xll.meLWOBondDV01($L130,$C$4,$S130%)</f>
        <v>1618.5913336074423</v>
      </c>
      <c r="X130" s="22" t="e">
        <f ca="1">_xll.BDP($B130,X$6, "YLD_YTM_ASK="&amp;$S130,"YAS_YLD_CONV=3")*$X$3*0.0001</f>
        <v>#VALUE!</v>
      </c>
      <c r="Y130" s="24" t="e">
        <f t="shared" ca="1" si="16"/>
        <v>#VALUE!</v>
      </c>
      <c r="Z130" s="23">
        <f ca="1">_xll.meLWOBondDirtyPrice($L130,$C$4,$S130%)</f>
        <v>86.093071361596316</v>
      </c>
      <c r="AA130" s="23">
        <f ca="1">_xll.meLWOBondModifiedDuration($L130,$C$4,$S130%)</f>
        <v>18.800483105188068</v>
      </c>
      <c r="AB130" s="22" t="str">
        <f ca="1">_xll.BDP($B130,AB$6,"YLD_YTM_ASK="&amp;$S130,"YAS_YLD_CONV=3")</f>
        <v>#N/A Requesting Data...</v>
      </c>
      <c r="AC130" s="24" t="e">
        <f t="shared" ca="1" si="17"/>
        <v>#VALUE!</v>
      </c>
      <c r="AD130" s="23">
        <f ca="1">_xll.meLWOBondDV01Numerical($L130,$C$4,$S130%,0.5,"CENTRAL")</f>
        <v>1618.5917639415948</v>
      </c>
    </row>
    <row r="131" spans="2:30">
      <c r="B131" s="15" t="s">
        <v>157</v>
      </c>
      <c r="C131" s="15" t="s">
        <v>158</v>
      </c>
      <c r="D131" s="15" t="s">
        <v>158</v>
      </c>
      <c r="E131" s="16">
        <v>42597</v>
      </c>
      <c r="F131" s="19">
        <v>42597</v>
      </c>
      <c r="G131" s="18" t="str">
        <f t="shared" si="14"/>
        <v/>
      </c>
      <c r="H131" s="16">
        <v>42781</v>
      </c>
      <c r="I131" s="16">
        <v>53373</v>
      </c>
      <c r="J131" s="17">
        <v>2.2499999999999999E-2</v>
      </c>
      <c r="K131" s="16">
        <v>53554</v>
      </c>
      <c r="L131" s="20" t="str">
        <f ca="1">_xll.meLWOBondCreateFromGeneratorLVB(C131,$L$4,_xll.meUtilityLVBFromKeysValues($C$6:$K$6,C131:K131))</f>
        <v>US912810RT79:2</v>
      </c>
      <c r="M131" s="92">
        <f ca="1">_xll.BDP($B131,$M$5)</f>
        <v>3.3330628</v>
      </c>
      <c r="N131" s="89">
        <f ca="1">_xll.meLWOBondCleanPrice($L131,$C$4,$M131%)</f>
        <v>80.453125307656762</v>
      </c>
      <c r="O131" s="89">
        <f ca="1">_xll.meLWOBondDirtyPrice($L131,$C$4,$M131%)</f>
        <v>80.832201394613278</v>
      </c>
      <c r="P131" s="88">
        <f ca="1">_xll.meLWOBondYield($L131,$C$4,N131)</f>
        <v>3.3330628000000279E-2</v>
      </c>
      <c r="Q131" s="89">
        <f ca="1">_xll.meLWOBondModifiedDuration($L131,$C$4,$M131%)</f>
        <v>19.457080721876466</v>
      </c>
      <c r="R131" s="23">
        <f ca="1">_xll.meLWOBondDV01($L131,$C$4,$M131%)</f>
        <v>1572.7586674619661</v>
      </c>
      <c r="S131" s="85">
        <f t="shared" ca="1" si="13"/>
        <v>3.3330628</v>
      </c>
      <c r="T131" s="22" t="str">
        <f ca="1">_xll.BDP($B131,T$6, "YAS_BOND_YLD="&amp;$S131,"YAS_YLD_CONV=2")</f>
        <v>#N/A Requesting Data...</v>
      </c>
      <c r="U131" s="23">
        <f ca="1">_xll.meLWOBondCleanPrice($L131,$C$4,$S131%)</f>
        <v>80.453125307656762</v>
      </c>
      <c r="V131" s="24" t="e">
        <f t="shared" ca="1" si="15"/>
        <v>#VALUE!</v>
      </c>
      <c r="W131" s="23">
        <f ca="1">_xll.meLWOBondDV01($L131,$C$4,$S131%)</f>
        <v>1572.7586674619661</v>
      </c>
      <c r="X131" s="22" t="e">
        <f ca="1">_xll.BDP($B131,X$6, "YLD_YTM_ASK="&amp;$S131,"YAS_YLD_CONV=3")*$X$3*0.0001</f>
        <v>#VALUE!</v>
      </c>
      <c r="Y131" s="24" t="e">
        <f t="shared" ca="1" si="16"/>
        <v>#VALUE!</v>
      </c>
      <c r="Z131" s="23">
        <f ca="1">_xll.meLWOBondDirtyPrice($L131,$C$4,$S131%)</f>
        <v>80.832201394613278</v>
      </c>
      <c r="AA131" s="23">
        <f ca="1">_xll.meLWOBondModifiedDuration($L131,$C$4,$S131%)</f>
        <v>19.457080721876466</v>
      </c>
      <c r="AB131" s="22" t="str">
        <f ca="1">_xll.BDP($B131,AB$6,"YLD_YTM_ASK="&amp;$S131,"YAS_YLD_CONV=3")</f>
        <v>#N/A Requesting Data...</v>
      </c>
      <c r="AC131" s="24" t="e">
        <f t="shared" ca="1" si="17"/>
        <v>#VALUE!</v>
      </c>
      <c r="AD131" s="23">
        <f ca="1">_xll.meLWOBondDV01Numerical($L131,$C$4,$S131%,0.5,"CENTRAL")</f>
        <v>1572.7590986053033</v>
      </c>
    </row>
    <row r="132" spans="2:30">
      <c r="B132" s="15" t="s">
        <v>237</v>
      </c>
      <c r="C132" s="15" t="s">
        <v>238</v>
      </c>
      <c r="D132" s="15" t="s">
        <v>238</v>
      </c>
      <c r="E132" s="16">
        <v>42689</v>
      </c>
      <c r="F132" s="19">
        <v>42689</v>
      </c>
      <c r="G132" s="18" t="str">
        <f t="shared" si="14"/>
        <v/>
      </c>
      <c r="H132" s="16">
        <v>42870</v>
      </c>
      <c r="I132" s="16">
        <v>53462</v>
      </c>
      <c r="J132" s="17">
        <v>2.8750000000000001E-2</v>
      </c>
      <c r="K132" s="16">
        <v>53646</v>
      </c>
      <c r="L132" s="20" t="str">
        <f ca="1">_xll.meLWOBondCreateFromGeneratorLVB(C132,$L$4,_xll.meUtilityLVBFromKeysValues($C$6:$K$6,C132:K132))</f>
        <v>US912810RU43:2</v>
      </c>
      <c r="M132" s="92">
        <f ca="1">_xll.BDP($B132,$M$5)</f>
        <v>3.3303112000000001</v>
      </c>
      <c r="N132" s="89">
        <f ca="1">_xll.meLWOBondCleanPrice($L132,$C$4,$M132%)</f>
        <v>91.734374475058701</v>
      </c>
      <c r="O132" s="89">
        <f ca="1">_xll.meLWOBondDirtyPrice($L132,$C$4,$M132%)</f>
        <v>92.937499475058701</v>
      </c>
      <c r="P132" s="88">
        <f ca="1">_xll.meLWOBondYield($L132,$C$4,N132)</f>
        <v>3.3303111999999892E-2</v>
      </c>
      <c r="Q132" s="89">
        <f ca="1">_xll.meLWOBondModifiedDuration($L132,$C$4,$M132%)</f>
        <v>18.467209882305902</v>
      </c>
      <c r="R132" s="23">
        <f ca="1">_xll.meLWOBondDV01($L132,$C$4,$M132%)</f>
        <v>1716.2963087426037</v>
      </c>
      <c r="S132" s="85">
        <f t="shared" ca="1" si="13"/>
        <v>3.3303112000000001</v>
      </c>
      <c r="T132" s="22" t="str">
        <f ca="1">_xll.BDP($B132,T$6, "YAS_BOND_YLD="&amp;$S132,"YAS_YLD_CONV=2")</f>
        <v>#N/A Requesting Data...</v>
      </c>
      <c r="U132" s="23">
        <f ca="1">_xll.meLWOBondCleanPrice($L132,$C$4,$S132%)</f>
        <v>91.734374475058701</v>
      </c>
      <c r="V132" s="24" t="e">
        <f t="shared" ca="1" si="15"/>
        <v>#VALUE!</v>
      </c>
      <c r="W132" s="23">
        <f ca="1">_xll.meLWOBondDV01($L132,$C$4,$S132%)</f>
        <v>1716.2963087426037</v>
      </c>
      <c r="X132" s="22" t="e">
        <f ca="1">_xll.BDP($B132,X$6, "YLD_YTM_ASK="&amp;$S132,"YAS_YLD_CONV=3")*$X$3*0.0001</f>
        <v>#VALUE!</v>
      </c>
      <c r="Y132" s="24" t="e">
        <f t="shared" ca="1" si="16"/>
        <v>#VALUE!</v>
      </c>
      <c r="Z132" s="23">
        <f ca="1">_xll.meLWOBondDirtyPrice($L132,$C$4,$S132%)</f>
        <v>92.937499475058701</v>
      </c>
      <c r="AA132" s="23">
        <f ca="1">_xll.meLWOBondModifiedDuration($L132,$C$4,$S132%)</f>
        <v>18.467209882305902</v>
      </c>
      <c r="AB132" s="22" t="str">
        <f ca="1">_xll.BDP($B132,AB$6,"YLD_YTM_ASK="&amp;$S132,"YAS_YLD_CONV=3")</f>
        <v>#N/A Requesting Data...</v>
      </c>
      <c r="AC132" s="24" t="e">
        <f t="shared" ca="1" si="17"/>
        <v>#VALUE!</v>
      </c>
      <c r="AD132" s="23">
        <f ca="1">_xll.meLWOBondDV01Numerical($L132,$C$4,$S132%,0.5,"CENTRAL")</f>
        <v>1716.2967694177667</v>
      </c>
    </row>
    <row r="133" spans="2:30">
      <c r="C133" s="30"/>
      <c r="D133" s="30"/>
      <c r="E133" s="28"/>
      <c r="F133" s="28"/>
      <c r="G133" s="28"/>
      <c r="H133" s="28"/>
      <c r="I133" s="28"/>
      <c r="J133" s="28"/>
      <c r="K133" s="28"/>
      <c r="L133" s="31"/>
      <c r="M133" s="77"/>
      <c r="N133" s="31"/>
      <c r="O133" s="31"/>
      <c r="P133" s="31"/>
      <c r="Q133" s="31"/>
      <c r="R133" s="31"/>
    </row>
    <row r="137" spans="2:30">
      <c r="H137" s="25"/>
      <c r="I137" s="25"/>
      <c r="J137" s="25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2:30">
      <c r="H138" s="25"/>
      <c r="I138" s="25"/>
      <c r="J138" s="25"/>
      <c r="L138" s="25"/>
      <c r="M138" s="78"/>
      <c r="N138" s="84"/>
      <c r="O138" s="84"/>
      <c r="P138" s="84"/>
      <c r="Q138" s="84"/>
      <c r="R138" s="84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2:30">
      <c r="H139" s="25"/>
      <c r="I139" s="25"/>
      <c r="J139" s="25"/>
      <c r="L139" s="25"/>
      <c r="M139" s="78"/>
      <c r="N139" s="84"/>
      <c r="O139" s="84"/>
      <c r="P139" s="84"/>
      <c r="Q139" s="84"/>
      <c r="R139" s="84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2:30">
      <c r="H140" s="25"/>
      <c r="I140" s="25"/>
      <c r="J140" s="25"/>
      <c r="L140" s="25"/>
      <c r="M140" s="78"/>
      <c r="N140" s="84"/>
      <c r="O140" s="84"/>
      <c r="P140" s="84"/>
      <c r="Q140" s="84"/>
      <c r="R140" s="84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2:30">
      <c r="H141" s="25"/>
      <c r="I141" s="25"/>
      <c r="J141" s="25"/>
      <c r="L141" s="25"/>
      <c r="M141" s="78"/>
      <c r="N141" s="84"/>
      <c r="O141" s="84"/>
      <c r="P141" s="84"/>
      <c r="Q141" s="84"/>
      <c r="R141" s="84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2:30">
      <c r="H142" s="25"/>
      <c r="I142" s="25"/>
      <c r="J142" s="25"/>
      <c r="L142" s="25"/>
      <c r="M142" s="78"/>
      <c r="N142" s="84"/>
      <c r="O142" s="84"/>
      <c r="P142" s="84"/>
      <c r="Q142" s="84"/>
      <c r="R142" s="84"/>
      <c r="T142" s="32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2:30">
      <c r="H143" s="25"/>
      <c r="I143" s="25"/>
      <c r="J143" s="25"/>
      <c r="L143" s="25"/>
      <c r="M143" s="78"/>
      <c r="N143" s="84"/>
      <c r="O143" s="84"/>
      <c r="P143" s="84"/>
      <c r="Q143" s="84"/>
      <c r="R143" s="84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2:30">
      <c r="H144" s="25"/>
      <c r="I144" s="25"/>
      <c r="J144" s="25"/>
      <c r="L144" s="25"/>
      <c r="M144" s="78"/>
      <c r="N144" s="84"/>
      <c r="O144" s="84"/>
      <c r="P144" s="84"/>
      <c r="Q144" s="84"/>
      <c r="R144" s="84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3:30">
      <c r="H145" s="25"/>
      <c r="I145" s="25"/>
      <c r="J145" s="25"/>
      <c r="L145" s="25"/>
      <c r="M145" s="78"/>
      <c r="N145" s="84"/>
      <c r="O145" s="84"/>
      <c r="P145" s="84"/>
      <c r="Q145" s="84"/>
      <c r="R145" s="84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3:30">
      <c r="H146" s="25"/>
      <c r="I146" s="25"/>
      <c r="J146" s="25"/>
      <c r="L146" s="25"/>
      <c r="M146" s="78"/>
      <c r="N146" s="84"/>
      <c r="O146" s="84"/>
      <c r="P146" s="84"/>
      <c r="Q146" s="84"/>
      <c r="R146" s="84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3:30">
      <c r="H147" s="25"/>
      <c r="I147" s="25"/>
      <c r="J147" s="25"/>
      <c r="L147" s="25"/>
      <c r="M147" s="78"/>
      <c r="N147" s="84"/>
      <c r="O147" s="84"/>
      <c r="P147" s="84"/>
      <c r="Q147" s="84"/>
      <c r="R147" s="84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3:30">
      <c r="H148" s="25"/>
      <c r="I148" s="25"/>
      <c r="J148" s="25"/>
      <c r="L148" s="25"/>
      <c r="M148" s="78"/>
      <c r="N148" s="84"/>
      <c r="O148" s="84"/>
      <c r="P148" s="84"/>
      <c r="Q148" s="84"/>
      <c r="R148" s="84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3:30">
      <c r="H149" s="25"/>
      <c r="I149" s="25"/>
      <c r="J149" s="25"/>
      <c r="L149" s="25"/>
      <c r="M149" s="78"/>
      <c r="N149" s="84"/>
      <c r="O149" s="84"/>
      <c r="P149" s="84"/>
      <c r="Q149" s="84"/>
      <c r="R149" s="84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3:30">
      <c r="H150" s="25"/>
      <c r="I150" s="25"/>
      <c r="J150" s="25"/>
      <c r="L150" s="25"/>
      <c r="M150" s="78"/>
      <c r="N150" s="84"/>
      <c r="O150" s="84"/>
      <c r="P150" s="84"/>
      <c r="Q150" s="84"/>
      <c r="R150" s="84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3:30">
      <c r="H151" s="25"/>
      <c r="I151" s="25"/>
      <c r="J151" s="25"/>
      <c r="L151" s="25"/>
      <c r="M151" s="78"/>
      <c r="N151" s="84"/>
      <c r="O151" s="84"/>
      <c r="P151" s="84"/>
      <c r="Q151" s="84"/>
      <c r="R151" s="84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3:30">
      <c r="H152" s="25"/>
      <c r="I152" s="25"/>
      <c r="J152" s="25"/>
      <c r="L152" s="25"/>
      <c r="M152" s="78"/>
      <c r="N152" s="84"/>
      <c r="O152" s="84"/>
      <c r="P152" s="84"/>
      <c r="Q152" s="84"/>
      <c r="R152" s="84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4" spans="3:30">
      <c r="C154" s="28"/>
      <c r="D154" s="28"/>
      <c r="E154" s="28"/>
      <c r="F154" s="28"/>
      <c r="G154" s="28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3:30">
      <c r="C155" s="28"/>
      <c r="D155" s="28"/>
      <c r="E155" s="28"/>
      <c r="F155" s="28"/>
      <c r="G155" s="28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3:30">
      <c r="C156" s="28"/>
      <c r="D156" s="28"/>
      <c r="E156" s="28"/>
      <c r="F156" s="28"/>
      <c r="G156" s="28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3:30">
      <c r="C157" s="28"/>
      <c r="D157" s="28"/>
      <c r="E157" s="28"/>
      <c r="F157" s="28"/>
      <c r="G157" s="28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3:30"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3:30">
      <c r="E159" s="25"/>
      <c r="F159" s="25"/>
      <c r="G159" s="25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3:30">
      <c r="E160" s="25"/>
      <c r="F160" s="25"/>
      <c r="G160" s="25"/>
      <c r="H160" s="25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5:30">
      <c r="E161" s="25"/>
      <c r="F161" s="25"/>
      <c r="G161" s="25"/>
      <c r="T161" s="27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5:30">
      <c r="E162" s="25"/>
      <c r="F162" s="25"/>
      <c r="G162" s="25"/>
      <c r="T162" s="27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5:30">
      <c r="T163" s="27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5:30">
      <c r="T164" s="27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</sheetData>
  <autoFilter ref="B6:AD6"/>
  <sortState ref="B7:AC132">
    <sortCondition ref="K7:K13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67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customWidth="1" collapsed="1"/>
    <col min="11" max="11" width="15.7109375" style="1" customWidth="1"/>
    <col min="12" max="12" width="23.42578125" style="46" customWidth="1"/>
    <col min="13" max="13" width="23.42578125" style="100" customWidth="1"/>
    <col min="14" max="18" width="23.42578125" style="46" customWidth="1"/>
    <col min="19" max="19" width="15.7109375" style="100" hidden="1" customWidth="1" outlineLevel="1"/>
    <col min="20" max="23" width="15.7109375" style="46" hidden="1" customWidth="1" outlineLevel="1"/>
    <col min="24" max="28" width="15.7109375" style="1" hidden="1" customWidth="1" outlineLevel="1"/>
    <col min="29" max="29" width="9.140625" style="1" collapsed="1"/>
    <col min="30" max="16384" width="9.140625" style="1"/>
  </cols>
  <sheetData>
    <row r="1" spans="2:29">
      <c r="H1" s="5"/>
      <c r="J1" s="5" t="s">
        <v>290</v>
      </c>
      <c r="AC1" s="5" t="s">
        <v>288</v>
      </c>
    </row>
    <row r="2" spans="2:29">
      <c r="M2" s="101"/>
      <c r="N2" s="39" t="s">
        <v>285</v>
      </c>
      <c r="O2" s="39" t="s">
        <v>285</v>
      </c>
      <c r="P2" s="39" t="s">
        <v>285</v>
      </c>
      <c r="Q2" s="39" t="s">
        <v>285</v>
      </c>
      <c r="R2" s="39" t="s">
        <v>285</v>
      </c>
      <c r="U2" s="8"/>
      <c r="X2" s="8" t="s">
        <v>47</v>
      </c>
      <c r="Y2" s="8"/>
      <c r="Z2" s="8"/>
      <c r="AA2" s="8"/>
    </row>
    <row r="3" spans="2:29">
      <c r="B3" s="5" t="s">
        <v>9</v>
      </c>
      <c r="C3" s="5" t="s">
        <v>10</v>
      </c>
      <c r="L3" s="5" t="s">
        <v>284</v>
      </c>
      <c r="M3" s="102"/>
      <c r="N3" s="41" t="str">
        <f ca="1">IF(ISNUMBER(SUM(V7:V132)),SUM(V7:V132),"BBG WAIT!")</f>
        <v>BBG WAIT!</v>
      </c>
      <c r="O3" s="42" t="s">
        <v>289</v>
      </c>
      <c r="P3" s="41">
        <f ca="1">IF(ISNUMBER(SUM(M7:M132)),SUM(M7:M132)-SUM(P7:P132)*100,"BBG WAIT!")</f>
        <v>8.6775031604702235E-13</v>
      </c>
      <c r="Q3" s="41" t="str">
        <f ca="1">IF(ISNUMBER(SUM(Y7:Y132)),SUM(Y7:Y132),"BBG WAIT!")</f>
        <v>BBG WAIT!</v>
      </c>
      <c r="R3" s="42" t="s">
        <v>289</v>
      </c>
      <c r="S3" s="105"/>
      <c r="W3" s="8"/>
      <c r="X3" s="40">
        <v>1000000</v>
      </c>
      <c r="Y3" s="46"/>
      <c r="Z3" s="8"/>
      <c r="AA3" s="8"/>
      <c r="AB3" s="8"/>
    </row>
    <row r="4" spans="2:29">
      <c r="B4" s="68">
        <f ca="1">TODAY()</f>
        <v>43388</v>
      </c>
      <c r="C4" s="69">
        <f ca="1">_xll.meDateFromTenor($B$4,"2D","MOD_FOLLOWING","TGT")</f>
        <v>43390</v>
      </c>
      <c r="D4" s="47" t="s">
        <v>291</v>
      </c>
      <c r="J4" s="1"/>
      <c r="L4" s="33" t="s">
        <v>1572</v>
      </c>
      <c r="M4" s="102"/>
      <c r="N4" s="80"/>
      <c r="O4" s="80"/>
      <c r="P4" s="80"/>
      <c r="Q4" s="80"/>
      <c r="R4" s="80"/>
      <c r="S4" s="105"/>
      <c r="W4" s="8"/>
      <c r="X4" s="46"/>
      <c r="Y4" s="46"/>
      <c r="Z4" s="8"/>
      <c r="AA4" s="8"/>
      <c r="AB4" s="8"/>
    </row>
    <row r="5" spans="2:29">
      <c r="B5" s="4"/>
      <c r="C5" s="4"/>
      <c r="D5" s="4"/>
      <c r="E5" s="4"/>
      <c r="H5" s="4"/>
      <c r="I5" s="4"/>
      <c r="K5" s="4"/>
      <c r="L5" s="1"/>
      <c r="M5" s="103" t="s">
        <v>19</v>
      </c>
      <c r="N5" s="79"/>
      <c r="O5" s="79"/>
      <c r="P5" s="79"/>
      <c r="Q5" s="79"/>
      <c r="R5" s="79"/>
      <c r="S5" s="103" t="s">
        <v>12</v>
      </c>
      <c r="T5" s="11" t="s">
        <v>12</v>
      </c>
      <c r="U5" s="12" t="s">
        <v>13</v>
      </c>
      <c r="V5" s="13" t="s">
        <v>14</v>
      </c>
      <c r="W5" s="12" t="s">
        <v>15</v>
      </c>
      <c r="X5" s="11" t="s">
        <v>16</v>
      </c>
      <c r="Y5" s="13" t="s">
        <v>14</v>
      </c>
      <c r="Z5" s="12" t="s">
        <v>15</v>
      </c>
      <c r="AA5" s="11" t="s">
        <v>16</v>
      </c>
      <c r="AB5" s="13" t="s">
        <v>14</v>
      </c>
    </row>
    <row r="6" spans="2:29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18</v>
      </c>
      <c r="M6" s="104" t="s">
        <v>1574</v>
      </c>
      <c r="N6" s="81" t="s">
        <v>286</v>
      </c>
      <c r="O6" s="81" t="s">
        <v>1577</v>
      </c>
      <c r="P6" s="81" t="s">
        <v>1578</v>
      </c>
      <c r="Q6" s="81" t="s">
        <v>287</v>
      </c>
      <c r="R6" s="81" t="s">
        <v>23</v>
      </c>
      <c r="S6" s="103" t="s">
        <v>19</v>
      </c>
      <c r="T6" s="11" t="s">
        <v>20</v>
      </c>
      <c r="U6" s="12" t="s">
        <v>21</v>
      </c>
      <c r="V6" s="13" t="s">
        <v>22</v>
      </c>
      <c r="W6" s="12" t="s">
        <v>23</v>
      </c>
      <c r="X6" s="11" t="s">
        <v>24</v>
      </c>
      <c r="Y6" s="13" t="s">
        <v>22</v>
      </c>
      <c r="Z6" s="12" t="s">
        <v>26</v>
      </c>
      <c r="AA6" s="11" t="s">
        <v>27</v>
      </c>
      <c r="AB6" s="13" t="s">
        <v>22</v>
      </c>
    </row>
    <row r="7" spans="2:29">
      <c r="B7" s="15" t="s">
        <v>706</v>
      </c>
      <c r="C7" s="15" t="s">
        <v>707</v>
      </c>
      <c r="D7" s="15" t="s">
        <v>707</v>
      </c>
      <c r="E7" s="16">
        <v>40508</v>
      </c>
      <c r="F7" s="19">
        <v>40508</v>
      </c>
      <c r="G7" s="18" t="s">
        <v>333</v>
      </c>
      <c r="H7" s="16">
        <v>40912</v>
      </c>
      <c r="I7" s="16">
        <v>43834</v>
      </c>
      <c r="J7" s="17">
        <v>2.5000000000000001E-2</v>
      </c>
      <c r="K7" s="16">
        <v>44200</v>
      </c>
      <c r="L7" s="20" t="str">
        <f ca="1">_xll.meLWOBondCreateFromGeneratorLVB(C7,$L$4,_xll.meUtilityLVBFromKeysValues($C$6:$K$6,C7:K7))</f>
        <v>DE0001135424:1</v>
      </c>
      <c r="M7" s="92">
        <f ca="1">_xll.BDP($B7,$M$5)</f>
        <v>-0.58380146167835367</v>
      </c>
      <c r="N7" s="90">
        <f ca="1">_xll.meLWOBondCleanPrice($L7,$C$4,$M7%)</f>
        <v>106.90100000000274</v>
      </c>
      <c r="O7" s="90">
        <f ca="1">_xll.meLWOBondDirtyPrice($L7,$C$4,$M7%)</f>
        <v>108.85990410959178</v>
      </c>
      <c r="P7" s="88">
        <f ca="1">_xll.meLWOBondYield($L7,$C$4,N7)</f>
        <v>-5.8380146167840204E-3</v>
      </c>
      <c r="Q7" s="89">
        <f ca="1">_xll.meLWOBondModifiedDuration($L7,$C$4,$M7%)</f>
        <v>2.159929772241056</v>
      </c>
      <c r="R7" s="23">
        <f ca="1">_xll.meLWOBondDV01($L7,$C$4,$M7%)</f>
        <v>235.12974788961378</v>
      </c>
      <c r="S7" s="85">
        <f t="shared" ref="S7:S36" ca="1" si="0">M7</f>
        <v>-0.58380146167835367</v>
      </c>
      <c r="T7" s="22" t="str">
        <f ca="1">_xll.BDP($B7,T$6, "YAS_BOND_YLD="&amp;S7,"YAS_YLD_CONV=1")</f>
        <v>#N/A Requesting Data...</v>
      </c>
      <c r="U7" s="23">
        <f ca="1">_xll.meLWOBondCleanPrice($L7,$C$4,$S7%)</f>
        <v>106.90100000000274</v>
      </c>
      <c r="V7" s="24" t="e">
        <f t="shared" ref="V7:V36" ca="1" si="1">ABS(U7-T7)</f>
        <v>#VALUE!</v>
      </c>
      <c r="W7" s="23">
        <f ca="1">_xll.meLWOBondDV01($L7,$C$4,$S7%)</f>
        <v>235.12974788961378</v>
      </c>
      <c r="X7" s="22" t="e">
        <f ca="1">_xll.BDP($B7,X$6, "YLD_YTM_ASK="&amp;$S7,"YAS_YLD_CONV=1")*$X$3*0.0001</f>
        <v>#VALUE!</v>
      </c>
      <c r="Y7" s="24" t="e">
        <f t="shared" ref="Y7:Y36" ca="1" si="2">ABS(X7-W7)</f>
        <v>#VALUE!</v>
      </c>
      <c r="Z7" s="23">
        <f ca="1">_xll.meLWOBondModifiedDuration($L7,$C$4,$S7%)</f>
        <v>2.159929772241056</v>
      </c>
      <c r="AA7" s="22" t="str">
        <f ca="1">_xll.BDP($B7,AA$6, "YLD_YTM_ASK="&amp;$S7,"YAS_YLD_CONV=1")</f>
        <v>#N/A Requesting Data...</v>
      </c>
      <c r="AB7" s="24" t="e">
        <f t="shared" ref="AB7:AB36" ca="1" si="3">ABS(AA7-Z7)</f>
        <v>#VALUE!</v>
      </c>
    </row>
    <row r="8" spans="2:29">
      <c r="B8" s="15" t="s">
        <v>708</v>
      </c>
      <c r="C8" s="15" t="s">
        <v>709</v>
      </c>
      <c r="D8" s="15" t="s">
        <v>709</v>
      </c>
      <c r="E8" s="16">
        <v>40662</v>
      </c>
      <c r="F8" s="19">
        <v>40662</v>
      </c>
      <c r="G8" s="18" t="s">
        <v>333</v>
      </c>
      <c r="H8" s="16">
        <v>41094</v>
      </c>
      <c r="I8" s="16">
        <v>44016</v>
      </c>
      <c r="J8" s="17">
        <v>3.2500000000000001E-2</v>
      </c>
      <c r="K8" s="16">
        <v>44381</v>
      </c>
      <c r="L8" s="20" t="str">
        <f ca="1">_xll.meLWOBondCreateFromGeneratorLVB(C8,$L$4,_xll.meUtilityLVBFromKeysValues($C$6:$K$6,C8:K8))</f>
        <v>DE0001135440:1</v>
      </c>
      <c r="M8" s="92">
        <f ca="1">_xll.BDP($B8,$M$5)</f>
        <v>-0.49930213290698211</v>
      </c>
      <c r="N8" s="90">
        <f ca="1">_xll.meLWOBondCleanPrice($L8,$C$4,$M8%)</f>
        <v>110.26600000004467</v>
      </c>
      <c r="O8" s="90">
        <f ca="1">_xll.meLWOBondDirtyPrice($L8,$C$4,$M8%)</f>
        <v>111.20093150689398</v>
      </c>
      <c r="P8" s="88">
        <f ca="1">_xll.meLWOBondYield($L8,$C$4,N8)</f>
        <v>-4.9930213290699044E-3</v>
      </c>
      <c r="Q8" s="89">
        <f ca="1">_xll.meLWOBondModifiedDuration($L8,$C$4,$M8%)</f>
        <v>2.63735765940157</v>
      </c>
      <c r="R8" s="23">
        <f ca="1">_xll.meLWOBondDV01($L8,$C$4,$M8%)</f>
        <v>293.27662844229621</v>
      </c>
      <c r="S8" s="85">
        <f t="shared" ca="1" si="0"/>
        <v>-0.49930213290698211</v>
      </c>
      <c r="T8" s="22" t="str">
        <f ca="1">_xll.BDP($B8,T$6, "YAS_BOND_YLD="&amp;S8,"YAS_YLD_CONV=1")</f>
        <v>#N/A Requesting Data...</v>
      </c>
      <c r="U8" s="23">
        <f ca="1">_xll.meLWOBondCleanPrice($L8,$C$4,$S8%)</f>
        <v>110.26600000004467</v>
      </c>
      <c r="V8" s="24" t="e">
        <f t="shared" ca="1" si="1"/>
        <v>#VALUE!</v>
      </c>
      <c r="W8" s="23">
        <f ca="1">_xll.meLWOBondDV01($L8,$C$4,$S8%)</f>
        <v>293.27662844229621</v>
      </c>
      <c r="X8" s="22" t="e">
        <f ca="1">_xll.BDP($B8,X$6, "YLD_YTM_ASK="&amp;$S8,"YAS_YLD_CONV=1")*$X$3*0.0001</f>
        <v>#VALUE!</v>
      </c>
      <c r="Y8" s="24" t="e">
        <f t="shared" ca="1" si="2"/>
        <v>#VALUE!</v>
      </c>
      <c r="Z8" s="23">
        <f ca="1">_xll.meLWOBondModifiedDuration($L8,$C$4,$S8%)</f>
        <v>2.63735765940157</v>
      </c>
      <c r="AA8" s="22" t="str">
        <f ca="1">_xll.BDP($B8,AA$6, "YLD_YTM_ASK="&amp;$S8,"YAS_YLD_CONV=1")</f>
        <v>#N/A Requesting Data...</v>
      </c>
      <c r="AB8" s="24" t="e">
        <f t="shared" ca="1" si="3"/>
        <v>#VALUE!</v>
      </c>
    </row>
    <row r="9" spans="2:29">
      <c r="B9" s="15" t="s">
        <v>710</v>
      </c>
      <c r="C9" s="15" t="s">
        <v>711</v>
      </c>
      <c r="D9" s="15" t="s">
        <v>711</v>
      </c>
      <c r="E9" s="16">
        <v>40781</v>
      </c>
      <c r="F9" s="19">
        <v>40781</v>
      </c>
      <c r="G9" s="18" t="s">
        <v>333</v>
      </c>
      <c r="H9" s="16">
        <v>41156</v>
      </c>
      <c r="I9" s="16">
        <v>44078</v>
      </c>
      <c r="J9" s="17">
        <v>2.2499999999999999E-2</v>
      </c>
      <c r="K9" s="16">
        <v>44443</v>
      </c>
      <c r="L9" s="20" t="str">
        <f ca="1">_xll.meLWOBondCreateFromGeneratorLVB(C9,$L$4,_xll.meUtilityLVBFromKeysValues($C$6:$K$6,C9:K9))</f>
        <v>DE0001135457:1</v>
      </c>
      <c r="M9" s="92">
        <f ca="1">_xll.BDP($B9,$M$5)</f>
        <v>-0.47613910199536658</v>
      </c>
      <c r="N9" s="90">
        <f ca="1">_xll.meLWOBondCleanPrice($L9,$C$4,$M9%)</f>
        <v>107.93100000001262</v>
      </c>
      <c r="O9" s="90">
        <f ca="1">_xll.meLWOBondDirtyPrice($L9,$C$4,$M9%)</f>
        <v>108.1960684931633</v>
      </c>
      <c r="P9" s="88">
        <f ca="1">_xll.meLWOBondYield($L9,$C$4,N9)</f>
        <v>-4.7613910199544602E-3</v>
      </c>
      <c r="Q9" s="89">
        <f ca="1">_xll.meLWOBondModifiedDuration($L9,$C$4,$M9%)</f>
        <v>2.832930589010028</v>
      </c>
      <c r="R9" s="23">
        <f ca="1">_xll.meLWOBondDV01($L9,$C$4,$M9%)</f>
        <v>306.51195204490642</v>
      </c>
      <c r="S9" s="85">
        <f t="shared" ca="1" si="0"/>
        <v>-0.47613910199536658</v>
      </c>
      <c r="T9" s="22" t="str">
        <f ca="1">_xll.BDP($B9,T$6, "YAS_BOND_YLD="&amp;S9,"YAS_YLD_CONV=1")</f>
        <v>#N/A Requesting Data...</v>
      </c>
      <c r="U9" s="23">
        <f ca="1">_xll.meLWOBondCleanPrice($L9,$C$4,$S9%)</f>
        <v>107.93100000001262</v>
      </c>
      <c r="V9" s="24" t="e">
        <f t="shared" ca="1" si="1"/>
        <v>#VALUE!</v>
      </c>
      <c r="W9" s="23">
        <f ca="1">_xll.meLWOBondDV01($L9,$C$4,$S9%)</f>
        <v>306.51195204490642</v>
      </c>
      <c r="X9" s="22" t="e">
        <f ca="1">_xll.BDP($B9,X$6, "YLD_YTM_ASK="&amp;$S9,"YAS_YLD_CONV=1")*$X$3*0.0001</f>
        <v>#VALUE!</v>
      </c>
      <c r="Y9" s="24" t="e">
        <f t="shared" ca="1" si="2"/>
        <v>#VALUE!</v>
      </c>
      <c r="Z9" s="23">
        <f ca="1">_xll.meLWOBondModifiedDuration($L9,$C$4,$S9%)</f>
        <v>2.832930589010028</v>
      </c>
      <c r="AA9" s="22" t="str">
        <f ca="1">_xll.BDP($B9,AA$6, "YLD_YTM_ASK="&amp;$S9,"YAS_YLD_CONV=1")</f>
        <v>#N/A Requesting Data...</v>
      </c>
      <c r="AB9" s="24" t="e">
        <f t="shared" ca="1" si="3"/>
        <v>#VALUE!</v>
      </c>
    </row>
    <row r="10" spans="2:29">
      <c r="B10" s="15" t="s">
        <v>712</v>
      </c>
      <c r="C10" s="15" t="s">
        <v>713</v>
      </c>
      <c r="D10" s="15" t="s">
        <v>713</v>
      </c>
      <c r="E10" s="16">
        <v>40872</v>
      </c>
      <c r="F10" s="19">
        <v>40872</v>
      </c>
      <c r="G10" s="18" t="s">
        <v>333</v>
      </c>
      <c r="H10" s="16">
        <v>41278</v>
      </c>
      <c r="I10" s="16">
        <v>44200</v>
      </c>
      <c r="J10" s="17">
        <v>0.02</v>
      </c>
      <c r="K10" s="16">
        <v>44565</v>
      </c>
      <c r="L10" s="20" t="str">
        <f ca="1">_xll.meLWOBondCreateFromGeneratorLVB(C10,$L$4,_xll.meUtilityLVBFromKeysValues($C$6:$K$6,C10:K10))</f>
        <v>DE0001135465:1</v>
      </c>
      <c r="M10" s="92">
        <f ca="1">_xll.BDP($B10,$M$5)</f>
        <v>-0.41064587597209412</v>
      </c>
      <c r="N10" s="90">
        <f ca="1">_xll.meLWOBondCleanPrice($L10,$C$4,$M10%)</f>
        <v>107.82200000001588</v>
      </c>
      <c r="O10" s="90">
        <f ca="1">_xll.meLWOBondDirtyPrice($L10,$C$4,$M10%)</f>
        <v>109.38912328768711</v>
      </c>
      <c r="P10" s="88">
        <f ca="1">_xll.meLWOBondYield($L10,$C$4,N10)</f>
        <v>-4.1064587597209714E-3</v>
      </c>
      <c r="Q10" s="89">
        <f ca="1">_xll.meLWOBondModifiedDuration($L10,$C$4,$M10%)</f>
        <v>3.1191470015333014</v>
      </c>
      <c r="R10" s="23">
        <f ca="1">_xll.meLWOBondDV01($L10,$C$4,$M10%)</f>
        <v>341.20075590314588</v>
      </c>
      <c r="S10" s="85">
        <f t="shared" ca="1" si="0"/>
        <v>-0.41064587597209412</v>
      </c>
      <c r="T10" s="22" t="str">
        <f ca="1">_xll.BDP($B10,T$6, "YAS_BOND_YLD="&amp;S10,"YAS_YLD_CONV=1")</f>
        <v>#N/A Requesting Data...</v>
      </c>
      <c r="U10" s="23">
        <f ca="1">_xll.meLWOBondCleanPrice($L10,$C$4,$S10%)</f>
        <v>107.82200000001588</v>
      </c>
      <c r="V10" s="24" t="e">
        <f t="shared" ca="1" si="1"/>
        <v>#VALUE!</v>
      </c>
      <c r="W10" s="23">
        <f ca="1">_xll.meLWOBondDV01($L10,$C$4,$S10%)</f>
        <v>341.20075590314588</v>
      </c>
      <c r="X10" s="22" t="e">
        <f ca="1">_xll.BDP($B10,X$6, "YLD_YTM_ASK="&amp;$S10,"YAS_YLD_CONV=1")*$X$3*0.0001</f>
        <v>#VALUE!</v>
      </c>
      <c r="Y10" s="24" t="e">
        <f t="shared" ca="1" si="2"/>
        <v>#VALUE!</v>
      </c>
      <c r="Z10" s="23">
        <f ca="1">_xll.meLWOBondModifiedDuration($L10,$C$4,$S10%)</f>
        <v>3.1191470015333014</v>
      </c>
      <c r="AA10" s="22" t="str">
        <f ca="1">_xll.BDP($B10,AA$6, "YLD_YTM_ASK="&amp;$S10,"YAS_YLD_CONV=1")</f>
        <v>#N/A Requesting Data...</v>
      </c>
      <c r="AB10" s="24" t="e">
        <f t="shared" ca="1" si="3"/>
        <v>#VALUE!</v>
      </c>
    </row>
    <row r="11" spans="2:29">
      <c r="B11" s="15" t="s">
        <v>714</v>
      </c>
      <c r="C11" s="15" t="s">
        <v>715</v>
      </c>
      <c r="D11" s="15" t="s">
        <v>715</v>
      </c>
      <c r="E11" s="16">
        <v>41012</v>
      </c>
      <c r="F11" s="19">
        <v>41012</v>
      </c>
      <c r="G11" s="18" t="s">
        <v>333</v>
      </c>
      <c r="H11" s="16">
        <v>41459</v>
      </c>
      <c r="I11" s="16">
        <v>44381</v>
      </c>
      <c r="J11" s="17">
        <v>1.7500000000000002E-2</v>
      </c>
      <c r="K11" s="16">
        <v>44746</v>
      </c>
      <c r="L11" s="20" t="str">
        <f ca="1">_xll.meLWOBondCreateFromGeneratorLVB(C11,$L$4,_xll.meUtilityLVBFromKeysValues($C$6:$K$6,C11:K11))</f>
        <v>DE0001135473:1</v>
      </c>
      <c r="M11" s="92">
        <f ca="1">_xll.BDP($B11,$M$5)</f>
        <v>-0.33543432424225372</v>
      </c>
      <c r="N11" s="90">
        <f ca="1">_xll.meLWOBondCleanPrice($L11,$C$4,$M11%)</f>
        <v>107.80400000002255</v>
      </c>
      <c r="O11" s="90">
        <f ca="1">_xll.meLWOBondDirtyPrice($L11,$C$4,$M11%)</f>
        <v>108.30742465755681</v>
      </c>
      <c r="P11" s="88">
        <f ca="1">_xll.meLWOBondYield($L11,$C$4,N11)</f>
        <v>-3.3543432424235345E-3</v>
      </c>
      <c r="Q11" s="89">
        <f ca="1">_xll.meLWOBondModifiedDuration($L11,$C$4,$M11%)</f>
        <v>3.6270984995717974</v>
      </c>
      <c r="R11" s="23">
        <f ca="1">_xll.meLWOBondDV01($L11,$C$4,$M11%)</f>
        <v>392.8416974679098</v>
      </c>
      <c r="S11" s="85">
        <f t="shared" ca="1" si="0"/>
        <v>-0.33543432424225372</v>
      </c>
      <c r="T11" s="22" t="str">
        <f ca="1">_xll.BDP($B11,T$6, "YAS_BOND_YLD="&amp;S11,"YAS_YLD_CONV=1")</f>
        <v>#N/A Requesting Data...</v>
      </c>
      <c r="U11" s="23">
        <f ca="1">_xll.meLWOBondCleanPrice($L11,$C$4,$S11%)</f>
        <v>107.80400000002255</v>
      </c>
      <c r="V11" s="24" t="e">
        <f t="shared" ca="1" si="1"/>
        <v>#VALUE!</v>
      </c>
      <c r="W11" s="23">
        <f ca="1">_xll.meLWOBondDV01($L11,$C$4,$S11%)</f>
        <v>392.8416974679098</v>
      </c>
      <c r="X11" s="22" t="e">
        <f ca="1">_xll.BDP($B11,X$6, "YLD_YTM_ASK="&amp;$S11,"YAS_YLD_CONV=1")*$X$3*0.0001</f>
        <v>#VALUE!</v>
      </c>
      <c r="Y11" s="24" t="e">
        <f t="shared" ca="1" si="2"/>
        <v>#VALUE!</v>
      </c>
      <c r="Z11" s="23">
        <f ca="1">_xll.meLWOBondModifiedDuration($L11,$C$4,$S11%)</f>
        <v>3.6270984995717974</v>
      </c>
      <c r="AA11" s="22" t="str">
        <f ca="1">_xll.BDP($B11,AA$6, "YLD_YTM_ASK="&amp;$S11,"YAS_YLD_CONV=1")</f>
        <v>#N/A Requesting Data...</v>
      </c>
      <c r="AB11" s="24" t="e">
        <f t="shared" ca="1" si="3"/>
        <v>#VALUE!</v>
      </c>
    </row>
    <row r="12" spans="2:29">
      <c r="B12" s="15" t="s">
        <v>716</v>
      </c>
      <c r="C12" s="15" t="s">
        <v>717</v>
      </c>
      <c r="D12" s="15" t="s">
        <v>717</v>
      </c>
      <c r="E12" s="16">
        <v>41159</v>
      </c>
      <c r="F12" s="19">
        <v>41156</v>
      </c>
      <c r="G12" s="18" t="s">
        <v>333</v>
      </c>
      <c r="H12" s="16">
        <v>41521</v>
      </c>
      <c r="I12" s="16">
        <v>44443</v>
      </c>
      <c r="J12" s="17">
        <v>1.4999999999999999E-2</v>
      </c>
      <c r="K12" s="16">
        <v>44808</v>
      </c>
      <c r="L12" s="20" t="str">
        <f ca="1">_xll.meLWOBondCreateFromGeneratorLVB(C12,$L$4,_xll.meUtilityLVBFromKeysValues($C$6:$K$6,C12:K12))</f>
        <v>DE0001135499:1</v>
      </c>
      <c r="M12" s="92">
        <f ca="1">_xll.BDP($B12,$M$5)</f>
        <v>-0.30816237331262814</v>
      </c>
      <c r="N12" s="90">
        <f ca="1">_xll.meLWOBondCleanPrice($L12,$C$4,$M12%)</f>
        <v>107.0730000000142</v>
      </c>
      <c r="O12" s="90">
        <f ca="1">_xll.meLWOBondDirtyPrice($L12,$C$4,$M12%)</f>
        <v>107.24971232878133</v>
      </c>
      <c r="P12" s="88">
        <f ca="1">_xll.meLWOBondYield($L12,$C$4,N12)</f>
        <v>-3.0816237331256183E-3</v>
      </c>
      <c r="Q12" s="89">
        <f ca="1">_xll.meLWOBondModifiedDuration($L12,$C$4,$M12%)</f>
        <v>3.8096129310012197</v>
      </c>
      <c r="R12" s="23">
        <f ca="1">_xll.meLWOBondDV01($L12,$C$4,$M12%)</f>
        <v>408.5798909338863</v>
      </c>
      <c r="S12" s="85">
        <f t="shared" ca="1" si="0"/>
        <v>-0.30816237331262814</v>
      </c>
      <c r="T12" s="22" t="str">
        <f ca="1">_xll.BDP($B12,T$6, "YAS_BOND_YLD="&amp;S12,"YAS_YLD_CONV=1")</f>
        <v>#N/A Requesting Data...</v>
      </c>
      <c r="U12" s="23">
        <f ca="1">_xll.meLWOBondCleanPrice($L12,$C$4,$S12%)</f>
        <v>107.0730000000142</v>
      </c>
      <c r="V12" s="24" t="e">
        <f t="shared" ca="1" si="1"/>
        <v>#VALUE!</v>
      </c>
      <c r="W12" s="23">
        <f ca="1">_xll.meLWOBondDV01($L12,$C$4,$S12%)</f>
        <v>408.5798909338863</v>
      </c>
      <c r="X12" s="22" t="e">
        <f ca="1">_xll.BDP($B12,X$6, "YLD_YTM_ASK="&amp;$S12,"YAS_YLD_CONV=1")*$X$3*0.0001</f>
        <v>#VALUE!</v>
      </c>
      <c r="Y12" s="24" t="e">
        <f t="shared" ca="1" si="2"/>
        <v>#VALUE!</v>
      </c>
      <c r="Z12" s="23">
        <f ca="1">_xll.meLWOBondModifiedDuration($L12,$C$4,$S12%)</f>
        <v>3.8096129310012197</v>
      </c>
      <c r="AA12" s="22" t="str">
        <f ca="1">_xll.BDP($B12,AA$6, "YLD_YTM_ASK="&amp;$S12,"YAS_YLD_CONV=1")</f>
        <v>#N/A Requesting Data...</v>
      </c>
      <c r="AB12" s="24" t="e">
        <f t="shared" ca="1" si="3"/>
        <v>#VALUE!</v>
      </c>
    </row>
    <row r="13" spans="2:29">
      <c r="B13" s="15" t="s">
        <v>718</v>
      </c>
      <c r="C13" s="15" t="s">
        <v>719</v>
      </c>
      <c r="D13" s="15" t="s">
        <v>719</v>
      </c>
      <c r="E13" s="16">
        <v>41292</v>
      </c>
      <c r="F13" s="19">
        <v>41292</v>
      </c>
      <c r="G13" s="18" t="s">
        <v>333</v>
      </c>
      <c r="H13" s="16">
        <v>41685</v>
      </c>
      <c r="I13" s="16">
        <v>44607</v>
      </c>
      <c r="J13" s="17">
        <v>1.4999999999999999E-2</v>
      </c>
      <c r="K13" s="16">
        <v>44972</v>
      </c>
      <c r="L13" s="20" t="str">
        <f ca="1">_xll.meLWOBondCreateFromGeneratorLVB(C13,$L$4,_xll.meUtilityLVBFromKeysValues($C$6:$K$6,C13:K13))</f>
        <v>DE0001102309:1</v>
      </c>
      <c r="M13" s="92">
        <f ca="1">_xll.BDP($B13,$M$5)</f>
        <v>-0.2306449603957772</v>
      </c>
      <c r="N13" s="90">
        <f ca="1">_xll.meLWOBondCleanPrice($L13,$C$4,$M13%)</f>
        <v>107.54300000002941</v>
      </c>
      <c r="O13" s="90">
        <f ca="1">_xll.meLWOBondDirtyPrice($L13,$C$4,$M13%)</f>
        <v>108.54573972605681</v>
      </c>
      <c r="P13" s="88">
        <f ca="1">_xll.meLWOBondYield($L13,$C$4,N13)</f>
        <v>-2.3064496039568371E-3</v>
      </c>
      <c r="Q13" s="89">
        <f ca="1">_xll.meLWOBondModifiedDuration($L13,$C$4,$M13%)</f>
        <v>4.2025834000008908</v>
      </c>
      <c r="R13" s="23">
        <f ca="1">_xll.meLWOBondDV01($L13,$C$4,$M13%)</f>
        <v>456.17252391354361</v>
      </c>
      <c r="S13" s="85">
        <f t="shared" ca="1" si="0"/>
        <v>-0.2306449603957772</v>
      </c>
      <c r="T13" s="22" t="str">
        <f ca="1">_xll.BDP($B13,T$6, "YAS_BOND_YLD="&amp;S13,"YAS_YLD_CONV=1")</f>
        <v>#N/A Requesting Data...</v>
      </c>
      <c r="U13" s="23">
        <f ca="1">_xll.meLWOBondCleanPrice($L13,$C$4,$S13%)</f>
        <v>107.54300000002941</v>
      </c>
      <c r="V13" s="24" t="e">
        <f t="shared" ca="1" si="1"/>
        <v>#VALUE!</v>
      </c>
      <c r="W13" s="23">
        <f ca="1">_xll.meLWOBondDV01($L13,$C$4,$S13%)</f>
        <v>456.17252391354361</v>
      </c>
      <c r="X13" s="22" t="e">
        <f ca="1">_xll.BDP($B13,X$6, "YLD_YTM_ASK="&amp;$S13,"YAS_YLD_CONV=1")*$X$3*0.0001</f>
        <v>#VALUE!</v>
      </c>
      <c r="Y13" s="24" t="e">
        <f t="shared" ca="1" si="2"/>
        <v>#VALUE!</v>
      </c>
      <c r="Z13" s="23">
        <f ca="1">_xll.meLWOBondModifiedDuration($L13,$C$4,$S13%)</f>
        <v>4.2025834000008908</v>
      </c>
      <c r="AA13" s="22" t="str">
        <f ca="1">_xll.BDP($B13,AA$6, "YLD_YTM_ASK="&amp;$S13,"YAS_YLD_CONV=1")</f>
        <v>#N/A Requesting Data...</v>
      </c>
      <c r="AB13" s="24" t="e">
        <f t="shared" ca="1" si="3"/>
        <v>#VALUE!</v>
      </c>
    </row>
    <row r="14" spans="2:29">
      <c r="B14" s="15" t="s">
        <v>720</v>
      </c>
      <c r="C14" s="15" t="s">
        <v>721</v>
      </c>
      <c r="D14" s="15" t="s">
        <v>721</v>
      </c>
      <c r="E14" s="16">
        <v>41418</v>
      </c>
      <c r="F14" s="19">
        <v>41409</v>
      </c>
      <c r="G14" s="18" t="s">
        <v>333</v>
      </c>
      <c r="H14" s="16">
        <v>41774</v>
      </c>
      <c r="I14" s="16">
        <v>44696</v>
      </c>
      <c r="J14" s="17">
        <v>1.4999999999999999E-2</v>
      </c>
      <c r="K14" s="16">
        <v>45061</v>
      </c>
      <c r="L14" s="20" t="str">
        <f ca="1">_xll.meLWOBondCreateFromGeneratorLVB(C14,$L$4,_xll.meUtilityLVBFromKeysValues($C$6:$K$6,C14:K14))</f>
        <v>DE0001102317:1</v>
      </c>
      <c r="M14" s="92">
        <f ca="1">_xll.BDP($B14,$M$5)</f>
        <v>-0.19253085044134538</v>
      </c>
      <c r="N14" s="90">
        <f ca="1">_xll.meLWOBondCleanPrice($L14,$C$4,$M14%)</f>
        <v>107.78600000004184</v>
      </c>
      <c r="O14" s="90">
        <f ca="1">_xll.meLWOBondDirtyPrice($L14,$C$4,$M14%)</f>
        <v>108.4229863014117</v>
      </c>
      <c r="P14" s="88">
        <f ca="1">_xll.meLWOBondYield($L14,$C$4,N14)</f>
        <v>-1.9253085044136343E-3</v>
      </c>
      <c r="Q14" s="89">
        <f ca="1">_xll.meLWOBondModifiedDuration($L14,$C$4,$M14%)</f>
        <v>4.4451327606356132</v>
      </c>
      <c r="R14" s="23">
        <f ca="1">_xll.meLWOBondDV01($L14,$C$4,$M14%)</f>
        <v>481.95456841435146</v>
      </c>
      <c r="S14" s="85">
        <f t="shared" ca="1" si="0"/>
        <v>-0.19253085044134538</v>
      </c>
      <c r="T14" s="22" t="str">
        <f ca="1">_xll.BDP($B14,T$6, "YAS_BOND_YLD="&amp;S14,"YAS_YLD_CONV=1")</f>
        <v>#N/A Requesting Data...</v>
      </c>
      <c r="U14" s="23">
        <f ca="1">_xll.meLWOBondCleanPrice($L14,$C$4,$S14%)</f>
        <v>107.78600000004184</v>
      </c>
      <c r="V14" s="24" t="e">
        <f t="shared" ca="1" si="1"/>
        <v>#VALUE!</v>
      </c>
      <c r="W14" s="23">
        <f ca="1">_xll.meLWOBondDV01($L14,$C$4,$S14%)</f>
        <v>481.95456841435146</v>
      </c>
      <c r="X14" s="22" t="e">
        <f ca="1">_xll.BDP($B14,X$6, "YLD_YTM_ASK="&amp;$S14,"YAS_YLD_CONV=1")*$X$3*0.0001</f>
        <v>#VALUE!</v>
      </c>
      <c r="Y14" s="24" t="e">
        <f t="shared" ca="1" si="2"/>
        <v>#VALUE!</v>
      </c>
      <c r="Z14" s="23">
        <f ca="1">_xll.meLWOBondModifiedDuration($L14,$C$4,$S14%)</f>
        <v>4.4451327606356132</v>
      </c>
      <c r="AA14" s="22" t="str">
        <f ca="1">_xll.BDP($B14,AA$6, "YLD_YTM_ASK="&amp;$S14,"YAS_YLD_CONV=1")</f>
        <v>#N/A Requesting Data...</v>
      </c>
      <c r="AB14" s="24" t="e">
        <f t="shared" ca="1" si="3"/>
        <v>#VALUE!</v>
      </c>
    </row>
    <row r="15" spans="2:29">
      <c r="B15" s="15" t="s">
        <v>722</v>
      </c>
      <c r="C15" s="15" t="s">
        <v>723</v>
      </c>
      <c r="D15" s="15" t="s">
        <v>723</v>
      </c>
      <c r="E15" s="16">
        <v>41530</v>
      </c>
      <c r="F15" s="19">
        <v>41501</v>
      </c>
      <c r="G15" s="18" t="s">
        <v>333</v>
      </c>
      <c r="H15" s="16">
        <v>41866</v>
      </c>
      <c r="I15" s="16">
        <v>44788</v>
      </c>
      <c r="J15" s="17">
        <v>0.02</v>
      </c>
      <c r="K15" s="16">
        <v>45153</v>
      </c>
      <c r="L15" s="20" t="str">
        <f ca="1">_xll.meLWOBondCreateFromGeneratorLVB(C15,$L$4,_xll.meUtilityLVBFromKeysValues($C$6:$K$6,C15:K15))</f>
        <v>DE0001102325:1</v>
      </c>
      <c r="M15" s="92">
        <f ca="1">_xll.BDP($B15,$M$5)</f>
        <v>-0.15162272020241807</v>
      </c>
      <c r="N15" s="90">
        <f ca="1">_xll.meLWOBondCleanPrice($L15,$C$4,$M15%)</f>
        <v>110.43300000024476</v>
      </c>
      <c r="O15" s="90">
        <f ca="1">_xll.meLWOBondDirtyPrice($L15,$C$4,$M15%)</f>
        <v>110.77820547969681</v>
      </c>
      <c r="P15" s="88">
        <f ca="1">_xll.meLWOBondYield($L15,$C$4,N15)</f>
        <v>-1.5162272020246238E-3</v>
      </c>
      <c r="Q15" s="89">
        <f ca="1">_xll.meLWOBondModifiedDuration($L15,$C$4,$M15%)</f>
        <v>4.6534104434672656</v>
      </c>
      <c r="R15" s="23">
        <f ca="1">_xll.meLWOBondDV01($L15,$C$4,$M15%)</f>
        <v>515.49645828778375</v>
      </c>
      <c r="S15" s="85">
        <f t="shared" ca="1" si="0"/>
        <v>-0.15162272020241807</v>
      </c>
      <c r="T15" s="22" t="str">
        <f ca="1">_xll.BDP($B15,T$6, "YAS_BOND_YLD="&amp;S15,"YAS_YLD_CONV=1")</f>
        <v>#N/A Requesting Data...</v>
      </c>
      <c r="U15" s="23">
        <f ca="1">_xll.meLWOBondCleanPrice($L15,$C$4,$S15%)</f>
        <v>110.43300000024476</v>
      </c>
      <c r="V15" s="24" t="e">
        <f t="shared" ca="1" si="1"/>
        <v>#VALUE!</v>
      </c>
      <c r="W15" s="23">
        <f ca="1">_xll.meLWOBondDV01($L15,$C$4,$S15%)</f>
        <v>515.49645828778375</v>
      </c>
      <c r="X15" s="22" t="e">
        <f ca="1">_xll.BDP($B15,X$6, "YLD_YTM_ASK="&amp;$S15,"YAS_YLD_CONV=1")*$X$3*0.0001</f>
        <v>#VALUE!</v>
      </c>
      <c r="Y15" s="24" t="e">
        <f t="shared" ca="1" si="2"/>
        <v>#VALUE!</v>
      </c>
      <c r="Z15" s="23">
        <f ca="1">_xll.meLWOBondModifiedDuration($L15,$C$4,$S15%)</f>
        <v>4.6534104434672656</v>
      </c>
      <c r="AA15" s="22" t="str">
        <f ca="1">_xll.BDP($B15,AA$6, "YLD_YTM_ASK="&amp;$S15,"YAS_YLD_CONV=1")</f>
        <v>#N/A Requesting Data...</v>
      </c>
      <c r="AB15" s="24" t="e">
        <f t="shared" ca="1" si="3"/>
        <v>#VALUE!</v>
      </c>
    </row>
    <row r="16" spans="2:29">
      <c r="B16" s="15" t="s">
        <v>724</v>
      </c>
      <c r="C16" s="15" t="s">
        <v>725</v>
      </c>
      <c r="D16" s="15" t="s">
        <v>725</v>
      </c>
      <c r="E16" s="16">
        <v>34338</v>
      </c>
      <c r="F16" s="19">
        <v>34338</v>
      </c>
      <c r="G16" s="18" t="s">
        <v>333</v>
      </c>
      <c r="H16" s="16">
        <v>34703</v>
      </c>
      <c r="I16" s="16">
        <v>44930</v>
      </c>
      <c r="J16" s="17">
        <v>6.25E-2</v>
      </c>
      <c r="K16" s="16">
        <v>45295</v>
      </c>
      <c r="L16" s="20" t="str">
        <f ca="1">_xll.meLWOBondCreateFromGeneratorLVB(C16,$L$4,_xll.meUtilityLVBFromKeysValues($C$6:$K$6,C16:K16))</f>
        <v>DE0001134922:1</v>
      </c>
      <c r="M16" s="92">
        <f ca="1">_xll.BDP($B16,$M$5)</f>
        <v>-9.184824120539517E-2</v>
      </c>
      <c r="N16" s="90">
        <f ca="1">_xll.meLWOBondCleanPrice($L16,$C$4,$M16%)</f>
        <v>133.17700000000048</v>
      </c>
      <c r="O16" s="90">
        <f ca="1">_xll.meLWOBondDirtyPrice($L16,$C$4,$M16%)</f>
        <v>138.07426027397307</v>
      </c>
      <c r="P16" s="88">
        <f ca="1">_xll.meLWOBondYield($L16,$C$4,N16)</f>
        <v>-9.1848241205317639E-4</v>
      </c>
      <c r="Q16" s="89">
        <f ca="1">_xll.meLWOBondModifiedDuration($L16,$C$4,$M16%)</f>
        <v>4.5406583484821503</v>
      </c>
      <c r="R16" s="23">
        <f ca="1">_xll.meLWOBondDV01($L16,$C$4,$M16%)</f>
        <v>626.94804262351317</v>
      </c>
      <c r="S16" s="85">
        <f t="shared" ca="1" si="0"/>
        <v>-9.184824120539517E-2</v>
      </c>
      <c r="T16" s="22" t="str">
        <f ca="1">_xll.BDP($B16,T$6, "YAS_BOND_YLD="&amp;S16,"YAS_YLD_CONV=1")</f>
        <v>#N/A Requesting Data...</v>
      </c>
      <c r="U16" s="23">
        <f ca="1">_xll.meLWOBondCleanPrice($L16,$C$4,$S16%)</f>
        <v>133.17700000000048</v>
      </c>
      <c r="V16" s="24" t="e">
        <f t="shared" ca="1" si="1"/>
        <v>#VALUE!</v>
      </c>
      <c r="W16" s="23">
        <f ca="1">_xll.meLWOBondDV01($L16,$C$4,$S16%)</f>
        <v>626.94804262351317</v>
      </c>
      <c r="X16" s="22" t="e">
        <f ca="1">_xll.BDP($B16,X$6, "YLD_YTM_ASK="&amp;$S16,"YAS_YLD_CONV=1")*$X$3*0.0001</f>
        <v>#VALUE!</v>
      </c>
      <c r="Y16" s="24" t="e">
        <f t="shared" ca="1" si="2"/>
        <v>#VALUE!</v>
      </c>
      <c r="Z16" s="23">
        <f ca="1">_xll.meLWOBondModifiedDuration($L16,$C$4,$S16%)</f>
        <v>4.5406583484821503</v>
      </c>
      <c r="AA16" s="22" t="str">
        <f ca="1">_xll.BDP($B16,AA$6, "YLD_YTM_ASK="&amp;$S16,"YAS_YLD_CONV=1")</f>
        <v>#N/A Requesting Data...</v>
      </c>
      <c r="AB16" s="24" t="e">
        <f t="shared" ca="1" si="3"/>
        <v>#VALUE!</v>
      </c>
    </row>
    <row r="17" spans="2:28">
      <c r="B17" s="15" t="s">
        <v>726</v>
      </c>
      <c r="C17" s="15" t="s">
        <v>727</v>
      </c>
      <c r="D17" s="15" t="s">
        <v>727</v>
      </c>
      <c r="E17" s="16">
        <v>41670</v>
      </c>
      <c r="F17" s="19">
        <v>41670</v>
      </c>
      <c r="G17" s="18" t="s">
        <v>333</v>
      </c>
      <c r="H17" s="16">
        <v>42050</v>
      </c>
      <c r="I17" s="16">
        <v>44972</v>
      </c>
      <c r="J17" s="17">
        <v>1.7500000000000002E-2</v>
      </c>
      <c r="K17" s="16">
        <v>45337</v>
      </c>
      <c r="L17" s="20" t="str">
        <f ca="1">_xll.meLWOBondCreateFromGeneratorLVB(C17,$L$4,_xll.meUtilityLVBFromKeysValues($C$6:$K$6,C17:K17))</f>
        <v>DE0001102333:1</v>
      </c>
      <c r="M17" s="92">
        <f ca="1">_xll.BDP($B17,$M$5)</f>
        <v>-6.5574186914727245E-2</v>
      </c>
      <c r="N17" s="90">
        <f ca="1">_xll.meLWOBondCleanPrice($L17,$C$4,$M17%)</f>
        <v>109.70000000023472</v>
      </c>
      <c r="O17" s="90">
        <f ca="1">_xll.meLWOBondDirtyPrice($L17,$C$4,$M17%)</f>
        <v>110.86986301393335</v>
      </c>
      <c r="P17" s="88">
        <f ca="1">_xll.meLWOBondYield($L17,$C$4,N17)</f>
        <v>-6.5574186914770199E-4</v>
      </c>
      <c r="Q17" s="89">
        <f ca="1">_xll.meLWOBondModifiedDuration($L17,$C$4,$M17%)</f>
        <v>5.0978268559238149</v>
      </c>
      <c r="R17" s="23">
        <f ca="1">_xll.meLWOBondDV01($L17,$C$4,$M17%)</f>
        <v>565.19536518502389</v>
      </c>
      <c r="S17" s="85">
        <f t="shared" ca="1" si="0"/>
        <v>-6.5574186914727245E-2</v>
      </c>
      <c r="T17" s="22" t="str">
        <f ca="1">_xll.BDP($B17,T$6, "YAS_BOND_YLD="&amp;S17,"YAS_YLD_CONV=1")</f>
        <v>#N/A Requesting Data...</v>
      </c>
      <c r="U17" s="23">
        <f ca="1">_xll.meLWOBondCleanPrice($L17,$C$4,$S17%)</f>
        <v>109.70000000023472</v>
      </c>
      <c r="V17" s="24" t="e">
        <f t="shared" ca="1" si="1"/>
        <v>#VALUE!</v>
      </c>
      <c r="W17" s="23">
        <f ca="1">_xll.meLWOBondDV01($L17,$C$4,$S17%)</f>
        <v>565.19536518502389</v>
      </c>
      <c r="X17" s="22" t="e">
        <f ca="1">_xll.BDP($B17,X$6, "YLD_YTM_ASK="&amp;$S17,"YAS_YLD_CONV=1")*$X$3*0.0001</f>
        <v>#VALUE!</v>
      </c>
      <c r="Y17" s="24" t="e">
        <f t="shared" ca="1" si="2"/>
        <v>#VALUE!</v>
      </c>
      <c r="Z17" s="23">
        <f ca="1">_xll.meLWOBondModifiedDuration($L17,$C$4,$S17%)</f>
        <v>5.0978268559238149</v>
      </c>
      <c r="AA17" s="22" t="str">
        <f ca="1">_xll.BDP($B17,AA$6, "YLD_YTM_ASK="&amp;$S17,"YAS_YLD_CONV=1")</f>
        <v>#N/A Requesting Data...</v>
      </c>
      <c r="AB17" s="24" t="e">
        <f t="shared" ca="1" si="3"/>
        <v>#VALUE!</v>
      </c>
    </row>
    <row r="18" spans="2:28">
      <c r="B18" s="15" t="s">
        <v>728</v>
      </c>
      <c r="C18" s="15" t="s">
        <v>729</v>
      </c>
      <c r="D18" s="15" t="s">
        <v>729</v>
      </c>
      <c r="E18" s="16">
        <v>41782</v>
      </c>
      <c r="F18" s="19">
        <v>41774</v>
      </c>
      <c r="G18" s="18" t="s">
        <v>333</v>
      </c>
      <c r="H18" s="16">
        <v>42139</v>
      </c>
      <c r="I18" s="16">
        <v>45061</v>
      </c>
      <c r="J18" s="17">
        <v>1.4999999999999999E-2</v>
      </c>
      <c r="K18" s="16">
        <v>45427</v>
      </c>
      <c r="L18" s="20" t="str">
        <f ca="1">_xll.meLWOBondCreateFromGeneratorLVB(C18,$L$4,_xll.meUtilityLVBFromKeysValues($C$6:$K$6,C18:K18))</f>
        <v>DE0001102358:1</v>
      </c>
      <c r="M18" s="92">
        <f ca="1">_xll.BDP($B18,$M$5)</f>
        <v>-3.2430288516103287E-2</v>
      </c>
      <c r="N18" s="90">
        <f ca="1">_xll.meLWOBondCleanPrice($L18,$C$4,$M18%)</f>
        <v>108.55300000013952</v>
      </c>
      <c r="O18" s="90">
        <f ca="1">_xll.meLWOBondDirtyPrice($L18,$C$4,$M18%)</f>
        <v>109.18998630150938</v>
      </c>
      <c r="P18" s="88">
        <f ca="1">_xll.meLWOBondYield($L18,$C$4,N18)</f>
        <v>-3.2430288516175639E-4</v>
      </c>
      <c r="Q18" s="89">
        <f ca="1">_xll.meLWOBondModifiedDuration($L18,$C$4,$M18%)</f>
        <v>5.3708937822746403</v>
      </c>
      <c r="R18" s="23">
        <f ca="1">_xll.meLWOBondDV01($L18,$C$4,$M18%)</f>
        <v>586.44781851342987</v>
      </c>
      <c r="S18" s="85">
        <f t="shared" ca="1" si="0"/>
        <v>-3.2430288516103287E-2</v>
      </c>
      <c r="T18" s="22" t="str">
        <f ca="1">_xll.BDP($B18,T$6, "YAS_BOND_YLD="&amp;S18,"YAS_YLD_CONV=1")</f>
        <v>#N/A Requesting Data...</v>
      </c>
      <c r="U18" s="23">
        <f ca="1">_xll.meLWOBondCleanPrice($L18,$C$4,$S18%)</f>
        <v>108.55300000013952</v>
      </c>
      <c r="V18" s="24" t="e">
        <f t="shared" ca="1" si="1"/>
        <v>#VALUE!</v>
      </c>
      <c r="W18" s="23">
        <f ca="1">_xll.meLWOBondDV01($L18,$C$4,$S18%)</f>
        <v>586.44781851342987</v>
      </c>
      <c r="X18" s="22" t="e">
        <f ca="1">_xll.BDP($B18,X$6, "YLD_YTM_ASK="&amp;$S18,"YAS_YLD_CONV=1")*$X$3*0.0001</f>
        <v>#VALUE!</v>
      </c>
      <c r="Y18" s="24" t="e">
        <f t="shared" ca="1" si="2"/>
        <v>#VALUE!</v>
      </c>
      <c r="Z18" s="23">
        <f ca="1">_xll.meLWOBondModifiedDuration($L18,$C$4,$S18%)</f>
        <v>5.3708937822746403</v>
      </c>
      <c r="AA18" s="22" t="str">
        <f ca="1">_xll.BDP($B18,AA$6, "YLD_YTM_ASK="&amp;$S18,"YAS_YLD_CONV=1")</f>
        <v>#N/A Requesting Data...</v>
      </c>
      <c r="AB18" s="24" t="e">
        <f t="shared" ca="1" si="3"/>
        <v>#VALUE!</v>
      </c>
    </row>
    <row r="19" spans="2:28">
      <c r="B19" s="15" t="s">
        <v>730</v>
      </c>
      <c r="C19" s="15" t="s">
        <v>731</v>
      </c>
      <c r="D19" s="15" t="s">
        <v>731</v>
      </c>
      <c r="E19" s="16">
        <v>41894</v>
      </c>
      <c r="F19" s="19">
        <v>41866</v>
      </c>
      <c r="G19" s="18" t="s">
        <v>333</v>
      </c>
      <c r="H19" s="16">
        <v>42231</v>
      </c>
      <c r="I19" s="16">
        <v>45153</v>
      </c>
      <c r="J19" s="17">
        <v>0.01</v>
      </c>
      <c r="K19" s="16">
        <v>45519</v>
      </c>
      <c r="L19" s="20" t="str">
        <f ca="1">_xll.meLWOBondCreateFromGeneratorLVB(C19,$L$4,_xll.meUtilityLVBFromKeysValues($C$6:$K$6,C19:K19))</f>
        <v>DE0001102366:1</v>
      </c>
      <c r="M19" s="92">
        <f ca="1">_xll.BDP($B19,$M$5)</f>
        <v>6.7041907685758137E-3</v>
      </c>
      <c r="N19" s="90">
        <f ca="1">_xll.meLWOBondCleanPrice($L19,$C$4,$M19%)</f>
        <v>105.78700000001274</v>
      </c>
      <c r="O19" s="90">
        <f ca="1">_xll.meLWOBondDirtyPrice($L19,$C$4,$M19%)</f>
        <v>105.95960273973877</v>
      </c>
      <c r="P19" s="88">
        <f ca="1">_xll.meLWOBondYield($L19,$C$4,N19)</f>
        <v>6.7041907685387489E-5</v>
      </c>
      <c r="Q19" s="89">
        <f ca="1">_xll.meLWOBondModifiedDuration($L19,$C$4,$M19%)</f>
        <v>5.6854732147876064</v>
      </c>
      <c r="R19" s="23">
        <f ca="1">_xll.meLWOBondDV01($L19,$C$4,$M19%)</f>
        <v>602.43048322632023</v>
      </c>
      <c r="S19" s="85">
        <f t="shared" ca="1" si="0"/>
        <v>6.7041907685758137E-3</v>
      </c>
      <c r="T19" s="22" t="str">
        <f ca="1">_xll.BDP($B19,T$6, "YAS_BOND_YLD="&amp;S19,"YAS_YLD_CONV=1")</f>
        <v>#N/A Requesting Data...</v>
      </c>
      <c r="U19" s="23">
        <f ca="1">_xll.meLWOBondCleanPrice($L19,$C$4,$S19%)</f>
        <v>105.78700000001274</v>
      </c>
      <c r="V19" s="24" t="e">
        <f t="shared" ca="1" si="1"/>
        <v>#VALUE!</v>
      </c>
      <c r="W19" s="23">
        <f ca="1">_xll.meLWOBondDV01($L19,$C$4,$S19%)</f>
        <v>602.43048322632023</v>
      </c>
      <c r="X19" s="22" t="e">
        <f ca="1">_xll.BDP($B19,X$6, "YLD_YTM_ASK="&amp;$S19,"YAS_YLD_CONV=1")*$X$3*0.0001</f>
        <v>#VALUE!</v>
      </c>
      <c r="Y19" s="24" t="e">
        <f t="shared" ca="1" si="2"/>
        <v>#VALUE!</v>
      </c>
      <c r="Z19" s="23">
        <f ca="1">_xll.meLWOBondModifiedDuration($L19,$C$4,$S19%)</f>
        <v>5.6854732147876064</v>
      </c>
      <c r="AA19" s="22" t="str">
        <f ca="1">_xll.BDP($B19,AA$6, "YLD_YTM_ASK="&amp;$S19,"YAS_YLD_CONV=1")</f>
        <v>#N/A Requesting Data...</v>
      </c>
      <c r="AB19" s="24" t="e">
        <f t="shared" ca="1" si="3"/>
        <v>#VALUE!</v>
      </c>
    </row>
    <row r="20" spans="2:28">
      <c r="B20" s="15" t="s">
        <v>732</v>
      </c>
      <c r="C20" s="15" t="s">
        <v>733</v>
      </c>
      <c r="D20" s="15" t="s">
        <v>733</v>
      </c>
      <c r="E20" s="16">
        <v>42020</v>
      </c>
      <c r="F20" s="19">
        <v>42020</v>
      </c>
      <c r="G20" s="18" t="s">
        <v>333</v>
      </c>
      <c r="H20" s="16">
        <v>42415</v>
      </c>
      <c r="I20" s="16">
        <v>45337</v>
      </c>
      <c r="J20" s="17">
        <v>5.0000000000000001E-3</v>
      </c>
      <c r="K20" s="16">
        <v>45703</v>
      </c>
      <c r="L20" s="20" t="str">
        <f ca="1">_xll.meLWOBondCreateFromGeneratorLVB(C20,$L$4,_xll.meUtilityLVBFromKeysValues($C$6:$K$6,C20:K20))</f>
        <v>DE0001102374:1</v>
      </c>
      <c r="M20" s="92">
        <f ca="1">_xll.BDP($B20,$M$5)</f>
        <v>7.5384564906827253E-2</v>
      </c>
      <c r="N20" s="90">
        <f ca="1">_xll.meLWOBondCleanPrice($L20,$C$4,$M20%)</f>
        <v>102.68100000000018</v>
      </c>
      <c r="O20" s="90">
        <f ca="1">_xll.meLWOBondDirtyPrice($L20,$C$4,$M20%)</f>
        <v>103.01524657534264</v>
      </c>
      <c r="P20" s="88">
        <f ca="1">_xll.meLWOBondYield($L20,$C$4,N20)</f>
        <v>7.5384564906853975E-4</v>
      </c>
      <c r="Q20" s="89">
        <f ca="1">_xll.meLWOBondModifiedDuration($L20,$C$4,$M20%)</f>
        <v>6.2250407656056277</v>
      </c>
      <c r="R20" s="23">
        <f ca="1">_xll.meLWOBondDV01($L20,$C$4,$M20%)</f>
        <v>641.27410941042353</v>
      </c>
      <c r="S20" s="85">
        <f t="shared" ca="1" si="0"/>
        <v>7.5384564906827253E-2</v>
      </c>
      <c r="T20" s="22" t="str">
        <f ca="1">_xll.BDP($B20,T$6, "YAS_BOND_YLD="&amp;S20,"YAS_YLD_CONV=1")</f>
        <v>#N/A Requesting Data...</v>
      </c>
      <c r="U20" s="23">
        <f ca="1">_xll.meLWOBondCleanPrice($L20,$C$4,$S20%)</f>
        <v>102.68100000000018</v>
      </c>
      <c r="V20" s="24" t="e">
        <f t="shared" ca="1" si="1"/>
        <v>#VALUE!</v>
      </c>
      <c r="W20" s="23">
        <f ca="1">_xll.meLWOBondDV01($L20,$C$4,$S20%)</f>
        <v>641.27410941042353</v>
      </c>
      <c r="X20" s="22" t="e">
        <f ca="1">_xll.BDP($B20,X$6, "YLD_YTM_ASK="&amp;$S20,"YAS_YLD_CONV=1")*$X$3*0.0001</f>
        <v>#VALUE!</v>
      </c>
      <c r="Y20" s="24" t="e">
        <f t="shared" ca="1" si="2"/>
        <v>#VALUE!</v>
      </c>
      <c r="Z20" s="23">
        <f ca="1">_xll.meLWOBondModifiedDuration($L20,$C$4,$S20%)</f>
        <v>6.2250407656056277</v>
      </c>
      <c r="AA20" s="22" t="str">
        <f ca="1">_xll.BDP($B20,AA$6, "YLD_YTM_ASK="&amp;$S20,"YAS_YLD_CONV=1")</f>
        <v>#N/A Requesting Data...</v>
      </c>
      <c r="AB20" s="24" t="e">
        <f t="shared" ca="1" si="3"/>
        <v>#VALUE!</v>
      </c>
    </row>
    <row r="21" spans="2:28">
      <c r="B21" s="15" t="s">
        <v>734</v>
      </c>
      <c r="C21" s="15" t="s">
        <v>735</v>
      </c>
      <c r="D21" s="15" t="s">
        <v>735</v>
      </c>
      <c r="E21" s="16">
        <v>42202</v>
      </c>
      <c r="F21" s="19">
        <v>42202</v>
      </c>
      <c r="G21" s="18" t="s">
        <v>333</v>
      </c>
      <c r="H21" s="16">
        <v>42597</v>
      </c>
      <c r="I21" s="16">
        <v>45519</v>
      </c>
      <c r="J21" s="17">
        <v>0.01</v>
      </c>
      <c r="K21" s="16">
        <v>45884</v>
      </c>
      <c r="L21" s="20" t="str">
        <f ca="1">_xll.meLWOBondCreateFromGeneratorLVB(C21,$L$4,_xll.meUtilityLVBFromKeysValues($C$6:$K$6,C21:K21))</f>
        <v>DE0001102382:1</v>
      </c>
      <c r="M21" s="92">
        <f ca="1">_xll.BDP($B21,$M$5)</f>
        <v>0.1266744070373173</v>
      </c>
      <c r="N21" s="90">
        <f ca="1">_xll.meLWOBondCleanPrice($L21,$C$4,$M21%)</f>
        <v>105.93300000004587</v>
      </c>
      <c r="O21" s="90">
        <f ca="1">_xll.meLWOBondDirtyPrice($L21,$C$4,$M21%)</f>
        <v>106.1056027397719</v>
      </c>
      <c r="P21" s="88">
        <f ca="1">_xll.meLWOBondYield($L21,$C$4,N21)</f>
        <v>1.2667440703731077E-3</v>
      </c>
      <c r="Q21" s="89">
        <f ca="1">_xll.meLWOBondModifiedDuration($L21,$C$4,$M21%)</f>
        <v>6.6217167584157801</v>
      </c>
      <c r="R21" s="23">
        <f ca="1">_xll.meLWOBondDV01($L21,$C$4,$M21%)</f>
        <v>702.60124782375487</v>
      </c>
      <c r="S21" s="85">
        <f t="shared" ca="1" si="0"/>
        <v>0.1266744070373173</v>
      </c>
      <c r="T21" s="22" t="str">
        <f ca="1">_xll.BDP($B21,T$6, "YAS_BOND_YLD="&amp;S21,"YAS_YLD_CONV=1")</f>
        <v>#N/A Requesting Data...</v>
      </c>
      <c r="U21" s="23">
        <f ca="1">_xll.meLWOBondCleanPrice($L21,$C$4,$S21%)</f>
        <v>105.93300000004587</v>
      </c>
      <c r="V21" s="24" t="e">
        <f t="shared" ca="1" si="1"/>
        <v>#VALUE!</v>
      </c>
      <c r="W21" s="23">
        <f ca="1">_xll.meLWOBondDV01($L21,$C$4,$S21%)</f>
        <v>702.60124782375487</v>
      </c>
      <c r="X21" s="22" t="e">
        <f ca="1">_xll.BDP($B21,X$6, "YLD_YTM_ASK="&amp;$S21,"YAS_YLD_CONV=1")*$X$3*0.0001</f>
        <v>#VALUE!</v>
      </c>
      <c r="Y21" s="24" t="e">
        <f t="shared" ca="1" si="2"/>
        <v>#VALUE!</v>
      </c>
      <c r="Z21" s="23">
        <f ca="1">_xll.meLWOBondModifiedDuration($L21,$C$4,$S21%)</f>
        <v>6.6217167584157801</v>
      </c>
      <c r="AA21" s="22" t="str">
        <f ca="1">_xll.BDP($B21,AA$6, "YLD_YTM_ASK="&amp;$S21,"YAS_YLD_CONV=1")</f>
        <v>#N/A Requesting Data...</v>
      </c>
      <c r="AB21" s="24" t="e">
        <f t="shared" ca="1" si="3"/>
        <v>#VALUE!</v>
      </c>
    </row>
    <row r="22" spans="2:28">
      <c r="B22" s="15" t="s">
        <v>736</v>
      </c>
      <c r="C22" s="15" t="s">
        <v>737</v>
      </c>
      <c r="D22" s="15" t="s">
        <v>737</v>
      </c>
      <c r="E22" s="16">
        <v>42384</v>
      </c>
      <c r="F22" s="19">
        <v>42384</v>
      </c>
      <c r="G22" s="18" t="s">
        <v>333</v>
      </c>
      <c r="H22" s="16">
        <v>42781</v>
      </c>
      <c r="I22" s="16">
        <v>45703</v>
      </c>
      <c r="J22" s="17">
        <v>5.0000000000000001E-3</v>
      </c>
      <c r="K22" s="16">
        <v>46068</v>
      </c>
      <c r="L22" s="20" t="str">
        <f ca="1">_xll.meLWOBondCreateFromGeneratorLVB(C22,$L$4,_xll.meUtilityLVBFromKeysValues($C$6:$K$6,C22:K22))</f>
        <v>DE0001102390:1</v>
      </c>
      <c r="M22" s="92">
        <f ca="1">_xll.BDP($B22,$M$5)</f>
        <v>0.1911915647266732</v>
      </c>
      <c r="N22" s="90">
        <f ca="1">_xll.meLWOBondCleanPrice($L22,$C$4,$M22%)</f>
        <v>102.24600000000054</v>
      </c>
      <c r="O22" s="90">
        <f ca="1">_xll.meLWOBondDirtyPrice($L22,$C$4,$M22%)</f>
        <v>102.580246575343</v>
      </c>
      <c r="P22" s="88">
        <f ca="1">_xll.meLWOBondYield($L22,$C$4,N22)</f>
        <v>1.9119156472660872E-3</v>
      </c>
      <c r="Q22" s="89">
        <f ca="1">_xll.meLWOBondModifiedDuration($L22,$C$4,$M22%)</f>
        <v>7.1819028365790327</v>
      </c>
      <c r="R22" s="23">
        <f ca="1">_xll.meLWOBondDV01($L22,$C$4,$M22%)</f>
        <v>736.7213638564325</v>
      </c>
      <c r="S22" s="85">
        <f t="shared" ca="1" si="0"/>
        <v>0.1911915647266732</v>
      </c>
      <c r="T22" s="22" t="str">
        <f ca="1">_xll.BDP($B22,T$6, "YAS_BOND_YLD="&amp;S22,"YAS_YLD_CONV=1")</f>
        <v>#N/A Requesting Data...</v>
      </c>
      <c r="U22" s="23">
        <f ca="1">_xll.meLWOBondCleanPrice($L22,$C$4,$S22%)</f>
        <v>102.24600000000054</v>
      </c>
      <c r="V22" s="24" t="e">
        <f t="shared" ca="1" si="1"/>
        <v>#VALUE!</v>
      </c>
      <c r="W22" s="23">
        <f ca="1">_xll.meLWOBondDV01($L22,$C$4,$S22%)</f>
        <v>736.7213638564325</v>
      </c>
      <c r="X22" s="22" t="e">
        <f ca="1">_xll.BDP($B22,X$6, "YLD_YTM_ASK="&amp;$S22,"YAS_YLD_CONV=1")*$X$3*0.0001</f>
        <v>#VALUE!</v>
      </c>
      <c r="Y22" s="24" t="e">
        <f t="shared" ca="1" si="2"/>
        <v>#VALUE!</v>
      </c>
      <c r="Z22" s="23">
        <f ca="1">_xll.meLWOBondModifiedDuration($L22,$C$4,$S22%)</f>
        <v>7.1819028365790327</v>
      </c>
      <c r="AA22" s="22" t="str">
        <f ca="1">_xll.BDP($B22,AA$6, "YLD_YTM_ASK="&amp;$S22,"YAS_YLD_CONV=1")</f>
        <v>#N/A Requesting Data...</v>
      </c>
      <c r="AB22" s="24" t="e">
        <f t="shared" ca="1" si="3"/>
        <v>#VALUE!</v>
      </c>
    </row>
    <row r="23" spans="2:28">
      <c r="B23" s="15" t="s">
        <v>738</v>
      </c>
      <c r="C23" s="15" t="s">
        <v>739</v>
      </c>
      <c r="D23" s="15" t="s">
        <v>739</v>
      </c>
      <c r="E23" s="16">
        <v>42566</v>
      </c>
      <c r="F23" s="19">
        <v>42566</v>
      </c>
      <c r="G23" s="18" t="s">
        <v>333</v>
      </c>
      <c r="H23" s="16">
        <v>42962</v>
      </c>
      <c r="I23" s="16">
        <v>45884</v>
      </c>
      <c r="J23" s="17">
        <v>0</v>
      </c>
      <c r="K23" s="16">
        <v>46249</v>
      </c>
      <c r="L23" s="20" t="str">
        <f ca="1">_xll.meLWOBondCreateFromGeneratorLVB(C23,$L$4,_xll.meUtilityLVBFromKeysValues($C$6:$K$6,C23:K23))</f>
        <v>DE0001102408:1</v>
      </c>
      <c r="M23" s="92">
        <f ca="1">_xll.BDP($B23,$M$5)</f>
        <v>0.25804376740257151</v>
      </c>
      <c r="N23" s="90">
        <f ca="1">_xll.meLWOBondCleanPrice($L23,$C$4,$M23%)</f>
        <v>98.002999999999943</v>
      </c>
      <c r="O23" s="90">
        <f ca="1">_xll.meLWOBondDirtyPrice($L23,$C$4,$M23%)</f>
        <v>98.002999999999943</v>
      </c>
      <c r="P23" s="88">
        <f ca="1">_xll.meLWOBondYield($L23,$C$4,N23)</f>
        <v>2.5804376740258513E-3</v>
      </c>
      <c r="Q23" s="89">
        <f ca="1">_xll.meLWOBondModifiedDuration($L23,$C$4,$M23%)</f>
        <v>7.8072511353138294</v>
      </c>
      <c r="R23" s="23">
        <f ca="1">_xll.meLWOBondDV01($L23,$C$4,$M23%)</f>
        <v>765.13403301416076</v>
      </c>
      <c r="S23" s="85">
        <f t="shared" ca="1" si="0"/>
        <v>0.25804376740257151</v>
      </c>
      <c r="T23" s="22" t="str">
        <f ca="1">_xll.BDP($B23,T$6, "YAS_BOND_YLD="&amp;S23,"YAS_YLD_CONV=1")</f>
        <v>#N/A Requesting Data...</v>
      </c>
      <c r="U23" s="23">
        <f ca="1">_xll.meLWOBondCleanPrice($L23,$C$4,$S23%)</f>
        <v>98.002999999999943</v>
      </c>
      <c r="V23" s="24" t="e">
        <f t="shared" ca="1" si="1"/>
        <v>#VALUE!</v>
      </c>
      <c r="W23" s="23">
        <f ca="1">_xll.meLWOBondDV01($L23,$C$4,$S23%)</f>
        <v>765.13403301416076</v>
      </c>
      <c r="X23" s="22" t="e">
        <f ca="1">_xll.BDP($B23,X$6, "YLD_YTM_ASK="&amp;$S23,"YAS_YLD_CONV=1")*$X$3*0.0001</f>
        <v>#VALUE!</v>
      </c>
      <c r="Y23" s="24" t="e">
        <f t="shared" ca="1" si="2"/>
        <v>#VALUE!</v>
      </c>
      <c r="Z23" s="23">
        <f ca="1">_xll.meLWOBondModifiedDuration($L23,$C$4,$S23%)</f>
        <v>7.8072511353138294</v>
      </c>
      <c r="AA23" s="22" t="str">
        <f ca="1">_xll.BDP($B23,AA$6, "YLD_YTM_ASK="&amp;$S23,"YAS_YLD_CONV=1")</f>
        <v>#N/A Requesting Data...</v>
      </c>
      <c r="AB23" s="24" t="e">
        <f t="shared" ca="1" si="3"/>
        <v>#VALUE!</v>
      </c>
    </row>
    <row r="24" spans="2:28" s="26" customFormat="1">
      <c r="B24" s="15" t="s">
        <v>740</v>
      </c>
      <c r="C24" s="15" t="s">
        <v>741</v>
      </c>
      <c r="D24" s="15" t="s">
        <v>741</v>
      </c>
      <c r="E24" s="16">
        <v>42748</v>
      </c>
      <c r="F24" s="19">
        <v>42748</v>
      </c>
      <c r="G24" s="18" t="s">
        <v>333</v>
      </c>
      <c r="H24" s="16">
        <v>43146</v>
      </c>
      <c r="I24" s="16">
        <v>46068</v>
      </c>
      <c r="J24" s="17">
        <v>2.5000000000000001E-3</v>
      </c>
      <c r="K24" s="16">
        <v>46433</v>
      </c>
      <c r="L24" s="20" t="str">
        <f ca="1">_xll.meLWOBondCreateFromGeneratorLVB(C24,$L$4,_xll.meUtilityLVBFromKeysValues($C$6:$K$6,C24:K24))</f>
        <v>DE0001102416:1</v>
      </c>
      <c r="M24" s="92">
        <f ca="1">_xll.BDP($B24,$M$5)</f>
        <v>0.31405189424655344</v>
      </c>
      <c r="N24" s="90">
        <f ca="1">_xll.meLWOBondCleanPrice($L24,$C$4,$M24%)</f>
        <v>99.473999999999947</v>
      </c>
      <c r="O24" s="90">
        <f ca="1">_xll.meLWOBondDirtyPrice($L24,$C$4,$M24%)</f>
        <v>99.641123287671178</v>
      </c>
      <c r="P24" s="88">
        <f ca="1">_xll.meLWOBondYield($L24,$C$4,N24)</f>
        <v>3.1405189424657479E-3</v>
      </c>
      <c r="Q24" s="89">
        <f ca="1">_xll.meLWOBondModifiedDuration($L24,$C$4,$M24%)</f>
        <v>8.2161296678364515</v>
      </c>
      <c r="R24" s="23">
        <f ca="1">_xll.meLWOBondDV01($L24,$C$4,$M24%)</f>
        <v>818.66438918038477</v>
      </c>
      <c r="S24" s="85">
        <f t="shared" ca="1" si="0"/>
        <v>0.31405189424655344</v>
      </c>
      <c r="T24" s="22" t="str">
        <f ca="1">_xll.BDP($B24,T$6, "YAS_BOND_YLD="&amp;S24,"YAS_YLD_CONV=1")</f>
        <v>#N/A Requesting Data...</v>
      </c>
      <c r="U24" s="23">
        <f ca="1">_xll.meLWOBondCleanPrice($L24,$C$4,$S24%)</f>
        <v>99.473999999999947</v>
      </c>
      <c r="V24" s="24" t="e">
        <f ca="1">ABS(U24-T24)</f>
        <v>#VALUE!</v>
      </c>
      <c r="W24" s="23">
        <f ca="1">_xll.meLWOBondDV01($L24,$C$4,$S24%)</f>
        <v>818.66438918038477</v>
      </c>
      <c r="X24" s="22" t="e">
        <f ca="1">_xll.BDP($B24,X$6, "YLD_YTM_ASK="&amp;$S24,"YAS_YLD_CONV=1")*$X$3*0.0001</f>
        <v>#VALUE!</v>
      </c>
      <c r="Y24" s="24" t="e">
        <f t="shared" ca="1" si="2"/>
        <v>#VALUE!</v>
      </c>
      <c r="Z24" s="23">
        <f ca="1">_xll.meLWOBondModifiedDuration($L24,$C$4,$S24%)</f>
        <v>8.2161296678364515</v>
      </c>
      <c r="AA24" s="22" t="str">
        <f ca="1">_xll.BDP($B24,AA$6, "YLD_YTM_ASK="&amp;$S24,"YAS_YLD_CONV=1")</f>
        <v>#N/A Requesting Data...</v>
      </c>
      <c r="AB24" s="24" t="e">
        <f t="shared" ca="1" si="3"/>
        <v>#VALUE!</v>
      </c>
    </row>
    <row r="25" spans="2:28">
      <c r="B25" s="15" t="s">
        <v>742</v>
      </c>
      <c r="C25" s="15" t="s">
        <v>743</v>
      </c>
      <c r="D25" s="15" t="s">
        <v>743</v>
      </c>
      <c r="E25" s="16">
        <v>35615</v>
      </c>
      <c r="F25" s="19">
        <v>35615</v>
      </c>
      <c r="G25" s="18" t="s">
        <v>333</v>
      </c>
      <c r="H25" s="16">
        <v>35980</v>
      </c>
      <c r="I25" s="16">
        <v>46207</v>
      </c>
      <c r="J25" s="17">
        <v>6.5000000000000002E-2</v>
      </c>
      <c r="K25" s="16">
        <v>46572</v>
      </c>
      <c r="L25" s="20" t="str">
        <f ca="1">_xll.meLWOBondCreateFromGeneratorLVB(C25,$L$4,_xll.meUtilityLVBFromKeysValues($C$6:$K$6,C25:K25))</f>
        <v>DE0001135044:1</v>
      </c>
      <c r="M25" s="92">
        <f ca="1">_xll.BDP($B25,$M$5)</f>
        <v>0.29640434389740516</v>
      </c>
      <c r="N25" s="90">
        <f ca="1">_xll.meLWOBondCleanPrice($L25,$C$4,$M25%)</f>
        <v>153.27600000006544</v>
      </c>
      <c r="O25" s="90">
        <f ca="1">_xll.meLWOBondDirtyPrice($L25,$C$4,$M25%)</f>
        <v>155.14586301376406</v>
      </c>
      <c r="P25" s="88">
        <f ca="1">_xll.meLWOBondYield($L25,$C$4,N25)</f>
        <v>2.9640434389855796E-3</v>
      </c>
      <c r="Q25" s="89">
        <f ca="1">_xll.meLWOBondModifiedDuration($L25,$C$4,$M25%)</f>
        <v>7.196249798978072</v>
      </c>
      <c r="R25" s="23">
        <f ca="1">_xll.meLWOBondDV01($L25,$C$4,$M25%)</f>
        <v>1116.4683855250792</v>
      </c>
      <c r="S25" s="85">
        <f t="shared" ca="1" si="0"/>
        <v>0.29640434389740516</v>
      </c>
      <c r="T25" s="22" t="str">
        <f ca="1">_xll.BDP($B25,T$6, "YAS_BOND_YLD="&amp;S25,"YAS_YLD_CONV=1")</f>
        <v>#N/A Requesting Data...</v>
      </c>
      <c r="U25" s="23">
        <f ca="1">_xll.meLWOBondCleanPrice($L25,$C$4,$S25%)</f>
        <v>153.27600000006544</v>
      </c>
      <c r="V25" s="24" t="e">
        <f t="shared" ca="1" si="1"/>
        <v>#VALUE!</v>
      </c>
      <c r="W25" s="23">
        <f ca="1">_xll.meLWOBondDV01($L25,$C$4,$S25%)</f>
        <v>1116.4683855250792</v>
      </c>
      <c r="X25" s="22" t="e">
        <f ca="1">_xll.BDP($B25,X$6, "YLD_YTM_ASK="&amp;$S25,"YAS_YLD_CONV=1")*$X$3*0.0001</f>
        <v>#VALUE!</v>
      </c>
      <c r="Y25" s="24" t="e">
        <f t="shared" ca="1" si="2"/>
        <v>#VALUE!</v>
      </c>
      <c r="Z25" s="23">
        <f ca="1">_xll.meLWOBondModifiedDuration($L25,$C$4,$S25%)</f>
        <v>7.196249798978072</v>
      </c>
      <c r="AA25" s="22" t="str">
        <f ca="1">_xll.BDP($B25,AA$6, "YLD_YTM_ASK="&amp;$S25,"YAS_YLD_CONV=1")</f>
        <v>#N/A Requesting Data...</v>
      </c>
      <c r="AB25" s="24" t="e">
        <f t="shared" ca="1" si="3"/>
        <v>#VALUE!</v>
      </c>
    </row>
    <row r="26" spans="2:28">
      <c r="B26" s="15" t="s">
        <v>744</v>
      </c>
      <c r="C26" s="15" t="s">
        <v>745</v>
      </c>
      <c r="D26" s="15" t="s">
        <v>745</v>
      </c>
      <c r="E26" s="16">
        <v>35818</v>
      </c>
      <c r="F26" s="19">
        <v>35799</v>
      </c>
      <c r="G26" s="18" t="s">
        <v>333</v>
      </c>
      <c r="H26" s="16">
        <v>36164</v>
      </c>
      <c r="I26" s="16">
        <v>46391</v>
      </c>
      <c r="J26" s="17">
        <v>5.6250000000000001E-2</v>
      </c>
      <c r="K26" s="16">
        <v>46756</v>
      </c>
      <c r="L26" s="20" t="str">
        <f ca="1">_xll.meLWOBondCreateFromGeneratorLVB(C26,$L$4,_xll.meUtilityLVBFromKeysValues($C$6:$K$6,C26:K26))</f>
        <v>DE0001135069:1</v>
      </c>
      <c r="M26" s="92">
        <f ca="1">_xll.BDP($B26,$M$5)</f>
        <v>0.36055523565943487</v>
      </c>
      <c r="N26" s="90">
        <f ca="1">_xll.meLWOBondCleanPrice($L26,$C$4,$M26%)</f>
        <v>147.63600000000727</v>
      </c>
      <c r="O26" s="90">
        <f ca="1">_xll.meLWOBondDirtyPrice($L26,$C$4,$M26%)</f>
        <v>152.04353424658262</v>
      </c>
      <c r="P26" s="88">
        <f ca="1">_xll.meLWOBondYield($L26,$C$4,N26)</f>
        <v>3.6055523566064689E-3</v>
      </c>
      <c r="Q26" s="89">
        <f ca="1">_xll.meLWOBondModifiedDuration($L26,$C$4,$M26%)</f>
        <v>7.5415612023372383</v>
      </c>
      <c r="R26" s="23">
        <f ca="1">_xll.meLWOBondDV01($L26,$C$4,$M26%)</f>
        <v>1146.6456189402606</v>
      </c>
      <c r="S26" s="85">
        <f t="shared" ca="1" si="0"/>
        <v>0.36055523565943487</v>
      </c>
      <c r="T26" s="22" t="str">
        <f ca="1">_xll.BDP($B26,T$6, "YAS_BOND_YLD="&amp;S26,"YAS_YLD_CONV=1")</f>
        <v>#N/A Requesting Data...</v>
      </c>
      <c r="U26" s="23">
        <f ca="1">_xll.meLWOBondCleanPrice($L26,$C$4,$S26%)</f>
        <v>147.63600000000727</v>
      </c>
      <c r="V26" s="24" t="e">
        <f t="shared" ca="1" si="1"/>
        <v>#VALUE!</v>
      </c>
      <c r="W26" s="23">
        <f ca="1">_xll.meLWOBondDV01($L26,$C$4,$S26%)</f>
        <v>1146.6456189402606</v>
      </c>
      <c r="X26" s="22" t="e">
        <f ca="1">_xll.BDP($B26,X$6, "YLD_YTM_ASK="&amp;$S26,"YAS_YLD_CONV=1")*$X$3*0.0001</f>
        <v>#VALUE!</v>
      </c>
      <c r="Y26" s="24" t="e">
        <f t="shared" ca="1" si="2"/>
        <v>#VALUE!</v>
      </c>
      <c r="Z26" s="23">
        <f ca="1">_xll.meLWOBondModifiedDuration($L26,$C$4,$S26%)</f>
        <v>7.5415612023372383</v>
      </c>
      <c r="AA26" s="22" t="str">
        <f ca="1">_xll.BDP($B26,AA$6, "YLD_YTM_ASK="&amp;$S26,"YAS_YLD_CONV=1")</f>
        <v>#N/A Requesting Data...</v>
      </c>
      <c r="AB26" s="24" t="e">
        <f t="shared" ca="1" si="3"/>
        <v>#VALUE!</v>
      </c>
    </row>
    <row r="27" spans="2:28">
      <c r="B27" s="15" t="s">
        <v>746</v>
      </c>
      <c r="C27" s="15" t="s">
        <v>747</v>
      </c>
      <c r="D27" s="15" t="s">
        <v>747</v>
      </c>
      <c r="E27" s="16">
        <v>36077</v>
      </c>
      <c r="F27" s="19">
        <v>35980</v>
      </c>
      <c r="G27" s="18" t="s">
        <v>333</v>
      </c>
      <c r="H27" s="16">
        <v>36345</v>
      </c>
      <c r="I27" s="16">
        <v>46572</v>
      </c>
      <c r="J27" s="17">
        <v>4.7500000000000001E-2</v>
      </c>
      <c r="K27" s="16">
        <v>46938</v>
      </c>
      <c r="L27" s="20" t="str">
        <f ca="1">_xll.meLWOBondCreateFromGeneratorLVB(C27,$L$4,_xll.meUtilityLVBFromKeysValues($C$6:$K$6,C27:K27))</f>
        <v>DE0001135085:1</v>
      </c>
      <c r="M27" s="92">
        <f ca="1">_xll.BDP($B27,$M$5)</f>
        <v>0.41440350040032459</v>
      </c>
      <c r="N27" s="90">
        <f ca="1">_xll.meLWOBondCleanPrice($L27,$C$4,$M27%)</f>
        <v>141.18699999999936</v>
      </c>
      <c r="O27" s="90">
        <f ca="1">_xll.meLWOBondDirtyPrice($L27,$C$4,$M27%)</f>
        <v>142.55343835616375</v>
      </c>
      <c r="P27" s="88">
        <f ca="1">_xll.meLWOBondYield($L27,$C$4,N27)</f>
        <v>4.1440350040155127E-3</v>
      </c>
      <c r="Q27" s="89">
        <f ca="1">_xll.meLWOBondModifiedDuration($L27,$C$4,$M27%)</f>
        <v>8.1996567333375534</v>
      </c>
      <c r="R27" s="23">
        <f ca="1">_xll.meLWOBondDV01($L27,$C$4,$M27%)</f>
        <v>1168.889260677538</v>
      </c>
      <c r="S27" s="85">
        <f t="shared" ca="1" si="0"/>
        <v>0.41440350040032459</v>
      </c>
      <c r="T27" s="22" t="str">
        <f ca="1">_xll.BDP($B27,T$6, "YAS_BOND_YLD="&amp;S27,"YAS_YLD_CONV=1")</f>
        <v>#N/A Requesting Data...</v>
      </c>
      <c r="U27" s="23">
        <f ca="1">_xll.meLWOBondCleanPrice($L27,$C$4,$S27%)</f>
        <v>141.18699999999936</v>
      </c>
      <c r="V27" s="24" t="e">
        <f t="shared" ca="1" si="1"/>
        <v>#VALUE!</v>
      </c>
      <c r="W27" s="23">
        <f ca="1">_xll.meLWOBondDV01($L27,$C$4,$S27%)</f>
        <v>1168.889260677538</v>
      </c>
      <c r="X27" s="22" t="e">
        <f ca="1">_xll.BDP($B27,X$6, "YLD_YTM_ASK="&amp;$S27,"YAS_YLD_CONV=1")*$X$3*0.0001</f>
        <v>#VALUE!</v>
      </c>
      <c r="Y27" s="24" t="e">
        <f t="shared" ca="1" si="2"/>
        <v>#VALUE!</v>
      </c>
      <c r="Z27" s="23">
        <f ca="1">_xll.meLWOBondModifiedDuration($L27,$C$4,$S27%)</f>
        <v>8.1996567333375534</v>
      </c>
      <c r="AA27" s="22" t="str">
        <f ca="1">_xll.BDP($B27,AA$6, "YLD_YTM_ASK="&amp;$S27,"YAS_YLD_CONV=1")</f>
        <v>#N/A Requesting Data...</v>
      </c>
      <c r="AB27" s="24" t="e">
        <f t="shared" ca="1" si="3"/>
        <v>#VALUE!</v>
      </c>
    </row>
    <row r="28" spans="2:28">
      <c r="B28" s="15" t="s">
        <v>748</v>
      </c>
      <c r="C28" s="15" t="s">
        <v>749</v>
      </c>
      <c r="D28" s="15" t="s">
        <v>749</v>
      </c>
      <c r="E28" s="16">
        <v>36546</v>
      </c>
      <c r="F28" s="19">
        <v>36529</v>
      </c>
      <c r="G28" s="18" t="s">
        <v>333</v>
      </c>
      <c r="H28" s="16">
        <v>36895</v>
      </c>
      <c r="I28" s="16">
        <v>47122</v>
      </c>
      <c r="J28" s="17">
        <v>6.25E-2</v>
      </c>
      <c r="K28" s="16">
        <v>47487</v>
      </c>
      <c r="L28" s="20" t="str">
        <f ca="1">_xll.meLWOBondCreateFromGeneratorLVB(C28,$L$4,_xll.meUtilityLVBFromKeysValues($C$6:$K$6,C28:K28))</f>
        <v>DE0001135143:1</v>
      </c>
      <c r="M28" s="92">
        <f ca="1">_xll.BDP($B28,$M$5)</f>
        <v>0.50005262511656967</v>
      </c>
      <c r="N28" s="90">
        <f ca="1">_xll.meLWOBondCleanPrice($L28,$C$4,$M28%)</f>
        <v>162.56400000082289</v>
      </c>
      <c r="O28" s="90">
        <f ca="1">_xll.meLWOBondDirtyPrice($L28,$C$4,$M28%)</f>
        <v>167.46126027479548</v>
      </c>
      <c r="P28" s="88">
        <f ca="1">_xll.meLWOBondYield($L28,$C$4,N28)</f>
        <v>5.0005262511469643E-3</v>
      </c>
      <c r="Q28" s="89">
        <f ca="1">_xll.meLWOBondModifiedDuration($L28,$C$4,$M28%)</f>
        <v>8.7524301969716003</v>
      </c>
      <c r="R28" s="23">
        <f ca="1">_xll.meLWOBondDV01($L28,$C$4,$M28%)</f>
        <v>1465.6929912520407</v>
      </c>
      <c r="S28" s="85">
        <f t="shared" ca="1" si="0"/>
        <v>0.50005262511656967</v>
      </c>
      <c r="T28" s="22" t="str">
        <f ca="1">_xll.BDP($B28,T$6, "YAS_BOND_YLD="&amp;S28,"YAS_YLD_CONV=1")</f>
        <v>#N/A Requesting Data...</v>
      </c>
      <c r="U28" s="23">
        <f ca="1">_xll.meLWOBondCleanPrice($L28,$C$4,$S28%)</f>
        <v>162.56400000082289</v>
      </c>
      <c r="V28" s="24" t="e">
        <f t="shared" ca="1" si="1"/>
        <v>#VALUE!</v>
      </c>
      <c r="W28" s="23">
        <f ca="1">_xll.meLWOBondDV01($L28,$C$4,$S28%)</f>
        <v>1465.6929912520407</v>
      </c>
      <c r="X28" s="22" t="e">
        <f ca="1">_xll.BDP($B28,X$6, "YLD_YTM_ASK="&amp;$S28,"YAS_YLD_CONV=1")*$X$3*0.0001</f>
        <v>#VALUE!</v>
      </c>
      <c r="Y28" s="24" t="e">
        <f t="shared" ca="1" si="2"/>
        <v>#VALUE!</v>
      </c>
      <c r="Z28" s="23">
        <f ca="1">_xll.meLWOBondModifiedDuration($L28,$C$4,$S28%)</f>
        <v>8.7524301969716003</v>
      </c>
      <c r="AA28" s="22" t="str">
        <f ca="1">_xll.BDP($B28,AA$6, "YLD_YTM_ASK="&amp;$S28,"YAS_YLD_CONV=1")</f>
        <v>#N/A Requesting Data...</v>
      </c>
      <c r="AB28" s="24" t="e">
        <f t="shared" ca="1" si="3"/>
        <v>#VALUE!</v>
      </c>
    </row>
    <row r="29" spans="2:28">
      <c r="B29" s="15" t="s">
        <v>750</v>
      </c>
      <c r="C29" s="15" t="s">
        <v>751</v>
      </c>
      <c r="D29" s="15" t="s">
        <v>751</v>
      </c>
      <c r="E29" s="16">
        <v>36826</v>
      </c>
      <c r="F29" s="19">
        <v>36826</v>
      </c>
      <c r="G29" s="18" t="s">
        <v>333</v>
      </c>
      <c r="H29" s="16">
        <v>37260</v>
      </c>
      <c r="I29" s="16">
        <v>47487</v>
      </c>
      <c r="J29" s="17">
        <v>5.5E-2</v>
      </c>
      <c r="K29" s="16">
        <v>47852</v>
      </c>
      <c r="L29" s="20" t="str">
        <f ca="1">_xll.meLWOBondCreateFromGeneratorLVB(C29,$L$4,_xll.meUtilityLVBFromKeysValues($C$6:$K$6,C29:K29))</f>
        <v>DE0001135176:1</v>
      </c>
      <c r="M29" s="92">
        <f ca="1">_xll.BDP($B29,$M$5)</f>
        <v>0.57268931244429289</v>
      </c>
      <c r="N29" s="90">
        <f ca="1">_xll.meLWOBondCleanPrice($L29,$C$4,$M29%)</f>
        <v>157.97400000020997</v>
      </c>
      <c r="O29" s="90">
        <f ca="1">_xll.meLWOBondDirtyPrice($L29,$C$4,$M29%)</f>
        <v>162.28358904130585</v>
      </c>
      <c r="P29" s="88">
        <f ca="1">_xll.meLWOBondYield($L29,$C$4,N29)</f>
        <v>5.7268931244189069E-3</v>
      </c>
      <c r="Q29" s="89">
        <f ca="1">_xll.meLWOBondModifiedDuration($L29,$C$4,$M29%)</f>
        <v>9.5756933880417314</v>
      </c>
      <c r="R29" s="23">
        <f ca="1">_xll.meLWOBondDV01($L29,$C$4,$M29%)</f>
        <v>1553.9778905705139</v>
      </c>
      <c r="S29" s="85">
        <f t="shared" ca="1" si="0"/>
        <v>0.57268931244429289</v>
      </c>
      <c r="T29" s="22" t="str">
        <f ca="1">_xll.BDP($B29,T$6, "YAS_BOND_YLD="&amp;S29,"YAS_YLD_CONV=1")</f>
        <v>#N/A Requesting Data...</v>
      </c>
      <c r="U29" s="23">
        <f ca="1">_xll.meLWOBondCleanPrice($L29,$C$4,$S29%)</f>
        <v>157.97400000020997</v>
      </c>
      <c r="V29" s="24" t="e">
        <f t="shared" ca="1" si="1"/>
        <v>#VALUE!</v>
      </c>
      <c r="W29" s="23">
        <f ca="1">_xll.meLWOBondDV01($L29,$C$4,$S29%)</f>
        <v>1553.9778905705139</v>
      </c>
      <c r="X29" s="22" t="e">
        <f ca="1">_xll.BDP($B29,X$6, "YLD_YTM_ASK="&amp;$S29,"YAS_YLD_CONV=1")*$X$3*0.0001</f>
        <v>#VALUE!</v>
      </c>
      <c r="Y29" s="24" t="e">
        <f t="shared" ca="1" si="2"/>
        <v>#VALUE!</v>
      </c>
      <c r="Z29" s="23">
        <f ca="1">_xll.meLWOBondModifiedDuration($L29,$C$4,$S29%)</f>
        <v>9.5756933880417314</v>
      </c>
      <c r="AA29" s="22" t="str">
        <f ca="1">_xll.BDP($B29,AA$6, "YLD_YTM_ASK="&amp;$S29,"YAS_YLD_CONV=1")</f>
        <v>#N/A Requesting Data...</v>
      </c>
      <c r="AB29" s="24" t="e">
        <f t="shared" ca="1" si="3"/>
        <v>#VALUE!</v>
      </c>
    </row>
    <row r="30" spans="2:28">
      <c r="B30" s="15" t="s">
        <v>752</v>
      </c>
      <c r="C30" s="15" t="s">
        <v>753</v>
      </c>
      <c r="D30" s="15" t="s">
        <v>753</v>
      </c>
      <c r="E30" s="16">
        <v>37652</v>
      </c>
      <c r="F30" s="19">
        <v>37652</v>
      </c>
      <c r="G30" s="18" t="s">
        <v>333</v>
      </c>
      <c r="H30" s="16">
        <v>38172</v>
      </c>
      <c r="I30" s="16">
        <v>48764</v>
      </c>
      <c r="J30" s="17">
        <v>4.7500000000000001E-2</v>
      </c>
      <c r="K30" s="16">
        <v>49129</v>
      </c>
      <c r="L30" s="20" t="str">
        <f ca="1">_xll.meLWOBondCreateFromGeneratorLVB(C30,$L$4,_xll.meUtilityLVBFromKeysValues($C$6:$K$6,C30:K30))</f>
        <v>DE0001135226:1</v>
      </c>
      <c r="M30" s="92">
        <f ca="1">_xll.BDP($B30,$M$5)</f>
        <v>0.75037318942967768</v>
      </c>
      <c r="N30" s="90">
        <f ca="1">_xll.meLWOBondCleanPrice($L30,$C$4,$M30%)</f>
        <v>159.06800000019314</v>
      </c>
      <c r="O30" s="90">
        <f ca="1">_xll.meLWOBondDirtyPrice($L30,$C$4,$M30%)</f>
        <v>160.43443835635753</v>
      </c>
      <c r="P30" s="88">
        <f ca="1">_xll.meLWOBondYield($L30,$C$4,N30)</f>
        <v>7.5037318942968853E-3</v>
      </c>
      <c r="Q30" s="89">
        <f ca="1">_xll.meLWOBondModifiedDuration($L30,$C$4,$M30%)</f>
        <v>12.206657972854094</v>
      </c>
      <c r="R30" s="23">
        <f ca="1">_xll.meLWOBondDV01($L30,$C$4,$M30%)</f>
        <v>1958.3683160830003</v>
      </c>
      <c r="S30" s="85">
        <f t="shared" ca="1" si="0"/>
        <v>0.75037318942967768</v>
      </c>
      <c r="T30" s="22" t="str">
        <f ca="1">_xll.BDP($B30,T$6, "YAS_BOND_YLD="&amp;S30,"YAS_YLD_CONV=1")</f>
        <v>#N/A Requesting Data...</v>
      </c>
      <c r="U30" s="23">
        <f ca="1">_xll.meLWOBondCleanPrice($L30,$C$4,$S30%)</f>
        <v>159.06800000019314</v>
      </c>
      <c r="V30" s="24" t="e">
        <f t="shared" ca="1" si="1"/>
        <v>#VALUE!</v>
      </c>
      <c r="W30" s="23">
        <f ca="1">_xll.meLWOBondDV01($L30,$C$4,$S30%)</f>
        <v>1958.3683160830003</v>
      </c>
      <c r="X30" s="22" t="e">
        <f ca="1">_xll.BDP($B30,X$6, "YLD_YTM_ASK="&amp;$S30,"YAS_YLD_CONV=1")*$X$3*0.0001</f>
        <v>#VALUE!</v>
      </c>
      <c r="Y30" s="24" t="e">
        <f t="shared" ca="1" si="2"/>
        <v>#VALUE!</v>
      </c>
      <c r="Z30" s="23">
        <f ca="1">_xll.meLWOBondModifiedDuration($L30,$C$4,$S30%)</f>
        <v>12.206657972854094</v>
      </c>
      <c r="AA30" s="22" t="str">
        <f ca="1">_xll.BDP($B30,AA$6, "YLD_YTM_ASK="&amp;$S30,"YAS_YLD_CONV=1")</f>
        <v>#N/A Requesting Data...</v>
      </c>
      <c r="AB30" s="24" t="e">
        <f t="shared" ca="1" si="3"/>
        <v>#VALUE!</v>
      </c>
    </row>
    <row r="31" spans="2:28">
      <c r="B31" s="15" t="s">
        <v>754</v>
      </c>
      <c r="C31" s="15" t="s">
        <v>755</v>
      </c>
      <c r="D31" s="15" t="s">
        <v>755</v>
      </c>
      <c r="E31" s="16">
        <v>38380</v>
      </c>
      <c r="F31" s="19">
        <v>38356</v>
      </c>
      <c r="G31" s="18" t="s">
        <v>333</v>
      </c>
      <c r="H31" s="16">
        <v>38721</v>
      </c>
      <c r="I31" s="16">
        <v>49678</v>
      </c>
      <c r="J31" s="17">
        <v>0.04</v>
      </c>
      <c r="K31" s="16">
        <v>50044</v>
      </c>
      <c r="L31" s="20" t="str">
        <f ca="1">_xll.meLWOBondCreateFromGeneratorLVB(C31,$L$4,_xll.meUtilityLVBFromKeysValues($C$6:$K$6,C31:K31))</f>
        <v>DE0001135275:1</v>
      </c>
      <c r="M31" s="92">
        <f ca="1">_xll.BDP($B31,$M$5)</f>
        <v>0.8463813344875728</v>
      </c>
      <c r="N31" s="90">
        <f ca="1">_xll.meLWOBondCleanPrice($L31,$C$4,$M31%)</f>
        <v>153.02800000000218</v>
      </c>
      <c r="O31" s="90">
        <f ca="1">_xll.meLWOBondDirtyPrice($L31,$C$4,$M31%)</f>
        <v>156.16224657534465</v>
      </c>
      <c r="P31" s="88">
        <f ca="1">_xll.meLWOBondYield($L31,$C$4,N31)</f>
        <v>8.463813344875842E-3</v>
      </c>
      <c r="Q31" s="89">
        <f ca="1">_xll.meLWOBondModifiedDuration($L31,$C$4,$M31%)</f>
        <v>13.927604350981827</v>
      </c>
      <c r="R31" s="23">
        <f ca="1">_xll.meLWOBondDV01($L31,$C$4,$M31%)</f>
        <v>2174.9659848618671</v>
      </c>
      <c r="S31" s="85">
        <f t="shared" ca="1" si="0"/>
        <v>0.8463813344875728</v>
      </c>
      <c r="T31" s="22" t="str">
        <f ca="1">_xll.BDP($B31,T$6, "YAS_BOND_YLD="&amp;S31,"YAS_YLD_CONV=1")</f>
        <v>#N/A Requesting Data...</v>
      </c>
      <c r="U31" s="23">
        <f ca="1">_xll.meLWOBondCleanPrice($L31,$C$4,$S31%)</f>
        <v>153.02800000000218</v>
      </c>
      <c r="V31" s="24" t="e">
        <f t="shared" ca="1" si="1"/>
        <v>#VALUE!</v>
      </c>
      <c r="W31" s="23">
        <f ca="1">_xll.meLWOBondDV01($L31,$C$4,$S31%)</f>
        <v>2174.9659848618671</v>
      </c>
      <c r="X31" s="22" t="e">
        <f ca="1">_xll.BDP($B31,X$6, "YLD_YTM_ASK="&amp;$S31,"YAS_YLD_CONV=1")*$X$3*0.0001</f>
        <v>#VALUE!</v>
      </c>
      <c r="Y31" s="24" t="e">
        <f t="shared" ca="1" si="2"/>
        <v>#VALUE!</v>
      </c>
      <c r="Z31" s="23">
        <f ca="1">_xll.meLWOBondModifiedDuration($L31,$C$4,$S31%)</f>
        <v>13.927604350981827</v>
      </c>
      <c r="AA31" s="22" t="str">
        <f ca="1">_xll.BDP($B31,AA$6, "YLD_YTM_ASK="&amp;$S31,"YAS_YLD_CONV=1")</f>
        <v>#N/A Requesting Data...</v>
      </c>
      <c r="AB31" s="24" t="e">
        <f t="shared" ca="1" si="3"/>
        <v>#VALUE!</v>
      </c>
    </row>
    <row r="32" spans="2:28">
      <c r="B32" s="15" t="s">
        <v>756</v>
      </c>
      <c r="C32" s="15" t="s">
        <v>757</v>
      </c>
      <c r="D32" s="15" t="s">
        <v>757</v>
      </c>
      <c r="E32" s="16">
        <v>39108</v>
      </c>
      <c r="F32" s="19">
        <v>39108</v>
      </c>
      <c r="G32" s="18" t="s">
        <v>333</v>
      </c>
      <c r="H32" s="16">
        <v>39633</v>
      </c>
      <c r="I32" s="16">
        <v>50590</v>
      </c>
      <c r="J32" s="17">
        <v>4.2500000000000003E-2</v>
      </c>
      <c r="K32" s="16">
        <v>50955</v>
      </c>
      <c r="L32" s="20" t="str">
        <f ca="1">_xll.meLWOBondCreateFromGeneratorLVB(C32,$L$4,_xll.meUtilityLVBFromKeysValues($C$6:$K$6,C32:K32))</f>
        <v>DE0001135325:1</v>
      </c>
      <c r="M32" s="92">
        <f ca="1">_xll.BDP($B32,$M$5)</f>
        <v>0.90438324654872115</v>
      </c>
      <c r="N32" s="90">
        <f ca="1">_xll.meLWOBondCleanPrice($L32,$C$4,$M32%)</f>
        <v>162.93000000033791</v>
      </c>
      <c r="O32" s="90">
        <f ca="1">_xll.meLWOBondDirtyPrice($L32,$C$4,$M32%)</f>
        <v>164.15260274006394</v>
      </c>
      <c r="P32" s="88">
        <f ca="1">_xll.meLWOBondYield($L32,$C$4,N32)</f>
        <v>9.0438324654871401E-3</v>
      </c>
      <c r="Q32" s="89">
        <f ca="1">_xll.meLWOBondModifiedDuration($L32,$C$4,$M32%)</f>
        <v>15.464865237724172</v>
      </c>
      <c r="R32" s="23">
        <f ca="1">_xll.meLWOBondDV01($L32,$C$4,$M32%)</f>
        <v>2538.5978797967605</v>
      </c>
      <c r="S32" s="85">
        <f t="shared" ca="1" si="0"/>
        <v>0.90438324654872115</v>
      </c>
      <c r="T32" s="22" t="str">
        <f ca="1">_xll.BDP($B32,T$6, "YAS_BOND_YLD="&amp;S32,"YAS_YLD_CONV=1")</f>
        <v>#N/A Requesting Data...</v>
      </c>
      <c r="U32" s="23">
        <f ca="1">_xll.meLWOBondCleanPrice($L32,$C$4,$S32%)</f>
        <v>162.93000000033791</v>
      </c>
      <c r="V32" s="24" t="e">
        <f t="shared" ca="1" si="1"/>
        <v>#VALUE!</v>
      </c>
      <c r="W32" s="23">
        <f ca="1">_xll.meLWOBondDV01($L32,$C$4,$S32%)</f>
        <v>2538.5978797967605</v>
      </c>
      <c r="X32" s="22" t="e">
        <f ca="1">_xll.BDP($B32,X$6, "YLD_YTM_ASK="&amp;$S32,"YAS_YLD_CONV=1")*$X$3*0.0001</f>
        <v>#VALUE!</v>
      </c>
      <c r="Y32" s="24" t="e">
        <f t="shared" ca="1" si="2"/>
        <v>#VALUE!</v>
      </c>
      <c r="Z32" s="23">
        <f ca="1">_xll.meLWOBondModifiedDuration($L32,$C$4,$S32%)</f>
        <v>15.464865237724172</v>
      </c>
      <c r="AA32" s="22" t="str">
        <f ca="1">_xll.BDP($B32,AA$6, "YLD_YTM_ASK="&amp;$S32,"YAS_YLD_CONV=1")</f>
        <v>#N/A Requesting Data...</v>
      </c>
      <c r="AB32" s="24" t="e">
        <f t="shared" ca="1" si="3"/>
        <v>#VALUE!</v>
      </c>
    </row>
    <row r="33" spans="2:28">
      <c r="B33" s="15" t="s">
        <v>758</v>
      </c>
      <c r="C33" s="15" t="s">
        <v>759</v>
      </c>
      <c r="D33" s="15" t="s">
        <v>759</v>
      </c>
      <c r="E33" s="16">
        <v>39654</v>
      </c>
      <c r="F33" s="19">
        <v>39633</v>
      </c>
      <c r="G33" s="18" t="s">
        <v>333</v>
      </c>
      <c r="H33" s="16">
        <v>39998</v>
      </c>
      <c r="I33" s="16">
        <v>50955</v>
      </c>
      <c r="J33" s="17">
        <v>4.7500000000000001E-2</v>
      </c>
      <c r="K33" s="16">
        <v>51321</v>
      </c>
      <c r="L33" s="20" t="str">
        <f ca="1">_xll.meLWOBondCreateFromGeneratorLVB(C33,$L$4,_xll.meUtilityLVBFromKeysValues($C$6:$K$6,C33:K33))</f>
        <v>DE0001135366:1</v>
      </c>
      <c r="M33" s="92">
        <f ca="1">_xll.BDP($B33,$M$5)</f>
        <v>0.91076498681134654</v>
      </c>
      <c r="N33" s="90">
        <f ca="1">_xll.meLWOBondCleanPrice($L33,$C$4,$M33%)</f>
        <v>175.31999999999908</v>
      </c>
      <c r="O33" s="90">
        <f ca="1">_xll.meLWOBondDirtyPrice($L33,$C$4,$M33%)</f>
        <v>176.68643835616348</v>
      </c>
      <c r="P33" s="88">
        <f ca="1">_xll.meLWOBondYield($L33,$C$4,N33)</f>
        <v>9.1076498681135383E-3</v>
      </c>
      <c r="Q33" s="89">
        <f ca="1">_xll.meLWOBondModifiedDuration($L33,$C$4,$M33%)</f>
        <v>15.754511278889623</v>
      </c>
      <c r="R33" s="23">
        <f ca="1">_xll.meLWOBondDV01($L33,$C$4,$M33%)</f>
        <v>2783.6084859090138</v>
      </c>
      <c r="S33" s="85">
        <f t="shared" ca="1" si="0"/>
        <v>0.91076498681134654</v>
      </c>
      <c r="T33" s="22" t="str">
        <f ca="1">_xll.BDP($B33,T$6, "YAS_BOND_YLD="&amp;S33,"YAS_YLD_CONV=1")</f>
        <v>#N/A Requesting Data...</v>
      </c>
      <c r="U33" s="23">
        <f ca="1">_xll.meLWOBondCleanPrice($L33,$C$4,$S33%)</f>
        <v>175.31999999999908</v>
      </c>
      <c r="V33" s="24" t="e">
        <f t="shared" ca="1" si="1"/>
        <v>#VALUE!</v>
      </c>
      <c r="W33" s="23">
        <f ca="1">_xll.meLWOBondDV01($L33,$C$4,$S33%)</f>
        <v>2783.6084859090138</v>
      </c>
      <c r="X33" s="22" t="e">
        <f ca="1">_xll.BDP($B33,X$6, "YLD_YTM_ASK="&amp;$S33,"YAS_YLD_CONV=1")*$X$3*0.0001</f>
        <v>#VALUE!</v>
      </c>
      <c r="Y33" s="24" t="e">
        <f t="shared" ca="1" si="2"/>
        <v>#VALUE!</v>
      </c>
      <c r="Z33" s="23">
        <f ca="1">_xll.meLWOBondModifiedDuration($L33,$C$4,$S33%)</f>
        <v>15.754511278889623</v>
      </c>
      <c r="AA33" s="22" t="str">
        <f ca="1">_xll.BDP($B33,AA$6, "YLD_YTM_ASK="&amp;$S33,"YAS_YLD_CONV=1")</f>
        <v>#N/A Requesting Data...</v>
      </c>
      <c r="AB33" s="24" t="e">
        <f t="shared" ca="1" si="3"/>
        <v>#VALUE!</v>
      </c>
    </row>
    <row r="34" spans="2:28">
      <c r="B34" s="15" t="s">
        <v>760</v>
      </c>
      <c r="C34" s="15" t="s">
        <v>761</v>
      </c>
      <c r="D34" s="15" t="s">
        <v>761</v>
      </c>
      <c r="E34" s="16">
        <v>40382</v>
      </c>
      <c r="F34" s="19">
        <v>40363</v>
      </c>
      <c r="G34" s="18" t="s">
        <v>333</v>
      </c>
      <c r="H34" s="16">
        <v>40728</v>
      </c>
      <c r="I34" s="16">
        <v>51686</v>
      </c>
      <c r="J34" s="17">
        <v>3.2500000000000001E-2</v>
      </c>
      <c r="K34" s="16">
        <v>52051</v>
      </c>
      <c r="L34" s="20" t="str">
        <f ca="1">_xll.meLWOBondCreateFromGeneratorLVB(C34,$L$4,_xll.meUtilityLVBFromKeysValues($C$6:$K$6,C34:K34))</f>
        <v>DE0001135432:1</v>
      </c>
      <c r="M34" s="92">
        <f ca="1">_xll.BDP($B34,$M$5)</f>
        <v>0.97881329977148201</v>
      </c>
      <c r="N34" s="90">
        <f ca="1">_xll.meLWOBondCleanPrice($L34,$C$4,$M34%)</f>
        <v>147.85099999996288</v>
      </c>
      <c r="O34" s="90">
        <f ca="1">_xll.meLWOBondDirtyPrice($L34,$C$4,$M34%)</f>
        <v>148.7859315068122</v>
      </c>
      <c r="P34" s="88">
        <f ca="1">_xll.meLWOBondYield($L34,$C$4,N34)</f>
        <v>9.7881329977146155E-3</v>
      </c>
      <c r="Q34" s="89">
        <f ca="1">_xll.meLWOBondModifiedDuration($L34,$C$4,$M34%)</f>
        <v>17.954224007220301</v>
      </c>
      <c r="R34" s="23">
        <f ca="1">_xll.meLWOBondDV01($L34,$C$4,$M34%)</f>
        <v>2671.3359433962432</v>
      </c>
      <c r="S34" s="85">
        <f t="shared" ca="1" si="0"/>
        <v>0.97881329977148201</v>
      </c>
      <c r="T34" s="22" t="str">
        <f ca="1">_xll.BDP($B34,T$6, "YAS_BOND_YLD="&amp;S34,"YAS_YLD_CONV=1")</f>
        <v>#N/A Requesting Data...</v>
      </c>
      <c r="U34" s="23">
        <f ca="1">_xll.meLWOBondCleanPrice($L34,$C$4,$S34%)</f>
        <v>147.85099999996288</v>
      </c>
      <c r="V34" s="24" t="e">
        <f t="shared" ca="1" si="1"/>
        <v>#VALUE!</v>
      </c>
      <c r="W34" s="23">
        <f ca="1">_xll.meLWOBondDV01($L34,$C$4,$S34%)</f>
        <v>2671.3359433962432</v>
      </c>
      <c r="X34" s="22" t="e">
        <f ca="1">_xll.BDP($B34,X$6, "YLD_YTM_ASK="&amp;$S34,"YAS_YLD_CONV=1")*$X$3*0.0001</f>
        <v>#VALUE!</v>
      </c>
      <c r="Y34" s="24" t="e">
        <f t="shared" ca="1" si="2"/>
        <v>#VALUE!</v>
      </c>
      <c r="Z34" s="23">
        <f ca="1">_xll.meLWOBondModifiedDuration($L34,$C$4,$S34%)</f>
        <v>17.954224007220301</v>
      </c>
      <c r="AA34" s="22" t="str">
        <f ca="1">_xll.BDP($B34,AA$6, "YLD_YTM_ASK="&amp;$S34,"YAS_YLD_CONV=1")</f>
        <v>#N/A Requesting Data...</v>
      </c>
      <c r="AB34" s="24" t="e">
        <f t="shared" ca="1" si="3"/>
        <v>#VALUE!</v>
      </c>
    </row>
    <row r="35" spans="2:28">
      <c r="B35" s="15" t="s">
        <v>762</v>
      </c>
      <c r="C35" s="15" t="s">
        <v>763</v>
      </c>
      <c r="D35" s="15" t="s">
        <v>763</v>
      </c>
      <c r="E35" s="16">
        <v>41026</v>
      </c>
      <c r="F35" s="19">
        <v>41026</v>
      </c>
      <c r="G35" s="18" t="s">
        <v>333</v>
      </c>
      <c r="H35" s="16">
        <v>41459</v>
      </c>
      <c r="I35" s="16">
        <v>52416</v>
      </c>
      <c r="J35" s="17">
        <v>2.5000000000000001E-2</v>
      </c>
      <c r="K35" s="16">
        <v>52782</v>
      </c>
      <c r="L35" s="20" t="str">
        <f ca="1">_xll.meLWOBondCreateFromGeneratorLVB(C35,$L$4,_xll.meUtilityLVBFromKeysValues($C$6:$K$6,C35:K35))</f>
        <v>DE0001135481:1</v>
      </c>
      <c r="M35" s="92">
        <f ca="1">_xll.BDP($B35,$M$5)</f>
        <v>1.0481108670072397</v>
      </c>
      <c r="N35" s="90">
        <f ca="1">_xll.meLWOBondCleanPrice($L35,$C$4,$M35%)</f>
        <v>132.57299999984744</v>
      </c>
      <c r="O35" s="90">
        <f ca="1">_xll.meLWOBondDirtyPrice($L35,$C$4,$M35%)</f>
        <v>133.29217808203921</v>
      </c>
      <c r="P35" s="88">
        <f ca="1">_xll.meLWOBondYield($L35,$C$4,N35)</f>
        <v>1.0481108670072719E-2</v>
      </c>
      <c r="Q35" s="89">
        <f ca="1">_xll.meLWOBondModifiedDuration($L35,$C$4,$M35%)</f>
        <v>19.926393987648563</v>
      </c>
      <c r="R35" s="23">
        <f ca="1">_xll.meLWOBondDV01($L35,$C$4,$M35%)</f>
        <v>2656.0324559345277</v>
      </c>
      <c r="S35" s="85">
        <f t="shared" ca="1" si="0"/>
        <v>1.0481108670072397</v>
      </c>
      <c r="T35" s="22" t="str">
        <f ca="1">_xll.BDP($B35,T$6, "YAS_BOND_YLD="&amp;S35,"YAS_YLD_CONV=1")</f>
        <v>#N/A Requesting Data...</v>
      </c>
      <c r="U35" s="23">
        <f ca="1">_xll.meLWOBondCleanPrice($L35,$C$4,$S35%)</f>
        <v>132.57299999984744</v>
      </c>
      <c r="V35" s="24" t="e">
        <f t="shared" ca="1" si="1"/>
        <v>#VALUE!</v>
      </c>
      <c r="W35" s="23">
        <f ca="1">_xll.meLWOBondDV01($L35,$C$4,$S35%)</f>
        <v>2656.0324559345277</v>
      </c>
      <c r="X35" s="22" t="e">
        <f ca="1">_xll.BDP($B35,X$6, "YLD_YTM_ASK="&amp;$S35,"YAS_YLD_CONV=1")*$X$3*0.0001</f>
        <v>#VALUE!</v>
      </c>
      <c r="Y35" s="24" t="e">
        <f t="shared" ca="1" si="2"/>
        <v>#VALUE!</v>
      </c>
      <c r="Z35" s="23">
        <f ca="1">_xll.meLWOBondModifiedDuration($L35,$C$4,$S35%)</f>
        <v>19.926393987648563</v>
      </c>
      <c r="AA35" s="22" t="str">
        <f ca="1">_xll.BDP($B35,AA$6, "YLD_YTM_ASK="&amp;$S35,"YAS_YLD_CONV=1")</f>
        <v>#N/A Requesting Data...</v>
      </c>
      <c r="AB35" s="24" t="e">
        <f t="shared" ca="1" si="3"/>
        <v>#VALUE!</v>
      </c>
    </row>
    <row r="36" spans="2:28">
      <c r="B36" s="15" t="s">
        <v>764</v>
      </c>
      <c r="C36" s="15" t="s">
        <v>765</v>
      </c>
      <c r="D36" s="15" t="s">
        <v>765</v>
      </c>
      <c r="E36" s="16">
        <v>41698</v>
      </c>
      <c r="F36" s="19">
        <v>41698</v>
      </c>
      <c r="G36" s="18" t="s">
        <v>333</v>
      </c>
      <c r="H36" s="16">
        <v>42231</v>
      </c>
      <c r="I36" s="16">
        <v>53189</v>
      </c>
      <c r="J36" s="17">
        <v>2.5000000000000001E-2</v>
      </c>
      <c r="K36" s="16">
        <v>53554</v>
      </c>
      <c r="L36" s="20" t="str">
        <f ca="1">_xll.meLWOBondCreateFromGeneratorLVB(C36,$L$4,_xll.meUtilityLVBFromKeysValues($C$6:$K$6,C36:K36))</f>
        <v>DE0001102341:1</v>
      </c>
      <c r="M36" s="92">
        <f ca="1">_xll.BDP($B36,$M$5)</f>
        <v>1.0763534112301971</v>
      </c>
      <c r="N36" s="90">
        <f ca="1">_xll.meLWOBondCleanPrice($L36,$C$4,$M36%)</f>
        <v>134.07499999972217</v>
      </c>
      <c r="O36" s="90">
        <f ca="1">_xll.meLWOBondDirtyPrice($L36,$C$4,$M36%)</f>
        <v>134.50650684903724</v>
      </c>
      <c r="P36" s="88">
        <f ca="1">_xll.meLWOBondYield($L36,$C$4,N36)</f>
        <v>1.076353411230203E-2</v>
      </c>
      <c r="Q36" s="89">
        <f ca="1">_xll.meLWOBondModifiedDuration($L36,$C$4,$M36%)</f>
        <v>21.237099897952195</v>
      </c>
      <c r="R36" s="23">
        <f ca="1">_xll.meLWOBondDV01($L36,$C$4,$M36%)</f>
        <v>2856.5281228775948</v>
      </c>
      <c r="S36" s="85">
        <f t="shared" ca="1" si="0"/>
        <v>1.0763534112301971</v>
      </c>
      <c r="T36" s="22" t="str">
        <f ca="1">_xll.BDP($B36,T$6, "YAS_BOND_YLD="&amp;S36,"YAS_YLD_CONV=1")</f>
        <v>#N/A Requesting Data...</v>
      </c>
      <c r="U36" s="23">
        <f ca="1">_xll.meLWOBondCleanPrice($L36,$C$4,$S36%)</f>
        <v>134.07499999972217</v>
      </c>
      <c r="V36" s="24" t="e">
        <f t="shared" ca="1" si="1"/>
        <v>#VALUE!</v>
      </c>
      <c r="W36" s="23">
        <f ca="1">_xll.meLWOBondDV01($L36,$C$4,$S36%)</f>
        <v>2856.5281228775948</v>
      </c>
      <c r="X36" s="22" t="e">
        <f ca="1">_xll.BDP($B36,X$6, "YLD_YTM_ASK="&amp;$S36,"YAS_YLD_CONV=1")*$X$3*0.0001</f>
        <v>#VALUE!</v>
      </c>
      <c r="Y36" s="24" t="e">
        <f t="shared" ca="1" si="2"/>
        <v>#VALUE!</v>
      </c>
      <c r="Z36" s="23">
        <f ca="1">_xll.meLWOBondModifiedDuration($L36,$C$4,$S36%)</f>
        <v>21.237099897952195</v>
      </c>
      <c r="AA36" s="22" t="str">
        <f ca="1">_xll.BDP($B36,AA$6, "YLD_YTM_ASK="&amp;$S36,"YAS_YLD_CONV=1")</f>
        <v>#N/A Requesting Data...</v>
      </c>
      <c r="AB36" s="24" t="e">
        <f t="shared" ca="1" si="3"/>
        <v>#VALUE!</v>
      </c>
    </row>
    <row r="37" spans="2:28">
      <c r="J37" s="1"/>
    </row>
    <row r="38" spans="2:28">
      <c r="J38" s="1"/>
    </row>
    <row r="39" spans="2:28">
      <c r="J39" s="1"/>
    </row>
    <row r="40" spans="2:28">
      <c r="J40" s="1"/>
    </row>
    <row r="41" spans="2:28">
      <c r="J41" s="1"/>
    </row>
    <row r="42" spans="2:28">
      <c r="J42" s="1"/>
    </row>
    <row r="43" spans="2:28">
      <c r="J43" s="1"/>
    </row>
    <row r="44" spans="2:28">
      <c r="J44" s="1"/>
    </row>
    <row r="45" spans="2:28">
      <c r="J45" s="1"/>
    </row>
    <row r="46" spans="2:28">
      <c r="J46" s="1"/>
    </row>
    <row r="47" spans="2:28">
      <c r="J47" s="1"/>
    </row>
    <row r="48" spans="2:28">
      <c r="J48" s="1"/>
    </row>
    <row r="49" spans="10:10">
      <c r="J49" s="1"/>
    </row>
    <row r="50" spans="10:10">
      <c r="J50" s="1"/>
    </row>
    <row r="51" spans="10:10">
      <c r="J51" s="1"/>
    </row>
    <row r="52" spans="10:10">
      <c r="J52" s="1"/>
    </row>
    <row r="53" spans="10:10">
      <c r="J53" s="1"/>
    </row>
    <row r="54" spans="10:10">
      <c r="J54" s="1"/>
    </row>
    <row r="55" spans="10:10">
      <c r="J55" s="1"/>
    </row>
    <row r="56" spans="10:10">
      <c r="J56" s="1"/>
    </row>
    <row r="57" spans="10:10">
      <c r="J57" s="1"/>
    </row>
    <row r="58" spans="10:10">
      <c r="J58" s="1"/>
    </row>
    <row r="59" spans="10:10">
      <c r="J59" s="1"/>
    </row>
    <row r="60" spans="10:10">
      <c r="J60" s="1"/>
    </row>
    <row r="61" spans="10:10">
      <c r="J61" s="1"/>
    </row>
    <row r="62" spans="10:10">
      <c r="J62" s="1"/>
    </row>
    <row r="63" spans="10:10">
      <c r="J63" s="1"/>
    </row>
    <row r="64" spans="10:10">
      <c r="J64" s="1"/>
    </row>
    <row r="65" spans="10:10">
      <c r="J65" s="1"/>
    </row>
    <row r="66" spans="10:10">
      <c r="J66" s="1"/>
    </row>
    <row r="67" spans="10:10">
      <c r="J67" s="1"/>
    </row>
  </sheetData>
  <autoFilter ref="B6:AB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XEZ219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1" width="15.7109375" style="1" customWidth="1"/>
    <col min="12" max="12" width="22.7109375" style="1" customWidth="1"/>
    <col min="13" max="13" width="15.7109375" style="1" customWidth="1"/>
    <col min="14" max="15" width="15.7109375" style="96" customWidth="1"/>
    <col min="16" max="16" width="15.7109375" style="110" customWidth="1"/>
    <col min="17" max="18" width="15.7109375" style="1" customWidth="1"/>
    <col min="19" max="19" width="21.28515625" style="105" hidden="1" customWidth="1" outlineLevel="1"/>
    <col min="20" max="21" width="15.7109375" style="46" hidden="1" customWidth="1" outlineLevel="1"/>
    <col min="22" max="22" width="20" style="46" hidden="1" customWidth="1" outlineLevel="1"/>
    <col min="23" max="30" width="15.7109375" style="46" hidden="1" customWidth="1" outlineLevel="1"/>
    <col min="31" max="31" width="18.28515625" style="46" hidden="1" customWidth="1" outlineLevel="1"/>
    <col min="32" max="32" width="24" style="55" hidden="1" customWidth="1" outlineLevel="1"/>
    <col min="33" max="33" width="18.140625" style="46" hidden="1" customWidth="1" outlineLevel="1"/>
    <col min="34" max="34" width="15.7109375" style="46" hidden="1" customWidth="1" outlineLevel="1"/>
    <col min="35" max="35" width="30.140625" style="56" hidden="1" customWidth="1" outlineLevel="1"/>
    <col min="36" max="36" width="15.7109375" style="57" hidden="1" customWidth="1" outlineLevel="1"/>
    <col min="37" max="37" width="9.140625" style="1" collapsed="1"/>
    <col min="38" max="38" width="10.7109375" style="1" bestFit="1" customWidth="1"/>
    <col min="39" max="39" width="9.140625" style="1"/>
    <col min="40" max="40" width="13" style="1" customWidth="1"/>
    <col min="41" max="41" width="9.140625" style="1"/>
    <col min="42" max="42" width="17.85546875" style="1" customWidth="1"/>
    <col min="43" max="43" width="16.85546875" style="1" customWidth="1"/>
    <col min="44" max="44" width="9.140625" style="1"/>
    <col min="45" max="45" width="29.85546875" style="1" customWidth="1"/>
    <col min="46" max="16384" width="9.140625" style="1"/>
  </cols>
  <sheetData>
    <row r="1" spans="2:16380">
      <c r="J1" s="5" t="s">
        <v>290</v>
      </c>
      <c r="AK1" s="5" t="s">
        <v>288</v>
      </c>
    </row>
    <row r="2" spans="2:16380">
      <c r="M2" s="79"/>
      <c r="N2" s="107" t="s">
        <v>285</v>
      </c>
      <c r="O2" s="107" t="s">
        <v>285</v>
      </c>
      <c r="P2" s="111" t="s">
        <v>285</v>
      </c>
      <c r="Q2" s="39" t="s">
        <v>285</v>
      </c>
      <c r="R2" s="39" t="s">
        <v>285</v>
      </c>
      <c r="X2" s="8"/>
      <c r="Y2" s="71" t="s">
        <v>47</v>
      </c>
      <c r="AA2" s="8"/>
      <c r="AB2" s="8"/>
      <c r="AC2" s="8"/>
      <c r="AD2" s="8"/>
      <c r="AE2" s="8"/>
      <c r="AF2" s="58"/>
      <c r="AG2" s="8"/>
    </row>
    <row r="3" spans="2:16380">
      <c r="B3" s="5" t="s">
        <v>9</v>
      </c>
      <c r="C3" s="5" t="s">
        <v>10</v>
      </c>
      <c r="L3" s="5" t="s">
        <v>284</v>
      </c>
      <c r="M3" s="80"/>
      <c r="N3" s="41" t="str">
        <f ca="1">IF(ISNUMBER(SUM(W7:W192)),SUM(W7:W192),"BBG WAIT!")</f>
        <v>BBG WAIT!</v>
      </c>
      <c r="O3" s="108" t="s">
        <v>289</v>
      </c>
      <c r="P3" s="109">
        <f ca="1">IF(ISNUMBER(SUM(M7:M192)),SUM(M7:M192)-SUM(P7:P192)*100,"BBG WAIT!")</f>
        <v>6.0751403907488566E-13</v>
      </c>
      <c r="Q3" s="41" t="str">
        <f ca="1">IF(ISNUMBER(SUM(AC7:AC192)),SUM(AC7:AC192),"BBG WAIT!")</f>
        <v>BBG WAIT!</v>
      </c>
      <c r="R3" s="42" t="s">
        <v>289</v>
      </c>
      <c r="X3" s="8"/>
      <c r="Y3" s="71">
        <v>1000000</v>
      </c>
      <c r="AA3" s="8"/>
      <c r="AB3" s="8"/>
      <c r="AC3" s="8"/>
      <c r="AD3" s="8"/>
      <c r="AE3" s="8"/>
      <c r="AF3" s="58"/>
      <c r="AG3" s="8"/>
    </row>
    <row r="4" spans="2:16380">
      <c r="B4" s="6">
        <f ca="1">TODAY()</f>
        <v>43388</v>
      </c>
      <c r="C4" s="43">
        <f ca="1">_xll.meDateFromTenor($B$4,$D$4,"MOD_FOLLOWING","TKB")</f>
        <v>43391</v>
      </c>
      <c r="D4" s="47" t="s">
        <v>766</v>
      </c>
      <c r="L4" s="33" t="s">
        <v>1573</v>
      </c>
      <c r="M4" s="80"/>
      <c r="N4" s="98"/>
      <c r="O4" s="98"/>
      <c r="P4" s="112"/>
      <c r="Q4" s="80"/>
      <c r="R4" s="80"/>
      <c r="X4" s="8"/>
      <c r="Y4" s="45"/>
      <c r="AA4" s="8"/>
      <c r="AB4" s="8"/>
      <c r="AC4" s="8"/>
      <c r="AD4" s="8"/>
      <c r="AE4" s="8"/>
      <c r="AF4" s="58"/>
      <c r="AG4" s="8"/>
    </row>
    <row r="5" spans="2:16380">
      <c r="B5" s="4"/>
      <c r="C5" s="4"/>
      <c r="D5" s="4"/>
      <c r="E5" s="4"/>
      <c r="F5" s="4"/>
      <c r="H5" s="4"/>
      <c r="I5" s="4"/>
      <c r="J5" s="4"/>
      <c r="K5" s="4"/>
      <c r="M5" s="10" t="s">
        <v>19</v>
      </c>
      <c r="N5" s="97"/>
      <c r="O5" s="97"/>
      <c r="P5" s="113"/>
      <c r="Q5" s="79"/>
      <c r="R5" s="79"/>
      <c r="S5" s="103" t="s">
        <v>12</v>
      </c>
      <c r="T5" s="11" t="s">
        <v>12</v>
      </c>
      <c r="U5" s="12" t="s">
        <v>13</v>
      </c>
      <c r="V5" s="12" t="s">
        <v>15</v>
      </c>
      <c r="W5" s="13" t="s">
        <v>14</v>
      </c>
      <c r="X5" s="12" t="s">
        <v>15</v>
      </c>
      <c r="Y5" s="11" t="s">
        <v>16</v>
      </c>
      <c r="Z5" s="13" t="s">
        <v>14</v>
      </c>
      <c r="AA5" s="12" t="s">
        <v>15</v>
      </c>
      <c r="AB5" s="11" t="s">
        <v>16</v>
      </c>
      <c r="AC5" s="13" t="s">
        <v>14</v>
      </c>
      <c r="AD5" s="12" t="s">
        <v>15</v>
      </c>
      <c r="AE5" s="59" t="s">
        <v>767</v>
      </c>
      <c r="AF5" s="60" t="s">
        <v>15</v>
      </c>
      <c r="AG5" s="61" t="s">
        <v>15</v>
      </c>
      <c r="AH5" s="62" t="s">
        <v>14</v>
      </c>
      <c r="AI5" s="59" t="s">
        <v>768</v>
      </c>
      <c r="AJ5" s="13" t="s">
        <v>14</v>
      </c>
      <c r="AK5" s="10"/>
      <c r="AL5" s="11"/>
      <c r="AM5" s="12"/>
      <c r="AN5" s="13"/>
      <c r="AO5" s="12"/>
      <c r="AP5" s="11"/>
      <c r="AQ5" s="13"/>
      <c r="AR5" s="12"/>
      <c r="AS5" s="12"/>
      <c r="AT5" s="11"/>
      <c r="AU5" s="13"/>
      <c r="AV5" s="4"/>
      <c r="AW5" s="4"/>
      <c r="AX5" s="4"/>
      <c r="AY5" s="4"/>
      <c r="AZ5" s="4"/>
      <c r="BA5" s="4"/>
      <c r="BB5" s="4"/>
      <c r="BC5" s="4"/>
      <c r="BE5" s="4"/>
      <c r="BG5" s="10"/>
      <c r="BH5" s="11"/>
      <c r="BI5" s="12"/>
      <c r="BJ5" s="13"/>
      <c r="BK5" s="12"/>
      <c r="BL5" s="11"/>
      <c r="BM5" s="13"/>
      <c r="BN5" s="12"/>
      <c r="BO5" s="12"/>
      <c r="BP5" s="11"/>
      <c r="BQ5" s="13"/>
      <c r="BR5" s="4"/>
      <c r="BS5" s="4"/>
      <c r="BT5" s="4"/>
      <c r="BU5" s="4"/>
      <c r="BV5" s="4"/>
      <c r="BW5" s="4"/>
      <c r="BX5" s="4"/>
      <c r="BY5" s="4"/>
      <c r="CA5" s="4"/>
      <c r="CC5" s="10"/>
      <c r="CD5" s="11"/>
      <c r="CE5" s="12"/>
      <c r="CF5" s="13"/>
      <c r="CG5" s="12"/>
      <c r="CH5" s="11"/>
      <c r="CI5" s="13"/>
      <c r="CJ5" s="12"/>
      <c r="CK5" s="12"/>
      <c r="CL5" s="11"/>
      <c r="CM5" s="13"/>
      <c r="CN5" s="4"/>
      <c r="CO5" s="4"/>
      <c r="CP5" s="4"/>
      <c r="CQ5" s="4"/>
      <c r="CR5" s="4"/>
      <c r="CS5" s="4"/>
      <c r="CT5" s="4"/>
      <c r="CU5" s="4"/>
      <c r="CW5" s="4"/>
      <c r="CY5" s="10"/>
      <c r="CZ5" s="11"/>
      <c r="DA5" s="12"/>
      <c r="DB5" s="13"/>
      <c r="DC5" s="12"/>
      <c r="DD5" s="11"/>
      <c r="DE5" s="13"/>
      <c r="DF5" s="12"/>
      <c r="DG5" s="12"/>
      <c r="DH5" s="11"/>
      <c r="DI5" s="13"/>
      <c r="DJ5" s="4"/>
      <c r="DK5" s="4"/>
      <c r="DL5" s="4"/>
      <c r="DM5" s="4"/>
      <c r="DN5" s="4"/>
      <c r="DO5" s="4"/>
      <c r="DP5" s="4"/>
      <c r="DQ5" s="4"/>
      <c r="DS5" s="4"/>
      <c r="DU5" s="10"/>
      <c r="DV5" s="11"/>
      <c r="DW5" s="12"/>
      <c r="DX5" s="13"/>
      <c r="DY5" s="12"/>
      <c r="DZ5" s="11"/>
      <c r="EA5" s="13"/>
      <c r="EB5" s="12"/>
      <c r="EC5" s="12"/>
      <c r="ED5" s="11"/>
      <c r="EE5" s="13"/>
      <c r="EF5" s="4"/>
      <c r="EG5" s="4"/>
      <c r="EH5" s="4"/>
      <c r="EI5" s="4"/>
      <c r="EJ5" s="4"/>
      <c r="EK5" s="4"/>
      <c r="EL5" s="4"/>
      <c r="EM5" s="4"/>
      <c r="EO5" s="4"/>
      <c r="EQ5" s="10"/>
      <c r="ER5" s="11"/>
      <c r="ES5" s="12"/>
      <c r="ET5" s="13"/>
      <c r="EU5" s="12"/>
      <c r="EV5" s="11"/>
      <c r="EW5" s="13"/>
      <c r="EX5" s="12"/>
      <c r="EY5" s="12"/>
      <c r="EZ5" s="11"/>
      <c r="FA5" s="13"/>
      <c r="FB5" s="4"/>
      <c r="FC5" s="4"/>
      <c r="FD5" s="4"/>
      <c r="FE5" s="4"/>
      <c r="FF5" s="4"/>
      <c r="FG5" s="4"/>
      <c r="FH5" s="4"/>
      <c r="FI5" s="4"/>
      <c r="FK5" s="4"/>
      <c r="FM5" s="10"/>
      <c r="FN5" s="11"/>
      <c r="FO5" s="12"/>
      <c r="FP5" s="13"/>
      <c r="FQ5" s="12"/>
      <c r="FR5" s="11"/>
      <c r="FS5" s="13"/>
      <c r="FT5" s="12"/>
      <c r="FU5" s="12"/>
      <c r="FV5" s="11"/>
      <c r="FW5" s="13"/>
      <c r="FX5" s="4"/>
      <c r="FY5" s="4"/>
      <c r="FZ5" s="4"/>
      <c r="GA5" s="4"/>
      <c r="GB5" s="4"/>
      <c r="GC5" s="4"/>
      <c r="GD5" s="4"/>
      <c r="GE5" s="4"/>
      <c r="GG5" s="4"/>
      <c r="GI5" s="10"/>
      <c r="GJ5" s="11"/>
      <c r="GK5" s="12"/>
      <c r="GL5" s="13"/>
      <c r="GM5" s="12"/>
      <c r="GN5" s="11"/>
      <c r="GO5" s="13"/>
      <c r="GP5" s="12"/>
      <c r="GQ5" s="12"/>
      <c r="GR5" s="11"/>
      <c r="GS5" s="13"/>
      <c r="GT5" s="4"/>
      <c r="GU5" s="4"/>
      <c r="GV5" s="4"/>
      <c r="GW5" s="4"/>
      <c r="GX5" s="4"/>
      <c r="GY5" s="4"/>
      <c r="GZ5" s="4"/>
      <c r="HA5" s="4"/>
      <c r="HC5" s="4"/>
      <c r="HE5" s="10"/>
      <c r="HF5" s="11"/>
      <c r="HG5" s="12"/>
      <c r="HH5" s="13"/>
      <c r="HI5" s="12"/>
      <c r="HJ5" s="11"/>
      <c r="HK5" s="13"/>
      <c r="HL5" s="12"/>
      <c r="HM5" s="12"/>
      <c r="HN5" s="11"/>
      <c r="HO5" s="13"/>
      <c r="HP5" s="4"/>
      <c r="HQ5" s="4"/>
      <c r="HR5" s="4"/>
      <c r="HS5" s="4"/>
      <c r="HT5" s="4"/>
      <c r="HU5" s="4"/>
      <c r="HV5" s="4"/>
      <c r="HW5" s="4"/>
      <c r="HY5" s="4"/>
      <c r="IA5" s="10"/>
      <c r="IB5" s="11"/>
      <c r="IC5" s="12"/>
      <c r="ID5" s="13"/>
      <c r="IE5" s="12"/>
      <c r="IF5" s="11"/>
      <c r="IG5" s="13"/>
      <c r="IH5" s="12"/>
      <c r="II5" s="12"/>
      <c r="IJ5" s="11"/>
      <c r="IK5" s="13"/>
      <c r="IL5" s="4"/>
      <c r="IM5" s="4"/>
      <c r="IN5" s="4"/>
      <c r="IO5" s="4"/>
      <c r="IP5" s="4"/>
      <c r="IQ5" s="4"/>
      <c r="IR5" s="4"/>
      <c r="IS5" s="4"/>
      <c r="IU5" s="4"/>
      <c r="IW5" s="10"/>
      <c r="IX5" s="11"/>
      <c r="IY5" s="12"/>
      <c r="IZ5" s="13"/>
      <c r="JA5" s="12"/>
      <c r="JB5" s="11"/>
      <c r="JC5" s="13"/>
      <c r="JD5" s="12"/>
      <c r="JE5" s="12"/>
      <c r="JF5" s="11"/>
      <c r="JG5" s="13"/>
      <c r="JH5" s="4"/>
      <c r="JI5" s="4"/>
      <c r="JJ5" s="4"/>
      <c r="JK5" s="4"/>
      <c r="JL5" s="4"/>
      <c r="JM5" s="4"/>
      <c r="JN5" s="4"/>
      <c r="JO5" s="4"/>
      <c r="JQ5" s="4"/>
      <c r="JS5" s="10"/>
      <c r="JT5" s="11"/>
      <c r="JU5" s="12"/>
      <c r="JV5" s="13"/>
      <c r="JW5" s="12"/>
      <c r="JX5" s="11"/>
      <c r="JY5" s="13"/>
      <c r="JZ5" s="12"/>
      <c r="KA5" s="12"/>
      <c r="KB5" s="11"/>
      <c r="KC5" s="13"/>
      <c r="KD5" s="4"/>
      <c r="KE5" s="4"/>
      <c r="KF5" s="4"/>
      <c r="KG5" s="4"/>
      <c r="KH5" s="4"/>
      <c r="KI5" s="4"/>
      <c r="KJ5" s="4"/>
      <c r="KK5" s="4"/>
      <c r="KM5" s="4"/>
      <c r="KO5" s="10"/>
      <c r="KP5" s="11"/>
      <c r="KQ5" s="12"/>
      <c r="KR5" s="13"/>
      <c r="KS5" s="12"/>
      <c r="KT5" s="11"/>
      <c r="KU5" s="13"/>
      <c r="KV5" s="12"/>
      <c r="KW5" s="12"/>
      <c r="KX5" s="11"/>
      <c r="KY5" s="13"/>
      <c r="KZ5" s="4"/>
      <c r="LA5" s="4"/>
      <c r="LB5" s="4"/>
      <c r="LC5" s="4"/>
      <c r="LD5" s="4"/>
      <c r="LE5" s="4"/>
      <c r="LF5" s="4"/>
      <c r="LG5" s="4"/>
      <c r="LI5" s="4"/>
      <c r="LK5" s="10"/>
      <c r="LL5" s="11"/>
      <c r="LM5" s="12"/>
      <c r="LN5" s="13"/>
      <c r="LO5" s="12"/>
      <c r="LP5" s="11"/>
      <c r="LQ5" s="13"/>
      <c r="LR5" s="12"/>
      <c r="LS5" s="12"/>
      <c r="LT5" s="11"/>
      <c r="LU5" s="13"/>
      <c r="LV5" s="4"/>
      <c r="LW5" s="4"/>
      <c r="LX5" s="4"/>
      <c r="LY5" s="4"/>
      <c r="LZ5" s="4"/>
      <c r="MA5" s="4"/>
      <c r="MB5" s="4"/>
      <c r="MC5" s="4"/>
      <c r="ME5" s="4"/>
      <c r="MG5" s="10"/>
      <c r="MH5" s="11"/>
      <c r="MI5" s="12"/>
      <c r="MJ5" s="13"/>
      <c r="MK5" s="12"/>
      <c r="ML5" s="11"/>
      <c r="MM5" s="13"/>
      <c r="MN5" s="12"/>
      <c r="MO5" s="12"/>
      <c r="MP5" s="11"/>
      <c r="MQ5" s="13"/>
      <c r="MR5" s="4"/>
      <c r="MS5" s="4"/>
      <c r="MT5" s="4"/>
      <c r="MU5" s="4"/>
      <c r="MV5" s="4"/>
      <c r="MW5" s="4"/>
      <c r="MX5" s="4"/>
      <c r="MY5" s="4"/>
      <c r="NA5" s="4"/>
      <c r="NC5" s="10"/>
      <c r="ND5" s="11"/>
      <c r="NE5" s="12"/>
      <c r="NF5" s="13"/>
      <c r="NG5" s="12"/>
      <c r="NH5" s="11"/>
      <c r="NI5" s="13"/>
      <c r="NJ5" s="12"/>
      <c r="NK5" s="12"/>
      <c r="NL5" s="11"/>
      <c r="NM5" s="13"/>
      <c r="NN5" s="4"/>
      <c r="NO5" s="4"/>
      <c r="NP5" s="4"/>
      <c r="NQ5" s="4"/>
      <c r="NR5" s="4"/>
      <c r="NS5" s="4"/>
      <c r="NT5" s="4"/>
      <c r="NU5" s="4"/>
      <c r="NW5" s="4"/>
      <c r="NY5" s="10"/>
      <c r="NZ5" s="11"/>
      <c r="OA5" s="12"/>
      <c r="OB5" s="13"/>
      <c r="OC5" s="12"/>
      <c r="OD5" s="11"/>
      <c r="OE5" s="13"/>
      <c r="OF5" s="12"/>
      <c r="OG5" s="12"/>
      <c r="OH5" s="11"/>
      <c r="OI5" s="13"/>
      <c r="OJ5" s="4"/>
      <c r="OK5" s="4"/>
      <c r="OL5" s="4"/>
      <c r="OM5" s="4"/>
      <c r="ON5" s="4"/>
      <c r="OO5" s="4"/>
      <c r="OP5" s="4"/>
      <c r="OQ5" s="4"/>
      <c r="OS5" s="4"/>
      <c r="OU5" s="10"/>
      <c r="OV5" s="11"/>
      <c r="OW5" s="12"/>
      <c r="OX5" s="13"/>
      <c r="OY5" s="12"/>
      <c r="OZ5" s="11"/>
      <c r="PA5" s="13"/>
      <c r="PB5" s="12"/>
      <c r="PC5" s="12"/>
      <c r="PD5" s="11"/>
      <c r="PE5" s="13"/>
      <c r="PF5" s="4"/>
      <c r="PG5" s="4"/>
      <c r="PH5" s="4"/>
      <c r="PI5" s="4"/>
      <c r="PJ5" s="4"/>
      <c r="PK5" s="4"/>
      <c r="PL5" s="4"/>
      <c r="PM5" s="4"/>
      <c r="PO5" s="4"/>
      <c r="PQ5" s="10"/>
      <c r="PR5" s="11"/>
      <c r="PS5" s="12"/>
      <c r="PT5" s="13"/>
      <c r="PU5" s="12"/>
      <c r="PV5" s="11"/>
      <c r="PW5" s="13"/>
      <c r="PX5" s="12"/>
      <c r="PY5" s="12"/>
      <c r="PZ5" s="11"/>
      <c r="QA5" s="13"/>
      <c r="QB5" s="4"/>
      <c r="QC5" s="4"/>
      <c r="QD5" s="4"/>
      <c r="QE5" s="4"/>
      <c r="QF5" s="4"/>
      <c r="QG5" s="4"/>
      <c r="QH5" s="4"/>
      <c r="QI5" s="4"/>
      <c r="QK5" s="4"/>
      <c r="QM5" s="10"/>
      <c r="QN5" s="11"/>
      <c r="QO5" s="12"/>
      <c r="QP5" s="13"/>
      <c r="QQ5" s="12"/>
      <c r="QR5" s="11"/>
      <c r="QS5" s="13"/>
      <c r="QT5" s="12"/>
      <c r="QU5" s="12"/>
      <c r="QV5" s="11"/>
      <c r="QW5" s="13"/>
      <c r="QX5" s="4"/>
      <c r="QY5" s="4"/>
      <c r="QZ5" s="4"/>
      <c r="RA5" s="4"/>
      <c r="RB5" s="4"/>
      <c r="RC5" s="4"/>
      <c r="RD5" s="4"/>
      <c r="RE5" s="4"/>
      <c r="RG5" s="4"/>
      <c r="RI5" s="10"/>
      <c r="RJ5" s="11"/>
      <c r="RK5" s="12"/>
      <c r="RL5" s="13"/>
      <c r="RM5" s="12"/>
      <c r="RN5" s="11"/>
      <c r="RO5" s="13"/>
      <c r="RP5" s="12"/>
      <c r="RQ5" s="12"/>
      <c r="RR5" s="11"/>
      <c r="RS5" s="13"/>
      <c r="RT5" s="4"/>
      <c r="RU5" s="4"/>
      <c r="RV5" s="4"/>
      <c r="RW5" s="4"/>
      <c r="RX5" s="4"/>
      <c r="RY5" s="4"/>
      <c r="RZ5" s="4"/>
      <c r="SA5" s="4"/>
      <c r="SC5" s="4"/>
      <c r="SE5" s="10"/>
      <c r="SF5" s="11"/>
      <c r="SG5" s="12"/>
      <c r="SH5" s="13"/>
      <c r="SI5" s="12"/>
      <c r="SJ5" s="11"/>
      <c r="SK5" s="13"/>
      <c r="SL5" s="12"/>
      <c r="SM5" s="12"/>
      <c r="SN5" s="11"/>
      <c r="SO5" s="13"/>
      <c r="SP5" s="4"/>
      <c r="SQ5" s="4"/>
      <c r="SR5" s="4"/>
      <c r="SS5" s="4"/>
      <c r="ST5" s="4"/>
      <c r="SU5" s="4"/>
      <c r="SV5" s="4"/>
      <c r="SW5" s="4"/>
      <c r="SY5" s="4"/>
      <c r="TA5" s="10"/>
      <c r="TB5" s="11"/>
      <c r="TC5" s="12"/>
      <c r="TD5" s="13"/>
      <c r="TE5" s="12"/>
      <c r="TF5" s="11"/>
      <c r="TG5" s="13"/>
      <c r="TH5" s="12"/>
      <c r="TI5" s="12"/>
      <c r="TJ5" s="11"/>
      <c r="TK5" s="13"/>
      <c r="TL5" s="4"/>
      <c r="TM5" s="4"/>
      <c r="TN5" s="4"/>
      <c r="TO5" s="4"/>
      <c r="TP5" s="4"/>
      <c r="TQ5" s="4"/>
      <c r="TR5" s="4"/>
      <c r="TS5" s="4"/>
      <c r="TU5" s="4"/>
      <c r="TW5" s="10"/>
      <c r="TX5" s="11"/>
      <c r="TY5" s="12"/>
      <c r="TZ5" s="13"/>
      <c r="UA5" s="12"/>
      <c r="UB5" s="11"/>
      <c r="UC5" s="13"/>
      <c r="UD5" s="12"/>
      <c r="UE5" s="12"/>
      <c r="UF5" s="11"/>
      <c r="UG5" s="13"/>
      <c r="UH5" s="4"/>
      <c r="UI5" s="4"/>
      <c r="UJ5" s="4"/>
      <c r="UK5" s="4"/>
      <c r="UL5" s="4"/>
      <c r="UM5" s="4"/>
      <c r="UN5" s="4"/>
      <c r="UO5" s="4"/>
      <c r="UQ5" s="4"/>
      <c r="US5" s="10"/>
      <c r="UT5" s="11"/>
      <c r="UU5" s="12"/>
      <c r="UV5" s="13"/>
      <c r="UW5" s="12"/>
      <c r="UX5" s="11"/>
      <c r="UY5" s="13"/>
      <c r="UZ5" s="12"/>
      <c r="VA5" s="12"/>
      <c r="VB5" s="11"/>
      <c r="VC5" s="13"/>
      <c r="VD5" s="4"/>
      <c r="VE5" s="4"/>
      <c r="VF5" s="4"/>
      <c r="VG5" s="4"/>
      <c r="VH5" s="4"/>
      <c r="VI5" s="4"/>
      <c r="VJ5" s="4"/>
      <c r="VK5" s="4"/>
      <c r="VM5" s="4"/>
      <c r="VO5" s="10"/>
      <c r="VP5" s="11"/>
      <c r="VQ5" s="12"/>
      <c r="VR5" s="13"/>
      <c r="VS5" s="12"/>
      <c r="VT5" s="11"/>
      <c r="VU5" s="13"/>
      <c r="VV5" s="12"/>
      <c r="VW5" s="12"/>
      <c r="VX5" s="11"/>
      <c r="VY5" s="13"/>
      <c r="VZ5" s="4"/>
      <c r="WA5" s="4"/>
      <c r="WB5" s="4"/>
      <c r="WC5" s="4"/>
      <c r="WD5" s="4"/>
      <c r="WE5" s="4"/>
      <c r="WF5" s="4"/>
      <c r="WG5" s="4"/>
      <c r="WI5" s="4"/>
      <c r="WK5" s="10"/>
      <c r="WL5" s="11"/>
      <c r="WM5" s="12"/>
      <c r="WN5" s="13"/>
      <c r="WO5" s="12"/>
      <c r="WP5" s="11"/>
      <c r="WQ5" s="13"/>
      <c r="WR5" s="12"/>
      <c r="WS5" s="12"/>
      <c r="WT5" s="11"/>
      <c r="WU5" s="13"/>
      <c r="WV5" s="4"/>
      <c r="WW5" s="4"/>
      <c r="WX5" s="4"/>
      <c r="WY5" s="4"/>
      <c r="WZ5" s="4"/>
      <c r="XA5" s="4"/>
      <c r="XB5" s="4"/>
      <c r="XC5" s="4"/>
      <c r="XE5" s="4"/>
      <c r="XG5" s="10"/>
      <c r="XH5" s="11"/>
      <c r="XI5" s="12"/>
      <c r="XJ5" s="13"/>
      <c r="XK5" s="12"/>
      <c r="XL5" s="11"/>
      <c r="XM5" s="13"/>
      <c r="XN5" s="12"/>
      <c r="XO5" s="12"/>
      <c r="XP5" s="11"/>
      <c r="XQ5" s="13"/>
      <c r="XR5" s="4"/>
      <c r="XS5" s="4"/>
      <c r="XT5" s="4"/>
      <c r="XU5" s="4"/>
      <c r="XV5" s="4"/>
      <c r="XW5" s="4"/>
      <c r="XX5" s="4"/>
      <c r="XY5" s="4"/>
      <c r="YA5" s="4"/>
      <c r="YC5" s="10"/>
      <c r="YD5" s="11"/>
      <c r="YE5" s="12"/>
      <c r="YF5" s="13"/>
      <c r="YG5" s="12"/>
      <c r="YH5" s="11"/>
      <c r="YI5" s="13"/>
      <c r="YJ5" s="12"/>
      <c r="YK5" s="12"/>
      <c r="YL5" s="11"/>
      <c r="YM5" s="13"/>
      <c r="YN5" s="4"/>
      <c r="YO5" s="4"/>
      <c r="YP5" s="4"/>
      <c r="YQ5" s="4"/>
      <c r="YR5" s="4"/>
      <c r="YS5" s="4"/>
      <c r="YT5" s="4"/>
      <c r="YU5" s="4"/>
      <c r="YW5" s="4"/>
      <c r="YY5" s="10"/>
      <c r="YZ5" s="11"/>
      <c r="ZA5" s="12"/>
      <c r="ZB5" s="13"/>
      <c r="ZC5" s="12"/>
      <c r="ZD5" s="11"/>
      <c r="ZE5" s="13"/>
      <c r="ZF5" s="12"/>
      <c r="ZG5" s="12"/>
      <c r="ZH5" s="11"/>
      <c r="ZI5" s="13"/>
      <c r="ZJ5" s="4"/>
      <c r="ZK5" s="4"/>
      <c r="ZL5" s="4"/>
      <c r="ZM5" s="4"/>
      <c r="ZN5" s="4"/>
      <c r="ZO5" s="4"/>
      <c r="ZP5" s="4"/>
      <c r="ZQ5" s="4"/>
      <c r="ZS5" s="4"/>
      <c r="ZU5" s="10"/>
      <c r="ZV5" s="11"/>
      <c r="ZW5" s="12"/>
      <c r="ZX5" s="13"/>
      <c r="ZY5" s="12"/>
      <c r="ZZ5" s="11"/>
      <c r="AAA5" s="13"/>
      <c r="AAB5" s="12"/>
      <c r="AAC5" s="12"/>
      <c r="AAD5" s="11"/>
      <c r="AAE5" s="13"/>
      <c r="AAF5" s="4"/>
      <c r="AAG5" s="4"/>
      <c r="AAH5" s="4"/>
      <c r="AAI5" s="4"/>
      <c r="AAJ5" s="4"/>
      <c r="AAK5" s="4"/>
      <c r="AAL5" s="4"/>
      <c r="AAM5" s="4"/>
      <c r="AAO5" s="4"/>
      <c r="AAQ5" s="10"/>
      <c r="AAR5" s="11"/>
      <c r="AAS5" s="12"/>
      <c r="AAT5" s="13"/>
      <c r="AAU5" s="12"/>
      <c r="AAV5" s="11"/>
      <c r="AAW5" s="13"/>
      <c r="AAX5" s="12"/>
      <c r="AAY5" s="12"/>
      <c r="AAZ5" s="11"/>
      <c r="ABA5" s="13"/>
      <c r="ABB5" s="4"/>
      <c r="ABC5" s="4"/>
      <c r="ABD5" s="4"/>
      <c r="ABE5" s="4"/>
      <c r="ABF5" s="4"/>
      <c r="ABG5" s="4"/>
      <c r="ABH5" s="4"/>
      <c r="ABI5" s="4"/>
      <c r="ABK5" s="4"/>
      <c r="ABM5" s="10"/>
      <c r="ABN5" s="11"/>
      <c r="ABO5" s="12"/>
      <c r="ABP5" s="13"/>
      <c r="ABQ5" s="12"/>
      <c r="ABR5" s="11"/>
      <c r="ABS5" s="13"/>
      <c r="ABT5" s="12"/>
      <c r="ABU5" s="12"/>
      <c r="ABV5" s="11"/>
      <c r="ABW5" s="13"/>
      <c r="ABX5" s="4"/>
      <c r="ABY5" s="4"/>
      <c r="ABZ5" s="4"/>
      <c r="ACA5" s="4"/>
      <c r="ACB5" s="4"/>
      <c r="ACC5" s="4"/>
      <c r="ACD5" s="4"/>
      <c r="ACE5" s="4"/>
      <c r="ACG5" s="4"/>
      <c r="ACI5" s="10"/>
      <c r="ACJ5" s="11"/>
      <c r="ACK5" s="12"/>
      <c r="ACL5" s="13"/>
      <c r="ACM5" s="12"/>
      <c r="ACN5" s="11"/>
      <c r="ACO5" s="13"/>
      <c r="ACP5" s="12"/>
      <c r="ACQ5" s="12"/>
      <c r="ACR5" s="11"/>
      <c r="ACS5" s="13"/>
      <c r="ACT5" s="4"/>
      <c r="ACU5" s="4"/>
      <c r="ACV5" s="4"/>
      <c r="ACW5" s="4"/>
      <c r="ACX5" s="4"/>
      <c r="ACY5" s="4"/>
      <c r="ACZ5" s="4"/>
      <c r="ADA5" s="4"/>
      <c r="ADC5" s="4"/>
      <c r="ADE5" s="10"/>
      <c r="ADF5" s="11"/>
      <c r="ADG5" s="12"/>
      <c r="ADH5" s="13"/>
      <c r="ADI5" s="12"/>
      <c r="ADJ5" s="11"/>
      <c r="ADK5" s="13"/>
      <c r="ADL5" s="12"/>
      <c r="ADM5" s="12"/>
      <c r="ADN5" s="11"/>
      <c r="ADO5" s="13"/>
      <c r="ADP5" s="4"/>
      <c r="ADQ5" s="4"/>
      <c r="ADR5" s="4"/>
      <c r="ADS5" s="4"/>
      <c r="ADT5" s="4"/>
      <c r="ADU5" s="4"/>
      <c r="ADV5" s="4"/>
      <c r="ADW5" s="4"/>
      <c r="ADY5" s="4"/>
      <c r="AEA5" s="10"/>
      <c r="AEB5" s="11"/>
      <c r="AEC5" s="12"/>
      <c r="AED5" s="13"/>
      <c r="AEE5" s="12"/>
      <c r="AEF5" s="11"/>
      <c r="AEG5" s="13"/>
      <c r="AEH5" s="12"/>
      <c r="AEI5" s="12"/>
      <c r="AEJ5" s="11"/>
      <c r="AEK5" s="13"/>
      <c r="AEL5" s="4"/>
      <c r="AEM5" s="4"/>
      <c r="AEN5" s="4"/>
      <c r="AEO5" s="4"/>
      <c r="AEP5" s="4"/>
      <c r="AEQ5" s="4"/>
      <c r="AER5" s="4"/>
      <c r="AES5" s="4"/>
      <c r="AEU5" s="4"/>
      <c r="AEW5" s="10"/>
      <c r="AEX5" s="11"/>
      <c r="AEY5" s="12"/>
      <c r="AEZ5" s="13"/>
      <c r="AFA5" s="12"/>
      <c r="AFB5" s="11"/>
      <c r="AFC5" s="13"/>
      <c r="AFD5" s="12"/>
      <c r="AFE5" s="12"/>
      <c r="AFF5" s="11"/>
      <c r="AFG5" s="13"/>
      <c r="AFH5" s="4"/>
      <c r="AFI5" s="4"/>
      <c r="AFJ5" s="4"/>
      <c r="AFK5" s="4"/>
      <c r="AFL5" s="4"/>
      <c r="AFM5" s="4"/>
      <c r="AFN5" s="4"/>
      <c r="AFO5" s="4"/>
      <c r="AFQ5" s="4"/>
      <c r="AFS5" s="10"/>
      <c r="AFT5" s="11"/>
      <c r="AFU5" s="12"/>
      <c r="AFV5" s="13"/>
      <c r="AFW5" s="12"/>
      <c r="AFX5" s="11"/>
      <c r="AFY5" s="13"/>
      <c r="AFZ5" s="12"/>
      <c r="AGA5" s="12"/>
      <c r="AGB5" s="11"/>
      <c r="AGC5" s="13"/>
      <c r="AGD5" s="4"/>
      <c r="AGE5" s="4"/>
      <c r="AGF5" s="4"/>
      <c r="AGG5" s="4"/>
      <c r="AGH5" s="4"/>
      <c r="AGI5" s="4"/>
      <c r="AGJ5" s="4"/>
      <c r="AGK5" s="4"/>
      <c r="AGM5" s="4"/>
      <c r="AGO5" s="10"/>
      <c r="AGP5" s="11"/>
      <c r="AGQ5" s="12"/>
      <c r="AGR5" s="13"/>
      <c r="AGS5" s="12"/>
      <c r="AGT5" s="11"/>
      <c r="AGU5" s="13"/>
      <c r="AGV5" s="12"/>
      <c r="AGW5" s="12"/>
      <c r="AGX5" s="11"/>
      <c r="AGY5" s="13"/>
      <c r="AGZ5" s="4"/>
      <c r="AHA5" s="4"/>
      <c r="AHB5" s="4"/>
      <c r="AHC5" s="4"/>
      <c r="AHD5" s="4"/>
      <c r="AHE5" s="4"/>
      <c r="AHF5" s="4"/>
      <c r="AHG5" s="4"/>
      <c r="AHI5" s="4"/>
      <c r="AHK5" s="10"/>
      <c r="AHL5" s="11"/>
      <c r="AHM5" s="12"/>
      <c r="AHN5" s="13"/>
      <c r="AHO5" s="12"/>
      <c r="AHP5" s="11"/>
      <c r="AHQ5" s="13"/>
      <c r="AHR5" s="12"/>
      <c r="AHS5" s="12"/>
      <c r="AHT5" s="11"/>
      <c r="AHU5" s="13"/>
      <c r="AHV5" s="4"/>
      <c r="AHW5" s="4"/>
      <c r="AHX5" s="4"/>
      <c r="AHY5" s="4"/>
      <c r="AHZ5" s="4"/>
      <c r="AIA5" s="4"/>
      <c r="AIB5" s="4"/>
      <c r="AIC5" s="4"/>
      <c r="AIE5" s="4"/>
      <c r="AIG5" s="10"/>
      <c r="AIH5" s="11"/>
      <c r="AII5" s="12"/>
      <c r="AIJ5" s="13"/>
      <c r="AIK5" s="12"/>
      <c r="AIL5" s="11"/>
      <c r="AIM5" s="13"/>
      <c r="AIN5" s="12"/>
      <c r="AIO5" s="12"/>
      <c r="AIP5" s="11"/>
      <c r="AIQ5" s="13"/>
      <c r="AIR5" s="4"/>
      <c r="AIS5" s="4"/>
      <c r="AIT5" s="4"/>
      <c r="AIU5" s="4"/>
      <c r="AIV5" s="4"/>
      <c r="AIW5" s="4"/>
      <c r="AIX5" s="4"/>
      <c r="AIY5" s="4"/>
      <c r="AJA5" s="4"/>
      <c r="AJC5" s="10"/>
      <c r="AJD5" s="11"/>
      <c r="AJE5" s="12"/>
      <c r="AJF5" s="13"/>
      <c r="AJG5" s="12"/>
      <c r="AJH5" s="11"/>
      <c r="AJI5" s="13"/>
      <c r="AJJ5" s="12"/>
      <c r="AJK5" s="12"/>
      <c r="AJL5" s="11"/>
      <c r="AJM5" s="13"/>
      <c r="AJN5" s="4"/>
      <c r="AJO5" s="4"/>
      <c r="AJP5" s="4"/>
      <c r="AJQ5" s="4"/>
      <c r="AJR5" s="4"/>
      <c r="AJS5" s="4"/>
      <c r="AJT5" s="4"/>
      <c r="AJU5" s="4"/>
      <c r="AJW5" s="4"/>
      <c r="AJY5" s="10"/>
      <c r="AJZ5" s="11"/>
      <c r="AKA5" s="12"/>
      <c r="AKB5" s="13"/>
      <c r="AKC5" s="12"/>
      <c r="AKD5" s="11"/>
      <c r="AKE5" s="13"/>
      <c r="AKF5" s="12"/>
      <c r="AKG5" s="12"/>
      <c r="AKH5" s="11"/>
      <c r="AKI5" s="13"/>
      <c r="AKJ5" s="4"/>
      <c r="AKK5" s="4"/>
      <c r="AKL5" s="4"/>
      <c r="AKM5" s="4"/>
      <c r="AKN5" s="4"/>
      <c r="AKO5" s="4"/>
      <c r="AKP5" s="4"/>
      <c r="AKQ5" s="4"/>
      <c r="AKS5" s="4"/>
      <c r="AKU5" s="10"/>
      <c r="AKV5" s="11"/>
      <c r="AKW5" s="12"/>
      <c r="AKX5" s="13"/>
      <c r="AKY5" s="12"/>
      <c r="AKZ5" s="11"/>
      <c r="ALA5" s="13"/>
      <c r="ALB5" s="12"/>
      <c r="ALC5" s="12"/>
      <c r="ALD5" s="11"/>
      <c r="ALE5" s="13"/>
      <c r="ALF5" s="4"/>
      <c r="ALG5" s="4"/>
      <c r="ALH5" s="4"/>
      <c r="ALI5" s="4"/>
      <c r="ALJ5" s="4"/>
      <c r="ALK5" s="4"/>
      <c r="ALL5" s="4"/>
      <c r="ALM5" s="4"/>
      <c r="ALO5" s="4"/>
      <c r="ALQ5" s="10"/>
      <c r="ALR5" s="11"/>
      <c r="ALS5" s="12"/>
      <c r="ALT5" s="13"/>
      <c r="ALU5" s="12"/>
      <c r="ALV5" s="11"/>
      <c r="ALW5" s="13"/>
      <c r="ALX5" s="12"/>
      <c r="ALY5" s="12"/>
      <c r="ALZ5" s="11"/>
      <c r="AMA5" s="13"/>
      <c r="AMB5" s="4"/>
      <c r="AMC5" s="4"/>
      <c r="AMD5" s="4"/>
      <c r="AME5" s="4"/>
      <c r="AMF5" s="4"/>
      <c r="AMG5" s="4"/>
      <c r="AMH5" s="4"/>
      <c r="AMI5" s="4"/>
      <c r="AMK5" s="4"/>
      <c r="AMM5" s="10"/>
      <c r="AMN5" s="11"/>
      <c r="AMO5" s="12"/>
      <c r="AMP5" s="13"/>
      <c r="AMQ5" s="12"/>
      <c r="AMR5" s="11"/>
      <c r="AMS5" s="13"/>
      <c r="AMT5" s="12"/>
      <c r="AMU5" s="12"/>
      <c r="AMV5" s="11"/>
      <c r="AMW5" s="13"/>
      <c r="AMX5" s="4"/>
      <c r="AMY5" s="4"/>
      <c r="AMZ5" s="4"/>
      <c r="ANA5" s="4"/>
      <c r="ANB5" s="4"/>
      <c r="ANC5" s="4"/>
      <c r="AND5" s="4"/>
      <c r="ANE5" s="4"/>
      <c r="ANG5" s="4"/>
      <c r="ANI5" s="10"/>
      <c r="ANJ5" s="11"/>
      <c r="ANK5" s="12"/>
      <c r="ANL5" s="13"/>
      <c r="ANM5" s="12"/>
      <c r="ANN5" s="11"/>
      <c r="ANO5" s="13"/>
      <c r="ANP5" s="12"/>
      <c r="ANQ5" s="12"/>
      <c r="ANR5" s="11"/>
      <c r="ANS5" s="13"/>
      <c r="ANT5" s="4"/>
      <c r="ANU5" s="4"/>
      <c r="ANV5" s="4"/>
      <c r="ANW5" s="4"/>
      <c r="ANX5" s="4"/>
      <c r="ANY5" s="4"/>
      <c r="ANZ5" s="4"/>
      <c r="AOA5" s="4"/>
      <c r="AOC5" s="4"/>
      <c r="AOE5" s="10"/>
      <c r="AOF5" s="11"/>
      <c r="AOG5" s="12"/>
      <c r="AOH5" s="13"/>
      <c r="AOI5" s="12"/>
      <c r="AOJ5" s="11"/>
      <c r="AOK5" s="13"/>
      <c r="AOL5" s="12"/>
      <c r="AOM5" s="12"/>
      <c r="AON5" s="11"/>
      <c r="AOO5" s="13"/>
      <c r="AOP5" s="4"/>
      <c r="AOQ5" s="4"/>
      <c r="AOR5" s="4"/>
      <c r="AOS5" s="4"/>
      <c r="AOT5" s="4"/>
      <c r="AOU5" s="4"/>
      <c r="AOV5" s="4"/>
      <c r="AOW5" s="4"/>
      <c r="AOY5" s="4"/>
      <c r="APA5" s="10"/>
      <c r="APB5" s="11"/>
      <c r="APC5" s="12"/>
      <c r="APD5" s="13"/>
      <c r="APE5" s="12"/>
      <c r="APF5" s="11"/>
      <c r="APG5" s="13"/>
      <c r="APH5" s="12"/>
      <c r="API5" s="12"/>
      <c r="APJ5" s="11"/>
      <c r="APK5" s="13"/>
      <c r="APL5" s="4"/>
      <c r="APM5" s="4"/>
      <c r="APN5" s="4"/>
      <c r="APO5" s="4"/>
      <c r="APP5" s="4"/>
      <c r="APQ5" s="4"/>
      <c r="APR5" s="4"/>
      <c r="APS5" s="4"/>
      <c r="APU5" s="4"/>
      <c r="APW5" s="10"/>
      <c r="APX5" s="11"/>
      <c r="APY5" s="12"/>
      <c r="APZ5" s="13"/>
      <c r="AQA5" s="12"/>
      <c r="AQB5" s="11"/>
      <c r="AQC5" s="13"/>
      <c r="AQD5" s="12"/>
      <c r="AQE5" s="12"/>
      <c r="AQF5" s="11"/>
      <c r="AQG5" s="13"/>
      <c r="AQH5" s="4"/>
      <c r="AQI5" s="4"/>
      <c r="AQJ5" s="4"/>
      <c r="AQK5" s="4"/>
      <c r="AQL5" s="4"/>
      <c r="AQM5" s="4"/>
      <c r="AQN5" s="4"/>
      <c r="AQO5" s="4"/>
      <c r="AQQ5" s="4"/>
      <c r="AQS5" s="10"/>
      <c r="AQT5" s="11"/>
      <c r="AQU5" s="12"/>
      <c r="AQV5" s="13"/>
      <c r="AQW5" s="12"/>
      <c r="AQX5" s="11"/>
      <c r="AQY5" s="13"/>
      <c r="AQZ5" s="12"/>
      <c r="ARA5" s="12"/>
      <c r="ARB5" s="11"/>
      <c r="ARC5" s="13"/>
      <c r="ARD5" s="4"/>
      <c r="ARE5" s="4"/>
      <c r="ARF5" s="4"/>
      <c r="ARG5" s="4"/>
      <c r="ARH5" s="4"/>
      <c r="ARI5" s="4"/>
      <c r="ARJ5" s="4"/>
      <c r="ARK5" s="4"/>
      <c r="ARM5" s="4"/>
      <c r="ARO5" s="10"/>
      <c r="ARP5" s="11"/>
      <c r="ARQ5" s="12"/>
      <c r="ARR5" s="13"/>
      <c r="ARS5" s="12"/>
      <c r="ART5" s="11"/>
      <c r="ARU5" s="13"/>
      <c r="ARV5" s="12"/>
      <c r="ARW5" s="12"/>
      <c r="ARX5" s="11"/>
      <c r="ARY5" s="13"/>
      <c r="ARZ5" s="4"/>
      <c r="ASA5" s="4"/>
      <c r="ASB5" s="4"/>
      <c r="ASC5" s="4"/>
      <c r="ASD5" s="4"/>
      <c r="ASE5" s="4"/>
      <c r="ASF5" s="4"/>
      <c r="ASG5" s="4"/>
      <c r="ASI5" s="4"/>
      <c r="ASK5" s="10"/>
      <c r="ASL5" s="11"/>
      <c r="ASM5" s="12"/>
      <c r="ASN5" s="13"/>
      <c r="ASO5" s="12"/>
      <c r="ASP5" s="11"/>
      <c r="ASQ5" s="13"/>
      <c r="ASR5" s="12"/>
      <c r="ASS5" s="12"/>
      <c r="AST5" s="11"/>
      <c r="ASU5" s="13"/>
      <c r="ASV5" s="4"/>
      <c r="ASW5" s="4"/>
      <c r="ASX5" s="4"/>
      <c r="ASY5" s="4"/>
      <c r="ASZ5" s="4"/>
      <c r="ATA5" s="4"/>
      <c r="ATB5" s="4"/>
      <c r="ATC5" s="4"/>
      <c r="ATE5" s="4"/>
      <c r="ATG5" s="10"/>
      <c r="ATH5" s="11"/>
      <c r="ATI5" s="12"/>
      <c r="ATJ5" s="13"/>
      <c r="ATK5" s="12"/>
      <c r="ATL5" s="11"/>
      <c r="ATM5" s="13"/>
      <c r="ATN5" s="12"/>
      <c r="ATO5" s="12"/>
      <c r="ATP5" s="11"/>
      <c r="ATQ5" s="13"/>
      <c r="ATR5" s="4"/>
      <c r="ATS5" s="4"/>
      <c r="ATT5" s="4"/>
      <c r="ATU5" s="4"/>
      <c r="ATV5" s="4"/>
      <c r="ATW5" s="4"/>
      <c r="ATX5" s="4"/>
      <c r="ATY5" s="4"/>
      <c r="AUA5" s="4"/>
      <c r="AUC5" s="10"/>
      <c r="AUD5" s="11"/>
      <c r="AUE5" s="12"/>
      <c r="AUF5" s="13"/>
      <c r="AUG5" s="12"/>
      <c r="AUH5" s="11"/>
      <c r="AUI5" s="13"/>
      <c r="AUJ5" s="12"/>
      <c r="AUK5" s="12"/>
      <c r="AUL5" s="11"/>
      <c r="AUM5" s="13"/>
      <c r="AUN5" s="4"/>
      <c r="AUO5" s="4"/>
      <c r="AUP5" s="4"/>
      <c r="AUQ5" s="4"/>
      <c r="AUR5" s="4"/>
      <c r="AUS5" s="4"/>
      <c r="AUT5" s="4"/>
      <c r="AUU5" s="4"/>
      <c r="AUW5" s="4"/>
      <c r="AUY5" s="10"/>
      <c r="AUZ5" s="11"/>
      <c r="AVA5" s="12"/>
      <c r="AVB5" s="13"/>
      <c r="AVC5" s="12"/>
      <c r="AVD5" s="11"/>
      <c r="AVE5" s="13"/>
      <c r="AVF5" s="12"/>
      <c r="AVG5" s="12"/>
      <c r="AVH5" s="11"/>
      <c r="AVI5" s="13"/>
      <c r="AVJ5" s="4"/>
      <c r="AVK5" s="4"/>
      <c r="AVL5" s="4"/>
      <c r="AVM5" s="4"/>
      <c r="AVN5" s="4"/>
      <c r="AVO5" s="4"/>
      <c r="AVP5" s="4"/>
      <c r="AVQ5" s="4"/>
      <c r="AVS5" s="4"/>
      <c r="AVU5" s="10"/>
      <c r="AVV5" s="11"/>
      <c r="AVW5" s="12"/>
      <c r="AVX5" s="13"/>
      <c r="AVY5" s="12"/>
      <c r="AVZ5" s="11"/>
      <c r="AWA5" s="13"/>
      <c r="AWB5" s="12"/>
      <c r="AWC5" s="12"/>
      <c r="AWD5" s="11"/>
      <c r="AWE5" s="13"/>
      <c r="AWF5" s="4"/>
      <c r="AWG5" s="4"/>
      <c r="AWH5" s="4"/>
      <c r="AWI5" s="4"/>
      <c r="AWJ5" s="4"/>
      <c r="AWK5" s="4"/>
      <c r="AWL5" s="4"/>
      <c r="AWM5" s="4"/>
      <c r="AWO5" s="4"/>
      <c r="AWQ5" s="10"/>
      <c r="AWR5" s="11"/>
      <c r="AWS5" s="12"/>
      <c r="AWT5" s="13"/>
      <c r="AWU5" s="12"/>
      <c r="AWV5" s="11"/>
      <c r="AWW5" s="13"/>
      <c r="AWX5" s="12"/>
      <c r="AWY5" s="12"/>
      <c r="AWZ5" s="11"/>
      <c r="AXA5" s="13"/>
      <c r="AXB5" s="4"/>
      <c r="AXC5" s="4"/>
      <c r="AXD5" s="4"/>
      <c r="AXE5" s="4"/>
      <c r="AXF5" s="4"/>
      <c r="AXG5" s="4"/>
      <c r="AXH5" s="4"/>
      <c r="AXI5" s="4"/>
      <c r="AXK5" s="4"/>
      <c r="AXM5" s="10"/>
      <c r="AXN5" s="11"/>
      <c r="AXO5" s="12"/>
      <c r="AXP5" s="13"/>
      <c r="AXQ5" s="12"/>
      <c r="AXR5" s="11"/>
      <c r="AXS5" s="13"/>
      <c r="AXT5" s="12"/>
      <c r="AXU5" s="12"/>
      <c r="AXV5" s="11"/>
      <c r="AXW5" s="13"/>
      <c r="AXX5" s="4"/>
      <c r="AXY5" s="4"/>
      <c r="AXZ5" s="4"/>
      <c r="AYA5" s="4"/>
      <c r="AYB5" s="4"/>
      <c r="AYC5" s="4"/>
      <c r="AYD5" s="4"/>
      <c r="AYE5" s="4"/>
      <c r="AYG5" s="4"/>
      <c r="AYI5" s="10"/>
      <c r="AYJ5" s="11"/>
      <c r="AYK5" s="12"/>
      <c r="AYL5" s="13"/>
      <c r="AYM5" s="12"/>
      <c r="AYN5" s="11"/>
      <c r="AYO5" s="13"/>
      <c r="AYP5" s="12"/>
      <c r="AYQ5" s="12"/>
      <c r="AYR5" s="11"/>
      <c r="AYS5" s="13"/>
      <c r="AYT5" s="4"/>
      <c r="AYU5" s="4"/>
      <c r="AYV5" s="4"/>
      <c r="AYW5" s="4"/>
      <c r="AYX5" s="4"/>
      <c r="AYY5" s="4"/>
      <c r="AYZ5" s="4"/>
      <c r="AZA5" s="4"/>
      <c r="AZC5" s="4"/>
      <c r="AZE5" s="10"/>
      <c r="AZF5" s="11"/>
      <c r="AZG5" s="12"/>
      <c r="AZH5" s="13"/>
      <c r="AZI5" s="12"/>
      <c r="AZJ5" s="11"/>
      <c r="AZK5" s="13"/>
      <c r="AZL5" s="12"/>
      <c r="AZM5" s="12"/>
      <c r="AZN5" s="11"/>
      <c r="AZO5" s="13"/>
      <c r="AZP5" s="4"/>
      <c r="AZQ5" s="4"/>
      <c r="AZR5" s="4"/>
      <c r="AZS5" s="4"/>
      <c r="AZT5" s="4"/>
      <c r="AZU5" s="4"/>
      <c r="AZV5" s="4"/>
      <c r="AZW5" s="4"/>
      <c r="AZY5" s="4"/>
      <c r="BAA5" s="10"/>
      <c r="BAB5" s="11"/>
      <c r="BAC5" s="12"/>
      <c r="BAD5" s="13"/>
      <c r="BAE5" s="12"/>
      <c r="BAF5" s="11"/>
      <c r="BAG5" s="13"/>
      <c r="BAH5" s="12"/>
      <c r="BAI5" s="12"/>
      <c r="BAJ5" s="11"/>
      <c r="BAK5" s="13"/>
      <c r="BAL5" s="4"/>
      <c r="BAM5" s="4"/>
      <c r="BAN5" s="4"/>
      <c r="BAO5" s="4"/>
      <c r="BAP5" s="4"/>
      <c r="BAQ5" s="4"/>
      <c r="BAR5" s="4"/>
      <c r="BAS5" s="4"/>
      <c r="BAU5" s="4"/>
      <c r="BAW5" s="10"/>
      <c r="BAX5" s="11"/>
      <c r="BAY5" s="12"/>
      <c r="BAZ5" s="13"/>
      <c r="BBA5" s="12"/>
      <c r="BBB5" s="11"/>
      <c r="BBC5" s="13"/>
      <c r="BBD5" s="12"/>
      <c r="BBE5" s="12"/>
      <c r="BBF5" s="11"/>
      <c r="BBG5" s="13"/>
      <c r="BBH5" s="4"/>
      <c r="BBI5" s="4"/>
      <c r="BBJ5" s="4"/>
      <c r="BBK5" s="4"/>
      <c r="BBL5" s="4"/>
      <c r="BBM5" s="4"/>
      <c r="BBN5" s="4"/>
      <c r="BBO5" s="4"/>
      <c r="BBQ5" s="4"/>
      <c r="BBS5" s="10"/>
      <c r="BBT5" s="11"/>
      <c r="BBU5" s="12"/>
      <c r="BBV5" s="13"/>
      <c r="BBW5" s="12"/>
      <c r="BBX5" s="11"/>
      <c r="BBY5" s="13"/>
      <c r="BBZ5" s="12"/>
      <c r="BCA5" s="12"/>
      <c r="BCB5" s="11"/>
      <c r="BCC5" s="13"/>
      <c r="BCD5" s="4"/>
      <c r="BCE5" s="4"/>
      <c r="BCF5" s="4"/>
      <c r="BCG5" s="4"/>
      <c r="BCH5" s="4"/>
      <c r="BCI5" s="4"/>
      <c r="BCJ5" s="4"/>
      <c r="BCK5" s="4"/>
      <c r="BCM5" s="4"/>
      <c r="BCO5" s="10"/>
      <c r="BCP5" s="11"/>
      <c r="BCQ5" s="12"/>
      <c r="BCR5" s="13"/>
      <c r="BCS5" s="12"/>
      <c r="BCT5" s="11"/>
      <c r="BCU5" s="13"/>
      <c r="BCV5" s="12"/>
      <c r="BCW5" s="12"/>
      <c r="BCX5" s="11"/>
      <c r="BCY5" s="13"/>
      <c r="BCZ5" s="4"/>
      <c r="BDA5" s="4"/>
      <c r="BDB5" s="4"/>
      <c r="BDC5" s="4"/>
      <c r="BDD5" s="4"/>
      <c r="BDE5" s="4"/>
      <c r="BDF5" s="4"/>
      <c r="BDG5" s="4"/>
      <c r="BDI5" s="4"/>
      <c r="BDK5" s="10"/>
      <c r="BDL5" s="11"/>
      <c r="BDM5" s="12"/>
      <c r="BDN5" s="13"/>
      <c r="BDO5" s="12"/>
      <c r="BDP5" s="11"/>
      <c r="BDQ5" s="13"/>
      <c r="BDR5" s="12"/>
      <c r="BDS5" s="12"/>
      <c r="BDT5" s="11"/>
      <c r="BDU5" s="13"/>
      <c r="BDV5" s="4"/>
      <c r="BDW5" s="4"/>
      <c r="BDX5" s="4"/>
      <c r="BDY5" s="4"/>
      <c r="BDZ5" s="4"/>
      <c r="BEA5" s="4"/>
      <c r="BEB5" s="4"/>
      <c r="BEC5" s="4"/>
      <c r="BEE5" s="4"/>
      <c r="BEG5" s="10"/>
      <c r="BEH5" s="11"/>
      <c r="BEI5" s="12"/>
      <c r="BEJ5" s="13"/>
      <c r="BEK5" s="12"/>
      <c r="BEL5" s="11"/>
      <c r="BEM5" s="13"/>
      <c r="BEN5" s="12"/>
      <c r="BEO5" s="12"/>
      <c r="BEP5" s="11"/>
      <c r="BEQ5" s="13"/>
      <c r="BER5" s="4"/>
      <c r="BES5" s="4"/>
      <c r="BET5" s="4"/>
      <c r="BEU5" s="4"/>
      <c r="BEV5" s="4"/>
      <c r="BEW5" s="4"/>
      <c r="BEX5" s="4"/>
      <c r="BEY5" s="4"/>
      <c r="BFA5" s="4"/>
      <c r="BFC5" s="10"/>
      <c r="BFD5" s="11"/>
      <c r="BFE5" s="12"/>
      <c r="BFF5" s="13"/>
      <c r="BFG5" s="12"/>
      <c r="BFH5" s="11"/>
      <c r="BFI5" s="13"/>
      <c r="BFJ5" s="12"/>
      <c r="BFK5" s="12"/>
      <c r="BFL5" s="11"/>
      <c r="BFM5" s="13"/>
      <c r="BFN5" s="4"/>
      <c r="BFO5" s="4"/>
      <c r="BFP5" s="4"/>
      <c r="BFQ5" s="4"/>
      <c r="BFR5" s="4"/>
      <c r="BFS5" s="4"/>
      <c r="BFT5" s="4"/>
      <c r="BFU5" s="4"/>
      <c r="BFW5" s="4"/>
      <c r="BFY5" s="10"/>
      <c r="BFZ5" s="11"/>
      <c r="BGA5" s="12"/>
      <c r="BGB5" s="13"/>
      <c r="BGC5" s="12"/>
      <c r="BGD5" s="11"/>
      <c r="BGE5" s="13"/>
      <c r="BGF5" s="12"/>
      <c r="BGG5" s="12"/>
      <c r="BGH5" s="11"/>
      <c r="BGI5" s="13"/>
      <c r="BGJ5" s="4"/>
      <c r="BGK5" s="4"/>
      <c r="BGL5" s="4"/>
      <c r="BGM5" s="4"/>
      <c r="BGN5" s="4"/>
      <c r="BGO5" s="4"/>
      <c r="BGP5" s="4"/>
      <c r="BGQ5" s="4"/>
      <c r="BGS5" s="4"/>
      <c r="BGU5" s="10"/>
      <c r="BGV5" s="11"/>
      <c r="BGW5" s="12"/>
      <c r="BGX5" s="13"/>
      <c r="BGY5" s="12"/>
      <c r="BGZ5" s="11"/>
      <c r="BHA5" s="13"/>
      <c r="BHB5" s="12"/>
      <c r="BHC5" s="12"/>
      <c r="BHD5" s="11"/>
      <c r="BHE5" s="13"/>
      <c r="BHF5" s="4"/>
      <c r="BHG5" s="4"/>
      <c r="BHH5" s="4"/>
      <c r="BHI5" s="4"/>
      <c r="BHJ5" s="4"/>
      <c r="BHK5" s="4"/>
      <c r="BHL5" s="4"/>
      <c r="BHM5" s="4"/>
      <c r="BHO5" s="4"/>
      <c r="BHQ5" s="10"/>
      <c r="BHR5" s="11"/>
      <c r="BHS5" s="12"/>
      <c r="BHT5" s="13"/>
      <c r="BHU5" s="12"/>
      <c r="BHV5" s="11"/>
      <c r="BHW5" s="13"/>
      <c r="BHX5" s="12"/>
      <c r="BHY5" s="12"/>
      <c r="BHZ5" s="11"/>
      <c r="BIA5" s="13"/>
      <c r="BIB5" s="4"/>
      <c r="BIC5" s="4"/>
      <c r="BID5" s="4"/>
      <c r="BIE5" s="4"/>
      <c r="BIF5" s="4"/>
      <c r="BIG5" s="4"/>
      <c r="BIH5" s="4"/>
      <c r="BII5" s="4"/>
      <c r="BIK5" s="4"/>
      <c r="BIM5" s="10"/>
      <c r="BIN5" s="11"/>
      <c r="BIO5" s="12"/>
      <c r="BIP5" s="13"/>
      <c r="BIQ5" s="12"/>
      <c r="BIR5" s="11"/>
      <c r="BIS5" s="13"/>
      <c r="BIT5" s="12"/>
      <c r="BIU5" s="12"/>
      <c r="BIV5" s="11"/>
      <c r="BIW5" s="13"/>
      <c r="BIX5" s="4"/>
      <c r="BIY5" s="4"/>
      <c r="BIZ5" s="4"/>
      <c r="BJA5" s="4"/>
      <c r="BJB5" s="4"/>
      <c r="BJC5" s="4"/>
      <c r="BJD5" s="4"/>
      <c r="BJE5" s="4"/>
      <c r="BJG5" s="4"/>
      <c r="BJI5" s="10"/>
      <c r="BJJ5" s="11"/>
      <c r="BJK5" s="12"/>
      <c r="BJL5" s="13"/>
      <c r="BJM5" s="12"/>
      <c r="BJN5" s="11"/>
      <c r="BJO5" s="13"/>
      <c r="BJP5" s="12"/>
      <c r="BJQ5" s="12"/>
      <c r="BJR5" s="11"/>
      <c r="BJS5" s="13"/>
      <c r="BJT5" s="4"/>
      <c r="BJU5" s="4"/>
      <c r="BJV5" s="4"/>
      <c r="BJW5" s="4"/>
      <c r="BJX5" s="4"/>
      <c r="BJY5" s="4"/>
      <c r="BJZ5" s="4"/>
      <c r="BKA5" s="4"/>
      <c r="BKC5" s="4"/>
      <c r="BKE5" s="10"/>
      <c r="BKF5" s="11"/>
      <c r="BKG5" s="12"/>
      <c r="BKH5" s="13"/>
      <c r="BKI5" s="12"/>
      <c r="BKJ5" s="11"/>
      <c r="BKK5" s="13"/>
      <c r="BKL5" s="12"/>
      <c r="BKM5" s="12"/>
      <c r="BKN5" s="11"/>
      <c r="BKO5" s="13"/>
      <c r="BKP5" s="4"/>
      <c r="BKQ5" s="4"/>
      <c r="BKR5" s="4"/>
      <c r="BKS5" s="4"/>
      <c r="BKT5" s="4"/>
      <c r="BKU5" s="4"/>
      <c r="BKV5" s="4"/>
      <c r="BKW5" s="4"/>
      <c r="BKY5" s="4"/>
      <c r="BLA5" s="10"/>
      <c r="BLB5" s="11"/>
      <c r="BLC5" s="12"/>
      <c r="BLD5" s="13"/>
      <c r="BLE5" s="12"/>
      <c r="BLF5" s="11"/>
      <c r="BLG5" s="13"/>
      <c r="BLH5" s="12"/>
      <c r="BLI5" s="12"/>
      <c r="BLJ5" s="11"/>
      <c r="BLK5" s="13"/>
      <c r="BLL5" s="4"/>
      <c r="BLM5" s="4"/>
      <c r="BLN5" s="4"/>
      <c r="BLO5" s="4"/>
      <c r="BLP5" s="4"/>
      <c r="BLQ5" s="4"/>
      <c r="BLR5" s="4"/>
      <c r="BLS5" s="4"/>
      <c r="BLU5" s="4"/>
      <c r="BLW5" s="10"/>
      <c r="BLX5" s="11"/>
      <c r="BLY5" s="12"/>
      <c r="BLZ5" s="13"/>
      <c r="BMA5" s="12"/>
      <c r="BMB5" s="11"/>
      <c r="BMC5" s="13"/>
      <c r="BMD5" s="12"/>
      <c r="BME5" s="12"/>
      <c r="BMF5" s="11"/>
      <c r="BMG5" s="13"/>
      <c r="BMH5" s="4"/>
      <c r="BMI5" s="4"/>
      <c r="BMJ5" s="4"/>
      <c r="BMK5" s="4"/>
      <c r="BML5" s="4"/>
      <c r="BMM5" s="4"/>
      <c r="BMN5" s="4"/>
      <c r="BMO5" s="4"/>
      <c r="BMQ5" s="4"/>
      <c r="BMS5" s="10"/>
      <c r="BMT5" s="11"/>
      <c r="BMU5" s="12"/>
      <c r="BMV5" s="13"/>
      <c r="BMW5" s="12"/>
      <c r="BMX5" s="11"/>
      <c r="BMY5" s="13"/>
      <c r="BMZ5" s="12"/>
      <c r="BNA5" s="12"/>
      <c r="BNB5" s="11"/>
      <c r="BNC5" s="13"/>
      <c r="BND5" s="4"/>
      <c r="BNE5" s="4"/>
      <c r="BNF5" s="4"/>
      <c r="BNG5" s="4"/>
      <c r="BNH5" s="4"/>
      <c r="BNI5" s="4"/>
      <c r="BNJ5" s="4"/>
      <c r="BNK5" s="4"/>
      <c r="BNM5" s="4"/>
      <c r="BNO5" s="10"/>
      <c r="BNP5" s="11"/>
      <c r="BNQ5" s="12"/>
      <c r="BNR5" s="13"/>
      <c r="BNS5" s="12"/>
      <c r="BNT5" s="11"/>
      <c r="BNU5" s="13"/>
      <c r="BNV5" s="12"/>
      <c r="BNW5" s="12"/>
      <c r="BNX5" s="11"/>
      <c r="BNY5" s="13"/>
      <c r="BNZ5" s="4"/>
      <c r="BOA5" s="4"/>
      <c r="BOB5" s="4"/>
      <c r="BOC5" s="4"/>
      <c r="BOD5" s="4"/>
      <c r="BOE5" s="4"/>
      <c r="BOF5" s="4"/>
      <c r="BOG5" s="4"/>
      <c r="BOI5" s="4"/>
      <c r="BOK5" s="10"/>
      <c r="BOL5" s="11"/>
      <c r="BOM5" s="12"/>
      <c r="BON5" s="13"/>
      <c r="BOO5" s="12"/>
      <c r="BOP5" s="11"/>
      <c r="BOQ5" s="13"/>
      <c r="BOR5" s="12"/>
      <c r="BOS5" s="12"/>
      <c r="BOT5" s="11"/>
      <c r="BOU5" s="13"/>
      <c r="BOV5" s="4"/>
      <c r="BOW5" s="4"/>
      <c r="BOX5" s="4"/>
      <c r="BOY5" s="4"/>
      <c r="BOZ5" s="4"/>
      <c r="BPA5" s="4"/>
      <c r="BPB5" s="4"/>
      <c r="BPC5" s="4"/>
      <c r="BPE5" s="4"/>
      <c r="BPG5" s="10"/>
      <c r="BPH5" s="11"/>
      <c r="BPI5" s="12"/>
      <c r="BPJ5" s="13"/>
      <c r="BPK5" s="12"/>
      <c r="BPL5" s="11"/>
      <c r="BPM5" s="13"/>
      <c r="BPN5" s="12"/>
      <c r="BPO5" s="12"/>
      <c r="BPP5" s="11"/>
      <c r="BPQ5" s="13"/>
      <c r="BPR5" s="4"/>
      <c r="BPS5" s="4"/>
      <c r="BPT5" s="4"/>
      <c r="BPU5" s="4"/>
      <c r="BPV5" s="4"/>
      <c r="BPW5" s="4"/>
      <c r="BPX5" s="4"/>
      <c r="BPY5" s="4"/>
      <c r="BQA5" s="4"/>
      <c r="BQC5" s="10"/>
      <c r="BQD5" s="11"/>
      <c r="BQE5" s="12"/>
      <c r="BQF5" s="13"/>
      <c r="BQG5" s="12"/>
      <c r="BQH5" s="11"/>
      <c r="BQI5" s="13"/>
      <c r="BQJ5" s="12"/>
      <c r="BQK5" s="12"/>
      <c r="BQL5" s="11"/>
      <c r="BQM5" s="13"/>
      <c r="BQN5" s="4"/>
      <c r="BQO5" s="4"/>
      <c r="BQP5" s="4"/>
      <c r="BQQ5" s="4"/>
      <c r="BQR5" s="4"/>
      <c r="BQS5" s="4"/>
      <c r="BQT5" s="4"/>
      <c r="BQU5" s="4"/>
      <c r="BQW5" s="4"/>
      <c r="BQY5" s="10"/>
      <c r="BQZ5" s="11"/>
      <c r="BRA5" s="12"/>
      <c r="BRB5" s="13"/>
      <c r="BRC5" s="12"/>
      <c r="BRD5" s="11"/>
      <c r="BRE5" s="13"/>
      <c r="BRF5" s="12"/>
      <c r="BRG5" s="12"/>
      <c r="BRH5" s="11"/>
      <c r="BRI5" s="13"/>
      <c r="BRJ5" s="4"/>
      <c r="BRK5" s="4"/>
      <c r="BRL5" s="4"/>
      <c r="BRM5" s="4"/>
      <c r="BRN5" s="4"/>
      <c r="BRO5" s="4"/>
      <c r="BRP5" s="4"/>
      <c r="BRQ5" s="4"/>
      <c r="BRS5" s="4"/>
      <c r="BRU5" s="10"/>
      <c r="BRV5" s="11"/>
      <c r="BRW5" s="12"/>
      <c r="BRX5" s="13"/>
      <c r="BRY5" s="12"/>
      <c r="BRZ5" s="11"/>
      <c r="BSA5" s="13"/>
      <c r="BSB5" s="12"/>
      <c r="BSC5" s="12"/>
      <c r="BSD5" s="11"/>
      <c r="BSE5" s="13"/>
      <c r="BSF5" s="4"/>
      <c r="BSG5" s="4"/>
      <c r="BSH5" s="4"/>
      <c r="BSI5" s="4"/>
      <c r="BSJ5" s="4"/>
      <c r="BSK5" s="4"/>
      <c r="BSL5" s="4"/>
      <c r="BSM5" s="4"/>
      <c r="BSO5" s="4"/>
      <c r="BSQ5" s="10"/>
      <c r="BSR5" s="11"/>
      <c r="BSS5" s="12"/>
      <c r="BST5" s="13"/>
      <c r="BSU5" s="12"/>
      <c r="BSV5" s="11"/>
      <c r="BSW5" s="13"/>
      <c r="BSX5" s="12"/>
      <c r="BSY5" s="12"/>
      <c r="BSZ5" s="11"/>
      <c r="BTA5" s="13"/>
      <c r="BTB5" s="4"/>
      <c r="BTC5" s="4"/>
      <c r="BTD5" s="4"/>
      <c r="BTE5" s="4"/>
      <c r="BTF5" s="4"/>
      <c r="BTG5" s="4"/>
      <c r="BTH5" s="4"/>
      <c r="BTI5" s="4"/>
      <c r="BTK5" s="4"/>
      <c r="BTM5" s="10"/>
      <c r="BTN5" s="11"/>
      <c r="BTO5" s="12"/>
      <c r="BTP5" s="13"/>
      <c r="BTQ5" s="12"/>
      <c r="BTR5" s="11"/>
      <c r="BTS5" s="13"/>
      <c r="BTT5" s="12"/>
      <c r="BTU5" s="12"/>
      <c r="BTV5" s="11"/>
      <c r="BTW5" s="13"/>
      <c r="BTX5" s="4"/>
      <c r="BTY5" s="4"/>
      <c r="BTZ5" s="4"/>
      <c r="BUA5" s="4"/>
      <c r="BUB5" s="4"/>
      <c r="BUC5" s="4"/>
      <c r="BUD5" s="4"/>
      <c r="BUE5" s="4"/>
      <c r="BUG5" s="4"/>
      <c r="BUI5" s="10"/>
      <c r="BUJ5" s="11"/>
      <c r="BUK5" s="12"/>
      <c r="BUL5" s="13"/>
      <c r="BUM5" s="12"/>
      <c r="BUN5" s="11"/>
      <c r="BUO5" s="13"/>
      <c r="BUP5" s="12"/>
      <c r="BUQ5" s="12"/>
      <c r="BUR5" s="11"/>
      <c r="BUS5" s="13"/>
      <c r="BUT5" s="4"/>
      <c r="BUU5" s="4"/>
      <c r="BUV5" s="4"/>
      <c r="BUW5" s="4"/>
      <c r="BUX5" s="4"/>
      <c r="BUY5" s="4"/>
      <c r="BUZ5" s="4"/>
      <c r="BVA5" s="4"/>
      <c r="BVC5" s="4"/>
      <c r="BVE5" s="10"/>
      <c r="BVF5" s="11"/>
      <c r="BVG5" s="12"/>
      <c r="BVH5" s="13"/>
      <c r="BVI5" s="12"/>
      <c r="BVJ5" s="11"/>
      <c r="BVK5" s="13"/>
      <c r="BVL5" s="12"/>
      <c r="BVM5" s="12"/>
      <c r="BVN5" s="11"/>
      <c r="BVO5" s="13"/>
      <c r="BVP5" s="4"/>
      <c r="BVQ5" s="4"/>
      <c r="BVR5" s="4"/>
      <c r="BVS5" s="4"/>
      <c r="BVT5" s="4"/>
      <c r="BVU5" s="4"/>
      <c r="BVV5" s="4"/>
      <c r="BVW5" s="4"/>
      <c r="BVY5" s="4"/>
      <c r="BWA5" s="10"/>
      <c r="BWB5" s="11"/>
      <c r="BWC5" s="12"/>
      <c r="BWD5" s="13"/>
      <c r="BWE5" s="12"/>
      <c r="BWF5" s="11"/>
      <c r="BWG5" s="13"/>
      <c r="BWH5" s="12"/>
      <c r="BWI5" s="12"/>
      <c r="BWJ5" s="11"/>
      <c r="BWK5" s="13"/>
      <c r="BWL5" s="4"/>
      <c r="BWM5" s="4"/>
      <c r="BWN5" s="4"/>
      <c r="BWO5" s="4"/>
      <c r="BWP5" s="4"/>
      <c r="BWQ5" s="4"/>
      <c r="BWR5" s="4"/>
      <c r="BWS5" s="4"/>
      <c r="BWU5" s="4"/>
      <c r="BWW5" s="10"/>
      <c r="BWX5" s="11"/>
      <c r="BWY5" s="12"/>
      <c r="BWZ5" s="13"/>
      <c r="BXA5" s="12"/>
      <c r="BXB5" s="11"/>
      <c r="BXC5" s="13"/>
      <c r="BXD5" s="12"/>
      <c r="BXE5" s="12"/>
      <c r="BXF5" s="11"/>
      <c r="BXG5" s="13"/>
      <c r="BXH5" s="4"/>
      <c r="BXI5" s="4"/>
      <c r="BXJ5" s="4"/>
      <c r="BXK5" s="4"/>
      <c r="BXL5" s="4"/>
      <c r="BXM5" s="4"/>
      <c r="BXN5" s="4"/>
      <c r="BXO5" s="4"/>
      <c r="BXQ5" s="4"/>
      <c r="BXS5" s="10"/>
      <c r="BXT5" s="11"/>
      <c r="BXU5" s="12"/>
      <c r="BXV5" s="13"/>
      <c r="BXW5" s="12"/>
      <c r="BXX5" s="11"/>
      <c r="BXY5" s="13"/>
      <c r="BXZ5" s="12"/>
      <c r="BYA5" s="12"/>
      <c r="BYB5" s="11"/>
      <c r="BYC5" s="13"/>
      <c r="BYD5" s="4"/>
      <c r="BYE5" s="4"/>
      <c r="BYF5" s="4"/>
      <c r="BYG5" s="4"/>
      <c r="BYH5" s="4"/>
      <c r="BYI5" s="4"/>
      <c r="BYJ5" s="4"/>
      <c r="BYK5" s="4"/>
      <c r="BYM5" s="4"/>
      <c r="BYO5" s="10"/>
      <c r="BYP5" s="11"/>
      <c r="BYQ5" s="12"/>
      <c r="BYR5" s="13"/>
      <c r="BYS5" s="12"/>
      <c r="BYT5" s="11"/>
      <c r="BYU5" s="13"/>
      <c r="BYV5" s="12"/>
      <c r="BYW5" s="12"/>
      <c r="BYX5" s="11"/>
      <c r="BYY5" s="13"/>
      <c r="BYZ5" s="4"/>
      <c r="BZA5" s="4"/>
      <c r="BZB5" s="4"/>
      <c r="BZC5" s="4"/>
      <c r="BZD5" s="4"/>
      <c r="BZE5" s="4"/>
      <c r="BZF5" s="4"/>
      <c r="BZG5" s="4"/>
      <c r="BZI5" s="4"/>
      <c r="BZK5" s="10"/>
      <c r="BZL5" s="11"/>
      <c r="BZM5" s="12"/>
      <c r="BZN5" s="13"/>
      <c r="BZO5" s="12"/>
      <c r="BZP5" s="11"/>
      <c r="BZQ5" s="13"/>
      <c r="BZR5" s="12"/>
      <c r="BZS5" s="12"/>
      <c r="BZT5" s="11"/>
      <c r="BZU5" s="13"/>
      <c r="BZV5" s="4"/>
      <c r="BZW5" s="4"/>
      <c r="BZX5" s="4"/>
      <c r="BZY5" s="4"/>
      <c r="BZZ5" s="4"/>
      <c r="CAA5" s="4"/>
      <c r="CAB5" s="4"/>
      <c r="CAC5" s="4"/>
      <c r="CAE5" s="4"/>
      <c r="CAG5" s="10"/>
      <c r="CAH5" s="11"/>
      <c r="CAI5" s="12"/>
      <c r="CAJ5" s="13"/>
      <c r="CAK5" s="12"/>
      <c r="CAL5" s="11"/>
      <c r="CAM5" s="13"/>
      <c r="CAN5" s="12"/>
      <c r="CAO5" s="12"/>
      <c r="CAP5" s="11"/>
      <c r="CAQ5" s="13"/>
      <c r="CAR5" s="4"/>
      <c r="CAS5" s="4"/>
      <c r="CAT5" s="4"/>
      <c r="CAU5" s="4"/>
      <c r="CAV5" s="4"/>
      <c r="CAW5" s="4"/>
      <c r="CAX5" s="4"/>
      <c r="CAY5" s="4"/>
      <c r="CBA5" s="4"/>
      <c r="CBC5" s="10"/>
      <c r="CBD5" s="11"/>
      <c r="CBE5" s="12"/>
      <c r="CBF5" s="13"/>
      <c r="CBG5" s="12"/>
      <c r="CBH5" s="11"/>
      <c r="CBI5" s="13"/>
      <c r="CBJ5" s="12"/>
      <c r="CBK5" s="12"/>
      <c r="CBL5" s="11"/>
      <c r="CBM5" s="13"/>
      <c r="CBN5" s="4"/>
      <c r="CBO5" s="4"/>
      <c r="CBP5" s="4"/>
      <c r="CBQ5" s="4"/>
      <c r="CBR5" s="4"/>
      <c r="CBS5" s="4"/>
      <c r="CBT5" s="4"/>
      <c r="CBU5" s="4"/>
      <c r="CBW5" s="4"/>
      <c r="CBY5" s="10"/>
      <c r="CBZ5" s="11"/>
      <c r="CCA5" s="12"/>
      <c r="CCB5" s="13"/>
      <c r="CCC5" s="12"/>
      <c r="CCD5" s="11"/>
      <c r="CCE5" s="13"/>
      <c r="CCF5" s="12"/>
      <c r="CCG5" s="12"/>
      <c r="CCH5" s="11"/>
      <c r="CCI5" s="13"/>
      <c r="CCJ5" s="4"/>
      <c r="CCK5" s="4"/>
      <c r="CCL5" s="4"/>
      <c r="CCM5" s="4"/>
      <c r="CCN5" s="4"/>
      <c r="CCO5" s="4"/>
      <c r="CCP5" s="4"/>
      <c r="CCQ5" s="4"/>
      <c r="CCS5" s="4"/>
      <c r="CCU5" s="10"/>
      <c r="CCV5" s="11"/>
      <c r="CCW5" s="12"/>
      <c r="CCX5" s="13"/>
      <c r="CCY5" s="12"/>
      <c r="CCZ5" s="11"/>
      <c r="CDA5" s="13"/>
      <c r="CDB5" s="12"/>
      <c r="CDC5" s="12"/>
      <c r="CDD5" s="11"/>
      <c r="CDE5" s="13"/>
      <c r="CDF5" s="4"/>
      <c r="CDG5" s="4"/>
      <c r="CDH5" s="4"/>
      <c r="CDI5" s="4"/>
      <c r="CDJ5" s="4"/>
      <c r="CDK5" s="4"/>
      <c r="CDL5" s="4"/>
      <c r="CDM5" s="4"/>
      <c r="CDO5" s="4"/>
      <c r="CDQ5" s="10"/>
      <c r="CDR5" s="11"/>
      <c r="CDS5" s="12"/>
      <c r="CDT5" s="13"/>
      <c r="CDU5" s="12"/>
      <c r="CDV5" s="11"/>
      <c r="CDW5" s="13"/>
      <c r="CDX5" s="12"/>
      <c r="CDY5" s="12"/>
      <c r="CDZ5" s="11"/>
      <c r="CEA5" s="13"/>
      <c r="CEB5" s="4"/>
      <c r="CEC5" s="4"/>
      <c r="CED5" s="4"/>
      <c r="CEE5" s="4"/>
      <c r="CEF5" s="4"/>
      <c r="CEG5" s="4"/>
      <c r="CEH5" s="4"/>
      <c r="CEI5" s="4"/>
      <c r="CEK5" s="4"/>
      <c r="CEM5" s="10"/>
      <c r="CEN5" s="11"/>
      <c r="CEO5" s="12"/>
      <c r="CEP5" s="13"/>
      <c r="CEQ5" s="12"/>
      <c r="CER5" s="11"/>
      <c r="CES5" s="13"/>
      <c r="CET5" s="12"/>
      <c r="CEU5" s="12"/>
      <c r="CEV5" s="11"/>
      <c r="CEW5" s="13"/>
      <c r="CEX5" s="4"/>
      <c r="CEY5" s="4"/>
      <c r="CEZ5" s="4"/>
      <c r="CFA5" s="4"/>
      <c r="CFB5" s="4"/>
      <c r="CFC5" s="4"/>
      <c r="CFD5" s="4"/>
      <c r="CFE5" s="4"/>
      <c r="CFG5" s="4"/>
      <c r="CFI5" s="10"/>
      <c r="CFJ5" s="11"/>
      <c r="CFK5" s="12"/>
      <c r="CFL5" s="13"/>
      <c r="CFM5" s="12"/>
      <c r="CFN5" s="11"/>
      <c r="CFO5" s="13"/>
      <c r="CFP5" s="12"/>
      <c r="CFQ5" s="12"/>
      <c r="CFR5" s="11"/>
      <c r="CFS5" s="13"/>
      <c r="CFT5" s="4"/>
      <c r="CFU5" s="4"/>
      <c r="CFV5" s="4"/>
      <c r="CFW5" s="4"/>
      <c r="CFX5" s="4"/>
      <c r="CFY5" s="4"/>
      <c r="CFZ5" s="4"/>
      <c r="CGA5" s="4"/>
      <c r="CGC5" s="4"/>
      <c r="CGE5" s="10"/>
      <c r="CGF5" s="11"/>
      <c r="CGG5" s="12"/>
      <c r="CGH5" s="13"/>
      <c r="CGI5" s="12"/>
      <c r="CGJ5" s="11"/>
      <c r="CGK5" s="13"/>
      <c r="CGL5" s="12"/>
      <c r="CGM5" s="12"/>
      <c r="CGN5" s="11"/>
      <c r="CGO5" s="13"/>
      <c r="CGP5" s="4"/>
      <c r="CGQ5" s="4"/>
      <c r="CGR5" s="4"/>
      <c r="CGS5" s="4"/>
      <c r="CGT5" s="4"/>
      <c r="CGU5" s="4"/>
      <c r="CGV5" s="4"/>
      <c r="CGW5" s="4"/>
      <c r="CGY5" s="4"/>
      <c r="CHA5" s="10"/>
      <c r="CHB5" s="11"/>
      <c r="CHC5" s="12"/>
      <c r="CHD5" s="13"/>
      <c r="CHE5" s="12"/>
      <c r="CHF5" s="11"/>
      <c r="CHG5" s="13"/>
      <c r="CHH5" s="12"/>
      <c r="CHI5" s="12"/>
      <c r="CHJ5" s="11"/>
      <c r="CHK5" s="13"/>
      <c r="CHL5" s="4"/>
      <c r="CHM5" s="4"/>
      <c r="CHN5" s="4"/>
      <c r="CHO5" s="4"/>
      <c r="CHP5" s="4"/>
      <c r="CHQ5" s="4"/>
      <c r="CHR5" s="4"/>
      <c r="CHS5" s="4"/>
      <c r="CHU5" s="4"/>
      <c r="CHW5" s="10"/>
      <c r="CHX5" s="11"/>
      <c r="CHY5" s="12"/>
      <c r="CHZ5" s="13"/>
      <c r="CIA5" s="12"/>
      <c r="CIB5" s="11"/>
      <c r="CIC5" s="13"/>
      <c r="CID5" s="12"/>
      <c r="CIE5" s="12"/>
      <c r="CIF5" s="11"/>
      <c r="CIG5" s="13"/>
      <c r="CIH5" s="4"/>
      <c r="CII5" s="4"/>
      <c r="CIJ5" s="4"/>
      <c r="CIK5" s="4"/>
      <c r="CIL5" s="4"/>
      <c r="CIM5" s="4"/>
      <c r="CIN5" s="4"/>
      <c r="CIO5" s="4"/>
      <c r="CIQ5" s="4"/>
      <c r="CIS5" s="10"/>
      <c r="CIT5" s="11"/>
      <c r="CIU5" s="12"/>
      <c r="CIV5" s="13"/>
      <c r="CIW5" s="12"/>
      <c r="CIX5" s="11"/>
      <c r="CIY5" s="13"/>
      <c r="CIZ5" s="12"/>
      <c r="CJA5" s="12"/>
      <c r="CJB5" s="11"/>
      <c r="CJC5" s="13"/>
      <c r="CJD5" s="4"/>
      <c r="CJE5" s="4"/>
      <c r="CJF5" s="4"/>
      <c r="CJG5" s="4"/>
      <c r="CJH5" s="4"/>
      <c r="CJI5" s="4"/>
      <c r="CJJ5" s="4"/>
      <c r="CJK5" s="4"/>
      <c r="CJM5" s="4"/>
      <c r="CJO5" s="10"/>
      <c r="CJP5" s="11"/>
      <c r="CJQ5" s="12"/>
      <c r="CJR5" s="13"/>
      <c r="CJS5" s="12"/>
      <c r="CJT5" s="11"/>
      <c r="CJU5" s="13"/>
      <c r="CJV5" s="12"/>
      <c r="CJW5" s="12"/>
      <c r="CJX5" s="11"/>
      <c r="CJY5" s="13"/>
      <c r="CJZ5" s="4"/>
      <c r="CKA5" s="4"/>
      <c r="CKB5" s="4"/>
      <c r="CKC5" s="4"/>
      <c r="CKD5" s="4"/>
      <c r="CKE5" s="4"/>
      <c r="CKF5" s="4"/>
      <c r="CKG5" s="4"/>
      <c r="CKI5" s="4"/>
      <c r="CKK5" s="10"/>
      <c r="CKL5" s="11"/>
      <c r="CKM5" s="12"/>
      <c r="CKN5" s="13"/>
      <c r="CKO5" s="12"/>
      <c r="CKP5" s="11"/>
      <c r="CKQ5" s="13"/>
      <c r="CKR5" s="12"/>
      <c r="CKS5" s="12"/>
      <c r="CKT5" s="11"/>
      <c r="CKU5" s="13"/>
      <c r="CKV5" s="4"/>
      <c r="CKW5" s="4"/>
      <c r="CKX5" s="4"/>
      <c r="CKY5" s="4"/>
      <c r="CKZ5" s="4"/>
      <c r="CLA5" s="4"/>
      <c r="CLB5" s="4"/>
      <c r="CLC5" s="4"/>
      <c r="CLE5" s="4"/>
      <c r="CLG5" s="10"/>
      <c r="CLH5" s="11"/>
      <c r="CLI5" s="12"/>
      <c r="CLJ5" s="13"/>
      <c r="CLK5" s="12"/>
      <c r="CLL5" s="11"/>
      <c r="CLM5" s="13"/>
      <c r="CLN5" s="12"/>
      <c r="CLO5" s="12"/>
      <c r="CLP5" s="11"/>
      <c r="CLQ5" s="13"/>
      <c r="CLR5" s="4"/>
      <c r="CLS5" s="4"/>
      <c r="CLT5" s="4"/>
      <c r="CLU5" s="4"/>
      <c r="CLV5" s="4"/>
      <c r="CLW5" s="4"/>
      <c r="CLX5" s="4"/>
      <c r="CLY5" s="4"/>
      <c r="CMA5" s="4"/>
      <c r="CMC5" s="10"/>
      <c r="CMD5" s="11"/>
      <c r="CME5" s="12"/>
      <c r="CMF5" s="13"/>
      <c r="CMG5" s="12"/>
      <c r="CMH5" s="11"/>
      <c r="CMI5" s="13"/>
      <c r="CMJ5" s="12"/>
      <c r="CMK5" s="12"/>
      <c r="CML5" s="11"/>
      <c r="CMM5" s="13"/>
      <c r="CMN5" s="4"/>
      <c r="CMO5" s="4"/>
      <c r="CMP5" s="4"/>
      <c r="CMQ5" s="4"/>
      <c r="CMR5" s="4"/>
      <c r="CMS5" s="4"/>
      <c r="CMT5" s="4"/>
      <c r="CMU5" s="4"/>
      <c r="CMW5" s="4"/>
      <c r="CMY5" s="10"/>
      <c r="CMZ5" s="11"/>
      <c r="CNA5" s="12"/>
      <c r="CNB5" s="13"/>
      <c r="CNC5" s="12"/>
      <c r="CND5" s="11"/>
      <c r="CNE5" s="13"/>
      <c r="CNF5" s="12"/>
      <c r="CNG5" s="12"/>
      <c r="CNH5" s="11"/>
      <c r="CNI5" s="13"/>
      <c r="CNJ5" s="4"/>
      <c r="CNK5" s="4"/>
      <c r="CNL5" s="4"/>
      <c r="CNM5" s="4"/>
      <c r="CNN5" s="4"/>
      <c r="CNO5" s="4"/>
      <c r="CNP5" s="4"/>
      <c r="CNQ5" s="4"/>
      <c r="CNS5" s="4"/>
      <c r="CNU5" s="10"/>
      <c r="CNV5" s="11"/>
      <c r="CNW5" s="12"/>
      <c r="CNX5" s="13"/>
      <c r="CNY5" s="12"/>
      <c r="CNZ5" s="11"/>
      <c r="COA5" s="13"/>
      <c r="COB5" s="12"/>
      <c r="COC5" s="12"/>
      <c r="COD5" s="11"/>
      <c r="COE5" s="13"/>
      <c r="COF5" s="4"/>
      <c r="COG5" s="4"/>
      <c r="COH5" s="4"/>
      <c r="COI5" s="4"/>
      <c r="COJ5" s="4"/>
      <c r="COK5" s="4"/>
      <c r="COL5" s="4"/>
      <c r="COM5" s="4"/>
      <c r="COO5" s="4"/>
      <c r="COQ5" s="10"/>
      <c r="COR5" s="11"/>
      <c r="COS5" s="12"/>
      <c r="COT5" s="13"/>
      <c r="COU5" s="12"/>
      <c r="COV5" s="11"/>
      <c r="COW5" s="13"/>
      <c r="COX5" s="12"/>
      <c r="COY5" s="12"/>
      <c r="COZ5" s="11"/>
      <c r="CPA5" s="13"/>
      <c r="CPB5" s="4"/>
      <c r="CPC5" s="4"/>
      <c r="CPD5" s="4"/>
      <c r="CPE5" s="4"/>
      <c r="CPF5" s="4"/>
      <c r="CPG5" s="4"/>
      <c r="CPH5" s="4"/>
      <c r="CPI5" s="4"/>
      <c r="CPK5" s="4"/>
      <c r="CPM5" s="10"/>
      <c r="CPN5" s="11"/>
      <c r="CPO5" s="12"/>
      <c r="CPP5" s="13"/>
      <c r="CPQ5" s="12"/>
      <c r="CPR5" s="11"/>
      <c r="CPS5" s="13"/>
      <c r="CPT5" s="12"/>
      <c r="CPU5" s="12"/>
      <c r="CPV5" s="11"/>
      <c r="CPW5" s="13"/>
      <c r="CPX5" s="4"/>
      <c r="CPY5" s="4"/>
      <c r="CPZ5" s="4"/>
      <c r="CQA5" s="4"/>
      <c r="CQB5" s="4"/>
      <c r="CQC5" s="4"/>
      <c r="CQD5" s="4"/>
      <c r="CQE5" s="4"/>
      <c r="CQG5" s="4"/>
      <c r="CQI5" s="10"/>
      <c r="CQJ5" s="11"/>
      <c r="CQK5" s="12"/>
      <c r="CQL5" s="13"/>
      <c r="CQM5" s="12"/>
      <c r="CQN5" s="11"/>
      <c r="CQO5" s="13"/>
      <c r="CQP5" s="12"/>
      <c r="CQQ5" s="12"/>
      <c r="CQR5" s="11"/>
      <c r="CQS5" s="13"/>
      <c r="CQT5" s="4"/>
      <c r="CQU5" s="4"/>
      <c r="CQV5" s="4"/>
      <c r="CQW5" s="4"/>
      <c r="CQX5" s="4"/>
      <c r="CQY5" s="4"/>
      <c r="CQZ5" s="4"/>
      <c r="CRA5" s="4"/>
      <c r="CRC5" s="4"/>
      <c r="CRE5" s="10"/>
      <c r="CRF5" s="11"/>
      <c r="CRG5" s="12"/>
      <c r="CRH5" s="13"/>
      <c r="CRI5" s="12"/>
      <c r="CRJ5" s="11"/>
      <c r="CRK5" s="13"/>
      <c r="CRL5" s="12"/>
      <c r="CRM5" s="12"/>
      <c r="CRN5" s="11"/>
      <c r="CRO5" s="13"/>
      <c r="CRP5" s="4"/>
      <c r="CRQ5" s="4"/>
      <c r="CRR5" s="4"/>
      <c r="CRS5" s="4"/>
      <c r="CRT5" s="4"/>
      <c r="CRU5" s="4"/>
      <c r="CRV5" s="4"/>
      <c r="CRW5" s="4"/>
      <c r="CRY5" s="4"/>
      <c r="CSA5" s="10"/>
      <c r="CSB5" s="11"/>
      <c r="CSC5" s="12"/>
      <c r="CSD5" s="13"/>
      <c r="CSE5" s="12"/>
      <c r="CSF5" s="11"/>
      <c r="CSG5" s="13"/>
      <c r="CSH5" s="12"/>
      <c r="CSI5" s="12"/>
      <c r="CSJ5" s="11"/>
      <c r="CSK5" s="13"/>
      <c r="CSL5" s="4"/>
      <c r="CSM5" s="4"/>
      <c r="CSN5" s="4"/>
      <c r="CSO5" s="4"/>
      <c r="CSP5" s="4"/>
      <c r="CSQ5" s="4"/>
      <c r="CSR5" s="4"/>
      <c r="CSS5" s="4"/>
      <c r="CSU5" s="4"/>
      <c r="CSW5" s="10"/>
      <c r="CSX5" s="11"/>
      <c r="CSY5" s="12"/>
      <c r="CSZ5" s="13"/>
      <c r="CTA5" s="12"/>
      <c r="CTB5" s="11"/>
      <c r="CTC5" s="13"/>
      <c r="CTD5" s="12"/>
      <c r="CTE5" s="12"/>
      <c r="CTF5" s="11"/>
      <c r="CTG5" s="13"/>
      <c r="CTH5" s="4"/>
      <c r="CTI5" s="4"/>
      <c r="CTJ5" s="4"/>
      <c r="CTK5" s="4"/>
      <c r="CTL5" s="4"/>
      <c r="CTM5" s="4"/>
      <c r="CTN5" s="4"/>
      <c r="CTO5" s="4"/>
      <c r="CTQ5" s="4"/>
      <c r="CTS5" s="10"/>
      <c r="CTT5" s="11"/>
      <c r="CTU5" s="12"/>
      <c r="CTV5" s="13"/>
      <c r="CTW5" s="12"/>
      <c r="CTX5" s="11"/>
      <c r="CTY5" s="13"/>
      <c r="CTZ5" s="12"/>
      <c r="CUA5" s="12"/>
      <c r="CUB5" s="11"/>
      <c r="CUC5" s="13"/>
      <c r="CUD5" s="4"/>
      <c r="CUE5" s="4"/>
      <c r="CUF5" s="4"/>
      <c r="CUG5" s="4"/>
      <c r="CUH5" s="4"/>
      <c r="CUI5" s="4"/>
      <c r="CUJ5" s="4"/>
      <c r="CUK5" s="4"/>
      <c r="CUM5" s="4"/>
      <c r="CUO5" s="10"/>
      <c r="CUP5" s="11"/>
      <c r="CUQ5" s="12"/>
      <c r="CUR5" s="13"/>
      <c r="CUS5" s="12"/>
      <c r="CUT5" s="11"/>
      <c r="CUU5" s="13"/>
      <c r="CUV5" s="12"/>
      <c r="CUW5" s="12"/>
      <c r="CUX5" s="11"/>
      <c r="CUY5" s="13"/>
      <c r="CUZ5" s="4"/>
      <c r="CVA5" s="4"/>
      <c r="CVB5" s="4"/>
      <c r="CVC5" s="4"/>
      <c r="CVD5" s="4"/>
      <c r="CVE5" s="4"/>
      <c r="CVF5" s="4"/>
      <c r="CVG5" s="4"/>
      <c r="CVI5" s="4"/>
      <c r="CVK5" s="10"/>
      <c r="CVL5" s="11"/>
      <c r="CVM5" s="12"/>
      <c r="CVN5" s="13"/>
      <c r="CVO5" s="12"/>
      <c r="CVP5" s="11"/>
      <c r="CVQ5" s="13"/>
      <c r="CVR5" s="12"/>
      <c r="CVS5" s="12"/>
      <c r="CVT5" s="11"/>
      <c r="CVU5" s="13"/>
      <c r="CVV5" s="4"/>
      <c r="CVW5" s="4"/>
      <c r="CVX5" s="4"/>
      <c r="CVY5" s="4"/>
      <c r="CVZ5" s="4"/>
      <c r="CWA5" s="4"/>
      <c r="CWB5" s="4"/>
      <c r="CWC5" s="4"/>
      <c r="CWE5" s="4"/>
      <c r="CWG5" s="10"/>
      <c r="CWH5" s="11"/>
      <c r="CWI5" s="12"/>
      <c r="CWJ5" s="13"/>
      <c r="CWK5" s="12"/>
      <c r="CWL5" s="11"/>
      <c r="CWM5" s="13"/>
      <c r="CWN5" s="12"/>
      <c r="CWO5" s="12"/>
      <c r="CWP5" s="11"/>
      <c r="CWQ5" s="13"/>
      <c r="CWR5" s="4"/>
      <c r="CWS5" s="4"/>
      <c r="CWT5" s="4"/>
      <c r="CWU5" s="4"/>
      <c r="CWV5" s="4"/>
      <c r="CWW5" s="4"/>
      <c r="CWX5" s="4"/>
      <c r="CWY5" s="4"/>
      <c r="CXA5" s="4"/>
      <c r="CXC5" s="10"/>
      <c r="CXD5" s="11"/>
      <c r="CXE5" s="12"/>
      <c r="CXF5" s="13"/>
      <c r="CXG5" s="12"/>
      <c r="CXH5" s="11"/>
      <c r="CXI5" s="13"/>
      <c r="CXJ5" s="12"/>
      <c r="CXK5" s="12"/>
      <c r="CXL5" s="11"/>
      <c r="CXM5" s="13"/>
      <c r="CXN5" s="4"/>
      <c r="CXO5" s="4"/>
      <c r="CXP5" s="4"/>
      <c r="CXQ5" s="4"/>
      <c r="CXR5" s="4"/>
      <c r="CXS5" s="4"/>
      <c r="CXT5" s="4"/>
      <c r="CXU5" s="4"/>
      <c r="CXW5" s="4"/>
      <c r="CXY5" s="10"/>
      <c r="CXZ5" s="11"/>
      <c r="CYA5" s="12"/>
      <c r="CYB5" s="13"/>
      <c r="CYC5" s="12"/>
      <c r="CYD5" s="11"/>
      <c r="CYE5" s="13"/>
      <c r="CYF5" s="12"/>
      <c r="CYG5" s="12"/>
      <c r="CYH5" s="11"/>
      <c r="CYI5" s="13"/>
      <c r="CYJ5" s="4"/>
      <c r="CYK5" s="4"/>
      <c r="CYL5" s="4"/>
      <c r="CYM5" s="4"/>
      <c r="CYN5" s="4"/>
      <c r="CYO5" s="4"/>
      <c r="CYP5" s="4"/>
      <c r="CYQ5" s="4"/>
      <c r="CYS5" s="4"/>
      <c r="CYU5" s="10"/>
      <c r="CYV5" s="11"/>
      <c r="CYW5" s="12"/>
      <c r="CYX5" s="13"/>
      <c r="CYY5" s="12"/>
      <c r="CYZ5" s="11"/>
      <c r="CZA5" s="13"/>
      <c r="CZB5" s="12"/>
      <c r="CZC5" s="12"/>
      <c r="CZD5" s="11"/>
      <c r="CZE5" s="13"/>
      <c r="CZF5" s="4"/>
      <c r="CZG5" s="4"/>
      <c r="CZH5" s="4"/>
      <c r="CZI5" s="4"/>
      <c r="CZJ5" s="4"/>
      <c r="CZK5" s="4"/>
      <c r="CZL5" s="4"/>
      <c r="CZM5" s="4"/>
      <c r="CZO5" s="4"/>
      <c r="CZQ5" s="10"/>
      <c r="CZR5" s="11"/>
      <c r="CZS5" s="12"/>
      <c r="CZT5" s="13"/>
      <c r="CZU5" s="12"/>
      <c r="CZV5" s="11"/>
      <c r="CZW5" s="13"/>
      <c r="CZX5" s="12"/>
      <c r="CZY5" s="12"/>
      <c r="CZZ5" s="11"/>
      <c r="DAA5" s="13"/>
      <c r="DAB5" s="4"/>
      <c r="DAC5" s="4"/>
      <c r="DAD5" s="4"/>
      <c r="DAE5" s="4"/>
      <c r="DAF5" s="4"/>
      <c r="DAG5" s="4"/>
      <c r="DAH5" s="4"/>
      <c r="DAI5" s="4"/>
      <c r="DAK5" s="4"/>
      <c r="DAM5" s="10"/>
      <c r="DAN5" s="11"/>
      <c r="DAO5" s="12"/>
      <c r="DAP5" s="13"/>
      <c r="DAQ5" s="12"/>
      <c r="DAR5" s="11"/>
      <c r="DAS5" s="13"/>
      <c r="DAT5" s="12"/>
      <c r="DAU5" s="12"/>
      <c r="DAV5" s="11"/>
      <c r="DAW5" s="13"/>
      <c r="DAX5" s="4"/>
      <c r="DAY5" s="4"/>
      <c r="DAZ5" s="4"/>
      <c r="DBA5" s="4"/>
      <c r="DBB5" s="4"/>
      <c r="DBC5" s="4"/>
      <c r="DBD5" s="4"/>
      <c r="DBE5" s="4"/>
      <c r="DBG5" s="4"/>
      <c r="DBI5" s="10"/>
      <c r="DBJ5" s="11"/>
      <c r="DBK5" s="12"/>
      <c r="DBL5" s="13"/>
      <c r="DBM5" s="12"/>
      <c r="DBN5" s="11"/>
      <c r="DBO5" s="13"/>
      <c r="DBP5" s="12"/>
      <c r="DBQ5" s="12"/>
      <c r="DBR5" s="11"/>
      <c r="DBS5" s="13"/>
      <c r="DBT5" s="4"/>
      <c r="DBU5" s="4"/>
      <c r="DBV5" s="4"/>
      <c r="DBW5" s="4"/>
      <c r="DBX5" s="4"/>
      <c r="DBY5" s="4"/>
      <c r="DBZ5" s="4"/>
      <c r="DCA5" s="4"/>
      <c r="DCC5" s="4"/>
      <c r="DCE5" s="10"/>
      <c r="DCF5" s="11"/>
      <c r="DCG5" s="12"/>
      <c r="DCH5" s="13"/>
      <c r="DCI5" s="12"/>
      <c r="DCJ5" s="11"/>
      <c r="DCK5" s="13"/>
      <c r="DCL5" s="12"/>
      <c r="DCM5" s="12"/>
      <c r="DCN5" s="11"/>
      <c r="DCO5" s="13"/>
      <c r="DCP5" s="4"/>
      <c r="DCQ5" s="4"/>
      <c r="DCR5" s="4"/>
      <c r="DCS5" s="4"/>
      <c r="DCT5" s="4"/>
      <c r="DCU5" s="4"/>
      <c r="DCV5" s="4"/>
      <c r="DCW5" s="4"/>
      <c r="DCY5" s="4"/>
      <c r="DDA5" s="10"/>
      <c r="DDB5" s="11"/>
      <c r="DDC5" s="12"/>
      <c r="DDD5" s="13"/>
      <c r="DDE5" s="12"/>
      <c r="DDF5" s="11"/>
      <c r="DDG5" s="13"/>
      <c r="DDH5" s="12"/>
      <c r="DDI5" s="12"/>
      <c r="DDJ5" s="11"/>
      <c r="DDK5" s="13"/>
      <c r="DDL5" s="4"/>
      <c r="DDM5" s="4"/>
      <c r="DDN5" s="4"/>
      <c r="DDO5" s="4"/>
      <c r="DDP5" s="4"/>
      <c r="DDQ5" s="4"/>
      <c r="DDR5" s="4"/>
      <c r="DDS5" s="4"/>
      <c r="DDU5" s="4"/>
      <c r="DDW5" s="10"/>
      <c r="DDX5" s="11"/>
      <c r="DDY5" s="12"/>
      <c r="DDZ5" s="13"/>
      <c r="DEA5" s="12"/>
      <c r="DEB5" s="11"/>
      <c r="DEC5" s="13"/>
      <c r="DED5" s="12"/>
      <c r="DEE5" s="12"/>
      <c r="DEF5" s="11"/>
      <c r="DEG5" s="13"/>
      <c r="DEH5" s="4"/>
      <c r="DEI5" s="4"/>
      <c r="DEJ5" s="4"/>
      <c r="DEK5" s="4"/>
      <c r="DEL5" s="4"/>
      <c r="DEM5" s="4"/>
      <c r="DEN5" s="4"/>
      <c r="DEO5" s="4"/>
      <c r="DEQ5" s="4"/>
      <c r="DES5" s="10"/>
      <c r="DET5" s="11"/>
      <c r="DEU5" s="12"/>
      <c r="DEV5" s="13"/>
      <c r="DEW5" s="12"/>
      <c r="DEX5" s="11"/>
      <c r="DEY5" s="13"/>
      <c r="DEZ5" s="12"/>
      <c r="DFA5" s="12"/>
      <c r="DFB5" s="11"/>
      <c r="DFC5" s="13"/>
      <c r="DFD5" s="4"/>
      <c r="DFE5" s="4"/>
      <c r="DFF5" s="4"/>
      <c r="DFG5" s="4"/>
      <c r="DFH5" s="4"/>
      <c r="DFI5" s="4"/>
      <c r="DFJ5" s="4"/>
      <c r="DFK5" s="4"/>
      <c r="DFM5" s="4"/>
      <c r="DFO5" s="10"/>
      <c r="DFP5" s="11"/>
      <c r="DFQ5" s="12"/>
      <c r="DFR5" s="13"/>
      <c r="DFS5" s="12"/>
      <c r="DFT5" s="11"/>
      <c r="DFU5" s="13"/>
      <c r="DFV5" s="12"/>
      <c r="DFW5" s="12"/>
      <c r="DFX5" s="11"/>
      <c r="DFY5" s="13"/>
      <c r="DFZ5" s="4"/>
      <c r="DGA5" s="4"/>
      <c r="DGB5" s="4"/>
      <c r="DGC5" s="4"/>
      <c r="DGD5" s="4"/>
      <c r="DGE5" s="4"/>
      <c r="DGF5" s="4"/>
      <c r="DGG5" s="4"/>
      <c r="DGI5" s="4"/>
      <c r="DGK5" s="10"/>
      <c r="DGL5" s="11"/>
      <c r="DGM5" s="12"/>
      <c r="DGN5" s="13"/>
      <c r="DGO5" s="12"/>
      <c r="DGP5" s="11"/>
      <c r="DGQ5" s="13"/>
      <c r="DGR5" s="12"/>
      <c r="DGS5" s="12"/>
      <c r="DGT5" s="11"/>
      <c r="DGU5" s="13"/>
      <c r="DGV5" s="4"/>
      <c r="DGW5" s="4"/>
      <c r="DGX5" s="4"/>
      <c r="DGY5" s="4"/>
      <c r="DGZ5" s="4"/>
      <c r="DHA5" s="4"/>
      <c r="DHB5" s="4"/>
      <c r="DHC5" s="4"/>
      <c r="DHE5" s="4"/>
      <c r="DHG5" s="10"/>
      <c r="DHH5" s="11"/>
      <c r="DHI5" s="12"/>
      <c r="DHJ5" s="13"/>
      <c r="DHK5" s="12"/>
      <c r="DHL5" s="11"/>
      <c r="DHM5" s="13"/>
      <c r="DHN5" s="12"/>
      <c r="DHO5" s="12"/>
      <c r="DHP5" s="11"/>
      <c r="DHQ5" s="13"/>
      <c r="DHR5" s="4"/>
      <c r="DHS5" s="4"/>
      <c r="DHT5" s="4"/>
      <c r="DHU5" s="4"/>
      <c r="DHV5" s="4"/>
      <c r="DHW5" s="4"/>
      <c r="DHX5" s="4"/>
      <c r="DHY5" s="4"/>
      <c r="DIA5" s="4"/>
      <c r="DIC5" s="10"/>
      <c r="DID5" s="11"/>
      <c r="DIE5" s="12"/>
      <c r="DIF5" s="13"/>
      <c r="DIG5" s="12"/>
      <c r="DIH5" s="11"/>
      <c r="DII5" s="13"/>
      <c r="DIJ5" s="12"/>
      <c r="DIK5" s="12"/>
      <c r="DIL5" s="11"/>
      <c r="DIM5" s="13"/>
      <c r="DIN5" s="4"/>
      <c r="DIO5" s="4"/>
      <c r="DIP5" s="4"/>
      <c r="DIQ5" s="4"/>
      <c r="DIR5" s="4"/>
      <c r="DIS5" s="4"/>
      <c r="DIT5" s="4"/>
      <c r="DIU5" s="4"/>
      <c r="DIW5" s="4"/>
      <c r="DIY5" s="10"/>
      <c r="DIZ5" s="11"/>
      <c r="DJA5" s="12"/>
      <c r="DJB5" s="13"/>
      <c r="DJC5" s="12"/>
      <c r="DJD5" s="11"/>
      <c r="DJE5" s="13"/>
      <c r="DJF5" s="12"/>
      <c r="DJG5" s="12"/>
      <c r="DJH5" s="11"/>
      <c r="DJI5" s="13"/>
      <c r="DJJ5" s="4"/>
      <c r="DJK5" s="4"/>
      <c r="DJL5" s="4"/>
      <c r="DJM5" s="4"/>
      <c r="DJN5" s="4"/>
      <c r="DJO5" s="4"/>
      <c r="DJP5" s="4"/>
      <c r="DJQ5" s="4"/>
      <c r="DJS5" s="4"/>
      <c r="DJU5" s="10"/>
      <c r="DJV5" s="11"/>
      <c r="DJW5" s="12"/>
      <c r="DJX5" s="13"/>
      <c r="DJY5" s="12"/>
      <c r="DJZ5" s="11"/>
      <c r="DKA5" s="13"/>
      <c r="DKB5" s="12"/>
      <c r="DKC5" s="12"/>
      <c r="DKD5" s="11"/>
      <c r="DKE5" s="13"/>
      <c r="DKF5" s="4"/>
      <c r="DKG5" s="4"/>
      <c r="DKH5" s="4"/>
      <c r="DKI5" s="4"/>
      <c r="DKJ5" s="4"/>
      <c r="DKK5" s="4"/>
      <c r="DKL5" s="4"/>
      <c r="DKM5" s="4"/>
      <c r="DKO5" s="4"/>
      <c r="DKQ5" s="10"/>
      <c r="DKR5" s="11"/>
      <c r="DKS5" s="12"/>
      <c r="DKT5" s="13"/>
      <c r="DKU5" s="12"/>
      <c r="DKV5" s="11"/>
      <c r="DKW5" s="13"/>
      <c r="DKX5" s="12"/>
      <c r="DKY5" s="12"/>
      <c r="DKZ5" s="11"/>
      <c r="DLA5" s="13"/>
      <c r="DLB5" s="4"/>
      <c r="DLC5" s="4"/>
      <c r="DLD5" s="4"/>
      <c r="DLE5" s="4"/>
      <c r="DLF5" s="4"/>
      <c r="DLG5" s="4"/>
      <c r="DLH5" s="4"/>
      <c r="DLI5" s="4"/>
      <c r="DLK5" s="4"/>
      <c r="DLM5" s="10"/>
      <c r="DLN5" s="11"/>
      <c r="DLO5" s="12"/>
      <c r="DLP5" s="13"/>
      <c r="DLQ5" s="12"/>
      <c r="DLR5" s="11"/>
      <c r="DLS5" s="13"/>
      <c r="DLT5" s="12"/>
      <c r="DLU5" s="12"/>
      <c r="DLV5" s="11"/>
      <c r="DLW5" s="13"/>
      <c r="DLX5" s="4"/>
      <c r="DLY5" s="4"/>
      <c r="DLZ5" s="4"/>
      <c r="DMA5" s="4"/>
      <c r="DMB5" s="4"/>
      <c r="DMC5" s="4"/>
      <c r="DMD5" s="4"/>
      <c r="DME5" s="4"/>
      <c r="DMG5" s="4"/>
      <c r="DMI5" s="10"/>
      <c r="DMJ5" s="11"/>
      <c r="DMK5" s="12"/>
      <c r="DML5" s="13"/>
      <c r="DMM5" s="12"/>
      <c r="DMN5" s="11"/>
      <c r="DMO5" s="13"/>
      <c r="DMP5" s="12"/>
      <c r="DMQ5" s="12"/>
      <c r="DMR5" s="11"/>
      <c r="DMS5" s="13"/>
      <c r="DMT5" s="4"/>
      <c r="DMU5" s="4"/>
      <c r="DMV5" s="4"/>
      <c r="DMW5" s="4"/>
      <c r="DMX5" s="4"/>
      <c r="DMY5" s="4"/>
      <c r="DMZ5" s="4"/>
      <c r="DNA5" s="4"/>
      <c r="DNC5" s="4"/>
      <c r="DNE5" s="10"/>
      <c r="DNF5" s="11"/>
      <c r="DNG5" s="12"/>
      <c r="DNH5" s="13"/>
      <c r="DNI5" s="12"/>
      <c r="DNJ5" s="11"/>
      <c r="DNK5" s="13"/>
      <c r="DNL5" s="12"/>
      <c r="DNM5" s="12"/>
      <c r="DNN5" s="11"/>
      <c r="DNO5" s="13"/>
      <c r="DNP5" s="4"/>
      <c r="DNQ5" s="4"/>
      <c r="DNR5" s="4"/>
      <c r="DNS5" s="4"/>
      <c r="DNT5" s="4"/>
      <c r="DNU5" s="4"/>
      <c r="DNV5" s="4"/>
      <c r="DNW5" s="4"/>
      <c r="DNY5" s="4"/>
      <c r="DOA5" s="10"/>
      <c r="DOB5" s="11"/>
      <c r="DOC5" s="12"/>
      <c r="DOD5" s="13"/>
      <c r="DOE5" s="12"/>
      <c r="DOF5" s="11"/>
      <c r="DOG5" s="13"/>
      <c r="DOH5" s="12"/>
      <c r="DOI5" s="12"/>
      <c r="DOJ5" s="11"/>
      <c r="DOK5" s="13"/>
      <c r="DOL5" s="4"/>
      <c r="DOM5" s="4"/>
      <c r="DON5" s="4"/>
      <c r="DOO5" s="4"/>
      <c r="DOP5" s="4"/>
      <c r="DOQ5" s="4"/>
      <c r="DOR5" s="4"/>
      <c r="DOS5" s="4"/>
      <c r="DOU5" s="4"/>
      <c r="DOW5" s="10"/>
      <c r="DOX5" s="11"/>
      <c r="DOY5" s="12"/>
      <c r="DOZ5" s="13"/>
      <c r="DPA5" s="12"/>
      <c r="DPB5" s="11"/>
      <c r="DPC5" s="13"/>
      <c r="DPD5" s="12"/>
      <c r="DPE5" s="12"/>
      <c r="DPF5" s="11"/>
      <c r="DPG5" s="13"/>
      <c r="DPH5" s="4"/>
      <c r="DPI5" s="4"/>
      <c r="DPJ5" s="4"/>
      <c r="DPK5" s="4"/>
      <c r="DPL5" s="4"/>
      <c r="DPM5" s="4"/>
      <c r="DPN5" s="4"/>
      <c r="DPO5" s="4"/>
      <c r="DPQ5" s="4"/>
      <c r="DPS5" s="10"/>
      <c r="DPT5" s="11"/>
      <c r="DPU5" s="12"/>
      <c r="DPV5" s="13"/>
      <c r="DPW5" s="12"/>
      <c r="DPX5" s="11"/>
      <c r="DPY5" s="13"/>
      <c r="DPZ5" s="12"/>
      <c r="DQA5" s="12"/>
      <c r="DQB5" s="11"/>
      <c r="DQC5" s="13"/>
      <c r="DQD5" s="4"/>
      <c r="DQE5" s="4"/>
      <c r="DQF5" s="4"/>
      <c r="DQG5" s="4"/>
      <c r="DQH5" s="4"/>
      <c r="DQI5" s="4"/>
      <c r="DQJ5" s="4"/>
      <c r="DQK5" s="4"/>
      <c r="DQM5" s="4"/>
      <c r="DQO5" s="10"/>
      <c r="DQP5" s="11"/>
      <c r="DQQ5" s="12"/>
      <c r="DQR5" s="13"/>
      <c r="DQS5" s="12"/>
      <c r="DQT5" s="11"/>
      <c r="DQU5" s="13"/>
      <c r="DQV5" s="12"/>
      <c r="DQW5" s="12"/>
      <c r="DQX5" s="11"/>
      <c r="DQY5" s="13"/>
      <c r="DQZ5" s="4"/>
      <c r="DRA5" s="4"/>
      <c r="DRB5" s="4"/>
      <c r="DRC5" s="4"/>
      <c r="DRD5" s="4"/>
      <c r="DRE5" s="4"/>
      <c r="DRF5" s="4"/>
      <c r="DRG5" s="4"/>
      <c r="DRI5" s="4"/>
      <c r="DRK5" s="10"/>
      <c r="DRL5" s="11"/>
      <c r="DRM5" s="12"/>
      <c r="DRN5" s="13"/>
      <c r="DRO5" s="12"/>
      <c r="DRP5" s="11"/>
      <c r="DRQ5" s="13"/>
      <c r="DRR5" s="12"/>
      <c r="DRS5" s="12"/>
      <c r="DRT5" s="11"/>
      <c r="DRU5" s="13"/>
      <c r="DRV5" s="4"/>
      <c r="DRW5" s="4"/>
      <c r="DRX5" s="4"/>
      <c r="DRY5" s="4"/>
      <c r="DRZ5" s="4"/>
      <c r="DSA5" s="4"/>
      <c r="DSB5" s="4"/>
      <c r="DSC5" s="4"/>
      <c r="DSE5" s="4"/>
      <c r="DSG5" s="10"/>
      <c r="DSH5" s="11"/>
      <c r="DSI5" s="12"/>
      <c r="DSJ5" s="13"/>
      <c r="DSK5" s="12"/>
      <c r="DSL5" s="11"/>
      <c r="DSM5" s="13"/>
      <c r="DSN5" s="12"/>
      <c r="DSO5" s="12"/>
      <c r="DSP5" s="11"/>
      <c r="DSQ5" s="13"/>
      <c r="DSR5" s="4"/>
      <c r="DSS5" s="4"/>
      <c r="DST5" s="4"/>
      <c r="DSU5" s="4"/>
      <c r="DSV5" s="4"/>
      <c r="DSW5" s="4"/>
      <c r="DSX5" s="4"/>
      <c r="DSY5" s="4"/>
      <c r="DTA5" s="4"/>
      <c r="DTC5" s="10"/>
      <c r="DTD5" s="11"/>
      <c r="DTE5" s="12"/>
      <c r="DTF5" s="13"/>
      <c r="DTG5" s="12"/>
      <c r="DTH5" s="11"/>
      <c r="DTI5" s="13"/>
      <c r="DTJ5" s="12"/>
      <c r="DTK5" s="12"/>
      <c r="DTL5" s="11"/>
      <c r="DTM5" s="13"/>
      <c r="DTN5" s="4"/>
      <c r="DTO5" s="4"/>
      <c r="DTP5" s="4"/>
      <c r="DTQ5" s="4"/>
      <c r="DTR5" s="4"/>
      <c r="DTS5" s="4"/>
      <c r="DTT5" s="4"/>
      <c r="DTU5" s="4"/>
      <c r="DTW5" s="4"/>
      <c r="DTY5" s="10"/>
      <c r="DTZ5" s="11"/>
      <c r="DUA5" s="12"/>
      <c r="DUB5" s="13"/>
      <c r="DUC5" s="12"/>
      <c r="DUD5" s="11"/>
      <c r="DUE5" s="13"/>
      <c r="DUF5" s="12"/>
      <c r="DUG5" s="12"/>
      <c r="DUH5" s="11"/>
      <c r="DUI5" s="13"/>
      <c r="DUJ5" s="4"/>
      <c r="DUK5" s="4"/>
      <c r="DUL5" s="4"/>
      <c r="DUM5" s="4"/>
      <c r="DUN5" s="4"/>
      <c r="DUO5" s="4"/>
      <c r="DUP5" s="4"/>
      <c r="DUQ5" s="4"/>
      <c r="DUS5" s="4"/>
      <c r="DUU5" s="10"/>
      <c r="DUV5" s="11"/>
      <c r="DUW5" s="12"/>
      <c r="DUX5" s="13"/>
      <c r="DUY5" s="12"/>
      <c r="DUZ5" s="11"/>
      <c r="DVA5" s="13"/>
      <c r="DVB5" s="12"/>
      <c r="DVC5" s="12"/>
      <c r="DVD5" s="11"/>
      <c r="DVE5" s="13"/>
      <c r="DVF5" s="4"/>
      <c r="DVG5" s="4"/>
      <c r="DVH5" s="4"/>
      <c r="DVI5" s="4"/>
      <c r="DVJ5" s="4"/>
      <c r="DVK5" s="4"/>
      <c r="DVL5" s="4"/>
      <c r="DVM5" s="4"/>
      <c r="DVO5" s="4"/>
      <c r="DVQ5" s="10"/>
      <c r="DVR5" s="11"/>
      <c r="DVS5" s="12"/>
      <c r="DVT5" s="13"/>
      <c r="DVU5" s="12"/>
      <c r="DVV5" s="11"/>
      <c r="DVW5" s="13"/>
      <c r="DVX5" s="12"/>
      <c r="DVY5" s="12"/>
      <c r="DVZ5" s="11"/>
      <c r="DWA5" s="13"/>
      <c r="DWB5" s="4"/>
      <c r="DWC5" s="4"/>
      <c r="DWD5" s="4"/>
      <c r="DWE5" s="4"/>
      <c r="DWF5" s="4"/>
      <c r="DWG5" s="4"/>
      <c r="DWH5" s="4"/>
      <c r="DWI5" s="4"/>
      <c r="DWK5" s="4"/>
      <c r="DWM5" s="10"/>
      <c r="DWN5" s="11"/>
      <c r="DWO5" s="12"/>
      <c r="DWP5" s="13"/>
      <c r="DWQ5" s="12"/>
      <c r="DWR5" s="11"/>
      <c r="DWS5" s="13"/>
      <c r="DWT5" s="12"/>
      <c r="DWU5" s="12"/>
      <c r="DWV5" s="11"/>
      <c r="DWW5" s="13"/>
      <c r="DWX5" s="4"/>
      <c r="DWY5" s="4"/>
      <c r="DWZ5" s="4"/>
      <c r="DXA5" s="4"/>
      <c r="DXB5" s="4"/>
      <c r="DXC5" s="4"/>
      <c r="DXD5" s="4"/>
      <c r="DXE5" s="4"/>
      <c r="DXG5" s="4"/>
      <c r="DXI5" s="10"/>
      <c r="DXJ5" s="11"/>
      <c r="DXK5" s="12"/>
      <c r="DXL5" s="13"/>
      <c r="DXM5" s="12"/>
      <c r="DXN5" s="11"/>
      <c r="DXO5" s="13"/>
      <c r="DXP5" s="12"/>
      <c r="DXQ5" s="12"/>
      <c r="DXR5" s="11"/>
      <c r="DXS5" s="13"/>
      <c r="DXT5" s="4"/>
      <c r="DXU5" s="4"/>
      <c r="DXV5" s="4"/>
      <c r="DXW5" s="4"/>
      <c r="DXX5" s="4"/>
      <c r="DXY5" s="4"/>
      <c r="DXZ5" s="4"/>
      <c r="DYA5" s="4"/>
      <c r="DYC5" s="4"/>
      <c r="DYE5" s="10"/>
      <c r="DYF5" s="11"/>
      <c r="DYG5" s="12"/>
      <c r="DYH5" s="13"/>
      <c r="DYI5" s="12"/>
      <c r="DYJ5" s="11"/>
      <c r="DYK5" s="13"/>
      <c r="DYL5" s="12"/>
      <c r="DYM5" s="12"/>
      <c r="DYN5" s="11"/>
      <c r="DYO5" s="13"/>
      <c r="DYP5" s="4"/>
      <c r="DYQ5" s="4"/>
      <c r="DYR5" s="4"/>
      <c r="DYS5" s="4"/>
      <c r="DYT5" s="4"/>
      <c r="DYU5" s="4"/>
      <c r="DYV5" s="4"/>
      <c r="DYW5" s="4"/>
      <c r="DYY5" s="4"/>
      <c r="DZA5" s="10"/>
      <c r="DZB5" s="11"/>
      <c r="DZC5" s="12"/>
      <c r="DZD5" s="13"/>
      <c r="DZE5" s="12"/>
      <c r="DZF5" s="11"/>
      <c r="DZG5" s="13"/>
      <c r="DZH5" s="12"/>
      <c r="DZI5" s="12"/>
      <c r="DZJ5" s="11"/>
      <c r="DZK5" s="13"/>
      <c r="DZL5" s="4"/>
      <c r="DZM5" s="4"/>
      <c r="DZN5" s="4"/>
      <c r="DZO5" s="4"/>
      <c r="DZP5" s="4"/>
      <c r="DZQ5" s="4"/>
      <c r="DZR5" s="4"/>
      <c r="DZS5" s="4"/>
      <c r="DZU5" s="4"/>
      <c r="DZW5" s="10"/>
      <c r="DZX5" s="11"/>
      <c r="DZY5" s="12"/>
      <c r="DZZ5" s="13"/>
      <c r="EAA5" s="12"/>
      <c r="EAB5" s="11"/>
      <c r="EAC5" s="13"/>
      <c r="EAD5" s="12"/>
      <c r="EAE5" s="12"/>
      <c r="EAF5" s="11"/>
      <c r="EAG5" s="13"/>
      <c r="EAH5" s="4"/>
      <c r="EAI5" s="4"/>
      <c r="EAJ5" s="4"/>
      <c r="EAK5" s="4"/>
      <c r="EAL5" s="4"/>
      <c r="EAM5" s="4"/>
      <c r="EAN5" s="4"/>
      <c r="EAO5" s="4"/>
      <c r="EAQ5" s="4"/>
      <c r="EAS5" s="10"/>
      <c r="EAT5" s="11"/>
      <c r="EAU5" s="12"/>
      <c r="EAV5" s="13"/>
      <c r="EAW5" s="12"/>
      <c r="EAX5" s="11"/>
      <c r="EAY5" s="13"/>
      <c r="EAZ5" s="12"/>
      <c r="EBA5" s="12"/>
      <c r="EBB5" s="11"/>
      <c r="EBC5" s="13"/>
      <c r="EBD5" s="4"/>
      <c r="EBE5" s="4"/>
      <c r="EBF5" s="4"/>
      <c r="EBG5" s="4"/>
      <c r="EBH5" s="4"/>
      <c r="EBI5" s="4"/>
      <c r="EBJ5" s="4"/>
      <c r="EBK5" s="4"/>
      <c r="EBM5" s="4"/>
      <c r="EBO5" s="10"/>
      <c r="EBP5" s="11"/>
      <c r="EBQ5" s="12"/>
      <c r="EBR5" s="13"/>
      <c r="EBS5" s="12"/>
      <c r="EBT5" s="11"/>
      <c r="EBU5" s="13"/>
      <c r="EBV5" s="12"/>
      <c r="EBW5" s="12"/>
      <c r="EBX5" s="11"/>
      <c r="EBY5" s="13"/>
      <c r="EBZ5" s="4"/>
      <c r="ECA5" s="4"/>
      <c r="ECB5" s="4"/>
      <c r="ECC5" s="4"/>
      <c r="ECD5" s="4"/>
      <c r="ECE5" s="4"/>
      <c r="ECF5" s="4"/>
      <c r="ECG5" s="4"/>
      <c r="ECI5" s="4"/>
      <c r="ECK5" s="10"/>
      <c r="ECL5" s="11"/>
      <c r="ECM5" s="12"/>
      <c r="ECN5" s="13"/>
      <c r="ECO5" s="12"/>
      <c r="ECP5" s="11"/>
      <c r="ECQ5" s="13"/>
      <c r="ECR5" s="12"/>
      <c r="ECS5" s="12"/>
      <c r="ECT5" s="11"/>
      <c r="ECU5" s="13"/>
      <c r="ECV5" s="4"/>
      <c r="ECW5" s="4"/>
      <c r="ECX5" s="4"/>
      <c r="ECY5" s="4"/>
      <c r="ECZ5" s="4"/>
      <c r="EDA5" s="4"/>
      <c r="EDB5" s="4"/>
      <c r="EDC5" s="4"/>
      <c r="EDE5" s="4"/>
      <c r="EDG5" s="10"/>
      <c r="EDH5" s="11"/>
      <c r="EDI5" s="12"/>
      <c r="EDJ5" s="13"/>
      <c r="EDK5" s="12"/>
      <c r="EDL5" s="11"/>
      <c r="EDM5" s="13"/>
      <c r="EDN5" s="12"/>
      <c r="EDO5" s="12"/>
      <c r="EDP5" s="11"/>
      <c r="EDQ5" s="13"/>
      <c r="EDR5" s="4"/>
      <c r="EDS5" s="4"/>
      <c r="EDT5" s="4"/>
      <c r="EDU5" s="4"/>
      <c r="EDV5" s="4"/>
      <c r="EDW5" s="4"/>
      <c r="EDX5" s="4"/>
      <c r="EDY5" s="4"/>
      <c r="EEA5" s="4"/>
      <c r="EEC5" s="10"/>
      <c r="EED5" s="11"/>
      <c r="EEE5" s="12"/>
      <c r="EEF5" s="13"/>
      <c r="EEG5" s="12"/>
      <c r="EEH5" s="11"/>
      <c r="EEI5" s="13"/>
      <c r="EEJ5" s="12"/>
      <c r="EEK5" s="12"/>
      <c r="EEL5" s="11"/>
      <c r="EEM5" s="13"/>
      <c r="EEN5" s="4"/>
      <c r="EEO5" s="4"/>
      <c r="EEP5" s="4"/>
      <c r="EEQ5" s="4"/>
      <c r="EER5" s="4"/>
      <c r="EES5" s="4"/>
      <c r="EET5" s="4"/>
      <c r="EEU5" s="4"/>
      <c r="EEW5" s="4"/>
      <c r="EEY5" s="10"/>
      <c r="EEZ5" s="11"/>
      <c r="EFA5" s="12"/>
      <c r="EFB5" s="13"/>
      <c r="EFC5" s="12"/>
      <c r="EFD5" s="11"/>
      <c r="EFE5" s="13"/>
      <c r="EFF5" s="12"/>
      <c r="EFG5" s="12"/>
      <c r="EFH5" s="11"/>
      <c r="EFI5" s="13"/>
      <c r="EFJ5" s="4"/>
      <c r="EFK5" s="4"/>
      <c r="EFL5" s="4"/>
      <c r="EFM5" s="4"/>
      <c r="EFN5" s="4"/>
      <c r="EFO5" s="4"/>
      <c r="EFP5" s="4"/>
      <c r="EFQ5" s="4"/>
      <c r="EFS5" s="4"/>
      <c r="EFU5" s="10"/>
      <c r="EFV5" s="11"/>
      <c r="EFW5" s="12"/>
      <c r="EFX5" s="13"/>
      <c r="EFY5" s="12"/>
      <c r="EFZ5" s="11"/>
      <c r="EGA5" s="13"/>
      <c r="EGB5" s="12"/>
      <c r="EGC5" s="12"/>
      <c r="EGD5" s="11"/>
      <c r="EGE5" s="13"/>
      <c r="EGF5" s="4"/>
      <c r="EGG5" s="4"/>
      <c r="EGH5" s="4"/>
      <c r="EGI5" s="4"/>
      <c r="EGJ5" s="4"/>
      <c r="EGK5" s="4"/>
      <c r="EGL5" s="4"/>
      <c r="EGM5" s="4"/>
      <c r="EGO5" s="4"/>
      <c r="EGQ5" s="10"/>
      <c r="EGR5" s="11"/>
      <c r="EGS5" s="12"/>
      <c r="EGT5" s="13"/>
      <c r="EGU5" s="12"/>
      <c r="EGV5" s="11"/>
      <c r="EGW5" s="13"/>
      <c r="EGX5" s="12"/>
      <c r="EGY5" s="12"/>
      <c r="EGZ5" s="11"/>
      <c r="EHA5" s="13"/>
      <c r="EHB5" s="4"/>
      <c r="EHC5" s="4"/>
      <c r="EHD5" s="4"/>
      <c r="EHE5" s="4"/>
      <c r="EHF5" s="4"/>
      <c r="EHG5" s="4"/>
      <c r="EHH5" s="4"/>
      <c r="EHI5" s="4"/>
      <c r="EHK5" s="4"/>
      <c r="EHM5" s="10"/>
      <c r="EHN5" s="11"/>
      <c r="EHO5" s="12"/>
      <c r="EHP5" s="13"/>
      <c r="EHQ5" s="12"/>
      <c r="EHR5" s="11"/>
      <c r="EHS5" s="13"/>
      <c r="EHT5" s="12"/>
      <c r="EHU5" s="12"/>
      <c r="EHV5" s="11"/>
      <c r="EHW5" s="13"/>
      <c r="EHX5" s="4"/>
      <c r="EHY5" s="4"/>
      <c r="EHZ5" s="4"/>
      <c r="EIA5" s="4"/>
      <c r="EIB5" s="4"/>
      <c r="EIC5" s="4"/>
      <c r="EID5" s="4"/>
      <c r="EIE5" s="4"/>
      <c r="EIG5" s="4"/>
      <c r="EII5" s="10"/>
      <c r="EIJ5" s="11"/>
      <c r="EIK5" s="12"/>
      <c r="EIL5" s="13"/>
      <c r="EIM5" s="12"/>
      <c r="EIN5" s="11"/>
      <c r="EIO5" s="13"/>
      <c r="EIP5" s="12"/>
      <c r="EIQ5" s="12"/>
      <c r="EIR5" s="11"/>
      <c r="EIS5" s="13"/>
      <c r="EIT5" s="4"/>
      <c r="EIU5" s="4"/>
      <c r="EIV5" s="4"/>
      <c r="EIW5" s="4"/>
      <c r="EIX5" s="4"/>
      <c r="EIY5" s="4"/>
      <c r="EIZ5" s="4"/>
      <c r="EJA5" s="4"/>
      <c r="EJC5" s="4"/>
      <c r="EJE5" s="10"/>
      <c r="EJF5" s="11"/>
      <c r="EJG5" s="12"/>
      <c r="EJH5" s="13"/>
      <c r="EJI5" s="12"/>
      <c r="EJJ5" s="11"/>
      <c r="EJK5" s="13"/>
      <c r="EJL5" s="12"/>
      <c r="EJM5" s="12"/>
      <c r="EJN5" s="11"/>
      <c r="EJO5" s="13"/>
      <c r="EJP5" s="4"/>
      <c r="EJQ5" s="4"/>
      <c r="EJR5" s="4"/>
      <c r="EJS5" s="4"/>
      <c r="EJT5" s="4"/>
      <c r="EJU5" s="4"/>
      <c r="EJV5" s="4"/>
      <c r="EJW5" s="4"/>
      <c r="EJY5" s="4"/>
      <c r="EKA5" s="10"/>
      <c r="EKB5" s="11"/>
      <c r="EKC5" s="12"/>
      <c r="EKD5" s="13"/>
      <c r="EKE5" s="12"/>
      <c r="EKF5" s="11"/>
      <c r="EKG5" s="13"/>
      <c r="EKH5" s="12"/>
      <c r="EKI5" s="12"/>
      <c r="EKJ5" s="11"/>
      <c r="EKK5" s="13"/>
      <c r="EKL5" s="4"/>
      <c r="EKM5" s="4"/>
      <c r="EKN5" s="4"/>
      <c r="EKO5" s="4"/>
      <c r="EKP5" s="4"/>
      <c r="EKQ5" s="4"/>
      <c r="EKR5" s="4"/>
      <c r="EKS5" s="4"/>
      <c r="EKU5" s="4"/>
      <c r="EKW5" s="10"/>
      <c r="EKX5" s="11"/>
      <c r="EKY5" s="12"/>
      <c r="EKZ5" s="13"/>
      <c r="ELA5" s="12"/>
      <c r="ELB5" s="11"/>
      <c r="ELC5" s="13"/>
      <c r="ELD5" s="12"/>
      <c r="ELE5" s="12"/>
      <c r="ELF5" s="11"/>
      <c r="ELG5" s="13"/>
      <c r="ELH5" s="4"/>
      <c r="ELI5" s="4"/>
      <c r="ELJ5" s="4"/>
      <c r="ELK5" s="4"/>
      <c r="ELL5" s="4"/>
      <c r="ELM5" s="4"/>
      <c r="ELN5" s="4"/>
      <c r="ELO5" s="4"/>
      <c r="ELQ5" s="4"/>
      <c r="ELS5" s="10"/>
      <c r="ELT5" s="11"/>
      <c r="ELU5" s="12"/>
      <c r="ELV5" s="13"/>
      <c r="ELW5" s="12"/>
      <c r="ELX5" s="11"/>
      <c r="ELY5" s="13"/>
      <c r="ELZ5" s="12"/>
      <c r="EMA5" s="12"/>
      <c r="EMB5" s="11"/>
      <c r="EMC5" s="13"/>
      <c r="EMD5" s="4"/>
      <c r="EME5" s="4"/>
      <c r="EMF5" s="4"/>
      <c r="EMG5" s="4"/>
      <c r="EMH5" s="4"/>
      <c r="EMI5" s="4"/>
      <c r="EMJ5" s="4"/>
      <c r="EMK5" s="4"/>
      <c r="EMM5" s="4"/>
      <c r="EMO5" s="10"/>
      <c r="EMP5" s="11"/>
      <c r="EMQ5" s="12"/>
      <c r="EMR5" s="13"/>
      <c r="EMS5" s="12"/>
      <c r="EMT5" s="11"/>
      <c r="EMU5" s="13"/>
      <c r="EMV5" s="12"/>
      <c r="EMW5" s="12"/>
      <c r="EMX5" s="11"/>
      <c r="EMY5" s="13"/>
      <c r="EMZ5" s="4"/>
      <c r="ENA5" s="4"/>
      <c r="ENB5" s="4"/>
      <c r="ENC5" s="4"/>
      <c r="END5" s="4"/>
      <c r="ENE5" s="4"/>
      <c r="ENF5" s="4"/>
      <c r="ENG5" s="4"/>
      <c r="ENI5" s="4"/>
      <c r="ENK5" s="10"/>
      <c r="ENL5" s="11"/>
      <c r="ENM5" s="12"/>
      <c r="ENN5" s="13"/>
      <c r="ENO5" s="12"/>
      <c r="ENP5" s="11"/>
      <c r="ENQ5" s="13"/>
      <c r="ENR5" s="12"/>
      <c r="ENS5" s="12"/>
      <c r="ENT5" s="11"/>
      <c r="ENU5" s="13"/>
      <c r="ENV5" s="4"/>
      <c r="ENW5" s="4"/>
      <c r="ENX5" s="4"/>
      <c r="ENY5" s="4"/>
      <c r="ENZ5" s="4"/>
      <c r="EOA5" s="4"/>
      <c r="EOB5" s="4"/>
      <c r="EOC5" s="4"/>
      <c r="EOE5" s="4"/>
      <c r="EOG5" s="10"/>
      <c r="EOH5" s="11"/>
      <c r="EOI5" s="12"/>
      <c r="EOJ5" s="13"/>
      <c r="EOK5" s="12"/>
      <c r="EOL5" s="11"/>
      <c r="EOM5" s="13"/>
      <c r="EON5" s="12"/>
      <c r="EOO5" s="12"/>
      <c r="EOP5" s="11"/>
      <c r="EOQ5" s="13"/>
      <c r="EOR5" s="4"/>
      <c r="EOS5" s="4"/>
      <c r="EOT5" s="4"/>
      <c r="EOU5" s="4"/>
      <c r="EOV5" s="4"/>
      <c r="EOW5" s="4"/>
      <c r="EOX5" s="4"/>
      <c r="EOY5" s="4"/>
      <c r="EPA5" s="4"/>
      <c r="EPC5" s="10"/>
      <c r="EPD5" s="11"/>
      <c r="EPE5" s="12"/>
      <c r="EPF5" s="13"/>
      <c r="EPG5" s="12"/>
      <c r="EPH5" s="11"/>
      <c r="EPI5" s="13"/>
      <c r="EPJ5" s="12"/>
      <c r="EPK5" s="12"/>
      <c r="EPL5" s="11"/>
      <c r="EPM5" s="13"/>
      <c r="EPN5" s="4"/>
      <c r="EPO5" s="4"/>
      <c r="EPP5" s="4"/>
      <c r="EPQ5" s="4"/>
      <c r="EPR5" s="4"/>
      <c r="EPS5" s="4"/>
      <c r="EPT5" s="4"/>
      <c r="EPU5" s="4"/>
      <c r="EPW5" s="4"/>
      <c r="EPY5" s="10"/>
      <c r="EPZ5" s="11"/>
      <c r="EQA5" s="12"/>
      <c r="EQB5" s="13"/>
      <c r="EQC5" s="12"/>
      <c r="EQD5" s="11"/>
      <c r="EQE5" s="13"/>
      <c r="EQF5" s="12"/>
      <c r="EQG5" s="12"/>
      <c r="EQH5" s="11"/>
      <c r="EQI5" s="13"/>
      <c r="EQJ5" s="4"/>
      <c r="EQK5" s="4"/>
      <c r="EQL5" s="4"/>
      <c r="EQM5" s="4"/>
      <c r="EQN5" s="4"/>
      <c r="EQO5" s="4"/>
      <c r="EQP5" s="4"/>
      <c r="EQQ5" s="4"/>
      <c r="EQS5" s="4"/>
      <c r="EQU5" s="10"/>
      <c r="EQV5" s="11"/>
      <c r="EQW5" s="12"/>
      <c r="EQX5" s="13"/>
      <c r="EQY5" s="12"/>
      <c r="EQZ5" s="11"/>
      <c r="ERA5" s="13"/>
      <c r="ERB5" s="12"/>
      <c r="ERC5" s="12"/>
      <c r="ERD5" s="11"/>
      <c r="ERE5" s="13"/>
      <c r="ERF5" s="4"/>
      <c r="ERG5" s="4"/>
      <c r="ERH5" s="4"/>
      <c r="ERI5" s="4"/>
      <c r="ERJ5" s="4"/>
      <c r="ERK5" s="4"/>
      <c r="ERL5" s="4"/>
      <c r="ERM5" s="4"/>
      <c r="ERO5" s="4"/>
      <c r="ERQ5" s="10"/>
      <c r="ERR5" s="11"/>
      <c r="ERS5" s="12"/>
      <c r="ERT5" s="13"/>
      <c r="ERU5" s="12"/>
      <c r="ERV5" s="11"/>
      <c r="ERW5" s="13"/>
      <c r="ERX5" s="12"/>
      <c r="ERY5" s="12"/>
      <c r="ERZ5" s="11"/>
      <c r="ESA5" s="13"/>
      <c r="ESB5" s="4"/>
      <c r="ESC5" s="4"/>
      <c r="ESD5" s="4"/>
      <c r="ESE5" s="4"/>
      <c r="ESF5" s="4"/>
      <c r="ESG5" s="4"/>
      <c r="ESH5" s="4"/>
      <c r="ESI5" s="4"/>
      <c r="ESK5" s="4"/>
      <c r="ESM5" s="10"/>
      <c r="ESN5" s="11"/>
      <c r="ESO5" s="12"/>
      <c r="ESP5" s="13"/>
      <c r="ESQ5" s="12"/>
      <c r="ESR5" s="11"/>
      <c r="ESS5" s="13"/>
      <c r="EST5" s="12"/>
      <c r="ESU5" s="12"/>
      <c r="ESV5" s="11"/>
      <c r="ESW5" s="13"/>
      <c r="ESX5" s="4"/>
      <c r="ESY5" s="4"/>
      <c r="ESZ5" s="4"/>
      <c r="ETA5" s="4"/>
      <c r="ETB5" s="4"/>
      <c r="ETC5" s="4"/>
      <c r="ETD5" s="4"/>
      <c r="ETE5" s="4"/>
      <c r="ETG5" s="4"/>
      <c r="ETI5" s="10"/>
      <c r="ETJ5" s="11"/>
      <c r="ETK5" s="12"/>
      <c r="ETL5" s="13"/>
      <c r="ETM5" s="12"/>
      <c r="ETN5" s="11"/>
      <c r="ETO5" s="13"/>
      <c r="ETP5" s="12"/>
      <c r="ETQ5" s="12"/>
      <c r="ETR5" s="11"/>
      <c r="ETS5" s="13"/>
      <c r="ETT5" s="4"/>
      <c r="ETU5" s="4"/>
      <c r="ETV5" s="4"/>
      <c r="ETW5" s="4"/>
      <c r="ETX5" s="4"/>
      <c r="ETY5" s="4"/>
      <c r="ETZ5" s="4"/>
      <c r="EUA5" s="4"/>
      <c r="EUC5" s="4"/>
      <c r="EUE5" s="10"/>
      <c r="EUF5" s="11"/>
      <c r="EUG5" s="12"/>
      <c r="EUH5" s="13"/>
      <c r="EUI5" s="12"/>
      <c r="EUJ5" s="11"/>
      <c r="EUK5" s="13"/>
      <c r="EUL5" s="12"/>
      <c r="EUM5" s="12"/>
      <c r="EUN5" s="11"/>
      <c r="EUO5" s="13"/>
      <c r="EUP5" s="4"/>
      <c r="EUQ5" s="4"/>
      <c r="EUR5" s="4"/>
      <c r="EUS5" s="4"/>
      <c r="EUT5" s="4"/>
      <c r="EUU5" s="4"/>
      <c r="EUV5" s="4"/>
      <c r="EUW5" s="4"/>
      <c r="EUY5" s="4"/>
      <c r="EVA5" s="10"/>
      <c r="EVB5" s="11"/>
      <c r="EVC5" s="12"/>
      <c r="EVD5" s="13"/>
      <c r="EVE5" s="12"/>
      <c r="EVF5" s="11"/>
      <c r="EVG5" s="13"/>
      <c r="EVH5" s="12"/>
      <c r="EVI5" s="12"/>
      <c r="EVJ5" s="11"/>
      <c r="EVK5" s="13"/>
      <c r="EVL5" s="4"/>
      <c r="EVM5" s="4"/>
      <c r="EVN5" s="4"/>
      <c r="EVO5" s="4"/>
      <c r="EVP5" s="4"/>
      <c r="EVQ5" s="4"/>
      <c r="EVR5" s="4"/>
      <c r="EVS5" s="4"/>
      <c r="EVU5" s="4"/>
      <c r="EVW5" s="10"/>
      <c r="EVX5" s="11"/>
      <c r="EVY5" s="12"/>
      <c r="EVZ5" s="13"/>
      <c r="EWA5" s="12"/>
      <c r="EWB5" s="11"/>
      <c r="EWC5" s="13"/>
      <c r="EWD5" s="12"/>
      <c r="EWE5" s="12"/>
      <c r="EWF5" s="11"/>
      <c r="EWG5" s="13"/>
      <c r="EWH5" s="4"/>
      <c r="EWI5" s="4"/>
      <c r="EWJ5" s="4"/>
      <c r="EWK5" s="4"/>
      <c r="EWL5" s="4"/>
      <c r="EWM5" s="4"/>
      <c r="EWN5" s="4"/>
      <c r="EWO5" s="4"/>
      <c r="EWQ5" s="4"/>
      <c r="EWS5" s="10"/>
      <c r="EWT5" s="11"/>
      <c r="EWU5" s="12"/>
      <c r="EWV5" s="13"/>
      <c r="EWW5" s="12"/>
      <c r="EWX5" s="11"/>
      <c r="EWY5" s="13"/>
      <c r="EWZ5" s="12"/>
      <c r="EXA5" s="12"/>
      <c r="EXB5" s="11"/>
      <c r="EXC5" s="13"/>
      <c r="EXD5" s="4"/>
      <c r="EXE5" s="4"/>
      <c r="EXF5" s="4"/>
      <c r="EXG5" s="4"/>
      <c r="EXH5" s="4"/>
      <c r="EXI5" s="4"/>
      <c r="EXJ5" s="4"/>
      <c r="EXK5" s="4"/>
      <c r="EXM5" s="4"/>
      <c r="EXO5" s="10"/>
      <c r="EXP5" s="11"/>
      <c r="EXQ5" s="12"/>
      <c r="EXR5" s="13"/>
      <c r="EXS5" s="12"/>
      <c r="EXT5" s="11"/>
      <c r="EXU5" s="13"/>
      <c r="EXV5" s="12"/>
      <c r="EXW5" s="12"/>
      <c r="EXX5" s="11"/>
      <c r="EXY5" s="13"/>
      <c r="EXZ5" s="4"/>
      <c r="EYA5" s="4"/>
      <c r="EYB5" s="4"/>
      <c r="EYC5" s="4"/>
      <c r="EYD5" s="4"/>
      <c r="EYE5" s="4"/>
      <c r="EYF5" s="4"/>
      <c r="EYG5" s="4"/>
      <c r="EYI5" s="4"/>
      <c r="EYK5" s="10"/>
      <c r="EYL5" s="11"/>
      <c r="EYM5" s="12"/>
      <c r="EYN5" s="13"/>
      <c r="EYO5" s="12"/>
      <c r="EYP5" s="11"/>
      <c r="EYQ5" s="13"/>
      <c r="EYR5" s="12"/>
      <c r="EYS5" s="12"/>
      <c r="EYT5" s="11"/>
      <c r="EYU5" s="13"/>
      <c r="EYV5" s="4"/>
      <c r="EYW5" s="4"/>
      <c r="EYX5" s="4"/>
      <c r="EYY5" s="4"/>
      <c r="EYZ5" s="4"/>
      <c r="EZA5" s="4"/>
      <c r="EZB5" s="4"/>
      <c r="EZC5" s="4"/>
      <c r="EZE5" s="4"/>
      <c r="EZG5" s="10"/>
      <c r="EZH5" s="11"/>
      <c r="EZI5" s="12"/>
      <c r="EZJ5" s="13"/>
      <c r="EZK5" s="12"/>
      <c r="EZL5" s="11"/>
      <c r="EZM5" s="13"/>
      <c r="EZN5" s="12"/>
      <c r="EZO5" s="12"/>
      <c r="EZP5" s="11"/>
      <c r="EZQ5" s="13"/>
      <c r="EZR5" s="4"/>
      <c r="EZS5" s="4"/>
      <c r="EZT5" s="4"/>
      <c r="EZU5" s="4"/>
      <c r="EZV5" s="4"/>
      <c r="EZW5" s="4"/>
      <c r="EZX5" s="4"/>
      <c r="EZY5" s="4"/>
      <c r="FAA5" s="4"/>
      <c r="FAC5" s="10"/>
      <c r="FAD5" s="11"/>
      <c r="FAE5" s="12"/>
      <c r="FAF5" s="13"/>
      <c r="FAG5" s="12"/>
      <c r="FAH5" s="11"/>
      <c r="FAI5" s="13"/>
      <c r="FAJ5" s="12"/>
      <c r="FAK5" s="12"/>
      <c r="FAL5" s="11"/>
      <c r="FAM5" s="13"/>
      <c r="FAN5" s="4"/>
      <c r="FAO5" s="4"/>
      <c r="FAP5" s="4"/>
      <c r="FAQ5" s="4"/>
      <c r="FAR5" s="4"/>
      <c r="FAS5" s="4"/>
      <c r="FAT5" s="4"/>
      <c r="FAU5" s="4"/>
      <c r="FAW5" s="4"/>
      <c r="FAY5" s="10"/>
      <c r="FAZ5" s="11"/>
      <c r="FBA5" s="12"/>
      <c r="FBB5" s="13"/>
      <c r="FBC5" s="12"/>
      <c r="FBD5" s="11"/>
      <c r="FBE5" s="13"/>
      <c r="FBF5" s="12"/>
      <c r="FBG5" s="12"/>
      <c r="FBH5" s="11"/>
      <c r="FBI5" s="13"/>
      <c r="FBJ5" s="4"/>
      <c r="FBK5" s="4"/>
      <c r="FBL5" s="4"/>
      <c r="FBM5" s="4"/>
      <c r="FBN5" s="4"/>
      <c r="FBO5" s="4"/>
      <c r="FBP5" s="4"/>
      <c r="FBQ5" s="4"/>
      <c r="FBS5" s="4"/>
      <c r="FBU5" s="10"/>
      <c r="FBV5" s="11"/>
      <c r="FBW5" s="12"/>
      <c r="FBX5" s="13"/>
      <c r="FBY5" s="12"/>
      <c r="FBZ5" s="11"/>
      <c r="FCA5" s="13"/>
      <c r="FCB5" s="12"/>
      <c r="FCC5" s="12"/>
      <c r="FCD5" s="11"/>
      <c r="FCE5" s="13"/>
      <c r="FCF5" s="4"/>
      <c r="FCG5" s="4"/>
      <c r="FCH5" s="4"/>
      <c r="FCI5" s="4"/>
      <c r="FCJ5" s="4"/>
      <c r="FCK5" s="4"/>
      <c r="FCL5" s="4"/>
      <c r="FCM5" s="4"/>
      <c r="FCO5" s="4"/>
      <c r="FCQ5" s="10"/>
      <c r="FCR5" s="11"/>
      <c r="FCS5" s="12"/>
      <c r="FCT5" s="13"/>
      <c r="FCU5" s="12"/>
      <c r="FCV5" s="11"/>
      <c r="FCW5" s="13"/>
      <c r="FCX5" s="12"/>
      <c r="FCY5" s="12"/>
      <c r="FCZ5" s="11"/>
      <c r="FDA5" s="13"/>
      <c r="FDB5" s="4"/>
      <c r="FDC5" s="4"/>
      <c r="FDD5" s="4"/>
      <c r="FDE5" s="4"/>
      <c r="FDF5" s="4"/>
      <c r="FDG5" s="4"/>
      <c r="FDH5" s="4"/>
      <c r="FDI5" s="4"/>
      <c r="FDK5" s="4"/>
      <c r="FDM5" s="10"/>
      <c r="FDN5" s="11"/>
      <c r="FDO5" s="12"/>
      <c r="FDP5" s="13"/>
      <c r="FDQ5" s="12"/>
      <c r="FDR5" s="11"/>
      <c r="FDS5" s="13"/>
      <c r="FDT5" s="12"/>
      <c r="FDU5" s="12"/>
      <c r="FDV5" s="11"/>
      <c r="FDW5" s="13"/>
      <c r="FDX5" s="4"/>
      <c r="FDY5" s="4"/>
      <c r="FDZ5" s="4"/>
      <c r="FEA5" s="4"/>
      <c r="FEB5" s="4"/>
      <c r="FEC5" s="4"/>
      <c r="FED5" s="4"/>
      <c r="FEE5" s="4"/>
      <c r="FEG5" s="4"/>
      <c r="FEI5" s="10"/>
      <c r="FEJ5" s="11"/>
      <c r="FEK5" s="12"/>
      <c r="FEL5" s="13"/>
      <c r="FEM5" s="12"/>
      <c r="FEN5" s="11"/>
      <c r="FEO5" s="13"/>
      <c r="FEP5" s="12"/>
      <c r="FEQ5" s="12"/>
      <c r="FER5" s="11"/>
      <c r="FES5" s="13"/>
      <c r="FET5" s="4"/>
      <c r="FEU5" s="4"/>
      <c r="FEV5" s="4"/>
      <c r="FEW5" s="4"/>
      <c r="FEX5" s="4"/>
      <c r="FEY5" s="4"/>
      <c r="FEZ5" s="4"/>
      <c r="FFA5" s="4"/>
      <c r="FFC5" s="4"/>
      <c r="FFE5" s="10"/>
      <c r="FFF5" s="11"/>
      <c r="FFG5" s="12"/>
      <c r="FFH5" s="13"/>
      <c r="FFI5" s="12"/>
      <c r="FFJ5" s="11"/>
      <c r="FFK5" s="13"/>
      <c r="FFL5" s="12"/>
      <c r="FFM5" s="12"/>
      <c r="FFN5" s="11"/>
      <c r="FFO5" s="13"/>
      <c r="FFP5" s="4"/>
      <c r="FFQ5" s="4"/>
      <c r="FFR5" s="4"/>
      <c r="FFS5" s="4"/>
      <c r="FFT5" s="4"/>
      <c r="FFU5" s="4"/>
      <c r="FFV5" s="4"/>
      <c r="FFW5" s="4"/>
      <c r="FFY5" s="4"/>
      <c r="FGA5" s="10"/>
      <c r="FGB5" s="11"/>
      <c r="FGC5" s="12"/>
      <c r="FGD5" s="13"/>
      <c r="FGE5" s="12"/>
      <c r="FGF5" s="11"/>
      <c r="FGG5" s="13"/>
      <c r="FGH5" s="12"/>
      <c r="FGI5" s="12"/>
      <c r="FGJ5" s="11"/>
      <c r="FGK5" s="13"/>
      <c r="FGL5" s="4"/>
      <c r="FGM5" s="4"/>
      <c r="FGN5" s="4"/>
      <c r="FGO5" s="4"/>
      <c r="FGP5" s="4"/>
      <c r="FGQ5" s="4"/>
      <c r="FGR5" s="4"/>
      <c r="FGS5" s="4"/>
      <c r="FGU5" s="4"/>
      <c r="FGW5" s="10"/>
      <c r="FGX5" s="11"/>
      <c r="FGY5" s="12"/>
      <c r="FGZ5" s="13"/>
      <c r="FHA5" s="12"/>
      <c r="FHB5" s="11"/>
      <c r="FHC5" s="13"/>
      <c r="FHD5" s="12"/>
      <c r="FHE5" s="12"/>
      <c r="FHF5" s="11"/>
      <c r="FHG5" s="13"/>
      <c r="FHH5" s="4"/>
      <c r="FHI5" s="4"/>
      <c r="FHJ5" s="4"/>
      <c r="FHK5" s="4"/>
      <c r="FHL5" s="4"/>
      <c r="FHM5" s="4"/>
      <c r="FHN5" s="4"/>
      <c r="FHO5" s="4"/>
      <c r="FHQ5" s="4"/>
      <c r="FHS5" s="10"/>
      <c r="FHT5" s="11"/>
      <c r="FHU5" s="12"/>
      <c r="FHV5" s="13"/>
      <c r="FHW5" s="12"/>
      <c r="FHX5" s="11"/>
      <c r="FHY5" s="13"/>
      <c r="FHZ5" s="12"/>
      <c r="FIA5" s="12"/>
      <c r="FIB5" s="11"/>
      <c r="FIC5" s="13"/>
      <c r="FID5" s="4"/>
      <c r="FIE5" s="4"/>
      <c r="FIF5" s="4"/>
      <c r="FIG5" s="4"/>
      <c r="FIH5" s="4"/>
      <c r="FII5" s="4"/>
      <c r="FIJ5" s="4"/>
      <c r="FIK5" s="4"/>
      <c r="FIM5" s="4"/>
      <c r="FIO5" s="10"/>
      <c r="FIP5" s="11"/>
      <c r="FIQ5" s="12"/>
      <c r="FIR5" s="13"/>
      <c r="FIS5" s="12"/>
      <c r="FIT5" s="11"/>
      <c r="FIU5" s="13"/>
      <c r="FIV5" s="12"/>
      <c r="FIW5" s="12"/>
      <c r="FIX5" s="11"/>
      <c r="FIY5" s="13"/>
      <c r="FIZ5" s="4"/>
      <c r="FJA5" s="4"/>
      <c r="FJB5" s="4"/>
      <c r="FJC5" s="4"/>
      <c r="FJD5" s="4"/>
      <c r="FJE5" s="4"/>
      <c r="FJF5" s="4"/>
      <c r="FJG5" s="4"/>
      <c r="FJI5" s="4"/>
      <c r="FJK5" s="10"/>
      <c r="FJL5" s="11"/>
      <c r="FJM5" s="12"/>
      <c r="FJN5" s="13"/>
      <c r="FJO5" s="12"/>
      <c r="FJP5" s="11"/>
      <c r="FJQ5" s="13"/>
      <c r="FJR5" s="12"/>
      <c r="FJS5" s="12"/>
      <c r="FJT5" s="11"/>
      <c r="FJU5" s="13"/>
      <c r="FJV5" s="4"/>
      <c r="FJW5" s="4"/>
      <c r="FJX5" s="4"/>
      <c r="FJY5" s="4"/>
      <c r="FJZ5" s="4"/>
      <c r="FKA5" s="4"/>
      <c r="FKB5" s="4"/>
      <c r="FKC5" s="4"/>
      <c r="FKE5" s="4"/>
      <c r="FKG5" s="10"/>
      <c r="FKH5" s="11"/>
      <c r="FKI5" s="12"/>
      <c r="FKJ5" s="13"/>
      <c r="FKK5" s="12"/>
      <c r="FKL5" s="11"/>
      <c r="FKM5" s="13"/>
      <c r="FKN5" s="12"/>
      <c r="FKO5" s="12"/>
      <c r="FKP5" s="11"/>
      <c r="FKQ5" s="13"/>
      <c r="FKR5" s="4"/>
      <c r="FKS5" s="4"/>
      <c r="FKT5" s="4"/>
      <c r="FKU5" s="4"/>
      <c r="FKV5" s="4"/>
      <c r="FKW5" s="4"/>
      <c r="FKX5" s="4"/>
      <c r="FKY5" s="4"/>
      <c r="FLA5" s="4"/>
      <c r="FLC5" s="10"/>
      <c r="FLD5" s="11"/>
      <c r="FLE5" s="12"/>
      <c r="FLF5" s="13"/>
      <c r="FLG5" s="12"/>
      <c r="FLH5" s="11"/>
      <c r="FLI5" s="13"/>
      <c r="FLJ5" s="12"/>
      <c r="FLK5" s="12"/>
      <c r="FLL5" s="11"/>
      <c r="FLM5" s="13"/>
      <c r="FLN5" s="4"/>
      <c r="FLO5" s="4"/>
      <c r="FLP5" s="4"/>
      <c r="FLQ5" s="4"/>
      <c r="FLR5" s="4"/>
      <c r="FLS5" s="4"/>
      <c r="FLT5" s="4"/>
      <c r="FLU5" s="4"/>
      <c r="FLW5" s="4"/>
      <c r="FLY5" s="10"/>
      <c r="FLZ5" s="11"/>
      <c r="FMA5" s="12"/>
      <c r="FMB5" s="13"/>
      <c r="FMC5" s="12"/>
      <c r="FMD5" s="11"/>
      <c r="FME5" s="13"/>
      <c r="FMF5" s="12"/>
      <c r="FMG5" s="12"/>
      <c r="FMH5" s="11"/>
      <c r="FMI5" s="13"/>
      <c r="FMJ5" s="4"/>
      <c r="FMK5" s="4"/>
      <c r="FML5" s="4"/>
      <c r="FMM5" s="4"/>
      <c r="FMN5" s="4"/>
      <c r="FMO5" s="4"/>
      <c r="FMP5" s="4"/>
      <c r="FMQ5" s="4"/>
      <c r="FMS5" s="4"/>
      <c r="FMU5" s="10"/>
      <c r="FMV5" s="11"/>
      <c r="FMW5" s="12"/>
      <c r="FMX5" s="13"/>
      <c r="FMY5" s="12"/>
      <c r="FMZ5" s="11"/>
      <c r="FNA5" s="13"/>
      <c r="FNB5" s="12"/>
      <c r="FNC5" s="12"/>
      <c r="FND5" s="11"/>
      <c r="FNE5" s="13"/>
      <c r="FNF5" s="4"/>
      <c r="FNG5" s="4"/>
      <c r="FNH5" s="4"/>
      <c r="FNI5" s="4"/>
      <c r="FNJ5" s="4"/>
      <c r="FNK5" s="4"/>
      <c r="FNL5" s="4"/>
      <c r="FNM5" s="4"/>
      <c r="FNO5" s="4"/>
      <c r="FNQ5" s="10"/>
      <c r="FNR5" s="11"/>
      <c r="FNS5" s="12"/>
      <c r="FNT5" s="13"/>
      <c r="FNU5" s="12"/>
      <c r="FNV5" s="11"/>
      <c r="FNW5" s="13"/>
      <c r="FNX5" s="12"/>
      <c r="FNY5" s="12"/>
      <c r="FNZ5" s="11"/>
      <c r="FOA5" s="13"/>
      <c r="FOB5" s="4"/>
      <c r="FOC5" s="4"/>
      <c r="FOD5" s="4"/>
      <c r="FOE5" s="4"/>
      <c r="FOF5" s="4"/>
      <c r="FOG5" s="4"/>
      <c r="FOH5" s="4"/>
      <c r="FOI5" s="4"/>
      <c r="FOK5" s="4"/>
      <c r="FOM5" s="10"/>
      <c r="FON5" s="11"/>
      <c r="FOO5" s="12"/>
      <c r="FOP5" s="13"/>
      <c r="FOQ5" s="12"/>
      <c r="FOR5" s="11"/>
      <c r="FOS5" s="13"/>
      <c r="FOT5" s="12"/>
      <c r="FOU5" s="12"/>
      <c r="FOV5" s="11"/>
      <c r="FOW5" s="13"/>
      <c r="FOX5" s="4"/>
      <c r="FOY5" s="4"/>
      <c r="FOZ5" s="4"/>
      <c r="FPA5" s="4"/>
      <c r="FPB5" s="4"/>
      <c r="FPC5" s="4"/>
      <c r="FPD5" s="4"/>
      <c r="FPE5" s="4"/>
      <c r="FPG5" s="4"/>
      <c r="FPI5" s="10"/>
      <c r="FPJ5" s="11"/>
      <c r="FPK5" s="12"/>
      <c r="FPL5" s="13"/>
      <c r="FPM5" s="12"/>
      <c r="FPN5" s="11"/>
      <c r="FPO5" s="13"/>
      <c r="FPP5" s="12"/>
      <c r="FPQ5" s="12"/>
      <c r="FPR5" s="11"/>
      <c r="FPS5" s="13"/>
      <c r="FPT5" s="4"/>
      <c r="FPU5" s="4"/>
      <c r="FPV5" s="4"/>
      <c r="FPW5" s="4"/>
      <c r="FPX5" s="4"/>
      <c r="FPY5" s="4"/>
      <c r="FPZ5" s="4"/>
      <c r="FQA5" s="4"/>
      <c r="FQC5" s="4"/>
      <c r="FQE5" s="10"/>
      <c r="FQF5" s="11"/>
      <c r="FQG5" s="12"/>
      <c r="FQH5" s="13"/>
      <c r="FQI5" s="12"/>
      <c r="FQJ5" s="11"/>
      <c r="FQK5" s="13"/>
      <c r="FQL5" s="12"/>
      <c r="FQM5" s="12"/>
      <c r="FQN5" s="11"/>
      <c r="FQO5" s="13"/>
      <c r="FQP5" s="4"/>
      <c r="FQQ5" s="4"/>
      <c r="FQR5" s="4"/>
      <c r="FQS5" s="4"/>
      <c r="FQT5" s="4"/>
      <c r="FQU5" s="4"/>
      <c r="FQV5" s="4"/>
      <c r="FQW5" s="4"/>
      <c r="FQY5" s="4"/>
      <c r="FRA5" s="10"/>
      <c r="FRB5" s="11"/>
      <c r="FRC5" s="12"/>
      <c r="FRD5" s="13"/>
      <c r="FRE5" s="12"/>
      <c r="FRF5" s="11"/>
      <c r="FRG5" s="13"/>
      <c r="FRH5" s="12"/>
      <c r="FRI5" s="12"/>
      <c r="FRJ5" s="11"/>
      <c r="FRK5" s="13"/>
      <c r="FRL5" s="4"/>
      <c r="FRM5" s="4"/>
      <c r="FRN5" s="4"/>
      <c r="FRO5" s="4"/>
      <c r="FRP5" s="4"/>
      <c r="FRQ5" s="4"/>
      <c r="FRR5" s="4"/>
      <c r="FRS5" s="4"/>
      <c r="FRU5" s="4"/>
      <c r="FRW5" s="10"/>
      <c r="FRX5" s="11"/>
      <c r="FRY5" s="12"/>
      <c r="FRZ5" s="13"/>
      <c r="FSA5" s="12"/>
      <c r="FSB5" s="11"/>
      <c r="FSC5" s="13"/>
      <c r="FSD5" s="12"/>
      <c r="FSE5" s="12"/>
      <c r="FSF5" s="11"/>
      <c r="FSG5" s="13"/>
      <c r="FSH5" s="4"/>
      <c r="FSI5" s="4"/>
      <c r="FSJ5" s="4"/>
      <c r="FSK5" s="4"/>
      <c r="FSL5" s="4"/>
      <c r="FSM5" s="4"/>
      <c r="FSN5" s="4"/>
      <c r="FSO5" s="4"/>
      <c r="FSQ5" s="4"/>
      <c r="FSS5" s="10"/>
      <c r="FST5" s="11"/>
      <c r="FSU5" s="12"/>
      <c r="FSV5" s="13"/>
      <c r="FSW5" s="12"/>
      <c r="FSX5" s="11"/>
      <c r="FSY5" s="13"/>
      <c r="FSZ5" s="12"/>
      <c r="FTA5" s="12"/>
      <c r="FTB5" s="11"/>
      <c r="FTC5" s="13"/>
      <c r="FTD5" s="4"/>
      <c r="FTE5" s="4"/>
      <c r="FTF5" s="4"/>
      <c r="FTG5" s="4"/>
      <c r="FTH5" s="4"/>
      <c r="FTI5" s="4"/>
      <c r="FTJ5" s="4"/>
      <c r="FTK5" s="4"/>
      <c r="FTM5" s="4"/>
      <c r="FTO5" s="10"/>
      <c r="FTP5" s="11"/>
      <c r="FTQ5" s="12"/>
      <c r="FTR5" s="13"/>
      <c r="FTS5" s="12"/>
      <c r="FTT5" s="11"/>
      <c r="FTU5" s="13"/>
      <c r="FTV5" s="12"/>
      <c r="FTW5" s="12"/>
      <c r="FTX5" s="11"/>
      <c r="FTY5" s="13"/>
      <c r="FTZ5" s="4"/>
      <c r="FUA5" s="4"/>
      <c r="FUB5" s="4"/>
      <c r="FUC5" s="4"/>
      <c r="FUD5" s="4"/>
      <c r="FUE5" s="4"/>
      <c r="FUF5" s="4"/>
      <c r="FUG5" s="4"/>
      <c r="FUI5" s="4"/>
      <c r="FUK5" s="10"/>
      <c r="FUL5" s="11"/>
      <c r="FUM5" s="12"/>
      <c r="FUN5" s="13"/>
      <c r="FUO5" s="12"/>
      <c r="FUP5" s="11"/>
      <c r="FUQ5" s="13"/>
      <c r="FUR5" s="12"/>
      <c r="FUS5" s="12"/>
      <c r="FUT5" s="11"/>
      <c r="FUU5" s="13"/>
      <c r="FUV5" s="4"/>
      <c r="FUW5" s="4"/>
      <c r="FUX5" s="4"/>
      <c r="FUY5" s="4"/>
      <c r="FUZ5" s="4"/>
      <c r="FVA5" s="4"/>
      <c r="FVB5" s="4"/>
      <c r="FVC5" s="4"/>
      <c r="FVE5" s="4"/>
      <c r="FVG5" s="10"/>
      <c r="FVH5" s="11"/>
      <c r="FVI5" s="12"/>
      <c r="FVJ5" s="13"/>
      <c r="FVK5" s="12"/>
      <c r="FVL5" s="11"/>
      <c r="FVM5" s="13"/>
      <c r="FVN5" s="12"/>
      <c r="FVO5" s="12"/>
      <c r="FVP5" s="11"/>
      <c r="FVQ5" s="13"/>
      <c r="FVR5" s="4"/>
      <c r="FVS5" s="4"/>
      <c r="FVT5" s="4"/>
      <c r="FVU5" s="4"/>
      <c r="FVV5" s="4"/>
      <c r="FVW5" s="4"/>
      <c r="FVX5" s="4"/>
      <c r="FVY5" s="4"/>
      <c r="FWA5" s="4"/>
      <c r="FWC5" s="10"/>
      <c r="FWD5" s="11"/>
      <c r="FWE5" s="12"/>
      <c r="FWF5" s="13"/>
      <c r="FWG5" s="12"/>
      <c r="FWH5" s="11"/>
      <c r="FWI5" s="13"/>
      <c r="FWJ5" s="12"/>
      <c r="FWK5" s="12"/>
      <c r="FWL5" s="11"/>
      <c r="FWM5" s="13"/>
      <c r="FWN5" s="4"/>
      <c r="FWO5" s="4"/>
      <c r="FWP5" s="4"/>
      <c r="FWQ5" s="4"/>
      <c r="FWR5" s="4"/>
      <c r="FWS5" s="4"/>
      <c r="FWT5" s="4"/>
      <c r="FWU5" s="4"/>
      <c r="FWW5" s="4"/>
      <c r="FWY5" s="10"/>
      <c r="FWZ5" s="11"/>
      <c r="FXA5" s="12"/>
      <c r="FXB5" s="13"/>
      <c r="FXC5" s="12"/>
      <c r="FXD5" s="11"/>
      <c r="FXE5" s="13"/>
      <c r="FXF5" s="12"/>
      <c r="FXG5" s="12"/>
      <c r="FXH5" s="11"/>
      <c r="FXI5" s="13"/>
      <c r="FXJ5" s="4"/>
      <c r="FXK5" s="4"/>
      <c r="FXL5" s="4"/>
      <c r="FXM5" s="4"/>
      <c r="FXN5" s="4"/>
      <c r="FXO5" s="4"/>
      <c r="FXP5" s="4"/>
      <c r="FXQ5" s="4"/>
      <c r="FXS5" s="4"/>
      <c r="FXU5" s="10"/>
      <c r="FXV5" s="11"/>
      <c r="FXW5" s="12"/>
      <c r="FXX5" s="13"/>
      <c r="FXY5" s="12"/>
      <c r="FXZ5" s="11"/>
      <c r="FYA5" s="13"/>
      <c r="FYB5" s="12"/>
      <c r="FYC5" s="12"/>
      <c r="FYD5" s="11"/>
      <c r="FYE5" s="13"/>
      <c r="FYF5" s="4"/>
      <c r="FYG5" s="4"/>
      <c r="FYH5" s="4"/>
      <c r="FYI5" s="4"/>
      <c r="FYJ5" s="4"/>
      <c r="FYK5" s="4"/>
      <c r="FYL5" s="4"/>
      <c r="FYM5" s="4"/>
      <c r="FYO5" s="4"/>
      <c r="FYQ5" s="10"/>
      <c r="FYR5" s="11"/>
      <c r="FYS5" s="12"/>
      <c r="FYT5" s="13"/>
      <c r="FYU5" s="12"/>
      <c r="FYV5" s="11"/>
      <c r="FYW5" s="13"/>
      <c r="FYX5" s="12"/>
      <c r="FYY5" s="12"/>
      <c r="FYZ5" s="11"/>
      <c r="FZA5" s="13"/>
      <c r="FZB5" s="4"/>
      <c r="FZC5" s="4"/>
      <c r="FZD5" s="4"/>
      <c r="FZE5" s="4"/>
      <c r="FZF5" s="4"/>
      <c r="FZG5" s="4"/>
      <c r="FZH5" s="4"/>
      <c r="FZI5" s="4"/>
      <c r="FZK5" s="4"/>
      <c r="FZM5" s="10"/>
      <c r="FZN5" s="11"/>
      <c r="FZO5" s="12"/>
      <c r="FZP5" s="13"/>
      <c r="FZQ5" s="12"/>
      <c r="FZR5" s="11"/>
      <c r="FZS5" s="13"/>
      <c r="FZT5" s="12"/>
      <c r="FZU5" s="12"/>
      <c r="FZV5" s="11"/>
      <c r="FZW5" s="13"/>
      <c r="FZX5" s="4"/>
      <c r="FZY5" s="4"/>
      <c r="FZZ5" s="4"/>
      <c r="GAA5" s="4"/>
      <c r="GAB5" s="4"/>
      <c r="GAC5" s="4"/>
      <c r="GAD5" s="4"/>
      <c r="GAE5" s="4"/>
      <c r="GAG5" s="4"/>
      <c r="GAI5" s="10"/>
      <c r="GAJ5" s="11"/>
      <c r="GAK5" s="12"/>
      <c r="GAL5" s="13"/>
      <c r="GAM5" s="12"/>
      <c r="GAN5" s="11"/>
      <c r="GAO5" s="13"/>
      <c r="GAP5" s="12"/>
      <c r="GAQ5" s="12"/>
      <c r="GAR5" s="11"/>
      <c r="GAS5" s="13"/>
      <c r="GAT5" s="4"/>
      <c r="GAU5" s="4"/>
      <c r="GAV5" s="4"/>
      <c r="GAW5" s="4"/>
      <c r="GAX5" s="4"/>
      <c r="GAY5" s="4"/>
      <c r="GAZ5" s="4"/>
      <c r="GBA5" s="4"/>
      <c r="GBC5" s="4"/>
      <c r="GBE5" s="10"/>
      <c r="GBF5" s="11"/>
      <c r="GBG5" s="12"/>
      <c r="GBH5" s="13"/>
      <c r="GBI5" s="12"/>
      <c r="GBJ5" s="11"/>
      <c r="GBK5" s="13"/>
      <c r="GBL5" s="12"/>
      <c r="GBM5" s="12"/>
      <c r="GBN5" s="11"/>
      <c r="GBO5" s="13"/>
      <c r="GBP5" s="4"/>
      <c r="GBQ5" s="4"/>
      <c r="GBR5" s="4"/>
      <c r="GBS5" s="4"/>
      <c r="GBT5" s="4"/>
      <c r="GBU5" s="4"/>
      <c r="GBV5" s="4"/>
      <c r="GBW5" s="4"/>
      <c r="GBY5" s="4"/>
      <c r="GCA5" s="10"/>
      <c r="GCB5" s="11"/>
      <c r="GCC5" s="12"/>
      <c r="GCD5" s="13"/>
      <c r="GCE5" s="12"/>
      <c r="GCF5" s="11"/>
      <c r="GCG5" s="13"/>
      <c r="GCH5" s="12"/>
      <c r="GCI5" s="12"/>
      <c r="GCJ5" s="11"/>
      <c r="GCK5" s="13"/>
      <c r="GCL5" s="4"/>
      <c r="GCM5" s="4"/>
      <c r="GCN5" s="4"/>
      <c r="GCO5" s="4"/>
      <c r="GCP5" s="4"/>
      <c r="GCQ5" s="4"/>
      <c r="GCR5" s="4"/>
      <c r="GCS5" s="4"/>
      <c r="GCU5" s="4"/>
      <c r="GCW5" s="10"/>
      <c r="GCX5" s="11"/>
      <c r="GCY5" s="12"/>
      <c r="GCZ5" s="13"/>
      <c r="GDA5" s="12"/>
      <c r="GDB5" s="11"/>
      <c r="GDC5" s="13"/>
      <c r="GDD5" s="12"/>
      <c r="GDE5" s="12"/>
      <c r="GDF5" s="11"/>
      <c r="GDG5" s="13"/>
      <c r="GDH5" s="4"/>
      <c r="GDI5" s="4"/>
      <c r="GDJ5" s="4"/>
      <c r="GDK5" s="4"/>
      <c r="GDL5" s="4"/>
      <c r="GDM5" s="4"/>
      <c r="GDN5" s="4"/>
      <c r="GDO5" s="4"/>
      <c r="GDQ5" s="4"/>
      <c r="GDS5" s="10"/>
      <c r="GDT5" s="11"/>
      <c r="GDU5" s="12"/>
      <c r="GDV5" s="13"/>
      <c r="GDW5" s="12"/>
      <c r="GDX5" s="11"/>
      <c r="GDY5" s="13"/>
      <c r="GDZ5" s="12"/>
      <c r="GEA5" s="12"/>
      <c r="GEB5" s="11"/>
      <c r="GEC5" s="13"/>
      <c r="GED5" s="4"/>
      <c r="GEE5" s="4"/>
      <c r="GEF5" s="4"/>
      <c r="GEG5" s="4"/>
      <c r="GEH5" s="4"/>
      <c r="GEI5" s="4"/>
      <c r="GEJ5" s="4"/>
      <c r="GEK5" s="4"/>
      <c r="GEM5" s="4"/>
      <c r="GEO5" s="10"/>
      <c r="GEP5" s="11"/>
      <c r="GEQ5" s="12"/>
      <c r="GER5" s="13"/>
      <c r="GES5" s="12"/>
      <c r="GET5" s="11"/>
      <c r="GEU5" s="13"/>
      <c r="GEV5" s="12"/>
      <c r="GEW5" s="12"/>
      <c r="GEX5" s="11"/>
      <c r="GEY5" s="13"/>
      <c r="GEZ5" s="4"/>
      <c r="GFA5" s="4"/>
      <c r="GFB5" s="4"/>
      <c r="GFC5" s="4"/>
      <c r="GFD5" s="4"/>
      <c r="GFE5" s="4"/>
      <c r="GFF5" s="4"/>
      <c r="GFG5" s="4"/>
      <c r="GFI5" s="4"/>
      <c r="GFK5" s="10"/>
      <c r="GFL5" s="11"/>
      <c r="GFM5" s="12"/>
      <c r="GFN5" s="13"/>
      <c r="GFO5" s="12"/>
      <c r="GFP5" s="11"/>
      <c r="GFQ5" s="13"/>
      <c r="GFR5" s="12"/>
      <c r="GFS5" s="12"/>
      <c r="GFT5" s="11"/>
      <c r="GFU5" s="13"/>
      <c r="GFV5" s="4"/>
      <c r="GFW5" s="4"/>
      <c r="GFX5" s="4"/>
      <c r="GFY5" s="4"/>
      <c r="GFZ5" s="4"/>
      <c r="GGA5" s="4"/>
      <c r="GGB5" s="4"/>
      <c r="GGC5" s="4"/>
      <c r="GGE5" s="4"/>
      <c r="GGG5" s="10"/>
      <c r="GGH5" s="11"/>
      <c r="GGI5" s="12"/>
      <c r="GGJ5" s="13"/>
      <c r="GGK5" s="12"/>
      <c r="GGL5" s="11"/>
      <c r="GGM5" s="13"/>
      <c r="GGN5" s="12"/>
      <c r="GGO5" s="12"/>
      <c r="GGP5" s="11"/>
      <c r="GGQ5" s="13"/>
      <c r="GGR5" s="4"/>
      <c r="GGS5" s="4"/>
      <c r="GGT5" s="4"/>
      <c r="GGU5" s="4"/>
      <c r="GGV5" s="4"/>
      <c r="GGW5" s="4"/>
      <c r="GGX5" s="4"/>
      <c r="GGY5" s="4"/>
      <c r="GHA5" s="4"/>
      <c r="GHC5" s="10"/>
      <c r="GHD5" s="11"/>
      <c r="GHE5" s="12"/>
      <c r="GHF5" s="13"/>
      <c r="GHG5" s="12"/>
      <c r="GHH5" s="11"/>
      <c r="GHI5" s="13"/>
      <c r="GHJ5" s="12"/>
      <c r="GHK5" s="12"/>
      <c r="GHL5" s="11"/>
      <c r="GHM5" s="13"/>
      <c r="GHN5" s="4"/>
      <c r="GHO5" s="4"/>
      <c r="GHP5" s="4"/>
      <c r="GHQ5" s="4"/>
      <c r="GHR5" s="4"/>
      <c r="GHS5" s="4"/>
      <c r="GHT5" s="4"/>
      <c r="GHU5" s="4"/>
      <c r="GHW5" s="4"/>
      <c r="GHY5" s="10"/>
      <c r="GHZ5" s="11"/>
      <c r="GIA5" s="12"/>
      <c r="GIB5" s="13"/>
      <c r="GIC5" s="12"/>
      <c r="GID5" s="11"/>
      <c r="GIE5" s="13"/>
      <c r="GIF5" s="12"/>
      <c r="GIG5" s="12"/>
      <c r="GIH5" s="11"/>
      <c r="GII5" s="13"/>
      <c r="GIJ5" s="4"/>
      <c r="GIK5" s="4"/>
      <c r="GIL5" s="4"/>
      <c r="GIM5" s="4"/>
      <c r="GIN5" s="4"/>
      <c r="GIO5" s="4"/>
      <c r="GIP5" s="4"/>
      <c r="GIQ5" s="4"/>
      <c r="GIS5" s="4"/>
      <c r="GIU5" s="10"/>
      <c r="GIV5" s="11"/>
      <c r="GIW5" s="12"/>
      <c r="GIX5" s="13"/>
      <c r="GIY5" s="12"/>
      <c r="GIZ5" s="11"/>
      <c r="GJA5" s="13"/>
      <c r="GJB5" s="12"/>
      <c r="GJC5" s="12"/>
      <c r="GJD5" s="11"/>
      <c r="GJE5" s="13"/>
      <c r="GJF5" s="4"/>
      <c r="GJG5" s="4"/>
      <c r="GJH5" s="4"/>
      <c r="GJI5" s="4"/>
      <c r="GJJ5" s="4"/>
      <c r="GJK5" s="4"/>
      <c r="GJL5" s="4"/>
      <c r="GJM5" s="4"/>
      <c r="GJO5" s="4"/>
      <c r="GJQ5" s="10"/>
      <c r="GJR5" s="11"/>
      <c r="GJS5" s="12"/>
      <c r="GJT5" s="13"/>
      <c r="GJU5" s="12"/>
      <c r="GJV5" s="11"/>
      <c r="GJW5" s="13"/>
      <c r="GJX5" s="12"/>
      <c r="GJY5" s="12"/>
      <c r="GJZ5" s="11"/>
      <c r="GKA5" s="13"/>
      <c r="GKB5" s="4"/>
      <c r="GKC5" s="4"/>
      <c r="GKD5" s="4"/>
      <c r="GKE5" s="4"/>
      <c r="GKF5" s="4"/>
      <c r="GKG5" s="4"/>
      <c r="GKH5" s="4"/>
      <c r="GKI5" s="4"/>
      <c r="GKK5" s="4"/>
      <c r="GKM5" s="10"/>
      <c r="GKN5" s="11"/>
      <c r="GKO5" s="12"/>
      <c r="GKP5" s="13"/>
      <c r="GKQ5" s="12"/>
      <c r="GKR5" s="11"/>
      <c r="GKS5" s="13"/>
      <c r="GKT5" s="12"/>
      <c r="GKU5" s="12"/>
      <c r="GKV5" s="11"/>
      <c r="GKW5" s="13"/>
      <c r="GKX5" s="4"/>
      <c r="GKY5" s="4"/>
      <c r="GKZ5" s="4"/>
      <c r="GLA5" s="4"/>
      <c r="GLB5" s="4"/>
      <c r="GLC5" s="4"/>
      <c r="GLD5" s="4"/>
      <c r="GLE5" s="4"/>
      <c r="GLG5" s="4"/>
      <c r="GLI5" s="10"/>
      <c r="GLJ5" s="11"/>
      <c r="GLK5" s="12"/>
      <c r="GLL5" s="13"/>
      <c r="GLM5" s="12"/>
      <c r="GLN5" s="11"/>
      <c r="GLO5" s="13"/>
      <c r="GLP5" s="12"/>
      <c r="GLQ5" s="12"/>
      <c r="GLR5" s="11"/>
      <c r="GLS5" s="13"/>
      <c r="GLT5" s="4"/>
      <c r="GLU5" s="4"/>
      <c r="GLV5" s="4"/>
      <c r="GLW5" s="4"/>
      <c r="GLX5" s="4"/>
      <c r="GLY5" s="4"/>
      <c r="GLZ5" s="4"/>
      <c r="GMA5" s="4"/>
      <c r="GMC5" s="4"/>
      <c r="GME5" s="10"/>
      <c r="GMF5" s="11"/>
      <c r="GMG5" s="12"/>
      <c r="GMH5" s="13"/>
      <c r="GMI5" s="12"/>
      <c r="GMJ5" s="11"/>
      <c r="GMK5" s="13"/>
      <c r="GML5" s="12"/>
      <c r="GMM5" s="12"/>
      <c r="GMN5" s="11"/>
      <c r="GMO5" s="13"/>
      <c r="GMP5" s="4"/>
      <c r="GMQ5" s="4"/>
      <c r="GMR5" s="4"/>
      <c r="GMS5" s="4"/>
      <c r="GMT5" s="4"/>
      <c r="GMU5" s="4"/>
      <c r="GMV5" s="4"/>
      <c r="GMW5" s="4"/>
      <c r="GMY5" s="4"/>
      <c r="GNA5" s="10"/>
      <c r="GNB5" s="11"/>
      <c r="GNC5" s="12"/>
      <c r="GND5" s="13"/>
      <c r="GNE5" s="12"/>
      <c r="GNF5" s="11"/>
      <c r="GNG5" s="13"/>
      <c r="GNH5" s="12"/>
      <c r="GNI5" s="12"/>
      <c r="GNJ5" s="11"/>
      <c r="GNK5" s="13"/>
      <c r="GNL5" s="4"/>
      <c r="GNM5" s="4"/>
      <c r="GNN5" s="4"/>
      <c r="GNO5" s="4"/>
      <c r="GNP5" s="4"/>
      <c r="GNQ5" s="4"/>
      <c r="GNR5" s="4"/>
      <c r="GNS5" s="4"/>
      <c r="GNU5" s="4"/>
      <c r="GNW5" s="10"/>
      <c r="GNX5" s="11"/>
      <c r="GNY5" s="12"/>
      <c r="GNZ5" s="13"/>
      <c r="GOA5" s="12"/>
      <c r="GOB5" s="11"/>
      <c r="GOC5" s="13"/>
      <c r="GOD5" s="12"/>
      <c r="GOE5" s="12"/>
      <c r="GOF5" s="11"/>
      <c r="GOG5" s="13"/>
      <c r="GOH5" s="4"/>
      <c r="GOI5" s="4"/>
      <c r="GOJ5" s="4"/>
      <c r="GOK5" s="4"/>
      <c r="GOL5" s="4"/>
      <c r="GOM5" s="4"/>
      <c r="GON5" s="4"/>
      <c r="GOO5" s="4"/>
      <c r="GOQ5" s="4"/>
      <c r="GOS5" s="10"/>
      <c r="GOT5" s="11"/>
      <c r="GOU5" s="12"/>
      <c r="GOV5" s="13"/>
      <c r="GOW5" s="12"/>
      <c r="GOX5" s="11"/>
      <c r="GOY5" s="13"/>
      <c r="GOZ5" s="12"/>
      <c r="GPA5" s="12"/>
      <c r="GPB5" s="11"/>
      <c r="GPC5" s="13"/>
      <c r="GPD5" s="4"/>
      <c r="GPE5" s="4"/>
      <c r="GPF5" s="4"/>
      <c r="GPG5" s="4"/>
      <c r="GPH5" s="4"/>
      <c r="GPI5" s="4"/>
      <c r="GPJ5" s="4"/>
      <c r="GPK5" s="4"/>
      <c r="GPM5" s="4"/>
      <c r="GPO5" s="10"/>
      <c r="GPP5" s="11"/>
      <c r="GPQ5" s="12"/>
      <c r="GPR5" s="13"/>
      <c r="GPS5" s="12"/>
      <c r="GPT5" s="11"/>
      <c r="GPU5" s="13"/>
      <c r="GPV5" s="12"/>
      <c r="GPW5" s="12"/>
      <c r="GPX5" s="11"/>
      <c r="GPY5" s="13"/>
      <c r="GPZ5" s="4"/>
      <c r="GQA5" s="4"/>
      <c r="GQB5" s="4"/>
      <c r="GQC5" s="4"/>
      <c r="GQD5" s="4"/>
      <c r="GQE5" s="4"/>
      <c r="GQF5" s="4"/>
      <c r="GQG5" s="4"/>
      <c r="GQI5" s="4"/>
      <c r="GQK5" s="10"/>
      <c r="GQL5" s="11"/>
      <c r="GQM5" s="12"/>
      <c r="GQN5" s="13"/>
      <c r="GQO5" s="12"/>
      <c r="GQP5" s="11"/>
      <c r="GQQ5" s="13"/>
      <c r="GQR5" s="12"/>
      <c r="GQS5" s="12"/>
      <c r="GQT5" s="11"/>
      <c r="GQU5" s="13"/>
      <c r="GQV5" s="4"/>
      <c r="GQW5" s="4"/>
      <c r="GQX5" s="4"/>
      <c r="GQY5" s="4"/>
      <c r="GQZ5" s="4"/>
      <c r="GRA5" s="4"/>
      <c r="GRB5" s="4"/>
      <c r="GRC5" s="4"/>
      <c r="GRE5" s="4"/>
      <c r="GRG5" s="10"/>
      <c r="GRH5" s="11"/>
      <c r="GRI5" s="12"/>
      <c r="GRJ5" s="13"/>
      <c r="GRK5" s="12"/>
      <c r="GRL5" s="11"/>
      <c r="GRM5" s="13"/>
      <c r="GRN5" s="12"/>
      <c r="GRO5" s="12"/>
      <c r="GRP5" s="11"/>
      <c r="GRQ5" s="13"/>
      <c r="GRR5" s="4"/>
      <c r="GRS5" s="4"/>
      <c r="GRT5" s="4"/>
      <c r="GRU5" s="4"/>
      <c r="GRV5" s="4"/>
      <c r="GRW5" s="4"/>
      <c r="GRX5" s="4"/>
      <c r="GRY5" s="4"/>
      <c r="GSA5" s="4"/>
      <c r="GSC5" s="10"/>
      <c r="GSD5" s="11"/>
      <c r="GSE5" s="12"/>
      <c r="GSF5" s="13"/>
      <c r="GSG5" s="12"/>
      <c r="GSH5" s="11"/>
      <c r="GSI5" s="13"/>
      <c r="GSJ5" s="12"/>
      <c r="GSK5" s="12"/>
      <c r="GSL5" s="11"/>
      <c r="GSM5" s="13"/>
      <c r="GSN5" s="4"/>
      <c r="GSO5" s="4"/>
      <c r="GSP5" s="4"/>
      <c r="GSQ5" s="4"/>
      <c r="GSR5" s="4"/>
      <c r="GSS5" s="4"/>
      <c r="GST5" s="4"/>
      <c r="GSU5" s="4"/>
      <c r="GSW5" s="4"/>
      <c r="GSY5" s="10"/>
      <c r="GSZ5" s="11"/>
      <c r="GTA5" s="12"/>
      <c r="GTB5" s="13"/>
      <c r="GTC5" s="12"/>
      <c r="GTD5" s="11"/>
      <c r="GTE5" s="13"/>
      <c r="GTF5" s="12"/>
      <c r="GTG5" s="12"/>
      <c r="GTH5" s="11"/>
      <c r="GTI5" s="13"/>
      <c r="GTJ5" s="4"/>
      <c r="GTK5" s="4"/>
      <c r="GTL5" s="4"/>
      <c r="GTM5" s="4"/>
      <c r="GTN5" s="4"/>
      <c r="GTO5" s="4"/>
      <c r="GTP5" s="4"/>
      <c r="GTQ5" s="4"/>
      <c r="GTS5" s="4"/>
      <c r="GTU5" s="10"/>
      <c r="GTV5" s="11"/>
      <c r="GTW5" s="12"/>
      <c r="GTX5" s="13"/>
      <c r="GTY5" s="12"/>
      <c r="GTZ5" s="11"/>
      <c r="GUA5" s="13"/>
      <c r="GUB5" s="12"/>
      <c r="GUC5" s="12"/>
      <c r="GUD5" s="11"/>
      <c r="GUE5" s="13"/>
      <c r="GUF5" s="4"/>
      <c r="GUG5" s="4"/>
      <c r="GUH5" s="4"/>
      <c r="GUI5" s="4"/>
      <c r="GUJ5" s="4"/>
      <c r="GUK5" s="4"/>
      <c r="GUL5" s="4"/>
      <c r="GUM5" s="4"/>
      <c r="GUO5" s="4"/>
      <c r="GUQ5" s="10"/>
      <c r="GUR5" s="11"/>
      <c r="GUS5" s="12"/>
      <c r="GUT5" s="13"/>
      <c r="GUU5" s="12"/>
      <c r="GUV5" s="11"/>
      <c r="GUW5" s="13"/>
      <c r="GUX5" s="12"/>
      <c r="GUY5" s="12"/>
      <c r="GUZ5" s="11"/>
      <c r="GVA5" s="13"/>
      <c r="GVB5" s="4"/>
      <c r="GVC5" s="4"/>
      <c r="GVD5" s="4"/>
      <c r="GVE5" s="4"/>
      <c r="GVF5" s="4"/>
      <c r="GVG5" s="4"/>
      <c r="GVH5" s="4"/>
      <c r="GVI5" s="4"/>
      <c r="GVK5" s="4"/>
      <c r="GVM5" s="10"/>
      <c r="GVN5" s="11"/>
      <c r="GVO5" s="12"/>
      <c r="GVP5" s="13"/>
      <c r="GVQ5" s="12"/>
      <c r="GVR5" s="11"/>
      <c r="GVS5" s="13"/>
      <c r="GVT5" s="12"/>
      <c r="GVU5" s="12"/>
      <c r="GVV5" s="11"/>
      <c r="GVW5" s="13"/>
      <c r="GVX5" s="4"/>
      <c r="GVY5" s="4"/>
      <c r="GVZ5" s="4"/>
      <c r="GWA5" s="4"/>
      <c r="GWB5" s="4"/>
      <c r="GWC5" s="4"/>
      <c r="GWD5" s="4"/>
      <c r="GWE5" s="4"/>
      <c r="GWG5" s="4"/>
      <c r="GWI5" s="10"/>
      <c r="GWJ5" s="11"/>
      <c r="GWK5" s="12"/>
      <c r="GWL5" s="13"/>
      <c r="GWM5" s="12"/>
      <c r="GWN5" s="11"/>
      <c r="GWO5" s="13"/>
      <c r="GWP5" s="12"/>
      <c r="GWQ5" s="12"/>
      <c r="GWR5" s="11"/>
      <c r="GWS5" s="13"/>
      <c r="GWT5" s="4"/>
      <c r="GWU5" s="4"/>
      <c r="GWV5" s="4"/>
      <c r="GWW5" s="4"/>
      <c r="GWX5" s="4"/>
      <c r="GWY5" s="4"/>
      <c r="GWZ5" s="4"/>
      <c r="GXA5" s="4"/>
      <c r="GXC5" s="4"/>
      <c r="GXE5" s="10"/>
      <c r="GXF5" s="11"/>
      <c r="GXG5" s="12"/>
      <c r="GXH5" s="13"/>
      <c r="GXI5" s="12"/>
      <c r="GXJ5" s="11"/>
      <c r="GXK5" s="13"/>
      <c r="GXL5" s="12"/>
      <c r="GXM5" s="12"/>
      <c r="GXN5" s="11"/>
      <c r="GXO5" s="13"/>
      <c r="GXP5" s="4"/>
      <c r="GXQ5" s="4"/>
      <c r="GXR5" s="4"/>
      <c r="GXS5" s="4"/>
      <c r="GXT5" s="4"/>
      <c r="GXU5" s="4"/>
      <c r="GXV5" s="4"/>
      <c r="GXW5" s="4"/>
      <c r="GXY5" s="4"/>
      <c r="GYA5" s="10"/>
      <c r="GYB5" s="11"/>
      <c r="GYC5" s="12"/>
      <c r="GYD5" s="13"/>
      <c r="GYE5" s="12"/>
      <c r="GYF5" s="11"/>
      <c r="GYG5" s="13"/>
      <c r="GYH5" s="12"/>
      <c r="GYI5" s="12"/>
      <c r="GYJ5" s="11"/>
      <c r="GYK5" s="13"/>
      <c r="GYL5" s="4"/>
      <c r="GYM5" s="4"/>
      <c r="GYN5" s="4"/>
      <c r="GYO5" s="4"/>
      <c r="GYP5" s="4"/>
      <c r="GYQ5" s="4"/>
      <c r="GYR5" s="4"/>
      <c r="GYS5" s="4"/>
      <c r="GYU5" s="4"/>
      <c r="GYW5" s="10"/>
      <c r="GYX5" s="11"/>
      <c r="GYY5" s="12"/>
      <c r="GYZ5" s="13"/>
      <c r="GZA5" s="12"/>
      <c r="GZB5" s="11"/>
      <c r="GZC5" s="13"/>
      <c r="GZD5" s="12"/>
      <c r="GZE5" s="12"/>
      <c r="GZF5" s="11"/>
      <c r="GZG5" s="13"/>
      <c r="GZH5" s="4"/>
      <c r="GZI5" s="4"/>
      <c r="GZJ5" s="4"/>
      <c r="GZK5" s="4"/>
      <c r="GZL5" s="4"/>
      <c r="GZM5" s="4"/>
      <c r="GZN5" s="4"/>
      <c r="GZO5" s="4"/>
      <c r="GZQ5" s="4"/>
      <c r="GZS5" s="10"/>
      <c r="GZT5" s="11"/>
      <c r="GZU5" s="12"/>
      <c r="GZV5" s="13"/>
      <c r="GZW5" s="12"/>
      <c r="GZX5" s="11"/>
      <c r="GZY5" s="13"/>
      <c r="GZZ5" s="12"/>
      <c r="HAA5" s="12"/>
      <c r="HAB5" s="11"/>
      <c r="HAC5" s="13"/>
      <c r="HAD5" s="4"/>
      <c r="HAE5" s="4"/>
      <c r="HAF5" s="4"/>
      <c r="HAG5" s="4"/>
      <c r="HAH5" s="4"/>
      <c r="HAI5" s="4"/>
      <c r="HAJ5" s="4"/>
      <c r="HAK5" s="4"/>
      <c r="HAM5" s="4"/>
      <c r="HAO5" s="10"/>
      <c r="HAP5" s="11"/>
      <c r="HAQ5" s="12"/>
      <c r="HAR5" s="13"/>
      <c r="HAS5" s="12"/>
      <c r="HAT5" s="11"/>
      <c r="HAU5" s="13"/>
      <c r="HAV5" s="12"/>
      <c r="HAW5" s="12"/>
      <c r="HAX5" s="11"/>
      <c r="HAY5" s="13"/>
      <c r="HAZ5" s="4"/>
      <c r="HBA5" s="4"/>
      <c r="HBB5" s="4"/>
      <c r="HBC5" s="4"/>
      <c r="HBD5" s="4"/>
      <c r="HBE5" s="4"/>
      <c r="HBF5" s="4"/>
      <c r="HBG5" s="4"/>
      <c r="HBI5" s="4"/>
      <c r="HBK5" s="10"/>
      <c r="HBL5" s="11"/>
      <c r="HBM5" s="12"/>
      <c r="HBN5" s="13"/>
      <c r="HBO5" s="12"/>
      <c r="HBP5" s="11"/>
      <c r="HBQ5" s="13"/>
      <c r="HBR5" s="12"/>
      <c r="HBS5" s="12"/>
      <c r="HBT5" s="11"/>
      <c r="HBU5" s="13"/>
      <c r="HBV5" s="4"/>
      <c r="HBW5" s="4"/>
      <c r="HBX5" s="4"/>
      <c r="HBY5" s="4"/>
      <c r="HBZ5" s="4"/>
      <c r="HCA5" s="4"/>
      <c r="HCB5" s="4"/>
      <c r="HCC5" s="4"/>
      <c r="HCE5" s="4"/>
      <c r="HCG5" s="10"/>
      <c r="HCH5" s="11"/>
      <c r="HCI5" s="12"/>
      <c r="HCJ5" s="13"/>
      <c r="HCK5" s="12"/>
      <c r="HCL5" s="11"/>
      <c r="HCM5" s="13"/>
      <c r="HCN5" s="12"/>
      <c r="HCO5" s="12"/>
      <c r="HCP5" s="11"/>
      <c r="HCQ5" s="13"/>
      <c r="HCR5" s="4"/>
      <c r="HCS5" s="4"/>
      <c r="HCT5" s="4"/>
      <c r="HCU5" s="4"/>
      <c r="HCV5" s="4"/>
      <c r="HCW5" s="4"/>
      <c r="HCX5" s="4"/>
      <c r="HCY5" s="4"/>
      <c r="HDA5" s="4"/>
      <c r="HDC5" s="10"/>
      <c r="HDD5" s="11"/>
      <c r="HDE5" s="12"/>
      <c r="HDF5" s="13"/>
      <c r="HDG5" s="12"/>
      <c r="HDH5" s="11"/>
      <c r="HDI5" s="13"/>
      <c r="HDJ5" s="12"/>
      <c r="HDK5" s="12"/>
      <c r="HDL5" s="11"/>
      <c r="HDM5" s="13"/>
      <c r="HDN5" s="4"/>
      <c r="HDO5" s="4"/>
      <c r="HDP5" s="4"/>
      <c r="HDQ5" s="4"/>
      <c r="HDR5" s="4"/>
      <c r="HDS5" s="4"/>
      <c r="HDT5" s="4"/>
      <c r="HDU5" s="4"/>
      <c r="HDW5" s="4"/>
      <c r="HDY5" s="10"/>
      <c r="HDZ5" s="11"/>
      <c r="HEA5" s="12"/>
      <c r="HEB5" s="13"/>
      <c r="HEC5" s="12"/>
      <c r="HED5" s="11"/>
      <c r="HEE5" s="13"/>
      <c r="HEF5" s="12"/>
      <c r="HEG5" s="12"/>
      <c r="HEH5" s="11"/>
      <c r="HEI5" s="13"/>
      <c r="HEJ5" s="4"/>
      <c r="HEK5" s="4"/>
      <c r="HEL5" s="4"/>
      <c r="HEM5" s="4"/>
      <c r="HEN5" s="4"/>
      <c r="HEO5" s="4"/>
      <c r="HEP5" s="4"/>
      <c r="HEQ5" s="4"/>
      <c r="HES5" s="4"/>
      <c r="HEU5" s="10"/>
      <c r="HEV5" s="11"/>
      <c r="HEW5" s="12"/>
      <c r="HEX5" s="13"/>
      <c r="HEY5" s="12"/>
      <c r="HEZ5" s="11"/>
      <c r="HFA5" s="13"/>
      <c r="HFB5" s="12"/>
      <c r="HFC5" s="12"/>
      <c r="HFD5" s="11"/>
      <c r="HFE5" s="13"/>
      <c r="HFF5" s="4"/>
      <c r="HFG5" s="4"/>
      <c r="HFH5" s="4"/>
      <c r="HFI5" s="4"/>
      <c r="HFJ5" s="4"/>
      <c r="HFK5" s="4"/>
      <c r="HFL5" s="4"/>
      <c r="HFM5" s="4"/>
      <c r="HFO5" s="4"/>
      <c r="HFQ5" s="10"/>
      <c r="HFR5" s="11"/>
      <c r="HFS5" s="12"/>
      <c r="HFT5" s="13"/>
      <c r="HFU5" s="12"/>
      <c r="HFV5" s="11"/>
      <c r="HFW5" s="13"/>
      <c r="HFX5" s="12"/>
      <c r="HFY5" s="12"/>
      <c r="HFZ5" s="11"/>
      <c r="HGA5" s="13"/>
      <c r="HGB5" s="4"/>
      <c r="HGC5" s="4"/>
      <c r="HGD5" s="4"/>
      <c r="HGE5" s="4"/>
      <c r="HGF5" s="4"/>
      <c r="HGG5" s="4"/>
      <c r="HGH5" s="4"/>
      <c r="HGI5" s="4"/>
      <c r="HGK5" s="4"/>
      <c r="HGM5" s="10"/>
      <c r="HGN5" s="11"/>
      <c r="HGO5" s="12"/>
      <c r="HGP5" s="13"/>
      <c r="HGQ5" s="12"/>
      <c r="HGR5" s="11"/>
      <c r="HGS5" s="13"/>
      <c r="HGT5" s="12"/>
      <c r="HGU5" s="12"/>
      <c r="HGV5" s="11"/>
      <c r="HGW5" s="13"/>
      <c r="HGX5" s="4"/>
      <c r="HGY5" s="4"/>
      <c r="HGZ5" s="4"/>
      <c r="HHA5" s="4"/>
      <c r="HHB5" s="4"/>
      <c r="HHC5" s="4"/>
      <c r="HHD5" s="4"/>
      <c r="HHE5" s="4"/>
      <c r="HHG5" s="4"/>
      <c r="HHI5" s="10"/>
      <c r="HHJ5" s="11"/>
      <c r="HHK5" s="12"/>
      <c r="HHL5" s="13"/>
      <c r="HHM5" s="12"/>
      <c r="HHN5" s="11"/>
      <c r="HHO5" s="13"/>
      <c r="HHP5" s="12"/>
      <c r="HHQ5" s="12"/>
      <c r="HHR5" s="11"/>
      <c r="HHS5" s="13"/>
      <c r="HHT5" s="4"/>
      <c r="HHU5" s="4"/>
      <c r="HHV5" s="4"/>
      <c r="HHW5" s="4"/>
      <c r="HHX5" s="4"/>
      <c r="HHY5" s="4"/>
      <c r="HHZ5" s="4"/>
      <c r="HIA5" s="4"/>
      <c r="HIC5" s="4"/>
      <c r="HIE5" s="10"/>
      <c r="HIF5" s="11"/>
      <c r="HIG5" s="12"/>
      <c r="HIH5" s="13"/>
      <c r="HII5" s="12"/>
      <c r="HIJ5" s="11"/>
      <c r="HIK5" s="13"/>
      <c r="HIL5" s="12"/>
      <c r="HIM5" s="12"/>
      <c r="HIN5" s="11"/>
      <c r="HIO5" s="13"/>
      <c r="HIP5" s="4"/>
      <c r="HIQ5" s="4"/>
      <c r="HIR5" s="4"/>
      <c r="HIS5" s="4"/>
      <c r="HIT5" s="4"/>
      <c r="HIU5" s="4"/>
      <c r="HIV5" s="4"/>
      <c r="HIW5" s="4"/>
      <c r="HIY5" s="4"/>
      <c r="HJA5" s="10"/>
      <c r="HJB5" s="11"/>
      <c r="HJC5" s="12"/>
      <c r="HJD5" s="13"/>
      <c r="HJE5" s="12"/>
      <c r="HJF5" s="11"/>
      <c r="HJG5" s="13"/>
      <c r="HJH5" s="12"/>
      <c r="HJI5" s="12"/>
      <c r="HJJ5" s="11"/>
      <c r="HJK5" s="13"/>
      <c r="HJL5" s="4"/>
      <c r="HJM5" s="4"/>
      <c r="HJN5" s="4"/>
      <c r="HJO5" s="4"/>
      <c r="HJP5" s="4"/>
      <c r="HJQ5" s="4"/>
      <c r="HJR5" s="4"/>
      <c r="HJS5" s="4"/>
      <c r="HJU5" s="4"/>
      <c r="HJW5" s="10"/>
      <c r="HJX5" s="11"/>
      <c r="HJY5" s="12"/>
      <c r="HJZ5" s="13"/>
      <c r="HKA5" s="12"/>
      <c r="HKB5" s="11"/>
      <c r="HKC5" s="13"/>
      <c r="HKD5" s="12"/>
      <c r="HKE5" s="12"/>
      <c r="HKF5" s="11"/>
      <c r="HKG5" s="13"/>
      <c r="HKH5" s="4"/>
      <c r="HKI5" s="4"/>
      <c r="HKJ5" s="4"/>
      <c r="HKK5" s="4"/>
      <c r="HKL5" s="4"/>
      <c r="HKM5" s="4"/>
      <c r="HKN5" s="4"/>
      <c r="HKO5" s="4"/>
      <c r="HKQ5" s="4"/>
      <c r="HKS5" s="10"/>
      <c r="HKT5" s="11"/>
      <c r="HKU5" s="12"/>
      <c r="HKV5" s="13"/>
      <c r="HKW5" s="12"/>
      <c r="HKX5" s="11"/>
      <c r="HKY5" s="13"/>
      <c r="HKZ5" s="12"/>
      <c r="HLA5" s="12"/>
      <c r="HLB5" s="11"/>
      <c r="HLC5" s="13"/>
      <c r="HLD5" s="4"/>
      <c r="HLE5" s="4"/>
      <c r="HLF5" s="4"/>
      <c r="HLG5" s="4"/>
      <c r="HLH5" s="4"/>
      <c r="HLI5" s="4"/>
      <c r="HLJ5" s="4"/>
      <c r="HLK5" s="4"/>
      <c r="HLM5" s="4"/>
      <c r="HLO5" s="10"/>
      <c r="HLP5" s="11"/>
      <c r="HLQ5" s="12"/>
      <c r="HLR5" s="13"/>
      <c r="HLS5" s="12"/>
      <c r="HLT5" s="11"/>
      <c r="HLU5" s="13"/>
      <c r="HLV5" s="12"/>
      <c r="HLW5" s="12"/>
      <c r="HLX5" s="11"/>
      <c r="HLY5" s="13"/>
      <c r="HLZ5" s="4"/>
      <c r="HMA5" s="4"/>
      <c r="HMB5" s="4"/>
      <c r="HMC5" s="4"/>
      <c r="HMD5" s="4"/>
      <c r="HME5" s="4"/>
      <c r="HMF5" s="4"/>
      <c r="HMG5" s="4"/>
      <c r="HMI5" s="4"/>
      <c r="HMK5" s="10"/>
      <c r="HML5" s="11"/>
      <c r="HMM5" s="12"/>
      <c r="HMN5" s="13"/>
      <c r="HMO5" s="12"/>
      <c r="HMP5" s="11"/>
      <c r="HMQ5" s="13"/>
      <c r="HMR5" s="12"/>
      <c r="HMS5" s="12"/>
      <c r="HMT5" s="11"/>
      <c r="HMU5" s="13"/>
      <c r="HMV5" s="4"/>
      <c r="HMW5" s="4"/>
      <c r="HMX5" s="4"/>
      <c r="HMY5" s="4"/>
      <c r="HMZ5" s="4"/>
      <c r="HNA5" s="4"/>
      <c r="HNB5" s="4"/>
      <c r="HNC5" s="4"/>
      <c r="HNE5" s="4"/>
      <c r="HNG5" s="10"/>
      <c r="HNH5" s="11"/>
      <c r="HNI5" s="12"/>
      <c r="HNJ5" s="13"/>
      <c r="HNK5" s="12"/>
      <c r="HNL5" s="11"/>
      <c r="HNM5" s="13"/>
      <c r="HNN5" s="12"/>
      <c r="HNO5" s="12"/>
      <c r="HNP5" s="11"/>
      <c r="HNQ5" s="13"/>
      <c r="HNR5" s="4"/>
      <c r="HNS5" s="4"/>
      <c r="HNT5" s="4"/>
      <c r="HNU5" s="4"/>
      <c r="HNV5" s="4"/>
      <c r="HNW5" s="4"/>
      <c r="HNX5" s="4"/>
      <c r="HNY5" s="4"/>
      <c r="HOA5" s="4"/>
      <c r="HOC5" s="10"/>
      <c r="HOD5" s="11"/>
      <c r="HOE5" s="12"/>
      <c r="HOF5" s="13"/>
      <c r="HOG5" s="12"/>
      <c r="HOH5" s="11"/>
      <c r="HOI5" s="13"/>
      <c r="HOJ5" s="12"/>
      <c r="HOK5" s="12"/>
      <c r="HOL5" s="11"/>
      <c r="HOM5" s="13"/>
      <c r="HON5" s="4"/>
      <c r="HOO5" s="4"/>
      <c r="HOP5" s="4"/>
      <c r="HOQ5" s="4"/>
      <c r="HOR5" s="4"/>
      <c r="HOS5" s="4"/>
      <c r="HOT5" s="4"/>
      <c r="HOU5" s="4"/>
      <c r="HOW5" s="4"/>
      <c r="HOY5" s="10"/>
      <c r="HOZ5" s="11"/>
      <c r="HPA5" s="12"/>
      <c r="HPB5" s="13"/>
      <c r="HPC5" s="12"/>
      <c r="HPD5" s="11"/>
      <c r="HPE5" s="13"/>
      <c r="HPF5" s="12"/>
      <c r="HPG5" s="12"/>
      <c r="HPH5" s="11"/>
      <c r="HPI5" s="13"/>
      <c r="HPJ5" s="4"/>
      <c r="HPK5" s="4"/>
      <c r="HPL5" s="4"/>
      <c r="HPM5" s="4"/>
      <c r="HPN5" s="4"/>
      <c r="HPO5" s="4"/>
      <c r="HPP5" s="4"/>
      <c r="HPQ5" s="4"/>
      <c r="HPS5" s="4"/>
      <c r="HPU5" s="10"/>
      <c r="HPV5" s="11"/>
      <c r="HPW5" s="12"/>
      <c r="HPX5" s="13"/>
      <c r="HPY5" s="12"/>
      <c r="HPZ5" s="11"/>
      <c r="HQA5" s="13"/>
      <c r="HQB5" s="12"/>
      <c r="HQC5" s="12"/>
      <c r="HQD5" s="11"/>
      <c r="HQE5" s="13"/>
      <c r="HQF5" s="4"/>
      <c r="HQG5" s="4"/>
      <c r="HQH5" s="4"/>
      <c r="HQI5" s="4"/>
      <c r="HQJ5" s="4"/>
      <c r="HQK5" s="4"/>
      <c r="HQL5" s="4"/>
      <c r="HQM5" s="4"/>
      <c r="HQO5" s="4"/>
      <c r="HQQ5" s="10"/>
      <c r="HQR5" s="11"/>
      <c r="HQS5" s="12"/>
      <c r="HQT5" s="13"/>
      <c r="HQU5" s="12"/>
      <c r="HQV5" s="11"/>
      <c r="HQW5" s="13"/>
      <c r="HQX5" s="12"/>
      <c r="HQY5" s="12"/>
      <c r="HQZ5" s="11"/>
      <c r="HRA5" s="13"/>
      <c r="HRB5" s="4"/>
      <c r="HRC5" s="4"/>
      <c r="HRD5" s="4"/>
      <c r="HRE5" s="4"/>
      <c r="HRF5" s="4"/>
      <c r="HRG5" s="4"/>
      <c r="HRH5" s="4"/>
      <c r="HRI5" s="4"/>
      <c r="HRK5" s="4"/>
      <c r="HRM5" s="10"/>
      <c r="HRN5" s="11"/>
      <c r="HRO5" s="12"/>
      <c r="HRP5" s="13"/>
      <c r="HRQ5" s="12"/>
      <c r="HRR5" s="11"/>
      <c r="HRS5" s="13"/>
      <c r="HRT5" s="12"/>
      <c r="HRU5" s="12"/>
      <c r="HRV5" s="11"/>
      <c r="HRW5" s="13"/>
      <c r="HRX5" s="4"/>
      <c r="HRY5" s="4"/>
      <c r="HRZ5" s="4"/>
      <c r="HSA5" s="4"/>
      <c r="HSB5" s="4"/>
      <c r="HSC5" s="4"/>
      <c r="HSD5" s="4"/>
      <c r="HSE5" s="4"/>
      <c r="HSG5" s="4"/>
      <c r="HSI5" s="10"/>
      <c r="HSJ5" s="11"/>
      <c r="HSK5" s="12"/>
      <c r="HSL5" s="13"/>
      <c r="HSM5" s="12"/>
      <c r="HSN5" s="11"/>
      <c r="HSO5" s="13"/>
      <c r="HSP5" s="12"/>
      <c r="HSQ5" s="12"/>
      <c r="HSR5" s="11"/>
      <c r="HSS5" s="13"/>
      <c r="HST5" s="4"/>
      <c r="HSU5" s="4"/>
      <c r="HSV5" s="4"/>
      <c r="HSW5" s="4"/>
      <c r="HSX5" s="4"/>
      <c r="HSY5" s="4"/>
      <c r="HSZ5" s="4"/>
      <c r="HTA5" s="4"/>
      <c r="HTC5" s="4"/>
      <c r="HTE5" s="10"/>
      <c r="HTF5" s="11"/>
      <c r="HTG5" s="12"/>
      <c r="HTH5" s="13"/>
      <c r="HTI5" s="12"/>
      <c r="HTJ5" s="11"/>
      <c r="HTK5" s="13"/>
      <c r="HTL5" s="12"/>
      <c r="HTM5" s="12"/>
      <c r="HTN5" s="11"/>
      <c r="HTO5" s="13"/>
      <c r="HTP5" s="4"/>
      <c r="HTQ5" s="4"/>
      <c r="HTR5" s="4"/>
      <c r="HTS5" s="4"/>
      <c r="HTT5" s="4"/>
      <c r="HTU5" s="4"/>
      <c r="HTV5" s="4"/>
      <c r="HTW5" s="4"/>
      <c r="HTY5" s="4"/>
      <c r="HUA5" s="10"/>
      <c r="HUB5" s="11"/>
      <c r="HUC5" s="12"/>
      <c r="HUD5" s="13"/>
      <c r="HUE5" s="12"/>
      <c r="HUF5" s="11"/>
      <c r="HUG5" s="13"/>
      <c r="HUH5" s="12"/>
      <c r="HUI5" s="12"/>
      <c r="HUJ5" s="11"/>
      <c r="HUK5" s="13"/>
      <c r="HUL5" s="4"/>
      <c r="HUM5" s="4"/>
      <c r="HUN5" s="4"/>
      <c r="HUO5" s="4"/>
      <c r="HUP5" s="4"/>
      <c r="HUQ5" s="4"/>
      <c r="HUR5" s="4"/>
      <c r="HUS5" s="4"/>
      <c r="HUU5" s="4"/>
      <c r="HUW5" s="10"/>
      <c r="HUX5" s="11"/>
      <c r="HUY5" s="12"/>
      <c r="HUZ5" s="13"/>
      <c r="HVA5" s="12"/>
      <c r="HVB5" s="11"/>
      <c r="HVC5" s="13"/>
      <c r="HVD5" s="12"/>
      <c r="HVE5" s="12"/>
      <c r="HVF5" s="11"/>
      <c r="HVG5" s="13"/>
      <c r="HVH5" s="4"/>
      <c r="HVI5" s="4"/>
      <c r="HVJ5" s="4"/>
      <c r="HVK5" s="4"/>
      <c r="HVL5" s="4"/>
      <c r="HVM5" s="4"/>
      <c r="HVN5" s="4"/>
      <c r="HVO5" s="4"/>
      <c r="HVQ5" s="4"/>
      <c r="HVS5" s="10"/>
      <c r="HVT5" s="11"/>
      <c r="HVU5" s="12"/>
      <c r="HVV5" s="13"/>
      <c r="HVW5" s="12"/>
      <c r="HVX5" s="11"/>
      <c r="HVY5" s="13"/>
      <c r="HVZ5" s="12"/>
      <c r="HWA5" s="12"/>
      <c r="HWB5" s="11"/>
      <c r="HWC5" s="13"/>
      <c r="HWD5" s="4"/>
      <c r="HWE5" s="4"/>
      <c r="HWF5" s="4"/>
      <c r="HWG5" s="4"/>
      <c r="HWH5" s="4"/>
      <c r="HWI5" s="4"/>
      <c r="HWJ5" s="4"/>
      <c r="HWK5" s="4"/>
      <c r="HWM5" s="4"/>
      <c r="HWO5" s="10"/>
      <c r="HWP5" s="11"/>
      <c r="HWQ5" s="12"/>
      <c r="HWR5" s="13"/>
      <c r="HWS5" s="12"/>
      <c r="HWT5" s="11"/>
      <c r="HWU5" s="13"/>
      <c r="HWV5" s="12"/>
      <c r="HWW5" s="12"/>
      <c r="HWX5" s="11"/>
      <c r="HWY5" s="13"/>
      <c r="HWZ5" s="4"/>
      <c r="HXA5" s="4"/>
      <c r="HXB5" s="4"/>
      <c r="HXC5" s="4"/>
      <c r="HXD5" s="4"/>
      <c r="HXE5" s="4"/>
      <c r="HXF5" s="4"/>
      <c r="HXG5" s="4"/>
      <c r="HXI5" s="4"/>
      <c r="HXK5" s="10"/>
      <c r="HXL5" s="11"/>
      <c r="HXM5" s="12"/>
      <c r="HXN5" s="13"/>
      <c r="HXO5" s="12"/>
      <c r="HXP5" s="11"/>
      <c r="HXQ5" s="13"/>
      <c r="HXR5" s="12"/>
      <c r="HXS5" s="12"/>
      <c r="HXT5" s="11"/>
      <c r="HXU5" s="13"/>
      <c r="HXV5" s="4"/>
      <c r="HXW5" s="4"/>
      <c r="HXX5" s="4"/>
      <c r="HXY5" s="4"/>
      <c r="HXZ5" s="4"/>
      <c r="HYA5" s="4"/>
      <c r="HYB5" s="4"/>
      <c r="HYC5" s="4"/>
      <c r="HYE5" s="4"/>
      <c r="HYG5" s="10"/>
      <c r="HYH5" s="11"/>
      <c r="HYI5" s="12"/>
      <c r="HYJ5" s="13"/>
      <c r="HYK5" s="12"/>
      <c r="HYL5" s="11"/>
      <c r="HYM5" s="13"/>
      <c r="HYN5" s="12"/>
      <c r="HYO5" s="12"/>
      <c r="HYP5" s="11"/>
      <c r="HYQ5" s="13"/>
      <c r="HYR5" s="4"/>
      <c r="HYS5" s="4"/>
      <c r="HYT5" s="4"/>
      <c r="HYU5" s="4"/>
      <c r="HYV5" s="4"/>
      <c r="HYW5" s="4"/>
      <c r="HYX5" s="4"/>
      <c r="HYY5" s="4"/>
      <c r="HZA5" s="4"/>
      <c r="HZC5" s="10"/>
      <c r="HZD5" s="11"/>
      <c r="HZE5" s="12"/>
      <c r="HZF5" s="13"/>
      <c r="HZG5" s="12"/>
      <c r="HZH5" s="11"/>
      <c r="HZI5" s="13"/>
      <c r="HZJ5" s="12"/>
      <c r="HZK5" s="12"/>
      <c r="HZL5" s="11"/>
      <c r="HZM5" s="13"/>
      <c r="HZN5" s="4"/>
      <c r="HZO5" s="4"/>
      <c r="HZP5" s="4"/>
      <c r="HZQ5" s="4"/>
      <c r="HZR5" s="4"/>
      <c r="HZS5" s="4"/>
      <c r="HZT5" s="4"/>
      <c r="HZU5" s="4"/>
      <c r="HZW5" s="4"/>
      <c r="HZY5" s="10"/>
      <c r="HZZ5" s="11"/>
      <c r="IAA5" s="12"/>
      <c r="IAB5" s="13"/>
      <c r="IAC5" s="12"/>
      <c r="IAD5" s="11"/>
      <c r="IAE5" s="13"/>
      <c r="IAF5" s="12"/>
      <c r="IAG5" s="12"/>
      <c r="IAH5" s="11"/>
      <c r="IAI5" s="13"/>
      <c r="IAJ5" s="4"/>
      <c r="IAK5" s="4"/>
      <c r="IAL5" s="4"/>
      <c r="IAM5" s="4"/>
      <c r="IAN5" s="4"/>
      <c r="IAO5" s="4"/>
      <c r="IAP5" s="4"/>
      <c r="IAQ5" s="4"/>
      <c r="IAS5" s="4"/>
      <c r="IAU5" s="10"/>
      <c r="IAV5" s="11"/>
      <c r="IAW5" s="12"/>
      <c r="IAX5" s="13"/>
      <c r="IAY5" s="12"/>
      <c r="IAZ5" s="11"/>
      <c r="IBA5" s="13"/>
      <c r="IBB5" s="12"/>
      <c r="IBC5" s="12"/>
      <c r="IBD5" s="11"/>
      <c r="IBE5" s="13"/>
      <c r="IBF5" s="4"/>
      <c r="IBG5" s="4"/>
      <c r="IBH5" s="4"/>
      <c r="IBI5" s="4"/>
      <c r="IBJ5" s="4"/>
      <c r="IBK5" s="4"/>
      <c r="IBL5" s="4"/>
      <c r="IBM5" s="4"/>
      <c r="IBO5" s="4"/>
      <c r="IBQ5" s="10"/>
      <c r="IBR5" s="11"/>
      <c r="IBS5" s="12"/>
      <c r="IBT5" s="13"/>
      <c r="IBU5" s="12"/>
      <c r="IBV5" s="11"/>
      <c r="IBW5" s="13"/>
      <c r="IBX5" s="12"/>
      <c r="IBY5" s="12"/>
      <c r="IBZ5" s="11"/>
      <c r="ICA5" s="13"/>
      <c r="ICB5" s="4"/>
      <c r="ICC5" s="4"/>
      <c r="ICD5" s="4"/>
      <c r="ICE5" s="4"/>
      <c r="ICF5" s="4"/>
      <c r="ICG5" s="4"/>
      <c r="ICH5" s="4"/>
      <c r="ICI5" s="4"/>
      <c r="ICK5" s="4"/>
      <c r="ICM5" s="10"/>
      <c r="ICN5" s="11"/>
      <c r="ICO5" s="12"/>
      <c r="ICP5" s="13"/>
      <c r="ICQ5" s="12"/>
      <c r="ICR5" s="11"/>
      <c r="ICS5" s="13"/>
      <c r="ICT5" s="12"/>
      <c r="ICU5" s="12"/>
      <c r="ICV5" s="11"/>
      <c r="ICW5" s="13"/>
      <c r="ICX5" s="4"/>
      <c r="ICY5" s="4"/>
      <c r="ICZ5" s="4"/>
      <c r="IDA5" s="4"/>
      <c r="IDB5" s="4"/>
      <c r="IDC5" s="4"/>
      <c r="IDD5" s="4"/>
      <c r="IDE5" s="4"/>
      <c r="IDG5" s="4"/>
      <c r="IDI5" s="10"/>
      <c r="IDJ5" s="11"/>
      <c r="IDK5" s="12"/>
      <c r="IDL5" s="13"/>
      <c r="IDM5" s="12"/>
      <c r="IDN5" s="11"/>
      <c r="IDO5" s="13"/>
      <c r="IDP5" s="12"/>
      <c r="IDQ5" s="12"/>
      <c r="IDR5" s="11"/>
      <c r="IDS5" s="13"/>
      <c r="IDT5" s="4"/>
      <c r="IDU5" s="4"/>
      <c r="IDV5" s="4"/>
      <c r="IDW5" s="4"/>
      <c r="IDX5" s="4"/>
      <c r="IDY5" s="4"/>
      <c r="IDZ5" s="4"/>
      <c r="IEA5" s="4"/>
      <c r="IEC5" s="4"/>
      <c r="IEE5" s="10"/>
      <c r="IEF5" s="11"/>
      <c r="IEG5" s="12"/>
      <c r="IEH5" s="13"/>
      <c r="IEI5" s="12"/>
      <c r="IEJ5" s="11"/>
      <c r="IEK5" s="13"/>
      <c r="IEL5" s="12"/>
      <c r="IEM5" s="12"/>
      <c r="IEN5" s="11"/>
      <c r="IEO5" s="13"/>
      <c r="IEP5" s="4"/>
      <c r="IEQ5" s="4"/>
      <c r="IER5" s="4"/>
      <c r="IES5" s="4"/>
      <c r="IET5" s="4"/>
      <c r="IEU5" s="4"/>
      <c r="IEV5" s="4"/>
      <c r="IEW5" s="4"/>
      <c r="IEY5" s="4"/>
      <c r="IFA5" s="10"/>
      <c r="IFB5" s="11"/>
      <c r="IFC5" s="12"/>
      <c r="IFD5" s="13"/>
      <c r="IFE5" s="12"/>
      <c r="IFF5" s="11"/>
      <c r="IFG5" s="13"/>
      <c r="IFH5" s="12"/>
      <c r="IFI5" s="12"/>
      <c r="IFJ5" s="11"/>
      <c r="IFK5" s="13"/>
      <c r="IFL5" s="4"/>
      <c r="IFM5" s="4"/>
      <c r="IFN5" s="4"/>
      <c r="IFO5" s="4"/>
      <c r="IFP5" s="4"/>
      <c r="IFQ5" s="4"/>
      <c r="IFR5" s="4"/>
      <c r="IFS5" s="4"/>
      <c r="IFU5" s="4"/>
      <c r="IFW5" s="10"/>
      <c r="IFX5" s="11"/>
      <c r="IFY5" s="12"/>
      <c r="IFZ5" s="13"/>
      <c r="IGA5" s="12"/>
      <c r="IGB5" s="11"/>
      <c r="IGC5" s="13"/>
      <c r="IGD5" s="12"/>
      <c r="IGE5" s="12"/>
      <c r="IGF5" s="11"/>
      <c r="IGG5" s="13"/>
      <c r="IGH5" s="4"/>
      <c r="IGI5" s="4"/>
      <c r="IGJ5" s="4"/>
      <c r="IGK5" s="4"/>
      <c r="IGL5" s="4"/>
      <c r="IGM5" s="4"/>
      <c r="IGN5" s="4"/>
      <c r="IGO5" s="4"/>
      <c r="IGQ5" s="4"/>
      <c r="IGS5" s="10"/>
      <c r="IGT5" s="11"/>
      <c r="IGU5" s="12"/>
      <c r="IGV5" s="13"/>
      <c r="IGW5" s="12"/>
      <c r="IGX5" s="11"/>
      <c r="IGY5" s="13"/>
      <c r="IGZ5" s="12"/>
      <c r="IHA5" s="12"/>
      <c r="IHB5" s="11"/>
      <c r="IHC5" s="13"/>
      <c r="IHD5" s="4"/>
      <c r="IHE5" s="4"/>
      <c r="IHF5" s="4"/>
      <c r="IHG5" s="4"/>
      <c r="IHH5" s="4"/>
      <c r="IHI5" s="4"/>
      <c r="IHJ5" s="4"/>
      <c r="IHK5" s="4"/>
      <c r="IHM5" s="4"/>
      <c r="IHO5" s="10"/>
      <c r="IHP5" s="11"/>
      <c r="IHQ5" s="12"/>
      <c r="IHR5" s="13"/>
      <c r="IHS5" s="12"/>
      <c r="IHT5" s="11"/>
      <c r="IHU5" s="13"/>
      <c r="IHV5" s="12"/>
      <c r="IHW5" s="12"/>
      <c r="IHX5" s="11"/>
      <c r="IHY5" s="13"/>
      <c r="IHZ5" s="4"/>
      <c r="IIA5" s="4"/>
      <c r="IIB5" s="4"/>
      <c r="IIC5" s="4"/>
      <c r="IID5" s="4"/>
      <c r="IIE5" s="4"/>
      <c r="IIF5" s="4"/>
      <c r="IIG5" s="4"/>
      <c r="III5" s="4"/>
      <c r="IIK5" s="10"/>
      <c r="IIL5" s="11"/>
      <c r="IIM5" s="12"/>
      <c r="IIN5" s="13"/>
      <c r="IIO5" s="12"/>
      <c r="IIP5" s="11"/>
      <c r="IIQ5" s="13"/>
      <c r="IIR5" s="12"/>
      <c r="IIS5" s="12"/>
      <c r="IIT5" s="11"/>
      <c r="IIU5" s="13"/>
      <c r="IIV5" s="4"/>
      <c r="IIW5" s="4"/>
      <c r="IIX5" s="4"/>
      <c r="IIY5" s="4"/>
      <c r="IIZ5" s="4"/>
      <c r="IJA5" s="4"/>
      <c r="IJB5" s="4"/>
      <c r="IJC5" s="4"/>
      <c r="IJE5" s="4"/>
      <c r="IJG5" s="10"/>
      <c r="IJH5" s="11"/>
      <c r="IJI5" s="12"/>
      <c r="IJJ5" s="13"/>
      <c r="IJK5" s="12"/>
      <c r="IJL5" s="11"/>
      <c r="IJM5" s="13"/>
      <c r="IJN5" s="12"/>
      <c r="IJO5" s="12"/>
      <c r="IJP5" s="11"/>
      <c r="IJQ5" s="13"/>
      <c r="IJR5" s="4"/>
      <c r="IJS5" s="4"/>
      <c r="IJT5" s="4"/>
      <c r="IJU5" s="4"/>
      <c r="IJV5" s="4"/>
      <c r="IJW5" s="4"/>
      <c r="IJX5" s="4"/>
      <c r="IJY5" s="4"/>
      <c r="IKA5" s="4"/>
      <c r="IKC5" s="10"/>
      <c r="IKD5" s="11"/>
      <c r="IKE5" s="12"/>
      <c r="IKF5" s="13"/>
      <c r="IKG5" s="12"/>
      <c r="IKH5" s="11"/>
      <c r="IKI5" s="13"/>
      <c r="IKJ5" s="12"/>
      <c r="IKK5" s="12"/>
      <c r="IKL5" s="11"/>
      <c r="IKM5" s="13"/>
      <c r="IKN5" s="4"/>
      <c r="IKO5" s="4"/>
      <c r="IKP5" s="4"/>
      <c r="IKQ5" s="4"/>
      <c r="IKR5" s="4"/>
      <c r="IKS5" s="4"/>
      <c r="IKT5" s="4"/>
      <c r="IKU5" s="4"/>
      <c r="IKW5" s="4"/>
      <c r="IKY5" s="10"/>
      <c r="IKZ5" s="11"/>
      <c r="ILA5" s="12"/>
      <c r="ILB5" s="13"/>
      <c r="ILC5" s="12"/>
      <c r="ILD5" s="11"/>
      <c r="ILE5" s="13"/>
      <c r="ILF5" s="12"/>
      <c r="ILG5" s="12"/>
      <c r="ILH5" s="11"/>
      <c r="ILI5" s="13"/>
      <c r="ILJ5" s="4"/>
      <c r="ILK5" s="4"/>
      <c r="ILL5" s="4"/>
      <c r="ILM5" s="4"/>
      <c r="ILN5" s="4"/>
      <c r="ILO5" s="4"/>
      <c r="ILP5" s="4"/>
      <c r="ILQ5" s="4"/>
      <c r="ILS5" s="4"/>
      <c r="ILU5" s="10"/>
      <c r="ILV5" s="11"/>
      <c r="ILW5" s="12"/>
      <c r="ILX5" s="13"/>
      <c r="ILY5" s="12"/>
      <c r="ILZ5" s="11"/>
      <c r="IMA5" s="13"/>
      <c r="IMB5" s="12"/>
      <c r="IMC5" s="12"/>
      <c r="IMD5" s="11"/>
      <c r="IME5" s="13"/>
      <c r="IMF5" s="4"/>
      <c r="IMG5" s="4"/>
      <c r="IMH5" s="4"/>
      <c r="IMI5" s="4"/>
      <c r="IMJ5" s="4"/>
      <c r="IMK5" s="4"/>
      <c r="IML5" s="4"/>
      <c r="IMM5" s="4"/>
      <c r="IMO5" s="4"/>
      <c r="IMQ5" s="10"/>
      <c r="IMR5" s="11"/>
      <c r="IMS5" s="12"/>
      <c r="IMT5" s="13"/>
      <c r="IMU5" s="12"/>
      <c r="IMV5" s="11"/>
      <c r="IMW5" s="13"/>
      <c r="IMX5" s="12"/>
      <c r="IMY5" s="12"/>
      <c r="IMZ5" s="11"/>
      <c r="INA5" s="13"/>
      <c r="INB5" s="4"/>
      <c r="INC5" s="4"/>
      <c r="IND5" s="4"/>
      <c r="INE5" s="4"/>
      <c r="INF5" s="4"/>
      <c r="ING5" s="4"/>
      <c r="INH5" s="4"/>
      <c r="INI5" s="4"/>
      <c r="INK5" s="4"/>
      <c r="INM5" s="10"/>
      <c r="INN5" s="11"/>
      <c r="INO5" s="12"/>
      <c r="INP5" s="13"/>
      <c r="INQ5" s="12"/>
      <c r="INR5" s="11"/>
      <c r="INS5" s="13"/>
      <c r="INT5" s="12"/>
      <c r="INU5" s="12"/>
      <c r="INV5" s="11"/>
      <c r="INW5" s="13"/>
      <c r="INX5" s="4"/>
      <c r="INY5" s="4"/>
      <c r="INZ5" s="4"/>
      <c r="IOA5" s="4"/>
      <c r="IOB5" s="4"/>
      <c r="IOC5" s="4"/>
      <c r="IOD5" s="4"/>
      <c r="IOE5" s="4"/>
      <c r="IOG5" s="4"/>
      <c r="IOI5" s="10"/>
      <c r="IOJ5" s="11"/>
      <c r="IOK5" s="12"/>
      <c r="IOL5" s="13"/>
      <c r="IOM5" s="12"/>
      <c r="ION5" s="11"/>
      <c r="IOO5" s="13"/>
      <c r="IOP5" s="12"/>
      <c r="IOQ5" s="12"/>
      <c r="IOR5" s="11"/>
      <c r="IOS5" s="13"/>
      <c r="IOT5" s="4"/>
      <c r="IOU5" s="4"/>
      <c r="IOV5" s="4"/>
      <c r="IOW5" s="4"/>
      <c r="IOX5" s="4"/>
      <c r="IOY5" s="4"/>
      <c r="IOZ5" s="4"/>
      <c r="IPA5" s="4"/>
      <c r="IPC5" s="4"/>
      <c r="IPE5" s="10"/>
      <c r="IPF5" s="11"/>
      <c r="IPG5" s="12"/>
      <c r="IPH5" s="13"/>
      <c r="IPI5" s="12"/>
      <c r="IPJ5" s="11"/>
      <c r="IPK5" s="13"/>
      <c r="IPL5" s="12"/>
      <c r="IPM5" s="12"/>
      <c r="IPN5" s="11"/>
      <c r="IPO5" s="13"/>
      <c r="IPP5" s="4"/>
      <c r="IPQ5" s="4"/>
      <c r="IPR5" s="4"/>
      <c r="IPS5" s="4"/>
      <c r="IPT5" s="4"/>
      <c r="IPU5" s="4"/>
      <c r="IPV5" s="4"/>
      <c r="IPW5" s="4"/>
      <c r="IPY5" s="4"/>
      <c r="IQA5" s="10"/>
      <c r="IQB5" s="11"/>
      <c r="IQC5" s="12"/>
      <c r="IQD5" s="13"/>
      <c r="IQE5" s="12"/>
      <c r="IQF5" s="11"/>
      <c r="IQG5" s="13"/>
      <c r="IQH5" s="12"/>
      <c r="IQI5" s="12"/>
      <c r="IQJ5" s="11"/>
      <c r="IQK5" s="13"/>
      <c r="IQL5" s="4"/>
      <c r="IQM5" s="4"/>
      <c r="IQN5" s="4"/>
      <c r="IQO5" s="4"/>
      <c r="IQP5" s="4"/>
      <c r="IQQ5" s="4"/>
      <c r="IQR5" s="4"/>
      <c r="IQS5" s="4"/>
      <c r="IQU5" s="4"/>
      <c r="IQW5" s="10"/>
      <c r="IQX5" s="11"/>
      <c r="IQY5" s="12"/>
      <c r="IQZ5" s="13"/>
      <c r="IRA5" s="12"/>
      <c r="IRB5" s="11"/>
      <c r="IRC5" s="13"/>
      <c r="IRD5" s="12"/>
      <c r="IRE5" s="12"/>
      <c r="IRF5" s="11"/>
      <c r="IRG5" s="13"/>
      <c r="IRH5" s="4"/>
      <c r="IRI5" s="4"/>
      <c r="IRJ5" s="4"/>
      <c r="IRK5" s="4"/>
      <c r="IRL5" s="4"/>
      <c r="IRM5" s="4"/>
      <c r="IRN5" s="4"/>
      <c r="IRO5" s="4"/>
      <c r="IRQ5" s="4"/>
      <c r="IRS5" s="10"/>
      <c r="IRT5" s="11"/>
      <c r="IRU5" s="12"/>
      <c r="IRV5" s="13"/>
      <c r="IRW5" s="12"/>
      <c r="IRX5" s="11"/>
      <c r="IRY5" s="13"/>
      <c r="IRZ5" s="12"/>
      <c r="ISA5" s="12"/>
      <c r="ISB5" s="11"/>
      <c r="ISC5" s="13"/>
      <c r="ISD5" s="4"/>
      <c r="ISE5" s="4"/>
      <c r="ISF5" s="4"/>
      <c r="ISG5" s="4"/>
      <c r="ISH5" s="4"/>
      <c r="ISI5" s="4"/>
      <c r="ISJ5" s="4"/>
      <c r="ISK5" s="4"/>
      <c r="ISM5" s="4"/>
      <c r="ISO5" s="10"/>
      <c r="ISP5" s="11"/>
      <c r="ISQ5" s="12"/>
      <c r="ISR5" s="13"/>
      <c r="ISS5" s="12"/>
      <c r="IST5" s="11"/>
      <c r="ISU5" s="13"/>
      <c r="ISV5" s="12"/>
      <c r="ISW5" s="12"/>
      <c r="ISX5" s="11"/>
      <c r="ISY5" s="13"/>
      <c r="ISZ5" s="4"/>
      <c r="ITA5" s="4"/>
      <c r="ITB5" s="4"/>
      <c r="ITC5" s="4"/>
      <c r="ITD5" s="4"/>
      <c r="ITE5" s="4"/>
      <c r="ITF5" s="4"/>
      <c r="ITG5" s="4"/>
      <c r="ITI5" s="4"/>
      <c r="ITK5" s="10"/>
      <c r="ITL5" s="11"/>
      <c r="ITM5" s="12"/>
      <c r="ITN5" s="13"/>
      <c r="ITO5" s="12"/>
      <c r="ITP5" s="11"/>
      <c r="ITQ5" s="13"/>
      <c r="ITR5" s="12"/>
      <c r="ITS5" s="12"/>
      <c r="ITT5" s="11"/>
      <c r="ITU5" s="13"/>
      <c r="ITV5" s="4"/>
      <c r="ITW5" s="4"/>
      <c r="ITX5" s="4"/>
      <c r="ITY5" s="4"/>
      <c r="ITZ5" s="4"/>
      <c r="IUA5" s="4"/>
      <c r="IUB5" s="4"/>
      <c r="IUC5" s="4"/>
      <c r="IUE5" s="4"/>
      <c r="IUG5" s="10"/>
      <c r="IUH5" s="11"/>
      <c r="IUI5" s="12"/>
      <c r="IUJ5" s="13"/>
      <c r="IUK5" s="12"/>
      <c r="IUL5" s="11"/>
      <c r="IUM5" s="13"/>
      <c r="IUN5" s="12"/>
      <c r="IUO5" s="12"/>
      <c r="IUP5" s="11"/>
      <c r="IUQ5" s="13"/>
      <c r="IUR5" s="4"/>
      <c r="IUS5" s="4"/>
      <c r="IUT5" s="4"/>
      <c r="IUU5" s="4"/>
      <c r="IUV5" s="4"/>
      <c r="IUW5" s="4"/>
      <c r="IUX5" s="4"/>
      <c r="IUY5" s="4"/>
      <c r="IVA5" s="4"/>
      <c r="IVC5" s="10"/>
      <c r="IVD5" s="11"/>
      <c r="IVE5" s="12"/>
      <c r="IVF5" s="13"/>
      <c r="IVG5" s="12"/>
      <c r="IVH5" s="11"/>
      <c r="IVI5" s="13"/>
      <c r="IVJ5" s="12"/>
      <c r="IVK5" s="12"/>
      <c r="IVL5" s="11"/>
      <c r="IVM5" s="13"/>
      <c r="IVN5" s="4"/>
      <c r="IVO5" s="4"/>
      <c r="IVP5" s="4"/>
      <c r="IVQ5" s="4"/>
      <c r="IVR5" s="4"/>
      <c r="IVS5" s="4"/>
      <c r="IVT5" s="4"/>
      <c r="IVU5" s="4"/>
      <c r="IVW5" s="4"/>
      <c r="IVY5" s="10"/>
      <c r="IVZ5" s="11"/>
      <c r="IWA5" s="12"/>
      <c r="IWB5" s="13"/>
      <c r="IWC5" s="12"/>
      <c r="IWD5" s="11"/>
      <c r="IWE5" s="13"/>
      <c r="IWF5" s="12"/>
      <c r="IWG5" s="12"/>
      <c r="IWH5" s="11"/>
      <c r="IWI5" s="13"/>
      <c r="IWJ5" s="4"/>
      <c r="IWK5" s="4"/>
      <c r="IWL5" s="4"/>
      <c r="IWM5" s="4"/>
      <c r="IWN5" s="4"/>
      <c r="IWO5" s="4"/>
      <c r="IWP5" s="4"/>
      <c r="IWQ5" s="4"/>
      <c r="IWS5" s="4"/>
      <c r="IWU5" s="10"/>
      <c r="IWV5" s="11"/>
      <c r="IWW5" s="12"/>
      <c r="IWX5" s="13"/>
      <c r="IWY5" s="12"/>
      <c r="IWZ5" s="11"/>
      <c r="IXA5" s="13"/>
      <c r="IXB5" s="12"/>
      <c r="IXC5" s="12"/>
      <c r="IXD5" s="11"/>
      <c r="IXE5" s="13"/>
      <c r="IXF5" s="4"/>
      <c r="IXG5" s="4"/>
      <c r="IXH5" s="4"/>
      <c r="IXI5" s="4"/>
      <c r="IXJ5" s="4"/>
      <c r="IXK5" s="4"/>
      <c r="IXL5" s="4"/>
      <c r="IXM5" s="4"/>
      <c r="IXO5" s="4"/>
      <c r="IXQ5" s="10"/>
      <c r="IXR5" s="11"/>
      <c r="IXS5" s="12"/>
      <c r="IXT5" s="13"/>
      <c r="IXU5" s="12"/>
      <c r="IXV5" s="11"/>
      <c r="IXW5" s="13"/>
      <c r="IXX5" s="12"/>
      <c r="IXY5" s="12"/>
      <c r="IXZ5" s="11"/>
      <c r="IYA5" s="13"/>
      <c r="IYB5" s="4"/>
      <c r="IYC5" s="4"/>
      <c r="IYD5" s="4"/>
      <c r="IYE5" s="4"/>
      <c r="IYF5" s="4"/>
      <c r="IYG5" s="4"/>
      <c r="IYH5" s="4"/>
      <c r="IYI5" s="4"/>
      <c r="IYK5" s="4"/>
      <c r="IYM5" s="10"/>
      <c r="IYN5" s="11"/>
      <c r="IYO5" s="12"/>
      <c r="IYP5" s="13"/>
      <c r="IYQ5" s="12"/>
      <c r="IYR5" s="11"/>
      <c r="IYS5" s="13"/>
      <c r="IYT5" s="12"/>
      <c r="IYU5" s="12"/>
      <c r="IYV5" s="11"/>
      <c r="IYW5" s="13"/>
      <c r="IYX5" s="4"/>
      <c r="IYY5" s="4"/>
      <c r="IYZ5" s="4"/>
      <c r="IZA5" s="4"/>
      <c r="IZB5" s="4"/>
      <c r="IZC5" s="4"/>
      <c r="IZD5" s="4"/>
      <c r="IZE5" s="4"/>
      <c r="IZG5" s="4"/>
      <c r="IZI5" s="10"/>
      <c r="IZJ5" s="11"/>
      <c r="IZK5" s="12"/>
      <c r="IZL5" s="13"/>
      <c r="IZM5" s="12"/>
      <c r="IZN5" s="11"/>
      <c r="IZO5" s="13"/>
      <c r="IZP5" s="12"/>
      <c r="IZQ5" s="12"/>
      <c r="IZR5" s="11"/>
      <c r="IZS5" s="13"/>
      <c r="IZT5" s="4"/>
      <c r="IZU5" s="4"/>
      <c r="IZV5" s="4"/>
      <c r="IZW5" s="4"/>
      <c r="IZX5" s="4"/>
      <c r="IZY5" s="4"/>
      <c r="IZZ5" s="4"/>
      <c r="JAA5" s="4"/>
      <c r="JAC5" s="4"/>
      <c r="JAE5" s="10"/>
      <c r="JAF5" s="11"/>
      <c r="JAG5" s="12"/>
      <c r="JAH5" s="13"/>
      <c r="JAI5" s="12"/>
      <c r="JAJ5" s="11"/>
      <c r="JAK5" s="13"/>
      <c r="JAL5" s="12"/>
      <c r="JAM5" s="12"/>
      <c r="JAN5" s="11"/>
      <c r="JAO5" s="13"/>
      <c r="JAP5" s="4"/>
      <c r="JAQ5" s="4"/>
      <c r="JAR5" s="4"/>
      <c r="JAS5" s="4"/>
      <c r="JAT5" s="4"/>
      <c r="JAU5" s="4"/>
      <c r="JAV5" s="4"/>
      <c r="JAW5" s="4"/>
      <c r="JAY5" s="4"/>
      <c r="JBA5" s="10"/>
      <c r="JBB5" s="11"/>
      <c r="JBC5" s="12"/>
      <c r="JBD5" s="13"/>
      <c r="JBE5" s="12"/>
      <c r="JBF5" s="11"/>
      <c r="JBG5" s="13"/>
      <c r="JBH5" s="12"/>
      <c r="JBI5" s="12"/>
      <c r="JBJ5" s="11"/>
      <c r="JBK5" s="13"/>
      <c r="JBL5" s="4"/>
      <c r="JBM5" s="4"/>
      <c r="JBN5" s="4"/>
      <c r="JBO5" s="4"/>
      <c r="JBP5" s="4"/>
      <c r="JBQ5" s="4"/>
      <c r="JBR5" s="4"/>
      <c r="JBS5" s="4"/>
      <c r="JBU5" s="4"/>
      <c r="JBW5" s="10"/>
      <c r="JBX5" s="11"/>
      <c r="JBY5" s="12"/>
      <c r="JBZ5" s="13"/>
      <c r="JCA5" s="12"/>
      <c r="JCB5" s="11"/>
      <c r="JCC5" s="13"/>
      <c r="JCD5" s="12"/>
      <c r="JCE5" s="12"/>
      <c r="JCF5" s="11"/>
      <c r="JCG5" s="13"/>
      <c r="JCH5" s="4"/>
      <c r="JCI5" s="4"/>
      <c r="JCJ5" s="4"/>
      <c r="JCK5" s="4"/>
      <c r="JCL5" s="4"/>
      <c r="JCM5" s="4"/>
      <c r="JCN5" s="4"/>
      <c r="JCO5" s="4"/>
      <c r="JCQ5" s="4"/>
      <c r="JCS5" s="10"/>
      <c r="JCT5" s="11"/>
      <c r="JCU5" s="12"/>
      <c r="JCV5" s="13"/>
      <c r="JCW5" s="12"/>
      <c r="JCX5" s="11"/>
      <c r="JCY5" s="13"/>
      <c r="JCZ5" s="12"/>
      <c r="JDA5" s="12"/>
      <c r="JDB5" s="11"/>
      <c r="JDC5" s="13"/>
      <c r="JDD5" s="4"/>
      <c r="JDE5" s="4"/>
      <c r="JDF5" s="4"/>
      <c r="JDG5" s="4"/>
      <c r="JDH5" s="4"/>
      <c r="JDI5" s="4"/>
      <c r="JDJ5" s="4"/>
      <c r="JDK5" s="4"/>
      <c r="JDM5" s="4"/>
      <c r="JDO5" s="10"/>
      <c r="JDP5" s="11"/>
      <c r="JDQ5" s="12"/>
      <c r="JDR5" s="13"/>
      <c r="JDS5" s="12"/>
      <c r="JDT5" s="11"/>
      <c r="JDU5" s="13"/>
      <c r="JDV5" s="12"/>
      <c r="JDW5" s="12"/>
      <c r="JDX5" s="11"/>
      <c r="JDY5" s="13"/>
      <c r="JDZ5" s="4"/>
      <c r="JEA5" s="4"/>
      <c r="JEB5" s="4"/>
      <c r="JEC5" s="4"/>
      <c r="JED5" s="4"/>
      <c r="JEE5" s="4"/>
      <c r="JEF5" s="4"/>
      <c r="JEG5" s="4"/>
      <c r="JEI5" s="4"/>
      <c r="JEK5" s="10"/>
      <c r="JEL5" s="11"/>
      <c r="JEM5" s="12"/>
      <c r="JEN5" s="13"/>
      <c r="JEO5" s="12"/>
      <c r="JEP5" s="11"/>
      <c r="JEQ5" s="13"/>
      <c r="JER5" s="12"/>
      <c r="JES5" s="12"/>
      <c r="JET5" s="11"/>
      <c r="JEU5" s="13"/>
      <c r="JEV5" s="4"/>
      <c r="JEW5" s="4"/>
      <c r="JEX5" s="4"/>
      <c r="JEY5" s="4"/>
      <c r="JEZ5" s="4"/>
      <c r="JFA5" s="4"/>
      <c r="JFB5" s="4"/>
      <c r="JFC5" s="4"/>
      <c r="JFE5" s="4"/>
      <c r="JFG5" s="10"/>
      <c r="JFH5" s="11"/>
      <c r="JFI5" s="12"/>
      <c r="JFJ5" s="13"/>
      <c r="JFK5" s="12"/>
      <c r="JFL5" s="11"/>
      <c r="JFM5" s="13"/>
      <c r="JFN5" s="12"/>
      <c r="JFO5" s="12"/>
      <c r="JFP5" s="11"/>
      <c r="JFQ5" s="13"/>
      <c r="JFR5" s="4"/>
      <c r="JFS5" s="4"/>
      <c r="JFT5" s="4"/>
      <c r="JFU5" s="4"/>
      <c r="JFV5" s="4"/>
      <c r="JFW5" s="4"/>
      <c r="JFX5" s="4"/>
      <c r="JFY5" s="4"/>
      <c r="JGA5" s="4"/>
      <c r="JGC5" s="10"/>
      <c r="JGD5" s="11"/>
      <c r="JGE5" s="12"/>
      <c r="JGF5" s="13"/>
      <c r="JGG5" s="12"/>
      <c r="JGH5" s="11"/>
      <c r="JGI5" s="13"/>
      <c r="JGJ5" s="12"/>
      <c r="JGK5" s="12"/>
      <c r="JGL5" s="11"/>
      <c r="JGM5" s="13"/>
      <c r="JGN5" s="4"/>
      <c r="JGO5" s="4"/>
      <c r="JGP5" s="4"/>
      <c r="JGQ5" s="4"/>
      <c r="JGR5" s="4"/>
      <c r="JGS5" s="4"/>
      <c r="JGT5" s="4"/>
      <c r="JGU5" s="4"/>
      <c r="JGW5" s="4"/>
      <c r="JGY5" s="10"/>
      <c r="JGZ5" s="11"/>
      <c r="JHA5" s="12"/>
      <c r="JHB5" s="13"/>
      <c r="JHC5" s="12"/>
      <c r="JHD5" s="11"/>
      <c r="JHE5" s="13"/>
      <c r="JHF5" s="12"/>
      <c r="JHG5" s="12"/>
      <c r="JHH5" s="11"/>
      <c r="JHI5" s="13"/>
      <c r="JHJ5" s="4"/>
      <c r="JHK5" s="4"/>
      <c r="JHL5" s="4"/>
      <c r="JHM5" s="4"/>
      <c r="JHN5" s="4"/>
      <c r="JHO5" s="4"/>
      <c r="JHP5" s="4"/>
      <c r="JHQ5" s="4"/>
      <c r="JHS5" s="4"/>
      <c r="JHU5" s="10"/>
      <c r="JHV5" s="11"/>
      <c r="JHW5" s="12"/>
      <c r="JHX5" s="13"/>
      <c r="JHY5" s="12"/>
      <c r="JHZ5" s="11"/>
      <c r="JIA5" s="13"/>
      <c r="JIB5" s="12"/>
      <c r="JIC5" s="12"/>
      <c r="JID5" s="11"/>
      <c r="JIE5" s="13"/>
      <c r="JIF5" s="4"/>
      <c r="JIG5" s="4"/>
      <c r="JIH5" s="4"/>
      <c r="JII5" s="4"/>
      <c r="JIJ5" s="4"/>
      <c r="JIK5" s="4"/>
      <c r="JIL5" s="4"/>
      <c r="JIM5" s="4"/>
      <c r="JIO5" s="4"/>
      <c r="JIQ5" s="10"/>
      <c r="JIR5" s="11"/>
      <c r="JIS5" s="12"/>
      <c r="JIT5" s="13"/>
      <c r="JIU5" s="12"/>
      <c r="JIV5" s="11"/>
      <c r="JIW5" s="13"/>
      <c r="JIX5" s="12"/>
      <c r="JIY5" s="12"/>
      <c r="JIZ5" s="11"/>
      <c r="JJA5" s="13"/>
      <c r="JJB5" s="4"/>
      <c r="JJC5" s="4"/>
      <c r="JJD5" s="4"/>
      <c r="JJE5" s="4"/>
      <c r="JJF5" s="4"/>
      <c r="JJG5" s="4"/>
      <c r="JJH5" s="4"/>
      <c r="JJI5" s="4"/>
      <c r="JJK5" s="4"/>
      <c r="JJM5" s="10"/>
      <c r="JJN5" s="11"/>
      <c r="JJO5" s="12"/>
      <c r="JJP5" s="13"/>
      <c r="JJQ5" s="12"/>
      <c r="JJR5" s="11"/>
      <c r="JJS5" s="13"/>
      <c r="JJT5" s="12"/>
      <c r="JJU5" s="12"/>
      <c r="JJV5" s="11"/>
      <c r="JJW5" s="13"/>
      <c r="JJX5" s="4"/>
      <c r="JJY5" s="4"/>
      <c r="JJZ5" s="4"/>
      <c r="JKA5" s="4"/>
      <c r="JKB5" s="4"/>
      <c r="JKC5" s="4"/>
      <c r="JKD5" s="4"/>
      <c r="JKE5" s="4"/>
      <c r="JKG5" s="4"/>
      <c r="JKI5" s="10"/>
      <c r="JKJ5" s="11"/>
      <c r="JKK5" s="12"/>
      <c r="JKL5" s="13"/>
      <c r="JKM5" s="12"/>
      <c r="JKN5" s="11"/>
      <c r="JKO5" s="13"/>
      <c r="JKP5" s="12"/>
      <c r="JKQ5" s="12"/>
      <c r="JKR5" s="11"/>
      <c r="JKS5" s="13"/>
      <c r="JKT5" s="4"/>
      <c r="JKU5" s="4"/>
      <c r="JKV5" s="4"/>
      <c r="JKW5" s="4"/>
      <c r="JKX5" s="4"/>
      <c r="JKY5" s="4"/>
      <c r="JKZ5" s="4"/>
      <c r="JLA5" s="4"/>
      <c r="JLC5" s="4"/>
      <c r="JLE5" s="10"/>
      <c r="JLF5" s="11"/>
      <c r="JLG5" s="12"/>
      <c r="JLH5" s="13"/>
      <c r="JLI5" s="12"/>
      <c r="JLJ5" s="11"/>
      <c r="JLK5" s="13"/>
      <c r="JLL5" s="12"/>
      <c r="JLM5" s="12"/>
      <c r="JLN5" s="11"/>
      <c r="JLO5" s="13"/>
      <c r="JLP5" s="4"/>
      <c r="JLQ5" s="4"/>
      <c r="JLR5" s="4"/>
      <c r="JLS5" s="4"/>
      <c r="JLT5" s="4"/>
      <c r="JLU5" s="4"/>
      <c r="JLV5" s="4"/>
      <c r="JLW5" s="4"/>
      <c r="JLY5" s="4"/>
      <c r="JMA5" s="10"/>
      <c r="JMB5" s="11"/>
      <c r="JMC5" s="12"/>
      <c r="JMD5" s="13"/>
      <c r="JME5" s="12"/>
      <c r="JMF5" s="11"/>
      <c r="JMG5" s="13"/>
      <c r="JMH5" s="12"/>
      <c r="JMI5" s="12"/>
      <c r="JMJ5" s="11"/>
      <c r="JMK5" s="13"/>
      <c r="JML5" s="4"/>
      <c r="JMM5" s="4"/>
      <c r="JMN5" s="4"/>
      <c r="JMO5" s="4"/>
      <c r="JMP5" s="4"/>
      <c r="JMQ5" s="4"/>
      <c r="JMR5" s="4"/>
      <c r="JMS5" s="4"/>
      <c r="JMU5" s="4"/>
      <c r="JMW5" s="10"/>
      <c r="JMX5" s="11"/>
      <c r="JMY5" s="12"/>
      <c r="JMZ5" s="13"/>
      <c r="JNA5" s="12"/>
      <c r="JNB5" s="11"/>
      <c r="JNC5" s="13"/>
      <c r="JND5" s="12"/>
      <c r="JNE5" s="12"/>
      <c r="JNF5" s="11"/>
      <c r="JNG5" s="13"/>
      <c r="JNH5" s="4"/>
      <c r="JNI5" s="4"/>
      <c r="JNJ5" s="4"/>
      <c r="JNK5" s="4"/>
      <c r="JNL5" s="4"/>
      <c r="JNM5" s="4"/>
      <c r="JNN5" s="4"/>
      <c r="JNO5" s="4"/>
      <c r="JNQ5" s="4"/>
      <c r="JNS5" s="10"/>
      <c r="JNT5" s="11"/>
      <c r="JNU5" s="12"/>
      <c r="JNV5" s="13"/>
      <c r="JNW5" s="12"/>
      <c r="JNX5" s="11"/>
      <c r="JNY5" s="13"/>
      <c r="JNZ5" s="12"/>
      <c r="JOA5" s="12"/>
      <c r="JOB5" s="11"/>
      <c r="JOC5" s="13"/>
      <c r="JOD5" s="4"/>
      <c r="JOE5" s="4"/>
      <c r="JOF5" s="4"/>
      <c r="JOG5" s="4"/>
      <c r="JOH5" s="4"/>
      <c r="JOI5" s="4"/>
      <c r="JOJ5" s="4"/>
      <c r="JOK5" s="4"/>
      <c r="JOM5" s="4"/>
      <c r="JOO5" s="10"/>
      <c r="JOP5" s="11"/>
      <c r="JOQ5" s="12"/>
      <c r="JOR5" s="13"/>
      <c r="JOS5" s="12"/>
      <c r="JOT5" s="11"/>
      <c r="JOU5" s="13"/>
      <c r="JOV5" s="12"/>
      <c r="JOW5" s="12"/>
      <c r="JOX5" s="11"/>
      <c r="JOY5" s="13"/>
      <c r="JOZ5" s="4"/>
      <c r="JPA5" s="4"/>
      <c r="JPB5" s="4"/>
      <c r="JPC5" s="4"/>
      <c r="JPD5" s="4"/>
      <c r="JPE5" s="4"/>
      <c r="JPF5" s="4"/>
      <c r="JPG5" s="4"/>
      <c r="JPI5" s="4"/>
      <c r="JPK5" s="10"/>
      <c r="JPL5" s="11"/>
      <c r="JPM5" s="12"/>
      <c r="JPN5" s="13"/>
      <c r="JPO5" s="12"/>
      <c r="JPP5" s="11"/>
      <c r="JPQ5" s="13"/>
      <c r="JPR5" s="12"/>
      <c r="JPS5" s="12"/>
      <c r="JPT5" s="11"/>
      <c r="JPU5" s="13"/>
      <c r="JPV5" s="4"/>
      <c r="JPW5" s="4"/>
      <c r="JPX5" s="4"/>
      <c r="JPY5" s="4"/>
      <c r="JPZ5" s="4"/>
      <c r="JQA5" s="4"/>
      <c r="JQB5" s="4"/>
      <c r="JQC5" s="4"/>
      <c r="JQE5" s="4"/>
      <c r="JQG5" s="10"/>
      <c r="JQH5" s="11"/>
      <c r="JQI5" s="12"/>
      <c r="JQJ5" s="13"/>
      <c r="JQK5" s="12"/>
      <c r="JQL5" s="11"/>
      <c r="JQM5" s="13"/>
      <c r="JQN5" s="12"/>
      <c r="JQO5" s="12"/>
      <c r="JQP5" s="11"/>
      <c r="JQQ5" s="13"/>
      <c r="JQR5" s="4"/>
      <c r="JQS5" s="4"/>
      <c r="JQT5" s="4"/>
      <c r="JQU5" s="4"/>
      <c r="JQV5" s="4"/>
      <c r="JQW5" s="4"/>
      <c r="JQX5" s="4"/>
      <c r="JQY5" s="4"/>
      <c r="JRA5" s="4"/>
      <c r="JRC5" s="10"/>
      <c r="JRD5" s="11"/>
      <c r="JRE5" s="12"/>
      <c r="JRF5" s="13"/>
      <c r="JRG5" s="12"/>
      <c r="JRH5" s="11"/>
      <c r="JRI5" s="13"/>
      <c r="JRJ5" s="12"/>
      <c r="JRK5" s="12"/>
      <c r="JRL5" s="11"/>
      <c r="JRM5" s="13"/>
      <c r="JRN5" s="4"/>
      <c r="JRO5" s="4"/>
      <c r="JRP5" s="4"/>
      <c r="JRQ5" s="4"/>
      <c r="JRR5" s="4"/>
      <c r="JRS5" s="4"/>
      <c r="JRT5" s="4"/>
      <c r="JRU5" s="4"/>
      <c r="JRW5" s="4"/>
      <c r="JRY5" s="10"/>
      <c r="JRZ5" s="11"/>
      <c r="JSA5" s="12"/>
      <c r="JSB5" s="13"/>
      <c r="JSC5" s="12"/>
      <c r="JSD5" s="11"/>
      <c r="JSE5" s="13"/>
      <c r="JSF5" s="12"/>
      <c r="JSG5" s="12"/>
      <c r="JSH5" s="11"/>
      <c r="JSI5" s="13"/>
      <c r="JSJ5" s="4"/>
      <c r="JSK5" s="4"/>
      <c r="JSL5" s="4"/>
      <c r="JSM5" s="4"/>
      <c r="JSN5" s="4"/>
      <c r="JSO5" s="4"/>
      <c r="JSP5" s="4"/>
      <c r="JSQ5" s="4"/>
      <c r="JSS5" s="4"/>
      <c r="JSU5" s="10"/>
      <c r="JSV5" s="11"/>
      <c r="JSW5" s="12"/>
      <c r="JSX5" s="13"/>
      <c r="JSY5" s="12"/>
      <c r="JSZ5" s="11"/>
      <c r="JTA5" s="13"/>
      <c r="JTB5" s="12"/>
      <c r="JTC5" s="12"/>
      <c r="JTD5" s="11"/>
      <c r="JTE5" s="13"/>
      <c r="JTF5" s="4"/>
      <c r="JTG5" s="4"/>
      <c r="JTH5" s="4"/>
      <c r="JTI5" s="4"/>
      <c r="JTJ5" s="4"/>
      <c r="JTK5" s="4"/>
      <c r="JTL5" s="4"/>
      <c r="JTM5" s="4"/>
      <c r="JTO5" s="4"/>
      <c r="JTQ5" s="10"/>
      <c r="JTR5" s="11"/>
      <c r="JTS5" s="12"/>
      <c r="JTT5" s="13"/>
      <c r="JTU5" s="12"/>
      <c r="JTV5" s="11"/>
      <c r="JTW5" s="13"/>
      <c r="JTX5" s="12"/>
      <c r="JTY5" s="12"/>
      <c r="JTZ5" s="11"/>
      <c r="JUA5" s="13"/>
      <c r="JUB5" s="4"/>
      <c r="JUC5" s="4"/>
      <c r="JUD5" s="4"/>
      <c r="JUE5" s="4"/>
      <c r="JUF5" s="4"/>
      <c r="JUG5" s="4"/>
      <c r="JUH5" s="4"/>
      <c r="JUI5" s="4"/>
      <c r="JUK5" s="4"/>
      <c r="JUM5" s="10"/>
      <c r="JUN5" s="11"/>
      <c r="JUO5" s="12"/>
      <c r="JUP5" s="13"/>
      <c r="JUQ5" s="12"/>
      <c r="JUR5" s="11"/>
      <c r="JUS5" s="13"/>
      <c r="JUT5" s="12"/>
      <c r="JUU5" s="12"/>
      <c r="JUV5" s="11"/>
      <c r="JUW5" s="13"/>
      <c r="JUX5" s="4"/>
      <c r="JUY5" s="4"/>
      <c r="JUZ5" s="4"/>
      <c r="JVA5" s="4"/>
      <c r="JVB5" s="4"/>
      <c r="JVC5" s="4"/>
      <c r="JVD5" s="4"/>
      <c r="JVE5" s="4"/>
      <c r="JVG5" s="4"/>
      <c r="JVI5" s="10"/>
      <c r="JVJ5" s="11"/>
      <c r="JVK5" s="12"/>
      <c r="JVL5" s="13"/>
      <c r="JVM5" s="12"/>
      <c r="JVN5" s="11"/>
      <c r="JVO5" s="13"/>
      <c r="JVP5" s="12"/>
      <c r="JVQ5" s="12"/>
      <c r="JVR5" s="11"/>
      <c r="JVS5" s="13"/>
      <c r="JVT5" s="4"/>
      <c r="JVU5" s="4"/>
      <c r="JVV5" s="4"/>
      <c r="JVW5" s="4"/>
      <c r="JVX5" s="4"/>
      <c r="JVY5" s="4"/>
      <c r="JVZ5" s="4"/>
      <c r="JWA5" s="4"/>
      <c r="JWC5" s="4"/>
      <c r="JWE5" s="10"/>
      <c r="JWF5" s="11"/>
      <c r="JWG5" s="12"/>
      <c r="JWH5" s="13"/>
      <c r="JWI5" s="12"/>
      <c r="JWJ5" s="11"/>
      <c r="JWK5" s="13"/>
      <c r="JWL5" s="12"/>
      <c r="JWM5" s="12"/>
      <c r="JWN5" s="11"/>
      <c r="JWO5" s="13"/>
      <c r="JWP5" s="4"/>
      <c r="JWQ5" s="4"/>
      <c r="JWR5" s="4"/>
      <c r="JWS5" s="4"/>
      <c r="JWT5" s="4"/>
      <c r="JWU5" s="4"/>
      <c r="JWV5" s="4"/>
      <c r="JWW5" s="4"/>
      <c r="JWY5" s="4"/>
      <c r="JXA5" s="10"/>
      <c r="JXB5" s="11"/>
      <c r="JXC5" s="12"/>
      <c r="JXD5" s="13"/>
      <c r="JXE5" s="12"/>
      <c r="JXF5" s="11"/>
      <c r="JXG5" s="13"/>
      <c r="JXH5" s="12"/>
      <c r="JXI5" s="12"/>
      <c r="JXJ5" s="11"/>
      <c r="JXK5" s="13"/>
      <c r="JXL5" s="4"/>
      <c r="JXM5" s="4"/>
      <c r="JXN5" s="4"/>
      <c r="JXO5" s="4"/>
      <c r="JXP5" s="4"/>
      <c r="JXQ5" s="4"/>
      <c r="JXR5" s="4"/>
      <c r="JXS5" s="4"/>
      <c r="JXU5" s="4"/>
      <c r="JXW5" s="10"/>
      <c r="JXX5" s="11"/>
      <c r="JXY5" s="12"/>
      <c r="JXZ5" s="13"/>
      <c r="JYA5" s="12"/>
      <c r="JYB5" s="11"/>
      <c r="JYC5" s="13"/>
      <c r="JYD5" s="12"/>
      <c r="JYE5" s="12"/>
      <c r="JYF5" s="11"/>
      <c r="JYG5" s="13"/>
      <c r="JYH5" s="4"/>
      <c r="JYI5" s="4"/>
      <c r="JYJ5" s="4"/>
      <c r="JYK5" s="4"/>
      <c r="JYL5" s="4"/>
      <c r="JYM5" s="4"/>
      <c r="JYN5" s="4"/>
      <c r="JYO5" s="4"/>
      <c r="JYQ5" s="4"/>
      <c r="JYS5" s="10"/>
      <c r="JYT5" s="11"/>
      <c r="JYU5" s="12"/>
      <c r="JYV5" s="13"/>
      <c r="JYW5" s="12"/>
      <c r="JYX5" s="11"/>
      <c r="JYY5" s="13"/>
      <c r="JYZ5" s="12"/>
      <c r="JZA5" s="12"/>
      <c r="JZB5" s="11"/>
      <c r="JZC5" s="13"/>
      <c r="JZD5" s="4"/>
      <c r="JZE5" s="4"/>
      <c r="JZF5" s="4"/>
      <c r="JZG5" s="4"/>
      <c r="JZH5" s="4"/>
      <c r="JZI5" s="4"/>
      <c r="JZJ5" s="4"/>
      <c r="JZK5" s="4"/>
      <c r="JZM5" s="4"/>
      <c r="JZO5" s="10"/>
      <c r="JZP5" s="11"/>
      <c r="JZQ5" s="12"/>
      <c r="JZR5" s="13"/>
      <c r="JZS5" s="12"/>
      <c r="JZT5" s="11"/>
      <c r="JZU5" s="13"/>
      <c r="JZV5" s="12"/>
      <c r="JZW5" s="12"/>
      <c r="JZX5" s="11"/>
      <c r="JZY5" s="13"/>
      <c r="JZZ5" s="4"/>
      <c r="KAA5" s="4"/>
      <c r="KAB5" s="4"/>
      <c r="KAC5" s="4"/>
      <c r="KAD5" s="4"/>
      <c r="KAE5" s="4"/>
      <c r="KAF5" s="4"/>
      <c r="KAG5" s="4"/>
      <c r="KAI5" s="4"/>
      <c r="KAK5" s="10"/>
      <c r="KAL5" s="11"/>
      <c r="KAM5" s="12"/>
      <c r="KAN5" s="13"/>
      <c r="KAO5" s="12"/>
      <c r="KAP5" s="11"/>
      <c r="KAQ5" s="13"/>
      <c r="KAR5" s="12"/>
      <c r="KAS5" s="12"/>
      <c r="KAT5" s="11"/>
      <c r="KAU5" s="13"/>
      <c r="KAV5" s="4"/>
      <c r="KAW5" s="4"/>
      <c r="KAX5" s="4"/>
      <c r="KAY5" s="4"/>
      <c r="KAZ5" s="4"/>
      <c r="KBA5" s="4"/>
      <c r="KBB5" s="4"/>
      <c r="KBC5" s="4"/>
      <c r="KBE5" s="4"/>
      <c r="KBG5" s="10"/>
      <c r="KBH5" s="11"/>
      <c r="KBI5" s="12"/>
      <c r="KBJ5" s="13"/>
      <c r="KBK5" s="12"/>
      <c r="KBL5" s="11"/>
      <c r="KBM5" s="13"/>
      <c r="KBN5" s="12"/>
      <c r="KBO5" s="12"/>
      <c r="KBP5" s="11"/>
      <c r="KBQ5" s="13"/>
      <c r="KBR5" s="4"/>
      <c r="KBS5" s="4"/>
      <c r="KBT5" s="4"/>
      <c r="KBU5" s="4"/>
      <c r="KBV5" s="4"/>
      <c r="KBW5" s="4"/>
      <c r="KBX5" s="4"/>
      <c r="KBY5" s="4"/>
      <c r="KCA5" s="4"/>
      <c r="KCC5" s="10"/>
      <c r="KCD5" s="11"/>
      <c r="KCE5" s="12"/>
      <c r="KCF5" s="13"/>
      <c r="KCG5" s="12"/>
      <c r="KCH5" s="11"/>
      <c r="KCI5" s="13"/>
      <c r="KCJ5" s="12"/>
      <c r="KCK5" s="12"/>
      <c r="KCL5" s="11"/>
      <c r="KCM5" s="13"/>
      <c r="KCN5" s="4"/>
      <c r="KCO5" s="4"/>
      <c r="KCP5" s="4"/>
      <c r="KCQ5" s="4"/>
      <c r="KCR5" s="4"/>
      <c r="KCS5" s="4"/>
      <c r="KCT5" s="4"/>
      <c r="KCU5" s="4"/>
      <c r="KCW5" s="4"/>
      <c r="KCY5" s="10"/>
      <c r="KCZ5" s="11"/>
      <c r="KDA5" s="12"/>
      <c r="KDB5" s="13"/>
      <c r="KDC5" s="12"/>
      <c r="KDD5" s="11"/>
      <c r="KDE5" s="13"/>
      <c r="KDF5" s="12"/>
      <c r="KDG5" s="12"/>
      <c r="KDH5" s="11"/>
      <c r="KDI5" s="13"/>
      <c r="KDJ5" s="4"/>
      <c r="KDK5" s="4"/>
      <c r="KDL5" s="4"/>
      <c r="KDM5" s="4"/>
      <c r="KDN5" s="4"/>
      <c r="KDO5" s="4"/>
      <c r="KDP5" s="4"/>
      <c r="KDQ5" s="4"/>
      <c r="KDS5" s="4"/>
      <c r="KDU5" s="10"/>
      <c r="KDV5" s="11"/>
      <c r="KDW5" s="12"/>
      <c r="KDX5" s="13"/>
      <c r="KDY5" s="12"/>
      <c r="KDZ5" s="11"/>
      <c r="KEA5" s="13"/>
      <c r="KEB5" s="12"/>
      <c r="KEC5" s="12"/>
      <c r="KED5" s="11"/>
      <c r="KEE5" s="13"/>
      <c r="KEF5" s="4"/>
      <c r="KEG5" s="4"/>
      <c r="KEH5" s="4"/>
      <c r="KEI5" s="4"/>
      <c r="KEJ5" s="4"/>
      <c r="KEK5" s="4"/>
      <c r="KEL5" s="4"/>
      <c r="KEM5" s="4"/>
      <c r="KEO5" s="4"/>
      <c r="KEQ5" s="10"/>
      <c r="KER5" s="11"/>
      <c r="KES5" s="12"/>
      <c r="KET5" s="13"/>
      <c r="KEU5" s="12"/>
      <c r="KEV5" s="11"/>
      <c r="KEW5" s="13"/>
      <c r="KEX5" s="12"/>
      <c r="KEY5" s="12"/>
      <c r="KEZ5" s="11"/>
      <c r="KFA5" s="13"/>
      <c r="KFB5" s="4"/>
      <c r="KFC5" s="4"/>
      <c r="KFD5" s="4"/>
      <c r="KFE5" s="4"/>
      <c r="KFF5" s="4"/>
      <c r="KFG5" s="4"/>
      <c r="KFH5" s="4"/>
      <c r="KFI5" s="4"/>
      <c r="KFK5" s="4"/>
      <c r="KFM5" s="10"/>
      <c r="KFN5" s="11"/>
      <c r="KFO5" s="12"/>
      <c r="KFP5" s="13"/>
      <c r="KFQ5" s="12"/>
      <c r="KFR5" s="11"/>
      <c r="KFS5" s="13"/>
      <c r="KFT5" s="12"/>
      <c r="KFU5" s="12"/>
      <c r="KFV5" s="11"/>
      <c r="KFW5" s="13"/>
      <c r="KFX5" s="4"/>
      <c r="KFY5" s="4"/>
      <c r="KFZ5" s="4"/>
      <c r="KGA5" s="4"/>
      <c r="KGB5" s="4"/>
      <c r="KGC5" s="4"/>
      <c r="KGD5" s="4"/>
      <c r="KGE5" s="4"/>
      <c r="KGG5" s="4"/>
      <c r="KGI5" s="10"/>
      <c r="KGJ5" s="11"/>
      <c r="KGK5" s="12"/>
      <c r="KGL5" s="13"/>
      <c r="KGM5" s="12"/>
      <c r="KGN5" s="11"/>
      <c r="KGO5" s="13"/>
      <c r="KGP5" s="12"/>
      <c r="KGQ5" s="12"/>
      <c r="KGR5" s="11"/>
      <c r="KGS5" s="13"/>
      <c r="KGT5" s="4"/>
      <c r="KGU5" s="4"/>
      <c r="KGV5" s="4"/>
      <c r="KGW5" s="4"/>
      <c r="KGX5" s="4"/>
      <c r="KGY5" s="4"/>
      <c r="KGZ5" s="4"/>
      <c r="KHA5" s="4"/>
      <c r="KHC5" s="4"/>
      <c r="KHE5" s="10"/>
      <c r="KHF5" s="11"/>
      <c r="KHG5" s="12"/>
      <c r="KHH5" s="13"/>
      <c r="KHI5" s="12"/>
      <c r="KHJ5" s="11"/>
      <c r="KHK5" s="13"/>
      <c r="KHL5" s="12"/>
      <c r="KHM5" s="12"/>
      <c r="KHN5" s="11"/>
      <c r="KHO5" s="13"/>
      <c r="KHP5" s="4"/>
      <c r="KHQ5" s="4"/>
      <c r="KHR5" s="4"/>
      <c r="KHS5" s="4"/>
      <c r="KHT5" s="4"/>
      <c r="KHU5" s="4"/>
      <c r="KHV5" s="4"/>
      <c r="KHW5" s="4"/>
      <c r="KHY5" s="4"/>
      <c r="KIA5" s="10"/>
      <c r="KIB5" s="11"/>
      <c r="KIC5" s="12"/>
      <c r="KID5" s="13"/>
      <c r="KIE5" s="12"/>
      <c r="KIF5" s="11"/>
      <c r="KIG5" s="13"/>
      <c r="KIH5" s="12"/>
      <c r="KII5" s="12"/>
      <c r="KIJ5" s="11"/>
      <c r="KIK5" s="13"/>
      <c r="KIL5" s="4"/>
      <c r="KIM5" s="4"/>
      <c r="KIN5" s="4"/>
      <c r="KIO5" s="4"/>
      <c r="KIP5" s="4"/>
      <c r="KIQ5" s="4"/>
      <c r="KIR5" s="4"/>
      <c r="KIS5" s="4"/>
      <c r="KIU5" s="4"/>
      <c r="KIW5" s="10"/>
      <c r="KIX5" s="11"/>
      <c r="KIY5" s="12"/>
      <c r="KIZ5" s="13"/>
      <c r="KJA5" s="12"/>
      <c r="KJB5" s="11"/>
      <c r="KJC5" s="13"/>
      <c r="KJD5" s="12"/>
      <c r="KJE5" s="12"/>
      <c r="KJF5" s="11"/>
      <c r="KJG5" s="13"/>
      <c r="KJH5" s="4"/>
      <c r="KJI5" s="4"/>
      <c r="KJJ5" s="4"/>
      <c r="KJK5" s="4"/>
      <c r="KJL5" s="4"/>
      <c r="KJM5" s="4"/>
      <c r="KJN5" s="4"/>
      <c r="KJO5" s="4"/>
      <c r="KJQ5" s="4"/>
      <c r="KJS5" s="10"/>
      <c r="KJT5" s="11"/>
      <c r="KJU5" s="12"/>
      <c r="KJV5" s="13"/>
      <c r="KJW5" s="12"/>
      <c r="KJX5" s="11"/>
      <c r="KJY5" s="13"/>
      <c r="KJZ5" s="12"/>
      <c r="KKA5" s="12"/>
      <c r="KKB5" s="11"/>
      <c r="KKC5" s="13"/>
      <c r="KKD5" s="4"/>
      <c r="KKE5" s="4"/>
      <c r="KKF5" s="4"/>
      <c r="KKG5" s="4"/>
      <c r="KKH5" s="4"/>
      <c r="KKI5" s="4"/>
      <c r="KKJ5" s="4"/>
      <c r="KKK5" s="4"/>
      <c r="KKM5" s="4"/>
      <c r="KKO5" s="10"/>
      <c r="KKP5" s="11"/>
      <c r="KKQ5" s="12"/>
      <c r="KKR5" s="13"/>
      <c r="KKS5" s="12"/>
      <c r="KKT5" s="11"/>
      <c r="KKU5" s="13"/>
      <c r="KKV5" s="12"/>
      <c r="KKW5" s="12"/>
      <c r="KKX5" s="11"/>
      <c r="KKY5" s="13"/>
      <c r="KKZ5" s="4"/>
      <c r="KLA5" s="4"/>
      <c r="KLB5" s="4"/>
      <c r="KLC5" s="4"/>
      <c r="KLD5" s="4"/>
      <c r="KLE5" s="4"/>
      <c r="KLF5" s="4"/>
      <c r="KLG5" s="4"/>
      <c r="KLI5" s="4"/>
      <c r="KLK5" s="10"/>
      <c r="KLL5" s="11"/>
      <c r="KLM5" s="12"/>
      <c r="KLN5" s="13"/>
      <c r="KLO5" s="12"/>
      <c r="KLP5" s="11"/>
      <c r="KLQ5" s="13"/>
      <c r="KLR5" s="12"/>
      <c r="KLS5" s="12"/>
      <c r="KLT5" s="11"/>
      <c r="KLU5" s="13"/>
      <c r="KLV5" s="4"/>
      <c r="KLW5" s="4"/>
      <c r="KLX5" s="4"/>
      <c r="KLY5" s="4"/>
      <c r="KLZ5" s="4"/>
      <c r="KMA5" s="4"/>
      <c r="KMB5" s="4"/>
      <c r="KMC5" s="4"/>
      <c r="KME5" s="4"/>
      <c r="KMG5" s="10"/>
      <c r="KMH5" s="11"/>
      <c r="KMI5" s="12"/>
      <c r="KMJ5" s="13"/>
      <c r="KMK5" s="12"/>
      <c r="KML5" s="11"/>
      <c r="KMM5" s="13"/>
      <c r="KMN5" s="12"/>
      <c r="KMO5" s="12"/>
      <c r="KMP5" s="11"/>
      <c r="KMQ5" s="13"/>
      <c r="KMR5" s="4"/>
      <c r="KMS5" s="4"/>
      <c r="KMT5" s="4"/>
      <c r="KMU5" s="4"/>
      <c r="KMV5" s="4"/>
      <c r="KMW5" s="4"/>
      <c r="KMX5" s="4"/>
      <c r="KMY5" s="4"/>
      <c r="KNA5" s="4"/>
      <c r="KNC5" s="10"/>
      <c r="KND5" s="11"/>
      <c r="KNE5" s="12"/>
      <c r="KNF5" s="13"/>
      <c r="KNG5" s="12"/>
      <c r="KNH5" s="11"/>
      <c r="KNI5" s="13"/>
      <c r="KNJ5" s="12"/>
      <c r="KNK5" s="12"/>
      <c r="KNL5" s="11"/>
      <c r="KNM5" s="13"/>
      <c r="KNN5" s="4"/>
      <c r="KNO5" s="4"/>
      <c r="KNP5" s="4"/>
      <c r="KNQ5" s="4"/>
      <c r="KNR5" s="4"/>
      <c r="KNS5" s="4"/>
      <c r="KNT5" s="4"/>
      <c r="KNU5" s="4"/>
      <c r="KNW5" s="4"/>
      <c r="KNY5" s="10"/>
      <c r="KNZ5" s="11"/>
      <c r="KOA5" s="12"/>
      <c r="KOB5" s="13"/>
      <c r="KOC5" s="12"/>
      <c r="KOD5" s="11"/>
      <c r="KOE5" s="13"/>
      <c r="KOF5" s="12"/>
      <c r="KOG5" s="12"/>
      <c r="KOH5" s="11"/>
      <c r="KOI5" s="13"/>
      <c r="KOJ5" s="4"/>
      <c r="KOK5" s="4"/>
      <c r="KOL5" s="4"/>
      <c r="KOM5" s="4"/>
      <c r="KON5" s="4"/>
      <c r="KOO5" s="4"/>
      <c r="KOP5" s="4"/>
      <c r="KOQ5" s="4"/>
      <c r="KOS5" s="4"/>
      <c r="KOU5" s="10"/>
      <c r="KOV5" s="11"/>
      <c r="KOW5" s="12"/>
      <c r="KOX5" s="13"/>
      <c r="KOY5" s="12"/>
      <c r="KOZ5" s="11"/>
      <c r="KPA5" s="13"/>
      <c r="KPB5" s="12"/>
      <c r="KPC5" s="12"/>
      <c r="KPD5" s="11"/>
      <c r="KPE5" s="13"/>
      <c r="KPF5" s="4"/>
      <c r="KPG5" s="4"/>
      <c r="KPH5" s="4"/>
      <c r="KPI5" s="4"/>
      <c r="KPJ5" s="4"/>
      <c r="KPK5" s="4"/>
      <c r="KPL5" s="4"/>
      <c r="KPM5" s="4"/>
      <c r="KPO5" s="4"/>
      <c r="KPQ5" s="10"/>
      <c r="KPR5" s="11"/>
      <c r="KPS5" s="12"/>
      <c r="KPT5" s="13"/>
      <c r="KPU5" s="12"/>
      <c r="KPV5" s="11"/>
      <c r="KPW5" s="13"/>
      <c r="KPX5" s="12"/>
      <c r="KPY5" s="12"/>
      <c r="KPZ5" s="11"/>
      <c r="KQA5" s="13"/>
      <c r="KQB5" s="4"/>
      <c r="KQC5" s="4"/>
      <c r="KQD5" s="4"/>
      <c r="KQE5" s="4"/>
      <c r="KQF5" s="4"/>
      <c r="KQG5" s="4"/>
      <c r="KQH5" s="4"/>
      <c r="KQI5" s="4"/>
      <c r="KQK5" s="4"/>
      <c r="KQM5" s="10"/>
      <c r="KQN5" s="11"/>
      <c r="KQO5" s="12"/>
      <c r="KQP5" s="13"/>
      <c r="KQQ5" s="12"/>
      <c r="KQR5" s="11"/>
      <c r="KQS5" s="13"/>
      <c r="KQT5" s="12"/>
      <c r="KQU5" s="12"/>
      <c r="KQV5" s="11"/>
      <c r="KQW5" s="13"/>
      <c r="KQX5" s="4"/>
      <c r="KQY5" s="4"/>
      <c r="KQZ5" s="4"/>
      <c r="KRA5" s="4"/>
      <c r="KRB5" s="4"/>
      <c r="KRC5" s="4"/>
      <c r="KRD5" s="4"/>
      <c r="KRE5" s="4"/>
      <c r="KRG5" s="4"/>
      <c r="KRI5" s="10"/>
      <c r="KRJ5" s="11"/>
      <c r="KRK5" s="12"/>
      <c r="KRL5" s="13"/>
      <c r="KRM5" s="12"/>
      <c r="KRN5" s="11"/>
      <c r="KRO5" s="13"/>
      <c r="KRP5" s="12"/>
      <c r="KRQ5" s="12"/>
      <c r="KRR5" s="11"/>
      <c r="KRS5" s="13"/>
      <c r="KRT5" s="4"/>
      <c r="KRU5" s="4"/>
      <c r="KRV5" s="4"/>
      <c r="KRW5" s="4"/>
      <c r="KRX5" s="4"/>
      <c r="KRY5" s="4"/>
      <c r="KRZ5" s="4"/>
      <c r="KSA5" s="4"/>
      <c r="KSC5" s="4"/>
      <c r="KSE5" s="10"/>
      <c r="KSF5" s="11"/>
      <c r="KSG5" s="12"/>
      <c r="KSH5" s="13"/>
      <c r="KSI5" s="12"/>
      <c r="KSJ5" s="11"/>
      <c r="KSK5" s="13"/>
      <c r="KSL5" s="12"/>
      <c r="KSM5" s="12"/>
      <c r="KSN5" s="11"/>
      <c r="KSO5" s="13"/>
      <c r="KSP5" s="4"/>
      <c r="KSQ5" s="4"/>
      <c r="KSR5" s="4"/>
      <c r="KSS5" s="4"/>
      <c r="KST5" s="4"/>
      <c r="KSU5" s="4"/>
      <c r="KSV5" s="4"/>
      <c r="KSW5" s="4"/>
      <c r="KSY5" s="4"/>
      <c r="KTA5" s="10"/>
      <c r="KTB5" s="11"/>
      <c r="KTC5" s="12"/>
      <c r="KTD5" s="13"/>
      <c r="KTE5" s="12"/>
      <c r="KTF5" s="11"/>
      <c r="KTG5" s="13"/>
      <c r="KTH5" s="12"/>
      <c r="KTI5" s="12"/>
      <c r="KTJ5" s="11"/>
      <c r="KTK5" s="13"/>
      <c r="KTL5" s="4"/>
      <c r="KTM5" s="4"/>
      <c r="KTN5" s="4"/>
      <c r="KTO5" s="4"/>
      <c r="KTP5" s="4"/>
      <c r="KTQ5" s="4"/>
      <c r="KTR5" s="4"/>
      <c r="KTS5" s="4"/>
      <c r="KTU5" s="4"/>
      <c r="KTW5" s="10"/>
      <c r="KTX5" s="11"/>
      <c r="KTY5" s="12"/>
      <c r="KTZ5" s="13"/>
      <c r="KUA5" s="12"/>
      <c r="KUB5" s="11"/>
      <c r="KUC5" s="13"/>
      <c r="KUD5" s="12"/>
      <c r="KUE5" s="12"/>
      <c r="KUF5" s="11"/>
      <c r="KUG5" s="13"/>
      <c r="KUH5" s="4"/>
      <c r="KUI5" s="4"/>
      <c r="KUJ5" s="4"/>
      <c r="KUK5" s="4"/>
      <c r="KUL5" s="4"/>
      <c r="KUM5" s="4"/>
      <c r="KUN5" s="4"/>
      <c r="KUO5" s="4"/>
      <c r="KUQ5" s="4"/>
      <c r="KUS5" s="10"/>
      <c r="KUT5" s="11"/>
      <c r="KUU5" s="12"/>
      <c r="KUV5" s="13"/>
      <c r="KUW5" s="12"/>
      <c r="KUX5" s="11"/>
      <c r="KUY5" s="13"/>
      <c r="KUZ5" s="12"/>
      <c r="KVA5" s="12"/>
      <c r="KVB5" s="11"/>
      <c r="KVC5" s="13"/>
      <c r="KVD5" s="4"/>
      <c r="KVE5" s="4"/>
      <c r="KVF5" s="4"/>
      <c r="KVG5" s="4"/>
      <c r="KVH5" s="4"/>
      <c r="KVI5" s="4"/>
      <c r="KVJ5" s="4"/>
      <c r="KVK5" s="4"/>
      <c r="KVM5" s="4"/>
      <c r="KVO5" s="10"/>
      <c r="KVP5" s="11"/>
      <c r="KVQ5" s="12"/>
      <c r="KVR5" s="13"/>
      <c r="KVS5" s="12"/>
      <c r="KVT5" s="11"/>
      <c r="KVU5" s="13"/>
      <c r="KVV5" s="12"/>
      <c r="KVW5" s="12"/>
      <c r="KVX5" s="11"/>
      <c r="KVY5" s="13"/>
      <c r="KVZ5" s="4"/>
      <c r="KWA5" s="4"/>
      <c r="KWB5" s="4"/>
      <c r="KWC5" s="4"/>
      <c r="KWD5" s="4"/>
      <c r="KWE5" s="4"/>
      <c r="KWF5" s="4"/>
      <c r="KWG5" s="4"/>
      <c r="KWI5" s="4"/>
      <c r="KWK5" s="10"/>
      <c r="KWL5" s="11"/>
      <c r="KWM5" s="12"/>
      <c r="KWN5" s="13"/>
      <c r="KWO5" s="12"/>
      <c r="KWP5" s="11"/>
      <c r="KWQ5" s="13"/>
      <c r="KWR5" s="12"/>
      <c r="KWS5" s="12"/>
      <c r="KWT5" s="11"/>
      <c r="KWU5" s="13"/>
      <c r="KWV5" s="4"/>
      <c r="KWW5" s="4"/>
      <c r="KWX5" s="4"/>
      <c r="KWY5" s="4"/>
      <c r="KWZ5" s="4"/>
      <c r="KXA5" s="4"/>
      <c r="KXB5" s="4"/>
      <c r="KXC5" s="4"/>
      <c r="KXE5" s="4"/>
      <c r="KXG5" s="10"/>
      <c r="KXH5" s="11"/>
      <c r="KXI5" s="12"/>
      <c r="KXJ5" s="13"/>
      <c r="KXK5" s="12"/>
      <c r="KXL5" s="11"/>
      <c r="KXM5" s="13"/>
      <c r="KXN5" s="12"/>
      <c r="KXO5" s="12"/>
      <c r="KXP5" s="11"/>
      <c r="KXQ5" s="13"/>
      <c r="KXR5" s="4"/>
      <c r="KXS5" s="4"/>
      <c r="KXT5" s="4"/>
      <c r="KXU5" s="4"/>
      <c r="KXV5" s="4"/>
      <c r="KXW5" s="4"/>
      <c r="KXX5" s="4"/>
      <c r="KXY5" s="4"/>
      <c r="KYA5" s="4"/>
      <c r="KYC5" s="10"/>
      <c r="KYD5" s="11"/>
      <c r="KYE5" s="12"/>
      <c r="KYF5" s="13"/>
      <c r="KYG5" s="12"/>
      <c r="KYH5" s="11"/>
      <c r="KYI5" s="13"/>
      <c r="KYJ5" s="12"/>
      <c r="KYK5" s="12"/>
      <c r="KYL5" s="11"/>
      <c r="KYM5" s="13"/>
      <c r="KYN5" s="4"/>
      <c r="KYO5" s="4"/>
      <c r="KYP5" s="4"/>
      <c r="KYQ5" s="4"/>
      <c r="KYR5" s="4"/>
      <c r="KYS5" s="4"/>
      <c r="KYT5" s="4"/>
      <c r="KYU5" s="4"/>
      <c r="KYW5" s="4"/>
      <c r="KYY5" s="10"/>
      <c r="KYZ5" s="11"/>
      <c r="KZA5" s="12"/>
      <c r="KZB5" s="13"/>
      <c r="KZC5" s="12"/>
      <c r="KZD5" s="11"/>
      <c r="KZE5" s="13"/>
      <c r="KZF5" s="12"/>
      <c r="KZG5" s="12"/>
      <c r="KZH5" s="11"/>
      <c r="KZI5" s="13"/>
      <c r="KZJ5" s="4"/>
      <c r="KZK5" s="4"/>
      <c r="KZL5" s="4"/>
      <c r="KZM5" s="4"/>
      <c r="KZN5" s="4"/>
      <c r="KZO5" s="4"/>
      <c r="KZP5" s="4"/>
      <c r="KZQ5" s="4"/>
      <c r="KZS5" s="4"/>
      <c r="KZU5" s="10"/>
      <c r="KZV5" s="11"/>
      <c r="KZW5" s="12"/>
      <c r="KZX5" s="13"/>
      <c r="KZY5" s="12"/>
      <c r="KZZ5" s="11"/>
      <c r="LAA5" s="13"/>
      <c r="LAB5" s="12"/>
      <c r="LAC5" s="12"/>
      <c r="LAD5" s="11"/>
      <c r="LAE5" s="13"/>
      <c r="LAF5" s="4"/>
      <c r="LAG5" s="4"/>
      <c r="LAH5" s="4"/>
      <c r="LAI5" s="4"/>
      <c r="LAJ5" s="4"/>
      <c r="LAK5" s="4"/>
      <c r="LAL5" s="4"/>
      <c r="LAM5" s="4"/>
      <c r="LAO5" s="4"/>
      <c r="LAQ5" s="10"/>
      <c r="LAR5" s="11"/>
      <c r="LAS5" s="12"/>
      <c r="LAT5" s="13"/>
      <c r="LAU5" s="12"/>
      <c r="LAV5" s="11"/>
      <c r="LAW5" s="13"/>
      <c r="LAX5" s="12"/>
      <c r="LAY5" s="12"/>
      <c r="LAZ5" s="11"/>
      <c r="LBA5" s="13"/>
      <c r="LBB5" s="4"/>
      <c r="LBC5" s="4"/>
      <c r="LBD5" s="4"/>
      <c r="LBE5" s="4"/>
      <c r="LBF5" s="4"/>
      <c r="LBG5" s="4"/>
      <c r="LBH5" s="4"/>
      <c r="LBI5" s="4"/>
      <c r="LBK5" s="4"/>
      <c r="LBM5" s="10"/>
      <c r="LBN5" s="11"/>
      <c r="LBO5" s="12"/>
      <c r="LBP5" s="13"/>
      <c r="LBQ5" s="12"/>
      <c r="LBR5" s="11"/>
      <c r="LBS5" s="13"/>
      <c r="LBT5" s="12"/>
      <c r="LBU5" s="12"/>
      <c r="LBV5" s="11"/>
      <c r="LBW5" s="13"/>
      <c r="LBX5" s="4"/>
      <c r="LBY5" s="4"/>
      <c r="LBZ5" s="4"/>
      <c r="LCA5" s="4"/>
      <c r="LCB5" s="4"/>
      <c r="LCC5" s="4"/>
      <c r="LCD5" s="4"/>
      <c r="LCE5" s="4"/>
      <c r="LCG5" s="4"/>
      <c r="LCI5" s="10"/>
      <c r="LCJ5" s="11"/>
      <c r="LCK5" s="12"/>
      <c r="LCL5" s="13"/>
      <c r="LCM5" s="12"/>
      <c r="LCN5" s="11"/>
      <c r="LCO5" s="13"/>
      <c r="LCP5" s="12"/>
      <c r="LCQ5" s="12"/>
      <c r="LCR5" s="11"/>
      <c r="LCS5" s="13"/>
      <c r="LCT5" s="4"/>
      <c r="LCU5" s="4"/>
      <c r="LCV5" s="4"/>
      <c r="LCW5" s="4"/>
      <c r="LCX5" s="4"/>
      <c r="LCY5" s="4"/>
      <c r="LCZ5" s="4"/>
      <c r="LDA5" s="4"/>
      <c r="LDC5" s="4"/>
      <c r="LDE5" s="10"/>
      <c r="LDF5" s="11"/>
      <c r="LDG5" s="12"/>
      <c r="LDH5" s="13"/>
      <c r="LDI5" s="12"/>
      <c r="LDJ5" s="11"/>
      <c r="LDK5" s="13"/>
      <c r="LDL5" s="12"/>
      <c r="LDM5" s="12"/>
      <c r="LDN5" s="11"/>
      <c r="LDO5" s="13"/>
      <c r="LDP5" s="4"/>
      <c r="LDQ5" s="4"/>
      <c r="LDR5" s="4"/>
      <c r="LDS5" s="4"/>
      <c r="LDT5" s="4"/>
      <c r="LDU5" s="4"/>
      <c r="LDV5" s="4"/>
      <c r="LDW5" s="4"/>
      <c r="LDY5" s="4"/>
      <c r="LEA5" s="10"/>
      <c r="LEB5" s="11"/>
      <c r="LEC5" s="12"/>
      <c r="LED5" s="13"/>
      <c r="LEE5" s="12"/>
      <c r="LEF5" s="11"/>
      <c r="LEG5" s="13"/>
      <c r="LEH5" s="12"/>
      <c r="LEI5" s="12"/>
      <c r="LEJ5" s="11"/>
      <c r="LEK5" s="13"/>
      <c r="LEL5" s="4"/>
      <c r="LEM5" s="4"/>
      <c r="LEN5" s="4"/>
      <c r="LEO5" s="4"/>
      <c r="LEP5" s="4"/>
      <c r="LEQ5" s="4"/>
      <c r="LER5" s="4"/>
      <c r="LES5" s="4"/>
      <c r="LEU5" s="4"/>
      <c r="LEW5" s="10"/>
      <c r="LEX5" s="11"/>
      <c r="LEY5" s="12"/>
      <c r="LEZ5" s="13"/>
      <c r="LFA5" s="12"/>
      <c r="LFB5" s="11"/>
      <c r="LFC5" s="13"/>
      <c r="LFD5" s="12"/>
      <c r="LFE5" s="12"/>
      <c r="LFF5" s="11"/>
      <c r="LFG5" s="13"/>
      <c r="LFH5" s="4"/>
      <c r="LFI5" s="4"/>
      <c r="LFJ5" s="4"/>
      <c r="LFK5" s="4"/>
      <c r="LFL5" s="4"/>
      <c r="LFM5" s="4"/>
      <c r="LFN5" s="4"/>
      <c r="LFO5" s="4"/>
      <c r="LFQ5" s="4"/>
      <c r="LFS5" s="10"/>
      <c r="LFT5" s="11"/>
      <c r="LFU5" s="12"/>
      <c r="LFV5" s="13"/>
      <c r="LFW5" s="12"/>
      <c r="LFX5" s="11"/>
      <c r="LFY5" s="13"/>
      <c r="LFZ5" s="12"/>
      <c r="LGA5" s="12"/>
      <c r="LGB5" s="11"/>
      <c r="LGC5" s="13"/>
      <c r="LGD5" s="4"/>
      <c r="LGE5" s="4"/>
      <c r="LGF5" s="4"/>
      <c r="LGG5" s="4"/>
      <c r="LGH5" s="4"/>
      <c r="LGI5" s="4"/>
      <c r="LGJ5" s="4"/>
      <c r="LGK5" s="4"/>
      <c r="LGM5" s="4"/>
      <c r="LGO5" s="10"/>
      <c r="LGP5" s="11"/>
      <c r="LGQ5" s="12"/>
      <c r="LGR5" s="13"/>
      <c r="LGS5" s="12"/>
      <c r="LGT5" s="11"/>
      <c r="LGU5" s="13"/>
      <c r="LGV5" s="12"/>
      <c r="LGW5" s="12"/>
      <c r="LGX5" s="11"/>
      <c r="LGY5" s="13"/>
      <c r="LGZ5" s="4"/>
      <c r="LHA5" s="4"/>
      <c r="LHB5" s="4"/>
      <c r="LHC5" s="4"/>
      <c r="LHD5" s="4"/>
      <c r="LHE5" s="4"/>
      <c r="LHF5" s="4"/>
      <c r="LHG5" s="4"/>
      <c r="LHI5" s="4"/>
      <c r="LHK5" s="10"/>
      <c r="LHL5" s="11"/>
      <c r="LHM5" s="12"/>
      <c r="LHN5" s="13"/>
      <c r="LHO5" s="12"/>
      <c r="LHP5" s="11"/>
      <c r="LHQ5" s="13"/>
      <c r="LHR5" s="12"/>
      <c r="LHS5" s="12"/>
      <c r="LHT5" s="11"/>
      <c r="LHU5" s="13"/>
      <c r="LHV5" s="4"/>
      <c r="LHW5" s="4"/>
      <c r="LHX5" s="4"/>
      <c r="LHY5" s="4"/>
      <c r="LHZ5" s="4"/>
      <c r="LIA5" s="4"/>
      <c r="LIB5" s="4"/>
      <c r="LIC5" s="4"/>
      <c r="LIE5" s="4"/>
      <c r="LIG5" s="10"/>
      <c r="LIH5" s="11"/>
      <c r="LII5" s="12"/>
      <c r="LIJ5" s="13"/>
      <c r="LIK5" s="12"/>
      <c r="LIL5" s="11"/>
      <c r="LIM5" s="13"/>
      <c r="LIN5" s="12"/>
      <c r="LIO5" s="12"/>
      <c r="LIP5" s="11"/>
      <c r="LIQ5" s="13"/>
      <c r="LIR5" s="4"/>
      <c r="LIS5" s="4"/>
      <c r="LIT5" s="4"/>
      <c r="LIU5" s="4"/>
      <c r="LIV5" s="4"/>
      <c r="LIW5" s="4"/>
      <c r="LIX5" s="4"/>
      <c r="LIY5" s="4"/>
      <c r="LJA5" s="4"/>
      <c r="LJC5" s="10"/>
      <c r="LJD5" s="11"/>
      <c r="LJE5" s="12"/>
      <c r="LJF5" s="13"/>
      <c r="LJG5" s="12"/>
      <c r="LJH5" s="11"/>
      <c r="LJI5" s="13"/>
      <c r="LJJ5" s="12"/>
      <c r="LJK5" s="12"/>
      <c r="LJL5" s="11"/>
      <c r="LJM5" s="13"/>
      <c r="LJN5" s="4"/>
      <c r="LJO5" s="4"/>
      <c r="LJP5" s="4"/>
      <c r="LJQ5" s="4"/>
      <c r="LJR5" s="4"/>
      <c r="LJS5" s="4"/>
      <c r="LJT5" s="4"/>
      <c r="LJU5" s="4"/>
      <c r="LJW5" s="4"/>
      <c r="LJY5" s="10"/>
      <c r="LJZ5" s="11"/>
      <c r="LKA5" s="12"/>
      <c r="LKB5" s="13"/>
      <c r="LKC5" s="12"/>
      <c r="LKD5" s="11"/>
      <c r="LKE5" s="13"/>
      <c r="LKF5" s="12"/>
      <c r="LKG5" s="12"/>
      <c r="LKH5" s="11"/>
      <c r="LKI5" s="13"/>
      <c r="LKJ5" s="4"/>
      <c r="LKK5" s="4"/>
      <c r="LKL5" s="4"/>
      <c r="LKM5" s="4"/>
      <c r="LKN5" s="4"/>
      <c r="LKO5" s="4"/>
      <c r="LKP5" s="4"/>
      <c r="LKQ5" s="4"/>
      <c r="LKS5" s="4"/>
      <c r="LKU5" s="10"/>
      <c r="LKV5" s="11"/>
      <c r="LKW5" s="12"/>
      <c r="LKX5" s="13"/>
      <c r="LKY5" s="12"/>
      <c r="LKZ5" s="11"/>
      <c r="LLA5" s="13"/>
      <c r="LLB5" s="12"/>
      <c r="LLC5" s="12"/>
      <c r="LLD5" s="11"/>
      <c r="LLE5" s="13"/>
      <c r="LLF5" s="4"/>
      <c r="LLG5" s="4"/>
      <c r="LLH5" s="4"/>
      <c r="LLI5" s="4"/>
      <c r="LLJ5" s="4"/>
      <c r="LLK5" s="4"/>
      <c r="LLL5" s="4"/>
      <c r="LLM5" s="4"/>
      <c r="LLO5" s="4"/>
      <c r="LLQ5" s="10"/>
      <c r="LLR5" s="11"/>
      <c r="LLS5" s="12"/>
      <c r="LLT5" s="13"/>
      <c r="LLU5" s="12"/>
      <c r="LLV5" s="11"/>
      <c r="LLW5" s="13"/>
      <c r="LLX5" s="12"/>
      <c r="LLY5" s="12"/>
      <c r="LLZ5" s="11"/>
      <c r="LMA5" s="13"/>
      <c r="LMB5" s="4"/>
      <c r="LMC5" s="4"/>
      <c r="LMD5" s="4"/>
      <c r="LME5" s="4"/>
      <c r="LMF5" s="4"/>
      <c r="LMG5" s="4"/>
      <c r="LMH5" s="4"/>
      <c r="LMI5" s="4"/>
      <c r="LMK5" s="4"/>
      <c r="LMM5" s="10"/>
      <c r="LMN5" s="11"/>
      <c r="LMO5" s="12"/>
      <c r="LMP5" s="13"/>
      <c r="LMQ5" s="12"/>
      <c r="LMR5" s="11"/>
      <c r="LMS5" s="13"/>
      <c r="LMT5" s="12"/>
      <c r="LMU5" s="12"/>
      <c r="LMV5" s="11"/>
      <c r="LMW5" s="13"/>
      <c r="LMX5" s="4"/>
      <c r="LMY5" s="4"/>
      <c r="LMZ5" s="4"/>
      <c r="LNA5" s="4"/>
      <c r="LNB5" s="4"/>
      <c r="LNC5" s="4"/>
      <c r="LND5" s="4"/>
      <c r="LNE5" s="4"/>
      <c r="LNG5" s="4"/>
      <c r="LNI5" s="10"/>
      <c r="LNJ5" s="11"/>
      <c r="LNK5" s="12"/>
      <c r="LNL5" s="13"/>
      <c r="LNM5" s="12"/>
      <c r="LNN5" s="11"/>
      <c r="LNO5" s="13"/>
      <c r="LNP5" s="12"/>
      <c r="LNQ5" s="12"/>
      <c r="LNR5" s="11"/>
      <c r="LNS5" s="13"/>
      <c r="LNT5" s="4"/>
      <c r="LNU5" s="4"/>
      <c r="LNV5" s="4"/>
      <c r="LNW5" s="4"/>
      <c r="LNX5" s="4"/>
      <c r="LNY5" s="4"/>
      <c r="LNZ5" s="4"/>
      <c r="LOA5" s="4"/>
      <c r="LOC5" s="4"/>
      <c r="LOE5" s="10"/>
      <c r="LOF5" s="11"/>
      <c r="LOG5" s="12"/>
      <c r="LOH5" s="13"/>
      <c r="LOI5" s="12"/>
      <c r="LOJ5" s="11"/>
      <c r="LOK5" s="13"/>
      <c r="LOL5" s="12"/>
      <c r="LOM5" s="12"/>
      <c r="LON5" s="11"/>
      <c r="LOO5" s="13"/>
      <c r="LOP5" s="4"/>
      <c r="LOQ5" s="4"/>
      <c r="LOR5" s="4"/>
      <c r="LOS5" s="4"/>
      <c r="LOT5" s="4"/>
      <c r="LOU5" s="4"/>
      <c r="LOV5" s="4"/>
      <c r="LOW5" s="4"/>
      <c r="LOY5" s="4"/>
      <c r="LPA5" s="10"/>
      <c r="LPB5" s="11"/>
      <c r="LPC5" s="12"/>
      <c r="LPD5" s="13"/>
      <c r="LPE5" s="12"/>
      <c r="LPF5" s="11"/>
      <c r="LPG5" s="13"/>
      <c r="LPH5" s="12"/>
      <c r="LPI5" s="12"/>
      <c r="LPJ5" s="11"/>
      <c r="LPK5" s="13"/>
      <c r="LPL5" s="4"/>
      <c r="LPM5" s="4"/>
      <c r="LPN5" s="4"/>
      <c r="LPO5" s="4"/>
      <c r="LPP5" s="4"/>
      <c r="LPQ5" s="4"/>
      <c r="LPR5" s="4"/>
      <c r="LPS5" s="4"/>
      <c r="LPU5" s="4"/>
      <c r="LPW5" s="10"/>
      <c r="LPX5" s="11"/>
      <c r="LPY5" s="12"/>
      <c r="LPZ5" s="13"/>
      <c r="LQA5" s="12"/>
      <c r="LQB5" s="11"/>
      <c r="LQC5" s="13"/>
      <c r="LQD5" s="12"/>
      <c r="LQE5" s="12"/>
      <c r="LQF5" s="11"/>
      <c r="LQG5" s="13"/>
      <c r="LQH5" s="4"/>
      <c r="LQI5" s="4"/>
      <c r="LQJ5" s="4"/>
      <c r="LQK5" s="4"/>
      <c r="LQL5" s="4"/>
      <c r="LQM5" s="4"/>
      <c r="LQN5" s="4"/>
      <c r="LQO5" s="4"/>
      <c r="LQQ5" s="4"/>
      <c r="LQS5" s="10"/>
      <c r="LQT5" s="11"/>
      <c r="LQU5" s="12"/>
      <c r="LQV5" s="13"/>
      <c r="LQW5" s="12"/>
      <c r="LQX5" s="11"/>
      <c r="LQY5" s="13"/>
      <c r="LQZ5" s="12"/>
      <c r="LRA5" s="12"/>
      <c r="LRB5" s="11"/>
      <c r="LRC5" s="13"/>
      <c r="LRD5" s="4"/>
      <c r="LRE5" s="4"/>
      <c r="LRF5" s="4"/>
      <c r="LRG5" s="4"/>
      <c r="LRH5" s="4"/>
      <c r="LRI5" s="4"/>
      <c r="LRJ5" s="4"/>
      <c r="LRK5" s="4"/>
      <c r="LRM5" s="4"/>
      <c r="LRO5" s="10"/>
      <c r="LRP5" s="11"/>
      <c r="LRQ5" s="12"/>
      <c r="LRR5" s="13"/>
      <c r="LRS5" s="12"/>
      <c r="LRT5" s="11"/>
      <c r="LRU5" s="13"/>
      <c r="LRV5" s="12"/>
      <c r="LRW5" s="12"/>
      <c r="LRX5" s="11"/>
      <c r="LRY5" s="13"/>
      <c r="LRZ5" s="4"/>
      <c r="LSA5" s="4"/>
      <c r="LSB5" s="4"/>
      <c r="LSC5" s="4"/>
      <c r="LSD5" s="4"/>
      <c r="LSE5" s="4"/>
      <c r="LSF5" s="4"/>
      <c r="LSG5" s="4"/>
      <c r="LSI5" s="4"/>
      <c r="LSK5" s="10"/>
      <c r="LSL5" s="11"/>
      <c r="LSM5" s="12"/>
      <c r="LSN5" s="13"/>
      <c r="LSO5" s="12"/>
      <c r="LSP5" s="11"/>
      <c r="LSQ5" s="13"/>
      <c r="LSR5" s="12"/>
      <c r="LSS5" s="12"/>
      <c r="LST5" s="11"/>
      <c r="LSU5" s="13"/>
      <c r="LSV5" s="4"/>
      <c r="LSW5" s="4"/>
      <c r="LSX5" s="4"/>
      <c r="LSY5" s="4"/>
      <c r="LSZ5" s="4"/>
      <c r="LTA5" s="4"/>
      <c r="LTB5" s="4"/>
      <c r="LTC5" s="4"/>
      <c r="LTE5" s="4"/>
      <c r="LTG5" s="10"/>
      <c r="LTH5" s="11"/>
      <c r="LTI5" s="12"/>
      <c r="LTJ5" s="13"/>
      <c r="LTK5" s="12"/>
      <c r="LTL5" s="11"/>
      <c r="LTM5" s="13"/>
      <c r="LTN5" s="12"/>
      <c r="LTO5" s="12"/>
      <c r="LTP5" s="11"/>
      <c r="LTQ5" s="13"/>
      <c r="LTR5" s="4"/>
      <c r="LTS5" s="4"/>
      <c r="LTT5" s="4"/>
      <c r="LTU5" s="4"/>
      <c r="LTV5" s="4"/>
      <c r="LTW5" s="4"/>
      <c r="LTX5" s="4"/>
      <c r="LTY5" s="4"/>
      <c r="LUA5" s="4"/>
      <c r="LUC5" s="10"/>
      <c r="LUD5" s="11"/>
      <c r="LUE5" s="12"/>
      <c r="LUF5" s="13"/>
      <c r="LUG5" s="12"/>
      <c r="LUH5" s="11"/>
      <c r="LUI5" s="13"/>
      <c r="LUJ5" s="12"/>
      <c r="LUK5" s="12"/>
      <c r="LUL5" s="11"/>
      <c r="LUM5" s="13"/>
      <c r="LUN5" s="4"/>
      <c r="LUO5" s="4"/>
      <c r="LUP5" s="4"/>
      <c r="LUQ5" s="4"/>
      <c r="LUR5" s="4"/>
      <c r="LUS5" s="4"/>
      <c r="LUT5" s="4"/>
      <c r="LUU5" s="4"/>
      <c r="LUW5" s="4"/>
      <c r="LUY5" s="10"/>
      <c r="LUZ5" s="11"/>
      <c r="LVA5" s="12"/>
      <c r="LVB5" s="13"/>
      <c r="LVC5" s="12"/>
      <c r="LVD5" s="11"/>
      <c r="LVE5" s="13"/>
      <c r="LVF5" s="12"/>
      <c r="LVG5" s="12"/>
      <c r="LVH5" s="11"/>
      <c r="LVI5" s="13"/>
      <c r="LVJ5" s="4"/>
      <c r="LVK5" s="4"/>
      <c r="LVL5" s="4"/>
      <c r="LVM5" s="4"/>
      <c r="LVN5" s="4"/>
      <c r="LVO5" s="4"/>
      <c r="LVP5" s="4"/>
      <c r="LVQ5" s="4"/>
      <c r="LVS5" s="4"/>
      <c r="LVU5" s="10"/>
      <c r="LVV5" s="11"/>
      <c r="LVW5" s="12"/>
      <c r="LVX5" s="13"/>
      <c r="LVY5" s="12"/>
      <c r="LVZ5" s="11"/>
      <c r="LWA5" s="13"/>
      <c r="LWB5" s="12"/>
      <c r="LWC5" s="12"/>
      <c r="LWD5" s="11"/>
      <c r="LWE5" s="13"/>
      <c r="LWF5" s="4"/>
      <c r="LWG5" s="4"/>
      <c r="LWH5" s="4"/>
      <c r="LWI5" s="4"/>
      <c r="LWJ5" s="4"/>
      <c r="LWK5" s="4"/>
      <c r="LWL5" s="4"/>
      <c r="LWM5" s="4"/>
      <c r="LWO5" s="4"/>
      <c r="LWQ5" s="10"/>
      <c r="LWR5" s="11"/>
      <c r="LWS5" s="12"/>
      <c r="LWT5" s="13"/>
      <c r="LWU5" s="12"/>
      <c r="LWV5" s="11"/>
      <c r="LWW5" s="13"/>
      <c r="LWX5" s="12"/>
      <c r="LWY5" s="12"/>
      <c r="LWZ5" s="11"/>
      <c r="LXA5" s="13"/>
      <c r="LXB5" s="4"/>
      <c r="LXC5" s="4"/>
      <c r="LXD5" s="4"/>
      <c r="LXE5" s="4"/>
      <c r="LXF5" s="4"/>
      <c r="LXG5" s="4"/>
      <c r="LXH5" s="4"/>
      <c r="LXI5" s="4"/>
      <c r="LXK5" s="4"/>
      <c r="LXM5" s="10"/>
      <c r="LXN5" s="11"/>
      <c r="LXO5" s="12"/>
      <c r="LXP5" s="13"/>
      <c r="LXQ5" s="12"/>
      <c r="LXR5" s="11"/>
      <c r="LXS5" s="13"/>
      <c r="LXT5" s="12"/>
      <c r="LXU5" s="12"/>
      <c r="LXV5" s="11"/>
      <c r="LXW5" s="13"/>
      <c r="LXX5" s="4"/>
      <c r="LXY5" s="4"/>
      <c r="LXZ5" s="4"/>
      <c r="LYA5" s="4"/>
      <c r="LYB5" s="4"/>
      <c r="LYC5" s="4"/>
      <c r="LYD5" s="4"/>
      <c r="LYE5" s="4"/>
      <c r="LYG5" s="4"/>
      <c r="LYI5" s="10"/>
      <c r="LYJ5" s="11"/>
      <c r="LYK5" s="12"/>
      <c r="LYL5" s="13"/>
      <c r="LYM5" s="12"/>
      <c r="LYN5" s="11"/>
      <c r="LYO5" s="13"/>
      <c r="LYP5" s="12"/>
      <c r="LYQ5" s="12"/>
      <c r="LYR5" s="11"/>
      <c r="LYS5" s="13"/>
      <c r="LYT5" s="4"/>
      <c r="LYU5" s="4"/>
      <c r="LYV5" s="4"/>
      <c r="LYW5" s="4"/>
      <c r="LYX5" s="4"/>
      <c r="LYY5" s="4"/>
      <c r="LYZ5" s="4"/>
      <c r="LZA5" s="4"/>
      <c r="LZC5" s="4"/>
      <c r="LZE5" s="10"/>
      <c r="LZF5" s="11"/>
      <c r="LZG5" s="12"/>
      <c r="LZH5" s="13"/>
      <c r="LZI5" s="12"/>
      <c r="LZJ5" s="11"/>
      <c r="LZK5" s="13"/>
      <c r="LZL5" s="12"/>
      <c r="LZM5" s="12"/>
      <c r="LZN5" s="11"/>
      <c r="LZO5" s="13"/>
      <c r="LZP5" s="4"/>
      <c r="LZQ5" s="4"/>
      <c r="LZR5" s="4"/>
      <c r="LZS5" s="4"/>
      <c r="LZT5" s="4"/>
      <c r="LZU5" s="4"/>
      <c r="LZV5" s="4"/>
      <c r="LZW5" s="4"/>
      <c r="LZY5" s="4"/>
      <c r="MAA5" s="10"/>
      <c r="MAB5" s="11"/>
      <c r="MAC5" s="12"/>
      <c r="MAD5" s="13"/>
      <c r="MAE5" s="12"/>
      <c r="MAF5" s="11"/>
      <c r="MAG5" s="13"/>
      <c r="MAH5" s="12"/>
      <c r="MAI5" s="12"/>
      <c r="MAJ5" s="11"/>
      <c r="MAK5" s="13"/>
      <c r="MAL5" s="4"/>
      <c r="MAM5" s="4"/>
      <c r="MAN5" s="4"/>
      <c r="MAO5" s="4"/>
      <c r="MAP5" s="4"/>
      <c r="MAQ5" s="4"/>
      <c r="MAR5" s="4"/>
      <c r="MAS5" s="4"/>
      <c r="MAU5" s="4"/>
      <c r="MAW5" s="10"/>
      <c r="MAX5" s="11"/>
      <c r="MAY5" s="12"/>
      <c r="MAZ5" s="13"/>
      <c r="MBA5" s="12"/>
      <c r="MBB5" s="11"/>
      <c r="MBC5" s="13"/>
      <c r="MBD5" s="12"/>
      <c r="MBE5" s="12"/>
      <c r="MBF5" s="11"/>
      <c r="MBG5" s="13"/>
      <c r="MBH5" s="4"/>
      <c r="MBI5" s="4"/>
      <c r="MBJ5" s="4"/>
      <c r="MBK5" s="4"/>
      <c r="MBL5" s="4"/>
      <c r="MBM5" s="4"/>
      <c r="MBN5" s="4"/>
      <c r="MBO5" s="4"/>
      <c r="MBQ5" s="4"/>
      <c r="MBS5" s="10"/>
      <c r="MBT5" s="11"/>
      <c r="MBU5" s="12"/>
      <c r="MBV5" s="13"/>
      <c r="MBW5" s="12"/>
      <c r="MBX5" s="11"/>
      <c r="MBY5" s="13"/>
      <c r="MBZ5" s="12"/>
      <c r="MCA5" s="12"/>
      <c r="MCB5" s="11"/>
      <c r="MCC5" s="13"/>
      <c r="MCD5" s="4"/>
      <c r="MCE5" s="4"/>
      <c r="MCF5" s="4"/>
      <c r="MCG5" s="4"/>
      <c r="MCH5" s="4"/>
      <c r="MCI5" s="4"/>
      <c r="MCJ5" s="4"/>
      <c r="MCK5" s="4"/>
      <c r="MCM5" s="4"/>
      <c r="MCO5" s="10"/>
      <c r="MCP5" s="11"/>
      <c r="MCQ5" s="12"/>
      <c r="MCR5" s="13"/>
      <c r="MCS5" s="12"/>
      <c r="MCT5" s="11"/>
      <c r="MCU5" s="13"/>
      <c r="MCV5" s="12"/>
      <c r="MCW5" s="12"/>
      <c r="MCX5" s="11"/>
      <c r="MCY5" s="13"/>
      <c r="MCZ5" s="4"/>
      <c r="MDA5" s="4"/>
      <c r="MDB5" s="4"/>
      <c r="MDC5" s="4"/>
      <c r="MDD5" s="4"/>
      <c r="MDE5" s="4"/>
      <c r="MDF5" s="4"/>
      <c r="MDG5" s="4"/>
      <c r="MDI5" s="4"/>
      <c r="MDK5" s="10"/>
      <c r="MDL5" s="11"/>
      <c r="MDM5" s="12"/>
      <c r="MDN5" s="13"/>
      <c r="MDO5" s="12"/>
      <c r="MDP5" s="11"/>
      <c r="MDQ5" s="13"/>
      <c r="MDR5" s="12"/>
      <c r="MDS5" s="12"/>
      <c r="MDT5" s="11"/>
      <c r="MDU5" s="13"/>
      <c r="MDV5" s="4"/>
      <c r="MDW5" s="4"/>
      <c r="MDX5" s="4"/>
      <c r="MDY5" s="4"/>
      <c r="MDZ5" s="4"/>
      <c r="MEA5" s="4"/>
      <c r="MEB5" s="4"/>
      <c r="MEC5" s="4"/>
      <c r="MEE5" s="4"/>
      <c r="MEG5" s="10"/>
      <c r="MEH5" s="11"/>
      <c r="MEI5" s="12"/>
      <c r="MEJ5" s="13"/>
      <c r="MEK5" s="12"/>
      <c r="MEL5" s="11"/>
      <c r="MEM5" s="13"/>
      <c r="MEN5" s="12"/>
      <c r="MEO5" s="12"/>
      <c r="MEP5" s="11"/>
      <c r="MEQ5" s="13"/>
      <c r="MER5" s="4"/>
      <c r="MES5" s="4"/>
      <c r="MET5" s="4"/>
      <c r="MEU5" s="4"/>
      <c r="MEV5" s="4"/>
      <c r="MEW5" s="4"/>
      <c r="MEX5" s="4"/>
      <c r="MEY5" s="4"/>
      <c r="MFA5" s="4"/>
      <c r="MFC5" s="10"/>
      <c r="MFD5" s="11"/>
      <c r="MFE5" s="12"/>
      <c r="MFF5" s="13"/>
      <c r="MFG5" s="12"/>
      <c r="MFH5" s="11"/>
      <c r="MFI5" s="13"/>
      <c r="MFJ5" s="12"/>
      <c r="MFK5" s="12"/>
      <c r="MFL5" s="11"/>
      <c r="MFM5" s="13"/>
      <c r="MFN5" s="4"/>
      <c r="MFO5" s="4"/>
      <c r="MFP5" s="4"/>
      <c r="MFQ5" s="4"/>
      <c r="MFR5" s="4"/>
      <c r="MFS5" s="4"/>
      <c r="MFT5" s="4"/>
      <c r="MFU5" s="4"/>
      <c r="MFW5" s="4"/>
      <c r="MFY5" s="10"/>
      <c r="MFZ5" s="11"/>
      <c r="MGA5" s="12"/>
      <c r="MGB5" s="13"/>
      <c r="MGC5" s="12"/>
      <c r="MGD5" s="11"/>
      <c r="MGE5" s="13"/>
      <c r="MGF5" s="12"/>
      <c r="MGG5" s="12"/>
      <c r="MGH5" s="11"/>
      <c r="MGI5" s="13"/>
      <c r="MGJ5" s="4"/>
      <c r="MGK5" s="4"/>
      <c r="MGL5" s="4"/>
      <c r="MGM5" s="4"/>
      <c r="MGN5" s="4"/>
      <c r="MGO5" s="4"/>
      <c r="MGP5" s="4"/>
      <c r="MGQ5" s="4"/>
      <c r="MGS5" s="4"/>
      <c r="MGU5" s="10"/>
      <c r="MGV5" s="11"/>
      <c r="MGW5" s="12"/>
      <c r="MGX5" s="13"/>
      <c r="MGY5" s="12"/>
      <c r="MGZ5" s="11"/>
      <c r="MHA5" s="13"/>
      <c r="MHB5" s="12"/>
      <c r="MHC5" s="12"/>
      <c r="MHD5" s="11"/>
      <c r="MHE5" s="13"/>
      <c r="MHF5" s="4"/>
      <c r="MHG5" s="4"/>
      <c r="MHH5" s="4"/>
      <c r="MHI5" s="4"/>
      <c r="MHJ5" s="4"/>
      <c r="MHK5" s="4"/>
      <c r="MHL5" s="4"/>
      <c r="MHM5" s="4"/>
      <c r="MHO5" s="4"/>
      <c r="MHQ5" s="10"/>
      <c r="MHR5" s="11"/>
      <c r="MHS5" s="12"/>
      <c r="MHT5" s="13"/>
      <c r="MHU5" s="12"/>
      <c r="MHV5" s="11"/>
      <c r="MHW5" s="13"/>
      <c r="MHX5" s="12"/>
      <c r="MHY5" s="12"/>
      <c r="MHZ5" s="11"/>
      <c r="MIA5" s="13"/>
      <c r="MIB5" s="4"/>
      <c r="MIC5" s="4"/>
      <c r="MID5" s="4"/>
      <c r="MIE5" s="4"/>
      <c r="MIF5" s="4"/>
      <c r="MIG5" s="4"/>
      <c r="MIH5" s="4"/>
      <c r="MII5" s="4"/>
      <c r="MIK5" s="4"/>
      <c r="MIM5" s="10"/>
      <c r="MIN5" s="11"/>
      <c r="MIO5" s="12"/>
      <c r="MIP5" s="13"/>
      <c r="MIQ5" s="12"/>
      <c r="MIR5" s="11"/>
      <c r="MIS5" s="13"/>
      <c r="MIT5" s="12"/>
      <c r="MIU5" s="12"/>
      <c r="MIV5" s="11"/>
      <c r="MIW5" s="13"/>
      <c r="MIX5" s="4"/>
      <c r="MIY5" s="4"/>
      <c r="MIZ5" s="4"/>
      <c r="MJA5" s="4"/>
      <c r="MJB5" s="4"/>
      <c r="MJC5" s="4"/>
      <c r="MJD5" s="4"/>
      <c r="MJE5" s="4"/>
      <c r="MJG5" s="4"/>
      <c r="MJI5" s="10"/>
      <c r="MJJ5" s="11"/>
      <c r="MJK5" s="12"/>
      <c r="MJL5" s="13"/>
      <c r="MJM5" s="12"/>
      <c r="MJN5" s="11"/>
      <c r="MJO5" s="13"/>
      <c r="MJP5" s="12"/>
      <c r="MJQ5" s="12"/>
      <c r="MJR5" s="11"/>
      <c r="MJS5" s="13"/>
      <c r="MJT5" s="4"/>
      <c r="MJU5" s="4"/>
      <c r="MJV5" s="4"/>
      <c r="MJW5" s="4"/>
      <c r="MJX5" s="4"/>
      <c r="MJY5" s="4"/>
      <c r="MJZ5" s="4"/>
      <c r="MKA5" s="4"/>
      <c r="MKC5" s="4"/>
      <c r="MKE5" s="10"/>
      <c r="MKF5" s="11"/>
      <c r="MKG5" s="12"/>
      <c r="MKH5" s="13"/>
      <c r="MKI5" s="12"/>
      <c r="MKJ5" s="11"/>
      <c r="MKK5" s="13"/>
      <c r="MKL5" s="12"/>
      <c r="MKM5" s="12"/>
      <c r="MKN5" s="11"/>
      <c r="MKO5" s="13"/>
      <c r="MKP5" s="4"/>
      <c r="MKQ5" s="4"/>
      <c r="MKR5" s="4"/>
      <c r="MKS5" s="4"/>
      <c r="MKT5" s="4"/>
      <c r="MKU5" s="4"/>
      <c r="MKV5" s="4"/>
      <c r="MKW5" s="4"/>
      <c r="MKY5" s="4"/>
      <c r="MLA5" s="10"/>
      <c r="MLB5" s="11"/>
      <c r="MLC5" s="12"/>
      <c r="MLD5" s="13"/>
      <c r="MLE5" s="12"/>
      <c r="MLF5" s="11"/>
      <c r="MLG5" s="13"/>
      <c r="MLH5" s="12"/>
      <c r="MLI5" s="12"/>
      <c r="MLJ5" s="11"/>
      <c r="MLK5" s="13"/>
      <c r="MLL5" s="4"/>
      <c r="MLM5" s="4"/>
      <c r="MLN5" s="4"/>
      <c r="MLO5" s="4"/>
      <c r="MLP5" s="4"/>
      <c r="MLQ5" s="4"/>
      <c r="MLR5" s="4"/>
      <c r="MLS5" s="4"/>
      <c r="MLU5" s="4"/>
      <c r="MLW5" s="10"/>
      <c r="MLX5" s="11"/>
      <c r="MLY5" s="12"/>
      <c r="MLZ5" s="13"/>
      <c r="MMA5" s="12"/>
      <c r="MMB5" s="11"/>
      <c r="MMC5" s="13"/>
      <c r="MMD5" s="12"/>
      <c r="MME5" s="12"/>
      <c r="MMF5" s="11"/>
      <c r="MMG5" s="13"/>
      <c r="MMH5" s="4"/>
      <c r="MMI5" s="4"/>
      <c r="MMJ5" s="4"/>
      <c r="MMK5" s="4"/>
      <c r="MML5" s="4"/>
      <c r="MMM5" s="4"/>
      <c r="MMN5" s="4"/>
      <c r="MMO5" s="4"/>
      <c r="MMQ5" s="4"/>
      <c r="MMS5" s="10"/>
      <c r="MMT5" s="11"/>
      <c r="MMU5" s="12"/>
      <c r="MMV5" s="13"/>
      <c r="MMW5" s="12"/>
      <c r="MMX5" s="11"/>
      <c r="MMY5" s="13"/>
      <c r="MMZ5" s="12"/>
      <c r="MNA5" s="12"/>
      <c r="MNB5" s="11"/>
      <c r="MNC5" s="13"/>
      <c r="MND5" s="4"/>
      <c r="MNE5" s="4"/>
      <c r="MNF5" s="4"/>
      <c r="MNG5" s="4"/>
      <c r="MNH5" s="4"/>
      <c r="MNI5" s="4"/>
      <c r="MNJ5" s="4"/>
      <c r="MNK5" s="4"/>
      <c r="MNM5" s="4"/>
      <c r="MNO5" s="10"/>
      <c r="MNP5" s="11"/>
      <c r="MNQ5" s="12"/>
      <c r="MNR5" s="13"/>
      <c r="MNS5" s="12"/>
      <c r="MNT5" s="11"/>
      <c r="MNU5" s="13"/>
      <c r="MNV5" s="12"/>
      <c r="MNW5" s="12"/>
      <c r="MNX5" s="11"/>
      <c r="MNY5" s="13"/>
      <c r="MNZ5" s="4"/>
      <c r="MOA5" s="4"/>
      <c r="MOB5" s="4"/>
      <c r="MOC5" s="4"/>
      <c r="MOD5" s="4"/>
      <c r="MOE5" s="4"/>
      <c r="MOF5" s="4"/>
      <c r="MOG5" s="4"/>
      <c r="MOI5" s="4"/>
      <c r="MOK5" s="10"/>
      <c r="MOL5" s="11"/>
      <c r="MOM5" s="12"/>
      <c r="MON5" s="13"/>
      <c r="MOO5" s="12"/>
      <c r="MOP5" s="11"/>
      <c r="MOQ5" s="13"/>
      <c r="MOR5" s="12"/>
      <c r="MOS5" s="12"/>
      <c r="MOT5" s="11"/>
      <c r="MOU5" s="13"/>
      <c r="MOV5" s="4"/>
      <c r="MOW5" s="4"/>
      <c r="MOX5" s="4"/>
      <c r="MOY5" s="4"/>
      <c r="MOZ5" s="4"/>
      <c r="MPA5" s="4"/>
      <c r="MPB5" s="4"/>
      <c r="MPC5" s="4"/>
      <c r="MPE5" s="4"/>
      <c r="MPG5" s="10"/>
      <c r="MPH5" s="11"/>
      <c r="MPI5" s="12"/>
      <c r="MPJ5" s="13"/>
      <c r="MPK5" s="12"/>
      <c r="MPL5" s="11"/>
      <c r="MPM5" s="13"/>
      <c r="MPN5" s="12"/>
      <c r="MPO5" s="12"/>
      <c r="MPP5" s="11"/>
      <c r="MPQ5" s="13"/>
      <c r="MPR5" s="4"/>
      <c r="MPS5" s="4"/>
      <c r="MPT5" s="4"/>
      <c r="MPU5" s="4"/>
      <c r="MPV5" s="4"/>
      <c r="MPW5" s="4"/>
      <c r="MPX5" s="4"/>
      <c r="MPY5" s="4"/>
      <c r="MQA5" s="4"/>
      <c r="MQC5" s="10"/>
      <c r="MQD5" s="11"/>
      <c r="MQE5" s="12"/>
      <c r="MQF5" s="13"/>
      <c r="MQG5" s="12"/>
      <c r="MQH5" s="11"/>
      <c r="MQI5" s="13"/>
      <c r="MQJ5" s="12"/>
      <c r="MQK5" s="12"/>
      <c r="MQL5" s="11"/>
      <c r="MQM5" s="13"/>
      <c r="MQN5" s="4"/>
      <c r="MQO5" s="4"/>
      <c r="MQP5" s="4"/>
      <c r="MQQ5" s="4"/>
      <c r="MQR5" s="4"/>
      <c r="MQS5" s="4"/>
      <c r="MQT5" s="4"/>
      <c r="MQU5" s="4"/>
      <c r="MQW5" s="4"/>
      <c r="MQY5" s="10"/>
      <c r="MQZ5" s="11"/>
      <c r="MRA5" s="12"/>
      <c r="MRB5" s="13"/>
      <c r="MRC5" s="12"/>
      <c r="MRD5" s="11"/>
      <c r="MRE5" s="13"/>
      <c r="MRF5" s="12"/>
      <c r="MRG5" s="12"/>
      <c r="MRH5" s="11"/>
      <c r="MRI5" s="13"/>
      <c r="MRJ5" s="4"/>
      <c r="MRK5" s="4"/>
      <c r="MRL5" s="4"/>
      <c r="MRM5" s="4"/>
      <c r="MRN5" s="4"/>
      <c r="MRO5" s="4"/>
      <c r="MRP5" s="4"/>
      <c r="MRQ5" s="4"/>
      <c r="MRS5" s="4"/>
      <c r="MRU5" s="10"/>
      <c r="MRV5" s="11"/>
      <c r="MRW5" s="12"/>
      <c r="MRX5" s="13"/>
      <c r="MRY5" s="12"/>
      <c r="MRZ5" s="11"/>
      <c r="MSA5" s="13"/>
      <c r="MSB5" s="12"/>
      <c r="MSC5" s="12"/>
      <c r="MSD5" s="11"/>
      <c r="MSE5" s="13"/>
      <c r="MSF5" s="4"/>
      <c r="MSG5" s="4"/>
      <c r="MSH5" s="4"/>
      <c r="MSI5" s="4"/>
      <c r="MSJ5" s="4"/>
      <c r="MSK5" s="4"/>
      <c r="MSL5" s="4"/>
      <c r="MSM5" s="4"/>
      <c r="MSO5" s="4"/>
      <c r="MSQ5" s="10"/>
      <c r="MSR5" s="11"/>
      <c r="MSS5" s="12"/>
      <c r="MST5" s="13"/>
      <c r="MSU5" s="12"/>
      <c r="MSV5" s="11"/>
      <c r="MSW5" s="13"/>
      <c r="MSX5" s="12"/>
      <c r="MSY5" s="12"/>
      <c r="MSZ5" s="11"/>
      <c r="MTA5" s="13"/>
      <c r="MTB5" s="4"/>
      <c r="MTC5" s="4"/>
      <c r="MTD5" s="4"/>
      <c r="MTE5" s="4"/>
      <c r="MTF5" s="4"/>
      <c r="MTG5" s="4"/>
      <c r="MTH5" s="4"/>
      <c r="MTI5" s="4"/>
      <c r="MTK5" s="4"/>
      <c r="MTM5" s="10"/>
      <c r="MTN5" s="11"/>
      <c r="MTO5" s="12"/>
      <c r="MTP5" s="13"/>
      <c r="MTQ5" s="12"/>
      <c r="MTR5" s="11"/>
      <c r="MTS5" s="13"/>
      <c r="MTT5" s="12"/>
      <c r="MTU5" s="12"/>
      <c r="MTV5" s="11"/>
      <c r="MTW5" s="13"/>
      <c r="MTX5" s="4"/>
      <c r="MTY5" s="4"/>
      <c r="MTZ5" s="4"/>
      <c r="MUA5" s="4"/>
      <c r="MUB5" s="4"/>
      <c r="MUC5" s="4"/>
      <c r="MUD5" s="4"/>
      <c r="MUE5" s="4"/>
      <c r="MUG5" s="4"/>
      <c r="MUI5" s="10"/>
      <c r="MUJ5" s="11"/>
      <c r="MUK5" s="12"/>
      <c r="MUL5" s="13"/>
      <c r="MUM5" s="12"/>
      <c r="MUN5" s="11"/>
      <c r="MUO5" s="13"/>
      <c r="MUP5" s="12"/>
      <c r="MUQ5" s="12"/>
      <c r="MUR5" s="11"/>
      <c r="MUS5" s="13"/>
      <c r="MUT5" s="4"/>
      <c r="MUU5" s="4"/>
      <c r="MUV5" s="4"/>
      <c r="MUW5" s="4"/>
      <c r="MUX5" s="4"/>
      <c r="MUY5" s="4"/>
      <c r="MUZ5" s="4"/>
      <c r="MVA5" s="4"/>
      <c r="MVC5" s="4"/>
      <c r="MVE5" s="10"/>
      <c r="MVF5" s="11"/>
      <c r="MVG5" s="12"/>
      <c r="MVH5" s="13"/>
      <c r="MVI5" s="12"/>
      <c r="MVJ5" s="11"/>
      <c r="MVK5" s="13"/>
      <c r="MVL5" s="12"/>
      <c r="MVM5" s="12"/>
      <c r="MVN5" s="11"/>
      <c r="MVO5" s="13"/>
      <c r="MVP5" s="4"/>
      <c r="MVQ5" s="4"/>
      <c r="MVR5" s="4"/>
      <c r="MVS5" s="4"/>
      <c r="MVT5" s="4"/>
      <c r="MVU5" s="4"/>
      <c r="MVV5" s="4"/>
      <c r="MVW5" s="4"/>
      <c r="MVY5" s="4"/>
      <c r="MWA5" s="10"/>
      <c r="MWB5" s="11"/>
      <c r="MWC5" s="12"/>
      <c r="MWD5" s="13"/>
      <c r="MWE5" s="12"/>
      <c r="MWF5" s="11"/>
      <c r="MWG5" s="13"/>
      <c r="MWH5" s="12"/>
      <c r="MWI5" s="12"/>
      <c r="MWJ5" s="11"/>
      <c r="MWK5" s="13"/>
      <c r="MWL5" s="4"/>
      <c r="MWM5" s="4"/>
      <c r="MWN5" s="4"/>
      <c r="MWO5" s="4"/>
      <c r="MWP5" s="4"/>
      <c r="MWQ5" s="4"/>
      <c r="MWR5" s="4"/>
      <c r="MWS5" s="4"/>
      <c r="MWU5" s="4"/>
      <c r="MWW5" s="10"/>
      <c r="MWX5" s="11"/>
      <c r="MWY5" s="12"/>
      <c r="MWZ5" s="13"/>
      <c r="MXA5" s="12"/>
      <c r="MXB5" s="11"/>
      <c r="MXC5" s="13"/>
      <c r="MXD5" s="12"/>
      <c r="MXE5" s="12"/>
      <c r="MXF5" s="11"/>
      <c r="MXG5" s="13"/>
      <c r="MXH5" s="4"/>
      <c r="MXI5" s="4"/>
      <c r="MXJ5" s="4"/>
      <c r="MXK5" s="4"/>
      <c r="MXL5" s="4"/>
      <c r="MXM5" s="4"/>
      <c r="MXN5" s="4"/>
      <c r="MXO5" s="4"/>
      <c r="MXQ5" s="4"/>
      <c r="MXS5" s="10"/>
      <c r="MXT5" s="11"/>
      <c r="MXU5" s="12"/>
      <c r="MXV5" s="13"/>
      <c r="MXW5" s="12"/>
      <c r="MXX5" s="11"/>
      <c r="MXY5" s="13"/>
      <c r="MXZ5" s="12"/>
      <c r="MYA5" s="12"/>
      <c r="MYB5" s="11"/>
      <c r="MYC5" s="13"/>
      <c r="MYD5" s="4"/>
      <c r="MYE5" s="4"/>
      <c r="MYF5" s="4"/>
      <c r="MYG5" s="4"/>
      <c r="MYH5" s="4"/>
      <c r="MYI5" s="4"/>
      <c r="MYJ5" s="4"/>
      <c r="MYK5" s="4"/>
      <c r="MYM5" s="4"/>
      <c r="MYO5" s="10"/>
      <c r="MYP5" s="11"/>
      <c r="MYQ5" s="12"/>
      <c r="MYR5" s="13"/>
      <c r="MYS5" s="12"/>
      <c r="MYT5" s="11"/>
      <c r="MYU5" s="13"/>
      <c r="MYV5" s="12"/>
      <c r="MYW5" s="12"/>
      <c r="MYX5" s="11"/>
      <c r="MYY5" s="13"/>
      <c r="MYZ5" s="4"/>
      <c r="MZA5" s="4"/>
      <c r="MZB5" s="4"/>
      <c r="MZC5" s="4"/>
      <c r="MZD5" s="4"/>
      <c r="MZE5" s="4"/>
      <c r="MZF5" s="4"/>
      <c r="MZG5" s="4"/>
      <c r="MZI5" s="4"/>
      <c r="MZK5" s="10"/>
      <c r="MZL5" s="11"/>
      <c r="MZM5" s="12"/>
      <c r="MZN5" s="13"/>
      <c r="MZO5" s="12"/>
      <c r="MZP5" s="11"/>
      <c r="MZQ5" s="13"/>
      <c r="MZR5" s="12"/>
      <c r="MZS5" s="12"/>
      <c r="MZT5" s="11"/>
      <c r="MZU5" s="13"/>
      <c r="MZV5" s="4"/>
      <c r="MZW5" s="4"/>
      <c r="MZX5" s="4"/>
      <c r="MZY5" s="4"/>
      <c r="MZZ5" s="4"/>
      <c r="NAA5" s="4"/>
      <c r="NAB5" s="4"/>
      <c r="NAC5" s="4"/>
      <c r="NAE5" s="4"/>
      <c r="NAG5" s="10"/>
      <c r="NAH5" s="11"/>
      <c r="NAI5" s="12"/>
      <c r="NAJ5" s="13"/>
      <c r="NAK5" s="12"/>
      <c r="NAL5" s="11"/>
      <c r="NAM5" s="13"/>
      <c r="NAN5" s="12"/>
      <c r="NAO5" s="12"/>
      <c r="NAP5" s="11"/>
      <c r="NAQ5" s="13"/>
      <c r="NAR5" s="4"/>
      <c r="NAS5" s="4"/>
      <c r="NAT5" s="4"/>
      <c r="NAU5" s="4"/>
      <c r="NAV5" s="4"/>
      <c r="NAW5" s="4"/>
      <c r="NAX5" s="4"/>
      <c r="NAY5" s="4"/>
      <c r="NBA5" s="4"/>
      <c r="NBC5" s="10"/>
      <c r="NBD5" s="11"/>
      <c r="NBE5" s="12"/>
      <c r="NBF5" s="13"/>
      <c r="NBG5" s="12"/>
      <c r="NBH5" s="11"/>
      <c r="NBI5" s="13"/>
      <c r="NBJ5" s="12"/>
      <c r="NBK5" s="12"/>
      <c r="NBL5" s="11"/>
      <c r="NBM5" s="13"/>
      <c r="NBN5" s="4"/>
      <c r="NBO5" s="4"/>
      <c r="NBP5" s="4"/>
      <c r="NBQ5" s="4"/>
      <c r="NBR5" s="4"/>
      <c r="NBS5" s="4"/>
      <c r="NBT5" s="4"/>
      <c r="NBU5" s="4"/>
      <c r="NBW5" s="4"/>
      <c r="NBY5" s="10"/>
      <c r="NBZ5" s="11"/>
      <c r="NCA5" s="12"/>
      <c r="NCB5" s="13"/>
      <c r="NCC5" s="12"/>
      <c r="NCD5" s="11"/>
      <c r="NCE5" s="13"/>
      <c r="NCF5" s="12"/>
      <c r="NCG5" s="12"/>
      <c r="NCH5" s="11"/>
      <c r="NCI5" s="13"/>
      <c r="NCJ5" s="4"/>
      <c r="NCK5" s="4"/>
      <c r="NCL5" s="4"/>
      <c r="NCM5" s="4"/>
      <c r="NCN5" s="4"/>
      <c r="NCO5" s="4"/>
      <c r="NCP5" s="4"/>
      <c r="NCQ5" s="4"/>
      <c r="NCS5" s="4"/>
      <c r="NCU5" s="10"/>
      <c r="NCV5" s="11"/>
      <c r="NCW5" s="12"/>
      <c r="NCX5" s="13"/>
      <c r="NCY5" s="12"/>
      <c r="NCZ5" s="11"/>
      <c r="NDA5" s="13"/>
      <c r="NDB5" s="12"/>
      <c r="NDC5" s="12"/>
      <c r="NDD5" s="11"/>
      <c r="NDE5" s="13"/>
      <c r="NDF5" s="4"/>
      <c r="NDG5" s="4"/>
      <c r="NDH5" s="4"/>
      <c r="NDI5" s="4"/>
      <c r="NDJ5" s="4"/>
      <c r="NDK5" s="4"/>
      <c r="NDL5" s="4"/>
      <c r="NDM5" s="4"/>
      <c r="NDO5" s="4"/>
      <c r="NDQ5" s="10"/>
      <c r="NDR5" s="11"/>
      <c r="NDS5" s="12"/>
      <c r="NDT5" s="13"/>
      <c r="NDU5" s="12"/>
      <c r="NDV5" s="11"/>
      <c r="NDW5" s="13"/>
      <c r="NDX5" s="12"/>
      <c r="NDY5" s="12"/>
      <c r="NDZ5" s="11"/>
      <c r="NEA5" s="13"/>
      <c r="NEB5" s="4"/>
      <c r="NEC5" s="4"/>
      <c r="NED5" s="4"/>
      <c r="NEE5" s="4"/>
      <c r="NEF5" s="4"/>
      <c r="NEG5" s="4"/>
      <c r="NEH5" s="4"/>
      <c r="NEI5" s="4"/>
      <c r="NEK5" s="4"/>
      <c r="NEM5" s="10"/>
      <c r="NEN5" s="11"/>
      <c r="NEO5" s="12"/>
      <c r="NEP5" s="13"/>
      <c r="NEQ5" s="12"/>
      <c r="NER5" s="11"/>
      <c r="NES5" s="13"/>
      <c r="NET5" s="12"/>
      <c r="NEU5" s="12"/>
      <c r="NEV5" s="11"/>
      <c r="NEW5" s="13"/>
      <c r="NEX5" s="4"/>
      <c r="NEY5" s="4"/>
      <c r="NEZ5" s="4"/>
      <c r="NFA5" s="4"/>
      <c r="NFB5" s="4"/>
      <c r="NFC5" s="4"/>
      <c r="NFD5" s="4"/>
      <c r="NFE5" s="4"/>
      <c r="NFG5" s="4"/>
      <c r="NFI5" s="10"/>
      <c r="NFJ5" s="11"/>
      <c r="NFK5" s="12"/>
      <c r="NFL5" s="13"/>
      <c r="NFM5" s="12"/>
      <c r="NFN5" s="11"/>
      <c r="NFO5" s="13"/>
      <c r="NFP5" s="12"/>
      <c r="NFQ5" s="12"/>
      <c r="NFR5" s="11"/>
      <c r="NFS5" s="13"/>
      <c r="NFT5" s="4"/>
      <c r="NFU5" s="4"/>
      <c r="NFV5" s="4"/>
      <c r="NFW5" s="4"/>
      <c r="NFX5" s="4"/>
      <c r="NFY5" s="4"/>
      <c r="NFZ5" s="4"/>
      <c r="NGA5" s="4"/>
      <c r="NGC5" s="4"/>
      <c r="NGE5" s="10"/>
      <c r="NGF5" s="11"/>
      <c r="NGG5" s="12"/>
      <c r="NGH5" s="13"/>
      <c r="NGI5" s="12"/>
      <c r="NGJ5" s="11"/>
      <c r="NGK5" s="13"/>
      <c r="NGL5" s="12"/>
      <c r="NGM5" s="12"/>
      <c r="NGN5" s="11"/>
      <c r="NGO5" s="13"/>
      <c r="NGP5" s="4"/>
      <c r="NGQ5" s="4"/>
      <c r="NGR5" s="4"/>
      <c r="NGS5" s="4"/>
      <c r="NGT5" s="4"/>
      <c r="NGU5" s="4"/>
      <c r="NGV5" s="4"/>
      <c r="NGW5" s="4"/>
      <c r="NGY5" s="4"/>
      <c r="NHA5" s="10"/>
      <c r="NHB5" s="11"/>
      <c r="NHC5" s="12"/>
      <c r="NHD5" s="13"/>
      <c r="NHE5" s="12"/>
      <c r="NHF5" s="11"/>
      <c r="NHG5" s="13"/>
      <c r="NHH5" s="12"/>
      <c r="NHI5" s="12"/>
      <c r="NHJ5" s="11"/>
      <c r="NHK5" s="13"/>
      <c r="NHL5" s="4"/>
      <c r="NHM5" s="4"/>
      <c r="NHN5" s="4"/>
      <c r="NHO5" s="4"/>
      <c r="NHP5" s="4"/>
      <c r="NHQ5" s="4"/>
      <c r="NHR5" s="4"/>
      <c r="NHS5" s="4"/>
      <c r="NHU5" s="4"/>
      <c r="NHW5" s="10"/>
      <c r="NHX5" s="11"/>
      <c r="NHY5" s="12"/>
      <c r="NHZ5" s="13"/>
      <c r="NIA5" s="12"/>
      <c r="NIB5" s="11"/>
      <c r="NIC5" s="13"/>
      <c r="NID5" s="12"/>
      <c r="NIE5" s="12"/>
      <c r="NIF5" s="11"/>
      <c r="NIG5" s="13"/>
      <c r="NIH5" s="4"/>
      <c r="NII5" s="4"/>
      <c r="NIJ5" s="4"/>
      <c r="NIK5" s="4"/>
      <c r="NIL5" s="4"/>
      <c r="NIM5" s="4"/>
      <c r="NIN5" s="4"/>
      <c r="NIO5" s="4"/>
      <c r="NIQ5" s="4"/>
      <c r="NIS5" s="10"/>
      <c r="NIT5" s="11"/>
      <c r="NIU5" s="12"/>
      <c r="NIV5" s="13"/>
      <c r="NIW5" s="12"/>
      <c r="NIX5" s="11"/>
      <c r="NIY5" s="13"/>
      <c r="NIZ5" s="12"/>
      <c r="NJA5" s="12"/>
      <c r="NJB5" s="11"/>
      <c r="NJC5" s="13"/>
      <c r="NJD5" s="4"/>
      <c r="NJE5" s="4"/>
      <c r="NJF5" s="4"/>
      <c r="NJG5" s="4"/>
      <c r="NJH5" s="4"/>
      <c r="NJI5" s="4"/>
      <c r="NJJ5" s="4"/>
      <c r="NJK5" s="4"/>
      <c r="NJM5" s="4"/>
      <c r="NJO5" s="10"/>
      <c r="NJP5" s="11"/>
      <c r="NJQ5" s="12"/>
      <c r="NJR5" s="13"/>
      <c r="NJS5" s="12"/>
      <c r="NJT5" s="11"/>
      <c r="NJU5" s="13"/>
      <c r="NJV5" s="12"/>
      <c r="NJW5" s="12"/>
      <c r="NJX5" s="11"/>
      <c r="NJY5" s="13"/>
      <c r="NJZ5" s="4"/>
      <c r="NKA5" s="4"/>
      <c r="NKB5" s="4"/>
      <c r="NKC5" s="4"/>
      <c r="NKD5" s="4"/>
      <c r="NKE5" s="4"/>
      <c r="NKF5" s="4"/>
      <c r="NKG5" s="4"/>
      <c r="NKI5" s="4"/>
      <c r="NKK5" s="10"/>
      <c r="NKL5" s="11"/>
      <c r="NKM5" s="12"/>
      <c r="NKN5" s="13"/>
      <c r="NKO5" s="12"/>
      <c r="NKP5" s="11"/>
      <c r="NKQ5" s="13"/>
      <c r="NKR5" s="12"/>
      <c r="NKS5" s="12"/>
      <c r="NKT5" s="11"/>
      <c r="NKU5" s="13"/>
      <c r="NKV5" s="4"/>
      <c r="NKW5" s="4"/>
      <c r="NKX5" s="4"/>
      <c r="NKY5" s="4"/>
      <c r="NKZ5" s="4"/>
      <c r="NLA5" s="4"/>
      <c r="NLB5" s="4"/>
      <c r="NLC5" s="4"/>
      <c r="NLE5" s="4"/>
      <c r="NLG5" s="10"/>
      <c r="NLH5" s="11"/>
      <c r="NLI5" s="12"/>
      <c r="NLJ5" s="13"/>
      <c r="NLK5" s="12"/>
      <c r="NLL5" s="11"/>
      <c r="NLM5" s="13"/>
      <c r="NLN5" s="12"/>
      <c r="NLO5" s="12"/>
      <c r="NLP5" s="11"/>
      <c r="NLQ5" s="13"/>
      <c r="NLR5" s="4"/>
      <c r="NLS5" s="4"/>
      <c r="NLT5" s="4"/>
      <c r="NLU5" s="4"/>
      <c r="NLV5" s="4"/>
      <c r="NLW5" s="4"/>
      <c r="NLX5" s="4"/>
      <c r="NLY5" s="4"/>
      <c r="NMA5" s="4"/>
      <c r="NMC5" s="10"/>
      <c r="NMD5" s="11"/>
      <c r="NME5" s="12"/>
      <c r="NMF5" s="13"/>
      <c r="NMG5" s="12"/>
      <c r="NMH5" s="11"/>
      <c r="NMI5" s="13"/>
      <c r="NMJ5" s="12"/>
      <c r="NMK5" s="12"/>
      <c r="NML5" s="11"/>
      <c r="NMM5" s="13"/>
      <c r="NMN5" s="4"/>
      <c r="NMO5" s="4"/>
      <c r="NMP5" s="4"/>
      <c r="NMQ5" s="4"/>
      <c r="NMR5" s="4"/>
      <c r="NMS5" s="4"/>
      <c r="NMT5" s="4"/>
      <c r="NMU5" s="4"/>
      <c r="NMW5" s="4"/>
      <c r="NMY5" s="10"/>
      <c r="NMZ5" s="11"/>
      <c r="NNA5" s="12"/>
      <c r="NNB5" s="13"/>
      <c r="NNC5" s="12"/>
      <c r="NND5" s="11"/>
      <c r="NNE5" s="13"/>
      <c r="NNF5" s="12"/>
      <c r="NNG5" s="12"/>
      <c r="NNH5" s="11"/>
      <c r="NNI5" s="13"/>
      <c r="NNJ5" s="4"/>
      <c r="NNK5" s="4"/>
      <c r="NNL5" s="4"/>
      <c r="NNM5" s="4"/>
      <c r="NNN5" s="4"/>
      <c r="NNO5" s="4"/>
      <c r="NNP5" s="4"/>
      <c r="NNQ5" s="4"/>
      <c r="NNS5" s="4"/>
      <c r="NNU5" s="10"/>
      <c r="NNV5" s="11"/>
      <c r="NNW5" s="12"/>
      <c r="NNX5" s="13"/>
      <c r="NNY5" s="12"/>
      <c r="NNZ5" s="11"/>
      <c r="NOA5" s="13"/>
      <c r="NOB5" s="12"/>
      <c r="NOC5" s="12"/>
      <c r="NOD5" s="11"/>
      <c r="NOE5" s="13"/>
      <c r="NOF5" s="4"/>
      <c r="NOG5" s="4"/>
      <c r="NOH5" s="4"/>
      <c r="NOI5" s="4"/>
      <c r="NOJ5" s="4"/>
      <c r="NOK5" s="4"/>
      <c r="NOL5" s="4"/>
      <c r="NOM5" s="4"/>
      <c r="NOO5" s="4"/>
      <c r="NOQ5" s="10"/>
      <c r="NOR5" s="11"/>
      <c r="NOS5" s="12"/>
      <c r="NOT5" s="13"/>
      <c r="NOU5" s="12"/>
      <c r="NOV5" s="11"/>
      <c r="NOW5" s="13"/>
      <c r="NOX5" s="12"/>
      <c r="NOY5" s="12"/>
      <c r="NOZ5" s="11"/>
      <c r="NPA5" s="13"/>
      <c r="NPB5" s="4"/>
      <c r="NPC5" s="4"/>
      <c r="NPD5" s="4"/>
      <c r="NPE5" s="4"/>
      <c r="NPF5" s="4"/>
      <c r="NPG5" s="4"/>
      <c r="NPH5" s="4"/>
      <c r="NPI5" s="4"/>
      <c r="NPK5" s="4"/>
      <c r="NPM5" s="10"/>
      <c r="NPN5" s="11"/>
      <c r="NPO5" s="12"/>
      <c r="NPP5" s="13"/>
      <c r="NPQ5" s="12"/>
      <c r="NPR5" s="11"/>
      <c r="NPS5" s="13"/>
      <c r="NPT5" s="12"/>
      <c r="NPU5" s="12"/>
      <c r="NPV5" s="11"/>
      <c r="NPW5" s="13"/>
      <c r="NPX5" s="4"/>
      <c r="NPY5" s="4"/>
      <c r="NPZ5" s="4"/>
      <c r="NQA5" s="4"/>
      <c r="NQB5" s="4"/>
      <c r="NQC5" s="4"/>
      <c r="NQD5" s="4"/>
      <c r="NQE5" s="4"/>
      <c r="NQG5" s="4"/>
      <c r="NQI5" s="10"/>
      <c r="NQJ5" s="11"/>
      <c r="NQK5" s="12"/>
      <c r="NQL5" s="13"/>
      <c r="NQM5" s="12"/>
      <c r="NQN5" s="11"/>
      <c r="NQO5" s="13"/>
      <c r="NQP5" s="12"/>
      <c r="NQQ5" s="12"/>
      <c r="NQR5" s="11"/>
      <c r="NQS5" s="13"/>
      <c r="NQT5" s="4"/>
      <c r="NQU5" s="4"/>
      <c r="NQV5" s="4"/>
      <c r="NQW5" s="4"/>
      <c r="NQX5" s="4"/>
      <c r="NQY5" s="4"/>
      <c r="NQZ5" s="4"/>
      <c r="NRA5" s="4"/>
      <c r="NRC5" s="4"/>
      <c r="NRE5" s="10"/>
      <c r="NRF5" s="11"/>
      <c r="NRG5" s="12"/>
      <c r="NRH5" s="13"/>
      <c r="NRI5" s="12"/>
      <c r="NRJ5" s="11"/>
      <c r="NRK5" s="13"/>
      <c r="NRL5" s="12"/>
      <c r="NRM5" s="12"/>
      <c r="NRN5" s="11"/>
      <c r="NRO5" s="13"/>
      <c r="NRP5" s="4"/>
      <c r="NRQ5" s="4"/>
      <c r="NRR5" s="4"/>
      <c r="NRS5" s="4"/>
      <c r="NRT5" s="4"/>
      <c r="NRU5" s="4"/>
      <c r="NRV5" s="4"/>
      <c r="NRW5" s="4"/>
      <c r="NRY5" s="4"/>
      <c r="NSA5" s="10"/>
      <c r="NSB5" s="11"/>
      <c r="NSC5" s="12"/>
      <c r="NSD5" s="13"/>
      <c r="NSE5" s="12"/>
      <c r="NSF5" s="11"/>
      <c r="NSG5" s="13"/>
      <c r="NSH5" s="12"/>
      <c r="NSI5" s="12"/>
      <c r="NSJ5" s="11"/>
      <c r="NSK5" s="13"/>
      <c r="NSL5" s="4"/>
      <c r="NSM5" s="4"/>
      <c r="NSN5" s="4"/>
      <c r="NSO5" s="4"/>
      <c r="NSP5" s="4"/>
      <c r="NSQ5" s="4"/>
      <c r="NSR5" s="4"/>
      <c r="NSS5" s="4"/>
      <c r="NSU5" s="4"/>
      <c r="NSW5" s="10"/>
      <c r="NSX5" s="11"/>
      <c r="NSY5" s="12"/>
      <c r="NSZ5" s="13"/>
      <c r="NTA5" s="12"/>
      <c r="NTB5" s="11"/>
      <c r="NTC5" s="13"/>
      <c r="NTD5" s="12"/>
      <c r="NTE5" s="12"/>
      <c r="NTF5" s="11"/>
      <c r="NTG5" s="13"/>
      <c r="NTH5" s="4"/>
      <c r="NTI5" s="4"/>
      <c r="NTJ5" s="4"/>
      <c r="NTK5" s="4"/>
      <c r="NTL5" s="4"/>
      <c r="NTM5" s="4"/>
      <c r="NTN5" s="4"/>
      <c r="NTO5" s="4"/>
      <c r="NTQ5" s="4"/>
      <c r="NTS5" s="10"/>
      <c r="NTT5" s="11"/>
      <c r="NTU5" s="12"/>
      <c r="NTV5" s="13"/>
      <c r="NTW5" s="12"/>
      <c r="NTX5" s="11"/>
      <c r="NTY5" s="13"/>
      <c r="NTZ5" s="12"/>
      <c r="NUA5" s="12"/>
      <c r="NUB5" s="11"/>
      <c r="NUC5" s="13"/>
      <c r="NUD5" s="4"/>
      <c r="NUE5" s="4"/>
      <c r="NUF5" s="4"/>
      <c r="NUG5" s="4"/>
      <c r="NUH5" s="4"/>
      <c r="NUI5" s="4"/>
      <c r="NUJ5" s="4"/>
      <c r="NUK5" s="4"/>
      <c r="NUM5" s="4"/>
      <c r="NUO5" s="10"/>
      <c r="NUP5" s="11"/>
      <c r="NUQ5" s="12"/>
      <c r="NUR5" s="13"/>
      <c r="NUS5" s="12"/>
      <c r="NUT5" s="11"/>
      <c r="NUU5" s="13"/>
      <c r="NUV5" s="12"/>
      <c r="NUW5" s="12"/>
      <c r="NUX5" s="11"/>
      <c r="NUY5" s="13"/>
      <c r="NUZ5" s="4"/>
      <c r="NVA5" s="4"/>
      <c r="NVB5" s="4"/>
      <c r="NVC5" s="4"/>
      <c r="NVD5" s="4"/>
      <c r="NVE5" s="4"/>
      <c r="NVF5" s="4"/>
      <c r="NVG5" s="4"/>
      <c r="NVI5" s="4"/>
      <c r="NVK5" s="10"/>
      <c r="NVL5" s="11"/>
      <c r="NVM5" s="12"/>
      <c r="NVN5" s="13"/>
      <c r="NVO5" s="12"/>
      <c r="NVP5" s="11"/>
      <c r="NVQ5" s="13"/>
      <c r="NVR5" s="12"/>
      <c r="NVS5" s="12"/>
      <c r="NVT5" s="11"/>
      <c r="NVU5" s="13"/>
      <c r="NVV5" s="4"/>
      <c r="NVW5" s="4"/>
      <c r="NVX5" s="4"/>
      <c r="NVY5" s="4"/>
      <c r="NVZ5" s="4"/>
      <c r="NWA5" s="4"/>
      <c r="NWB5" s="4"/>
      <c r="NWC5" s="4"/>
      <c r="NWE5" s="4"/>
      <c r="NWG5" s="10"/>
      <c r="NWH5" s="11"/>
      <c r="NWI5" s="12"/>
      <c r="NWJ5" s="13"/>
      <c r="NWK5" s="12"/>
      <c r="NWL5" s="11"/>
      <c r="NWM5" s="13"/>
      <c r="NWN5" s="12"/>
      <c r="NWO5" s="12"/>
      <c r="NWP5" s="11"/>
      <c r="NWQ5" s="13"/>
      <c r="NWR5" s="4"/>
      <c r="NWS5" s="4"/>
      <c r="NWT5" s="4"/>
      <c r="NWU5" s="4"/>
      <c r="NWV5" s="4"/>
      <c r="NWW5" s="4"/>
      <c r="NWX5" s="4"/>
      <c r="NWY5" s="4"/>
      <c r="NXA5" s="4"/>
      <c r="NXC5" s="10"/>
      <c r="NXD5" s="11"/>
      <c r="NXE5" s="12"/>
      <c r="NXF5" s="13"/>
      <c r="NXG5" s="12"/>
      <c r="NXH5" s="11"/>
      <c r="NXI5" s="13"/>
      <c r="NXJ5" s="12"/>
      <c r="NXK5" s="12"/>
      <c r="NXL5" s="11"/>
      <c r="NXM5" s="13"/>
      <c r="NXN5" s="4"/>
      <c r="NXO5" s="4"/>
      <c r="NXP5" s="4"/>
      <c r="NXQ5" s="4"/>
      <c r="NXR5" s="4"/>
      <c r="NXS5" s="4"/>
      <c r="NXT5" s="4"/>
      <c r="NXU5" s="4"/>
      <c r="NXW5" s="4"/>
      <c r="NXY5" s="10"/>
      <c r="NXZ5" s="11"/>
      <c r="NYA5" s="12"/>
      <c r="NYB5" s="13"/>
      <c r="NYC5" s="12"/>
      <c r="NYD5" s="11"/>
      <c r="NYE5" s="13"/>
      <c r="NYF5" s="12"/>
      <c r="NYG5" s="12"/>
      <c r="NYH5" s="11"/>
      <c r="NYI5" s="13"/>
      <c r="NYJ5" s="4"/>
      <c r="NYK5" s="4"/>
      <c r="NYL5" s="4"/>
      <c r="NYM5" s="4"/>
      <c r="NYN5" s="4"/>
      <c r="NYO5" s="4"/>
      <c r="NYP5" s="4"/>
      <c r="NYQ5" s="4"/>
      <c r="NYS5" s="4"/>
      <c r="NYU5" s="10"/>
      <c r="NYV5" s="11"/>
      <c r="NYW5" s="12"/>
      <c r="NYX5" s="13"/>
      <c r="NYY5" s="12"/>
      <c r="NYZ5" s="11"/>
      <c r="NZA5" s="13"/>
      <c r="NZB5" s="12"/>
      <c r="NZC5" s="12"/>
      <c r="NZD5" s="11"/>
      <c r="NZE5" s="13"/>
      <c r="NZF5" s="4"/>
      <c r="NZG5" s="4"/>
      <c r="NZH5" s="4"/>
      <c r="NZI5" s="4"/>
      <c r="NZJ5" s="4"/>
      <c r="NZK5" s="4"/>
      <c r="NZL5" s="4"/>
      <c r="NZM5" s="4"/>
      <c r="NZO5" s="4"/>
      <c r="NZQ5" s="10"/>
      <c r="NZR5" s="11"/>
      <c r="NZS5" s="12"/>
      <c r="NZT5" s="13"/>
      <c r="NZU5" s="12"/>
      <c r="NZV5" s="11"/>
      <c r="NZW5" s="13"/>
      <c r="NZX5" s="12"/>
      <c r="NZY5" s="12"/>
      <c r="NZZ5" s="11"/>
      <c r="OAA5" s="13"/>
      <c r="OAB5" s="4"/>
      <c r="OAC5" s="4"/>
      <c r="OAD5" s="4"/>
      <c r="OAE5" s="4"/>
      <c r="OAF5" s="4"/>
      <c r="OAG5" s="4"/>
      <c r="OAH5" s="4"/>
      <c r="OAI5" s="4"/>
      <c r="OAK5" s="4"/>
      <c r="OAM5" s="10"/>
      <c r="OAN5" s="11"/>
      <c r="OAO5" s="12"/>
      <c r="OAP5" s="13"/>
      <c r="OAQ5" s="12"/>
      <c r="OAR5" s="11"/>
      <c r="OAS5" s="13"/>
      <c r="OAT5" s="12"/>
      <c r="OAU5" s="12"/>
      <c r="OAV5" s="11"/>
      <c r="OAW5" s="13"/>
      <c r="OAX5" s="4"/>
      <c r="OAY5" s="4"/>
      <c r="OAZ5" s="4"/>
      <c r="OBA5" s="4"/>
      <c r="OBB5" s="4"/>
      <c r="OBC5" s="4"/>
      <c r="OBD5" s="4"/>
      <c r="OBE5" s="4"/>
      <c r="OBG5" s="4"/>
      <c r="OBI5" s="10"/>
      <c r="OBJ5" s="11"/>
      <c r="OBK5" s="12"/>
      <c r="OBL5" s="13"/>
      <c r="OBM5" s="12"/>
      <c r="OBN5" s="11"/>
      <c r="OBO5" s="13"/>
      <c r="OBP5" s="12"/>
      <c r="OBQ5" s="12"/>
      <c r="OBR5" s="11"/>
      <c r="OBS5" s="13"/>
      <c r="OBT5" s="4"/>
      <c r="OBU5" s="4"/>
      <c r="OBV5" s="4"/>
      <c r="OBW5" s="4"/>
      <c r="OBX5" s="4"/>
      <c r="OBY5" s="4"/>
      <c r="OBZ5" s="4"/>
      <c r="OCA5" s="4"/>
      <c r="OCC5" s="4"/>
      <c r="OCE5" s="10"/>
      <c r="OCF5" s="11"/>
      <c r="OCG5" s="12"/>
      <c r="OCH5" s="13"/>
      <c r="OCI5" s="12"/>
      <c r="OCJ5" s="11"/>
      <c r="OCK5" s="13"/>
      <c r="OCL5" s="12"/>
      <c r="OCM5" s="12"/>
      <c r="OCN5" s="11"/>
      <c r="OCO5" s="13"/>
      <c r="OCP5" s="4"/>
      <c r="OCQ5" s="4"/>
      <c r="OCR5" s="4"/>
      <c r="OCS5" s="4"/>
      <c r="OCT5" s="4"/>
      <c r="OCU5" s="4"/>
      <c r="OCV5" s="4"/>
      <c r="OCW5" s="4"/>
      <c r="OCY5" s="4"/>
      <c r="ODA5" s="10"/>
      <c r="ODB5" s="11"/>
      <c r="ODC5" s="12"/>
      <c r="ODD5" s="13"/>
      <c r="ODE5" s="12"/>
      <c r="ODF5" s="11"/>
      <c r="ODG5" s="13"/>
      <c r="ODH5" s="12"/>
      <c r="ODI5" s="12"/>
      <c r="ODJ5" s="11"/>
      <c r="ODK5" s="13"/>
      <c r="ODL5" s="4"/>
      <c r="ODM5" s="4"/>
      <c r="ODN5" s="4"/>
      <c r="ODO5" s="4"/>
      <c r="ODP5" s="4"/>
      <c r="ODQ5" s="4"/>
      <c r="ODR5" s="4"/>
      <c r="ODS5" s="4"/>
      <c r="ODU5" s="4"/>
      <c r="ODW5" s="10"/>
      <c r="ODX5" s="11"/>
      <c r="ODY5" s="12"/>
      <c r="ODZ5" s="13"/>
      <c r="OEA5" s="12"/>
      <c r="OEB5" s="11"/>
      <c r="OEC5" s="13"/>
      <c r="OED5" s="12"/>
      <c r="OEE5" s="12"/>
      <c r="OEF5" s="11"/>
      <c r="OEG5" s="13"/>
      <c r="OEH5" s="4"/>
      <c r="OEI5" s="4"/>
      <c r="OEJ5" s="4"/>
      <c r="OEK5" s="4"/>
      <c r="OEL5" s="4"/>
      <c r="OEM5" s="4"/>
      <c r="OEN5" s="4"/>
      <c r="OEO5" s="4"/>
      <c r="OEQ5" s="4"/>
      <c r="OES5" s="10"/>
      <c r="OET5" s="11"/>
      <c r="OEU5" s="12"/>
      <c r="OEV5" s="13"/>
      <c r="OEW5" s="12"/>
      <c r="OEX5" s="11"/>
      <c r="OEY5" s="13"/>
      <c r="OEZ5" s="12"/>
      <c r="OFA5" s="12"/>
      <c r="OFB5" s="11"/>
      <c r="OFC5" s="13"/>
      <c r="OFD5" s="4"/>
      <c r="OFE5" s="4"/>
      <c r="OFF5" s="4"/>
      <c r="OFG5" s="4"/>
      <c r="OFH5" s="4"/>
      <c r="OFI5" s="4"/>
      <c r="OFJ5" s="4"/>
      <c r="OFK5" s="4"/>
      <c r="OFM5" s="4"/>
      <c r="OFO5" s="10"/>
      <c r="OFP5" s="11"/>
      <c r="OFQ5" s="12"/>
      <c r="OFR5" s="13"/>
      <c r="OFS5" s="12"/>
      <c r="OFT5" s="11"/>
      <c r="OFU5" s="13"/>
      <c r="OFV5" s="12"/>
      <c r="OFW5" s="12"/>
      <c r="OFX5" s="11"/>
      <c r="OFY5" s="13"/>
      <c r="OFZ5" s="4"/>
      <c r="OGA5" s="4"/>
      <c r="OGB5" s="4"/>
      <c r="OGC5" s="4"/>
      <c r="OGD5" s="4"/>
      <c r="OGE5" s="4"/>
      <c r="OGF5" s="4"/>
      <c r="OGG5" s="4"/>
      <c r="OGI5" s="4"/>
      <c r="OGK5" s="10"/>
      <c r="OGL5" s="11"/>
      <c r="OGM5" s="12"/>
      <c r="OGN5" s="13"/>
      <c r="OGO5" s="12"/>
      <c r="OGP5" s="11"/>
      <c r="OGQ5" s="13"/>
      <c r="OGR5" s="12"/>
      <c r="OGS5" s="12"/>
      <c r="OGT5" s="11"/>
      <c r="OGU5" s="13"/>
      <c r="OGV5" s="4"/>
      <c r="OGW5" s="4"/>
      <c r="OGX5" s="4"/>
      <c r="OGY5" s="4"/>
      <c r="OGZ5" s="4"/>
      <c r="OHA5" s="4"/>
      <c r="OHB5" s="4"/>
      <c r="OHC5" s="4"/>
      <c r="OHE5" s="4"/>
      <c r="OHG5" s="10"/>
      <c r="OHH5" s="11"/>
      <c r="OHI5" s="12"/>
      <c r="OHJ5" s="13"/>
      <c r="OHK5" s="12"/>
      <c r="OHL5" s="11"/>
      <c r="OHM5" s="13"/>
      <c r="OHN5" s="12"/>
      <c r="OHO5" s="12"/>
      <c r="OHP5" s="11"/>
      <c r="OHQ5" s="13"/>
      <c r="OHR5" s="4"/>
      <c r="OHS5" s="4"/>
      <c r="OHT5" s="4"/>
      <c r="OHU5" s="4"/>
      <c r="OHV5" s="4"/>
      <c r="OHW5" s="4"/>
      <c r="OHX5" s="4"/>
      <c r="OHY5" s="4"/>
      <c r="OIA5" s="4"/>
      <c r="OIC5" s="10"/>
      <c r="OID5" s="11"/>
      <c r="OIE5" s="12"/>
      <c r="OIF5" s="13"/>
      <c r="OIG5" s="12"/>
      <c r="OIH5" s="11"/>
      <c r="OII5" s="13"/>
      <c r="OIJ5" s="12"/>
      <c r="OIK5" s="12"/>
      <c r="OIL5" s="11"/>
      <c r="OIM5" s="13"/>
      <c r="OIN5" s="4"/>
      <c r="OIO5" s="4"/>
      <c r="OIP5" s="4"/>
      <c r="OIQ5" s="4"/>
      <c r="OIR5" s="4"/>
      <c r="OIS5" s="4"/>
      <c r="OIT5" s="4"/>
      <c r="OIU5" s="4"/>
      <c r="OIW5" s="4"/>
      <c r="OIY5" s="10"/>
      <c r="OIZ5" s="11"/>
      <c r="OJA5" s="12"/>
      <c r="OJB5" s="13"/>
      <c r="OJC5" s="12"/>
      <c r="OJD5" s="11"/>
      <c r="OJE5" s="13"/>
      <c r="OJF5" s="12"/>
      <c r="OJG5" s="12"/>
      <c r="OJH5" s="11"/>
      <c r="OJI5" s="13"/>
      <c r="OJJ5" s="4"/>
      <c r="OJK5" s="4"/>
      <c r="OJL5" s="4"/>
      <c r="OJM5" s="4"/>
      <c r="OJN5" s="4"/>
      <c r="OJO5" s="4"/>
      <c r="OJP5" s="4"/>
      <c r="OJQ5" s="4"/>
      <c r="OJS5" s="4"/>
      <c r="OJU5" s="10"/>
      <c r="OJV5" s="11"/>
      <c r="OJW5" s="12"/>
      <c r="OJX5" s="13"/>
      <c r="OJY5" s="12"/>
      <c r="OJZ5" s="11"/>
      <c r="OKA5" s="13"/>
      <c r="OKB5" s="12"/>
      <c r="OKC5" s="12"/>
      <c r="OKD5" s="11"/>
      <c r="OKE5" s="13"/>
      <c r="OKF5" s="4"/>
      <c r="OKG5" s="4"/>
      <c r="OKH5" s="4"/>
      <c r="OKI5" s="4"/>
      <c r="OKJ5" s="4"/>
      <c r="OKK5" s="4"/>
      <c r="OKL5" s="4"/>
      <c r="OKM5" s="4"/>
      <c r="OKO5" s="4"/>
      <c r="OKQ5" s="10"/>
      <c r="OKR5" s="11"/>
      <c r="OKS5" s="12"/>
      <c r="OKT5" s="13"/>
      <c r="OKU5" s="12"/>
      <c r="OKV5" s="11"/>
      <c r="OKW5" s="13"/>
      <c r="OKX5" s="12"/>
      <c r="OKY5" s="12"/>
      <c r="OKZ5" s="11"/>
      <c r="OLA5" s="13"/>
      <c r="OLB5" s="4"/>
      <c r="OLC5" s="4"/>
      <c r="OLD5" s="4"/>
      <c r="OLE5" s="4"/>
      <c r="OLF5" s="4"/>
      <c r="OLG5" s="4"/>
      <c r="OLH5" s="4"/>
      <c r="OLI5" s="4"/>
      <c r="OLK5" s="4"/>
      <c r="OLM5" s="10"/>
      <c r="OLN5" s="11"/>
      <c r="OLO5" s="12"/>
      <c r="OLP5" s="13"/>
      <c r="OLQ5" s="12"/>
      <c r="OLR5" s="11"/>
      <c r="OLS5" s="13"/>
      <c r="OLT5" s="12"/>
      <c r="OLU5" s="12"/>
      <c r="OLV5" s="11"/>
      <c r="OLW5" s="13"/>
      <c r="OLX5" s="4"/>
      <c r="OLY5" s="4"/>
      <c r="OLZ5" s="4"/>
      <c r="OMA5" s="4"/>
      <c r="OMB5" s="4"/>
      <c r="OMC5" s="4"/>
      <c r="OMD5" s="4"/>
      <c r="OME5" s="4"/>
      <c r="OMG5" s="4"/>
      <c r="OMI5" s="10"/>
      <c r="OMJ5" s="11"/>
      <c r="OMK5" s="12"/>
      <c r="OML5" s="13"/>
      <c r="OMM5" s="12"/>
      <c r="OMN5" s="11"/>
      <c r="OMO5" s="13"/>
      <c r="OMP5" s="12"/>
      <c r="OMQ5" s="12"/>
      <c r="OMR5" s="11"/>
      <c r="OMS5" s="13"/>
      <c r="OMT5" s="4"/>
      <c r="OMU5" s="4"/>
      <c r="OMV5" s="4"/>
      <c r="OMW5" s="4"/>
      <c r="OMX5" s="4"/>
      <c r="OMY5" s="4"/>
      <c r="OMZ5" s="4"/>
      <c r="ONA5" s="4"/>
      <c r="ONC5" s="4"/>
      <c r="ONE5" s="10"/>
      <c r="ONF5" s="11"/>
      <c r="ONG5" s="12"/>
      <c r="ONH5" s="13"/>
      <c r="ONI5" s="12"/>
      <c r="ONJ5" s="11"/>
      <c r="ONK5" s="13"/>
      <c r="ONL5" s="12"/>
      <c r="ONM5" s="12"/>
      <c r="ONN5" s="11"/>
      <c r="ONO5" s="13"/>
      <c r="ONP5" s="4"/>
      <c r="ONQ5" s="4"/>
      <c r="ONR5" s="4"/>
      <c r="ONS5" s="4"/>
      <c r="ONT5" s="4"/>
      <c r="ONU5" s="4"/>
      <c r="ONV5" s="4"/>
      <c r="ONW5" s="4"/>
      <c r="ONY5" s="4"/>
      <c r="OOA5" s="10"/>
      <c r="OOB5" s="11"/>
      <c r="OOC5" s="12"/>
      <c r="OOD5" s="13"/>
      <c r="OOE5" s="12"/>
      <c r="OOF5" s="11"/>
      <c r="OOG5" s="13"/>
      <c r="OOH5" s="12"/>
      <c r="OOI5" s="12"/>
      <c r="OOJ5" s="11"/>
      <c r="OOK5" s="13"/>
      <c r="OOL5" s="4"/>
      <c r="OOM5" s="4"/>
      <c r="OON5" s="4"/>
      <c r="OOO5" s="4"/>
      <c r="OOP5" s="4"/>
      <c r="OOQ5" s="4"/>
      <c r="OOR5" s="4"/>
      <c r="OOS5" s="4"/>
      <c r="OOU5" s="4"/>
      <c r="OOW5" s="10"/>
      <c r="OOX5" s="11"/>
      <c r="OOY5" s="12"/>
      <c r="OOZ5" s="13"/>
      <c r="OPA5" s="12"/>
      <c r="OPB5" s="11"/>
      <c r="OPC5" s="13"/>
      <c r="OPD5" s="12"/>
      <c r="OPE5" s="12"/>
      <c r="OPF5" s="11"/>
      <c r="OPG5" s="13"/>
      <c r="OPH5" s="4"/>
      <c r="OPI5" s="4"/>
      <c r="OPJ5" s="4"/>
      <c r="OPK5" s="4"/>
      <c r="OPL5" s="4"/>
      <c r="OPM5" s="4"/>
      <c r="OPN5" s="4"/>
      <c r="OPO5" s="4"/>
      <c r="OPQ5" s="4"/>
      <c r="OPS5" s="10"/>
      <c r="OPT5" s="11"/>
      <c r="OPU5" s="12"/>
      <c r="OPV5" s="13"/>
      <c r="OPW5" s="12"/>
      <c r="OPX5" s="11"/>
      <c r="OPY5" s="13"/>
      <c r="OPZ5" s="12"/>
      <c r="OQA5" s="12"/>
      <c r="OQB5" s="11"/>
      <c r="OQC5" s="13"/>
      <c r="OQD5" s="4"/>
      <c r="OQE5" s="4"/>
      <c r="OQF5" s="4"/>
      <c r="OQG5" s="4"/>
      <c r="OQH5" s="4"/>
      <c r="OQI5" s="4"/>
      <c r="OQJ5" s="4"/>
      <c r="OQK5" s="4"/>
      <c r="OQM5" s="4"/>
      <c r="OQO5" s="10"/>
      <c r="OQP5" s="11"/>
      <c r="OQQ5" s="12"/>
      <c r="OQR5" s="13"/>
      <c r="OQS5" s="12"/>
      <c r="OQT5" s="11"/>
      <c r="OQU5" s="13"/>
      <c r="OQV5" s="12"/>
      <c r="OQW5" s="12"/>
      <c r="OQX5" s="11"/>
      <c r="OQY5" s="13"/>
      <c r="OQZ5" s="4"/>
      <c r="ORA5" s="4"/>
      <c r="ORB5" s="4"/>
      <c r="ORC5" s="4"/>
      <c r="ORD5" s="4"/>
      <c r="ORE5" s="4"/>
      <c r="ORF5" s="4"/>
      <c r="ORG5" s="4"/>
      <c r="ORI5" s="4"/>
      <c r="ORK5" s="10"/>
      <c r="ORL5" s="11"/>
      <c r="ORM5" s="12"/>
      <c r="ORN5" s="13"/>
      <c r="ORO5" s="12"/>
      <c r="ORP5" s="11"/>
      <c r="ORQ5" s="13"/>
      <c r="ORR5" s="12"/>
      <c r="ORS5" s="12"/>
      <c r="ORT5" s="11"/>
      <c r="ORU5" s="13"/>
      <c r="ORV5" s="4"/>
      <c r="ORW5" s="4"/>
      <c r="ORX5" s="4"/>
      <c r="ORY5" s="4"/>
      <c r="ORZ5" s="4"/>
      <c r="OSA5" s="4"/>
      <c r="OSB5" s="4"/>
      <c r="OSC5" s="4"/>
      <c r="OSE5" s="4"/>
      <c r="OSG5" s="10"/>
      <c r="OSH5" s="11"/>
      <c r="OSI5" s="12"/>
      <c r="OSJ5" s="13"/>
      <c r="OSK5" s="12"/>
      <c r="OSL5" s="11"/>
      <c r="OSM5" s="13"/>
      <c r="OSN5" s="12"/>
      <c r="OSO5" s="12"/>
      <c r="OSP5" s="11"/>
      <c r="OSQ5" s="13"/>
      <c r="OSR5" s="4"/>
      <c r="OSS5" s="4"/>
      <c r="OST5" s="4"/>
      <c r="OSU5" s="4"/>
      <c r="OSV5" s="4"/>
      <c r="OSW5" s="4"/>
      <c r="OSX5" s="4"/>
      <c r="OSY5" s="4"/>
      <c r="OTA5" s="4"/>
      <c r="OTC5" s="10"/>
      <c r="OTD5" s="11"/>
      <c r="OTE5" s="12"/>
      <c r="OTF5" s="13"/>
      <c r="OTG5" s="12"/>
      <c r="OTH5" s="11"/>
      <c r="OTI5" s="13"/>
      <c r="OTJ5" s="12"/>
      <c r="OTK5" s="12"/>
      <c r="OTL5" s="11"/>
      <c r="OTM5" s="13"/>
      <c r="OTN5" s="4"/>
      <c r="OTO5" s="4"/>
      <c r="OTP5" s="4"/>
      <c r="OTQ5" s="4"/>
      <c r="OTR5" s="4"/>
      <c r="OTS5" s="4"/>
      <c r="OTT5" s="4"/>
      <c r="OTU5" s="4"/>
      <c r="OTW5" s="4"/>
      <c r="OTY5" s="10"/>
      <c r="OTZ5" s="11"/>
      <c r="OUA5" s="12"/>
      <c r="OUB5" s="13"/>
      <c r="OUC5" s="12"/>
      <c r="OUD5" s="11"/>
      <c r="OUE5" s="13"/>
      <c r="OUF5" s="12"/>
      <c r="OUG5" s="12"/>
      <c r="OUH5" s="11"/>
      <c r="OUI5" s="13"/>
      <c r="OUJ5" s="4"/>
      <c r="OUK5" s="4"/>
      <c r="OUL5" s="4"/>
      <c r="OUM5" s="4"/>
      <c r="OUN5" s="4"/>
      <c r="OUO5" s="4"/>
      <c r="OUP5" s="4"/>
      <c r="OUQ5" s="4"/>
      <c r="OUS5" s="4"/>
      <c r="OUU5" s="10"/>
      <c r="OUV5" s="11"/>
      <c r="OUW5" s="12"/>
      <c r="OUX5" s="13"/>
      <c r="OUY5" s="12"/>
      <c r="OUZ5" s="11"/>
      <c r="OVA5" s="13"/>
      <c r="OVB5" s="12"/>
      <c r="OVC5" s="12"/>
      <c r="OVD5" s="11"/>
      <c r="OVE5" s="13"/>
      <c r="OVF5" s="4"/>
      <c r="OVG5" s="4"/>
      <c r="OVH5" s="4"/>
      <c r="OVI5" s="4"/>
      <c r="OVJ5" s="4"/>
      <c r="OVK5" s="4"/>
      <c r="OVL5" s="4"/>
      <c r="OVM5" s="4"/>
      <c r="OVO5" s="4"/>
      <c r="OVQ5" s="10"/>
      <c r="OVR5" s="11"/>
      <c r="OVS5" s="12"/>
      <c r="OVT5" s="13"/>
      <c r="OVU5" s="12"/>
      <c r="OVV5" s="11"/>
      <c r="OVW5" s="13"/>
      <c r="OVX5" s="12"/>
      <c r="OVY5" s="12"/>
      <c r="OVZ5" s="11"/>
      <c r="OWA5" s="13"/>
      <c r="OWB5" s="4"/>
      <c r="OWC5" s="4"/>
      <c r="OWD5" s="4"/>
      <c r="OWE5" s="4"/>
      <c r="OWF5" s="4"/>
      <c r="OWG5" s="4"/>
      <c r="OWH5" s="4"/>
      <c r="OWI5" s="4"/>
      <c r="OWK5" s="4"/>
      <c r="OWM5" s="10"/>
      <c r="OWN5" s="11"/>
      <c r="OWO5" s="12"/>
      <c r="OWP5" s="13"/>
      <c r="OWQ5" s="12"/>
      <c r="OWR5" s="11"/>
      <c r="OWS5" s="13"/>
      <c r="OWT5" s="12"/>
      <c r="OWU5" s="12"/>
      <c r="OWV5" s="11"/>
      <c r="OWW5" s="13"/>
      <c r="OWX5" s="4"/>
      <c r="OWY5" s="4"/>
      <c r="OWZ5" s="4"/>
      <c r="OXA5" s="4"/>
      <c r="OXB5" s="4"/>
      <c r="OXC5" s="4"/>
      <c r="OXD5" s="4"/>
      <c r="OXE5" s="4"/>
      <c r="OXG5" s="4"/>
      <c r="OXI5" s="10"/>
      <c r="OXJ5" s="11"/>
      <c r="OXK5" s="12"/>
      <c r="OXL5" s="13"/>
      <c r="OXM5" s="12"/>
      <c r="OXN5" s="11"/>
      <c r="OXO5" s="13"/>
      <c r="OXP5" s="12"/>
      <c r="OXQ5" s="12"/>
      <c r="OXR5" s="11"/>
      <c r="OXS5" s="13"/>
      <c r="OXT5" s="4"/>
      <c r="OXU5" s="4"/>
      <c r="OXV5" s="4"/>
      <c r="OXW5" s="4"/>
      <c r="OXX5" s="4"/>
      <c r="OXY5" s="4"/>
      <c r="OXZ5" s="4"/>
      <c r="OYA5" s="4"/>
      <c r="OYC5" s="4"/>
      <c r="OYE5" s="10"/>
      <c r="OYF5" s="11"/>
      <c r="OYG5" s="12"/>
      <c r="OYH5" s="13"/>
      <c r="OYI5" s="12"/>
      <c r="OYJ5" s="11"/>
      <c r="OYK5" s="13"/>
      <c r="OYL5" s="12"/>
      <c r="OYM5" s="12"/>
      <c r="OYN5" s="11"/>
      <c r="OYO5" s="13"/>
      <c r="OYP5" s="4"/>
      <c r="OYQ5" s="4"/>
      <c r="OYR5" s="4"/>
      <c r="OYS5" s="4"/>
      <c r="OYT5" s="4"/>
      <c r="OYU5" s="4"/>
      <c r="OYV5" s="4"/>
      <c r="OYW5" s="4"/>
      <c r="OYY5" s="4"/>
      <c r="OZA5" s="10"/>
      <c r="OZB5" s="11"/>
      <c r="OZC5" s="12"/>
      <c r="OZD5" s="13"/>
      <c r="OZE5" s="12"/>
      <c r="OZF5" s="11"/>
      <c r="OZG5" s="13"/>
      <c r="OZH5" s="12"/>
      <c r="OZI5" s="12"/>
      <c r="OZJ5" s="11"/>
      <c r="OZK5" s="13"/>
      <c r="OZL5" s="4"/>
      <c r="OZM5" s="4"/>
      <c r="OZN5" s="4"/>
      <c r="OZO5" s="4"/>
      <c r="OZP5" s="4"/>
      <c r="OZQ5" s="4"/>
      <c r="OZR5" s="4"/>
      <c r="OZS5" s="4"/>
      <c r="OZU5" s="4"/>
      <c r="OZW5" s="10"/>
      <c r="OZX5" s="11"/>
      <c r="OZY5" s="12"/>
      <c r="OZZ5" s="13"/>
      <c r="PAA5" s="12"/>
      <c r="PAB5" s="11"/>
      <c r="PAC5" s="13"/>
      <c r="PAD5" s="12"/>
      <c r="PAE5" s="12"/>
      <c r="PAF5" s="11"/>
      <c r="PAG5" s="13"/>
      <c r="PAH5" s="4"/>
      <c r="PAI5" s="4"/>
      <c r="PAJ5" s="4"/>
      <c r="PAK5" s="4"/>
      <c r="PAL5" s="4"/>
      <c r="PAM5" s="4"/>
      <c r="PAN5" s="4"/>
      <c r="PAO5" s="4"/>
      <c r="PAQ5" s="4"/>
      <c r="PAS5" s="10"/>
      <c r="PAT5" s="11"/>
      <c r="PAU5" s="12"/>
      <c r="PAV5" s="13"/>
      <c r="PAW5" s="12"/>
      <c r="PAX5" s="11"/>
      <c r="PAY5" s="13"/>
      <c r="PAZ5" s="12"/>
      <c r="PBA5" s="12"/>
      <c r="PBB5" s="11"/>
      <c r="PBC5" s="13"/>
      <c r="PBD5" s="4"/>
      <c r="PBE5" s="4"/>
      <c r="PBF5" s="4"/>
      <c r="PBG5" s="4"/>
      <c r="PBH5" s="4"/>
      <c r="PBI5" s="4"/>
      <c r="PBJ5" s="4"/>
      <c r="PBK5" s="4"/>
      <c r="PBM5" s="4"/>
      <c r="PBO5" s="10"/>
      <c r="PBP5" s="11"/>
      <c r="PBQ5" s="12"/>
      <c r="PBR5" s="13"/>
      <c r="PBS5" s="12"/>
      <c r="PBT5" s="11"/>
      <c r="PBU5" s="13"/>
      <c r="PBV5" s="12"/>
      <c r="PBW5" s="12"/>
      <c r="PBX5" s="11"/>
      <c r="PBY5" s="13"/>
      <c r="PBZ5" s="4"/>
      <c r="PCA5" s="4"/>
      <c r="PCB5" s="4"/>
      <c r="PCC5" s="4"/>
      <c r="PCD5" s="4"/>
      <c r="PCE5" s="4"/>
      <c r="PCF5" s="4"/>
      <c r="PCG5" s="4"/>
      <c r="PCI5" s="4"/>
      <c r="PCK5" s="10"/>
      <c r="PCL5" s="11"/>
      <c r="PCM5" s="12"/>
      <c r="PCN5" s="13"/>
      <c r="PCO5" s="12"/>
      <c r="PCP5" s="11"/>
      <c r="PCQ5" s="13"/>
      <c r="PCR5" s="12"/>
      <c r="PCS5" s="12"/>
      <c r="PCT5" s="11"/>
      <c r="PCU5" s="13"/>
      <c r="PCV5" s="4"/>
      <c r="PCW5" s="4"/>
      <c r="PCX5" s="4"/>
      <c r="PCY5" s="4"/>
      <c r="PCZ5" s="4"/>
      <c r="PDA5" s="4"/>
      <c r="PDB5" s="4"/>
      <c r="PDC5" s="4"/>
      <c r="PDE5" s="4"/>
      <c r="PDG5" s="10"/>
      <c r="PDH5" s="11"/>
      <c r="PDI5" s="12"/>
      <c r="PDJ5" s="13"/>
      <c r="PDK5" s="12"/>
      <c r="PDL5" s="11"/>
      <c r="PDM5" s="13"/>
      <c r="PDN5" s="12"/>
      <c r="PDO5" s="12"/>
      <c r="PDP5" s="11"/>
      <c r="PDQ5" s="13"/>
      <c r="PDR5" s="4"/>
      <c r="PDS5" s="4"/>
      <c r="PDT5" s="4"/>
      <c r="PDU5" s="4"/>
      <c r="PDV5" s="4"/>
      <c r="PDW5" s="4"/>
      <c r="PDX5" s="4"/>
      <c r="PDY5" s="4"/>
      <c r="PEA5" s="4"/>
      <c r="PEC5" s="10"/>
      <c r="PED5" s="11"/>
      <c r="PEE5" s="12"/>
      <c r="PEF5" s="13"/>
      <c r="PEG5" s="12"/>
      <c r="PEH5" s="11"/>
      <c r="PEI5" s="13"/>
      <c r="PEJ5" s="12"/>
      <c r="PEK5" s="12"/>
      <c r="PEL5" s="11"/>
      <c r="PEM5" s="13"/>
      <c r="PEN5" s="4"/>
      <c r="PEO5" s="4"/>
      <c r="PEP5" s="4"/>
      <c r="PEQ5" s="4"/>
      <c r="PER5" s="4"/>
      <c r="PES5" s="4"/>
      <c r="PET5" s="4"/>
      <c r="PEU5" s="4"/>
      <c r="PEW5" s="4"/>
      <c r="PEY5" s="10"/>
      <c r="PEZ5" s="11"/>
      <c r="PFA5" s="12"/>
      <c r="PFB5" s="13"/>
      <c r="PFC5" s="12"/>
      <c r="PFD5" s="11"/>
      <c r="PFE5" s="13"/>
      <c r="PFF5" s="12"/>
      <c r="PFG5" s="12"/>
      <c r="PFH5" s="11"/>
      <c r="PFI5" s="13"/>
      <c r="PFJ5" s="4"/>
      <c r="PFK5" s="4"/>
      <c r="PFL5" s="4"/>
      <c r="PFM5" s="4"/>
      <c r="PFN5" s="4"/>
      <c r="PFO5" s="4"/>
      <c r="PFP5" s="4"/>
      <c r="PFQ5" s="4"/>
      <c r="PFS5" s="4"/>
      <c r="PFU5" s="10"/>
      <c r="PFV5" s="11"/>
      <c r="PFW5" s="12"/>
      <c r="PFX5" s="13"/>
      <c r="PFY5" s="12"/>
      <c r="PFZ5" s="11"/>
      <c r="PGA5" s="13"/>
      <c r="PGB5" s="12"/>
      <c r="PGC5" s="12"/>
      <c r="PGD5" s="11"/>
      <c r="PGE5" s="13"/>
      <c r="PGF5" s="4"/>
      <c r="PGG5" s="4"/>
      <c r="PGH5" s="4"/>
      <c r="PGI5" s="4"/>
      <c r="PGJ5" s="4"/>
      <c r="PGK5" s="4"/>
      <c r="PGL5" s="4"/>
      <c r="PGM5" s="4"/>
      <c r="PGO5" s="4"/>
      <c r="PGQ5" s="10"/>
      <c r="PGR5" s="11"/>
      <c r="PGS5" s="12"/>
      <c r="PGT5" s="13"/>
      <c r="PGU5" s="12"/>
      <c r="PGV5" s="11"/>
      <c r="PGW5" s="13"/>
      <c r="PGX5" s="12"/>
      <c r="PGY5" s="12"/>
      <c r="PGZ5" s="11"/>
      <c r="PHA5" s="13"/>
      <c r="PHB5" s="4"/>
      <c r="PHC5" s="4"/>
      <c r="PHD5" s="4"/>
      <c r="PHE5" s="4"/>
      <c r="PHF5" s="4"/>
      <c r="PHG5" s="4"/>
      <c r="PHH5" s="4"/>
      <c r="PHI5" s="4"/>
      <c r="PHK5" s="4"/>
      <c r="PHM5" s="10"/>
      <c r="PHN5" s="11"/>
      <c r="PHO5" s="12"/>
      <c r="PHP5" s="13"/>
      <c r="PHQ5" s="12"/>
      <c r="PHR5" s="11"/>
      <c r="PHS5" s="13"/>
      <c r="PHT5" s="12"/>
      <c r="PHU5" s="12"/>
      <c r="PHV5" s="11"/>
      <c r="PHW5" s="13"/>
      <c r="PHX5" s="4"/>
      <c r="PHY5" s="4"/>
      <c r="PHZ5" s="4"/>
      <c r="PIA5" s="4"/>
      <c r="PIB5" s="4"/>
      <c r="PIC5" s="4"/>
      <c r="PID5" s="4"/>
      <c r="PIE5" s="4"/>
      <c r="PIG5" s="4"/>
      <c r="PII5" s="10"/>
      <c r="PIJ5" s="11"/>
      <c r="PIK5" s="12"/>
      <c r="PIL5" s="13"/>
      <c r="PIM5" s="12"/>
      <c r="PIN5" s="11"/>
      <c r="PIO5" s="13"/>
      <c r="PIP5" s="12"/>
      <c r="PIQ5" s="12"/>
      <c r="PIR5" s="11"/>
      <c r="PIS5" s="13"/>
      <c r="PIT5" s="4"/>
      <c r="PIU5" s="4"/>
      <c r="PIV5" s="4"/>
      <c r="PIW5" s="4"/>
      <c r="PIX5" s="4"/>
      <c r="PIY5" s="4"/>
      <c r="PIZ5" s="4"/>
      <c r="PJA5" s="4"/>
      <c r="PJC5" s="4"/>
      <c r="PJE5" s="10"/>
      <c r="PJF5" s="11"/>
      <c r="PJG5" s="12"/>
      <c r="PJH5" s="13"/>
      <c r="PJI5" s="12"/>
      <c r="PJJ5" s="11"/>
      <c r="PJK5" s="13"/>
      <c r="PJL5" s="12"/>
      <c r="PJM5" s="12"/>
      <c r="PJN5" s="11"/>
      <c r="PJO5" s="13"/>
      <c r="PJP5" s="4"/>
      <c r="PJQ5" s="4"/>
      <c r="PJR5" s="4"/>
      <c r="PJS5" s="4"/>
      <c r="PJT5" s="4"/>
      <c r="PJU5" s="4"/>
      <c r="PJV5" s="4"/>
      <c r="PJW5" s="4"/>
      <c r="PJY5" s="4"/>
      <c r="PKA5" s="10"/>
      <c r="PKB5" s="11"/>
      <c r="PKC5" s="12"/>
      <c r="PKD5" s="13"/>
      <c r="PKE5" s="12"/>
      <c r="PKF5" s="11"/>
      <c r="PKG5" s="13"/>
      <c r="PKH5" s="12"/>
      <c r="PKI5" s="12"/>
      <c r="PKJ5" s="11"/>
      <c r="PKK5" s="13"/>
      <c r="PKL5" s="4"/>
      <c r="PKM5" s="4"/>
      <c r="PKN5" s="4"/>
      <c r="PKO5" s="4"/>
      <c r="PKP5" s="4"/>
      <c r="PKQ5" s="4"/>
      <c r="PKR5" s="4"/>
      <c r="PKS5" s="4"/>
      <c r="PKU5" s="4"/>
      <c r="PKW5" s="10"/>
      <c r="PKX5" s="11"/>
      <c r="PKY5" s="12"/>
      <c r="PKZ5" s="13"/>
      <c r="PLA5" s="12"/>
      <c r="PLB5" s="11"/>
      <c r="PLC5" s="13"/>
      <c r="PLD5" s="12"/>
      <c r="PLE5" s="12"/>
      <c r="PLF5" s="11"/>
      <c r="PLG5" s="13"/>
      <c r="PLH5" s="4"/>
      <c r="PLI5" s="4"/>
      <c r="PLJ5" s="4"/>
      <c r="PLK5" s="4"/>
      <c r="PLL5" s="4"/>
      <c r="PLM5" s="4"/>
      <c r="PLN5" s="4"/>
      <c r="PLO5" s="4"/>
      <c r="PLQ5" s="4"/>
      <c r="PLS5" s="10"/>
      <c r="PLT5" s="11"/>
      <c r="PLU5" s="12"/>
      <c r="PLV5" s="13"/>
      <c r="PLW5" s="12"/>
      <c r="PLX5" s="11"/>
      <c r="PLY5" s="13"/>
      <c r="PLZ5" s="12"/>
      <c r="PMA5" s="12"/>
      <c r="PMB5" s="11"/>
      <c r="PMC5" s="13"/>
      <c r="PMD5" s="4"/>
      <c r="PME5" s="4"/>
      <c r="PMF5" s="4"/>
      <c r="PMG5" s="4"/>
      <c r="PMH5" s="4"/>
      <c r="PMI5" s="4"/>
      <c r="PMJ5" s="4"/>
      <c r="PMK5" s="4"/>
      <c r="PMM5" s="4"/>
      <c r="PMO5" s="10"/>
      <c r="PMP5" s="11"/>
      <c r="PMQ5" s="12"/>
      <c r="PMR5" s="13"/>
      <c r="PMS5" s="12"/>
      <c r="PMT5" s="11"/>
      <c r="PMU5" s="13"/>
      <c r="PMV5" s="12"/>
      <c r="PMW5" s="12"/>
      <c r="PMX5" s="11"/>
      <c r="PMY5" s="13"/>
      <c r="PMZ5" s="4"/>
      <c r="PNA5" s="4"/>
      <c r="PNB5" s="4"/>
      <c r="PNC5" s="4"/>
      <c r="PND5" s="4"/>
      <c r="PNE5" s="4"/>
      <c r="PNF5" s="4"/>
      <c r="PNG5" s="4"/>
      <c r="PNI5" s="4"/>
      <c r="PNK5" s="10"/>
      <c r="PNL5" s="11"/>
      <c r="PNM5" s="12"/>
      <c r="PNN5" s="13"/>
      <c r="PNO5" s="12"/>
      <c r="PNP5" s="11"/>
      <c r="PNQ5" s="13"/>
      <c r="PNR5" s="12"/>
      <c r="PNS5" s="12"/>
      <c r="PNT5" s="11"/>
      <c r="PNU5" s="13"/>
      <c r="PNV5" s="4"/>
      <c r="PNW5" s="4"/>
      <c r="PNX5" s="4"/>
      <c r="PNY5" s="4"/>
      <c r="PNZ5" s="4"/>
      <c r="POA5" s="4"/>
      <c r="POB5" s="4"/>
      <c r="POC5" s="4"/>
      <c r="POE5" s="4"/>
      <c r="POG5" s="10"/>
      <c r="POH5" s="11"/>
      <c r="POI5" s="12"/>
      <c r="POJ5" s="13"/>
      <c r="POK5" s="12"/>
      <c r="POL5" s="11"/>
      <c r="POM5" s="13"/>
      <c r="PON5" s="12"/>
      <c r="POO5" s="12"/>
      <c r="POP5" s="11"/>
      <c r="POQ5" s="13"/>
      <c r="POR5" s="4"/>
      <c r="POS5" s="4"/>
      <c r="POT5" s="4"/>
      <c r="POU5" s="4"/>
      <c r="POV5" s="4"/>
      <c r="POW5" s="4"/>
      <c r="POX5" s="4"/>
      <c r="POY5" s="4"/>
      <c r="PPA5" s="4"/>
      <c r="PPC5" s="10"/>
      <c r="PPD5" s="11"/>
      <c r="PPE5" s="12"/>
      <c r="PPF5" s="13"/>
      <c r="PPG5" s="12"/>
      <c r="PPH5" s="11"/>
      <c r="PPI5" s="13"/>
      <c r="PPJ5" s="12"/>
      <c r="PPK5" s="12"/>
      <c r="PPL5" s="11"/>
      <c r="PPM5" s="13"/>
      <c r="PPN5" s="4"/>
      <c r="PPO5" s="4"/>
      <c r="PPP5" s="4"/>
      <c r="PPQ5" s="4"/>
      <c r="PPR5" s="4"/>
      <c r="PPS5" s="4"/>
      <c r="PPT5" s="4"/>
      <c r="PPU5" s="4"/>
      <c r="PPW5" s="4"/>
      <c r="PPY5" s="10"/>
      <c r="PPZ5" s="11"/>
      <c r="PQA5" s="12"/>
      <c r="PQB5" s="13"/>
      <c r="PQC5" s="12"/>
      <c r="PQD5" s="11"/>
      <c r="PQE5" s="13"/>
      <c r="PQF5" s="12"/>
      <c r="PQG5" s="12"/>
      <c r="PQH5" s="11"/>
      <c r="PQI5" s="13"/>
      <c r="PQJ5" s="4"/>
      <c r="PQK5" s="4"/>
      <c r="PQL5" s="4"/>
      <c r="PQM5" s="4"/>
      <c r="PQN5" s="4"/>
      <c r="PQO5" s="4"/>
      <c r="PQP5" s="4"/>
      <c r="PQQ5" s="4"/>
      <c r="PQS5" s="4"/>
      <c r="PQU5" s="10"/>
      <c r="PQV5" s="11"/>
      <c r="PQW5" s="12"/>
      <c r="PQX5" s="13"/>
      <c r="PQY5" s="12"/>
      <c r="PQZ5" s="11"/>
      <c r="PRA5" s="13"/>
      <c r="PRB5" s="12"/>
      <c r="PRC5" s="12"/>
      <c r="PRD5" s="11"/>
      <c r="PRE5" s="13"/>
      <c r="PRF5" s="4"/>
      <c r="PRG5" s="4"/>
      <c r="PRH5" s="4"/>
      <c r="PRI5" s="4"/>
      <c r="PRJ5" s="4"/>
      <c r="PRK5" s="4"/>
      <c r="PRL5" s="4"/>
      <c r="PRM5" s="4"/>
      <c r="PRO5" s="4"/>
      <c r="PRQ5" s="10"/>
      <c r="PRR5" s="11"/>
      <c r="PRS5" s="12"/>
      <c r="PRT5" s="13"/>
      <c r="PRU5" s="12"/>
      <c r="PRV5" s="11"/>
      <c r="PRW5" s="13"/>
      <c r="PRX5" s="12"/>
      <c r="PRY5" s="12"/>
      <c r="PRZ5" s="11"/>
      <c r="PSA5" s="13"/>
      <c r="PSB5" s="4"/>
      <c r="PSC5" s="4"/>
      <c r="PSD5" s="4"/>
      <c r="PSE5" s="4"/>
      <c r="PSF5" s="4"/>
      <c r="PSG5" s="4"/>
      <c r="PSH5" s="4"/>
      <c r="PSI5" s="4"/>
      <c r="PSK5" s="4"/>
      <c r="PSM5" s="10"/>
      <c r="PSN5" s="11"/>
      <c r="PSO5" s="12"/>
      <c r="PSP5" s="13"/>
      <c r="PSQ5" s="12"/>
      <c r="PSR5" s="11"/>
      <c r="PSS5" s="13"/>
      <c r="PST5" s="12"/>
      <c r="PSU5" s="12"/>
      <c r="PSV5" s="11"/>
      <c r="PSW5" s="13"/>
      <c r="PSX5" s="4"/>
      <c r="PSY5" s="4"/>
      <c r="PSZ5" s="4"/>
      <c r="PTA5" s="4"/>
      <c r="PTB5" s="4"/>
      <c r="PTC5" s="4"/>
      <c r="PTD5" s="4"/>
      <c r="PTE5" s="4"/>
      <c r="PTG5" s="4"/>
      <c r="PTI5" s="10"/>
      <c r="PTJ5" s="11"/>
      <c r="PTK5" s="12"/>
      <c r="PTL5" s="13"/>
      <c r="PTM5" s="12"/>
      <c r="PTN5" s="11"/>
      <c r="PTO5" s="13"/>
      <c r="PTP5" s="12"/>
      <c r="PTQ5" s="12"/>
      <c r="PTR5" s="11"/>
      <c r="PTS5" s="13"/>
      <c r="PTT5" s="4"/>
      <c r="PTU5" s="4"/>
      <c r="PTV5" s="4"/>
      <c r="PTW5" s="4"/>
      <c r="PTX5" s="4"/>
      <c r="PTY5" s="4"/>
      <c r="PTZ5" s="4"/>
      <c r="PUA5" s="4"/>
      <c r="PUC5" s="4"/>
      <c r="PUE5" s="10"/>
      <c r="PUF5" s="11"/>
      <c r="PUG5" s="12"/>
      <c r="PUH5" s="13"/>
      <c r="PUI5" s="12"/>
      <c r="PUJ5" s="11"/>
      <c r="PUK5" s="13"/>
      <c r="PUL5" s="12"/>
      <c r="PUM5" s="12"/>
      <c r="PUN5" s="11"/>
      <c r="PUO5" s="13"/>
      <c r="PUP5" s="4"/>
      <c r="PUQ5" s="4"/>
      <c r="PUR5" s="4"/>
      <c r="PUS5" s="4"/>
      <c r="PUT5" s="4"/>
      <c r="PUU5" s="4"/>
      <c r="PUV5" s="4"/>
      <c r="PUW5" s="4"/>
      <c r="PUY5" s="4"/>
      <c r="PVA5" s="10"/>
      <c r="PVB5" s="11"/>
      <c r="PVC5" s="12"/>
      <c r="PVD5" s="13"/>
      <c r="PVE5" s="12"/>
      <c r="PVF5" s="11"/>
      <c r="PVG5" s="13"/>
      <c r="PVH5" s="12"/>
      <c r="PVI5" s="12"/>
      <c r="PVJ5" s="11"/>
      <c r="PVK5" s="13"/>
      <c r="PVL5" s="4"/>
      <c r="PVM5" s="4"/>
      <c r="PVN5" s="4"/>
      <c r="PVO5" s="4"/>
      <c r="PVP5" s="4"/>
      <c r="PVQ5" s="4"/>
      <c r="PVR5" s="4"/>
      <c r="PVS5" s="4"/>
      <c r="PVU5" s="4"/>
      <c r="PVW5" s="10"/>
      <c r="PVX5" s="11"/>
      <c r="PVY5" s="12"/>
      <c r="PVZ5" s="13"/>
      <c r="PWA5" s="12"/>
      <c r="PWB5" s="11"/>
      <c r="PWC5" s="13"/>
      <c r="PWD5" s="12"/>
      <c r="PWE5" s="12"/>
      <c r="PWF5" s="11"/>
      <c r="PWG5" s="13"/>
      <c r="PWH5" s="4"/>
      <c r="PWI5" s="4"/>
      <c r="PWJ5" s="4"/>
      <c r="PWK5" s="4"/>
      <c r="PWL5" s="4"/>
      <c r="PWM5" s="4"/>
      <c r="PWN5" s="4"/>
      <c r="PWO5" s="4"/>
      <c r="PWQ5" s="4"/>
      <c r="PWS5" s="10"/>
      <c r="PWT5" s="11"/>
      <c r="PWU5" s="12"/>
      <c r="PWV5" s="13"/>
      <c r="PWW5" s="12"/>
      <c r="PWX5" s="11"/>
      <c r="PWY5" s="13"/>
      <c r="PWZ5" s="12"/>
      <c r="PXA5" s="12"/>
      <c r="PXB5" s="11"/>
      <c r="PXC5" s="13"/>
      <c r="PXD5" s="4"/>
      <c r="PXE5" s="4"/>
      <c r="PXF5" s="4"/>
      <c r="PXG5" s="4"/>
      <c r="PXH5" s="4"/>
      <c r="PXI5" s="4"/>
      <c r="PXJ5" s="4"/>
      <c r="PXK5" s="4"/>
      <c r="PXM5" s="4"/>
      <c r="PXO5" s="10"/>
      <c r="PXP5" s="11"/>
      <c r="PXQ5" s="12"/>
      <c r="PXR5" s="13"/>
      <c r="PXS5" s="12"/>
      <c r="PXT5" s="11"/>
      <c r="PXU5" s="13"/>
      <c r="PXV5" s="12"/>
      <c r="PXW5" s="12"/>
      <c r="PXX5" s="11"/>
      <c r="PXY5" s="13"/>
      <c r="PXZ5" s="4"/>
      <c r="PYA5" s="4"/>
      <c r="PYB5" s="4"/>
      <c r="PYC5" s="4"/>
      <c r="PYD5" s="4"/>
      <c r="PYE5" s="4"/>
      <c r="PYF5" s="4"/>
      <c r="PYG5" s="4"/>
      <c r="PYI5" s="4"/>
      <c r="PYK5" s="10"/>
      <c r="PYL5" s="11"/>
      <c r="PYM5" s="12"/>
      <c r="PYN5" s="13"/>
      <c r="PYO5" s="12"/>
      <c r="PYP5" s="11"/>
      <c r="PYQ5" s="13"/>
      <c r="PYR5" s="12"/>
      <c r="PYS5" s="12"/>
      <c r="PYT5" s="11"/>
      <c r="PYU5" s="13"/>
      <c r="PYV5" s="4"/>
      <c r="PYW5" s="4"/>
      <c r="PYX5" s="4"/>
      <c r="PYY5" s="4"/>
      <c r="PYZ5" s="4"/>
      <c r="PZA5" s="4"/>
      <c r="PZB5" s="4"/>
      <c r="PZC5" s="4"/>
      <c r="PZE5" s="4"/>
      <c r="PZG5" s="10"/>
      <c r="PZH5" s="11"/>
      <c r="PZI5" s="12"/>
      <c r="PZJ5" s="13"/>
      <c r="PZK5" s="12"/>
      <c r="PZL5" s="11"/>
      <c r="PZM5" s="13"/>
      <c r="PZN5" s="12"/>
      <c r="PZO5" s="12"/>
      <c r="PZP5" s="11"/>
      <c r="PZQ5" s="13"/>
      <c r="PZR5" s="4"/>
      <c r="PZS5" s="4"/>
      <c r="PZT5" s="4"/>
      <c r="PZU5" s="4"/>
      <c r="PZV5" s="4"/>
      <c r="PZW5" s="4"/>
      <c r="PZX5" s="4"/>
      <c r="PZY5" s="4"/>
      <c r="QAA5" s="4"/>
      <c r="QAC5" s="10"/>
      <c r="QAD5" s="11"/>
      <c r="QAE5" s="12"/>
      <c r="QAF5" s="13"/>
      <c r="QAG5" s="12"/>
      <c r="QAH5" s="11"/>
      <c r="QAI5" s="13"/>
      <c r="QAJ5" s="12"/>
      <c r="QAK5" s="12"/>
      <c r="QAL5" s="11"/>
      <c r="QAM5" s="13"/>
      <c r="QAN5" s="4"/>
      <c r="QAO5" s="4"/>
      <c r="QAP5" s="4"/>
      <c r="QAQ5" s="4"/>
      <c r="QAR5" s="4"/>
      <c r="QAS5" s="4"/>
      <c r="QAT5" s="4"/>
      <c r="QAU5" s="4"/>
      <c r="QAW5" s="4"/>
      <c r="QAY5" s="10"/>
      <c r="QAZ5" s="11"/>
      <c r="QBA5" s="12"/>
      <c r="QBB5" s="13"/>
      <c r="QBC5" s="12"/>
      <c r="QBD5" s="11"/>
      <c r="QBE5" s="13"/>
      <c r="QBF5" s="12"/>
      <c r="QBG5" s="12"/>
      <c r="QBH5" s="11"/>
      <c r="QBI5" s="13"/>
      <c r="QBJ5" s="4"/>
      <c r="QBK5" s="4"/>
      <c r="QBL5" s="4"/>
      <c r="QBM5" s="4"/>
      <c r="QBN5" s="4"/>
      <c r="QBO5" s="4"/>
      <c r="QBP5" s="4"/>
      <c r="QBQ5" s="4"/>
      <c r="QBS5" s="4"/>
      <c r="QBU5" s="10"/>
      <c r="QBV5" s="11"/>
      <c r="QBW5" s="12"/>
      <c r="QBX5" s="13"/>
      <c r="QBY5" s="12"/>
      <c r="QBZ5" s="11"/>
      <c r="QCA5" s="13"/>
      <c r="QCB5" s="12"/>
      <c r="QCC5" s="12"/>
      <c r="QCD5" s="11"/>
      <c r="QCE5" s="13"/>
      <c r="QCF5" s="4"/>
      <c r="QCG5" s="4"/>
      <c r="QCH5" s="4"/>
      <c r="QCI5" s="4"/>
      <c r="QCJ5" s="4"/>
      <c r="QCK5" s="4"/>
      <c r="QCL5" s="4"/>
      <c r="QCM5" s="4"/>
      <c r="QCO5" s="4"/>
      <c r="QCQ5" s="10"/>
      <c r="QCR5" s="11"/>
      <c r="QCS5" s="12"/>
      <c r="QCT5" s="13"/>
      <c r="QCU5" s="12"/>
      <c r="QCV5" s="11"/>
      <c r="QCW5" s="13"/>
      <c r="QCX5" s="12"/>
      <c r="QCY5" s="12"/>
      <c r="QCZ5" s="11"/>
      <c r="QDA5" s="13"/>
      <c r="QDB5" s="4"/>
      <c r="QDC5" s="4"/>
      <c r="QDD5" s="4"/>
      <c r="QDE5" s="4"/>
      <c r="QDF5" s="4"/>
      <c r="QDG5" s="4"/>
      <c r="QDH5" s="4"/>
      <c r="QDI5" s="4"/>
      <c r="QDK5" s="4"/>
      <c r="QDM5" s="10"/>
      <c r="QDN5" s="11"/>
      <c r="QDO5" s="12"/>
      <c r="QDP5" s="13"/>
      <c r="QDQ5" s="12"/>
      <c r="QDR5" s="11"/>
      <c r="QDS5" s="13"/>
      <c r="QDT5" s="12"/>
      <c r="QDU5" s="12"/>
      <c r="QDV5" s="11"/>
      <c r="QDW5" s="13"/>
      <c r="QDX5" s="4"/>
      <c r="QDY5" s="4"/>
      <c r="QDZ5" s="4"/>
      <c r="QEA5" s="4"/>
      <c r="QEB5" s="4"/>
      <c r="QEC5" s="4"/>
      <c r="QED5" s="4"/>
      <c r="QEE5" s="4"/>
      <c r="QEG5" s="4"/>
      <c r="QEI5" s="10"/>
      <c r="QEJ5" s="11"/>
      <c r="QEK5" s="12"/>
      <c r="QEL5" s="13"/>
      <c r="QEM5" s="12"/>
      <c r="QEN5" s="11"/>
      <c r="QEO5" s="13"/>
      <c r="QEP5" s="12"/>
      <c r="QEQ5" s="12"/>
      <c r="QER5" s="11"/>
      <c r="QES5" s="13"/>
      <c r="QET5" s="4"/>
      <c r="QEU5" s="4"/>
      <c r="QEV5" s="4"/>
      <c r="QEW5" s="4"/>
      <c r="QEX5" s="4"/>
      <c r="QEY5" s="4"/>
      <c r="QEZ5" s="4"/>
      <c r="QFA5" s="4"/>
      <c r="QFC5" s="4"/>
      <c r="QFE5" s="10"/>
      <c r="QFF5" s="11"/>
      <c r="QFG5" s="12"/>
      <c r="QFH5" s="13"/>
      <c r="QFI5" s="12"/>
      <c r="QFJ5" s="11"/>
      <c r="QFK5" s="13"/>
      <c r="QFL5" s="12"/>
      <c r="QFM5" s="12"/>
      <c r="QFN5" s="11"/>
      <c r="QFO5" s="13"/>
      <c r="QFP5" s="4"/>
      <c r="QFQ5" s="4"/>
      <c r="QFR5" s="4"/>
      <c r="QFS5" s="4"/>
      <c r="QFT5" s="4"/>
      <c r="QFU5" s="4"/>
      <c r="QFV5" s="4"/>
      <c r="QFW5" s="4"/>
      <c r="QFY5" s="4"/>
      <c r="QGA5" s="10"/>
      <c r="QGB5" s="11"/>
      <c r="QGC5" s="12"/>
      <c r="QGD5" s="13"/>
      <c r="QGE5" s="12"/>
      <c r="QGF5" s="11"/>
      <c r="QGG5" s="13"/>
      <c r="QGH5" s="12"/>
      <c r="QGI5" s="12"/>
      <c r="QGJ5" s="11"/>
      <c r="QGK5" s="13"/>
      <c r="QGL5" s="4"/>
      <c r="QGM5" s="4"/>
      <c r="QGN5" s="4"/>
      <c r="QGO5" s="4"/>
      <c r="QGP5" s="4"/>
      <c r="QGQ5" s="4"/>
      <c r="QGR5" s="4"/>
      <c r="QGS5" s="4"/>
      <c r="QGU5" s="4"/>
      <c r="QGW5" s="10"/>
      <c r="QGX5" s="11"/>
      <c r="QGY5" s="12"/>
      <c r="QGZ5" s="13"/>
      <c r="QHA5" s="12"/>
      <c r="QHB5" s="11"/>
      <c r="QHC5" s="13"/>
      <c r="QHD5" s="12"/>
      <c r="QHE5" s="12"/>
      <c r="QHF5" s="11"/>
      <c r="QHG5" s="13"/>
      <c r="QHH5" s="4"/>
      <c r="QHI5" s="4"/>
      <c r="QHJ5" s="4"/>
      <c r="QHK5" s="4"/>
      <c r="QHL5" s="4"/>
      <c r="QHM5" s="4"/>
      <c r="QHN5" s="4"/>
      <c r="QHO5" s="4"/>
      <c r="QHQ5" s="4"/>
      <c r="QHS5" s="10"/>
      <c r="QHT5" s="11"/>
      <c r="QHU5" s="12"/>
      <c r="QHV5" s="13"/>
      <c r="QHW5" s="12"/>
      <c r="QHX5" s="11"/>
      <c r="QHY5" s="13"/>
      <c r="QHZ5" s="12"/>
      <c r="QIA5" s="12"/>
      <c r="QIB5" s="11"/>
      <c r="QIC5" s="13"/>
      <c r="QID5" s="4"/>
      <c r="QIE5" s="4"/>
      <c r="QIF5" s="4"/>
      <c r="QIG5" s="4"/>
      <c r="QIH5" s="4"/>
      <c r="QII5" s="4"/>
      <c r="QIJ5" s="4"/>
      <c r="QIK5" s="4"/>
      <c r="QIM5" s="4"/>
      <c r="QIO5" s="10"/>
      <c r="QIP5" s="11"/>
      <c r="QIQ5" s="12"/>
      <c r="QIR5" s="13"/>
      <c r="QIS5" s="12"/>
      <c r="QIT5" s="11"/>
      <c r="QIU5" s="13"/>
      <c r="QIV5" s="12"/>
      <c r="QIW5" s="12"/>
      <c r="QIX5" s="11"/>
      <c r="QIY5" s="13"/>
      <c r="QIZ5" s="4"/>
      <c r="QJA5" s="4"/>
      <c r="QJB5" s="4"/>
      <c r="QJC5" s="4"/>
      <c r="QJD5" s="4"/>
      <c r="QJE5" s="4"/>
      <c r="QJF5" s="4"/>
      <c r="QJG5" s="4"/>
      <c r="QJI5" s="4"/>
      <c r="QJK5" s="10"/>
      <c r="QJL5" s="11"/>
      <c r="QJM5" s="12"/>
      <c r="QJN5" s="13"/>
      <c r="QJO5" s="12"/>
      <c r="QJP5" s="11"/>
      <c r="QJQ5" s="13"/>
      <c r="QJR5" s="12"/>
      <c r="QJS5" s="12"/>
      <c r="QJT5" s="11"/>
      <c r="QJU5" s="13"/>
      <c r="QJV5" s="4"/>
      <c r="QJW5" s="4"/>
      <c r="QJX5" s="4"/>
      <c r="QJY5" s="4"/>
      <c r="QJZ5" s="4"/>
      <c r="QKA5" s="4"/>
      <c r="QKB5" s="4"/>
      <c r="QKC5" s="4"/>
      <c r="QKE5" s="4"/>
      <c r="QKG5" s="10"/>
      <c r="QKH5" s="11"/>
      <c r="QKI5" s="12"/>
      <c r="QKJ5" s="13"/>
      <c r="QKK5" s="12"/>
      <c r="QKL5" s="11"/>
      <c r="QKM5" s="13"/>
      <c r="QKN5" s="12"/>
      <c r="QKO5" s="12"/>
      <c r="QKP5" s="11"/>
      <c r="QKQ5" s="13"/>
      <c r="QKR5" s="4"/>
      <c r="QKS5" s="4"/>
      <c r="QKT5" s="4"/>
      <c r="QKU5" s="4"/>
      <c r="QKV5" s="4"/>
      <c r="QKW5" s="4"/>
      <c r="QKX5" s="4"/>
      <c r="QKY5" s="4"/>
      <c r="QLA5" s="4"/>
      <c r="QLC5" s="10"/>
      <c r="QLD5" s="11"/>
      <c r="QLE5" s="12"/>
      <c r="QLF5" s="13"/>
      <c r="QLG5" s="12"/>
      <c r="QLH5" s="11"/>
      <c r="QLI5" s="13"/>
      <c r="QLJ5" s="12"/>
      <c r="QLK5" s="12"/>
      <c r="QLL5" s="11"/>
      <c r="QLM5" s="13"/>
      <c r="QLN5" s="4"/>
      <c r="QLO5" s="4"/>
      <c r="QLP5" s="4"/>
      <c r="QLQ5" s="4"/>
      <c r="QLR5" s="4"/>
      <c r="QLS5" s="4"/>
      <c r="QLT5" s="4"/>
      <c r="QLU5" s="4"/>
      <c r="QLW5" s="4"/>
      <c r="QLY5" s="10"/>
      <c r="QLZ5" s="11"/>
      <c r="QMA5" s="12"/>
      <c r="QMB5" s="13"/>
      <c r="QMC5" s="12"/>
      <c r="QMD5" s="11"/>
      <c r="QME5" s="13"/>
      <c r="QMF5" s="12"/>
      <c r="QMG5" s="12"/>
      <c r="QMH5" s="11"/>
      <c r="QMI5" s="13"/>
      <c r="QMJ5" s="4"/>
      <c r="QMK5" s="4"/>
      <c r="QML5" s="4"/>
      <c r="QMM5" s="4"/>
      <c r="QMN5" s="4"/>
      <c r="QMO5" s="4"/>
      <c r="QMP5" s="4"/>
      <c r="QMQ5" s="4"/>
      <c r="QMS5" s="4"/>
      <c r="QMU5" s="10"/>
      <c r="QMV5" s="11"/>
      <c r="QMW5" s="12"/>
      <c r="QMX5" s="13"/>
      <c r="QMY5" s="12"/>
      <c r="QMZ5" s="11"/>
      <c r="QNA5" s="13"/>
      <c r="QNB5" s="12"/>
      <c r="QNC5" s="12"/>
      <c r="QND5" s="11"/>
      <c r="QNE5" s="13"/>
      <c r="QNF5" s="4"/>
      <c r="QNG5" s="4"/>
      <c r="QNH5" s="4"/>
      <c r="QNI5" s="4"/>
      <c r="QNJ5" s="4"/>
      <c r="QNK5" s="4"/>
      <c r="QNL5" s="4"/>
      <c r="QNM5" s="4"/>
      <c r="QNO5" s="4"/>
      <c r="QNQ5" s="10"/>
      <c r="QNR5" s="11"/>
      <c r="QNS5" s="12"/>
      <c r="QNT5" s="13"/>
      <c r="QNU5" s="12"/>
      <c r="QNV5" s="11"/>
      <c r="QNW5" s="13"/>
      <c r="QNX5" s="12"/>
      <c r="QNY5" s="12"/>
      <c r="QNZ5" s="11"/>
      <c r="QOA5" s="13"/>
      <c r="QOB5" s="4"/>
      <c r="QOC5" s="4"/>
      <c r="QOD5" s="4"/>
      <c r="QOE5" s="4"/>
      <c r="QOF5" s="4"/>
      <c r="QOG5" s="4"/>
      <c r="QOH5" s="4"/>
      <c r="QOI5" s="4"/>
      <c r="QOK5" s="4"/>
      <c r="QOM5" s="10"/>
      <c r="QON5" s="11"/>
      <c r="QOO5" s="12"/>
      <c r="QOP5" s="13"/>
      <c r="QOQ5" s="12"/>
      <c r="QOR5" s="11"/>
      <c r="QOS5" s="13"/>
      <c r="QOT5" s="12"/>
      <c r="QOU5" s="12"/>
      <c r="QOV5" s="11"/>
      <c r="QOW5" s="13"/>
      <c r="QOX5" s="4"/>
      <c r="QOY5" s="4"/>
      <c r="QOZ5" s="4"/>
      <c r="QPA5" s="4"/>
      <c r="QPB5" s="4"/>
      <c r="QPC5" s="4"/>
      <c r="QPD5" s="4"/>
      <c r="QPE5" s="4"/>
      <c r="QPG5" s="4"/>
      <c r="QPI5" s="10"/>
      <c r="QPJ5" s="11"/>
      <c r="QPK5" s="12"/>
      <c r="QPL5" s="13"/>
      <c r="QPM5" s="12"/>
      <c r="QPN5" s="11"/>
      <c r="QPO5" s="13"/>
      <c r="QPP5" s="12"/>
      <c r="QPQ5" s="12"/>
      <c r="QPR5" s="11"/>
      <c r="QPS5" s="13"/>
      <c r="QPT5" s="4"/>
      <c r="QPU5" s="4"/>
      <c r="QPV5" s="4"/>
      <c r="QPW5" s="4"/>
      <c r="QPX5" s="4"/>
      <c r="QPY5" s="4"/>
      <c r="QPZ5" s="4"/>
      <c r="QQA5" s="4"/>
      <c r="QQC5" s="4"/>
      <c r="QQE5" s="10"/>
      <c r="QQF5" s="11"/>
      <c r="QQG5" s="12"/>
      <c r="QQH5" s="13"/>
      <c r="QQI5" s="12"/>
      <c r="QQJ5" s="11"/>
      <c r="QQK5" s="13"/>
      <c r="QQL5" s="12"/>
      <c r="QQM5" s="12"/>
      <c r="QQN5" s="11"/>
      <c r="QQO5" s="13"/>
      <c r="QQP5" s="4"/>
      <c r="QQQ5" s="4"/>
      <c r="QQR5" s="4"/>
      <c r="QQS5" s="4"/>
      <c r="QQT5" s="4"/>
      <c r="QQU5" s="4"/>
      <c r="QQV5" s="4"/>
      <c r="QQW5" s="4"/>
      <c r="QQY5" s="4"/>
      <c r="QRA5" s="10"/>
      <c r="QRB5" s="11"/>
      <c r="QRC5" s="12"/>
      <c r="QRD5" s="13"/>
      <c r="QRE5" s="12"/>
      <c r="QRF5" s="11"/>
      <c r="QRG5" s="13"/>
      <c r="QRH5" s="12"/>
      <c r="QRI5" s="12"/>
      <c r="QRJ5" s="11"/>
      <c r="QRK5" s="13"/>
      <c r="QRL5" s="4"/>
      <c r="QRM5" s="4"/>
      <c r="QRN5" s="4"/>
      <c r="QRO5" s="4"/>
      <c r="QRP5" s="4"/>
      <c r="QRQ5" s="4"/>
      <c r="QRR5" s="4"/>
      <c r="QRS5" s="4"/>
      <c r="QRU5" s="4"/>
      <c r="QRW5" s="10"/>
      <c r="QRX5" s="11"/>
      <c r="QRY5" s="12"/>
      <c r="QRZ5" s="13"/>
      <c r="QSA5" s="12"/>
      <c r="QSB5" s="11"/>
      <c r="QSC5" s="13"/>
      <c r="QSD5" s="12"/>
      <c r="QSE5" s="12"/>
      <c r="QSF5" s="11"/>
      <c r="QSG5" s="13"/>
      <c r="QSH5" s="4"/>
      <c r="QSI5" s="4"/>
      <c r="QSJ5" s="4"/>
      <c r="QSK5" s="4"/>
      <c r="QSL5" s="4"/>
      <c r="QSM5" s="4"/>
      <c r="QSN5" s="4"/>
      <c r="QSO5" s="4"/>
      <c r="QSQ5" s="4"/>
      <c r="QSS5" s="10"/>
      <c r="QST5" s="11"/>
      <c r="QSU5" s="12"/>
      <c r="QSV5" s="13"/>
      <c r="QSW5" s="12"/>
      <c r="QSX5" s="11"/>
      <c r="QSY5" s="13"/>
      <c r="QSZ5" s="12"/>
      <c r="QTA5" s="12"/>
      <c r="QTB5" s="11"/>
      <c r="QTC5" s="13"/>
      <c r="QTD5" s="4"/>
      <c r="QTE5" s="4"/>
      <c r="QTF5" s="4"/>
      <c r="QTG5" s="4"/>
      <c r="QTH5" s="4"/>
      <c r="QTI5" s="4"/>
      <c r="QTJ5" s="4"/>
      <c r="QTK5" s="4"/>
      <c r="QTM5" s="4"/>
      <c r="QTO5" s="10"/>
      <c r="QTP5" s="11"/>
      <c r="QTQ5" s="12"/>
      <c r="QTR5" s="13"/>
      <c r="QTS5" s="12"/>
      <c r="QTT5" s="11"/>
      <c r="QTU5" s="13"/>
      <c r="QTV5" s="12"/>
      <c r="QTW5" s="12"/>
      <c r="QTX5" s="11"/>
      <c r="QTY5" s="13"/>
      <c r="QTZ5" s="4"/>
      <c r="QUA5" s="4"/>
      <c r="QUB5" s="4"/>
      <c r="QUC5" s="4"/>
      <c r="QUD5" s="4"/>
      <c r="QUE5" s="4"/>
      <c r="QUF5" s="4"/>
      <c r="QUG5" s="4"/>
      <c r="QUI5" s="4"/>
      <c r="QUK5" s="10"/>
      <c r="QUL5" s="11"/>
      <c r="QUM5" s="12"/>
      <c r="QUN5" s="13"/>
      <c r="QUO5" s="12"/>
      <c r="QUP5" s="11"/>
      <c r="QUQ5" s="13"/>
      <c r="QUR5" s="12"/>
      <c r="QUS5" s="12"/>
      <c r="QUT5" s="11"/>
      <c r="QUU5" s="13"/>
      <c r="QUV5" s="4"/>
      <c r="QUW5" s="4"/>
      <c r="QUX5" s="4"/>
      <c r="QUY5" s="4"/>
      <c r="QUZ5" s="4"/>
      <c r="QVA5" s="4"/>
      <c r="QVB5" s="4"/>
      <c r="QVC5" s="4"/>
      <c r="QVE5" s="4"/>
      <c r="QVG5" s="10"/>
      <c r="QVH5" s="11"/>
      <c r="QVI5" s="12"/>
      <c r="QVJ5" s="13"/>
      <c r="QVK5" s="12"/>
      <c r="QVL5" s="11"/>
      <c r="QVM5" s="13"/>
      <c r="QVN5" s="12"/>
      <c r="QVO5" s="12"/>
      <c r="QVP5" s="11"/>
      <c r="QVQ5" s="13"/>
      <c r="QVR5" s="4"/>
      <c r="QVS5" s="4"/>
      <c r="QVT5" s="4"/>
      <c r="QVU5" s="4"/>
      <c r="QVV5" s="4"/>
      <c r="QVW5" s="4"/>
      <c r="QVX5" s="4"/>
      <c r="QVY5" s="4"/>
      <c r="QWA5" s="4"/>
      <c r="QWC5" s="10"/>
      <c r="QWD5" s="11"/>
      <c r="QWE5" s="12"/>
      <c r="QWF5" s="13"/>
      <c r="QWG5" s="12"/>
      <c r="QWH5" s="11"/>
      <c r="QWI5" s="13"/>
      <c r="QWJ5" s="12"/>
      <c r="QWK5" s="12"/>
      <c r="QWL5" s="11"/>
      <c r="QWM5" s="13"/>
      <c r="QWN5" s="4"/>
      <c r="QWO5" s="4"/>
      <c r="QWP5" s="4"/>
      <c r="QWQ5" s="4"/>
      <c r="QWR5" s="4"/>
      <c r="QWS5" s="4"/>
      <c r="QWT5" s="4"/>
      <c r="QWU5" s="4"/>
      <c r="QWW5" s="4"/>
      <c r="QWY5" s="10"/>
      <c r="QWZ5" s="11"/>
      <c r="QXA5" s="12"/>
      <c r="QXB5" s="13"/>
      <c r="QXC5" s="12"/>
      <c r="QXD5" s="11"/>
      <c r="QXE5" s="13"/>
      <c r="QXF5" s="12"/>
      <c r="QXG5" s="12"/>
      <c r="QXH5" s="11"/>
      <c r="QXI5" s="13"/>
      <c r="QXJ5" s="4"/>
      <c r="QXK5" s="4"/>
      <c r="QXL5" s="4"/>
      <c r="QXM5" s="4"/>
      <c r="QXN5" s="4"/>
      <c r="QXO5" s="4"/>
      <c r="QXP5" s="4"/>
      <c r="QXQ5" s="4"/>
      <c r="QXS5" s="4"/>
      <c r="QXU5" s="10"/>
      <c r="QXV5" s="11"/>
      <c r="QXW5" s="12"/>
      <c r="QXX5" s="13"/>
      <c r="QXY5" s="12"/>
      <c r="QXZ5" s="11"/>
      <c r="QYA5" s="13"/>
      <c r="QYB5" s="12"/>
      <c r="QYC5" s="12"/>
      <c r="QYD5" s="11"/>
      <c r="QYE5" s="13"/>
      <c r="QYF5" s="4"/>
      <c r="QYG5" s="4"/>
      <c r="QYH5" s="4"/>
      <c r="QYI5" s="4"/>
      <c r="QYJ5" s="4"/>
      <c r="QYK5" s="4"/>
      <c r="QYL5" s="4"/>
      <c r="QYM5" s="4"/>
      <c r="QYO5" s="4"/>
      <c r="QYQ5" s="10"/>
      <c r="QYR5" s="11"/>
      <c r="QYS5" s="12"/>
      <c r="QYT5" s="13"/>
      <c r="QYU5" s="12"/>
      <c r="QYV5" s="11"/>
      <c r="QYW5" s="13"/>
      <c r="QYX5" s="12"/>
      <c r="QYY5" s="12"/>
      <c r="QYZ5" s="11"/>
      <c r="QZA5" s="13"/>
      <c r="QZB5" s="4"/>
      <c r="QZC5" s="4"/>
      <c r="QZD5" s="4"/>
      <c r="QZE5" s="4"/>
      <c r="QZF5" s="4"/>
      <c r="QZG5" s="4"/>
      <c r="QZH5" s="4"/>
      <c r="QZI5" s="4"/>
      <c r="QZK5" s="4"/>
      <c r="QZM5" s="10"/>
      <c r="QZN5" s="11"/>
      <c r="QZO5" s="12"/>
      <c r="QZP5" s="13"/>
      <c r="QZQ5" s="12"/>
      <c r="QZR5" s="11"/>
      <c r="QZS5" s="13"/>
      <c r="QZT5" s="12"/>
      <c r="QZU5" s="12"/>
      <c r="QZV5" s="11"/>
      <c r="QZW5" s="13"/>
      <c r="QZX5" s="4"/>
      <c r="QZY5" s="4"/>
      <c r="QZZ5" s="4"/>
      <c r="RAA5" s="4"/>
      <c r="RAB5" s="4"/>
      <c r="RAC5" s="4"/>
      <c r="RAD5" s="4"/>
      <c r="RAE5" s="4"/>
      <c r="RAG5" s="4"/>
      <c r="RAI5" s="10"/>
      <c r="RAJ5" s="11"/>
      <c r="RAK5" s="12"/>
      <c r="RAL5" s="13"/>
      <c r="RAM5" s="12"/>
      <c r="RAN5" s="11"/>
      <c r="RAO5" s="13"/>
      <c r="RAP5" s="12"/>
      <c r="RAQ5" s="12"/>
      <c r="RAR5" s="11"/>
      <c r="RAS5" s="13"/>
      <c r="RAT5" s="4"/>
      <c r="RAU5" s="4"/>
      <c r="RAV5" s="4"/>
      <c r="RAW5" s="4"/>
      <c r="RAX5" s="4"/>
      <c r="RAY5" s="4"/>
      <c r="RAZ5" s="4"/>
      <c r="RBA5" s="4"/>
      <c r="RBC5" s="4"/>
      <c r="RBE5" s="10"/>
      <c r="RBF5" s="11"/>
      <c r="RBG5" s="12"/>
      <c r="RBH5" s="13"/>
      <c r="RBI5" s="12"/>
      <c r="RBJ5" s="11"/>
      <c r="RBK5" s="13"/>
      <c r="RBL5" s="12"/>
      <c r="RBM5" s="12"/>
      <c r="RBN5" s="11"/>
      <c r="RBO5" s="13"/>
      <c r="RBP5" s="4"/>
      <c r="RBQ5" s="4"/>
      <c r="RBR5" s="4"/>
      <c r="RBS5" s="4"/>
      <c r="RBT5" s="4"/>
      <c r="RBU5" s="4"/>
      <c r="RBV5" s="4"/>
      <c r="RBW5" s="4"/>
      <c r="RBY5" s="4"/>
      <c r="RCA5" s="10"/>
      <c r="RCB5" s="11"/>
      <c r="RCC5" s="12"/>
      <c r="RCD5" s="13"/>
      <c r="RCE5" s="12"/>
      <c r="RCF5" s="11"/>
      <c r="RCG5" s="13"/>
      <c r="RCH5" s="12"/>
      <c r="RCI5" s="12"/>
      <c r="RCJ5" s="11"/>
      <c r="RCK5" s="13"/>
      <c r="RCL5" s="4"/>
      <c r="RCM5" s="4"/>
      <c r="RCN5" s="4"/>
      <c r="RCO5" s="4"/>
      <c r="RCP5" s="4"/>
      <c r="RCQ5" s="4"/>
      <c r="RCR5" s="4"/>
      <c r="RCS5" s="4"/>
      <c r="RCU5" s="4"/>
      <c r="RCW5" s="10"/>
      <c r="RCX5" s="11"/>
      <c r="RCY5" s="12"/>
      <c r="RCZ5" s="13"/>
      <c r="RDA5" s="12"/>
      <c r="RDB5" s="11"/>
      <c r="RDC5" s="13"/>
      <c r="RDD5" s="12"/>
      <c r="RDE5" s="12"/>
      <c r="RDF5" s="11"/>
      <c r="RDG5" s="13"/>
      <c r="RDH5" s="4"/>
      <c r="RDI5" s="4"/>
      <c r="RDJ5" s="4"/>
      <c r="RDK5" s="4"/>
      <c r="RDL5" s="4"/>
      <c r="RDM5" s="4"/>
      <c r="RDN5" s="4"/>
      <c r="RDO5" s="4"/>
      <c r="RDQ5" s="4"/>
      <c r="RDS5" s="10"/>
      <c r="RDT5" s="11"/>
      <c r="RDU5" s="12"/>
      <c r="RDV5" s="13"/>
      <c r="RDW5" s="12"/>
      <c r="RDX5" s="11"/>
      <c r="RDY5" s="13"/>
      <c r="RDZ5" s="12"/>
      <c r="REA5" s="12"/>
      <c r="REB5" s="11"/>
      <c r="REC5" s="13"/>
      <c r="RED5" s="4"/>
      <c r="REE5" s="4"/>
      <c r="REF5" s="4"/>
      <c r="REG5" s="4"/>
      <c r="REH5" s="4"/>
      <c r="REI5" s="4"/>
      <c r="REJ5" s="4"/>
      <c r="REK5" s="4"/>
      <c r="REM5" s="4"/>
      <c r="REO5" s="10"/>
      <c r="REP5" s="11"/>
      <c r="REQ5" s="12"/>
      <c r="RER5" s="13"/>
      <c r="RES5" s="12"/>
      <c r="RET5" s="11"/>
      <c r="REU5" s="13"/>
      <c r="REV5" s="12"/>
      <c r="REW5" s="12"/>
      <c r="REX5" s="11"/>
      <c r="REY5" s="13"/>
      <c r="REZ5" s="4"/>
      <c r="RFA5" s="4"/>
      <c r="RFB5" s="4"/>
      <c r="RFC5" s="4"/>
      <c r="RFD5" s="4"/>
      <c r="RFE5" s="4"/>
      <c r="RFF5" s="4"/>
      <c r="RFG5" s="4"/>
      <c r="RFI5" s="4"/>
      <c r="RFK5" s="10"/>
      <c r="RFL5" s="11"/>
      <c r="RFM5" s="12"/>
      <c r="RFN5" s="13"/>
      <c r="RFO5" s="12"/>
      <c r="RFP5" s="11"/>
      <c r="RFQ5" s="13"/>
      <c r="RFR5" s="12"/>
      <c r="RFS5" s="12"/>
      <c r="RFT5" s="11"/>
      <c r="RFU5" s="13"/>
      <c r="RFV5" s="4"/>
      <c r="RFW5" s="4"/>
      <c r="RFX5" s="4"/>
      <c r="RFY5" s="4"/>
      <c r="RFZ5" s="4"/>
      <c r="RGA5" s="4"/>
      <c r="RGB5" s="4"/>
      <c r="RGC5" s="4"/>
      <c r="RGE5" s="4"/>
      <c r="RGG5" s="10"/>
      <c r="RGH5" s="11"/>
      <c r="RGI5" s="12"/>
      <c r="RGJ5" s="13"/>
      <c r="RGK5" s="12"/>
      <c r="RGL5" s="11"/>
      <c r="RGM5" s="13"/>
      <c r="RGN5" s="12"/>
      <c r="RGO5" s="12"/>
      <c r="RGP5" s="11"/>
      <c r="RGQ5" s="13"/>
      <c r="RGR5" s="4"/>
      <c r="RGS5" s="4"/>
      <c r="RGT5" s="4"/>
      <c r="RGU5" s="4"/>
      <c r="RGV5" s="4"/>
      <c r="RGW5" s="4"/>
      <c r="RGX5" s="4"/>
      <c r="RGY5" s="4"/>
      <c r="RHA5" s="4"/>
      <c r="RHC5" s="10"/>
      <c r="RHD5" s="11"/>
      <c r="RHE5" s="12"/>
      <c r="RHF5" s="13"/>
      <c r="RHG5" s="12"/>
      <c r="RHH5" s="11"/>
      <c r="RHI5" s="13"/>
      <c r="RHJ5" s="12"/>
      <c r="RHK5" s="12"/>
      <c r="RHL5" s="11"/>
      <c r="RHM5" s="13"/>
      <c r="RHN5" s="4"/>
      <c r="RHO5" s="4"/>
      <c r="RHP5" s="4"/>
      <c r="RHQ5" s="4"/>
      <c r="RHR5" s="4"/>
      <c r="RHS5" s="4"/>
      <c r="RHT5" s="4"/>
      <c r="RHU5" s="4"/>
      <c r="RHW5" s="4"/>
      <c r="RHY5" s="10"/>
      <c r="RHZ5" s="11"/>
      <c r="RIA5" s="12"/>
      <c r="RIB5" s="13"/>
      <c r="RIC5" s="12"/>
      <c r="RID5" s="11"/>
      <c r="RIE5" s="13"/>
      <c r="RIF5" s="12"/>
      <c r="RIG5" s="12"/>
      <c r="RIH5" s="11"/>
      <c r="RII5" s="13"/>
      <c r="RIJ5" s="4"/>
      <c r="RIK5" s="4"/>
      <c r="RIL5" s="4"/>
      <c r="RIM5" s="4"/>
      <c r="RIN5" s="4"/>
      <c r="RIO5" s="4"/>
      <c r="RIP5" s="4"/>
      <c r="RIQ5" s="4"/>
      <c r="RIS5" s="4"/>
      <c r="RIU5" s="10"/>
      <c r="RIV5" s="11"/>
      <c r="RIW5" s="12"/>
      <c r="RIX5" s="13"/>
      <c r="RIY5" s="12"/>
      <c r="RIZ5" s="11"/>
      <c r="RJA5" s="13"/>
      <c r="RJB5" s="12"/>
      <c r="RJC5" s="12"/>
      <c r="RJD5" s="11"/>
      <c r="RJE5" s="13"/>
      <c r="RJF5" s="4"/>
      <c r="RJG5" s="4"/>
      <c r="RJH5" s="4"/>
      <c r="RJI5" s="4"/>
      <c r="RJJ5" s="4"/>
      <c r="RJK5" s="4"/>
      <c r="RJL5" s="4"/>
      <c r="RJM5" s="4"/>
      <c r="RJO5" s="4"/>
      <c r="RJQ5" s="10"/>
      <c r="RJR5" s="11"/>
      <c r="RJS5" s="12"/>
      <c r="RJT5" s="13"/>
      <c r="RJU5" s="12"/>
      <c r="RJV5" s="11"/>
      <c r="RJW5" s="13"/>
      <c r="RJX5" s="12"/>
      <c r="RJY5" s="12"/>
      <c r="RJZ5" s="11"/>
      <c r="RKA5" s="13"/>
      <c r="RKB5" s="4"/>
      <c r="RKC5" s="4"/>
      <c r="RKD5" s="4"/>
      <c r="RKE5" s="4"/>
      <c r="RKF5" s="4"/>
      <c r="RKG5" s="4"/>
      <c r="RKH5" s="4"/>
      <c r="RKI5" s="4"/>
      <c r="RKK5" s="4"/>
      <c r="RKM5" s="10"/>
      <c r="RKN5" s="11"/>
      <c r="RKO5" s="12"/>
      <c r="RKP5" s="13"/>
      <c r="RKQ5" s="12"/>
      <c r="RKR5" s="11"/>
      <c r="RKS5" s="13"/>
      <c r="RKT5" s="12"/>
      <c r="RKU5" s="12"/>
      <c r="RKV5" s="11"/>
      <c r="RKW5" s="13"/>
      <c r="RKX5" s="4"/>
      <c r="RKY5" s="4"/>
      <c r="RKZ5" s="4"/>
      <c r="RLA5" s="4"/>
      <c r="RLB5" s="4"/>
      <c r="RLC5" s="4"/>
      <c r="RLD5" s="4"/>
      <c r="RLE5" s="4"/>
      <c r="RLG5" s="4"/>
      <c r="RLI5" s="10"/>
      <c r="RLJ5" s="11"/>
      <c r="RLK5" s="12"/>
      <c r="RLL5" s="13"/>
      <c r="RLM5" s="12"/>
      <c r="RLN5" s="11"/>
      <c r="RLO5" s="13"/>
      <c r="RLP5" s="12"/>
      <c r="RLQ5" s="12"/>
      <c r="RLR5" s="11"/>
      <c r="RLS5" s="13"/>
      <c r="RLT5" s="4"/>
      <c r="RLU5" s="4"/>
      <c r="RLV5" s="4"/>
      <c r="RLW5" s="4"/>
      <c r="RLX5" s="4"/>
      <c r="RLY5" s="4"/>
      <c r="RLZ5" s="4"/>
      <c r="RMA5" s="4"/>
      <c r="RMC5" s="4"/>
      <c r="RME5" s="10"/>
      <c r="RMF5" s="11"/>
      <c r="RMG5" s="12"/>
      <c r="RMH5" s="13"/>
      <c r="RMI5" s="12"/>
      <c r="RMJ5" s="11"/>
      <c r="RMK5" s="13"/>
      <c r="RML5" s="12"/>
      <c r="RMM5" s="12"/>
      <c r="RMN5" s="11"/>
      <c r="RMO5" s="13"/>
      <c r="RMP5" s="4"/>
      <c r="RMQ5" s="4"/>
      <c r="RMR5" s="4"/>
      <c r="RMS5" s="4"/>
      <c r="RMT5" s="4"/>
      <c r="RMU5" s="4"/>
      <c r="RMV5" s="4"/>
      <c r="RMW5" s="4"/>
      <c r="RMY5" s="4"/>
      <c r="RNA5" s="10"/>
      <c r="RNB5" s="11"/>
      <c r="RNC5" s="12"/>
      <c r="RND5" s="13"/>
      <c r="RNE5" s="12"/>
      <c r="RNF5" s="11"/>
      <c r="RNG5" s="13"/>
      <c r="RNH5" s="12"/>
      <c r="RNI5" s="12"/>
      <c r="RNJ5" s="11"/>
      <c r="RNK5" s="13"/>
      <c r="RNL5" s="4"/>
      <c r="RNM5" s="4"/>
      <c r="RNN5" s="4"/>
      <c r="RNO5" s="4"/>
      <c r="RNP5" s="4"/>
      <c r="RNQ5" s="4"/>
      <c r="RNR5" s="4"/>
      <c r="RNS5" s="4"/>
      <c r="RNU5" s="4"/>
      <c r="RNW5" s="10"/>
      <c r="RNX5" s="11"/>
      <c r="RNY5" s="12"/>
      <c r="RNZ5" s="13"/>
      <c r="ROA5" s="12"/>
      <c r="ROB5" s="11"/>
      <c r="ROC5" s="13"/>
      <c r="ROD5" s="12"/>
      <c r="ROE5" s="12"/>
      <c r="ROF5" s="11"/>
      <c r="ROG5" s="13"/>
      <c r="ROH5" s="4"/>
      <c r="ROI5" s="4"/>
      <c r="ROJ5" s="4"/>
      <c r="ROK5" s="4"/>
      <c r="ROL5" s="4"/>
      <c r="ROM5" s="4"/>
      <c r="RON5" s="4"/>
      <c r="ROO5" s="4"/>
      <c r="ROQ5" s="4"/>
      <c r="ROS5" s="10"/>
      <c r="ROT5" s="11"/>
      <c r="ROU5" s="12"/>
      <c r="ROV5" s="13"/>
      <c r="ROW5" s="12"/>
      <c r="ROX5" s="11"/>
      <c r="ROY5" s="13"/>
      <c r="ROZ5" s="12"/>
      <c r="RPA5" s="12"/>
      <c r="RPB5" s="11"/>
      <c r="RPC5" s="13"/>
      <c r="RPD5" s="4"/>
      <c r="RPE5" s="4"/>
      <c r="RPF5" s="4"/>
      <c r="RPG5" s="4"/>
      <c r="RPH5" s="4"/>
      <c r="RPI5" s="4"/>
      <c r="RPJ5" s="4"/>
      <c r="RPK5" s="4"/>
      <c r="RPM5" s="4"/>
      <c r="RPO5" s="10"/>
      <c r="RPP5" s="11"/>
      <c r="RPQ5" s="12"/>
      <c r="RPR5" s="13"/>
      <c r="RPS5" s="12"/>
      <c r="RPT5" s="11"/>
      <c r="RPU5" s="13"/>
      <c r="RPV5" s="12"/>
      <c r="RPW5" s="12"/>
      <c r="RPX5" s="11"/>
      <c r="RPY5" s="13"/>
      <c r="RPZ5" s="4"/>
      <c r="RQA5" s="4"/>
      <c r="RQB5" s="4"/>
      <c r="RQC5" s="4"/>
      <c r="RQD5" s="4"/>
      <c r="RQE5" s="4"/>
      <c r="RQF5" s="4"/>
      <c r="RQG5" s="4"/>
      <c r="RQI5" s="4"/>
      <c r="RQK5" s="10"/>
      <c r="RQL5" s="11"/>
      <c r="RQM5" s="12"/>
      <c r="RQN5" s="13"/>
      <c r="RQO5" s="12"/>
      <c r="RQP5" s="11"/>
      <c r="RQQ5" s="13"/>
      <c r="RQR5" s="12"/>
      <c r="RQS5" s="12"/>
      <c r="RQT5" s="11"/>
      <c r="RQU5" s="13"/>
      <c r="RQV5" s="4"/>
      <c r="RQW5" s="4"/>
      <c r="RQX5" s="4"/>
      <c r="RQY5" s="4"/>
      <c r="RQZ5" s="4"/>
      <c r="RRA5" s="4"/>
      <c r="RRB5" s="4"/>
      <c r="RRC5" s="4"/>
      <c r="RRE5" s="4"/>
      <c r="RRG5" s="10"/>
      <c r="RRH5" s="11"/>
      <c r="RRI5" s="12"/>
      <c r="RRJ5" s="13"/>
      <c r="RRK5" s="12"/>
      <c r="RRL5" s="11"/>
      <c r="RRM5" s="13"/>
      <c r="RRN5" s="12"/>
      <c r="RRO5" s="12"/>
      <c r="RRP5" s="11"/>
      <c r="RRQ5" s="13"/>
      <c r="RRR5" s="4"/>
      <c r="RRS5" s="4"/>
      <c r="RRT5" s="4"/>
      <c r="RRU5" s="4"/>
      <c r="RRV5" s="4"/>
      <c r="RRW5" s="4"/>
      <c r="RRX5" s="4"/>
      <c r="RRY5" s="4"/>
      <c r="RSA5" s="4"/>
      <c r="RSC5" s="10"/>
      <c r="RSD5" s="11"/>
      <c r="RSE5" s="12"/>
      <c r="RSF5" s="13"/>
      <c r="RSG5" s="12"/>
      <c r="RSH5" s="11"/>
      <c r="RSI5" s="13"/>
      <c r="RSJ5" s="12"/>
      <c r="RSK5" s="12"/>
      <c r="RSL5" s="11"/>
      <c r="RSM5" s="13"/>
      <c r="RSN5" s="4"/>
      <c r="RSO5" s="4"/>
      <c r="RSP5" s="4"/>
      <c r="RSQ5" s="4"/>
      <c r="RSR5" s="4"/>
      <c r="RSS5" s="4"/>
      <c r="RST5" s="4"/>
      <c r="RSU5" s="4"/>
      <c r="RSW5" s="4"/>
      <c r="RSY5" s="10"/>
      <c r="RSZ5" s="11"/>
      <c r="RTA5" s="12"/>
      <c r="RTB5" s="13"/>
      <c r="RTC5" s="12"/>
      <c r="RTD5" s="11"/>
      <c r="RTE5" s="13"/>
      <c r="RTF5" s="12"/>
      <c r="RTG5" s="12"/>
      <c r="RTH5" s="11"/>
      <c r="RTI5" s="13"/>
      <c r="RTJ5" s="4"/>
      <c r="RTK5" s="4"/>
      <c r="RTL5" s="4"/>
      <c r="RTM5" s="4"/>
      <c r="RTN5" s="4"/>
      <c r="RTO5" s="4"/>
      <c r="RTP5" s="4"/>
      <c r="RTQ5" s="4"/>
      <c r="RTS5" s="4"/>
      <c r="RTU5" s="10"/>
      <c r="RTV5" s="11"/>
      <c r="RTW5" s="12"/>
      <c r="RTX5" s="13"/>
      <c r="RTY5" s="12"/>
      <c r="RTZ5" s="11"/>
      <c r="RUA5" s="13"/>
      <c r="RUB5" s="12"/>
      <c r="RUC5" s="12"/>
      <c r="RUD5" s="11"/>
      <c r="RUE5" s="13"/>
      <c r="RUF5" s="4"/>
      <c r="RUG5" s="4"/>
      <c r="RUH5" s="4"/>
      <c r="RUI5" s="4"/>
      <c r="RUJ5" s="4"/>
      <c r="RUK5" s="4"/>
      <c r="RUL5" s="4"/>
      <c r="RUM5" s="4"/>
      <c r="RUO5" s="4"/>
      <c r="RUQ5" s="10"/>
      <c r="RUR5" s="11"/>
      <c r="RUS5" s="12"/>
      <c r="RUT5" s="13"/>
      <c r="RUU5" s="12"/>
      <c r="RUV5" s="11"/>
      <c r="RUW5" s="13"/>
      <c r="RUX5" s="12"/>
      <c r="RUY5" s="12"/>
      <c r="RUZ5" s="11"/>
      <c r="RVA5" s="13"/>
      <c r="RVB5" s="4"/>
      <c r="RVC5" s="4"/>
      <c r="RVD5" s="4"/>
      <c r="RVE5" s="4"/>
      <c r="RVF5" s="4"/>
      <c r="RVG5" s="4"/>
      <c r="RVH5" s="4"/>
      <c r="RVI5" s="4"/>
      <c r="RVK5" s="4"/>
      <c r="RVM5" s="10"/>
      <c r="RVN5" s="11"/>
      <c r="RVO5" s="12"/>
      <c r="RVP5" s="13"/>
      <c r="RVQ5" s="12"/>
      <c r="RVR5" s="11"/>
      <c r="RVS5" s="13"/>
      <c r="RVT5" s="12"/>
      <c r="RVU5" s="12"/>
      <c r="RVV5" s="11"/>
      <c r="RVW5" s="13"/>
      <c r="RVX5" s="4"/>
      <c r="RVY5" s="4"/>
      <c r="RVZ5" s="4"/>
      <c r="RWA5" s="4"/>
      <c r="RWB5" s="4"/>
      <c r="RWC5" s="4"/>
      <c r="RWD5" s="4"/>
      <c r="RWE5" s="4"/>
      <c r="RWG5" s="4"/>
      <c r="RWI5" s="10"/>
      <c r="RWJ5" s="11"/>
      <c r="RWK5" s="12"/>
      <c r="RWL5" s="13"/>
      <c r="RWM5" s="12"/>
      <c r="RWN5" s="11"/>
      <c r="RWO5" s="13"/>
      <c r="RWP5" s="12"/>
      <c r="RWQ5" s="12"/>
      <c r="RWR5" s="11"/>
      <c r="RWS5" s="13"/>
      <c r="RWT5" s="4"/>
      <c r="RWU5" s="4"/>
      <c r="RWV5" s="4"/>
      <c r="RWW5" s="4"/>
      <c r="RWX5" s="4"/>
      <c r="RWY5" s="4"/>
      <c r="RWZ5" s="4"/>
      <c r="RXA5" s="4"/>
      <c r="RXC5" s="4"/>
      <c r="RXE5" s="10"/>
      <c r="RXF5" s="11"/>
      <c r="RXG5" s="12"/>
      <c r="RXH5" s="13"/>
      <c r="RXI5" s="12"/>
      <c r="RXJ5" s="11"/>
      <c r="RXK5" s="13"/>
      <c r="RXL5" s="12"/>
      <c r="RXM5" s="12"/>
      <c r="RXN5" s="11"/>
      <c r="RXO5" s="13"/>
      <c r="RXP5" s="4"/>
      <c r="RXQ5" s="4"/>
      <c r="RXR5" s="4"/>
      <c r="RXS5" s="4"/>
      <c r="RXT5" s="4"/>
      <c r="RXU5" s="4"/>
      <c r="RXV5" s="4"/>
      <c r="RXW5" s="4"/>
      <c r="RXY5" s="4"/>
      <c r="RYA5" s="10"/>
      <c r="RYB5" s="11"/>
      <c r="RYC5" s="12"/>
      <c r="RYD5" s="13"/>
      <c r="RYE5" s="12"/>
      <c r="RYF5" s="11"/>
      <c r="RYG5" s="13"/>
      <c r="RYH5" s="12"/>
      <c r="RYI5" s="12"/>
      <c r="RYJ5" s="11"/>
      <c r="RYK5" s="13"/>
      <c r="RYL5" s="4"/>
      <c r="RYM5" s="4"/>
      <c r="RYN5" s="4"/>
      <c r="RYO5" s="4"/>
      <c r="RYP5" s="4"/>
      <c r="RYQ5" s="4"/>
      <c r="RYR5" s="4"/>
      <c r="RYS5" s="4"/>
      <c r="RYU5" s="4"/>
      <c r="RYW5" s="10"/>
      <c r="RYX5" s="11"/>
      <c r="RYY5" s="12"/>
      <c r="RYZ5" s="13"/>
      <c r="RZA5" s="12"/>
      <c r="RZB5" s="11"/>
      <c r="RZC5" s="13"/>
      <c r="RZD5" s="12"/>
      <c r="RZE5" s="12"/>
      <c r="RZF5" s="11"/>
      <c r="RZG5" s="13"/>
      <c r="RZH5" s="4"/>
      <c r="RZI5" s="4"/>
      <c r="RZJ5" s="4"/>
      <c r="RZK5" s="4"/>
      <c r="RZL5" s="4"/>
      <c r="RZM5" s="4"/>
      <c r="RZN5" s="4"/>
      <c r="RZO5" s="4"/>
      <c r="RZQ5" s="4"/>
      <c r="RZS5" s="10"/>
      <c r="RZT5" s="11"/>
      <c r="RZU5" s="12"/>
      <c r="RZV5" s="13"/>
      <c r="RZW5" s="12"/>
      <c r="RZX5" s="11"/>
      <c r="RZY5" s="13"/>
      <c r="RZZ5" s="12"/>
      <c r="SAA5" s="12"/>
      <c r="SAB5" s="11"/>
      <c r="SAC5" s="13"/>
      <c r="SAD5" s="4"/>
      <c r="SAE5" s="4"/>
      <c r="SAF5" s="4"/>
      <c r="SAG5" s="4"/>
      <c r="SAH5" s="4"/>
      <c r="SAI5" s="4"/>
      <c r="SAJ5" s="4"/>
      <c r="SAK5" s="4"/>
      <c r="SAM5" s="4"/>
      <c r="SAO5" s="10"/>
      <c r="SAP5" s="11"/>
      <c r="SAQ5" s="12"/>
      <c r="SAR5" s="13"/>
      <c r="SAS5" s="12"/>
      <c r="SAT5" s="11"/>
      <c r="SAU5" s="13"/>
      <c r="SAV5" s="12"/>
      <c r="SAW5" s="12"/>
      <c r="SAX5" s="11"/>
      <c r="SAY5" s="13"/>
      <c r="SAZ5" s="4"/>
      <c r="SBA5" s="4"/>
      <c r="SBB5" s="4"/>
      <c r="SBC5" s="4"/>
      <c r="SBD5" s="4"/>
      <c r="SBE5" s="4"/>
      <c r="SBF5" s="4"/>
      <c r="SBG5" s="4"/>
      <c r="SBI5" s="4"/>
      <c r="SBK5" s="10"/>
      <c r="SBL5" s="11"/>
      <c r="SBM5" s="12"/>
      <c r="SBN5" s="13"/>
      <c r="SBO5" s="12"/>
      <c r="SBP5" s="11"/>
      <c r="SBQ5" s="13"/>
      <c r="SBR5" s="12"/>
      <c r="SBS5" s="12"/>
      <c r="SBT5" s="11"/>
      <c r="SBU5" s="13"/>
      <c r="SBV5" s="4"/>
      <c r="SBW5" s="4"/>
      <c r="SBX5" s="4"/>
      <c r="SBY5" s="4"/>
      <c r="SBZ5" s="4"/>
      <c r="SCA5" s="4"/>
      <c r="SCB5" s="4"/>
      <c r="SCC5" s="4"/>
      <c r="SCE5" s="4"/>
      <c r="SCG5" s="10"/>
      <c r="SCH5" s="11"/>
      <c r="SCI5" s="12"/>
      <c r="SCJ5" s="13"/>
      <c r="SCK5" s="12"/>
      <c r="SCL5" s="11"/>
      <c r="SCM5" s="13"/>
      <c r="SCN5" s="12"/>
      <c r="SCO5" s="12"/>
      <c r="SCP5" s="11"/>
      <c r="SCQ5" s="13"/>
      <c r="SCR5" s="4"/>
      <c r="SCS5" s="4"/>
      <c r="SCT5" s="4"/>
      <c r="SCU5" s="4"/>
      <c r="SCV5" s="4"/>
      <c r="SCW5" s="4"/>
      <c r="SCX5" s="4"/>
      <c r="SCY5" s="4"/>
      <c r="SDA5" s="4"/>
      <c r="SDC5" s="10"/>
      <c r="SDD5" s="11"/>
      <c r="SDE5" s="12"/>
      <c r="SDF5" s="13"/>
      <c r="SDG5" s="12"/>
      <c r="SDH5" s="11"/>
      <c r="SDI5" s="13"/>
      <c r="SDJ5" s="12"/>
      <c r="SDK5" s="12"/>
      <c r="SDL5" s="11"/>
      <c r="SDM5" s="13"/>
      <c r="SDN5" s="4"/>
      <c r="SDO5" s="4"/>
      <c r="SDP5" s="4"/>
      <c r="SDQ5" s="4"/>
      <c r="SDR5" s="4"/>
      <c r="SDS5" s="4"/>
      <c r="SDT5" s="4"/>
      <c r="SDU5" s="4"/>
      <c r="SDW5" s="4"/>
      <c r="SDY5" s="10"/>
      <c r="SDZ5" s="11"/>
      <c r="SEA5" s="12"/>
      <c r="SEB5" s="13"/>
      <c r="SEC5" s="12"/>
      <c r="SED5" s="11"/>
      <c r="SEE5" s="13"/>
      <c r="SEF5" s="12"/>
      <c r="SEG5" s="12"/>
      <c r="SEH5" s="11"/>
      <c r="SEI5" s="13"/>
      <c r="SEJ5" s="4"/>
      <c r="SEK5" s="4"/>
      <c r="SEL5" s="4"/>
      <c r="SEM5" s="4"/>
      <c r="SEN5" s="4"/>
      <c r="SEO5" s="4"/>
      <c r="SEP5" s="4"/>
      <c r="SEQ5" s="4"/>
      <c r="SES5" s="4"/>
      <c r="SEU5" s="10"/>
      <c r="SEV5" s="11"/>
      <c r="SEW5" s="12"/>
      <c r="SEX5" s="13"/>
      <c r="SEY5" s="12"/>
      <c r="SEZ5" s="11"/>
      <c r="SFA5" s="13"/>
      <c r="SFB5" s="12"/>
      <c r="SFC5" s="12"/>
      <c r="SFD5" s="11"/>
      <c r="SFE5" s="13"/>
      <c r="SFF5" s="4"/>
      <c r="SFG5" s="4"/>
      <c r="SFH5" s="4"/>
      <c r="SFI5" s="4"/>
      <c r="SFJ5" s="4"/>
      <c r="SFK5" s="4"/>
      <c r="SFL5" s="4"/>
      <c r="SFM5" s="4"/>
      <c r="SFO5" s="4"/>
      <c r="SFQ5" s="10"/>
      <c r="SFR5" s="11"/>
      <c r="SFS5" s="12"/>
      <c r="SFT5" s="13"/>
      <c r="SFU5" s="12"/>
      <c r="SFV5" s="11"/>
      <c r="SFW5" s="13"/>
      <c r="SFX5" s="12"/>
      <c r="SFY5" s="12"/>
      <c r="SFZ5" s="11"/>
      <c r="SGA5" s="13"/>
      <c r="SGB5" s="4"/>
      <c r="SGC5" s="4"/>
      <c r="SGD5" s="4"/>
      <c r="SGE5" s="4"/>
      <c r="SGF5" s="4"/>
      <c r="SGG5" s="4"/>
      <c r="SGH5" s="4"/>
      <c r="SGI5" s="4"/>
      <c r="SGK5" s="4"/>
      <c r="SGM5" s="10"/>
      <c r="SGN5" s="11"/>
      <c r="SGO5" s="12"/>
      <c r="SGP5" s="13"/>
      <c r="SGQ5" s="12"/>
      <c r="SGR5" s="11"/>
      <c r="SGS5" s="13"/>
      <c r="SGT5" s="12"/>
      <c r="SGU5" s="12"/>
      <c r="SGV5" s="11"/>
      <c r="SGW5" s="13"/>
      <c r="SGX5" s="4"/>
      <c r="SGY5" s="4"/>
      <c r="SGZ5" s="4"/>
      <c r="SHA5" s="4"/>
      <c r="SHB5" s="4"/>
      <c r="SHC5" s="4"/>
      <c r="SHD5" s="4"/>
      <c r="SHE5" s="4"/>
      <c r="SHG5" s="4"/>
      <c r="SHI5" s="10"/>
      <c r="SHJ5" s="11"/>
      <c r="SHK5" s="12"/>
      <c r="SHL5" s="13"/>
      <c r="SHM5" s="12"/>
      <c r="SHN5" s="11"/>
      <c r="SHO5" s="13"/>
      <c r="SHP5" s="12"/>
      <c r="SHQ5" s="12"/>
      <c r="SHR5" s="11"/>
      <c r="SHS5" s="13"/>
      <c r="SHT5" s="4"/>
      <c r="SHU5" s="4"/>
      <c r="SHV5" s="4"/>
      <c r="SHW5" s="4"/>
      <c r="SHX5" s="4"/>
      <c r="SHY5" s="4"/>
      <c r="SHZ5" s="4"/>
      <c r="SIA5" s="4"/>
      <c r="SIC5" s="4"/>
      <c r="SIE5" s="10"/>
      <c r="SIF5" s="11"/>
      <c r="SIG5" s="12"/>
      <c r="SIH5" s="13"/>
      <c r="SII5" s="12"/>
      <c r="SIJ5" s="11"/>
      <c r="SIK5" s="13"/>
      <c r="SIL5" s="12"/>
      <c r="SIM5" s="12"/>
      <c r="SIN5" s="11"/>
      <c r="SIO5" s="13"/>
      <c r="SIP5" s="4"/>
      <c r="SIQ5" s="4"/>
      <c r="SIR5" s="4"/>
      <c r="SIS5" s="4"/>
      <c r="SIT5" s="4"/>
      <c r="SIU5" s="4"/>
      <c r="SIV5" s="4"/>
      <c r="SIW5" s="4"/>
      <c r="SIY5" s="4"/>
      <c r="SJA5" s="10"/>
      <c r="SJB5" s="11"/>
      <c r="SJC5" s="12"/>
      <c r="SJD5" s="13"/>
      <c r="SJE5" s="12"/>
      <c r="SJF5" s="11"/>
      <c r="SJG5" s="13"/>
      <c r="SJH5" s="12"/>
      <c r="SJI5" s="12"/>
      <c r="SJJ5" s="11"/>
      <c r="SJK5" s="13"/>
      <c r="SJL5" s="4"/>
      <c r="SJM5" s="4"/>
      <c r="SJN5" s="4"/>
      <c r="SJO5" s="4"/>
      <c r="SJP5" s="4"/>
      <c r="SJQ5" s="4"/>
      <c r="SJR5" s="4"/>
      <c r="SJS5" s="4"/>
      <c r="SJU5" s="4"/>
      <c r="SJW5" s="10"/>
      <c r="SJX5" s="11"/>
      <c r="SJY5" s="12"/>
      <c r="SJZ5" s="13"/>
      <c r="SKA5" s="12"/>
      <c r="SKB5" s="11"/>
      <c r="SKC5" s="13"/>
      <c r="SKD5" s="12"/>
      <c r="SKE5" s="12"/>
      <c r="SKF5" s="11"/>
      <c r="SKG5" s="13"/>
      <c r="SKH5" s="4"/>
      <c r="SKI5" s="4"/>
      <c r="SKJ5" s="4"/>
      <c r="SKK5" s="4"/>
      <c r="SKL5" s="4"/>
      <c r="SKM5" s="4"/>
      <c r="SKN5" s="4"/>
      <c r="SKO5" s="4"/>
      <c r="SKQ5" s="4"/>
      <c r="SKS5" s="10"/>
      <c r="SKT5" s="11"/>
      <c r="SKU5" s="12"/>
      <c r="SKV5" s="13"/>
      <c r="SKW5" s="12"/>
      <c r="SKX5" s="11"/>
      <c r="SKY5" s="13"/>
      <c r="SKZ5" s="12"/>
      <c r="SLA5" s="12"/>
      <c r="SLB5" s="11"/>
      <c r="SLC5" s="13"/>
      <c r="SLD5" s="4"/>
      <c r="SLE5" s="4"/>
      <c r="SLF5" s="4"/>
      <c r="SLG5" s="4"/>
      <c r="SLH5" s="4"/>
      <c r="SLI5" s="4"/>
      <c r="SLJ5" s="4"/>
      <c r="SLK5" s="4"/>
      <c r="SLM5" s="4"/>
      <c r="SLO5" s="10"/>
      <c r="SLP5" s="11"/>
      <c r="SLQ5" s="12"/>
      <c r="SLR5" s="13"/>
      <c r="SLS5" s="12"/>
      <c r="SLT5" s="11"/>
      <c r="SLU5" s="13"/>
      <c r="SLV5" s="12"/>
      <c r="SLW5" s="12"/>
      <c r="SLX5" s="11"/>
      <c r="SLY5" s="13"/>
      <c r="SLZ5" s="4"/>
      <c r="SMA5" s="4"/>
      <c r="SMB5" s="4"/>
      <c r="SMC5" s="4"/>
      <c r="SMD5" s="4"/>
      <c r="SME5" s="4"/>
      <c r="SMF5" s="4"/>
      <c r="SMG5" s="4"/>
      <c r="SMI5" s="4"/>
      <c r="SMK5" s="10"/>
      <c r="SML5" s="11"/>
      <c r="SMM5" s="12"/>
      <c r="SMN5" s="13"/>
      <c r="SMO5" s="12"/>
      <c r="SMP5" s="11"/>
      <c r="SMQ5" s="13"/>
      <c r="SMR5" s="12"/>
      <c r="SMS5" s="12"/>
      <c r="SMT5" s="11"/>
      <c r="SMU5" s="13"/>
      <c r="SMV5" s="4"/>
      <c r="SMW5" s="4"/>
      <c r="SMX5" s="4"/>
      <c r="SMY5" s="4"/>
      <c r="SMZ5" s="4"/>
      <c r="SNA5" s="4"/>
      <c r="SNB5" s="4"/>
      <c r="SNC5" s="4"/>
      <c r="SNE5" s="4"/>
      <c r="SNG5" s="10"/>
      <c r="SNH5" s="11"/>
      <c r="SNI5" s="12"/>
      <c r="SNJ5" s="13"/>
      <c r="SNK5" s="12"/>
      <c r="SNL5" s="11"/>
      <c r="SNM5" s="13"/>
      <c r="SNN5" s="12"/>
      <c r="SNO5" s="12"/>
      <c r="SNP5" s="11"/>
      <c r="SNQ5" s="13"/>
      <c r="SNR5" s="4"/>
      <c r="SNS5" s="4"/>
      <c r="SNT5" s="4"/>
      <c r="SNU5" s="4"/>
      <c r="SNV5" s="4"/>
      <c r="SNW5" s="4"/>
      <c r="SNX5" s="4"/>
      <c r="SNY5" s="4"/>
      <c r="SOA5" s="4"/>
      <c r="SOC5" s="10"/>
      <c r="SOD5" s="11"/>
      <c r="SOE5" s="12"/>
      <c r="SOF5" s="13"/>
      <c r="SOG5" s="12"/>
      <c r="SOH5" s="11"/>
      <c r="SOI5" s="13"/>
      <c r="SOJ5" s="12"/>
      <c r="SOK5" s="12"/>
      <c r="SOL5" s="11"/>
      <c r="SOM5" s="13"/>
      <c r="SON5" s="4"/>
      <c r="SOO5" s="4"/>
      <c r="SOP5" s="4"/>
      <c r="SOQ5" s="4"/>
      <c r="SOR5" s="4"/>
      <c r="SOS5" s="4"/>
      <c r="SOT5" s="4"/>
      <c r="SOU5" s="4"/>
      <c r="SOW5" s="4"/>
      <c r="SOY5" s="10"/>
      <c r="SOZ5" s="11"/>
      <c r="SPA5" s="12"/>
      <c r="SPB5" s="13"/>
      <c r="SPC5" s="12"/>
      <c r="SPD5" s="11"/>
      <c r="SPE5" s="13"/>
      <c r="SPF5" s="12"/>
      <c r="SPG5" s="12"/>
      <c r="SPH5" s="11"/>
      <c r="SPI5" s="13"/>
      <c r="SPJ5" s="4"/>
      <c r="SPK5" s="4"/>
      <c r="SPL5" s="4"/>
      <c r="SPM5" s="4"/>
      <c r="SPN5" s="4"/>
      <c r="SPO5" s="4"/>
      <c r="SPP5" s="4"/>
      <c r="SPQ5" s="4"/>
      <c r="SPS5" s="4"/>
      <c r="SPU5" s="10"/>
      <c r="SPV5" s="11"/>
      <c r="SPW5" s="12"/>
      <c r="SPX5" s="13"/>
      <c r="SPY5" s="12"/>
      <c r="SPZ5" s="11"/>
      <c r="SQA5" s="13"/>
      <c r="SQB5" s="12"/>
      <c r="SQC5" s="12"/>
      <c r="SQD5" s="11"/>
      <c r="SQE5" s="13"/>
      <c r="SQF5" s="4"/>
      <c r="SQG5" s="4"/>
      <c r="SQH5" s="4"/>
      <c r="SQI5" s="4"/>
      <c r="SQJ5" s="4"/>
      <c r="SQK5" s="4"/>
      <c r="SQL5" s="4"/>
      <c r="SQM5" s="4"/>
      <c r="SQO5" s="4"/>
      <c r="SQQ5" s="10"/>
      <c r="SQR5" s="11"/>
      <c r="SQS5" s="12"/>
      <c r="SQT5" s="13"/>
      <c r="SQU5" s="12"/>
      <c r="SQV5" s="11"/>
      <c r="SQW5" s="13"/>
      <c r="SQX5" s="12"/>
      <c r="SQY5" s="12"/>
      <c r="SQZ5" s="11"/>
      <c r="SRA5" s="13"/>
      <c r="SRB5" s="4"/>
      <c r="SRC5" s="4"/>
      <c r="SRD5" s="4"/>
      <c r="SRE5" s="4"/>
      <c r="SRF5" s="4"/>
      <c r="SRG5" s="4"/>
      <c r="SRH5" s="4"/>
      <c r="SRI5" s="4"/>
      <c r="SRK5" s="4"/>
      <c r="SRM5" s="10"/>
      <c r="SRN5" s="11"/>
      <c r="SRO5" s="12"/>
      <c r="SRP5" s="13"/>
      <c r="SRQ5" s="12"/>
      <c r="SRR5" s="11"/>
      <c r="SRS5" s="13"/>
      <c r="SRT5" s="12"/>
      <c r="SRU5" s="12"/>
      <c r="SRV5" s="11"/>
      <c r="SRW5" s="13"/>
      <c r="SRX5" s="4"/>
      <c r="SRY5" s="4"/>
      <c r="SRZ5" s="4"/>
      <c r="SSA5" s="4"/>
      <c r="SSB5" s="4"/>
      <c r="SSC5" s="4"/>
      <c r="SSD5" s="4"/>
      <c r="SSE5" s="4"/>
      <c r="SSG5" s="4"/>
      <c r="SSI5" s="10"/>
      <c r="SSJ5" s="11"/>
      <c r="SSK5" s="12"/>
      <c r="SSL5" s="13"/>
      <c r="SSM5" s="12"/>
      <c r="SSN5" s="11"/>
      <c r="SSO5" s="13"/>
      <c r="SSP5" s="12"/>
      <c r="SSQ5" s="12"/>
      <c r="SSR5" s="11"/>
      <c r="SSS5" s="13"/>
      <c r="SST5" s="4"/>
      <c r="SSU5" s="4"/>
      <c r="SSV5" s="4"/>
      <c r="SSW5" s="4"/>
      <c r="SSX5" s="4"/>
      <c r="SSY5" s="4"/>
      <c r="SSZ5" s="4"/>
      <c r="STA5" s="4"/>
      <c r="STC5" s="4"/>
      <c r="STE5" s="10"/>
      <c r="STF5" s="11"/>
      <c r="STG5" s="12"/>
      <c r="STH5" s="13"/>
      <c r="STI5" s="12"/>
      <c r="STJ5" s="11"/>
      <c r="STK5" s="13"/>
      <c r="STL5" s="12"/>
      <c r="STM5" s="12"/>
      <c r="STN5" s="11"/>
      <c r="STO5" s="13"/>
      <c r="STP5" s="4"/>
      <c r="STQ5" s="4"/>
      <c r="STR5" s="4"/>
      <c r="STS5" s="4"/>
      <c r="STT5" s="4"/>
      <c r="STU5" s="4"/>
      <c r="STV5" s="4"/>
      <c r="STW5" s="4"/>
      <c r="STY5" s="4"/>
      <c r="SUA5" s="10"/>
      <c r="SUB5" s="11"/>
      <c r="SUC5" s="12"/>
      <c r="SUD5" s="13"/>
      <c r="SUE5" s="12"/>
      <c r="SUF5" s="11"/>
      <c r="SUG5" s="13"/>
      <c r="SUH5" s="12"/>
      <c r="SUI5" s="12"/>
      <c r="SUJ5" s="11"/>
      <c r="SUK5" s="13"/>
      <c r="SUL5" s="4"/>
      <c r="SUM5" s="4"/>
      <c r="SUN5" s="4"/>
      <c r="SUO5" s="4"/>
      <c r="SUP5" s="4"/>
      <c r="SUQ5" s="4"/>
      <c r="SUR5" s="4"/>
      <c r="SUS5" s="4"/>
      <c r="SUU5" s="4"/>
      <c r="SUW5" s="10"/>
      <c r="SUX5" s="11"/>
      <c r="SUY5" s="12"/>
      <c r="SUZ5" s="13"/>
      <c r="SVA5" s="12"/>
      <c r="SVB5" s="11"/>
      <c r="SVC5" s="13"/>
      <c r="SVD5" s="12"/>
      <c r="SVE5" s="12"/>
      <c r="SVF5" s="11"/>
      <c r="SVG5" s="13"/>
      <c r="SVH5" s="4"/>
      <c r="SVI5" s="4"/>
      <c r="SVJ5" s="4"/>
      <c r="SVK5" s="4"/>
      <c r="SVL5" s="4"/>
      <c r="SVM5" s="4"/>
      <c r="SVN5" s="4"/>
      <c r="SVO5" s="4"/>
      <c r="SVQ5" s="4"/>
      <c r="SVS5" s="10"/>
      <c r="SVT5" s="11"/>
      <c r="SVU5" s="12"/>
      <c r="SVV5" s="13"/>
      <c r="SVW5" s="12"/>
      <c r="SVX5" s="11"/>
      <c r="SVY5" s="13"/>
      <c r="SVZ5" s="12"/>
      <c r="SWA5" s="12"/>
      <c r="SWB5" s="11"/>
      <c r="SWC5" s="13"/>
      <c r="SWD5" s="4"/>
      <c r="SWE5" s="4"/>
      <c r="SWF5" s="4"/>
      <c r="SWG5" s="4"/>
      <c r="SWH5" s="4"/>
      <c r="SWI5" s="4"/>
      <c r="SWJ5" s="4"/>
      <c r="SWK5" s="4"/>
      <c r="SWM5" s="4"/>
      <c r="SWO5" s="10"/>
      <c r="SWP5" s="11"/>
      <c r="SWQ5" s="12"/>
      <c r="SWR5" s="13"/>
      <c r="SWS5" s="12"/>
      <c r="SWT5" s="11"/>
      <c r="SWU5" s="13"/>
      <c r="SWV5" s="12"/>
      <c r="SWW5" s="12"/>
      <c r="SWX5" s="11"/>
      <c r="SWY5" s="13"/>
      <c r="SWZ5" s="4"/>
      <c r="SXA5" s="4"/>
      <c r="SXB5" s="4"/>
      <c r="SXC5" s="4"/>
      <c r="SXD5" s="4"/>
      <c r="SXE5" s="4"/>
      <c r="SXF5" s="4"/>
      <c r="SXG5" s="4"/>
      <c r="SXI5" s="4"/>
      <c r="SXK5" s="10"/>
      <c r="SXL5" s="11"/>
      <c r="SXM5" s="12"/>
      <c r="SXN5" s="13"/>
      <c r="SXO5" s="12"/>
      <c r="SXP5" s="11"/>
      <c r="SXQ5" s="13"/>
      <c r="SXR5" s="12"/>
      <c r="SXS5" s="12"/>
      <c r="SXT5" s="11"/>
      <c r="SXU5" s="13"/>
      <c r="SXV5" s="4"/>
      <c r="SXW5" s="4"/>
      <c r="SXX5" s="4"/>
      <c r="SXY5" s="4"/>
      <c r="SXZ5" s="4"/>
      <c r="SYA5" s="4"/>
      <c r="SYB5" s="4"/>
      <c r="SYC5" s="4"/>
      <c r="SYE5" s="4"/>
      <c r="SYG5" s="10"/>
      <c r="SYH5" s="11"/>
      <c r="SYI5" s="12"/>
      <c r="SYJ5" s="13"/>
      <c r="SYK5" s="12"/>
      <c r="SYL5" s="11"/>
      <c r="SYM5" s="13"/>
      <c r="SYN5" s="12"/>
      <c r="SYO5" s="12"/>
      <c r="SYP5" s="11"/>
      <c r="SYQ5" s="13"/>
      <c r="SYR5" s="4"/>
      <c r="SYS5" s="4"/>
      <c r="SYT5" s="4"/>
      <c r="SYU5" s="4"/>
      <c r="SYV5" s="4"/>
      <c r="SYW5" s="4"/>
      <c r="SYX5" s="4"/>
      <c r="SYY5" s="4"/>
      <c r="SZA5" s="4"/>
      <c r="SZC5" s="10"/>
      <c r="SZD5" s="11"/>
      <c r="SZE5" s="12"/>
      <c r="SZF5" s="13"/>
      <c r="SZG5" s="12"/>
      <c r="SZH5" s="11"/>
      <c r="SZI5" s="13"/>
      <c r="SZJ5" s="12"/>
      <c r="SZK5" s="12"/>
      <c r="SZL5" s="11"/>
      <c r="SZM5" s="13"/>
      <c r="SZN5" s="4"/>
      <c r="SZO5" s="4"/>
      <c r="SZP5" s="4"/>
      <c r="SZQ5" s="4"/>
      <c r="SZR5" s="4"/>
      <c r="SZS5" s="4"/>
      <c r="SZT5" s="4"/>
      <c r="SZU5" s="4"/>
      <c r="SZW5" s="4"/>
      <c r="SZY5" s="10"/>
      <c r="SZZ5" s="11"/>
      <c r="TAA5" s="12"/>
      <c r="TAB5" s="13"/>
      <c r="TAC5" s="12"/>
      <c r="TAD5" s="11"/>
      <c r="TAE5" s="13"/>
      <c r="TAF5" s="12"/>
      <c r="TAG5" s="12"/>
      <c r="TAH5" s="11"/>
      <c r="TAI5" s="13"/>
      <c r="TAJ5" s="4"/>
      <c r="TAK5" s="4"/>
      <c r="TAL5" s="4"/>
      <c r="TAM5" s="4"/>
      <c r="TAN5" s="4"/>
      <c r="TAO5" s="4"/>
      <c r="TAP5" s="4"/>
      <c r="TAQ5" s="4"/>
      <c r="TAS5" s="4"/>
      <c r="TAU5" s="10"/>
      <c r="TAV5" s="11"/>
      <c r="TAW5" s="12"/>
      <c r="TAX5" s="13"/>
      <c r="TAY5" s="12"/>
      <c r="TAZ5" s="11"/>
      <c r="TBA5" s="13"/>
      <c r="TBB5" s="12"/>
      <c r="TBC5" s="12"/>
      <c r="TBD5" s="11"/>
      <c r="TBE5" s="13"/>
      <c r="TBF5" s="4"/>
      <c r="TBG5" s="4"/>
      <c r="TBH5" s="4"/>
      <c r="TBI5" s="4"/>
      <c r="TBJ5" s="4"/>
      <c r="TBK5" s="4"/>
      <c r="TBL5" s="4"/>
      <c r="TBM5" s="4"/>
      <c r="TBO5" s="4"/>
      <c r="TBQ5" s="10"/>
      <c r="TBR5" s="11"/>
      <c r="TBS5" s="12"/>
      <c r="TBT5" s="13"/>
      <c r="TBU5" s="12"/>
      <c r="TBV5" s="11"/>
      <c r="TBW5" s="13"/>
      <c r="TBX5" s="12"/>
      <c r="TBY5" s="12"/>
      <c r="TBZ5" s="11"/>
      <c r="TCA5" s="13"/>
      <c r="TCB5" s="4"/>
      <c r="TCC5" s="4"/>
      <c r="TCD5" s="4"/>
      <c r="TCE5" s="4"/>
      <c r="TCF5" s="4"/>
      <c r="TCG5" s="4"/>
      <c r="TCH5" s="4"/>
      <c r="TCI5" s="4"/>
      <c r="TCK5" s="4"/>
      <c r="TCM5" s="10"/>
      <c r="TCN5" s="11"/>
      <c r="TCO5" s="12"/>
      <c r="TCP5" s="13"/>
      <c r="TCQ5" s="12"/>
      <c r="TCR5" s="11"/>
      <c r="TCS5" s="13"/>
      <c r="TCT5" s="12"/>
      <c r="TCU5" s="12"/>
      <c r="TCV5" s="11"/>
      <c r="TCW5" s="13"/>
      <c r="TCX5" s="4"/>
      <c r="TCY5" s="4"/>
      <c r="TCZ5" s="4"/>
      <c r="TDA5" s="4"/>
      <c r="TDB5" s="4"/>
      <c r="TDC5" s="4"/>
      <c r="TDD5" s="4"/>
      <c r="TDE5" s="4"/>
      <c r="TDG5" s="4"/>
      <c r="TDI5" s="10"/>
      <c r="TDJ5" s="11"/>
      <c r="TDK5" s="12"/>
      <c r="TDL5" s="13"/>
      <c r="TDM5" s="12"/>
      <c r="TDN5" s="11"/>
      <c r="TDO5" s="13"/>
      <c r="TDP5" s="12"/>
      <c r="TDQ5" s="12"/>
      <c r="TDR5" s="11"/>
      <c r="TDS5" s="13"/>
      <c r="TDT5" s="4"/>
      <c r="TDU5" s="4"/>
      <c r="TDV5" s="4"/>
      <c r="TDW5" s="4"/>
      <c r="TDX5" s="4"/>
      <c r="TDY5" s="4"/>
      <c r="TDZ5" s="4"/>
      <c r="TEA5" s="4"/>
      <c r="TEC5" s="4"/>
      <c r="TEE5" s="10"/>
      <c r="TEF5" s="11"/>
      <c r="TEG5" s="12"/>
      <c r="TEH5" s="13"/>
      <c r="TEI5" s="12"/>
      <c r="TEJ5" s="11"/>
      <c r="TEK5" s="13"/>
      <c r="TEL5" s="12"/>
      <c r="TEM5" s="12"/>
      <c r="TEN5" s="11"/>
      <c r="TEO5" s="13"/>
      <c r="TEP5" s="4"/>
      <c r="TEQ5" s="4"/>
      <c r="TER5" s="4"/>
      <c r="TES5" s="4"/>
      <c r="TET5" s="4"/>
      <c r="TEU5" s="4"/>
      <c r="TEV5" s="4"/>
      <c r="TEW5" s="4"/>
      <c r="TEY5" s="4"/>
      <c r="TFA5" s="10"/>
      <c r="TFB5" s="11"/>
      <c r="TFC5" s="12"/>
      <c r="TFD5" s="13"/>
      <c r="TFE5" s="12"/>
      <c r="TFF5" s="11"/>
      <c r="TFG5" s="13"/>
      <c r="TFH5" s="12"/>
      <c r="TFI5" s="12"/>
      <c r="TFJ5" s="11"/>
      <c r="TFK5" s="13"/>
      <c r="TFL5" s="4"/>
      <c r="TFM5" s="4"/>
      <c r="TFN5" s="4"/>
      <c r="TFO5" s="4"/>
      <c r="TFP5" s="4"/>
      <c r="TFQ5" s="4"/>
      <c r="TFR5" s="4"/>
      <c r="TFS5" s="4"/>
      <c r="TFU5" s="4"/>
      <c r="TFW5" s="10"/>
      <c r="TFX5" s="11"/>
      <c r="TFY5" s="12"/>
      <c r="TFZ5" s="13"/>
      <c r="TGA5" s="12"/>
      <c r="TGB5" s="11"/>
      <c r="TGC5" s="13"/>
      <c r="TGD5" s="12"/>
      <c r="TGE5" s="12"/>
      <c r="TGF5" s="11"/>
      <c r="TGG5" s="13"/>
      <c r="TGH5" s="4"/>
      <c r="TGI5" s="4"/>
      <c r="TGJ5" s="4"/>
      <c r="TGK5" s="4"/>
      <c r="TGL5" s="4"/>
      <c r="TGM5" s="4"/>
      <c r="TGN5" s="4"/>
      <c r="TGO5" s="4"/>
      <c r="TGQ5" s="4"/>
      <c r="TGS5" s="10"/>
      <c r="TGT5" s="11"/>
      <c r="TGU5" s="12"/>
      <c r="TGV5" s="13"/>
      <c r="TGW5" s="12"/>
      <c r="TGX5" s="11"/>
      <c r="TGY5" s="13"/>
      <c r="TGZ5" s="12"/>
      <c r="THA5" s="12"/>
      <c r="THB5" s="11"/>
      <c r="THC5" s="13"/>
      <c r="THD5" s="4"/>
      <c r="THE5" s="4"/>
      <c r="THF5" s="4"/>
      <c r="THG5" s="4"/>
      <c r="THH5" s="4"/>
      <c r="THI5" s="4"/>
      <c r="THJ5" s="4"/>
      <c r="THK5" s="4"/>
      <c r="THM5" s="4"/>
      <c r="THO5" s="10"/>
      <c r="THP5" s="11"/>
      <c r="THQ5" s="12"/>
      <c r="THR5" s="13"/>
      <c r="THS5" s="12"/>
      <c r="THT5" s="11"/>
      <c r="THU5" s="13"/>
      <c r="THV5" s="12"/>
      <c r="THW5" s="12"/>
      <c r="THX5" s="11"/>
      <c r="THY5" s="13"/>
      <c r="THZ5" s="4"/>
      <c r="TIA5" s="4"/>
      <c r="TIB5" s="4"/>
      <c r="TIC5" s="4"/>
      <c r="TID5" s="4"/>
      <c r="TIE5" s="4"/>
      <c r="TIF5" s="4"/>
      <c r="TIG5" s="4"/>
      <c r="TII5" s="4"/>
      <c r="TIK5" s="10"/>
      <c r="TIL5" s="11"/>
      <c r="TIM5" s="12"/>
      <c r="TIN5" s="13"/>
      <c r="TIO5" s="12"/>
      <c r="TIP5" s="11"/>
      <c r="TIQ5" s="13"/>
      <c r="TIR5" s="12"/>
      <c r="TIS5" s="12"/>
      <c r="TIT5" s="11"/>
      <c r="TIU5" s="13"/>
      <c r="TIV5" s="4"/>
      <c r="TIW5" s="4"/>
      <c r="TIX5" s="4"/>
      <c r="TIY5" s="4"/>
      <c r="TIZ5" s="4"/>
      <c r="TJA5" s="4"/>
      <c r="TJB5" s="4"/>
      <c r="TJC5" s="4"/>
      <c r="TJE5" s="4"/>
      <c r="TJG5" s="10"/>
      <c r="TJH5" s="11"/>
      <c r="TJI5" s="12"/>
      <c r="TJJ5" s="13"/>
      <c r="TJK5" s="12"/>
      <c r="TJL5" s="11"/>
      <c r="TJM5" s="13"/>
      <c r="TJN5" s="12"/>
      <c r="TJO5" s="12"/>
      <c r="TJP5" s="11"/>
      <c r="TJQ5" s="13"/>
      <c r="TJR5" s="4"/>
      <c r="TJS5" s="4"/>
      <c r="TJT5" s="4"/>
      <c r="TJU5" s="4"/>
      <c r="TJV5" s="4"/>
      <c r="TJW5" s="4"/>
      <c r="TJX5" s="4"/>
      <c r="TJY5" s="4"/>
      <c r="TKA5" s="4"/>
      <c r="TKC5" s="10"/>
      <c r="TKD5" s="11"/>
      <c r="TKE5" s="12"/>
      <c r="TKF5" s="13"/>
      <c r="TKG5" s="12"/>
      <c r="TKH5" s="11"/>
      <c r="TKI5" s="13"/>
      <c r="TKJ5" s="12"/>
      <c r="TKK5" s="12"/>
      <c r="TKL5" s="11"/>
      <c r="TKM5" s="13"/>
      <c r="TKN5" s="4"/>
      <c r="TKO5" s="4"/>
      <c r="TKP5" s="4"/>
      <c r="TKQ5" s="4"/>
      <c r="TKR5" s="4"/>
      <c r="TKS5" s="4"/>
      <c r="TKT5" s="4"/>
      <c r="TKU5" s="4"/>
      <c r="TKW5" s="4"/>
      <c r="TKY5" s="10"/>
      <c r="TKZ5" s="11"/>
      <c r="TLA5" s="12"/>
      <c r="TLB5" s="13"/>
      <c r="TLC5" s="12"/>
      <c r="TLD5" s="11"/>
      <c r="TLE5" s="13"/>
      <c r="TLF5" s="12"/>
      <c r="TLG5" s="12"/>
      <c r="TLH5" s="11"/>
      <c r="TLI5" s="13"/>
      <c r="TLJ5" s="4"/>
      <c r="TLK5" s="4"/>
      <c r="TLL5" s="4"/>
      <c r="TLM5" s="4"/>
      <c r="TLN5" s="4"/>
      <c r="TLO5" s="4"/>
      <c r="TLP5" s="4"/>
      <c r="TLQ5" s="4"/>
      <c r="TLS5" s="4"/>
      <c r="TLU5" s="10"/>
      <c r="TLV5" s="11"/>
      <c r="TLW5" s="12"/>
      <c r="TLX5" s="13"/>
      <c r="TLY5" s="12"/>
      <c r="TLZ5" s="11"/>
      <c r="TMA5" s="13"/>
      <c r="TMB5" s="12"/>
      <c r="TMC5" s="12"/>
      <c r="TMD5" s="11"/>
      <c r="TME5" s="13"/>
      <c r="TMF5" s="4"/>
      <c r="TMG5" s="4"/>
      <c r="TMH5" s="4"/>
      <c r="TMI5" s="4"/>
      <c r="TMJ5" s="4"/>
      <c r="TMK5" s="4"/>
      <c r="TML5" s="4"/>
      <c r="TMM5" s="4"/>
      <c r="TMO5" s="4"/>
      <c r="TMQ5" s="10"/>
      <c r="TMR5" s="11"/>
      <c r="TMS5" s="12"/>
      <c r="TMT5" s="13"/>
      <c r="TMU5" s="12"/>
      <c r="TMV5" s="11"/>
      <c r="TMW5" s="13"/>
      <c r="TMX5" s="12"/>
      <c r="TMY5" s="12"/>
      <c r="TMZ5" s="11"/>
      <c r="TNA5" s="13"/>
      <c r="TNB5" s="4"/>
      <c r="TNC5" s="4"/>
      <c r="TND5" s="4"/>
      <c r="TNE5" s="4"/>
      <c r="TNF5" s="4"/>
      <c r="TNG5" s="4"/>
      <c r="TNH5" s="4"/>
      <c r="TNI5" s="4"/>
      <c r="TNK5" s="4"/>
      <c r="TNM5" s="10"/>
      <c r="TNN5" s="11"/>
      <c r="TNO5" s="12"/>
      <c r="TNP5" s="13"/>
      <c r="TNQ5" s="12"/>
      <c r="TNR5" s="11"/>
      <c r="TNS5" s="13"/>
      <c r="TNT5" s="12"/>
      <c r="TNU5" s="12"/>
      <c r="TNV5" s="11"/>
      <c r="TNW5" s="13"/>
      <c r="TNX5" s="4"/>
      <c r="TNY5" s="4"/>
      <c r="TNZ5" s="4"/>
      <c r="TOA5" s="4"/>
      <c r="TOB5" s="4"/>
      <c r="TOC5" s="4"/>
      <c r="TOD5" s="4"/>
      <c r="TOE5" s="4"/>
      <c r="TOG5" s="4"/>
      <c r="TOI5" s="10"/>
      <c r="TOJ5" s="11"/>
      <c r="TOK5" s="12"/>
      <c r="TOL5" s="13"/>
      <c r="TOM5" s="12"/>
      <c r="TON5" s="11"/>
      <c r="TOO5" s="13"/>
      <c r="TOP5" s="12"/>
      <c r="TOQ5" s="12"/>
      <c r="TOR5" s="11"/>
      <c r="TOS5" s="13"/>
      <c r="TOT5" s="4"/>
      <c r="TOU5" s="4"/>
      <c r="TOV5" s="4"/>
      <c r="TOW5" s="4"/>
      <c r="TOX5" s="4"/>
      <c r="TOY5" s="4"/>
      <c r="TOZ5" s="4"/>
      <c r="TPA5" s="4"/>
      <c r="TPC5" s="4"/>
      <c r="TPE5" s="10"/>
      <c r="TPF5" s="11"/>
      <c r="TPG5" s="12"/>
      <c r="TPH5" s="13"/>
      <c r="TPI5" s="12"/>
      <c r="TPJ5" s="11"/>
      <c r="TPK5" s="13"/>
      <c r="TPL5" s="12"/>
      <c r="TPM5" s="12"/>
      <c r="TPN5" s="11"/>
      <c r="TPO5" s="13"/>
      <c r="TPP5" s="4"/>
      <c r="TPQ5" s="4"/>
      <c r="TPR5" s="4"/>
      <c r="TPS5" s="4"/>
      <c r="TPT5" s="4"/>
      <c r="TPU5" s="4"/>
      <c r="TPV5" s="4"/>
      <c r="TPW5" s="4"/>
      <c r="TPY5" s="4"/>
      <c r="TQA5" s="10"/>
      <c r="TQB5" s="11"/>
      <c r="TQC5" s="12"/>
      <c r="TQD5" s="13"/>
      <c r="TQE5" s="12"/>
      <c r="TQF5" s="11"/>
      <c r="TQG5" s="13"/>
      <c r="TQH5" s="12"/>
      <c r="TQI5" s="12"/>
      <c r="TQJ5" s="11"/>
      <c r="TQK5" s="13"/>
      <c r="TQL5" s="4"/>
      <c r="TQM5" s="4"/>
      <c r="TQN5" s="4"/>
      <c r="TQO5" s="4"/>
      <c r="TQP5" s="4"/>
      <c r="TQQ5" s="4"/>
      <c r="TQR5" s="4"/>
      <c r="TQS5" s="4"/>
      <c r="TQU5" s="4"/>
      <c r="TQW5" s="10"/>
      <c r="TQX5" s="11"/>
      <c r="TQY5" s="12"/>
      <c r="TQZ5" s="13"/>
      <c r="TRA5" s="12"/>
      <c r="TRB5" s="11"/>
      <c r="TRC5" s="13"/>
      <c r="TRD5" s="12"/>
      <c r="TRE5" s="12"/>
      <c r="TRF5" s="11"/>
      <c r="TRG5" s="13"/>
      <c r="TRH5" s="4"/>
      <c r="TRI5" s="4"/>
      <c r="TRJ5" s="4"/>
      <c r="TRK5" s="4"/>
      <c r="TRL5" s="4"/>
      <c r="TRM5" s="4"/>
      <c r="TRN5" s="4"/>
      <c r="TRO5" s="4"/>
      <c r="TRQ5" s="4"/>
      <c r="TRS5" s="10"/>
      <c r="TRT5" s="11"/>
      <c r="TRU5" s="12"/>
      <c r="TRV5" s="13"/>
      <c r="TRW5" s="12"/>
      <c r="TRX5" s="11"/>
      <c r="TRY5" s="13"/>
      <c r="TRZ5" s="12"/>
      <c r="TSA5" s="12"/>
      <c r="TSB5" s="11"/>
      <c r="TSC5" s="13"/>
      <c r="TSD5" s="4"/>
      <c r="TSE5" s="4"/>
      <c r="TSF5" s="4"/>
      <c r="TSG5" s="4"/>
      <c r="TSH5" s="4"/>
      <c r="TSI5" s="4"/>
      <c r="TSJ5" s="4"/>
      <c r="TSK5" s="4"/>
      <c r="TSM5" s="4"/>
      <c r="TSO5" s="10"/>
      <c r="TSP5" s="11"/>
      <c r="TSQ5" s="12"/>
      <c r="TSR5" s="13"/>
      <c r="TSS5" s="12"/>
      <c r="TST5" s="11"/>
      <c r="TSU5" s="13"/>
      <c r="TSV5" s="12"/>
      <c r="TSW5" s="12"/>
      <c r="TSX5" s="11"/>
      <c r="TSY5" s="13"/>
      <c r="TSZ5" s="4"/>
      <c r="TTA5" s="4"/>
      <c r="TTB5" s="4"/>
      <c r="TTC5" s="4"/>
      <c r="TTD5" s="4"/>
      <c r="TTE5" s="4"/>
      <c r="TTF5" s="4"/>
      <c r="TTG5" s="4"/>
      <c r="TTI5" s="4"/>
      <c r="TTK5" s="10"/>
      <c r="TTL5" s="11"/>
      <c r="TTM5" s="12"/>
      <c r="TTN5" s="13"/>
      <c r="TTO5" s="12"/>
      <c r="TTP5" s="11"/>
      <c r="TTQ5" s="13"/>
      <c r="TTR5" s="12"/>
      <c r="TTS5" s="12"/>
      <c r="TTT5" s="11"/>
      <c r="TTU5" s="13"/>
      <c r="TTV5" s="4"/>
      <c r="TTW5" s="4"/>
      <c r="TTX5" s="4"/>
      <c r="TTY5" s="4"/>
      <c r="TTZ5" s="4"/>
      <c r="TUA5" s="4"/>
      <c r="TUB5" s="4"/>
      <c r="TUC5" s="4"/>
      <c r="TUE5" s="4"/>
      <c r="TUG5" s="10"/>
      <c r="TUH5" s="11"/>
      <c r="TUI5" s="12"/>
      <c r="TUJ5" s="13"/>
      <c r="TUK5" s="12"/>
      <c r="TUL5" s="11"/>
      <c r="TUM5" s="13"/>
      <c r="TUN5" s="12"/>
      <c r="TUO5" s="12"/>
      <c r="TUP5" s="11"/>
      <c r="TUQ5" s="13"/>
      <c r="TUR5" s="4"/>
      <c r="TUS5" s="4"/>
      <c r="TUT5" s="4"/>
      <c r="TUU5" s="4"/>
      <c r="TUV5" s="4"/>
      <c r="TUW5" s="4"/>
      <c r="TUX5" s="4"/>
      <c r="TUY5" s="4"/>
      <c r="TVA5" s="4"/>
      <c r="TVC5" s="10"/>
      <c r="TVD5" s="11"/>
      <c r="TVE5" s="12"/>
      <c r="TVF5" s="13"/>
      <c r="TVG5" s="12"/>
      <c r="TVH5" s="11"/>
      <c r="TVI5" s="13"/>
      <c r="TVJ5" s="12"/>
      <c r="TVK5" s="12"/>
      <c r="TVL5" s="11"/>
      <c r="TVM5" s="13"/>
      <c r="TVN5" s="4"/>
      <c r="TVO5" s="4"/>
      <c r="TVP5" s="4"/>
      <c r="TVQ5" s="4"/>
      <c r="TVR5" s="4"/>
      <c r="TVS5" s="4"/>
      <c r="TVT5" s="4"/>
      <c r="TVU5" s="4"/>
      <c r="TVW5" s="4"/>
      <c r="TVY5" s="10"/>
      <c r="TVZ5" s="11"/>
      <c r="TWA5" s="12"/>
      <c r="TWB5" s="13"/>
      <c r="TWC5" s="12"/>
      <c r="TWD5" s="11"/>
      <c r="TWE5" s="13"/>
      <c r="TWF5" s="12"/>
      <c r="TWG5" s="12"/>
      <c r="TWH5" s="11"/>
      <c r="TWI5" s="13"/>
      <c r="TWJ5" s="4"/>
      <c r="TWK5" s="4"/>
      <c r="TWL5" s="4"/>
      <c r="TWM5" s="4"/>
      <c r="TWN5" s="4"/>
      <c r="TWO5" s="4"/>
      <c r="TWP5" s="4"/>
      <c r="TWQ5" s="4"/>
      <c r="TWS5" s="4"/>
      <c r="TWU5" s="10"/>
      <c r="TWV5" s="11"/>
      <c r="TWW5" s="12"/>
      <c r="TWX5" s="13"/>
      <c r="TWY5" s="12"/>
      <c r="TWZ5" s="11"/>
      <c r="TXA5" s="13"/>
      <c r="TXB5" s="12"/>
      <c r="TXC5" s="12"/>
      <c r="TXD5" s="11"/>
      <c r="TXE5" s="13"/>
      <c r="TXF5" s="4"/>
      <c r="TXG5" s="4"/>
      <c r="TXH5" s="4"/>
      <c r="TXI5" s="4"/>
      <c r="TXJ5" s="4"/>
      <c r="TXK5" s="4"/>
      <c r="TXL5" s="4"/>
      <c r="TXM5" s="4"/>
      <c r="TXO5" s="4"/>
      <c r="TXQ5" s="10"/>
      <c r="TXR5" s="11"/>
      <c r="TXS5" s="12"/>
      <c r="TXT5" s="13"/>
      <c r="TXU5" s="12"/>
      <c r="TXV5" s="11"/>
      <c r="TXW5" s="13"/>
      <c r="TXX5" s="12"/>
      <c r="TXY5" s="12"/>
      <c r="TXZ5" s="11"/>
      <c r="TYA5" s="13"/>
      <c r="TYB5" s="4"/>
      <c r="TYC5" s="4"/>
      <c r="TYD5" s="4"/>
      <c r="TYE5" s="4"/>
      <c r="TYF5" s="4"/>
      <c r="TYG5" s="4"/>
      <c r="TYH5" s="4"/>
      <c r="TYI5" s="4"/>
      <c r="TYK5" s="4"/>
      <c r="TYM5" s="10"/>
      <c r="TYN5" s="11"/>
      <c r="TYO5" s="12"/>
      <c r="TYP5" s="13"/>
      <c r="TYQ5" s="12"/>
      <c r="TYR5" s="11"/>
      <c r="TYS5" s="13"/>
      <c r="TYT5" s="12"/>
      <c r="TYU5" s="12"/>
      <c r="TYV5" s="11"/>
      <c r="TYW5" s="13"/>
      <c r="TYX5" s="4"/>
      <c r="TYY5" s="4"/>
      <c r="TYZ5" s="4"/>
      <c r="TZA5" s="4"/>
      <c r="TZB5" s="4"/>
      <c r="TZC5" s="4"/>
      <c r="TZD5" s="4"/>
      <c r="TZE5" s="4"/>
      <c r="TZG5" s="4"/>
      <c r="TZI5" s="10"/>
      <c r="TZJ5" s="11"/>
      <c r="TZK5" s="12"/>
      <c r="TZL5" s="13"/>
      <c r="TZM5" s="12"/>
      <c r="TZN5" s="11"/>
      <c r="TZO5" s="13"/>
      <c r="TZP5" s="12"/>
      <c r="TZQ5" s="12"/>
      <c r="TZR5" s="11"/>
      <c r="TZS5" s="13"/>
      <c r="TZT5" s="4"/>
      <c r="TZU5" s="4"/>
      <c r="TZV5" s="4"/>
      <c r="TZW5" s="4"/>
      <c r="TZX5" s="4"/>
      <c r="TZY5" s="4"/>
      <c r="TZZ5" s="4"/>
      <c r="UAA5" s="4"/>
      <c r="UAC5" s="4"/>
      <c r="UAE5" s="10"/>
      <c r="UAF5" s="11"/>
      <c r="UAG5" s="12"/>
      <c r="UAH5" s="13"/>
      <c r="UAI5" s="12"/>
      <c r="UAJ5" s="11"/>
      <c r="UAK5" s="13"/>
      <c r="UAL5" s="12"/>
      <c r="UAM5" s="12"/>
      <c r="UAN5" s="11"/>
      <c r="UAO5" s="13"/>
      <c r="UAP5" s="4"/>
      <c r="UAQ5" s="4"/>
      <c r="UAR5" s="4"/>
      <c r="UAS5" s="4"/>
      <c r="UAT5" s="4"/>
      <c r="UAU5" s="4"/>
      <c r="UAV5" s="4"/>
      <c r="UAW5" s="4"/>
      <c r="UAY5" s="4"/>
      <c r="UBA5" s="10"/>
      <c r="UBB5" s="11"/>
      <c r="UBC5" s="12"/>
      <c r="UBD5" s="13"/>
      <c r="UBE5" s="12"/>
      <c r="UBF5" s="11"/>
      <c r="UBG5" s="13"/>
      <c r="UBH5" s="12"/>
      <c r="UBI5" s="12"/>
      <c r="UBJ5" s="11"/>
      <c r="UBK5" s="13"/>
      <c r="UBL5" s="4"/>
      <c r="UBM5" s="4"/>
      <c r="UBN5" s="4"/>
      <c r="UBO5" s="4"/>
      <c r="UBP5" s="4"/>
      <c r="UBQ5" s="4"/>
      <c r="UBR5" s="4"/>
      <c r="UBS5" s="4"/>
      <c r="UBU5" s="4"/>
      <c r="UBW5" s="10"/>
      <c r="UBX5" s="11"/>
      <c r="UBY5" s="12"/>
      <c r="UBZ5" s="13"/>
      <c r="UCA5" s="12"/>
      <c r="UCB5" s="11"/>
      <c r="UCC5" s="13"/>
      <c r="UCD5" s="12"/>
      <c r="UCE5" s="12"/>
      <c r="UCF5" s="11"/>
      <c r="UCG5" s="13"/>
      <c r="UCH5" s="4"/>
      <c r="UCI5" s="4"/>
      <c r="UCJ5" s="4"/>
      <c r="UCK5" s="4"/>
      <c r="UCL5" s="4"/>
      <c r="UCM5" s="4"/>
      <c r="UCN5" s="4"/>
      <c r="UCO5" s="4"/>
      <c r="UCQ5" s="4"/>
      <c r="UCS5" s="10"/>
      <c r="UCT5" s="11"/>
      <c r="UCU5" s="12"/>
      <c r="UCV5" s="13"/>
      <c r="UCW5" s="12"/>
      <c r="UCX5" s="11"/>
      <c r="UCY5" s="13"/>
      <c r="UCZ5" s="12"/>
      <c r="UDA5" s="12"/>
      <c r="UDB5" s="11"/>
      <c r="UDC5" s="13"/>
      <c r="UDD5" s="4"/>
      <c r="UDE5" s="4"/>
      <c r="UDF5" s="4"/>
      <c r="UDG5" s="4"/>
      <c r="UDH5" s="4"/>
      <c r="UDI5" s="4"/>
      <c r="UDJ5" s="4"/>
      <c r="UDK5" s="4"/>
      <c r="UDM5" s="4"/>
      <c r="UDO5" s="10"/>
      <c r="UDP5" s="11"/>
      <c r="UDQ5" s="12"/>
      <c r="UDR5" s="13"/>
      <c r="UDS5" s="12"/>
      <c r="UDT5" s="11"/>
      <c r="UDU5" s="13"/>
      <c r="UDV5" s="12"/>
      <c r="UDW5" s="12"/>
      <c r="UDX5" s="11"/>
      <c r="UDY5" s="13"/>
      <c r="UDZ5" s="4"/>
      <c r="UEA5" s="4"/>
      <c r="UEB5" s="4"/>
      <c r="UEC5" s="4"/>
      <c r="UED5" s="4"/>
      <c r="UEE5" s="4"/>
      <c r="UEF5" s="4"/>
      <c r="UEG5" s="4"/>
      <c r="UEI5" s="4"/>
      <c r="UEK5" s="10"/>
      <c r="UEL5" s="11"/>
      <c r="UEM5" s="12"/>
      <c r="UEN5" s="13"/>
      <c r="UEO5" s="12"/>
      <c r="UEP5" s="11"/>
      <c r="UEQ5" s="13"/>
      <c r="UER5" s="12"/>
      <c r="UES5" s="12"/>
      <c r="UET5" s="11"/>
      <c r="UEU5" s="13"/>
      <c r="UEV5" s="4"/>
      <c r="UEW5" s="4"/>
      <c r="UEX5" s="4"/>
      <c r="UEY5" s="4"/>
      <c r="UEZ5" s="4"/>
      <c r="UFA5" s="4"/>
      <c r="UFB5" s="4"/>
      <c r="UFC5" s="4"/>
      <c r="UFE5" s="4"/>
      <c r="UFG5" s="10"/>
      <c r="UFH5" s="11"/>
      <c r="UFI5" s="12"/>
      <c r="UFJ5" s="13"/>
      <c r="UFK5" s="12"/>
      <c r="UFL5" s="11"/>
      <c r="UFM5" s="13"/>
      <c r="UFN5" s="12"/>
      <c r="UFO5" s="12"/>
      <c r="UFP5" s="11"/>
      <c r="UFQ5" s="13"/>
      <c r="UFR5" s="4"/>
      <c r="UFS5" s="4"/>
      <c r="UFT5" s="4"/>
      <c r="UFU5" s="4"/>
      <c r="UFV5" s="4"/>
      <c r="UFW5" s="4"/>
      <c r="UFX5" s="4"/>
      <c r="UFY5" s="4"/>
      <c r="UGA5" s="4"/>
      <c r="UGC5" s="10"/>
      <c r="UGD5" s="11"/>
      <c r="UGE5" s="12"/>
      <c r="UGF5" s="13"/>
      <c r="UGG5" s="12"/>
      <c r="UGH5" s="11"/>
      <c r="UGI5" s="13"/>
      <c r="UGJ5" s="12"/>
      <c r="UGK5" s="12"/>
      <c r="UGL5" s="11"/>
      <c r="UGM5" s="13"/>
      <c r="UGN5" s="4"/>
      <c r="UGO5" s="4"/>
      <c r="UGP5" s="4"/>
      <c r="UGQ5" s="4"/>
      <c r="UGR5" s="4"/>
      <c r="UGS5" s="4"/>
      <c r="UGT5" s="4"/>
      <c r="UGU5" s="4"/>
      <c r="UGW5" s="4"/>
      <c r="UGY5" s="10"/>
      <c r="UGZ5" s="11"/>
      <c r="UHA5" s="12"/>
      <c r="UHB5" s="13"/>
      <c r="UHC5" s="12"/>
      <c r="UHD5" s="11"/>
      <c r="UHE5" s="13"/>
      <c r="UHF5" s="12"/>
      <c r="UHG5" s="12"/>
      <c r="UHH5" s="11"/>
      <c r="UHI5" s="13"/>
      <c r="UHJ5" s="4"/>
      <c r="UHK5" s="4"/>
      <c r="UHL5" s="4"/>
      <c r="UHM5" s="4"/>
      <c r="UHN5" s="4"/>
      <c r="UHO5" s="4"/>
      <c r="UHP5" s="4"/>
      <c r="UHQ5" s="4"/>
      <c r="UHS5" s="4"/>
      <c r="UHU5" s="10"/>
      <c r="UHV5" s="11"/>
      <c r="UHW5" s="12"/>
      <c r="UHX5" s="13"/>
      <c r="UHY5" s="12"/>
      <c r="UHZ5" s="11"/>
      <c r="UIA5" s="13"/>
      <c r="UIB5" s="12"/>
      <c r="UIC5" s="12"/>
      <c r="UID5" s="11"/>
      <c r="UIE5" s="13"/>
      <c r="UIF5" s="4"/>
      <c r="UIG5" s="4"/>
      <c r="UIH5" s="4"/>
      <c r="UII5" s="4"/>
      <c r="UIJ5" s="4"/>
      <c r="UIK5" s="4"/>
      <c r="UIL5" s="4"/>
      <c r="UIM5" s="4"/>
      <c r="UIO5" s="4"/>
      <c r="UIQ5" s="10"/>
      <c r="UIR5" s="11"/>
      <c r="UIS5" s="12"/>
      <c r="UIT5" s="13"/>
      <c r="UIU5" s="12"/>
      <c r="UIV5" s="11"/>
      <c r="UIW5" s="13"/>
      <c r="UIX5" s="12"/>
      <c r="UIY5" s="12"/>
      <c r="UIZ5" s="11"/>
      <c r="UJA5" s="13"/>
      <c r="UJB5" s="4"/>
      <c r="UJC5" s="4"/>
      <c r="UJD5" s="4"/>
      <c r="UJE5" s="4"/>
      <c r="UJF5" s="4"/>
      <c r="UJG5" s="4"/>
      <c r="UJH5" s="4"/>
      <c r="UJI5" s="4"/>
      <c r="UJK5" s="4"/>
      <c r="UJM5" s="10"/>
      <c r="UJN5" s="11"/>
      <c r="UJO5" s="12"/>
      <c r="UJP5" s="13"/>
      <c r="UJQ5" s="12"/>
      <c r="UJR5" s="11"/>
      <c r="UJS5" s="13"/>
      <c r="UJT5" s="12"/>
      <c r="UJU5" s="12"/>
      <c r="UJV5" s="11"/>
      <c r="UJW5" s="13"/>
      <c r="UJX5" s="4"/>
      <c r="UJY5" s="4"/>
      <c r="UJZ5" s="4"/>
      <c r="UKA5" s="4"/>
      <c r="UKB5" s="4"/>
      <c r="UKC5" s="4"/>
      <c r="UKD5" s="4"/>
      <c r="UKE5" s="4"/>
      <c r="UKG5" s="4"/>
      <c r="UKI5" s="10"/>
      <c r="UKJ5" s="11"/>
      <c r="UKK5" s="12"/>
      <c r="UKL5" s="13"/>
      <c r="UKM5" s="12"/>
      <c r="UKN5" s="11"/>
      <c r="UKO5" s="13"/>
      <c r="UKP5" s="12"/>
      <c r="UKQ5" s="12"/>
      <c r="UKR5" s="11"/>
      <c r="UKS5" s="13"/>
      <c r="UKT5" s="4"/>
      <c r="UKU5" s="4"/>
      <c r="UKV5" s="4"/>
      <c r="UKW5" s="4"/>
      <c r="UKX5" s="4"/>
      <c r="UKY5" s="4"/>
      <c r="UKZ5" s="4"/>
      <c r="ULA5" s="4"/>
      <c r="ULC5" s="4"/>
      <c r="ULE5" s="10"/>
      <c r="ULF5" s="11"/>
      <c r="ULG5" s="12"/>
      <c r="ULH5" s="13"/>
      <c r="ULI5" s="12"/>
      <c r="ULJ5" s="11"/>
      <c r="ULK5" s="13"/>
      <c r="ULL5" s="12"/>
      <c r="ULM5" s="12"/>
      <c r="ULN5" s="11"/>
      <c r="ULO5" s="13"/>
      <c r="ULP5" s="4"/>
      <c r="ULQ5" s="4"/>
      <c r="ULR5" s="4"/>
      <c r="ULS5" s="4"/>
      <c r="ULT5" s="4"/>
      <c r="ULU5" s="4"/>
      <c r="ULV5" s="4"/>
      <c r="ULW5" s="4"/>
      <c r="ULY5" s="4"/>
      <c r="UMA5" s="10"/>
      <c r="UMB5" s="11"/>
      <c r="UMC5" s="12"/>
      <c r="UMD5" s="13"/>
      <c r="UME5" s="12"/>
      <c r="UMF5" s="11"/>
      <c r="UMG5" s="13"/>
      <c r="UMH5" s="12"/>
      <c r="UMI5" s="12"/>
      <c r="UMJ5" s="11"/>
      <c r="UMK5" s="13"/>
      <c r="UML5" s="4"/>
      <c r="UMM5" s="4"/>
      <c r="UMN5" s="4"/>
      <c r="UMO5" s="4"/>
      <c r="UMP5" s="4"/>
      <c r="UMQ5" s="4"/>
      <c r="UMR5" s="4"/>
      <c r="UMS5" s="4"/>
      <c r="UMU5" s="4"/>
      <c r="UMW5" s="10"/>
      <c r="UMX5" s="11"/>
      <c r="UMY5" s="12"/>
      <c r="UMZ5" s="13"/>
      <c r="UNA5" s="12"/>
      <c r="UNB5" s="11"/>
      <c r="UNC5" s="13"/>
      <c r="UND5" s="12"/>
      <c r="UNE5" s="12"/>
      <c r="UNF5" s="11"/>
      <c r="UNG5" s="13"/>
      <c r="UNH5" s="4"/>
      <c r="UNI5" s="4"/>
      <c r="UNJ5" s="4"/>
      <c r="UNK5" s="4"/>
      <c r="UNL5" s="4"/>
      <c r="UNM5" s="4"/>
      <c r="UNN5" s="4"/>
      <c r="UNO5" s="4"/>
      <c r="UNQ5" s="4"/>
      <c r="UNS5" s="10"/>
      <c r="UNT5" s="11"/>
      <c r="UNU5" s="12"/>
      <c r="UNV5" s="13"/>
      <c r="UNW5" s="12"/>
      <c r="UNX5" s="11"/>
      <c r="UNY5" s="13"/>
      <c r="UNZ5" s="12"/>
      <c r="UOA5" s="12"/>
      <c r="UOB5" s="11"/>
      <c r="UOC5" s="13"/>
      <c r="UOD5" s="4"/>
      <c r="UOE5" s="4"/>
      <c r="UOF5" s="4"/>
      <c r="UOG5" s="4"/>
      <c r="UOH5" s="4"/>
      <c r="UOI5" s="4"/>
      <c r="UOJ5" s="4"/>
      <c r="UOK5" s="4"/>
      <c r="UOM5" s="4"/>
      <c r="UOO5" s="10"/>
      <c r="UOP5" s="11"/>
      <c r="UOQ5" s="12"/>
      <c r="UOR5" s="13"/>
      <c r="UOS5" s="12"/>
      <c r="UOT5" s="11"/>
      <c r="UOU5" s="13"/>
      <c r="UOV5" s="12"/>
      <c r="UOW5" s="12"/>
      <c r="UOX5" s="11"/>
      <c r="UOY5" s="13"/>
      <c r="UOZ5" s="4"/>
      <c r="UPA5" s="4"/>
      <c r="UPB5" s="4"/>
      <c r="UPC5" s="4"/>
      <c r="UPD5" s="4"/>
      <c r="UPE5" s="4"/>
      <c r="UPF5" s="4"/>
      <c r="UPG5" s="4"/>
      <c r="UPI5" s="4"/>
      <c r="UPK5" s="10"/>
      <c r="UPL5" s="11"/>
      <c r="UPM5" s="12"/>
      <c r="UPN5" s="13"/>
      <c r="UPO5" s="12"/>
      <c r="UPP5" s="11"/>
      <c r="UPQ5" s="13"/>
      <c r="UPR5" s="12"/>
      <c r="UPS5" s="12"/>
      <c r="UPT5" s="11"/>
      <c r="UPU5" s="13"/>
      <c r="UPV5" s="4"/>
      <c r="UPW5" s="4"/>
      <c r="UPX5" s="4"/>
      <c r="UPY5" s="4"/>
      <c r="UPZ5" s="4"/>
      <c r="UQA5" s="4"/>
      <c r="UQB5" s="4"/>
      <c r="UQC5" s="4"/>
      <c r="UQE5" s="4"/>
      <c r="UQG5" s="10"/>
      <c r="UQH5" s="11"/>
      <c r="UQI5" s="12"/>
      <c r="UQJ5" s="13"/>
      <c r="UQK5" s="12"/>
      <c r="UQL5" s="11"/>
      <c r="UQM5" s="13"/>
      <c r="UQN5" s="12"/>
      <c r="UQO5" s="12"/>
      <c r="UQP5" s="11"/>
      <c r="UQQ5" s="13"/>
      <c r="UQR5" s="4"/>
      <c r="UQS5" s="4"/>
      <c r="UQT5" s="4"/>
      <c r="UQU5" s="4"/>
      <c r="UQV5" s="4"/>
      <c r="UQW5" s="4"/>
      <c r="UQX5" s="4"/>
      <c r="UQY5" s="4"/>
      <c r="URA5" s="4"/>
      <c r="URC5" s="10"/>
      <c r="URD5" s="11"/>
      <c r="URE5" s="12"/>
      <c r="URF5" s="13"/>
      <c r="URG5" s="12"/>
      <c r="URH5" s="11"/>
      <c r="URI5" s="13"/>
      <c r="URJ5" s="12"/>
      <c r="URK5" s="12"/>
      <c r="URL5" s="11"/>
      <c r="URM5" s="13"/>
      <c r="URN5" s="4"/>
      <c r="URO5" s="4"/>
      <c r="URP5" s="4"/>
      <c r="URQ5" s="4"/>
      <c r="URR5" s="4"/>
      <c r="URS5" s="4"/>
      <c r="URT5" s="4"/>
      <c r="URU5" s="4"/>
      <c r="URW5" s="4"/>
      <c r="URY5" s="10"/>
      <c r="URZ5" s="11"/>
      <c r="USA5" s="12"/>
      <c r="USB5" s="13"/>
      <c r="USC5" s="12"/>
      <c r="USD5" s="11"/>
      <c r="USE5" s="13"/>
      <c r="USF5" s="12"/>
      <c r="USG5" s="12"/>
      <c r="USH5" s="11"/>
      <c r="USI5" s="13"/>
      <c r="USJ5" s="4"/>
      <c r="USK5" s="4"/>
      <c r="USL5" s="4"/>
      <c r="USM5" s="4"/>
      <c r="USN5" s="4"/>
      <c r="USO5" s="4"/>
      <c r="USP5" s="4"/>
      <c r="USQ5" s="4"/>
      <c r="USS5" s="4"/>
      <c r="USU5" s="10"/>
      <c r="USV5" s="11"/>
      <c r="USW5" s="12"/>
      <c r="USX5" s="13"/>
      <c r="USY5" s="12"/>
      <c r="USZ5" s="11"/>
      <c r="UTA5" s="13"/>
      <c r="UTB5" s="12"/>
      <c r="UTC5" s="12"/>
      <c r="UTD5" s="11"/>
      <c r="UTE5" s="13"/>
      <c r="UTF5" s="4"/>
      <c r="UTG5" s="4"/>
      <c r="UTH5" s="4"/>
      <c r="UTI5" s="4"/>
      <c r="UTJ5" s="4"/>
      <c r="UTK5" s="4"/>
      <c r="UTL5" s="4"/>
      <c r="UTM5" s="4"/>
      <c r="UTO5" s="4"/>
      <c r="UTQ5" s="10"/>
      <c r="UTR5" s="11"/>
      <c r="UTS5" s="12"/>
      <c r="UTT5" s="13"/>
      <c r="UTU5" s="12"/>
      <c r="UTV5" s="11"/>
      <c r="UTW5" s="13"/>
      <c r="UTX5" s="12"/>
      <c r="UTY5" s="12"/>
      <c r="UTZ5" s="11"/>
      <c r="UUA5" s="13"/>
      <c r="UUB5" s="4"/>
      <c r="UUC5" s="4"/>
      <c r="UUD5" s="4"/>
      <c r="UUE5" s="4"/>
      <c r="UUF5" s="4"/>
      <c r="UUG5" s="4"/>
      <c r="UUH5" s="4"/>
      <c r="UUI5" s="4"/>
      <c r="UUK5" s="4"/>
      <c r="UUM5" s="10"/>
      <c r="UUN5" s="11"/>
      <c r="UUO5" s="12"/>
      <c r="UUP5" s="13"/>
      <c r="UUQ5" s="12"/>
      <c r="UUR5" s="11"/>
      <c r="UUS5" s="13"/>
      <c r="UUT5" s="12"/>
      <c r="UUU5" s="12"/>
      <c r="UUV5" s="11"/>
      <c r="UUW5" s="13"/>
      <c r="UUX5" s="4"/>
      <c r="UUY5" s="4"/>
      <c r="UUZ5" s="4"/>
      <c r="UVA5" s="4"/>
      <c r="UVB5" s="4"/>
      <c r="UVC5" s="4"/>
      <c r="UVD5" s="4"/>
      <c r="UVE5" s="4"/>
      <c r="UVG5" s="4"/>
      <c r="UVI5" s="10"/>
      <c r="UVJ5" s="11"/>
      <c r="UVK5" s="12"/>
      <c r="UVL5" s="13"/>
      <c r="UVM5" s="12"/>
      <c r="UVN5" s="11"/>
      <c r="UVO5" s="13"/>
      <c r="UVP5" s="12"/>
      <c r="UVQ5" s="12"/>
      <c r="UVR5" s="11"/>
      <c r="UVS5" s="13"/>
      <c r="UVT5" s="4"/>
      <c r="UVU5" s="4"/>
      <c r="UVV5" s="4"/>
      <c r="UVW5" s="4"/>
      <c r="UVX5" s="4"/>
      <c r="UVY5" s="4"/>
      <c r="UVZ5" s="4"/>
      <c r="UWA5" s="4"/>
      <c r="UWC5" s="4"/>
      <c r="UWE5" s="10"/>
      <c r="UWF5" s="11"/>
      <c r="UWG5" s="12"/>
      <c r="UWH5" s="13"/>
      <c r="UWI5" s="12"/>
      <c r="UWJ5" s="11"/>
      <c r="UWK5" s="13"/>
      <c r="UWL5" s="12"/>
      <c r="UWM5" s="12"/>
      <c r="UWN5" s="11"/>
      <c r="UWO5" s="13"/>
      <c r="UWP5" s="4"/>
      <c r="UWQ5" s="4"/>
      <c r="UWR5" s="4"/>
      <c r="UWS5" s="4"/>
      <c r="UWT5" s="4"/>
      <c r="UWU5" s="4"/>
      <c r="UWV5" s="4"/>
      <c r="UWW5" s="4"/>
      <c r="UWY5" s="4"/>
      <c r="UXA5" s="10"/>
      <c r="UXB5" s="11"/>
      <c r="UXC5" s="12"/>
      <c r="UXD5" s="13"/>
      <c r="UXE5" s="12"/>
      <c r="UXF5" s="11"/>
      <c r="UXG5" s="13"/>
      <c r="UXH5" s="12"/>
      <c r="UXI5" s="12"/>
      <c r="UXJ5" s="11"/>
      <c r="UXK5" s="13"/>
      <c r="UXL5" s="4"/>
      <c r="UXM5" s="4"/>
      <c r="UXN5" s="4"/>
      <c r="UXO5" s="4"/>
      <c r="UXP5" s="4"/>
      <c r="UXQ5" s="4"/>
      <c r="UXR5" s="4"/>
      <c r="UXS5" s="4"/>
      <c r="UXU5" s="4"/>
      <c r="UXW5" s="10"/>
      <c r="UXX5" s="11"/>
      <c r="UXY5" s="12"/>
      <c r="UXZ5" s="13"/>
      <c r="UYA5" s="12"/>
      <c r="UYB5" s="11"/>
      <c r="UYC5" s="13"/>
      <c r="UYD5" s="12"/>
      <c r="UYE5" s="12"/>
      <c r="UYF5" s="11"/>
      <c r="UYG5" s="13"/>
      <c r="UYH5" s="4"/>
      <c r="UYI5" s="4"/>
      <c r="UYJ5" s="4"/>
      <c r="UYK5" s="4"/>
      <c r="UYL5" s="4"/>
      <c r="UYM5" s="4"/>
      <c r="UYN5" s="4"/>
      <c r="UYO5" s="4"/>
      <c r="UYQ5" s="4"/>
      <c r="UYS5" s="10"/>
      <c r="UYT5" s="11"/>
      <c r="UYU5" s="12"/>
      <c r="UYV5" s="13"/>
      <c r="UYW5" s="12"/>
      <c r="UYX5" s="11"/>
      <c r="UYY5" s="13"/>
      <c r="UYZ5" s="12"/>
      <c r="UZA5" s="12"/>
      <c r="UZB5" s="11"/>
      <c r="UZC5" s="13"/>
      <c r="UZD5" s="4"/>
      <c r="UZE5" s="4"/>
      <c r="UZF5" s="4"/>
      <c r="UZG5" s="4"/>
      <c r="UZH5" s="4"/>
      <c r="UZI5" s="4"/>
      <c r="UZJ5" s="4"/>
      <c r="UZK5" s="4"/>
      <c r="UZM5" s="4"/>
      <c r="UZO5" s="10"/>
      <c r="UZP5" s="11"/>
      <c r="UZQ5" s="12"/>
      <c r="UZR5" s="13"/>
      <c r="UZS5" s="12"/>
      <c r="UZT5" s="11"/>
      <c r="UZU5" s="13"/>
      <c r="UZV5" s="12"/>
      <c r="UZW5" s="12"/>
      <c r="UZX5" s="11"/>
      <c r="UZY5" s="13"/>
      <c r="UZZ5" s="4"/>
      <c r="VAA5" s="4"/>
      <c r="VAB5" s="4"/>
      <c r="VAC5" s="4"/>
      <c r="VAD5" s="4"/>
      <c r="VAE5" s="4"/>
      <c r="VAF5" s="4"/>
      <c r="VAG5" s="4"/>
      <c r="VAI5" s="4"/>
      <c r="VAK5" s="10"/>
      <c r="VAL5" s="11"/>
      <c r="VAM5" s="12"/>
      <c r="VAN5" s="13"/>
      <c r="VAO5" s="12"/>
      <c r="VAP5" s="11"/>
      <c r="VAQ5" s="13"/>
      <c r="VAR5" s="12"/>
      <c r="VAS5" s="12"/>
      <c r="VAT5" s="11"/>
      <c r="VAU5" s="13"/>
      <c r="VAV5" s="4"/>
      <c r="VAW5" s="4"/>
      <c r="VAX5" s="4"/>
      <c r="VAY5" s="4"/>
      <c r="VAZ5" s="4"/>
      <c r="VBA5" s="4"/>
      <c r="VBB5" s="4"/>
      <c r="VBC5" s="4"/>
      <c r="VBE5" s="4"/>
      <c r="VBG5" s="10"/>
      <c r="VBH5" s="11"/>
      <c r="VBI5" s="12"/>
      <c r="VBJ5" s="13"/>
      <c r="VBK5" s="12"/>
      <c r="VBL5" s="11"/>
      <c r="VBM5" s="13"/>
      <c r="VBN5" s="12"/>
      <c r="VBO5" s="12"/>
      <c r="VBP5" s="11"/>
      <c r="VBQ5" s="13"/>
      <c r="VBR5" s="4"/>
      <c r="VBS5" s="4"/>
      <c r="VBT5" s="4"/>
      <c r="VBU5" s="4"/>
      <c r="VBV5" s="4"/>
      <c r="VBW5" s="4"/>
      <c r="VBX5" s="4"/>
      <c r="VBY5" s="4"/>
      <c r="VCA5" s="4"/>
      <c r="VCC5" s="10"/>
      <c r="VCD5" s="11"/>
      <c r="VCE5" s="12"/>
      <c r="VCF5" s="13"/>
      <c r="VCG5" s="12"/>
      <c r="VCH5" s="11"/>
      <c r="VCI5" s="13"/>
      <c r="VCJ5" s="12"/>
      <c r="VCK5" s="12"/>
      <c r="VCL5" s="11"/>
      <c r="VCM5" s="13"/>
      <c r="VCN5" s="4"/>
      <c r="VCO5" s="4"/>
      <c r="VCP5" s="4"/>
      <c r="VCQ5" s="4"/>
      <c r="VCR5" s="4"/>
      <c r="VCS5" s="4"/>
      <c r="VCT5" s="4"/>
      <c r="VCU5" s="4"/>
      <c r="VCW5" s="4"/>
      <c r="VCY5" s="10"/>
      <c r="VCZ5" s="11"/>
      <c r="VDA5" s="12"/>
      <c r="VDB5" s="13"/>
      <c r="VDC5" s="12"/>
      <c r="VDD5" s="11"/>
      <c r="VDE5" s="13"/>
      <c r="VDF5" s="12"/>
      <c r="VDG5" s="12"/>
      <c r="VDH5" s="11"/>
      <c r="VDI5" s="13"/>
      <c r="VDJ5" s="4"/>
      <c r="VDK5" s="4"/>
      <c r="VDL5" s="4"/>
      <c r="VDM5" s="4"/>
      <c r="VDN5" s="4"/>
      <c r="VDO5" s="4"/>
      <c r="VDP5" s="4"/>
      <c r="VDQ5" s="4"/>
      <c r="VDS5" s="4"/>
      <c r="VDU5" s="10"/>
      <c r="VDV5" s="11"/>
      <c r="VDW5" s="12"/>
      <c r="VDX5" s="13"/>
      <c r="VDY5" s="12"/>
      <c r="VDZ5" s="11"/>
      <c r="VEA5" s="13"/>
      <c r="VEB5" s="12"/>
      <c r="VEC5" s="12"/>
      <c r="VED5" s="11"/>
      <c r="VEE5" s="13"/>
      <c r="VEF5" s="4"/>
      <c r="VEG5" s="4"/>
      <c r="VEH5" s="4"/>
      <c r="VEI5" s="4"/>
      <c r="VEJ5" s="4"/>
      <c r="VEK5" s="4"/>
      <c r="VEL5" s="4"/>
      <c r="VEM5" s="4"/>
      <c r="VEO5" s="4"/>
      <c r="VEQ5" s="10"/>
      <c r="VER5" s="11"/>
      <c r="VES5" s="12"/>
      <c r="VET5" s="13"/>
      <c r="VEU5" s="12"/>
      <c r="VEV5" s="11"/>
      <c r="VEW5" s="13"/>
      <c r="VEX5" s="12"/>
      <c r="VEY5" s="12"/>
      <c r="VEZ5" s="11"/>
      <c r="VFA5" s="13"/>
      <c r="VFB5" s="4"/>
      <c r="VFC5" s="4"/>
      <c r="VFD5" s="4"/>
      <c r="VFE5" s="4"/>
      <c r="VFF5" s="4"/>
      <c r="VFG5" s="4"/>
      <c r="VFH5" s="4"/>
      <c r="VFI5" s="4"/>
      <c r="VFK5" s="4"/>
      <c r="VFM5" s="10"/>
      <c r="VFN5" s="11"/>
      <c r="VFO5" s="12"/>
      <c r="VFP5" s="13"/>
      <c r="VFQ5" s="12"/>
      <c r="VFR5" s="11"/>
      <c r="VFS5" s="13"/>
      <c r="VFT5" s="12"/>
      <c r="VFU5" s="12"/>
      <c r="VFV5" s="11"/>
      <c r="VFW5" s="13"/>
      <c r="VFX5" s="4"/>
      <c r="VFY5" s="4"/>
      <c r="VFZ5" s="4"/>
      <c r="VGA5" s="4"/>
      <c r="VGB5" s="4"/>
      <c r="VGC5" s="4"/>
      <c r="VGD5" s="4"/>
      <c r="VGE5" s="4"/>
      <c r="VGG5" s="4"/>
      <c r="VGI5" s="10"/>
      <c r="VGJ5" s="11"/>
      <c r="VGK5" s="12"/>
      <c r="VGL5" s="13"/>
      <c r="VGM5" s="12"/>
      <c r="VGN5" s="11"/>
      <c r="VGO5" s="13"/>
      <c r="VGP5" s="12"/>
      <c r="VGQ5" s="12"/>
      <c r="VGR5" s="11"/>
      <c r="VGS5" s="13"/>
      <c r="VGT5" s="4"/>
      <c r="VGU5" s="4"/>
      <c r="VGV5" s="4"/>
      <c r="VGW5" s="4"/>
      <c r="VGX5" s="4"/>
      <c r="VGY5" s="4"/>
      <c r="VGZ5" s="4"/>
      <c r="VHA5" s="4"/>
      <c r="VHC5" s="4"/>
      <c r="VHE5" s="10"/>
      <c r="VHF5" s="11"/>
      <c r="VHG5" s="12"/>
      <c r="VHH5" s="13"/>
      <c r="VHI5" s="12"/>
      <c r="VHJ5" s="11"/>
      <c r="VHK5" s="13"/>
      <c r="VHL5" s="12"/>
      <c r="VHM5" s="12"/>
      <c r="VHN5" s="11"/>
      <c r="VHO5" s="13"/>
      <c r="VHP5" s="4"/>
      <c r="VHQ5" s="4"/>
      <c r="VHR5" s="4"/>
      <c r="VHS5" s="4"/>
      <c r="VHT5" s="4"/>
      <c r="VHU5" s="4"/>
      <c r="VHV5" s="4"/>
      <c r="VHW5" s="4"/>
      <c r="VHY5" s="4"/>
      <c r="VIA5" s="10"/>
      <c r="VIB5" s="11"/>
      <c r="VIC5" s="12"/>
      <c r="VID5" s="13"/>
      <c r="VIE5" s="12"/>
      <c r="VIF5" s="11"/>
      <c r="VIG5" s="13"/>
      <c r="VIH5" s="12"/>
      <c r="VII5" s="12"/>
      <c r="VIJ5" s="11"/>
      <c r="VIK5" s="13"/>
      <c r="VIL5" s="4"/>
      <c r="VIM5" s="4"/>
      <c r="VIN5" s="4"/>
      <c r="VIO5" s="4"/>
      <c r="VIP5" s="4"/>
      <c r="VIQ5" s="4"/>
      <c r="VIR5" s="4"/>
      <c r="VIS5" s="4"/>
      <c r="VIU5" s="4"/>
      <c r="VIW5" s="10"/>
      <c r="VIX5" s="11"/>
      <c r="VIY5" s="12"/>
      <c r="VIZ5" s="13"/>
      <c r="VJA5" s="12"/>
      <c r="VJB5" s="11"/>
      <c r="VJC5" s="13"/>
      <c r="VJD5" s="12"/>
      <c r="VJE5" s="12"/>
      <c r="VJF5" s="11"/>
      <c r="VJG5" s="13"/>
      <c r="VJH5" s="4"/>
      <c r="VJI5" s="4"/>
      <c r="VJJ5" s="4"/>
      <c r="VJK5" s="4"/>
      <c r="VJL5" s="4"/>
      <c r="VJM5" s="4"/>
      <c r="VJN5" s="4"/>
      <c r="VJO5" s="4"/>
      <c r="VJQ5" s="4"/>
      <c r="VJS5" s="10"/>
      <c r="VJT5" s="11"/>
      <c r="VJU5" s="12"/>
      <c r="VJV5" s="13"/>
      <c r="VJW5" s="12"/>
      <c r="VJX5" s="11"/>
      <c r="VJY5" s="13"/>
      <c r="VJZ5" s="12"/>
      <c r="VKA5" s="12"/>
      <c r="VKB5" s="11"/>
      <c r="VKC5" s="13"/>
      <c r="VKD5" s="4"/>
      <c r="VKE5" s="4"/>
      <c r="VKF5" s="4"/>
      <c r="VKG5" s="4"/>
      <c r="VKH5" s="4"/>
      <c r="VKI5" s="4"/>
      <c r="VKJ5" s="4"/>
      <c r="VKK5" s="4"/>
      <c r="VKM5" s="4"/>
      <c r="VKO5" s="10"/>
      <c r="VKP5" s="11"/>
      <c r="VKQ5" s="12"/>
      <c r="VKR5" s="13"/>
      <c r="VKS5" s="12"/>
      <c r="VKT5" s="11"/>
      <c r="VKU5" s="13"/>
      <c r="VKV5" s="12"/>
      <c r="VKW5" s="12"/>
      <c r="VKX5" s="11"/>
      <c r="VKY5" s="13"/>
      <c r="VKZ5" s="4"/>
      <c r="VLA5" s="4"/>
      <c r="VLB5" s="4"/>
      <c r="VLC5" s="4"/>
      <c r="VLD5" s="4"/>
      <c r="VLE5" s="4"/>
      <c r="VLF5" s="4"/>
      <c r="VLG5" s="4"/>
      <c r="VLI5" s="4"/>
      <c r="VLK5" s="10"/>
      <c r="VLL5" s="11"/>
      <c r="VLM5" s="12"/>
      <c r="VLN5" s="13"/>
      <c r="VLO5" s="12"/>
      <c r="VLP5" s="11"/>
      <c r="VLQ5" s="13"/>
      <c r="VLR5" s="12"/>
      <c r="VLS5" s="12"/>
      <c r="VLT5" s="11"/>
      <c r="VLU5" s="13"/>
      <c r="VLV5" s="4"/>
      <c r="VLW5" s="4"/>
      <c r="VLX5" s="4"/>
      <c r="VLY5" s="4"/>
      <c r="VLZ5" s="4"/>
      <c r="VMA5" s="4"/>
      <c r="VMB5" s="4"/>
      <c r="VMC5" s="4"/>
      <c r="VME5" s="4"/>
      <c r="VMG5" s="10"/>
      <c r="VMH5" s="11"/>
      <c r="VMI5" s="12"/>
      <c r="VMJ5" s="13"/>
      <c r="VMK5" s="12"/>
      <c r="VML5" s="11"/>
      <c r="VMM5" s="13"/>
      <c r="VMN5" s="12"/>
      <c r="VMO5" s="12"/>
      <c r="VMP5" s="11"/>
      <c r="VMQ5" s="13"/>
      <c r="VMR5" s="4"/>
      <c r="VMS5" s="4"/>
      <c r="VMT5" s="4"/>
      <c r="VMU5" s="4"/>
      <c r="VMV5" s="4"/>
      <c r="VMW5" s="4"/>
      <c r="VMX5" s="4"/>
      <c r="VMY5" s="4"/>
      <c r="VNA5" s="4"/>
      <c r="VNC5" s="10"/>
      <c r="VND5" s="11"/>
      <c r="VNE5" s="12"/>
      <c r="VNF5" s="13"/>
      <c r="VNG5" s="12"/>
      <c r="VNH5" s="11"/>
      <c r="VNI5" s="13"/>
      <c r="VNJ5" s="12"/>
      <c r="VNK5" s="12"/>
      <c r="VNL5" s="11"/>
      <c r="VNM5" s="13"/>
      <c r="VNN5" s="4"/>
      <c r="VNO5" s="4"/>
      <c r="VNP5" s="4"/>
      <c r="VNQ5" s="4"/>
      <c r="VNR5" s="4"/>
      <c r="VNS5" s="4"/>
      <c r="VNT5" s="4"/>
      <c r="VNU5" s="4"/>
      <c r="VNW5" s="4"/>
      <c r="VNY5" s="10"/>
      <c r="VNZ5" s="11"/>
      <c r="VOA5" s="12"/>
      <c r="VOB5" s="13"/>
      <c r="VOC5" s="12"/>
      <c r="VOD5" s="11"/>
      <c r="VOE5" s="13"/>
      <c r="VOF5" s="12"/>
      <c r="VOG5" s="12"/>
      <c r="VOH5" s="11"/>
      <c r="VOI5" s="13"/>
      <c r="VOJ5" s="4"/>
      <c r="VOK5" s="4"/>
      <c r="VOL5" s="4"/>
      <c r="VOM5" s="4"/>
      <c r="VON5" s="4"/>
      <c r="VOO5" s="4"/>
      <c r="VOP5" s="4"/>
      <c r="VOQ5" s="4"/>
      <c r="VOS5" s="4"/>
      <c r="VOU5" s="10"/>
      <c r="VOV5" s="11"/>
      <c r="VOW5" s="12"/>
      <c r="VOX5" s="13"/>
      <c r="VOY5" s="12"/>
      <c r="VOZ5" s="11"/>
      <c r="VPA5" s="13"/>
      <c r="VPB5" s="12"/>
      <c r="VPC5" s="12"/>
      <c r="VPD5" s="11"/>
      <c r="VPE5" s="13"/>
      <c r="VPF5" s="4"/>
      <c r="VPG5" s="4"/>
      <c r="VPH5" s="4"/>
      <c r="VPI5" s="4"/>
      <c r="VPJ5" s="4"/>
      <c r="VPK5" s="4"/>
      <c r="VPL5" s="4"/>
      <c r="VPM5" s="4"/>
      <c r="VPO5" s="4"/>
      <c r="VPQ5" s="10"/>
      <c r="VPR5" s="11"/>
      <c r="VPS5" s="12"/>
      <c r="VPT5" s="13"/>
      <c r="VPU5" s="12"/>
      <c r="VPV5" s="11"/>
      <c r="VPW5" s="13"/>
      <c r="VPX5" s="12"/>
      <c r="VPY5" s="12"/>
      <c r="VPZ5" s="11"/>
      <c r="VQA5" s="13"/>
      <c r="VQB5" s="4"/>
      <c r="VQC5" s="4"/>
      <c r="VQD5" s="4"/>
      <c r="VQE5" s="4"/>
      <c r="VQF5" s="4"/>
      <c r="VQG5" s="4"/>
      <c r="VQH5" s="4"/>
      <c r="VQI5" s="4"/>
      <c r="VQK5" s="4"/>
      <c r="VQM5" s="10"/>
      <c r="VQN5" s="11"/>
      <c r="VQO5" s="12"/>
      <c r="VQP5" s="13"/>
      <c r="VQQ5" s="12"/>
      <c r="VQR5" s="11"/>
      <c r="VQS5" s="13"/>
      <c r="VQT5" s="12"/>
      <c r="VQU5" s="12"/>
      <c r="VQV5" s="11"/>
      <c r="VQW5" s="13"/>
      <c r="VQX5" s="4"/>
      <c r="VQY5" s="4"/>
      <c r="VQZ5" s="4"/>
      <c r="VRA5" s="4"/>
      <c r="VRB5" s="4"/>
      <c r="VRC5" s="4"/>
      <c r="VRD5" s="4"/>
      <c r="VRE5" s="4"/>
      <c r="VRG5" s="4"/>
      <c r="VRI5" s="10"/>
      <c r="VRJ5" s="11"/>
      <c r="VRK5" s="12"/>
      <c r="VRL5" s="13"/>
      <c r="VRM5" s="12"/>
      <c r="VRN5" s="11"/>
      <c r="VRO5" s="13"/>
      <c r="VRP5" s="12"/>
      <c r="VRQ5" s="12"/>
      <c r="VRR5" s="11"/>
      <c r="VRS5" s="13"/>
      <c r="VRT5" s="4"/>
      <c r="VRU5" s="4"/>
      <c r="VRV5" s="4"/>
      <c r="VRW5" s="4"/>
      <c r="VRX5" s="4"/>
      <c r="VRY5" s="4"/>
      <c r="VRZ5" s="4"/>
      <c r="VSA5" s="4"/>
      <c r="VSC5" s="4"/>
      <c r="VSE5" s="10"/>
      <c r="VSF5" s="11"/>
      <c r="VSG5" s="12"/>
      <c r="VSH5" s="13"/>
      <c r="VSI5" s="12"/>
      <c r="VSJ5" s="11"/>
      <c r="VSK5" s="13"/>
      <c r="VSL5" s="12"/>
      <c r="VSM5" s="12"/>
      <c r="VSN5" s="11"/>
      <c r="VSO5" s="13"/>
      <c r="VSP5" s="4"/>
      <c r="VSQ5" s="4"/>
      <c r="VSR5" s="4"/>
      <c r="VSS5" s="4"/>
      <c r="VST5" s="4"/>
      <c r="VSU5" s="4"/>
      <c r="VSV5" s="4"/>
      <c r="VSW5" s="4"/>
      <c r="VSY5" s="4"/>
      <c r="VTA5" s="10"/>
      <c r="VTB5" s="11"/>
      <c r="VTC5" s="12"/>
      <c r="VTD5" s="13"/>
      <c r="VTE5" s="12"/>
      <c r="VTF5" s="11"/>
      <c r="VTG5" s="13"/>
      <c r="VTH5" s="12"/>
      <c r="VTI5" s="12"/>
      <c r="VTJ5" s="11"/>
      <c r="VTK5" s="13"/>
      <c r="VTL5" s="4"/>
      <c r="VTM5" s="4"/>
      <c r="VTN5" s="4"/>
      <c r="VTO5" s="4"/>
      <c r="VTP5" s="4"/>
      <c r="VTQ5" s="4"/>
      <c r="VTR5" s="4"/>
      <c r="VTS5" s="4"/>
      <c r="VTU5" s="4"/>
      <c r="VTW5" s="10"/>
      <c r="VTX5" s="11"/>
      <c r="VTY5" s="12"/>
      <c r="VTZ5" s="13"/>
      <c r="VUA5" s="12"/>
      <c r="VUB5" s="11"/>
      <c r="VUC5" s="13"/>
      <c r="VUD5" s="12"/>
      <c r="VUE5" s="12"/>
      <c r="VUF5" s="11"/>
      <c r="VUG5" s="13"/>
      <c r="VUH5" s="4"/>
      <c r="VUI5" s="4"/>
      <c r="VUJ5" s="4"/>
      <c r="VUK5" s="4"/>
      <c r="VUL5" s="4"/>
      <c r="VUM5" s="4"/>
      <c r="VUN5" s="4"/>
      <c r="VUO5" s="4"/>
      <c r="VUQ5" s="4"/>
      <c r="VUS5" s="10"/>
      <c r="VUT5" s="11"/>
      <c r="VUU5" s="12"/>
      <c r="VUV5" s="13"/>
      <c r="VUW5" s="12"/>
      <c r="VUX5" s="11"/>
      <c r="VUY5" s="13"/>
      <c r="VUZ5" s="12"/>
      <c r="VVA5" s="12"/>
      <c r="VVB5" s="11"/>
      <c r="VVC5" s="13"/>
      <c r="VVD5" s="4"/>
      <c r="VVE5" s="4"/>
      <c r="VVF5" s="4"/>
      <c r="VVG5" s="4"/>
      <c r="VVH5" s="4"/>
      <c r="VVI5" s="4"/>
      <c r="VVJ5" s="4"/>
      <c r="VVK5" s="4"/>
      <c r="VVM5" s="4"/>
      <c r="VVO5" s="10"/>
      <c r="VVP5" s="11"/>
      <c r="VVQ5" s="12"/>
      <c r="VVR5" s="13"/>
      <c r="VVS5" s="12"/>
      <c r="VVT5" s="11"/>
      <c r="VVU5" s="13"/>
      <c r="VVV5" s="12"/>
      <c r="VVW5" s="12"/>
      <c r="VVX5" s="11"/>
      <c r="VVY5" s="13"/>
      <c r="VVZ5" s="4"/>
      <c r="VWA5" s="4"/>
      <c r="VWB5" s="4"/>
      <c r="VWC5" s="4"/>
      <c r="VWD5" s="4"/>
      <c r="VWE5" s="4"/>
      <c r="VWF5" s="4"/>
      <c r="VWG5" s="4"/>
      <c r="VWI5" s="4"/>
      <c r="VWK5" s="10"/>
      <c r="VWL5" s="11"/>
      <c r="VWM5" s="12"/>
      <c r="VWN5" s="13"/>
      <c r="VWO5" s="12"/>
      <c r="VWP5" s="11"/>
      <c r="VWQ5" s="13"/>
      <c r="VWR5" s="12"/>
      <c r="VWS5" s="12"/>
      <c r="VWT5" s="11"/>
      <c r="VWU5" s="13"/>
      <c r="VWV5" s="4"/>
      <c r="VWW5" s="4"/>
      <c r="VWX5" s="4"/>
      <c r="VWY5" s="4"/>
      <c r="VWZ5" s="4"/>
      <c r="VXA5" s="4"/>
      <c r="VXB5" s="4"/>
      <c r="VXC5" s="4"/>
      <c r="VXE5" s="4"/>
      <c r="VXG5" s="10"/>
      <c r="VXH5" s="11"/>
      <c r="VXI5" s="12"/>
      <c r="VXJ5" s="13"/>
      <c r="VXK5" s="12"/>
      <c r="VXL5" s="11"/>
      <c r="VXM5" s="13"/>
      <c r="VXN5" s="12"/>
      <c r="VXO5" s="12"/>
      <c r="VXP5" s="11"/>
      <c r="VXQ5" s="13"/>
      <c r="VXR5" s="4"/>
      <c r="VXS5" s="4"/>
      <c r="VXT5" s="4"/>
      <c r="VXU5" s="4"/>
      <c r="VXV5" s="4"/>
      <c r="VXW5" s="4"/>
      <c r="VXX5" s="4"/>
      <c r="VXY5" s="4"/>
      <c r="VYA5" s="4"/>
      <c r="VYC5" s="10"/>
      <c r="VYD5" s="11"/>
      <c r="VYE5" s="12"/>
      <c r="VYF5" s="13"/>
      <c r="VYG5" s="12"/>
      <c r="VYH5" s="11"/>
      <c r="VYI5" s="13"/>
      <c r="VYJ5" s="12"/>
      <c r="VYK5" s="12"/>
      <c r="VYL5" s="11"/>
      <c r="VYM5" s="13"/>
      <c r="VYN5" s="4"/>
      <c r="VYO5" s="4"/>
      <c r="VYP5" s="4"/>
      <c r="VYQ5" s="4"/>
      <c r="VYR5" s="4"/>
      <c r="VYS5" s="4"/>
      <c r="VYT5" s="4"/>
      <c r="VYU5" s="4"/>
      <c r="VYW5" s="4"/>
      <c r="VYY5" s="10"/>
      <c r="VYZ5" s="11"/>
      <c r="VZA5" s="12"/>
      <c r="VZB5" s="13"/>
      <c r="VZC5" s="12"/>
      <c r="VZD5" s="11"/>
      <c r="VZE5" s="13"/>
      <c r="VZF5" s="12"/>
      <c r="VZG5" s="12"/>
      <c r="VZH5" s="11"/>
      <c r="VZI5" s="13"/>
      <c r="VZJ5" s="4"/>
      <c r="VZK5" s="4"/>
      <c r="VZL5" s="4"/>
      <c r="VZM5" s="4"/>
      <c r="VZN5" s="4"/>
      <c r="VZO5" s="4"/>
      <c r="VZP5" s="4"/>
      <c r="VZQ5" s="4"/>
      <c r="VZS5" s="4"/>
      <c r="VZU5" s="10"/>
      <c r="VZV5" s="11"/>
      <c r="VZW5" s="12"/>
      <c r="VZX5" s="13"/>
      <c r="VZY5" s="12"/>
      <c r="VZZ5" s="11"/>
      <c r="WAA5" s="13"/>
      <c r="WAB5" s="12"/>
      <c r="WAC5" s="12"/>
      <c r="WAD5" s="11"/>
      <c r="WAE5" s="13"/>
      <c r="WAF5" s="4"/>
      <c r="WAG5" s="4"/>
      <c r="WAH5" s="4"/>
      <c r="WAI5" s="4"/>
      <c r="WAJ5" s="4"/>
      <c r="WAK5" s="4"/>
      <c r="WAL5" s="4"/>
      <c r="WAM5" s="4"/>
      <c r="WAO5" s="4"/>
      <c r="WAQ5" s="10"/>
      <c r="WAR5" s="11"/>
      <c r="WAS5" s="12"/>
      <c r="WAT5" s="13"/>
      <c r="WAU5" s="12"/>
      <c r="WAV5" s="11"/>
      <c r="WAW5" s="13"/>
      <c r="WAX5" s="12"/>
      <c r="WAY5" s="12"/>
      <c r="WAZ5" s="11"/>
      <c r="WBA5" s="13"/>
      <c r="WBB5" s="4"/>
      <c r="WBC5" s="4"/>
      <c r="WBD5" s="4"/>
      <c r="WBE5" s="4"/>
      <c r="WBF5" s="4"/>
      <c r="WBG5" s="4"/>
      <c r="WBH5" s="4"/>
      <c r="WBI5" s="4"/>
      <c r="WBK5" s="4"/>
      <c r="WBM5" s="10"/>
      <c r="WBN5" s="11"/>
      <c r="WBO5" s="12"/>
      <c r="WBP5" s="13"/>
      <c r="WBQ5" s="12"/>
      <c r="WBR5" s="11"/>
      <c r="WBS5" s="13"/>
      <c r="WBT5" s="12"/>
      <c r="WBU5" s="12"/>
      <c r="WBV5" s="11"/>
      <c r="WBW5" s="13"/>
      <c r="WBX5" s="4"/>
      <c r="WBY5" s="4"/>
      <c r="WBZ5" s="4"/>
      <c r="WCA5" s="4"/>
      <c r="WCB5" s="4"/>
      <c r="WCC5" s="4"/>
      <c r="WCD5" s="4"/>
      <c r="WCE5" s="4"/>
      <c r="WCG5" s="4"/>
      <c r="WCI5" s="10"/>
      <c r="WCJ5" s="11"/>
      <c r="WCK5" s="12"/>
      <c r="WCL5" s="13"/>
      <c r="WCM5" s="12"/>
      <c r="WCN5" s="11"/>
      <c r="WCO5" s="13"/>
      <c r="WCP5" s="12"/>
      <c r="WCQ5" s="12"/>
      <c r="WCR5" s="11"/>
      <c r="WCS5" s="13"/>
      <c r="WCT5" s="4"/>
      <c r="WCU5" s="4"/>
      <c r="WCV5" s="4"/>
      <c r="WCW5" s="4"/>
      <c r="WCX5" s="4"/>
      <c r="WCY5" s="4"/>
      <c r="WCZ5" s="4"/>
      <c r="WDA5" s="4"/>
      <c r="WDC5" s="4"/>
      <c r="WDE5" s="10"/>
      <c r="WDF5" s="11"/>
      <c r="WDG5" s="12"/>
      <c r="WDH5" s="13"/>
      <c r="WDI5" s="12"/>
      <c r="WDJ5" s="11"/>
      <c r="WDK5" s="13"/>
      <c r="WDL5" s="12"/>
      <c r="WDM5" s="12"/>
      <c r="WDN5" s="11"/>
      <c r="WDO5" s="13"/>
      <c r="WDP5" s="4"/>
      <c r="WDQ5" s="4"/>
      <c r="WDR5" s="4"/>
      <c r="WDS5" s="4"/>
      <c r="WDT5" s="4"/>
      <c r="WDU5" s="4"/>
      <c r="WDV5" s="4"/>
      <c r="WDW5" s="4"/>
      <c r="WDY5" s="4"/>
      <c r="WEA5" s="10"/>
      <c r="WEB5" s="11"/>
      <c r="WEC5" s="12"/>
      <c r="WED5" s="13"/>
      <c r="WEE5" s="12"/>
      <c r="WEF5" s="11"/>
      <c r="WEG5" s="13"/>
      <c r="WEH5" s="12"/>
      <c r="WEI5" s="12"/>
      <c r="WEJ5" s="11"/>
      <c r="WEK5" s="13"/>
      <c r="WEL5" s="4"/>
      <c r="WEM5" s="4"/>
      <c r="WEN5" s="4"/>
      <c r="WEO5" s="4"/>
      <c r="WEP5" s="4"/>
      <c r="WEQ5" s="4"/>
      <c r="WER5" s="4"/>
      <c r="WES5" s="4"/>
      <c r="WEU5" s="4"/>
      <c r="WEW5" s="10"/>
      <c r="WEX5" s="11"/>
      <c r="WEY5" s="12"/>
      <c r="WEZ5" s="13"/>
      <c r="WFA5" s="12"/>
      <c r="WFB5" s="11"/>
      <c r="WFC5" s="13"/>
      <c r="WFD5" s="12"/>
      <c r="WFE5" s="12"/>
      <c r="WFF5" s="11"/>
      <c r="WFG5" s="13"/>
      <c r="WFH5" s="4"/>
      <c r="WFI5" s="4"/>
      <c r="WFJ5" s="4"/>
      <c r="WFK5" s="4"/>
      <c r="WFL5" s="4"/>
      <c r="WFM5" s="4"/>
      <c r="WFN5" s="4"/>
      <c r="WFO5" s="4"/>
      <c r="WFQ5" s="4"/>
      <c r="WFS5" s="10"/>
      <c r="WFT5" s="11"/>
      <c r="WFU5" s="12"/>
      <c r="WFV5" s="13"/>
      <c r="WFW5" s="12"/>
      <c r="WFX5" s="11"/>
      <c r="WFY5" s="13"/>
      <c r="WFZ5" s="12"/>
      <c r="WGA5" s="12"/>
      <c r="WGB5" s="11"/>
      <c r="WGC5" s="13"/>
      <c r="WGD5" s="4"/>
      <c r="WGE5" s="4"/>
      <c r="WGF5" s="4"/>
      <c r="WGG5" s="4"/>
      <c r="WGH5" s="4"/>
      <c r="WGI5" s="4"/>
      <c r="WGJ5" s="4"/>
      <c r="WGK5" s="4"/>
      <c r="WGM5" s="4"/>
      <c r="WGO5" s="10"/>
      <c r="WGP5" s="11"/>
      <c r="WGQ5" s="12"/>
      <c r="WGR5" s="13"/>
      <c r="WGS5" s="12"/>
      <c r="WGT5" s="11"/>
      <c r="WGU5" s="13"/>
      <c r="WGV5" s="12"/>
      <c r="WGW5" s="12"/>
      <c r="WGX5" s="11"/>
      <c r="WGY5" s="13"/>
      <c r="WGZ5" s="4"/>
      <c r="WHA5" s="4"/>
      <c r="WHB5" s="4"/>
      <c r="WHC5" s="4"/>
      <c r="WHD5" s="4"/>
      <c r="WHE5" s="4"/>
      <c r="WHF5" s="4"/>
      <c r="WHG5" s="4"/>
      <c r="WHI5" s="4"/>
      <c r="WHK5" s="10"/>
      <c r="WHL5" s="11"/>
      <c r="WHM5" s="12"/>
      <c r="WHN5" s="13"/>
      <c r="WHO5" s="12"/>
      <c r="WHP5" s="11"/>
      <c r="WHQ5" s="13"/>
      <c r="WHR5" s="12"/>
      <c r="WHS5" s="12"/>
      <c r="WHT5" s="11"/>
      <c r="WHU5" s="13"/>
      <c r="WHV5" s="4"/>
      <c r="WHW5" s="4"/>
      <c r="WHX5" s="4"/>
      <c r="WHY5" s="4"/>
      <c r="WHZ5" s="4"/>
      <c r="WIA5" s="4"/>
      <c r="WIB5" s="4"/>
      <c r="WIC5" s="4"/>
      <c r="WIE5" s="4"/>
      <c r="WIG5" s="10"/>
      <c r="WIH5" s="11"/>
      <c r="WII5" s="12"/>
      <c r="WIJ5" s="13"/>
      <c r="WIK5" s="12"/>
      <c r="WIL5" s="11"/>
      <c r="WIM5" s="13"/>
      <c r="WIN5" s="12"/>
      <c r="WIO5" s="12"/>
      <c r="WIP5" s="11"/>
      <c r="WIQ5" s="13"/>
      <c r="WIR5" s="4"/>
      <c r="WIS5" s="4"/>
      <c r="WIT5" s="4"/>
      <c r="WIU5" s="4"/>
      <c r="WIV5" s="4"/>
      <c r="WIW5" s="4"/>
      <c r="WIX5" s="4"/>
      <c r="WIY5" s="4"/>
      <c r="WJA5" s="4"/>
      <c r="WJC5" s="10"/>
      <c r="WJD5" s="11"/>
      <c r="WJE5" s="12"/>
      <c r="WJF5" s="13"/>
      <c r="WJG5" s="12"/>
      <c r="WJH5" s="11"/>
      <c r="WJI5" s="13"/>
      <c r="WJJ5" s="12"/>
      <c r="WJK5" s="12"/>
      <c r="WJL5" s="11"/>
      <c r="WJM5" s="13"/>
      <c r="WJN5" s="4"/>
      <c r="WJO5" s="4"/>
      <c r="WJP5" s="4"/>
      <c r="WJQ5" s="4"/>
      <c r="WJR5" s="4"/>
      <c r="WJS5" s="4"/>
      <c r="WJT5" s="4"/>
      <c r="WJU5" s="4"/>
      <c r="WJW5" s="4"/>
      <c r="WJY5" s="10"/>
      <c r="WJZ5" s="11"/>
      <c r="WKA5" s="12"/>
      <c r="WKB5" s="13"/>
      <c r="WKC5" s="12"/>
      <c r="WKD5" s="11"/>
      <c r="WKE5" s="13"/>
      <c r="WKF5" s="12"/>
      <c r="WKG5" s="12"/>
      <c r="WKH5" s="11"/>
      <c r="WKI5" s="13"/>
      <c r="WKJ5" s="4"/>
      <c r="WKK5" s="4"/>
      <c r="WKL5" s="4"/>
      <c r="WKM5" s="4"/>
      <c r="WKN5" s="4"/>
      <c r="WKO5" s="4"/>
      <c r="WKP5" s="4"/>
      <c r="WKQ5" s="4"/>
      <c r="WKS5" s="4"/>
      <c r="WKU5" s="10"/>
      <c r="WKV5" s="11"/>
      <c r="WKW5" s="12"/>
      <c r="WKX5" s="13"/>
      <c r="WKY5" s="12"/>
      <c r="WKZ5" s="11"/>
      <c r="WLA5" s="13"/>
      <c r="WLB5" s="12"/>
      <c r="WLC5" s="12"/>
      <c r="WLD5" s="11"/>
      <c r="WLE5" s="13"/>
      <c r="WLF5" s="4"/>
      <c r="WLG5" s="4"/>
      <c r="WLH5" s="4"/>
      <c r="WLI5" s="4"/>
      <c r="WLJ5" s="4"/>
      <c r="WLK5" s="4"/>
      <c r="WLL5" s="4"/>
      <c r="WLM5" s="4"/>
      <c r="WLO5" s="4"/>
      <c r="WLQ5" s="10"/>
      <c r="WLR5" s="11"/>
      <c r="WLS5" s="12"/>
      <c r="WLT5" s="13"/>
      <c r="WLU5" s="12"/>
      <c r="WLV5" s="11"/>
      <c r="WLW5" s="13"/>
      <c r="WLX5" s="12"/>
      <c r="WLY5" s="12"/>
      <c r="WLZ5" s="11"/>
      <c r="WMA5" s="13"/>
      <c r="WMB5" s="4"/>
      <c r="WMC5" s="4"/>
      <c r="WMD5" s="4"/>
      <c r="WME5" s="4"/>
      <c r="WMF5" s="4"/>
      <c r="WMG5" s="4"/>
      <c r="WMH5" s="4"/>
      <c r="WMI5" s="4"/>
      <c r="WMK5" s="4"/>
      <c r="WMM5" s="10"/>
      <c r="WMN5" s="11"/>
      <c r="WMO5" s="12"/>
      <c r="WMP5" s="13"/>
      <c r="WMQ5" s="12"/>
      <c r="WMR5" s="11"/>
      <c r="WMS5" s="13"/>
      <c r="WMT5" s="12"/>
      <c r="WMU5" s="12"/>
      <c r="WMV5" s="11"/>
      <c r="WMW5" s="13"/>
      <c r="WMX5" s="4"/>
      <c r="WMY5" s="4"/>
      <c r="WMZ5" s="4"/>
      <c r="WNA5" s="4"/>
      <c r="WNB5" s="4"/>
      <c r="WNC5" s="4"/>
      <c r="WND5" s="4"/>
      <c r="WNE5" s="4"/>
      <c r="WNG5" s="4"/>
      <c r="WNI5" s="10"/>
      <c r="WNJ5" s="11"/>
      <c r="WNK5" s="12"/>
      <c r="WNL5" s="13"/>
      <c r="WNM5" s="12"/>
      <c r="WNN5" s="11"/>
      <c r="WNO5" s="13"/>
      <c r="WNP5" s="12"/>
      <c r="WNQ5" s="12"/>
      <c r="WNR5" s="11"/>
      <c r="WNS5" s="13"/>
      <c r="WNT5" s="4"/>
      <c r="WNU5" s="4"/>
      <c r="WNV5" s="4"/>
      <c r="WNW5" s="4"/>
      <c r="WNX5" s="4"/>
      <c r="WNY5" s="4"/>
      <c r="WNZ5" s="4"/>
      <c r="WOA5" s="4"/>
      <c r="WOC5" s="4"/>
      <c r="WOE5" s="10"/>
      <c r="WOF5" s="11"/>
      <c r="WOG5" s="12"/>
      <c r="WOH5" s="13"/>
      <c r="WOI5" s="12"/>
      <c r="WOJ5" s="11"/>
      <c r="WOK5" s="13"/>
      <c r="WOL5" s="12"/>
      <c r="WOM5" s="12"/>
      <c r="WON5" s="11"/>
      <c r="WOO5" s="13"/>
      <c r="WOP5" s="4"/>
      <c r="WOQ5" s="4"/>
      <c r="WOR5" s="4"/>
      <c r="WOS5" s="4"/>
      <c r="WOT5" s="4"/>
      <c r="WOU5" s="4"/>
      <c r="WOV5" s="4"/>
      <c r="WOW5" s="4"/>
      <c r="WOY5" s="4"/>
      <c r="WPA5" s="10"/>
      <c r="WPB5" s="11"/>
      <c r="WPC5" s="12"/>
      <c r="WPD5" s="13"/>
      <c r="WPE5" s="12"/>
      <c r="WPF5" s="11"/>
      <c r="WPG5" s="13"/>
      <c r="WPH5" s="12"/>
      <c r="WPI5" s="12"/>
      <c r="WPJ5" s="11"/>
      <c r="WPK5" s="13"/>
      <c r="WPL5" s="4"/>
      <c r="WPM5" s="4"/>
      <c r="WPN5" s="4"/>
      <c r="WPO5" s="4"/>
      <c r="WPP5" s="4"/>
      <c r="WPQ5" s="4"/>
      <c r="WPR5" s="4"/>
      <c r="WPS5" s="4"/>
      <c r="WPU5" s="4"/>
      <c r="WPW5" s="10"/>
      <c r="WPX5" s="11"/>
      <c r="WPY5" s="12"/>
      <c r="WPZ5" s="13"/>
      <c r="WQA5" s="12"/>
      <c r="WQB5" s="11"/>
      <c r="WQC5" s="13"/>
      <c r="WQD5" s="12"/>
      <c r="WQE5" s="12"/>
      <c r="WQF5" s="11"/>
      <c r="WQG5" s="13"/>
      <c r="WQH5" s="4"/>
      <c r="WQI5" s="4"/>
      <c r="WQJ5" s="4"/>
      <c r="WQK5" s="4"/>
      <c r="WQL5" s="4"/>
      <c r="WQM5" s="4"/>
      <c r="WQN5" s="4"/>
      <c r="WQO5" s="4"/>
      <c r="WQQ5" s="4"/>
      <c r="WQS5" s="10"/>
      <c r="WQT5" s="11"/>
      <c r="WQU5" s="12"/>
      <c r="WQV5" s="13"/>
      <c r="WQW5" s="12"/>
      <c r="WQX5" s="11"/>
      <c r="WQY5" s="13"/>
      <c r="WQZ5" s="12"/>
      <c r="WRA5" s="12"/>
      <c r="WRB5" s="11"/>
      <c r="WRC5" s="13"/>
      <c r="WRD5" s="4"/>
      <c r="WRE5" s="4"/>
      <c r="WRF5" s="4"/>
      <c r="WRG5" s="4"/>
      <c r="WRH5" s="4"/>
      <c r="WRI5" s="4"/>
      <c r="WRJ5" s="4"/>
      <c r="WRK5" s="4"/>
      <c r="WRM5" s="4"/>
      <c r="WRO5" s="10"/>
      <c r="WRP5" s="11"/>
      <c r="WRQ5" s="12"/>
      <c r="WRR5" s="13"/>
      <c r="WRS5" s="12"/>
      <c r="WRT5" s="11"/>
      <c r="WRU5" s="13"/>
      <c r="WRV5" s="12"/>
      <c r="WRW5" s="12"/>
      <c r="WRX5" s="11"/>
      <c r="WRY5" s="13"/>
      <c r="WRZ5" s="4"/>
      <c r="WSA5" s="4"/>
      <c r="WSB5" s="4"/>
      <c r="WSC5" s="4"/>
      <c r="WSD5" s="4"/>
      <c r="WSE5" s="4"/>
      <c r="WSF5" s="4"/>
      <c r="WSG5" s="4"/>
      <c r="WSI5" s="4"/>
      <c r="WSK5" s="10"/>
      <c r="WSL5" s="11"/>
      <c r="WSM5" s="12"/>
      <c r="WSN5" s="13"/>
      <c r="WSO5" s="12"/>
      <c r="WSP5" s="11"/>
      <c r="WSQ5" s="13"/>
      <c r="WSR5" s="12"/>
      <c r="WSS5" s="12"/>
      <c r="WST5" s="11"/>
      <c r="WSU5" s="13"/>
      <c r="WSV5" s="4"/>
      <c r="WSW5" s="4"/>
      <c r="WSX5" s="4"/>
      <c r="WSY5" s="4"/>
      <c r="WSZ5" s="4"/>
      <c r="WTA5" s="4"/>
      <c r="WTB5" s="4"/>
      <c r="WTC5" s="4"/>
      <c r="WTE5" s="4"/>
      <c r="WTG5" s="10"/>
      <c r="WTH5" s="11"/>
      <c r="WTI5" s="12"/>
      <c r="WTJ5" s="13"/>
      <c r="WTK5" s="12"/>
      <c r="WTL5" s="11"/>
      <c r="WTM5" s="13"/>
      <c r="WTN5" s="12"/>
      <c r="WTO5" s="12"/>
      <c r="WTP5" s="11"/>
      <c r="WTQ5" s="13"/>
      <c r="WTR5" s="4"/>
      <c r="WTS5" s="4"/>
      <c r="WTT5" s="4"/>
      <c r="WTU5" s="4"/>
      <c r="WTV5" s="4"/>
      <c r="WTW5" s="4"/>
      <c r="WTX5" s="4"/>
      <c r="WTY5" s="4"/>
      <c r="WUA5" s="4"/>
      <c r="WUC5" s="10"/>
      <c r="WUD5" s="11"/>
      <c r="WUE5" s="12"/>
      <c r="WUF5" s="13"/>
      <c r="WUG5" s="12"/>
      <c r="WUH5" s="11"/>
      <c r="WUI5" s="13"/>
      <c r="WUJ5" s="12"/>
      <c r="WUK5" s="12"/>
      <c r="WUL5" s="11"/>
      <c r="WUM5" s="13"/>
      <c r="WUN5" s="4"/>
      <c r="WUO5" s="4"/>
      <c r="WUP5" s="4"/>
      <c r="WUQ5" s="4"/>
      <c r="WUR5" s="4"/>
      <c r="WUS5" s="4"/>
      <c r="WUT5" s="4"/>
      <c r="WUU5" s="4"/>
      <c r="WUW5" s="4"/>
      <c r="WUY5" s="10"/>
      <c r="WUZ5" s="11"/>
      <c r="WVA5" s="12"/>
      <c r="WVB5" s="13"/>
      <c r="WVC5" s="12"/>
      <c r="WVD5" s="11"/>
      <c r="WVE5" s="13"/>
      <c r="WVF5" s="12"/>
      <c r="WVG5" s="12"/>
      <c r="WVH5" s="11"/>
      <c r="WVI5" s="13"/>
      <c r="WVJ5" s="4"/>
      <c r="WVK5" s="4"/>
      <c r="WVL5" s="4"/>
      <c r="WVM5" s="4"/>
      <c r="WVN5" s="4"/>
      <c r="WVO5" s="4"/>
      <c r="WVP5" s="4"/>
      <c r="WVQ5" s="4"/>
      <c r="WVS5" s="4"/>
      <c r="WVU5" s="10"/>
      <c r="WVV5" s="11"/>
      <c r="WVW5" s="12"/>
      <c r="WVX5" s="13"/>
      <c r="WVY5" s="12"/>
      <c r="WVZ5" s="11"/>
      <c r="WWA5" s="13"/>
      <c r="WWB5" s="12"/>
      <c r="WWC5" s="12"/>
      <c r="WWD5" s="11"/>
      <c r="WWE5" s="13"/>
      <c r="WWF5" s="4"/>
      <c r="WWG5" s="4"/>
      <c r="WWH5" s="4"/>
      <c r="WWI5" s="4"/>
      <c r="WWJ5" s="4"/>
      <c r="WWK5" s="4"/>
      <c r="WWL5" s="4"/>
      <c r="WWM5" s="4"/>
      <c r="WWO5" s="4"/>
      <c r="WWQ5" s="10"/>
      <c r="WWR5" s="11"/>
      <c r="WWS5" s="12"/>
      <c r="WWT5" s="13"/>
      <c r="WWU5" s="12"/>
      <c r="WWV5" s="11"/>
      <c r="WWW5" s="13"/>
      <c r="WWX5" s="12"/>
      <c r="WWY5" s="12"/>
      <c r="WWZ5" s="11"/>
      <c r="WXA5" s="13"/>
      <c r="WXB5" s="4"/>
      <c r="WXC5" s="4"/>
      <c r="WXD5" s="4"/>
      <c r="WXE5" s="4"/>
      <c r="WXF5" s="4"/>
      <c r="WXG5" s="4"/>
      <c r="WXH5" s="4"/>
      <c r="WXI5" s="4"/>
      <c r="WXK5" s="4"/>
      <c r="WXM5" s="10"/>
      <c r="WXN5" s="11"/>
      <c r="WXO5" s="12"/>
      <c r="WXP5" s="13"/>
      <c r="WXQ5" s="12"/>
      <c r="WXR5" s="11"/>
      <c r="WXS5" s="13"/>
      <c r="WXT5" s="12"/>
      <c r="WXU5" s="12"/>
      <c r="WXV5" s="11"/>
      <c r="WXW5" s="13"/>
      <c r="WXX5" s="4"/>
      <c r="WXY5" s="4"/>
      <c r="WXZ5" s="4"/>
      <c r="WYA5" s="4"/>
      <c r="WYB5" s="4"/>
      <c r="WYC5" s="4"/>
      <c r="WYD5" s="4"/>
      <c r="WYE5" s="4"/>
      <c r="WYG5" s="4"/>
      <c r="WYI5" s="10"/>
      <c r="WYJ5" s="11"/>
      <c r="WYK5" s="12"/>
      <c r="WYL5" s="13"/>
      <c r="WYM5" s="12"/>
      <c r="WYN5" s="11"/>
      <c r="WYO5" s="13"/>
      <c r="WYP5" s="12"/>
      <c r="WYQ5" s="12"/>
      <c r="WYR5" s="11"/>
      <c r="WYS5" s="13"/>
      <c r="WYT5" s="4"/>
      <c r="WYU5" s="4"/>
      <c r="WYV5" s="4"/>
      <c r="WYW5" s="4"/>
      <c r="WYX5" s="4"/>
      <c r="WYY5" s="4"/>
      <c r="WYZ5" s="4"/>
      <c r="WZA5" s="4"/>
      <c r="WZC5" s="4"/>
      <c r="WZE5" s="10"/>
      <c r="WZF5" s="11"/>
      <c r="WZG5" s="12"/>
      <c r="WZH5" s="13"/>
      <c r="WZI5" s="12"/>
      <c r="WZJ5" s="11"/>
      <c r="WZK5" s="13"/>
      <c r="WZL5" s="12"/>
      <c r="WZM5" s="12"/>
      <c r="WZN5" s="11"/>
      <c r="WZO5" s="13"/>
      <c r="WZP5" s="4"/>
      <c r="WZQ5" s="4"/>
      <c r="WZR5" s="4"/>
      <c r="WZS5" s="4"/>
      <c r="WZT5" s="4"/>
      <c r="WZU5" s="4"/>
      <c r="WZV5" s="4"/>
      <c r="WZW5" s="4"/>
      <c r="WZY5" s="4"/>
      <c r="XAA5" s="10"/>
      <c r="XAB5" s="11"/>
      <c r="XAC5" s="12"/>
      <c r="XAD5" s="13"/>
      <c r="XAE5" s="12"/>
      <c r="XAF5" s="11"/>
      <c r="XAG5" s="13"/>
      <c r="XAH5" s="12"/>
      <c r="XAI5" s="12"/>
      <c r="XAJ5" s="11"/>
      <c r="XAK5" s="13"/>
      <c r="XAL5" s="4"/>
      <c r="XAM5" s="4"/>
      <c r="XAN5" s="4"/>
      <c r="XAO5" s="4"/>
      <c r="XAP5" s="4"/>
      <c r="XAQ5" s="4"/>
      <c r="XAR5" s="4"/>
      <c r="XAS5" s="4"/>
      <c r="XAU5" s="4"/>
      <c r="XAW5" s="10"/>
      <c r="XAX5" s="11"/>
      <c r="XAY5" s="12"/>
      <c r="XAZ5" s="13"/>
      <c r="XBA5" s="12"/>
      <c r="XBB5" s="11"/>
      <c r="XBC5" s="13"/>
      <c r="XBD5" s="12"/>
      <c r="XBE5" s="12"/>
      <c r="XBF5" s="11"/>
      <c r="XBG5" s="13"/>
      <c r="XBH5" s="4"/>
      <c r="XBI5" s="4"/>
      <c r="XBJ5" s="4"/>
      <c r="XBK5" s="4"/>
      <c r="XBL5" s="4"/>
      <c r="XBM5" s="4"/>
      <c r="XBN5" s="4"/>
      <c r="XBO5" s="4"/>
      <c r="XBQ5" s="4"/>
      <c r="XBS5" s="10"/>
      <c r="XBT5" s="11"/>
      <c r="XBU5" s="12"/>
      <c r="XBV5" s="13"/>
      <c r="XBW5" s="12"/>
      <c r="XBX5" s="11"/>
      <c r="XBY5" s="13"/>
      <c r="XBZ5" s="12"/>
      <c r="XCA5" s="12"/>
      <c r="XCB5" s="11"/>
      <c r="XCC5" s="13"/>
      <c r="XCD5" s="4"/>
      <c r="XCE5" s="4"/>
      <c r="XCF5" s="4"/>
      <c r="XCG5" s="4"/>
      <c r="XCH5" s="4"/>
      <c r="XCI5" s="4"/>
      <c r="XCJ5" s="4"/>
      <c r="XCK5" s="4"/>
      <c r="XCM5" s="4"/>
      <c r="XCO5" s="10"/>
      <c r="XCP5" s="11"/>
      <c r="XCQ5" s="12"/>
      <c r="XCR5" s="13"/>
      <c r="XCS5" s="12"/>
      <c r="XCT5" s="11"/>
      <c r="XCU5" s="13"/>
      <c r="XCV5" s="12"/>
      <c r="XCW5" s="12"/>
      <c r="XCX5" s="11"/>
      <c r="XCY5" s="13"/>
      <c r="XCZ5" s="4"/>
      <c r="XDA5" s="4"/>
      <c r="XDB5" s="4"/>
      <c r="XDC5" s="4"/>
      <c r="XDD5" s="4"/>
      <c r="XDE5" s="4"/>
      <c r="XDF5" s="4"/>
      <c r="XDG5" s="4"/>
      <c r="XDI5" s="4"/>
      <c r="XDK5" s="10"/>
      <c r="XDL5" s="11"/>
      <c r="XDM5" s="12"/>
      <c r="XDN5" s="13"/>
      <c r="XDO5" s="12"/>
      <c r="XDP5" s="11"/>
      <c r="XDQ5" s="13"/>
      <c r="XDR5" s="12"/>
      <c r="XDS5" s="12"/>
      <c r="XDT5" s="11"/>
      <c r="XDU5" s="13"/>
      <c r="XDV5" s="4"/>
      <c r="XDW5" s="4"/>
      <c r="XDX5" s="4"/>
      <c r="XDY5" s="4"/>
      <c r="XDZ5" s="4"/>
      <c r="XEA5" s="4"/>
      <c r="XEB5" s="4"/>
      <c r="XEC5" s="4"/>
      <c r="XEE5" s="4"/>
      <c r="XEG5" s="10"/>
      <c r="XEH5" s="11"/>
      <c r="XEI5" s="12"/>
      <c r="XEJ5" s="13"/>
      <c r="XEK5" s="12"/>
      <c r="XEL5" s="11"/>
      <c r="XEM5" s="13"/>
      <c r="XEN5" s="12"/>
      <c r="XEO5" s="12"/>
      <c r="XEP5" s="11"/>
      <c r="XEQ5" s="13"/>
      <c r="XER5" s="4"/>
      <c r="XES5" s="4"/>
      <c r="XET5" s="4"/>
      <c r="XEU5" s="4"/>
      <c r="XEV5" s="4"/>
      <c r="XEW5" s="4"/>
      <c r="XEX5" s="4"/>
      <c r="XEY5" s="4"/>
    </row>
    <row r="6" spans="2:16380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18</v>
      </c>
      <c r="M6" s="77" t="s">
        <v>1574</v>
      </c>
      <c r="N6" s="99" t="s">
        <v>286</v>
      </c>
      <c r="O6" s="99" t="s">
        <v>1577</v>
      </c>
      <c r="P6" s="114" t="s">
        <v>1578</v>
      </c>
      <c r="Q6" s="81" t="s">
        <v>287</v>
      </c>
      <c r="R6" s="81" t="s">
        <v>23</v>
      </c>
      <c r="S6" s="103" t="s">
        <v>19</v>
      </c>
      <c r="T6" s="11" t="s">
        <v>20</v>
      </c>
      <c r="U6" s="12" t="s">
        <v>21</v>
      </c>
      <c r="V6" s="12" t="s">
        <v>769</v>
      </c>
      <c r="W6" s="13" t="s">
        <v>22</v>
      </c>
      <c r="X6" s="12" t="s">
        <v>23</v>
      </c>
      <c r="Y6" s="11" t="s">
        <v>24</v>
      </c>
      <c r="Z6" s="13" t="s">
        <v>22</v>
      </c>
      <c r="AA6" s="12" t="s">
        <v>26</v>
      </c>
      <c r="AB6" s="11" t="s">
        <v>770</v>
      </c>
      <c r="AC6" s="13" t="s">
        <v>22</v>
      </c>
      <c r="AD6" s="12" t="s">
        <v>28</v>
      </c>
      <c r="AE6" s="59" t="s">
        <v>771</v>
      </c>
      <c r="AF6" s="60" t="s">
        <v>772</v>
      </c>
      <c r="AG6" s="61" t="s">
        <v>773</v>
      </c>
      <c r="AH6" s="62" t="s">
        <v>774</v>
      </c>
      <c r="AI6" s="59" t="s">
        <v>775</v>
      </c>
      <c r="AJ6" s="13" t="s">
        <v>774</v>
      </c>
      <c r="AK6" s="10"/>
      <c r="AL6" s="11"/>
      <c r="AM6" s="12"/>
      <c r="AN6" s="13"/>
      <c r="AO6" s="12"/>
      <c r="AP6" s="11"/>
      <c r="AQ6" s="13"/>
      <c r="AR6" s="12"/>
      <c r="AS6" s="12"/>
      <c r="AT6" s="11"/>
      <c r="AU6" s="13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10"/>
      <c r="BH6" s="11"/>
      <c r="BI6" s="12"/>
      <c r="BJ6" s="13"/>
      <c r="BK6" s="12"/>
      <c r="BL6" s="11"/>
      <c r="BM6" s="13"/>
      <c r="BN6" s="12"/>
      <c r="BO6" s="12"/>
      <c r="BP6" s="11"/>
      <c r="BQ6" s="13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10"/>
      <c r="CD6" s="11"/>
      <c r="CE6" s="12"/>
      <c r="CF6" s="13"/>
      <c r="CG6" s="12"/>
      <c r="CH6" s="11"/>
      <c r="CI6" s="13"/>
      <c r="CJ6" s="12"/>
      <c r="CK6" s="12"/>
      <c r="CL6" s="11"/>
      <c r="CM6" s="13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10"/>
      <c r="CZ6" s="11"/>
      <c r="DA6" s="12"/>
      <c r="DB6" s="13"/>
      <c r="DC6" s="12"/>
      <c r="DD6" s="11"/>
      <c r="DE6" s="13"/>
      <c r="DF6" s="12"/>
      <c r="DG6" s="12"/>
      <c r="DH6" s="11"/>
      <c r="DI6" s="13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10"/>
      <c r="DV6" s="11"/>
      <c r="DW6" s="12"/>
      <c r="DX6" s="13"/>
      <c r="DY6" s="12"/>
      <c r="DZ6" s="11"/>
      <c r="EA6" s="13"/>
      <c r="EB6" s="12"/>
      <c r="EC6" s="12"/>
      <c r="ED6" s="11"/>
      <c r="EE6" s="13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10"/>
      <c r="ER6" s="11"/>
      <c r="ES6" s="12"/>
      <c r="ET6" s="13"/>
      <c r="EU6" s="12"/>
      <c r="EV6" s="11"/>
      <c r="EW6" s="13"/>
      <c r="EX6" s="12"/>
      <c r="EY6" s="12"/>
      <c r="EZ6" s="11"/>
      <c r="FA6" s="13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10"/>
      <c r="FN6" s="11"/>
      <c r="FO6" s="12"/>
      <c r="FP6" s="13"/>
      <c r="FQ6" s="12"/>
      <c r="FR6" s="11"/>
      <c r="FS6" s="13"/>
      <c r="FT6" s="12"/>
      <c r="FU6" s="12"/>
      <c r="FV6" s="11"/>
      <c r="FW6" s="13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10"/>
      <c r="GJ6" s="11"/>
      <c r="GK6" s="12"/>
      <c r="GL6" s="13"/>
      <c r="GM6" s="12"/>
      <c r="GN6" s="11"/>
      <c r="GO6" s="13"/>
      <c r="GP6" s="12"/>
      <c r="GQ6" s="12"/>
      <c r="GR6" s="11"/>
      <c r="GS6" s="13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10"/>
      <c r="HF6" s="11"/>
      <c r="HG6" s="12"/>
      <c r="HH6" s="13"/>
      <c r="HI6" s="12"/>
      <c r="HJ6" s="11"/>
      <c r="HK6" s="13"/>
      <c r="HL6" s="12"/>
      <c r="HM6" s="12"/>
      <c r="HN6" s="11"/>
      <c r="HO6" s="13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10"/>
      <c r="IB6" s="11"/>
      <c r="IC6" s="12"/>
      <c r="ID6" s="13"/>
      <c r="IE6" s="12"/>
      <c r="IF6" s="11"/>
      <c r="IG6" s="13"/>
      <c r="IH6" s="12"/>
      <c r="II6" s="12"/>
      <c r="IJ6" s="11"/>
      <c r="IK6" s="13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10"/>
      <c r="IX6" s="11"/>
      <c r="IY6" s="12"/>
      <c r="IZ6" s="13"/>
      <c r="JA6" s="12"/>
      <c r="JB6" s="11"/>
      <c r="JC6" s="13"/>
      <c r="JD6" s="12"/>
      <c r="JE6" s="12"/>
      <c r="JF6" s="11"/>
      <c r="JG6" s="13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10"/>
      <c r="JT6" s="11"/>
      <c r="JU6" s="12"/>
      <c r="JV6" s="13"/>
      <c r="JW6" s="12"/>
      <c r="JX6" s="11"/>
      <c r="JY6" s="13"/>
      <c r="JZ6" s="12"/>
      <c r="KA6" s="12"/>
      <c r="KB6" s="11"/>
      <c r="KC6" s="13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10"/>
      <c r="KP6" s="11"/>
      <c r="KQ6" s="12"/>
      <c r="KR6" s="13"/>
      <c r="KS6" s="12"/>
      <c r="KT6" s="11"/>
      <c r="KU6" s="13"/>
      <c r="KV6" s="12"/>
      <c r="KW6" s="12"/>
      <c r="KX6" s="11"/>
      <c r="KY6" s="13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10"/>
      <c r="LL6" s="11"/>
      <c r="LM6" s="12"/>
      <c r="LN6" s="13"/>
      <c r="LO6" s="12"/>
      <c r="LP6" s="11"/>
      <c r="LQ6" s="13"/>
      <c r="LR6" s="12"/>
      <c r="LS6" s="12"/>
      <c r="LT6" s="11"/>
      <c r="LU6" s="13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10"/>
      <c r="MH6" s="11"/>
      <c r="MI6" s="12"/>
      <c r="MJ6" s="13"/>
      <c r="MK6" s="12"/>
      <c r="ML6" s="11"/>
      <c r="MM6" s="13"/>
      <c r="MN6" s="12"/>
      <c r="MO6" s="12"/>
      <c r="MP6" s="11"/>
      <c r="MQ6" s="13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10"/>
      <c r="ND6" s="11"/>
      <c r="NE6" s="12"/>
      <c r="NF6" s="13"/>
      <c r="NG6" s="12"/>
      <c r="NH6" s="11"/>
      <c r="NI6" s="13"/>
      <c r="NJ6" s="12"/>
      <c r="NK6" s="12"/>
      <c r="NL6" s="11"/>
      <c r="NM6" s="13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10"/>
      <c r="NZ6" s="11"/>
      <c r="OA6" s="12"/>
      <c r="OB6" s="13"/>
      <c r="OC6" s="12"/>
      <c r="OD6" s="11"/>
      <c r="OE6" s="13"/>
      <c r="OF6" s="12"/>
      <c r="OG6" s="12"/>
      <c r="OH6" s="11"/>
      <c r="OI6" s="13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10"/>
      <c r="OV6" s="11"/>
      <c r="OW6" s="12"/>
      <c r="OX6" s="13"/>
      <c r="OY6" s="12"/>
      <c r="OZ6" s="11"/>
      <c r="PA6" s="13"/>
      <c r="PB6" s="12"/>
      <c r="PC6" s="12"/>
      <c r="PD6" s="11"/>
      <c r="PE6" s="13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10"/>
      <c r="PR6" s="11"/>
      <c r="PS6" s="12"/>
      <c r="PT6" s="13"/>
      <c r="PU6" s="12"/>
      <c r="PV6" s="11"/>
      <c r="PW6" s="13"/>
      <c r="PX6" s="12"/>
      <c r="PY6" s="12"/>
      <c r="PZ6" s="11"/>
      <c r="QA6" s="13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10"/>
      <c r="QN6" s="11"/>
      <c r="QO6" s="12"/>
      <c r="QP6" s="13"/>
      <c r="QQ6" s="12"/>
      <c r="QR6" s="11"/>
      <c r="QS6" s="13"/>
      <c r="QT6" s="12"/>
      <c r="QU6" s="12"/>
      <c r="QV6" s="11"/>
      <c r="QW6" s="13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10"/>
      <c r="RJ6" s="11"/>
      <c r="RK6" s="12"/>
      <c r="RL6" s="13"/>
      <c r="RM6" s="12"/>
      <c r="RN6" s="11"/>
      <c r="RO6" s="13"/>
      <c r="RP6" s="12"/>
      <c r="RQ6" s="12"/>
      <c r="RR6" s="11"/>
      <c r="RS6" s="13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10"/>
      <c r="SF6" s="11"/>
      <c r="SG6" s="12"/>
      <c r="SH6" s="13"/>
      <c r="SI6" s="12"/>
      <c r="SJ6" s="11"/>
      <c r="SK6" s="13"/>
      <c r="SL6" s="12"/>
      <c r="SM6" s="12"/>
      <c r="SN6" s="11"/>
      <c r="SO6" s="13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10"/>
      <c r="TB6" s="11"/>
      <c r="TC6" s="12"/>
      <c r="TD6" s="13"/>
      <c r="TE6" s="12"/>
      <c r="TF6" s="11"/>
      <c r="TG6" s="13"/>
      <c r="TH6" s="12"/>
      <c r="TI6" s="12"/>
      <c r="TJ6" s="11"/>
      <c r="TK6" s="13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10"/>
      <c r="TX6" s="11"/>
      <c r="TY6" s="12"/>
      <c r="TZ6" s="13"/>
      <c r="UA6" s="12"/>
      <c r="UB6" s="11"/>
      <c r="UC6" s="13"/>
      <c r="UD6" s="12"/>
      <c r="UE6" s="12"/>
      <c r="UF6" s="11"/>
      <c r="UG6" s="13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10"/>
      <c r="UT6" s="11"/>
      <c r="UU6" s="12"/>
      <c r="UV6" s="13"/>
      <c r="UW6" s="12"/>
      <c r="UX6" s="11"/>
      <c r="UY6" s="13"/>
      <c r="UZ6" s="12"/>
      <c r="VA6" s="12"/>
      <c r="VB6" s="11"/>
      <c r="VC6" s="13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10"/>
      <c r="VP6" s="11"/>
      <c r="VQ6" s="12"/>
      <c r="VR6" s="13"/>
      <c r="VS6" s="12"/>
      <c r="VT6" s="11"/>
      <c r="VU6" s="13"/>
      <c r="VV6" s="12"/>
      <c r="VW6" s="12"/>
      <c r="VX6" s="11"/>
      <c r="VY6" s="13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10"/>
      <c r="WL6" s="11"/>
      <c r="WM6" s="12"/>
      <c r="WN6" s="13"/>
      <c r="WO6" s="12"/>
      <c r="WP6" s="11"/>
      <c r="WQ6" s="13"/>
      <c r="WR6" s="12"/>
      <c r="WS6" s="12"/>
      <c r="WT6" s="11"/>
      <c r="WU6" s="13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10"/>
      <c r="XH6" s="11"/>
      <c r="XI6" s="12"/>
      <c r="XJ6" s="13"/>
      <c r="XK6" s="12"/>
      <c r="XL6" s="11"/>
      <c r="XM6" s="13"/>
      <c r="XN6" s="12"/>
      <c r="XO6" s="12"/>
      <c r="XP6" s="11"/>
      <c r="XQ6" s="13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10"/>
      <c r="YD6" s="11"/>
      <c r="YE6" s="12"/>
      <c r="YF6" s="13"/>
      <c r="YG6" s="12"/>
      <c r="YH6" s="11"/>
      <c r="YI6" s="13"/>
      <c r="YJ6" s="12"/>
      <c r="YK6" s="12"/>
      <c r="YL6" s="11"/>
      <c r="YM6" s="13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10"/>
      <c r="YZ6" s="11"/>
      <c r="ZA6" s="12"/>
      <c r="ZB6" s="13"/>
      <c r="ZC6" s="12"/>
      <c r="ZD6" s="11"/>
      <c r="ZE6" s="13"/>
      <c r="ZF6" s="12"/>
      <c r="ZG6" s="12"/>
      <c r="ZH6" s="11"/>
      <c r="ZI6" s="13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10"/>
      <c r="ZV6" s="11"/>
      <c r="ZW6" s="12"/>
      <c r="ZX6" s="13"/>
      <c r="ZY6" s="12"/>
      <c r="ZZ6" s="11"/>
      <c r="AAA6" s="13"/>
      <c r="AAB6" s="12"/>
      <c r="AAC6" s="12"/>
      <c r="AAD6" s="11"/>
      <c r="AAE6" s="13"/>
      <c r="AAF6" s="5"/>
      <c r="AAG6" s="5"/>
      <c r="AAH6" s="5"/>
      <c r="AAI6" s="5"/>
      <c r="AAJ6" s="5"/>
      <c r="AAK6" s="5"/>
      <c r="AAL6" s="5"/>
      <c r="AAM6" s="5"/>
      <c r="AAN6" s="5"/>
      <c r="AAO6" s="5"/>
      <c r="AAP6" s="5"/>
      <c r="AAQ6" s="10"/>
      <c r="AAR6" s="11"/>
      <c r="AAS6" s="12"/>
      <c r="AAT6" s="13"/>
      <c r="AAU6" s="12"/>
      <c r="AAV6" s="11"/>
      <c r="AAW6" s="13"/>
      <c r="AAX6" s="12"/>
      <c r="AAY6" s="12"/>
      <c r="AAZ6" s="11"/>
      <c r="ABA6" s="13"/>
      <c r="ABB6" s="5"/>
      <c r="ABC6" s="5"/>
      <c r="ABD6" s="5"/>
      <c r="ABE6" s="5"/>
      <c r="ABF6" s="5"/>
      <c r="ABG6" s="5"/>
      <c r="ABH6" s="5"/>
      <c r="ABI6" s="5"/>
      <c r="ABJ6" s="5"/>
      <c r="ABK6" s="5"/>
      <c r="ABL6" s="5"/>
      <c r="ABM6" s="10"/>
      <c r="ABN6" s="11"/>
      <c r="ABO6" s="12"/>
      <c r="ABP6" s="13"/>
      <c r="ABQ6" s="12"/>
      <c r="ABR6" s="11"/>
      <c r="ABS6" s="13"/>
      <c r="ABT6" s="12"/>
      <c r="ABU6" s="12"/>
      <c r="ABV6" s="11"/>
      <c r="ABW6" s="13"/>
      <c r="ABX6" s="5"/>
      <c r="ABY6" s="5"/>
      <c r="ABZ6" s="5"/>
      <c r="ACA6" s="5"/>
      <c r="ACB6" s="5"/>
      <c r="ACC6" s="5"/>
      <c r="ACD6" s="5"/>
      <c r="ACE6" s="5"/>
      <c r="ACF6" s="5"/>
      <c r="ACG6" s="5"/>
      <c r="ACH6" s="5"/>
      <c r="ACI6" s="10"/>
      <c r="ACJ6" s="11"/>
      <c r="ACK6" s="12"/>
      <c r="ACL6" s="13"/>
      <c r="ACM6" s="12"/>
      <c r="ACN6" s="11"/>
      <c r="ACO6" s="13"/>
      <c r="ACP6" s="12"/>
      <c r="ACQ6" s="12"/>
      <c r="ACR6" s="11"/>
      <c r="ACS6" s="13"/>
      <c r="ACT6" s="5"/>
      <c r="ACU6" s="5"/>
      <c r="ACV6" s="5"/>
      <c r="ACW6" s="5"/>
      <c r="ACX6" s="5"/>
      <c r="ACY6" s="5"/>
      <c r="ACZ6" s="5"/>
      <c r="ADA6" s="5"/>
      <c r="ADB6" s="5"/>
      <c r="ADC6" s="5"/>
      <c r="ADD6" s="5"/>
      <c r="ADE6" s="10"/>
      <c r="ADF6" s="11"/>
      <c r="ADG6" s="12"/>
      <c r="ADH6" s="13"/>
      <c r="ADI6" s="12"/>
      <c r="ADJ6" s="11"/>
      <c r="ADK6" s="13"/>
      <c r="ADL6" s="12"/>
      <c r="ADM6" s="12"/>
      <c r="ADN6" s="11"/>
      <c r="ADO6" s="13"/>
      <c r="ADP6" s="5"/>
      <c r="ADQ6" s="5"/>
      <c r="ADR6" s="5"/>
      <c r="ADS6" s="5"/>
      <c r="ADT6" s="5"/>
      <c r="ADU6" s="5"/>
      <c r="ADV6" s="5"/>
      <c r="ADW6" s="5"/>
      <c r="ADX6" s="5"/>
      <c r="ADY6" s="5"/>
      <c r="ADZ6" s="5"/>
      <c r="AEA6" s="10"/>
      <c r="AEB6" s="11"/>
      <c r="AEC6" s="12"/>
      <c r="AED6" s="13"/>
      <c r="AEE6" s="12"/>
      <c r="AEF6" s="11"/>
      <c r="AEG6" s="13"/>
      <c r="AEH6" s="12"/>
      <c r="AEI6" s="12"/>
      <c r="AEJ6" s="11"/>
      <c r="AEK6" s="13"/>
      <c r="AEL6" s="5"/>
      <c r="AEM6" s="5"/>
      <c r="AEN6" s="5"/>
      <c r="AEO6" s="5"/>
      <c r="AEP6" s="5"/>
      <c r="AEQ6" s="5"/>
      <c r="AER6" s="5"/>
      <c r="AES6" s="5"/>
      <c r="AET6" s="5"/>
      <c r="AEU6" s="5"/>
      <c r="AEV6" s="5"/>
      <c r="AEW6" s="10"/>
      <c r="AEX6" s="11"/>
      <c r="AEY6" s="12"/>
      <c r="AEZ6" s="13"/>
      <c r="AFA6" s="12"/>
      <c r="AFB6" s="11"/>
      <c r="AFC6" s="13"/>
      <c r="AFD6" s="12"/>
      <c r="AFE6" s="12"/>
      <c r="AFF6" s="11"/>
      <c r="AFG6" s="13"/>
      <c r="AFH6" s="5"/>
      <c r="AFI6" s="5"/>
      <c r="AFJ6" s="5"/>
      <c r="AFK6" s="5"/>
      <c r="AFL6" s="5"/>
      <c r="AFM6" s="5"/>
      <c r="AFN6" s="5"/>
      <c r="AFO6" s="5"/>
      <c r="AFP6" s="5"/>
      <c r="AFQ6" s="5"/>
      <c r="AFR6" s="5"/>
      <c r="AFS6" s="10"/>
      <c r="AFT6" s="11"/>
      <c r="AFU6" s="12"/>
      <c r="AFV6" s="13"/>
      <c r="AFW6" s="12"/>
      <c r="AFX6" s="11"/>
      <c r="AFY6" s="13"/>
      <c r="AFZ6" s="12"/>
      <c r="AGA6" s="12"/>
      <c r="AGB6" s="11"/>
      <c r="AGC6" s="13"/>
      <c r="AGD6" s="5"/>
      <c r="AGE6" s="5"/>
      <c r="AGF6" s="5"/>
      <c r="AGG6" s="5"/>
      <c r="AGH6" s="5"/>
      <c r="AGI6" s="5"/>
      <c r="AGJ6" s="5"/>
      <c r="AGK6" s="5"/>
      <c r="AGL6" s="5"/>
      <c r="AGM6" s="5"/>
      <c r="AGN6" s="5"/>
      <c r="AGO6" s="10"/>
      <c r="AGP6" s="11"/>
      <c r="AGQ6" s="12"/>
      <c r="AGR6" s="13"/>
      <c r="AGS6" s="12"/>
      <c r="AGT6" s="11"/>
      <c r="AGU6" s="13"/>
      <c r="AGV6" s="12"/>
      <c r="AGW6" s="12"/>
      <c r="AGX6" s="11"/>
      <c r="AGY6" s="13"/>
      <c r="AGZ6" s="5"/>
      <c r="AHA6" s="5"/>
      <c r="AHB6" s="5"/>
      <c r="AHC6" s="5"/>
      <c r="AHD6" s="5"/>
      <c r="AHE6" s="5"/>
      <c r="AHF6" s="5"/>
      <c r="AHG6" s="5"/>
      <c r="AHH6" s="5"/>
      <c r="AHI6" s="5"/>
      <c r="AHJ6" s="5"/>
      <c r="AHK6" s="10"/>
      <c r="AHL6" s="11"/>
      <c r="AHM6" s="12"/>
      <c r="AHN6" s="13"/>
      <c r="AHO6" s="12"/>
      <c r="AHP6" s="11"/>
      <c r="AHQ6" s="13"/>
      <c r="AHR6" s="12"/>
      <c r="AHS6" s="12"/>
      <c r="AHT6" s="11"/>
      <c r="AHU6" s="13"/>
      <c r="AHV6" s="5"/>
      <c r="AHW6" s="5"/>
      <c r="AHX6" s="5"/>
      <c r="AHY6" s="5"/>
      <c r="AHZ6" s="5"/>
      <c r="AIA6" s="5"/>
      <c r="AIB6" s="5"/>
      <c r="AIC6" s="5"/>
      <c r="AID6" s="5"/>
      <c r="AIE6" s="5"/>
      <c r="AIF6" s="5"/>
      <c r="AIG6" s="10"/>
      <c r="AIH6" s="11"/>
      <c r="AII6" s="12"/>
      <c r="AIJ6" s="13"/>
      <c r="AIK6" s="12"/>
      <c r="AIL6" s="11"/>
      <c r="AIM6" s="13"/>
      <c r="AIN6" s="12"/>
      <c r="AIO6" s="12"/>
      <c r="AIP6" s="11"/>
      <c r="AIQ6" s="13"/>
      <c r="AIR6" s="5"/>
      <c r="AIS6" s="5"/>
      <c r="AIT6" s="5"/>
      <c r="AIU6" s="5"/>
      <c r="AIV6" s="5"/>
      <c r="AIW6" s="5"/>
      <c r="AIX6" s="5"/>
      <c r="AIY6" s="5"/>
      <c r="AIZ6" s="5"/>
      <c r="AJA6" s="5"/>
      <c r="AJB6" s="5"/>
      <c r="AJC6" s="10"/>
      <c r="AJD6" s="11"/>
      <c r="AJE6" s="12"/>
      <c r="AJF6" s="13"/>
      <c r="AJG6" s="12"/>
      <c r="AJH6" s="11"/>
      <c r="AJI6" s="13"/>
      <c r="AJJ6" s="12"/>
      <c r="AJK6" s="12"/>
      <c r="AJL6" s="11"/>
      <c r="AJM6" s="13"/>
      <c r="AJN6" s="5"/>
      <c r="AJO6" s="5"/>
      <c r="AJP6" s="5"/>
      <c r="AJQ6" s="5"/>
      <c r="AJR6" s="5"/>
      <c r="AJS6" s="5"/>
      <c r="AJT6" s="5"/>
      <c r="AJU6" s="5"/>
      <c r="AJV6" s="5"/>
      <c r="AJW6" s="5"/>
      <c r="AJX6" s="5"/>
      <c r="AJY6" s="10"/>
      <c r="AJZ6" s="11"/>
      <c r="AKA6" s="12"/>
      <c r="AKB6" s="13"/>
      <c r="AKC6" s="12"/>
      <c r="AKD6" s="11"/>
      <c r="AKE6" s="13"/>
      <c r="AKF6" s="12"/>
      <c r="AKG6" s="12"/>
      <c r="AKH6" s="11"/>
      <c r="AKI6" s="13"/>
      <c r="AKJ6" s="5"/>
      <c r="AKK6" s="5"/>
      <c r="AKL6" s="5"/>
      <c r="AKM6" s="5"/>
      <c r="AKN6" s="5"/>
      <c r="AKO6" s="5"/>
      <c r="AKP6" s="5"/>
      <c r="AKQ6" s="5"/>
      <c r="AKR6" s="5"/>
      <c r="AKS6" s="5"/>
      <c r="AKT6" s="5"/>
      <c r="AKU6" s="10"/>
      <c r="AKV6" s="11"/>
      <c r="AKW6" s="12"/>
      <c r="AKX6" s="13"/>
      <c r="AKY6" s="12"/>
      <c r="AKZ6" s="11"/>
      <c r="ALA6" s="13"/>
      <c r="ALB6" s="12"/>
      <c r="ALC6" s="12"/>
      <c r="ALD6" s="11"/>
      <c r="ALE6" s="13"/>
      <c r="ALF6" s="5"/>
      <c r="ALG6" s="5"/>
      <c r="ALH6" s="5"/>
      <c r="ALI6" s="5"/>
      <c r="ALJ6" s="5"/>
      <c r="ALK6" s="5"/>
      <c r="ALL6" s="5"/>
      <c r="ALM6" s="5"/>
      <c r="ALN6" s="5"/>
      <c r="ALO6" s="5"/>
      <c r="ALP6" s="5"/>
      <c r="ALQ6" s="10"/>
      <c r="ALR6" s="11"/>
      <c r="ALS6" s="12"/>
      <c r="ALT6" s="13"/>
      <c r="ALU6" s="12"/>
      <c r="ALV6" s="11"/>
      <c r="ALW6" s="13"/>
      <c r="ALX6" s="12"/>
      <c r="ALY6" s="12"/>
      <c r="ALZ6" s="11"/>
      <c r="AMA6" s="13"/>
      <c r="AMB6" s="5"/>
      <c r="AMC6" s="5"/>
      <c r="AMD6" s="5"/>
      <c r="AME6" s="5"/>
      <c r="AMF6" s="5"/>
      <c r="AMG6" s="5"/>
      <c r="AMH6" s="5"/>
      <c r="AMI6" s="5"/>
      <c r="AMJ6" s="5"/>
      <c r="AMK6" s="5"/>
      <c r="AML6" s="5"/>
      <c r="AMM6" s="10"/>
      <c r="AMN6" s="11"/>
      <c r="AMO6" s="12"/>
      <c r="AMP6" s="13"/>
      <c r="AMQ6" s="12"/>
      <c r="AMR6" s="11"/>
      <c r="AMS6" s="13"/>
      <c r="AMT6" s="12"/>
      <c r="AMU6" s="12"/>
      <c r="AMV6" s="11"/>
      <c r="AMW6" s="13"/>
      <c r="AMX6" s="5"/>
      <c r="AMY6" s="5"/>
      <c r="AMZ6" s="5"/>
      <c r="ANA6" s="5"/>
      <c r="ANB6" s="5"/>
      <c r="ANC6" s="5"/>
      <c r="AND6" s="5"/>
      <c r="ANE6" s="5"/>
      <c r="ANF6" s="5"/>
      <c r="ANG6" s="5"/>
      <c r="ANH6" s="5"/>
      <c r="ANI6" s="10"/>
      <c r="ANJ6" s="11"/>
      <c r="ANK6" s="12"/>
      <c r="ANL6" s="13"/>
      <c r="ANM6" s="12"/>
      <c r="ANN6" s="11"/>
      <c r="ANO6" s="13"/>
      <c r="ANP6" s="12"/>
      <c r="ANQ6" s="12"/>
      <c r="ANR6" s="11"/>
      <c r="ANS6" s="13"/>
      <c r="ANT6" s="5"/>
      <c r="ANU6" s="5"/>
      <c r="ANV6" s="5"/>
      <c r="ANW6" s="5"/>
      <c r="ANX6" s="5"/>
      <c r="ANY6" s="5"/>
      <c r="ANZ6" s="5"/>
      <c r="AOA6" s="5"/>
      <c r="AOB6" s="5"/>
      <c r="AOC6" s="5"/>
      <c r="AOD6" s="5"/>
      <c r="AOE6" s="10"/>
      <c r="AOF6" s="11"/>
      <c r="AOG6" s="12"/>
      <c r="AOH6" s="13"/>
      <c r="AOI6" s="12"/>
      <c r="AOJ6" s="11"/>
      <c r="AOK6" s="13"/>
      <c r="AOL6" s="12"/>
      <c r="AOM6" s="12"/>
      <c r="AON6" s="11"/>
      <c r="AOO6" s="13"/>
      <c r="AOP6" s="5"/>
      <c r="AOQ6" s="5"/>
      <c r="AOR6" s="5"/>
      <c r="AOS6" s="5"/>
      <c r="AOT6" s="5"/>
      <c r="AOU6" s="5"/>
      <c r="AOV6" s="5"/>
      <c r="AOW6" s="5"/>
      <c r="AOX6" s="5"/>
      <c r="AOY6" s="5"/>
      <c r="AOZ6" s="5"/>
      <c r="APA6" s="10"/>
      <c r="APB6" s="11"/>
      <c r="APC6" s="12"/>
      <c r="APD6" s="13"/>
      <c r="APE6" s="12"/>
      <c r="APF6" s="11"/>
      <c r="APG6" s="13"/>
      <c r="APH6" s="12"/>
      <c r="API6" s="12"/>
      <c r="APJ6" s="11"/>
      <c r="APK6" s="13"/>
      <c r="APL6" s="5"/>
      <c r="APM6" s="5"/>
      <c r="APN6" s="5"/>
      <c r="APO6" s="5"/>
      <c r="APP6" s="5"/>
      <c r="APQ6" s="5"/>
      <c r="APR6" s="5"/>
      <c r="APS6" s="5"/>
      <c r="APT6" s="5"/>
      <c r="APU6" s="5"/>
      <c r="APV6" s="5"/>
      <c r="APW6" s="10"/>
      <c r="APX6" s="11"/>
      <c r="APY6" s="12"/>
      <c r="APZ6" s="13"/>
      <c r="AQA6" s="12"/>
      <c r="AQB6" s="11"/>
      <c r="AQC6" s="13"/>
      <c r="AQD6" s="12"/>
      <c r="AQE6" s="12"/>
      <c r="AQF6" s="11"/>
      <c r="AQG6" s="13"/>
      <c r="AQH6" s="5"/>
      <c r="AQI6" s="5"/>
      <c r="AQJ6" s="5"/>
      <c r="AQK6" s="5"/>
      <c r="AQL6" s="5"/>
      <c r="AQM6" s="5"/>
      <c r="AQN6" s="5"/>
      <c r="AQO6" s="5"/>
      <c r="AQP6" s="5"/>
      <c r="AQQ6" s="5"/>
      <c r="AQR6" s="5"/>
      <c r="AQS6" s="10"/>
      <c r="AQT6" s="11"/>
      <c r="AQU6" s="12"/>
      <c r="AQV6" s="13"/>
      <c r="AQW6" s="12"/>
      <c r="AQX6" s="11"/>
      <c r="AQY6" s="13"/>
      <c r="AQZ6" s="12"/>
      <c r="ARA6" s="12"/>
      <c r="ARB6" s="11"/>
      <c r="ARC6" s="13"/>
      <c r="ARD6" s="5"/>
      <c r="ARE6" s="5"/>
      <c r="ARF6" s="5"/>
      <c r="ARG6" s="5"/>
      <c r="ARH6" s="5"/>
      <c r="ARI6" s="5"/>
      <c r="ARJ6" s="5"/>
      <c r="ARK6" s="5"/>
      <c r="ARL6" s="5"/>
      <c r="ARM6" s="5"/>
      <c r="ARN6" s="5"/>
      <c r="ARO6" s="10"/>
      <c r="ARP6" s="11"/>
      <c r="ARQ6" s="12"/>
      <c r="ARR6" s="13"/>
      <c r="ARS6" s="12"/>
      <c r="ART6" s="11"/>
      <c r="ARU6" s="13"/>
      <c r="ARV6" s="12"/>
      <c r="ARW6" s="12"/>
      <c r="ARX6" s="11"/>
      <c r="ARY6" s="13"/>
      <c r="ARZ6" s="5"/>
      <c r="ASA6" s="5"/>
      <c r="ASB6" s="5"/>
      <c r="ASC6" s="5"/>
      <c r="ASD6" s="5"/>
      <c r="ASE6" s="5"/>
      <c r="ASF6" s="5"/>
      <c r="ASG6" s="5"/>
      <c r="ASH6" s="5"/>
      <c r="ASI6" s="5"/>
      <c r="ASJ6" s="5"/>
      <c r="ASK6" s="10"/>
      <c r="ASL6" s="11"/>
      <c r="ASM6" s="12"/>
      <c r="ASN6" s="13"/>
      <c r="ASO6" s="12"/>
      <c r="ASP6" s="11"/>
      <c r="ASQ6" s="13"/>
      <c r="ASR6" s="12"/>
      <c r="ASS6" s="12"/>
      <c r="AST6" s="11"/>
      <c r="ASU6" s="13"/>
      <c r="ASV6" s="5"/>
      <c r="ASW6" s="5"/>
      <c r="ASX6" s="5"/>
      <c r="ASY6" s="5"/>
      <c r="ASZ6" s="5"/>
      <c r="ATA6" s="5"/>
      <c r="ATB6" s="5"/>
      <c r="ATC6" s="5"/>
      <c r="ATD6" s="5"/>
      <c r="ATE6" s="5"/>
      <c r="ATF6" s="5"/>
      <c r="ATG6" s="10"/>
      <c r="ATH6" s="11"/>
      <c r="ATI6" s="12"/>
      <c r="ATJ6" s="13"/>
      <c r="ATK6" s="12"/>
      <c r="ATL6" s="11"/>
      <c r="ATM6" s="13"/>
      <c r="ATN6" s="12"/>
      <c r="ATO6" s="12"/>
      <c r="ATP6" s="11"/>
      <c r="ATQ6" s="13"/>
      <c r="ATR6" s="5"/>
      <c r="ATS6" s="5"/>
      <c r="ATT6" s="5"/>
      <c r="ATU6" s="5"/>
      <c r="ATV6" s="5"/>
      <c r="ATW6" s="5"/>
      <c r="ATX6" s="5"/>
      <c r="ATY6" s="5"/>
      <c r="ATZ6" s="5"/>
      <c r="AUA6" s="5"/>
      <c r="AUB6" s="5"/>
      <c r="AUC6" s="10"/>
      <c r="AUD6" s="11"/>
      <c r="AUE6" s="12"/>
      <c r="AUF6" s="13"/>
      <c r="AUG6" s="12"/>
      <c r="AUH6" s="11"/>
      <c r="AUI6" s="13"/>
      <c r="AUJ6" s="12"/>
      <c r="AUK6" s="12"/>
      <c r="AUL6" s="11"/>
      <c r="AUM6" s="13"/>
      <c r="AUN6" s="5"/>
      <c r="AUO6" s="5"/>
      <c r="AUP6" s="5"/>
      <c r="AUQ6" s="5"/>
      <c r="AUR6" s="5"/>
      <c r="AUS6" s="5"/>
      <c r="AUT6" s="5"/>
      <c r="AUU6" s="5"/>
      <c r="AUV6" s="5"/>
      <c r="AUW6" s="5"/>
      <c r="AUX6" s="5"/>
      <c r="AUY6" s="10"/>
      <c r="AUZ6" s="11"/>
      <c r="AVA6" s="12"/>
      <c r="AVB6" s="13"/>
      <c r="AVC6" s="12"/>
      <c r="AVD6" s="11"/>
      <c r="AVE6" s="13"/>
      <c r="AVF6" s="12"/>
      <c r="AVG6" s="12"/>
      <c r="AVH6" s="11"/>
      <c r="AVI6" s="13"/>
      <c r="AVJ6" s="5"/>
      <c r="AVK6" s="5"/>
      <c r="AVL6" s="5"/>
      <c r="AVM6" s="5"/>
      <c r="AVN6" s="5"/>
      <c r="AVO6" s="5"/>
      <c r="AVP6" s="5"/>
      <c r="AVQ6" s="5"/>
      <c r="AVR6" s="5"/>
      <c r="AVS6" s="5"/>
      <c r="AVT6" s="5"/>
      <c r="AVU6" s="10"/>
      <c r="AVV6" s="11"/>
      <c r="AVW6" s="12"/>
      <c r="AVX6" s="13"/>
      <c r="AVY6" s="12"/>
      <c r="AVZ6" s="11"/>
      <c r="AWA6" s="13"/>
      <c r="AWB6" s="12"/>
      <c r="AWC6" s="12"/>
      <c r="AWD6" s="11"/>
      <c r="AWE6" s="13"/>
      <c r="AWF6" s="5"/>
      <c r="AWG6" s="5"/>
      <c r="AWH6" s="5"/>
      <c r="AWI6" s="5"/>
      <c r="AWJ6" s="5"/>
      <c r="AWK6" s="5"/>
      <c r="AWL6" s="5"/>
      <c r="AWM6" s="5"/>
      <c r="AWN6" s="5"/>
      <c r="AWO6" s="5"/>
      <c r="AWP6" s="5"/>
      <c r="AWQ6" s="10"/>
      <c r="AWR6" s="11"/>
      <c r="AWS6" s="12"/>
      <c r="AWT6" s="13"/>
      <c r="AWU6" s="12"/>
      <c r="AWV6" s="11"/>
      <c r="AWW6" s="13"/>
      <c r="AWX6" s="12"/>
      <c r="AWY6" s="12"/>
      <c r="AWZ6" s="11"/>
      <c r="AXA6" s="13"/>
      <c r="AXB6" s="5"/>
      <c r="AXC6" s="5"/>
      <c r="AXD6" s="5"/>
      <c r="AXE6" s="5"/>
      <c r="AXF6" s="5"/>
      <c r="AXG6" s="5"/>
      <c r="AXH6" s="5"/>
      <c r="AXI6" s="5"/>
      <c r="AXJ6" s="5"/>
      <c r="AXK6" s="5"/>
      <c r="AXL6" s="5"/>
      <c r="AXM6" s="10"/>
      <c r="AXN6" s="11"/>
      <c r="AXO6" s="12"/>
      <c r="AXP6" s="13"/>
      <c r="AXQ6" s="12"/>
      <c r="AXR6" s="11"/>
      <c r="AXS6" s="13"/>
      <c r="AXT6" s="12"/>
      <c r="AXU6" s="12"/>
      <c r="AXV6" s="11"/>
      <c r="AXW6" s="13"/>
      <c r="AXX6" s="5"/>
      <c r="AXY6" s="5"/>
      <c r="AXZ6" s="5"/>
      <c r="AYA6" s="5"/>
      <c r="AYB6" s="5"/>
      <c r="AYC6" s="5"/>
      <c r="AYD6" s="5"/>
      <c r="AYE6" s="5"/>
      <c r="AYF6" s="5"/>
      <c r="AYG6" s="5"/>
      <c r="AYH6" s="5"/>
      <c r="AYI6" s="10"/>
      <c r="AYJ6" s="11"/>
      <c r="AYK6" s="12"/>
      <c r="AYL6" s="13"/>
      <c r="AYM6" s="12"/>
      <c r="AYN6" s="11"/>
      <c r="AYO6" s="13"/>
      <c r="AYP6" s="12"/>
      <c r="AYQ6" s="12"/>
      <c r="AYR6" s="11"/>
      <c r="AYS6" s="13"/>
      <c r="AYT6" s="5"/>
      <c r="AYU6" s="5"/>
      <c r="AYV6" s="5"/>
      <c r="AYW6" s="5"/>
      <c r="AYX6" s="5"/>
      <c r="AYY6" s="5"/>
      <c r="AYZ6" s="5"/>
      <c r="AZA6" s="5"/>
      <c r="AZB6" s="5"/>
      <c r="AZC6" s="5"/>
      <c r="AZD6" s="5"/>
      <c r="AZE6" s="10"/>
      <c r="AZF6" s="11"/>
      <c r="AZG6" s="12"/>
      <c r="AZH6" s="13"/>
      <c r="AZI6" s="12"/>
      <c r="AZJ6" s="11"/>
      <c r="AZK6" s="13"/>
      <c r="AZL6" s="12"/>
      <c r="AZM6" s="12"/>
      <c r="AZN6" s="11"/>
      <c r="AZO6" s="13"/>
      <c r="AZP6" s="5"/>
      <c r="AZQ6" s="5"/>
      <c r="AZR6" s="5"/>
      <c r="AZS6" s="5"/>
      <c r="AZT6" s="5"/>
      <c r="AZU6" s="5"/>
      <c r="AZV6" s="5"/>
      <c r="AZW6" s="5"/>
      <c r="AZX6" s="5"/>
      <c r="AZY6" s="5"/>
      <c r="AZZ6" s="5"/>
      <c r="BAA6" s="10"/>
      <c r="BAB6" s="11"/>
      <c r="BAC6" s="12"/>
      <c r="BAD6" s="13"/>
      <c r="BAE6" s="12"/>
      <c r="BAF6" s="11"/>
      <c r="BAG6" s="13"/>
      <c r="BAH6" s="12"/>
      <c r="BAI6" s="12"/>
      <c r="BAJ6" s="11"/>
      <c r="BAK6" s="13"/>
      <c r="BAL6" s="5"/>
      <c r="BAM6" s="5"/>
      <c r="BAN6" s="5"/>
      <c r="BAO6" s="5"/>
      <c r="BAP6" s="5"/>
      <c r="BAQ6" s="5"/>
      <c r="BAR6" s="5"/>
      <c r="BAS6" s="5"/>
      <c r="BAT6" s="5"/>
      <c r="BAU6" s="5"/>
      <c r="BAV6" s="5"/>
      <c r="BAW6" s="10"/>
      <c r="BAX6" s="11"/>
      <c r="BAY6" s="12"/>
      <c r="BAZ6" s="13"/>
      <c r="BBA6" s="12"/>
      <c r="BBB6" s="11"/>
      <c r="BBC6" s="13"/>
      <c r="BBD6" s="12"/>
      <c r="BBE6" s="12"/>
      <c r="BBF6" s="11"/>
      <c r="BBG6" s="13"/>
      <c r="BBH6" s="5"/>
      <c r="BBI6" s="5"/>
      <c r="BBJ6" s="5"/>
      <c r="BBK6" s="5"/>
      <c r="BBL6" s="5"/>
      <c r="BBM6" s="5"/>
      <c r="BBN6" s="5"/>
      <c r="BBO6" s="5"/>
      <c r="BBP6" s="5"/>
      <c r="BBQ6" s="5"/>
      <c r="BBR6" s="5"/>
      <c r="BBS6" s="10"/>
      <c r="BBT6" s="11"/>
      <c r="BBU6" s="12"/>
      <c r="BBV6" s="13"/>
      <c r="BBW6" s="12"/>
      <c r="BBX6" s="11"/>
      <c r="BBY6" s="13"/>
      <c r="BBZ6" s="12"/>
      <c r="BCA6" s="12"/>
      <c r="BCB6" s="11"/>
      <c r="BCC6" s="13"/>
      <c r="BCD6" s="5"/>
      <c r="BCE6" s="5"/>
      <c r="BCF6" s="5"/>
      <c r="BCG6" s="5"/>
      <c r="BCH6" s="5"/>
      <c r="BCI6" s="5"/>
      <c r="BCJ6" s="5"/>
      <c r="BCK6" s="5"/>
      <c r="BCL6" s="5"/>
      <c r="BCM6" s="5"/>
      <c r="BCN6" s="5"/>
      <c r="BCO6" s="10"/>
      <c r="BCP6" s="11"/>
      <c r="BCQ6" s="12"/>
      <c r="BCR6" s="13"/>
      <c r="BCS6" s="12"/>
      <c r="BCT6" s="11"/>
      <c r="BCU6" s="13"/>
      <c r="BCV6" s="12"/>
      <c r="BCW6" s="12"/>
      <c r="BCX6" s="11"/>
      <c r="BCY6" s="13"/>
      <c r="BCZ6" s="5"/>
      <c r="BDA6" s="5"/>
      <c r="BDB6" s="5"/>
      <c r="BDC6" s="5"/>
      <c r="BDD6" s="5"/>
      <c r="BDE6" s="5"/>
      <c r="BDF6" s="5"/>
      <c r="BDG6" s="5"/>
      <c r="BDH6" s="5"/>
      <c r="BDI6" s="5"/>
      <c r="BDJ6" s="5"/>
      <c r="BDK6" s="10"/>
      <c r="BDL6" s="11"/>
      <c r="BDM6" s="12"/>
      <c r="BDN6" s="13"/>
      <c r="BDO6" s="12"/>
      <c r="BDP6" s="11"/>
      <c r="BDQ6" s="13"/>
      <c r="BDR6" s="12"/>
      <c r="BDS6" s="12"/>
      <c r="BDT6" s="11"/>
      <c r="BDU6" s="13"/>
      <c r="BDV6" s="5"/>
      <c r="BDW6" s="5"/>
      <c r="BDX6" s="5"/>
      <c r="BDY6" s="5"/>
      <c r="BDZ6" s="5"/>
      <c r="BEA6" s="5"/>
      <c r="BEB6" s="5"/>
      <c r="BEC6" s="5"/>
      <c r="BED6" s="5"/>
      <c r="BEE6" s="5"/>
      <c r="BEF6" s="5"/>
      <c r="BEG6" s="10"/>
      <c r="BEH6" s="11"/>
      <c r="BEI6" s="12"/>
      <c r="BEJ6" s="13"/>
      <c r="BEK6" s="12"/>
      <c r="BEL6" s="11"/>
      <c r="BEM6" s="13"/>
      <c r="BEN6" s="12"/>
      <c r="BEO6" s="12"/>
      <c r="BEP6" s="11"/>
      <c r="BEQ6" s="13"/>
      <c r="BER6" s="5"/>
      <c r="BES6" s="5"/>
      <c r="BET6" s="5"/>
      <c r="BEU6" s="5"/>
      <c r="BEV6" s="5"/>
      <c r="BEW6" s="5"/>
      <c r="BEX6" s="5"/>
      <c r="BEY6" s="5"/>
      <c r="BEZ6" s="5"/>
      <c r="BFA6" s="5"/>
      <c r="BFB6" s="5"/>
      <c r="BFC6" s="10"/>
      <c r="BFD6" s="11"/>
      <c r="BFE6" s="12"/>
      <c r="BFF6" s="13"/>
      <c r="BFG6" s="12"/>
      <c r="BFH6" s="11"/>
      <c r="BFI6" s="13"/>
      <c r="BFJ6" s="12"/>
      <c r="BFK6" s="12"/>
      <c r="BFL6" s="11"/>
      <c r="BFM6" s="13"/>
      <c r="BFN6" s="5"/>
      <c r="BFO6" s="5"/>
      <c r="BFP6" s="5"/>
      <c r="BFQ6" s="5"/>
      <c r="BFR6" s="5"/>
      <c r="BFS6" s="5"/>
      <c r="BFT6" s="5"/>
      <c r="BFU6" s="5"/>
      <c r="BFV6" s="5"/>
      <c r="BFW6" s="5"/>
      <c r="BFX6" s="5"/>
      <c r="BFY6" s="10"/>
      <c r="BFZ6" s="11"/>
      <c r="BGA6" s="12"/>
      <c r="BGB6" s="13"/>
      <c r="BGC6" s="12"/>
      <c r="BGD6" s="11"/>
      <c r="BGE6" s="13"/>
      <c r="BGF6" s="12"/>
      <c r="BGG6" s="12"/>
      <c r="BGH6" s="11"/>
      <c r="BGI6" s="13"/>
      <c r="BGJ6" s="5"/>
      <c r="BGK6" s="5"/>
      <c r="BGL6" s="5"/>
      <c r="BGM6" s="5"/>
      <c r="BGN6" s="5"/>
      <c r="BGO6" s="5"/>
      <c r="BGP6" s="5"/>
      <c r="BGQ6" s="5"/>
      <c r="BGR6" s="5"/>
      <c r="BGS6" s="5"/>
      <c r="BGT6" s="5"/>
      <c r="BGU6" s="10"/>
      <c r="BGV6" s="11"/>
      <c r="BGW6" s="12"/>
      <c r="BGX6" s="13"/>
      <c r="BGY6" s="12"/>
      <c r="BGZ6" s="11"/>
      <c r="BHA6" s="13"/>
      <c r="BHB6" s="12"/>
      <c r="BHC6" s="12"/>
      <c r="BHD6" s="11"/>
      <c r="BHE6" s="13"/>
      <c r="BHF6" s="5"/>
      <c r="BHG6" s="5"/>
      <c r="BHH6" s="5"/>
      <c r="BHI6" s="5"/>
      <c r="BHJ6" s="5"/>
      <c r="BHK6" s="5"/>
      <c r="BHL6" s="5"/>
      <c r="BHM6" s="5"/>
      <c r="BHN6" s="5"/>
      <c r="BHO6" s="5"/>
      <c r="BHP6" s="5"/>
      <c r="BHQ6" s="10"/>
      <c r="BHR6" s="11"/>
      <c r="BHS6" s="12"/>
      <c r="BHT6" s="13"/>
      <c r="BHU6" s="12"/>
      <c r="BHV6" s="11"/>
      <c r="BHW6" s="13"/>
      <c r="BHX6" s="12"/>
      <c r="BHY6" s="12"/>
      <c r="BHZ6" s="11"/>
      <c r="BIA6" s="13"/>
      <c r="BIB6" s="5"/>
      <c r="BIC6" s="5"/>
      <c r="BID6" s="5"/>
      <c r="BIE6" s="5"/>
      <c r="BIF6" s="5"/>
      <c r="BIG6" s="5"/>
      <c r="BIH6" s="5"/>
      <c r="BII6" s="5"/>
      <c r="BIJ6" s="5"/>
      <c r="BIK6" s="5"/>
      <c r="BIL6" s="5"/>
      <c r="BIM6" s="10"/>
      <c r="BIN6" s="11"/>
      <c r="BIO6" s="12"/>
      <c r="BIP6" s="13"/>
      <c r="BIQ6" s="12"/>
      <c r="BIR6" s="11"/>
      <c r="BIS6" s="13"/>
      <c r="BIT6" s="12"/>
      <c r="BIU6" s="12"/>
      <c r="BIV6" s="11"/>
      <c r="BIW6" s="13"/>
      <c r="BIX6" s="5"/>
      <c r="BIY6" s="5"/>
      <c r="BIZ6" s="5"/>
      <c r="BJA6" s="5"/>
      <c r="BJB6" s="5"/>
      <c r="BJC6" s="5"/>
      <c r="BJD6" s="5"/>
      <c r="BJE6" s="5"/>
      <c r="BJF6" s="5"/>
      <c r="BJG6" s="5"/>
      <c r="BJH6" s="5"/>
      <c r="BJI6" s="10"/>
      <c r="BJJ6" s="11"/>
      <c r="BJK6" s="12"/>
      <c r="BJL6" s="13"/>
      <c r="BJM6" s="12"/>
      <c r="BJN6" s="11"/>
      <c r="BJO6" s="13"/>
      <c r="BJP6" s="12"/>
      <c r="BJQ6" s="12"/>
      <c r="BJR6" s="11"/>
      <c r="BJS6" s="13"/>
      <c r="BJT6" s="5"/>
      <c r="BJU6" s="5"/>
      <c r="BJV6" s="5"/>
      <c r="BJW6" s="5"/>
      <c r="BJX6" s="5"/>
      <c r="BJY6" s="5"/>
      <c r="BJZ6" s="5"/>
      <c r="BKA6" s="5"/>
      <c r="BKB6" s="5"/>
      <c r="BKC6" s="5"/>
      <c r="BKD6" s="5"/>
      <c r="BKE6" s="10"/>
      <c r="BKF6" s="11"/>
      <c r="BKG6" s="12"/>
      <c r="BKH6" s="13"/>
      <c r="BKI6" s="12"/>
      <c r="BKJ6" s="11"/>
      <c r="BKK6" s="13"/>
      <c r="BKL6" s="12"/>
      <c r="BKM6" s="12"/>
      <c r="BKN6" s="11"/>
      <c r="BKO6" s="13"/>
      <c r="BKP6" s="5"/>
      <c r="BKQ6" s="5"/>
      <c r="BKR6" s="5"/>
      <c r="BKS6" s="5"/>
      <c r="BKT6" s="5"/>
      <c r="BKU6" s="5"/>
      <c r="BKV6" s="5"/>
      <c r="BKW6" s="5"/>
      <c r="BKX6" s="5"/>
      <c r="BKY6" s="5"/>
      <c r="BKZ6" s="5"/>
      <c r="BLA6" s="10"/>
      <c r="BLB6" s="11"/>
      <c r="BLC6" s="12"/>
      <c r="BLD6" s="13"/>
      <c r="BLE6" s="12"/>
      <c r="BLF6" s="11"/>
      <c r="BLG6" s="13"/>
      <c r="BLH6" s="12"/>
      <c r="BLI6" s="12"/>
      <c r="BLJ6" s="11"/>
      <c r="BLK6" s="13"/>
      <c r="BLL6" s="5"/>
      <c r="BLM6" s="5"/>
      <c r="BLN6" s="5"/>
      <c r="BLO6" s="5"/>
      <c r="BLP6" s="5"/>
      <c r="BLQ6" s="5"/>
      <c r="BLR6" s="5"/>
      <c r="BLS6" s="5"/>
      <c r="BLT6" s="5"/>
      <c r="BLU6" s="5"/>
      <c r="BLV6" s="5"/>
      <c r="BLW6" s="10"/>
      <c r="BLX6" s="11"/>
      <c r="BLY6" s="12"/>
      <c r="BLZ6" s="13"/>
      <c r="BMA6" s="12"/>
      <c r="BMB6" s="11"/>
      <c r="BMC6" s="13"/>
      <c r="BMD6" s="12"/>
      <c r="BME6" s="12"/>
      <c r="BMF6" s="11"/>
      <c r="BMG6" s="13"/>
      <c r="BMH6" s="5"/>
      <c r="BMI6" s="5"/>
      <c r="BMJ6" s="5"/>
      <c r="BMK6" s="5"/>
      <c r="BML6" s="5"/>
      <c r="BMM6" s="5"/>
      <c r="BMN6" s="5"/>
      <c r="BMO6" s="5"/>
      <c r="BMP6" s="5"/>
      <c r="BMQ6" s="5"/>
      <c r="BMR6" s="5"/>
      <c r="BMS6" s="10"/>
      <c r="BMT6" s="11"/>
      <c r="BMU6" s="12"/>
      <c r="BMV6" s="13"/>
      <c r="BMW6" s="12"/>
      <c r="BMX6" s="11"/>
      <c r="BMY6" s="13"/>
      <c r="BMZ6" s="12"/>
      <c r="BNA6" s="12"/>
      <c r="BNB6" s="11"/>
      <c r="BNC6" s="13"/>
      <c r="BND6" s="5"/>
      <c r="BNE6" s="5"/>
      <c r="BNF6" s="5"/>
      <c r="BNG6" s="5"/>
      <c r="BNH6" s="5"/>
      <c r="BNI6" s="5"/>
      <c r="BNJ6" s="5"/>
      <c r="BNK6" s="5"/>
      <c r="BNL6" s="5"/>
      <c r="BNM6" s="5"/>
      <c r="BNN6" s="5"/>
      <c r="BNO6" s="10"/>
      <c r="BNP6" s="11"/>
      <c r="BNQ6" s="12"/>
      <c r="BNR6" s="13"/>
      <c r="BNS6" s="12"/>
      <c r="BNT6" s="11"/>
      <c r="BNU6" s="13"/>
      <c r="BNV6" s="12"/>
      <c r="BNW6" s="12"/>
      <c r="BNX6" s="11"/>
      <c r="BNY6" s="13"/>
      <c r="BNZ6" s="5"/>
      <c r="BOA6" s="5"/>
      <c r="BOB6" s="5"/>
      <c r="BOC6" s="5"/>
      <c r="BOD6" s="5"/>
      <c r="BOE6" s="5"/>
      <c r="BOF6" s="5"/>
      <c r="BOG6" s="5"/>
      <c r="BOH6" s="5"/>
      <c r="BOI6" s="5"/>
      <c r="BOJ6" s="5"/>
      <c r="BOK6" s="10"/>
      <c r="BOL6" s="11"/>
      <c r="BOM6" s="12"/>
      <c r="BON6" s="13"/>
      <c r="BOO6" s="12"/>
      <c r="BOP6" s="11"/>
      <c r="BOQ6" s="13"/>
      <c r="BOR6" s="12"/>
      <c r="BOS6" s="12"/>
      <c r="BOT6" s="11"/>
      <c r="BOU6" s="13"/>
      <c r="BOV6" s="5"/>
      <c r="BOW6" s="5"/>
      <c r="BOX6" s="5"/>
      <c r="BOY6" s="5"/>
      <c r="BOZ6" s="5"/>
      <c r="BPA6" s="5"/>
      <c r="BPB6" s="5"/>
      <c r="BPC6" s="5"/>
      <c r="BPD6" s="5"/>
      <c r="BPE6" s="5"/>
      <c r="BPF6" s="5"/>
      <c r="BPG6" s="10"/>
      <c r="BPH6" s="11"/>
      <c r="BPI6" s="12"/>
      <c r="BPJ6" s="13"/>
      <c r="BPK6" s="12"/>
      <c r="BPL6" s="11"/>
      <c r="BPM6" s="13"/>
      <c r="BPN6" s="12"/>
      <c r="BPO6" s="12"/>
      <c r="BPP6" s="11"/>
      <c r="BPQ6" s="13"/>
      <c r="BPR6" s="5"/>
      <c r="BPS6" s="5"/>
      <c r="BPT6" s="5"/>
      <c r="BPU6" s="5"/>
      <c r="BPV6" s="5"/>
      <c r="BPW6" s="5"/>
      <c r="BPX6" s="5"/>
      <c r="BPY6" s="5"/>
      <c r="BPZ6" s="5"/>
      <c r="BQA6" s="5"/>
      <c r="BQB6" s="5"/>
      <c r="BQC6" s="10"/>
      <c r="BQD6" s="11"/>
      <c r="BQE6" s="12"/>
      <c r="BQF6" s="13"/>
      <c r="BQG6" s="12"/>
      <c r="BQH6" s="11"/>
      <c r="BQI6" s="13"/>
      <c r="BQJ6" s="12"/>
      <c r="BQK6" s="12"/>
      <c r="BQL6" s="11"/>
      <c r="BQM6" s="13"/>
      <c r="BQN6" s="5"/>
      <c r="BQO6" s="5"/>
      <c r="BQP6" s="5"/>
      <c r="BQQ6" s="5"/>
      <c r="BQR6" s="5"/>
      <c r="BQS6" s="5"/>
      <c r="BQT6" s="5"/>
      <c r="BQU6" s="5"/>
      <c r="BQV6" s="5"/>
      <c r="BQW6" s="5"/>
      <c r="BQX6" s="5"/>
      <c r="BQY6" s="10"/>
      <c r="BQZ6" s="11"/>
      <c r="BRA6" s="12"/>
      <c r="BRB6" s="13"/>
      <c r="BRC6" s="12"/>
      <c r="BRD6" s="11"/>
      <c r="BRE6" s="13"/>
      <c r="BRF6" s="12"/>
      <c r="BRG6" s="12"/>
      <c r="BRH6" s="11"/>
      <c r="BRI6" s="13"/>
      <c r="BRJ6" s="5"/>
      <c r="BRK6" s="5"/>
      <c r="BRL6" s="5"/>
      <c r="BRM6" s="5"/>
      <c r="BRN6" s="5"/>
      <c r="BRO6" s="5"/>
      <c r="BRP6" s="5"/>
      <c r="BRQ6" s="5"/>
      <c r="BRR6" s="5"/>
      <c r="BRS6" s="5"/>
      <c r="BRT6" s="5"/>
      <c r="BRU6" s="10"/>
      <c r="BRV6" s="11"/>
      <c r="BRW6" s="12"/>
      <c r="BRX6" s="13"/>
      <c r="BRY6" s="12"/>
      <c r="BRZ6" s="11"/>
      <c r="BSA6" s="13"/>
      <c r="BSB6" s="12"/>
      <c r="BSC6" s="12"/>
      <c r="BSD6" s="11"/>
      <c r="BSE6" s="13"/>
      <c r="BSF6" s="5"/>
      <c r="BSG6" s="5"/>
      <c r="BSH6" s="5"/>
      <c r="BSI6" s="5"/>
      <c r="BSJ6" s="5"/>
      <c r="BSK6" s="5"/>
      <c r="BSL6" s="5"/>
      <c r="BSM6" s="5"/>
      <c r="BSN6" s="5"/>
      <c r="BSO6" s="5"/>
      <c r="BSP6" s="5"/>
      <c r="BSQ6" s="10"/>
      <c r="BSR6" s="11"/>
      <c r="BSS6" s="12"/>
      <c r="BST6" s="13"/>
      <c r="BSU6" s="12"/>
      <c r="BSV6" s="11"/>
      <c r="BSW6" s="13"/>
      <c r="BSX6" s="12"/>
      <c r="BSY6" s="12"/>
      <c r="BSZ6" s="11"/>
      <c r="BTA6" s="13"/>
      <c r="BTB6" s="5"/>
      <c r="BTC6" s="5"/>
      <c r="BTD6" s="5"/>
      <c r="BTE6" s="5"/>
      <c r="BTF6" s="5"/>
      <c r="BTG6" s="5"/>
      <c r="BTH6" s="5"/>
      <c r="BTI6" s="5"/>
      <c r="BTJ6" s="5"/>
      <c r="BTK6" s="5"/>
      <c r="BTL6" s="5"/>
      <c r="BTM6" s="10"/>
      <c r="BTN6" s="11"/>
      <c r="BTO6" s="12"/>
      <c r="BTP6" s="13"/>
      <c r="BTQ6" s="12"/>
      <c r="BTR6" s="11"/>
      <c r="BTS6" s="13"/>
      <c r="BTT6" s="12"/>
      <c r="BTU6" s="12"/>
      <c r="BTV6" s="11"/>
      <c r="BTW6" s="13"/>
      <c r="BTX6" s="5"/>
      <c r="BTY6" s="5"/>
      <c r="BTZ6" s="5"/>
      <c r="BUA6" s="5"/>
      <c r="BUB6" s="5"/>
      <c r="BUC6" s="5"/>
      <c r="BUD6" s="5"/>
      <c r="BUE6" s="5"/>
      <c r="BUF6" s="5"/>
      <c r="BUG6" s="5"/>
      <c r="BUH6" s="5"/>
      <c r="BUI6" s="10"/>
      <c r="BUJ6" s="11"/>
      <c r="BUK6" s="12"/>
      <c r="BUL6" s="13"/>
      <c r="BUM6" s="12"/>
      <c r="BUN6" s="11"/>
      <c r="BUO6" s="13"/>
      <c r="BUP6" s="12"/>
      <c r="BUQ6" s="12"/>
      <c r="BUR6" s="11"/>
      <c r="BUS6" s="13"/>
      <c r="BUT6" s="5"/>
      <c r="BUU6" s="5"/>
      <c r="BUV6" s="5"/>
      <c r="BUW6" s="5"/>
      <c r="BUX6" s="5"/>
      <c r="BUY6" s="5"/>
      <c r="BUZ6" s="5"/>
      <c r="BVA6" s="5"/>
      <c r="BVB6" s="5"/>
      <c r="BVC6" s="5"/>
      <c r="BVD6" s="5"/>
      <c r="BVE6" s="10"/>
      <c r="BVF6" s="11"/>
      <c r="BVG6" s="12"/>
      <c r="BVH6" s="13"/>
      <c r="BVI6" s="12"/>
      <c r="BVJ6" s="11"/>
      <c r="BVK6" s="13"/>
      <c r="BVL6" s="12"/>
      <c r="BVM6" s="12"/>
      <c r="BVN6" s="11"/>
      <c r="BVO6" s="13"/>
      <c r="BVP6" s="5"/>
      <c r="BVQ6" s="5"/>
      <c r="BVR6" s="5"/>
      <c r="BVS6" s="5"/>
      <c r="BVT6" s="5"/>
      <c r="BVU6" s="5"/>
      <c r="BVV6" s="5"/>
      <c r="BVW6" s="5"/>
      <c r="BVX6" s="5"/>
      <c r="BVY6" s="5"/>
      <c r="BVZ6" s="5"/>
      <c r="BWA6" s="10"/>
      <c r="BWB6" s="11"/>
      <c r="BWC6" s="12"/>
      <c r="BWD6" s="13"/>
      <c r="BWE6" s="12"/>
      <c r="BWF6" s="11"/>
      <c r="BWG6" s="13"/>
      <c r="BWH6" s="12"/>
      <c r="BWI6" s="12"/>
      <c r="BWJ6" s="11"/>
      <c r="BWK6" s="13"/>
      <c r="BWL6" s="5"/>
      <c r="BWM6" s="5"/>
      <c r="BWN6" s="5"/>
      <c r="BWO6" s="5"/>
      <c r="BWP6" s="5"/>
      <c r="BWQ6" s="5"/>
      <c r="BWR6" s="5"/>
      <c r="BWS6" s="5"/>
      <c r="BWT6" s="5"/>
      <c r="BWU6" s="5"/>
      <c r="BWV6" s="5"/>
      <c r="BWW6" s="10"/>
      <c r="BWX6" s="11"/>
      <c r="BWY6" s="12"/>
      <c r="BWZ6" s="13"/>
      <c r="BXA6" s="12"/>
      <c r="BXB6" s="11"/>
      <c r="BXC6" s="13"/>
      <c r="BXD6" s="12"/>
      <c r="BXE6" s="12"/>
      <c r="BXF6" s="11"/>
      <c r="BXG6" s="13"/>
      <c r="BXH6" s="5"/>
      <c r="BXI6" s="5"/>
      <c r="BXJ6" s="5"/>
      <c r="BXK6" s="5"/>
      <c r="BXL6" s="5"/>
      <c r="BXM6" s="5"/>
      <c r="BXN6" s="5"/>
      <c r="BXO6" s="5"/>
      <c r="BXP6" s="5"/>
      <c r="BXQ6" s="5"/>
      <c r="BXR6" s="5"/>
      <c r="BXS6" s="10"/>
      <c r="BXT6" s="11"/>
      <c r="BXU6" s="12"/>
      <c r="BXV6" s="13"/>
      <c r="BXW6" s="12"/>
      <c r="BXX6" s="11"/>
      <c r="BXY6" s="13"/>
      <c r="BXZ6" s="12"/>
      <c r="BYA6" s="12"/>
      <c r="BYB6" s="11"/>
      <c r="BYC6" s="13"/>
      <c r="BYD6" s="5"/>
      <c r="BYE6" s="5"/>
      <c r="BYF6" s="5"/>
      <c r="BYG6" s="5"/>
      <c r="BYH6" s="5"/>
      <c r="BYI6" s="5"/>
      <c r="BYJ6" s="5"/>
      <c r="BYK6" s="5"/>
      <c r="BYL6" s="5"/>
      <c r="BYM6" s="5"/>
      <c r="BYN6" s="5"/>
      <c r="BYO6" s="10"/>
      <c r="BYP6" s="11"/>
      <c r="BYQ6" s="12"/>
      <c r="BYR6" s="13"/>
      <c r="BYS6" s="12"/>
      <c r="BYT6" s="11"/>
      <c r="BYU6" s="13"/>
      <c r="BYV6" s="12"/>
      <c r="BYW6" s="12"/>
      <c r="BYX6" s="11"/>
      <c r="BYY6" s="13"/>
      <c r="BYZ6" s="5"/>
      <c r="BZA6" s="5"/>
      <c r="BZB6" s="5"/>
      <c r="BZC6" s="5"/>
      <c r="BZD6" s="5"/>
      <c r="BZE6" s="5"/>
      <c r="BZF6" s="5"/>
      <c r="BZG6" s="5"/>
      <c r="BZH6" s="5"/>
      <c r="BZI6" s="5"/>
      <c r="BZJ6" s="5"/>
      <c r="BZK6" s="10"/>
      <c r="BZL6" s="11"/>
      <c r="BZM6" s="12"/>
      <c r="BZN6" s="13"/>
      <c r="BZO6" s="12"/>
      <c r="BZP6" s="11"/>
      <c r="BZQ6" s="13"/>
      <c r="BZR6" s="12"/>
      <c r="BZS6" s="12"/>
      <c r="BZT6" s="11"/>
      <c r="BZU6" s="13"/>
      <c r="BZV6" s="5"/>
      <c r="BZW6" s="5"/>
      <c r="BZX6" s="5"/>
      <c r="BZY6" s="5"/>
      <c r="BZZ6" s="5"/>
      <c r="CAA6" s="5"/>
      <c r="CAB6" s="5"/>
      <c r="CAC6" s="5"/>
      <c r="CAD6" s="5"/>
      <c r="CAE6" s="5"/>
      <c r="CAF6" s="5"/>
      <c r="CAG6" s="10"/>
      <c r="CAH6" s="11"/>
      <c r="CAI6" s="12"/>
      <c r="CAJ6" s="13"/>
      <c r="CAK6" s="12"/>
      <c r="CAL6" s="11"/>
      <c r="CAM6" s="13"/>
      <c r="CAN6" s="12"/>
      <c r="CAO6" s="12"/>
      <c r="CAP6" s="11"/>
      <c r="CAQ6" s="13"/>
      <c r="CAR6" s="5"/>
      <c r="CAS6" s="5"/>
      <c r="CAT6" s="5"/>
      <c r="CAU6" s="5"/>
      <c r="CAV6" s="5"/>
      <c r="CAW6" s="5"/>
      <c r="CAX6" s="5"/>
      <c r="CAY6" s="5"/>
      <c r="CAZ6" s="5"/>
      <c r="CBA6" s="5"/>
      <c r="CBB6" s="5"/>
      <c r="CBC6" s="10"/>
      <c r="CBD6" s="11"/>
      <c r="CBE6" s="12"/>
      <c r="CBF6" s="13"/>
      <c r="CBG6" s="12"/>
      <c r="CBH6" s="11"/>
      <c r="CBI6" s="13"/>
      <c r="CBJ6" s="12"/>
      <c r="CBK6" s="12"/>
      <c r="CBL6" s="11"/>
      <c r="CBM6" s="13"/>
      <c r="CBN6" s="5"/>
      <c r="CBO6" s="5"/>
      <c r="CBP6" s="5"/>
      <c r="CBQ6" s="5"/>
      <c r="CBR6" s="5"/>
      <c r="CBS6" s="5"/>
      <c r="CBT6" s="5"/>
      <c r="CBU6" s="5"/>
      <c r="CBV6" s="5"/>
      <c r="CBW6" s="5"/>
      <c r="CBX6" s="5"/>
      <c r="CBY6" s="10"/>
      <c r="CBZ6" s="11"/>
      <c r="CCA6" s="12"/>
      <c r="CCB6" s="13"/>
      <c r="CCC6" s="12"/>
      <c r="CCD6" s="11"/>
      <c r="CCE6" s="13"/>
      <c r="CCF6" s="12"/>
      <c r="CCG6" s="12"/>
      <c r="CCH6" s="11"/>
      <c r="CCI6" s="13"/>
      <c r="CCJ6" s="5"/>
      <c r="CCK6" s="5"/>
      <c r="CCL6" s="5"/>
      <c r="CCM6" s="5"/>
      <c r="CCN6" s="5"/>
      <c r="CCO6" s="5"/>
      <c r="CCP6" s="5"/>
      <c r="CCQ6" s="5"/>
      <c r="CCR6" s="5"/>
      <c r="CCS6" s="5"/>
      <c r="CCT6" s="5"/>
      <c r="CCU6" s="10"/>
      <c r="CCV6" s="11"/>
      <c r="CCW6" s="12"/>
      <c r="CCX6" s="13"/>
      <c r="CCY6" s="12"/>
      <c r="CCZ6" s="11"/>
      <c r="CDA6" s="13"/>
      <c r="CDB6" s="12"/>
      <c r="CDC6" s="12"/>
      <c r="CDD6" s="11"/>
      <c r="CDE6" s="13"/>
      <c r="CDF6" s="5"/>
      <c r="CDG6" s="5"/>
      <c r="CDH6" s="5"/>
      <c r="CDI6" s="5"/>
      <c r="CDJ6" s="5"/>
      <c r="CDK6" s="5"/>
      <c r="CDL6" s="5"/>
      <c r="CDM6" s="5"/>
      <c r="CDN6" s="5"/>
      <c r="CDO6" s="5"/>
      <c r="CDP6" s="5"/>
      <c r="CDQ6" s="10"/>
      <c r="CDR6" s="11"/>
      <c r="CDS6" s="12"/>
      <c r="CDT6" s="13"/>
      <c r="CDU6" s="12"/>
      <c r="CDV6" s="11"/>
      <c r="CDW6" s="13"/>
      <c r="CDX6" s="12"/>
      <c r="CDY6" s="12"/>
      <c r="CDZ6" s="11"/>
      <c r="CEA6" s="13"/>
      <c r="CEB6" s="5"/>
      <c r="CEC6" s="5"/>
      <c r="CED6" s="5"/>
      <c r="CEE6" s="5"/>
      <c r="CEF6" s="5"/>
      <c r="CEG6" s="5"/>
      <c r="CEH6" s="5"/>
      <c r="CEI6" s="5"/>
      <c r="CEJ6" s="5"/>
      <c r="CEK6" s="5"/>
      <c r="CEL6" s="5"/>
      <c r="CEM6" s="10"/>
      <c r="CEN6" s="11"/>
      <c r="CEO6" s="12"/>
      <c r="CEP6" s="13"/>
      <c r="CEQ6" s="12"/>
      <c r="CER6" s="11"/>
      <c r="CES6" s="13"/>
      <c r="CET6" s="12"/>
      <c r="CEU6" s="12"/>
      <c r="CEV6" s="11"/>
      <c r="CEW6" s="13"/>
      <c r="CEX6" s="5"/>
      <c r="CEY6" s="5"/>
      <c r="CEZ6" s="5"/>
      <c r="CFA6" s="5"/>
      <c r="CFB6" s="5"/>
      <c r="CFC6" s="5"/>
      <c r="CFD6" s="5"/>
      <c r="CFE6" s="5"/>
      <c r="CFF6" s="5"/>
      <c r="CFG6" s="5"/>
      <c r="CFH6" s="5"/>
      <c r="CFI6" s="10"/>
      <c r="CFJ6" s="11"/>
      <c r="CFK6" s="12"/>
      <c r="CFL6" s="13"/>
      <c r="CFM6" s="12"/>
      <c r="CFN6" s="11"/>
      <c r="CFO6" s="13"/>
      <c r="CFP6" s="12"/>
      <c r="CFQ6" s="12"/>
      <c r="CFR6" s="11"/>
      <c r="CFS6" s="13"/>
      <c r="CFT6" s="5"/>
      <c r="CFU6" s="5"/>
      <c r="CFV6" s="5"/>
      <c r="CFW6" s="5"/>
      <c r="CFX6" s="5"/>
      <c r="CFY6" s="5"/>
      <c r="CFZ6" s="5"/>
      <c r="CGA6" s="5"/>
      <c r="CGB6" s="5"/>
      <c r="CGC6" s="5"/>
      <c r="CGD6" s="5"/>
      <c r="CGE6" s="10"/>
      <c r="CGF6" s="11"/>
      <c r="CGG6" s="12"/>
      <c r="CGH6" s="13"/>
      <c r="CGI6" s="12"/>
      <c r="CGJ6" s="11"/>
      <c r="CGK6" s="13"/>
      <c r="CGL6" s="12"/>
      <c r="CGM6" s="12"/>
      <c r="CGN6" s="11"/>
      <c r="CGO6" s="13"/>
      <c r="CGP6" s="5"/>
      <c r="CGQ6" s="5"/>
      <c r="CGR6" s="5"/>
      <c r="CGS6" s="5"/>
      <c r="CGT6" s="5"/>
      <c r="CGU6" s="5"/>
      <c r="CGV6" s="5"/>
      <c r="CGW6" s="5"/>
      <c r="CGX6" s="5"/>
      <c r="CGY6" s="5"/>
      <c r="CGZ6" s="5"/>
      <c r="CHA6" s="10"/>
      <c r="CHB6" s="11"/>
      <c r="CHC6" s="12"/>
      <c r="CHD6" s="13"/>
      <c r="CHE6" s="12"/>
      <c r="CHF6" s="11"/>
      <c r="CHG6" s="13"/>
      <c r="CHH6" s="12"/>
      <c r="CHI6" s="12"/>
      <c r="CHJ6" s="11"/>
      <c r="CHK6" s="13"/>
      <c r="CHL6" s="5"/>
      <c r="CHM6" s="5"/>
      <c r="CHN6" s="5"/>
      <c r="CHO6" s="5"/>
      <c r="CHP6" s="5"/>
      <c r="CHQ6" s="5"/>
      <c r="CHR6" s="5"/>
      <c r="CHS6" s="5"/>
      <c r="CHT6" s="5"/>
      <c r="CHU6" s="5"/>
      <c r="CHV6" s="5"/>
      <c r="CHW6" s="10"/>
      <c r="CHX6" s="11"/>
      <c r="CHY6" s="12"/>
      <c r="CHZ6" s="13"/>
      <c r="CIA6" s="12"/>
      <c r="CIB6" s="11"/>
      <c r="CIC6" s="13"/>
      <c r="CID6" s="12"/>
      <c r="CIE6" s="12"/>
      <c r="CIF6" s="11"/>
      <c r="CIG6" s="13"/>
      <c r="CIH6" s="5"/>
      <c r="CII6" s="5"/>
      <c r="CIJ6" s="5"/>
      <c r="CIK6" s="5"/>
      <c r="CIL6" s="5"/>
      <c r="CIM6" s="5"/>
      <c r="CIN6" s="5"/>
      <c r="CIO6" s="5"/>
      <c r="CIP6" s="5"/>
      <c r="CIQ6" s="5"/>
      <c r="CIR6" s="5"/>
      <c r="CIS6" s="10"/>
      <c r="CIT6" s="11"/>
      <c r="CIU6" s="12"/>
      <c r="CIV6" s="13"/>
      <c r="CIW6" s="12"/>
      <c r="CIX6" s="11"/>
      <c r="CIY6" s="13"/>
      <c r="CIZ6" s="12"/>
      <c r="CJA6" s="12"/>
      <c r="CJB6" s="11"/>
      <c r="CJC6" s="13"/>
      <c r="CJD6" s="5"/>
      <c r="CJE6" s="5"/>
      <c r="CJF6" s="5"/>
      <c r="CJG6" s="5"/>
      <c r="CJH6" s="5"/>
      <c r="CJI6" s="5"/>
      <c r="CJJ6" s="5"/>
      <c r="CJK6" s="5"/>
      <c r="CJL6" s="5"/>
      <c r="CJM6" s="5"/>
      <c r="CJN6" s="5"/>
      <c r="CJO6" s="10"/>
      <c r="CJP6" s="11"/>
      <c r="CJQ6" s="12"/>
      <c r="CJR6" s="13"/>
      <c r="CJS6" s="12"/>
      <c r="CJT6" s="11"/>
      <c r="CJU6" s="13"/>
      <c r="CJV6" s="12"/>
      <c r="CJW6" s="12"/>
      <c r="CJX6" s="11"/>
      <c r="CJY6" s="13"/>
      <c r="CJZ6" s="5"/>
      <c r="CKA6" s="5"/>
      <c r="CKB6" s="5"/>
      <c r="CKC6" s="5"/>
      <c r="CKD6" s="5"/>
      <c r="CKE6" s="5"/>
      <c r="CKF6" s="5"/>
      <c r="CKG6" s="5"/>
      <c r="CKH6" s="5"/>
      <c r="CKI6" s="5"/>
      <c r="CKJ6" s="5"/>
      <c r="CKK6" s="10"/>
      <c r="CKL6" s="11"/>
      <c r="CKM6" s="12"/>
      <c r="CKN6" s="13"/>
      <c r="CKO6" s="12"/>
      <c r="CKP6" s="11"/>
      <c r="CKQ6" s="13"/>
      <c r="CKR6" s="12"/>
      <c r="CKS6" s="12"/>
      <c r="CKT6" s="11"/>
      <c r="CKU6" s="13"/>
      <c r="CKV6" s="5"/>
      <c r="CKW6" s="5"/>
      <c r="CKX6" s="5"/>
      <c r="CKY6" s="5"/>
      <c r="CKZ6" s="5"/>
      <c r="CLA6" s="5"/>
      <c r="CLB6" s="5"/>
      <c r="CLC6" s="5"/>
      <c r="CLD6" s="5"/>
      <c r="CLE6" s="5"/>
      <c r="CLF6" s="5"/>
      <c r="CLG6" s="10"/>
      <c r="CLH6" s="11"/>
      <c r="CLI6" s="12"/>
      <c r="CLJ6" s="13"/>
      <c r="CLK6" s="12"/>
      <c r="CLL6" s="11"/>
      <c r="CLM6" s="13"/>
      <c r="CLN6" s="12"/>
      <c r="CLO6" s="12"/>
      <c r="CLP6" s="11"/>
      <c r="CLQ6" s="13"/>
      <c r="CLR6" s="5"/>
      <c r="CLS6" s="5"/>
      <c r="CLT6" s="5"/>
      <c r="CLU6" s="5"/>
      <c r="CLV6" s="5"/>
      <c r="CLW6" s="5"/>
      <c r="CLX6" s="5"/>
      <c r="CLY6" s="5"/>
      <c r="CLZ6" s="5"/>
      <c r="CMA6" s="5"/>
      <c r="CMB6" s="5"/>
      <c r="CMC6" s="10"/>
      <c r="CMD6" s="11"/>
      <c r="CME6" s="12"/>
      <c r="CMF6" s="13"/>
      <c r="CMG6" s="12"/>
      <c r="CMH6" s="11"/>
      <c r="CMI6" s="13"/>
      <c r="CMJ6" s="12"/>
      <c r="CMK6" s="12"/>
      <c r="CML6" s="11"/>
      <c r="CMM6" s="13"/>
      <c r="CMN6" s="5"/>
      <c r="CMO6" s="5"/>
      <c r="CMP6" s="5"/>
      <c r="CMQ6" s="5"/>
      <c r="CMR6" s="5"/>
      <c r="CMS6" s="5"/>
      <c r="CMT6" s="5"/>
      <c r="CMU6" s="5"/>
      <c r="CMV6" s="5"/>
      <c r="CMW6" s="5"/>
      <c r="CMX6" s="5"/>
      <c r="CMY6" s="10"/>
      <c r="CMZ6" s="11"/>
      <c r="CNA6" s="12"/>
      <c r="CNB6" s="13"/>
      <c r="CNC6" s="12"/>
      <c r="CND6" s="11"/>
      <c r="CNE6" s="13"/>
      <c r="CNF6" s="12"/>
      <c r="CNG6" s="12"/>
      <c r="CNH6" s="11"/>
      <c r="CNI6" s="13"/>
      <c r="CNJ6" s="5"/>
      <c r="CNK6" s="5"/>
      <c r="CNL6" s="5"/>
      <c r="CNM6" s="5"/>
      <c r="CNN6" s="5"/>
      <c r="CNO6" s="5"/>
      <c r="CNP6" s="5"/>
      <c r="CNQ6" s="5"/>
      <c r="CNR6" s="5"/>
      <c r="CNS6" s="5"/>
      <c r="CNT6" s="5"/>
      <c r="CNU6" s="10"/>
      <c r="CNV6" s="11"/>
      <c r="CNW6" s="12"/>
      <c r="CNX6" s="13"/>
      <c r="CNY6" s="12"/>
      <c r="CNZ6" s="11"/>
      <c r="COA6" s="13"/>
      <c r="COB6" s="12"/>
      <c r="COC6" s="12"/>
      <c r="COD6" s="11"/>
      <c r="COE6" s="13"/>
      <c r="COF6" s="5"/>
      <c r="COG6" s="5"/>
      <c r="COH6" s="5"/>
      <c r="COI6" s="5"/>
      <c r="COJ6" s="5"/>
      <c r="COK6" s="5"/>
      <c r="COL6" s="5"/>
      <c r="COM6" s="5"/>
      <c r="CON6" s="5"/>
      <c r="COO6" s="5"/>
      <c r="COP6" s="5"/>
      <c r="COQ6" s="10"/>
      <c r="COR6" s="11"/>
      <c r="COS6" s="12"/>
      <c r="COT6" s="13"/>
      <c r="COU6" s="12"/>
      <c r="COV6" s="11"/>
      <c r="COW6" s="13"/>
      <c r="COX6" s="12"/>
      <c r="COY6" s="12"/>
      <c r="COZ6" s="11"/>
      <c r="CPA6" s="13"/>
      <c r="CPB6" s="5"/>
      <c r="CPC6" s="5"/>
      <c r="CPD6" s="5"/>
      <c r="CPE6" s="5"/>
      <c r="CPF6" s="5"/>
      <c r="CPG6" s="5"/>
      <c r="CPH6" s="5"/>
      <c r="CPI6" s="5"/>
      <c r="CPJ6" s="5"/>
      <c r="CPK6" s="5"/>
      <c r="CPL6" s="5"/>
      <c r="CPM6" s="10"/>
      <c r="CPN6" s="11"/>
      <c r="CPO6" s="12"/>
      <c r="CPP6" s="13"/>
      <c r="CPQ6" s="12"/>
      <c r="CPR6" s="11"/>
      <c r="CPS6" s="13"/>
      <c r="CPT6" s="12"/>
      <c r="CPU6" s="12"/>
      <c r="CPV6" s="11"/>
      <c r="CPW6" s="13"/>
      <c r="CPX6" s="5"/>
      <c r="CPY6" s="5"/>
      <c r="CPZ6" s="5"/>
      <c r="CQA6" s="5"/>
      <c r="CQB6" s="5"/>
      <c r="CQC6" s="5"/>
      <c r="CQD6" s="5"/>
      <c r="CQE6" s="5"/>
      <c r="CQF6" s="5"/>
      <c r="CQG6" s="5"/>
      <c r="CQH6" s="5"/>
      <c r="CQI6" s="10"/>
      <c r="CQJ6" s="11"/>
      <c r="CQK6" s="12"/>
      <c r="CQL6" s="13"/>
      <c r="CQM6" s="12"/>
      <c r="CQN6" s="11"/>
      <c r="CQO6" s="13"/>
      <c r="CQP6" s="12"/>
      <c r="CQQ6" s="12"/>
      <c r="CQR6" s="11"/>
      <c r="CQS6" s="13"/>
      <c r="CQT6" s="5"/>
      <c r="CQU6" s="5"/>
      <c r="CQV6" s="5"/>
      <c r="CQW6" s="5"/>
      <c r="CQX6" s="5"/>
      <c r="CQY6" s="5"/>
      <c r="CQZ6" s="5"/>
      <c r="CRA6" s="5"/>
      <c r="CRB6" s="5"/>
      <c r="CRC6" s="5"/>
      <c r="CRD6" s="5"/>
      <c r="CRE6" s="10"/>
      <c r="CRF6" s="11"/>
      <c r="CRG6" s="12"/>
      <c r="CRH6" s="13"/>
      <c r="CRI6" s="12"/>
      <c r="CRJ6" s="11"/>
      <c r="CRK6" s="13"/>
      <c r="CRL6" s="12"/>
      <c r="CRM6" s="12"/>
      <c r="CRN6" s="11"/>
      <c r="CRO6" s="13"/>
      <c r="CRP6" s="5"/>
      <c r="CRQ6" s="5"/>
      <c r="CRR6" s="5"/>
      <c r="CRS6" s="5"/>
      <c r="CRT6" s="5"/>
      <c r="CRU6" s="5"/>
      <c r="CRV6" s="5"/>
      <c r="CRW6" s="5"/>
      <c r="CRX6" s="5"/>
      <c r="CRY6" s="5"/>
      <c r="CRZ6" s="5"/>
      <c r="CSA6" s="10"/>
      <c r="CSB6" s="11"/>
      <c r="CSC6" s="12"/>
      <c r="CSD6" s="13"/>
      <c r="CSE6" s="12"/>
      <c r="CSF6" s="11"/>
      <c r="CSG6" s="13"/>
      <c r="CSH6" s="12"/>
      <c r="CSI6" s="12"/>
      <c r="CSJ6" s="11"/>
      <c r="CSK6" s="13"/>
      <c r="CSL6" s="5"/>
      <c r="CSM6" s="5"/>
      <c r="CSN6" s="5"/>
      <c r="CSO6" s="5"/>
      <c r="CSP6" s="5"/>
      <c r="CSQ6" s="5"/>
      <c r="CSR6" s="5"/>
      <c r="CSS6" s="5"/>
      <c r="CST6" s="5"/>
      <c r="CSU6" s="5"/>
      <c r="CSV6" s="5"/>
      <c r="CSW6" s="10"/>
      <c r="CSX6" s="11"/>
      <c r="CSY6" s="12"/>
      <c r="CSZ6" s="13"/>
      <c r="CTA6" s="12"/>
      <c r="CTB6" s="11"/>
      <c r="CTC6" s="13"/>
      <c r="CTD6" s="12"/>
      <c r="CTE6" s="12"/>
      <c r="CTF6" s="11"/>
      <c r="CTG6" s="13"/>
      <c r="CTH6" s="5"/>
      <c r="CTI6" s="5"/>
      <c r="CTJ6" s="5"/>
      <c r="CTK6" s="5"/>
      <c r="CTL6" s="5"/>
      <c r="CTM6" s="5"/>
      <c r="CTN6" s="5"/>
      <c r="CTO6" s="5"/>
      <c r="CTP6" s="5"/>
      <c r="CTQ6" s="5"/>
      <c r="CTR6" s="5"/>
      <c r="CTS6" s="10"/>
      <c r="CTT6" s="11"/>
      <c r="CTU6" s="12"/>
      <c r="CTV6" s="13"/>
      <c r="CTW6" s="12"/>
      <c r="CTX6" s="11"/>
      <c r="CTY6" s="13"/>
      <c r="CTZ6" s="12"/>
      <c r="CUA6" s="12"/>
      <c r="CUB6" s="11"/>
      <c r="CUC6" s="13"/>
      <c r="CUD6" s="5"/>
      <c r="CUE6" s="5"/>
      <c r="CUF6" s="5"/>
      <c r="CUG6" s="5"/>
      <c r="CUH6" s="5"/>
      <c r="CUI6" s="5"/>
      <c r="CUJ6" s="5"/>
      <c r="CUK6" s="5"/>
      <c r="CUL6" s="5"/>
      <c r="CUM6" s="5"/>
      <c r="CUN6" s="5"/>
      <c r="CUO6" s="10"/>
      <c r="CUP6" s="11"/>
      <c r="CUQ6" s="12"/>
      <c r="CUR6" s="13"/>
      <c r="CUS6" s="12"/>
      <c r="CUT6" s="11"/>
      <c r="CUU6" s="13"/>
      <c r="CUV6" s="12"/>
      <c r="CUW6" s="12"/>
      <c r="CUX6" s="11"/>
      <c r="CUY6" s="13"/>
      <c r="CUZ6" s="5"/>
      <c r="CVA6" s="5"/>
      <c r="CVB6" s="5"/>
      <c r="CVC6" s="5"/>
      <c r="CVD6" s="5"/>
      <c r="CVE6" s="5"/>
      <c r="CVF6" s="5"/>
      <c r="CVG6" s="5"/>
      <c r="CVH6" s="5"/>
      <c r="CVI6" s="5"/>
      <c r="CVJ6" s="5"/>
      <c r="CVK6" s="10"/>
      <c r="CVL6" s="11"/>
      <c r="CVM6" s="12"/>
      <c r="CVN6" s="13"/>
      <c r="CVO6" s="12"/>
      <c r="CVP6" s="11"/>
      <c r="CVQ6" s="13"/>
      <c r="CVR6" s="12"/>
      <c r="CVS6" s="12"/>
      <c r="CVT6" s="11"/>
      <c r="CVU6" s="13"/>
      <c r="CVV6" s="5"/>
      <c r="CVW6" s="5"/>
      <c r="CVX6" s="5"/>
      <c r="CVY6" s="5"/>
      <c r="CVZ6" s="5"/>
      <c r="CWA6" s="5"/>
      <c r="CWB6" s="5"/>
      <c r="CWC6" s="5"/>
      <c r="CWD6" s="5"/>
      <c r="CWE6" s="5"/>
      <c r="CWF6" s="5"/>
      <c r="CWG6" s="10"/>
      <c r="CWH6" s="11"/>
      <c r="CWI6" s="12"/>
      <c r="CWJ6" s="13"/>
      <c r="CWK6" s="12"/>
      <c r="CWL6" s="11"/>
      <c r="CWM6" s="13"/>
      <c r="CWN6" s="12"/>
      <c r="CWO6" s="12"/>
      <c r="CWP6" s="11"/>
      <c r="CWQ6" s="13"/>
      <c r="CWR6" s="5"/>
      <c r="CWS6" s="5"/>
      <c r="CWT6" s="5"/>
      <c r="CWU6" s="5"/>
      <c r="CWV6" s="5"/>
      <c r="CWW6" s="5"/>
      <c r="CWX6" s="5"/>
      <c r="CWY6" s="5"/>
      <c r="CWZ6" s="5"/>
      <c r="CXA6" s="5"/>
      <c r="CXB6" s="5"/>
      <c r="CXC6" s="10"/>
      <c r="CXD6" s="11"/>
      <c r="CXE6" s="12"/>
      <c r="CXF6" s="13"/>
      <c r="CXG6" s="12"/>
      <c r="CXH6" s="11"/>
      <c r="CXI6" s="13"/>
      <c r="CXJ6" s="12"/>
      <c r="CXK6" s="12"/>
      <c r="CXL6" s="11"/>
      <c r="CXM6" s="13"/>
      <c r="CXN6" s="5"/>
      <c r="CXO6" s="5"/>
      <c r="CXP6" s="5"/>
      <c r="CXQ6" s="5"/>
      <c r="CXR6" s="5"/>
      <c r="CXS6" s="5"/>
      <c r="CXT6" s="5"/>
      <c r="CXU6" s="5"/>
      <c r="CXV6" s="5"/>
      <c r="CXW6" s="5"/>
      <c r="CXX6" s="5"/>
      <c r="CXY6" s="10"/>
      <c r="CXZ6" s="11"/>
      <c r="CYA6" s="12"/>
      <c r="CYB6" s="13"/>
      <c r="CYC6" s="12"/>
      <c r="CYD6" s="11"/>
      <c r="CYE6" s="13"/>
      <c r="CYF6" s="12"/>
      <c r="CYG6" s="12"/>
      <c r="CYH6" s="11"/>
      <c r="CYI6" s="13"/>
      <c r="CYJ6" s="5"/>
      <c r="CYK6" s="5"/>
      <c r="CYL6" s="5"/>
      <c r="CYM6" s="5"/>
      <c r="CYN6" s="5"/>
      <c r="CYO6" s="5"/>
      <c r="CYP6" s="5"/>
      <c r="CYQ6" s="5"/>
      <c r="CYR6" s="5"/>
      <c r="CYS6" s="5"/>
      <c r="CYT6" s="5"/>
      <c r="CYU6" s="10"/>
      <c r="CYV6" s="11"/>
      <c r="CYW6" s="12"/>
      <c r="CYX6" s="13"/>
      <c r="CYY6" s="12"/>
      <c r="CYZ6" s="11"/>
      <c r="CZA6" s="13"/>
      <c r="CZB6" s="12"/>
      <c r="CZC6" s="12"/>
      <c r="CZD6" s="11"/>
      <c r="CZE6" s="13"/>
      <c r="CZF6" s="5"/>
      <c r="CZG6" s="5"/>
      <c r="CZH6" s="5"/>
      <c r="CZI6" s="5"/>
      <c r="CZJ6" s="5"/>
      <c r="CZK6" s="5"/>
      <c r="CZL6" s="5"/>
      <c r="CZM6" s="5"/>
      <c r="CZN6" s="5"/>
      <c r="CZO6" s="5"/>
      <c r="CZP6" s="5"/>
      <c r="CZQ6" s="10"/>
      <c r="CZR6" s="11"/>
      <c r="CZS6" s="12"/>
      <c r="CZT6" s="13"/>
      <c r="CZU6" s="12"/>
      <c r="CZV6" s="11"/>
      <c r="CZW6" s="13"/>
      <c r="CZX6" s="12"/>
      <c r="CZY6" s="12"/>
      <c r="CZZ6" s="11"/>
      <c r="DAA6" s="13"/>
      <c r="DAB6" s="5"/>
      <c r="DAC6" s="5"/>
      <c r="DAD6" s="5"/>
      <c r="DAE6" s="5"/>
      <c r="DAF6" s="5"/>
      <c r="DAG6" s="5"/>
      <c r="DAH6" s="5"/>
      <c r="DAI6" s="5"/>
      <c r="DAJ6" s="5"/>
      <c r="DAK6" s="5"/>
      <c r="DAL6" s="5"/>
      <c r="DAM6" s="10"/>
      <c r="DAN6" s="11"/>
      <c r="DAO6" s="12"/>
      <c r="DAP6" s="13"/>
      <c r="DAQ6" s="12"/>
      <c r="DAR6" s="11"/>
      <c r="DAS6" s="13"/>
      <c r="DAT6" s="12"/>
      <c r="DAU6" s="12"/>
      <c r="DAV6" s="11"/>
      <c r="DAW6" s="13"/>
      <c r="DAX6" s="5"/>
      <c r="DAY6" s="5"/>
      <c r="DAZ6" s="5"/>
      <c r="DBA6" s="5"/>
      <c r="DBB6" s="5"/>
      <c r="DBC6" s="5"/>
      <c r="DBD6" s="5"/>
      <c r="DBE6" s="5"/>
      <c r="DBF6" s="5"/>
      <c r="DBG6" s="5"/>
      <c r="DBH6" s="5"/>
      <c r="DBI6" s="10"/>
      <c r="DBJ6" s="11"/>
      <c r="DBK6" s="12"/>
      <c r="DBL6" s="13"/>
      <c r="DBM6" s="12"/>
      <c r="DBN6" s="11"/>
      <c r="DBO6" s="13"/>
      <c r="DBP6" s="12"/>
      <c r="DBQ6" s="12"/>
      <c r="DBR6" s="11"/>
      <c r="DBS6" s="13"/>
      <c r="DBT6" s="5"/>
      <c r="DBU6" s="5"/>
      <c r="DBV6" s="5"/>
      <c r="DBW6" s="5"/>
      <c r="DBX6" s="5"/>
      <c r="DBY6" s="5"/>
      <c r="DBZ6" s="5"/>
      <c r="DCA6" s="5"/>
      <c r="DCB6" s="5"/>
      <c r="DCC6" s="5"/>
      <c r="DCD6" s="5"/>
      <c r="DCE6" s="10"/>
      <c r="DCF6" s="11"/>
      <c r="DCG6" s="12"/>
      <c r="DCH6" s="13"/>
      <c r="DCI6" s="12"/>
      <c r="DCJ6" s="11"/>
      <c r="DCK6" s="13"/>
      <c r="DCL6" s="12"/>
      <c r="DCM6" s="12"/>
      <c r="DCN6" s="11"/>
      <c r="DCO6" s="13"/>
      <c r="DCP6" s="5"/>
      <c r="DCQ6" s="5"/>
      <c r="DCR6" s="5"/>
      <c r="DCS6" s="5"/>
      <c r="DCT6" s="5"/>
      <c r="DCU6" s="5"/>
      <c r="DCV6" s="5"/>
      <c r="DCW6" s="5"/>
      <c r="DCX6" s="5"/>
      <c r="DCY6" s="5"/>
      <c r="DCZ6" s="5"/>
      <c r="DDA6" s="10"/>
      <c r="DDB6" s="11"/>
      <c r="DDC6" s="12"/>
      <c r="DDD6" s="13"/>
      <c r="DDE6" s="12"/>
      <c r="DDF6" s="11"/>
      <c r="DDG6" s="13"/>
      <c r="DDH6" s="12"/>
      <c r="DDI6" s="12"/>
      <c r="DDJ6" s="11"/>
      <c r="DDK6" s="13"/>
      <c r="DDL6" s="5"/>
      <c r="DDM6" s="5"/>
      <c r="DDN6" s="5"/>
      <c r="DDO6" s="5"/>
      <c r="DDP6" s="5"/>
      <c r="DDQ6" s="5"/>
      <c r="DDR6" s="5"/>
      <c r="DDS6" s="5"/>
      <c r="DDT6" s="5"/>
      <c r="DDU6" s="5"/>
      <c r="DDV6" s="5"/>
      <c r="DDW6" s="10"/>
      <c r="DDX6" s="11"/>
      <c r="DDY6" s="12"/>
      <c r="DDZ6" s="13"/>
      <c r="DEA6" s="12"/>
      <c r="DEB6" s="11"/>
      <c r="DEC6" s="13"/>
      <c r="DED6" s="12"/>
      <c r="DEE6" s="12"/>
      <c r="DEF6" s="11"/>
      <c r="DEG6" s="13"/>
      <c r="DEH6" s="5"/>
      <c r="DEI6" s="5"/>
      <c r="DEJ6" s="5"/>
      <c r="DEK6" s="5"/>
      <c r="DEL6" s="5"/>
      <c r="DEM6" s="5"/>
      <c r="DEN6" s="5"/>
      <c r="DEO6" s="5"/>
      <c r="DEP6" s="5"/>
      <c r="DEQ6" s="5"/>
      <c r="DER6" s="5"/>
      <c r="DES6" s="10"/>
      <c r="DET6" s="11"/>
      <c r="DEU6" s="12"/>
      <c r="DEV6" s="13"/>
      <c r="DEW6" s="12"/>
      <c r="DEX6" s="11"/>
      <c r="DEY6" s="13"/>
      <c r="DEZ6" s="12"/>
      <c r="DFA6" s="12"/>
      <c r="DFB6" s="11"/>
      <c r="DFC6" s="13"/>
      <c r="DFD6" s="5"/>
      <c r="DFE6" s="5"/>
      <c r="DFF6" s="5"/>
      <c r="DFG6" s="5"/>
      <c r="DFH6" s="5"/>
      <c r="DFI6" s="5"/>
      <c r="DFJ6" s="5"/>
      <c r="DFK6" s="5"/>
      <c r="DFL6" s="5"/>
      <c r="DFM6" s="5"/>
      <c r="DFN6" s="5"/>
      <c r="DFO6" s="10"/>
      <c r="DFP6" s="11"/>
      <c r="DFQ6" s="12"/>
      <c r="DFR6" s="13"/>
      <c r="DFS6" s="12"/>
      <c r="DFT6" s="11"/>
      <c r="DFU6" s="13"/>
      <c r="DFV6" s="12"/>
      <c r="DFW6" s="12"/>
      <c r="DFX6" s="11"/>
      <c r="DFY6" s="13"/>
      <c r="DFZ6" s="5"/>
      <c r="DGA6" s="5"/>
      <c r="DGB6" s="5"/>
      <c r="DGC6" s="5"/>
      <c r="DGD6" s="5"/>
      <c r="DGE6" s="5"/>
      <c r="DGF6" s="5"/>
      <c r="DGG6" s="5"/>
      <c r="DGH6" s="5"/>
      <c r="DGI6" s="5"/>
      <c r="DGJ6" s="5"/>
      <c r="DGK6" s="10"/>
      <c r="DGL6" s="11"/>
      <c r="DGM6" s="12"/>
      <c r="DGN6" s="13"/>
      <c r="DGO6" s="12"/>
      <c r="DGP6" s="11"/>
      <c r="DGQ6" s="13"/>
      <c r="DGR6" s="12"/>
      <c r="DGS6" s="12"/>
      <c r="DGT6" s="11"/>
      <c r="DGU6" s="13"/>
      <c r="DGV6" s="5"/>
      <c r="DGW6" s="5"/>
      <c r="DGX6" s="5"/>
      <c r="DGY6" s="5"/>
      <c r="DGZ6" s="5"/>
      <c r="DHA6" s="5"/>
      <c r="DHB6" s="5"/>
      <c r="DHC6" s="5"/>
      <c r="DHD6" s="5"/>
      <c r="DHE6" s="5"/>
      <c r="DHF6" s="5"/>
      <c r="DHG6" s="10"/>
      <c r="DHH6" s="11"/>
      <c r="DHI6" s="12"/>
      <c r="DHJ6" s="13"/>
      <c r="DHK6" s="12"/>
      <c r="DHL6" s="11"/>
      <c r="DHM6" s="13"/>
      <c r="DHN6" s="12"/>
      <c r="DHO6" s="12"/>
      <c r="DHP6" s="11"/>
      <c r="DHQ6" s="13"/>
      <c r="DHR6" s="5"/>
      <c r="DHS6" s="5"/>
      <c r="DHT6" s="5"/>
      <c r="DHU6" s="5"/>
      <c r="DHV6" s="5"/>
      <c r="DHW6" s="5"/>
      <c r="DHX6" s="5"/>
      <c r="DHY6" s="5"/>
      <c r="DHZ6" s="5"/>
      <c r="DIA6" s="5"/>
      <c r="DIB6" s="5"/>
      <c r="DIC6" s="10"/>
      <c r="DID6" s="11"/>
      <c r="DIE6" s="12"/>
      <c r="DIF6" s="13"/>
      <c r="DIG6" s="12"/>
      <c r="DIH6" s="11"/>
      <c r="DII6" s="13"/>
      <c r="DIJ6" s="12"/>
      <c r="DIK6" s="12"/>
      <c r="DIL6" s="11"/>
      <c r="DIM6" s="13"/>
      <c r="DIN6" s="5"/>
      <c r="DIO6" s="5"/>
      <c r="DIP6" s="5"/>
      <c r="DIQ6" s="5"/>
      <c r="DIR6" s="5"/>
      <c r="DIS6" s="5"/>
      <c r="DIT6" s="5"/>
      <c r="DIU6" s="5"/>
      <c r="DIV6" s="5"/>
      <c r="DIW6" s="5"/>
      <c r="DIX6" s="5"/>
      <c r="DIY6" s="10"/>
      <c r="DIZ6" s="11"/>
      <c r="DJA6" s="12"/>
      <c r="DJB6" s="13"/>
      <c r="DJC6" s="12"/>
      <c r="DJD6" s="11"/>
      <c r="DJE6" s="13"/>
      <c r="DJF6" s="12"/>
      <c r="DJG6" s="12"/>
      <c r="DJH6" s="11"/>
      <c r="DJI6" s="13"/>
      <c r="DJJ6" s="5"/>
      <c r="DJK6" s="5"/>
      <c r="DJL6" s="5"/>
      <c r="DJM6" s="5"/>
      <c r="DJN6" s="5"/>
      <c r="DJO6" s="5"/>
      <c r="DJP6" s="5"/>
      <c r="DJQ6" s="5"/>
      <c r="DJR6" s="5"/>
      <c r="DJS6" s="5"/>
      <c r="DJT6" s="5"/>
      <c r="DJU6" s="10"/>
      <c r="DJV6" s="11"/>
      <c r="DJW6" s="12"/>
      <c r="DJX6" s="13"/>
      <c r="DJY6" s="12"/>
      <c r="DJZ6" s="11"/>
      <c r="DKA6" s="13"/>
      <c r="DKB6" s="12"/>
      <c r="DKC6" s="12"/>
      <c r="DKD6" s="11"/>
      <c r="DKE6" s="13"/>
      <c r="DKF6" s="5"/>
      <c r="DKG6" s="5"/>
      <c r="DKH6" s="5"/>
      <c r="DKI6" s="5"/>
      <c r="DKJ6" s="5"/>
      <c r="DKK6" s="5"/>
      <c r="DKL6" s="5"/>
      <c r="DKM6" s="5"/>
      <c r="DKN6" s="5"/>
      <c r="DKO6" s="5"/>
      <c r="DKP6" s="5"/>
      <c r="DKQ6" s="10"/>
      <c r="DKR6" s="11"/>
      <c r="DKS6" s="12"/>
      <c r="DKT6" s="13"/>
      <c r="DKU6" s="12"/>
      <c r="DKV6" s="11"/>
      <c r="DKW6" s="13"/>
      <c r="DKX6" s="12"/>
      <c r="DKY6" s="12"/>
      <c r="DKZ6" s="11"/>
      <c r="DLA6" s="13"/>
      <c r="DLB6" s="5"/>
      <c r="DLC6" s="5"/>
      <c r="DLD6" s="5"/>
      <c r="DLE6" s="5"/>
      <c r="DLF6" s="5"/>
      <c r="DLG6" s="5"/>
      <c r="DLH6" s="5"/>
      <c r="DLI6" s="5"/>
      <c r="DLJ6" s="5"/>
      <c r="DLK6" s="5"/>
      <c r="DLL6" s="5"/>
      <c r="DLM6" s="10"/>
      <c r="DLN6" s="11"/>
      <c r="DLO6" s="12"/>
      <c r="DLP6" s="13"/>
      <c r="DLQ6" s="12"/>
      <c r="DLR6" s="11"/>
      <c r="DLS6" s="13"/>
      <c r="DLT6" s="12"/>
      <c r="DLU6" s="12"/>
      <c r="DLV6" s="11"/>
      <c r="DLW6" s="13"/>
      <c r="DLX6" s="5"/>
      <c r="DLY6" s="5"/>
      <c r="DLZ6" s="5"/>
      <c r="DMA6" s="5"/>
      <c r="DMB6" s="5"/>
      <c r="DMC6" s="5"/>
      <c r="DMD6" s="5"/>
      <c r="DME6" s="5"/>
      <c r="DMF6" s="5"/>
      <c r="DMG6" s="5"/>
      <c r="DMH6" s="5"/>
      <c r="DMI6" s="10"/>
      <c r="DMJ6" s="11"/>
      <c r="DMK6" s="12"/>
      <c r="DML6" s="13"/>
      <c r="DMM6" s="12"/>
      <c r="DMN6" s="11"/>
      <c r="DMO6" s="13"/>
      <c r="DMP6" s="12"/>
      <c r="DMQ6" s="12"/>
      <c r="DMR6" s="11"/>
      <c r="DMS6" s="13"/>
      <c r="DMT6" s="5"/>
      <c r="DMU6" s="5"/>
      <c r="DMV6" s="5"/>
      <c r="DMW6" s="5"/>
      <c r="DMX6" s="5"/>
      <c r="DMY6" s="5"/>
      <c r="DMZ6" s="5"/>
      <c r="DNA6" s="5"/>
      <c r="DNB6" s="5"/>
      <c r="DNC6" s="5"/>
      <c r="DND6" s="5"/>
      <c r="DNE6" s="10"/>
      <c r="DNF6" s="11"/>
      <c r="DNG6" s="12"/>
      <c r="DNH6" s="13"/>
      <c r="DNI6" s="12"/>
      <c r="DNJ6" s="11"/>
      <c r="DNK6" s="13"/>
      <c r="DNL6" s="12"/>
      <c r="DNM6" s="12"/>
      <c r="DNN6" s="11"/>
      <c r="DNO6" s="13"/>
      <c r="DNP6" s="5"/>
      <c r="DNQ6" s="5"/>
      <c r="DNR6" s="5"/>
      <c r="DNS6" s="5"/>
      <c r="DNT6" s="5"/>
      <c r="DNU6" s="5"/>
      <c r="DNV6" s="5"/>
      <c r="DNW6" s="5"/>
      <c r="DNX6" s="5"/>
      <c r="DNY6" s="5"/>
      <c r="DNZ6" s="5"/>
      <c r="DOA6" s="10"/>
      <c r="DOB6" s="11"/>
      <c r="DOC6" s="12"/>
      <c r="DOD6" s="13"/>
      <c r="DOE6" s="12"/>
      <c r="DOF6" s="11"/>
      <c r="DOG6" s="13"/>
      <c r="DOH6" s="12"/>
      <c r="DOI6" s="12"/>
      <c r="DOJ6" s="11"/>
      <c r="DOK6" s="13"/>
      <c r="DOL6" s="5"/>
      <c r="DOM6" s="5"/>
      <c r="DON6" s="5"/>
      <c r="DOO6" s="5"/>
      <c r="DOP6" s="5"/>
      <c r="DOQ6" s="5"/>
      <c r="DOR6" s="5"/>
      <c r="DOS6" s="5"/>
      <c r="DOT6" s="5"/>
      <c r="DOU6" s="5"/>
      <c r="DOV6" s="5"/>
      <c r="DOW6" s="10"/>
      <c r="DOX6" s="11"/>
      <c r="DOY6" s="12"/>
      <c r="DOZ6" s="13"/>
      <c r="DPA6" s="12"/>
      <c r="DPB6" s="11"/>
      <c r="DPC6" s="13"/>
      <c r="DPD6" s="12"/>
      <c r="DPE6" s="12"/>
      <c r="DPF6" s="11"/>
      <c r="DPG6" s="13"/>
      <c r="DPH6" s="5"/>
      <c r="DPI6" s="5"/>
      <c r="DPJ6" s="5"/>
      <c r="DPK6" s="5"/>
      <c r="DPL6" s="5"/>
      <c r="DPM6" s="5"/>
      <c r="DPN6" s="5"/>
      <c r="DPO6" s="5"/>
      <c r="DPP6" s="5"/>
      <c r="DPQ6" s="5"/>
      <c r="DPR6" s="5"/>
      <c r="DPS6" s="10"/>
      <c r="DPT6" s="11"/>
      <c r="DPU6" s="12"/>
      <c r="DPV6" s="13"/>
      <c r="DPW6" s="12"/>
      <c r="DPX6" s="11"/>
      <c r="DPY6" s="13"/>
      <c r="DPZ6" s="12"/>
      <c r="DQA6" s="12"/>
      <c r="DQB6" s="11"/>
      <c r="DQC6" s="13"/>
      <c r="DQD6" s="5"/>
      <c r="DQE6" s="5"/>
      <c r="DQF6" s="5"/>
      <c r="DQG6" s="5"/>
      <c r="DQH6" s="5"/>
      <c r="DQI6" s="5"/>
      <c r="DQJ6" s="5"/>
      <c r="DQK6" s="5"/>
      <c r="DQL6" s="5"/>
      <c r="DQM6" s="5"/>
      <c r="DQN6" s="5"/>
      <c r="DQO6" s="10"/>
      <c r="DQP6" s="11"/>
      <c r="DQQ6" s="12"/>
      <c r="DQR6" s="13"/>
      <c r="DQS6" s="12"/>
      <c r="DQT6" s="11"/>
      <c r="DQU6" s="13"/>
      <c r="DQV6" s="12"/>
      <c r="DQW6" s="12"/>
      <c r="DQX6" s="11"/>
      <c r="DQY6" s="13"/>
      <c r="DQZ6" s="5"/>
      <c r="DRA6" s="5"/>
      <c r="DRB6" s="5"/>
      <c r="DRC6" s="5"/>
      <c r="DRD6" s="5"/>
      <c r="DRE6" s="5"/>
      <c r="DRF6" s="5"/>
      <c r="DRG6" s="5"/>
      <c r="DRH6" s="5"/>
      <c r="DRI6" s="5"/>
      <c r="DRJ6" s="5"/>
      <c r="DRK6" s="10"/>
      <c r="DRL6" s="11"/>
      <c r="DRM6" s="12"/>
      <c r="DRN6" s="13"/>
      <c r="DRO6" s="12"/>
      <c r="DRP6" s="11"/>
      <c r="DRQ6" s="13"/>
      <c r="DRR6" s="12"/>
      <c r="DRS6" s="12"/>
      <c r="DRT6" s="11"/>
      <c r="DRU6" s="13"/>
      <c r="DRV6" s="5"/>
      <c r="DRW6" s="5"/>
      <c r="DRX6" s="5"/>
      <c r="DRY6" s="5"/>
      <c r="DRZ6" s="5"/>
      <c r="DSA6" s="5"/>
      <c r="DSB6" s="5"/>
      <c r="DSC6" s="5"/>
      <c r="DSD6" s="5"/>
      <c r="DSE6" s="5"/>
      <c r="DSF6" s="5"/>
      <c r="DSG6" s="10"/>
      <c r="DSH6" s="11"/>
      <c r="DSI6" s="12"/>
      <c r="DSJ6" s="13"/>
      <c r="DSK6" s="12"/>
      <c r="DSL6" s="11"/>
      <c r="DSM6" s="13"/>
      <c r="DSN6" s="12"/>
      <c r="DSO6" s="12"/>
      <c r="DSP6" s="11"/>
      <c r="DSQ6" s="13"/>
      <c r="DSR6" s="5"/>
      <c r="DSS6" s="5"/>
      <c r="DST6" s="5"/>
      <c r="DSU6" s="5"/>
      <c r="DSV6" s="5"/>
      <c r="DSW6" s="5"/>
      <c r="DSX6" s="5"/>
      <c r="DSY6" s="5"/>
      <c r="DSZ6" s="5"/>
      <c r="DTA6" s="5"/>
      <c r="DTB6" s="5"/>
      <c r="DTC6" s="10"/>
      <c r="DTD6" s="11"/>
      <c r="DTE6" s="12"/>
      <c r="DTF6" s="13"/>
      <c r="DTG6" s="12"/>
      <c r="DTH6" s="11"/>
      <c r="DTI6" s="13"/>
      <c r="DTJ6" s="12"/>
      <c r="DTK6" s="12"/>
      <c r="DTL6" s="11"/>
      <c r="DTM6" s="13"/>
      <c r="DTN6" s="5"/>
      <c r="DTO6" s="5"/>
      <c r="DTP6" s="5"/>
      <c r="DTQ6" s="5"/>
      <c r="DTR6" s="5"/>
      <c r="DTS6" s="5"/>
      <c r="DTT6" s="5"/>
      <c r="DTU6" s="5"/>
      <c r="DTV6" s="5"/>
      <c r="DTW6" s="5"/>
      <c r="DTX6" s="5"/>
      <c r="DTY6" s="10"/>
      <c r="DTZ6" s="11"/>
      <c r="DUA6" s="12"/>
      <c r="DUB6" s="13"/>
      <c r="DUC6" s="12"/>
      <c r="DUD6" s="11"/>
      <c r="DUE6" s="13"/>
      <c r="DUF6" s="12"/>
      <c r="DUG6" s="12"/>
      <c r="DUH6" s="11"/>
      <c r="DUI6" s="13"/>
      <c r="DUJ6" s="5"/>
      <c r="DUK6" s="5"/>
      <c r="DUL6" s="5"/>
      <c r="DUM6" s="5"/>
      <c r="DUN6" s="5"/>
      <c r="DUO6" s="5"/>
      <c r="DUP6" s="5"/>
      <c r="DUQ6" s="5"/>
      <c r="DUR6" s="5"/>
      <c r="DUS6" s="5"/>
      <c r="DUT6" s="5"/>
      <c r="DUU6" s="10"/>
      <c r="DUV6" s="11"/>
      <c r="DUW6" s="12"/>
      <c r="DUX6" s="13"/>
      <c r="DUY6" s="12"/>
      <c r="DUZ6" s="11"/>
      <c r="DVA6" s="13"/>
      <c r="DVB6" s="12"/>
      <c r="DVC6" s="12"/>
      <c r="DVD6" s="11"/>
      <c r="DVE6" s="13"/>
      <c r="DVF6" s="5"/>
      <c r="DVG6" s="5"/>
      <c r="DVH6" s="5"/>
      <c r="DVI6" s="5"/>
      <c r="DVJ6" s="5"/>
      <c r="DVK6" s="5"/>
      <c r="DVL6" s="5"/>
      <c r="DVM6" s="5"/>
      <c r="DVN6" s="5"/>
      <c r="DVO6" s="5"/>
      <c r="DVP6" s="5"/>
      <c r="DVQ6" s="10"/>
      <c r="DVR6" s="11"/>
      <c r="DVS6" s="12"/>
      <c r="DVT6" s="13"/>
      <c r="DVU6" s="12"/>
      <c r="DVV6" s="11"/>
      <c r="DVW6" s="13"/>
      <c r="DVX6" s="12"/>
      <c r="DVY6" s="12"/>
      <c r="DVZ6" s="11"/>
      <c r="DWA6" s="13"/>
      <c r="DWB6" s="5"/>
      <c r="DWC6" s="5"/>
      <c r="DWD6" s="5"/>
      <c r="DWE6" s="5"/>
      <c r="DWF6" s="5"/>
      <c r="DWG6" s="5"/>
      <c r="DWH6" s="5"/>
      <c r="DWI6" s="5"/>
      <c r="DWJ6" s="5"/>
      <c r="DWK6" s="5"/>
      <c r="DWL6" s="5"/>
      <c r="DWM6" s="10"/>
      <c r="DWN6" s="11"/>
      <c r="DWO6" s="12"/>
      <c r="DWP6" s="13"/>
      <c r="DWQ6" s="12"/>
      <c r="DWR6" s="11"/>
      <c r="DWS6" s="13"/>
      <c r="DWT6" s="12"/>
      <c r="DWU6" s="12"/>
      <c r="DWV6" s="11"/>
      <c r="DWW6" s="13"/>
      <c r="DWX6" s="5"/>
      <c r="DWY6" s="5"/>
      <c r="DWZ6" s="5"/>
      <c r="DXA6" s="5"/>
      <c r="DXB6" s="5"/>
      <c r="DXC6" s="5"/>
      <c r="DXD6" s="5"/>
      <c r="DXE6" s="5"/>
      <c r="DXF6" s="5"/>
      <c r="DXG6" s="5"/>
      <c r="DXH6" s="5"/>
      <c r="DXI6" s="10"/>
      <c r="DXJ6" s="11"/>
      <c r="DXK6" s="12"/>
      <c r="DXL6" s="13"/>
      <c r="DXM6" s="12"/>
      <c r="DXN6" s="11"/>
      <c r="DXO6" s="13"/>
      <c r="DXP6" s="12"/>
      <c r="DXQ6" s="12"/>
      <c r="DXR6" s="11"/>
      <c r="DXS6" s="13"/>
      <c r="DXT6" s="5"/>
      <c r="DXU6" s="5"/>
      <c r="DXV6" s="5"/>
      <c r="DXW6" s="5"/>
      <c r="DXX6" s="5"/>
      <c r="DXY6" s="5"/>
      <c r="DXZ6" s="5"/>
      <c r="DYA6" s="5"/>
      <c r="DYB6" s="5"/>
      <c r="DYC6" s="5"/>
      <c r="DYD6" s="5"/>
      <c r="DYE6" s="10"/>
      <c r="DYF6" s="11"/>
      <c r="DYG6" s="12"/>
      <c r="DYH6" s="13"/>
      <c r="DYI6" s="12"/>
      <c r="DYJ6" s="11"/>
      <c r="DYK6" s="13"/>
      <c r="DYL6" s="12"/>
      <c r="DYM6" s="12"/>
      <c r="DYN6" s="11"/>
      <c r="DYO6" s="13"/>
      <c r="DYP6" s="5"/>
      <c r="DYQ6" s="5"/>
      <c r="DYR6" s="5"/>
      <c r="DYS6" s="5"/>
      <c r="DYT6" s="5"/>
      <c r="DYU6" s="5"/>
      <c r="DYV6" s="5"/>
      <c r="DYW6" s="5"/>
      <c r="DYX6" s="5"/>
      <c r="DYY6" s="5"/>
      <c r="DYZ6" s="5"/>
      <c r="DZA6" s="10"/>
      <c r="DZB6" s="11"/>
      <c r="DZC6" s="12"/>
      <c r="DZD6" s="13"/>
      <c r="DZE6" s="12"/>
      <c r="DZF6" s="11"/>
      <c r="DZG6" s="13"/>
      <c r="DZH6" s="12"/>
      <c r="DZI6" s="12"/>
      <c r="DZJ6" s="11"/>
      <c r="DZK6" s="13"/>
      <c r="DZL6" s="5"/>
      <c r="DZM6" s="5"/>
      <c r="DZN6" s="5"/>
      <c r="DZO6" s="5"/>
      <c r="DZP6" s="5"/>
      <c r="DZQ6" s="5"/>
      <c r="DZR6" s="5"/>
      <c r="DZS6" s="5"/>
      <c r="DZT6" s="5"/>
      <c r="DZU6" s="5"/>
      <c r="DZV6" s="5"/>
      <c r="DZW6" s="10"/>
      <c r="DZX6" s="11"/>
      <c r="DZY6" s="12"/>
      <c r="DZZ6" s="13"/>
      <c r="EAA6" s="12"/>
      <c r="EAB6" s="11"/>
      <c r="EAC6" s="13"/>
      <c r="EAD6" s="12"/>
      <c r="EAE6" s="12"/>
      <c r="EAF6" s="11"/>
      <c r="EAG6" s="13"/>
      <c r="EAH6" s="5"/>
      <c r="EAI6" s="5"/>
      <c r="EAJ6" s="5"/>
      <c r="EAK6" s="5"/>
      <c r="EAL6" s="5"/>
      <c r="EAM6" s="5"/>
      <c r="EAN6" s="5"/>
      <c r="EAO6" s="5"/>
      <c r="EAP6" s="5"/>
      <c r="EAQ6" s="5"/>
      <c r="EAR6" s="5"/>
      <c r="EAS6" s="10"/>
      <c r="EAT6" s="11"/>
      <c r="EAU6" s="12"/>
      <c r="EAV6" s="13"/>
      <c r="EAW6" s="12"/>
      <c r="EAX6" s="11"/>
      <c r="EAY6" s="13"/>
      <c r="EAZ6" s="12"/>
      <c r="EBA6" s="12"/>
      <c r="EBB6" s="11"/>
      <c r="EBC6" s="13"/>
      <c r="EBD6" s="5"/>
      <c r="EBE6" s="5"/>
      <c r="EBF6" s="5"/>
      <c r="EBG6" s="5"/>
      <c r="EBH6" s="5"/>
      <c r="EBI6" s="5"/>
      <c r="EBJ6" s="5"/>
      <c r="EBK6" s="5"/>
      <c r="EBL6" s="5"/>
      <c r="EBM6" s="5"/>
      <c r="EBN6" s="5"/>
      <c r="EBO6" s="10"/>
      <c r="EBP6" s="11"/>
      <c r="EBQ6" s="12"/>
      <c r="EBR6" s="13"/>
      <c r="EBS6" s="12"/>
      <c r="EBT6" s="11"/>
      <c r="EBU6" s="13"/>
      <c r="EBV6" s="12"/>
      <c r="EBW6" s="12"/>
      <c r="EBX6" s="11"/>
      <c r="EBY6" s="13"/>
      <c r="EBZ6" s="5"/>
      <c r="ECA6" s="5"/>
      <c r="ECB6" s="5"/>
      <c r="ECC6" s="5"/>
      <c r="ECD6" s="5"/>
      <c r="ECE6" s="5"/>
      <c r="ECF6" s="5"/>
      <c r="ECG6" s="5"/>
      <c r="ECH6" s="5"/>
      <c r="ECI6" s="5"/>
      <c r="ECJ6" s="5"/>
      <c r="ECK6" s="10"/>
      <c r="ECL6" s="11"/>
      <c r="ECM6" s="12"/>
      <c r="ECN6" s="13"/>
      <c r="ECO6" s="12"/>
      <c r="ECP6" s="11"/>
      <c r="ECQ6" s="13"/>
      <c r="ECR6" s="12"/>
      <c r="ECS6" s="12"/>
      <c r="ECT6" s="11"/>
      <c r="ECU6" s="13"/>
      <c r="ECV6" s="5"/>
      <c r="ECW6" s="5"/>
      <c r="ECX6" s="5"/>
      <c r="ECY6" s="5"/>
      <c r="ECZ6" s="5"/>
      <c r="EDA6" s="5"/>
      <c r="EDB6" s="5"/>
      <c r="EDC6" s="5"/>
      <c r="EDD6" s="5"/>
      <c r="EDE6" s="5"/>
      <c r="EDF6" s="5"/>
      <c r="EDG6" s="10"/>
      <c r="EDH6" s="11"/>
      <c r="EDI6" s="12"/>
      <c r="EDJ6" s="13"/>
      <c r="EDK6" s="12"/>
      <c r="EDL6" s="11"/>
      <c r="EDM6" s="13"/>
      <c r="EDN6" s="12"/>
      <c r="EDO6" s="12"/>
      <c r="EDP6" s="11"/>
      <c r="EDQ6" s="13"/>
      <c r="EDR6" s="5"/>
      <c r="EDS6" s="5"/>
      <c r="EDT6" s="5"/>
      <c r="EDU6" s="5"/>
      <c r="EDV6" s="5"/>
      <c r="EDW6" s="5"/>
      <c r="EDX6" s="5"/>
      <c r="EDY6" s="5"/>
      <c r="EDZ6" s="5"/>
      <c r="EEA6" s="5"/>
      <c r="EEB6" s="5"/>
      <c r="EEC6" s="10"/>
      <c r="EED6" s="11"/>
      <c r="EEE6" s="12"/>
      <c r="EEF6" s="13"/>
      <c r="EEG6" s="12"/>
      <c r="EEH6" s="11"/>
      <c r="EEI6" s="13"/>
      <c r="EEJ6" s="12"/>
      <c r="EEK6" s="12"/>
      <c r="EEL6" s="11"/>
      <c r="EEM6" s="13"/>
      <c r="EEN6" s="5"/>
      <c r="EEO6" s="5"/>
      <c r="EEP6" s="5"/>
      <c r="EEQ6" s="5"/>
      <c r="EER6" s="5"/>
      <c r="EES6" s="5"/>
      <c r="EET6" s="5"/>
      <c r="EEU6" s="5"/>
      <c r="EEV6" s="5"/>
      <c r="EEW6" s="5"/>
      <c r="EEX6" s="5"/>
      <c r="EEY6" s="10"/>
      <c r="EEZ6" s="11"/>
      <c r="EFA6" s="12"/>
      <c r="EFB6" s="13"/>
      <c r="EFC6" s="12"/>
      <c r="EFD6" s="11"/>
      <c r="EFE6" s="13"/>
      <c r="EFF6" s="12"/>
      <c r="EFG6" s="12"/>
      <c r="EFH6" s="11"/>
      <c r="EFI6" s="13"/>
      <c r="EFJ6" s="5"/>
      <c r="EFK6" s="5"/>
      <c r="EFL6" s="5"/>
      <c r="EFM6" s="5"/>
      <c r="EFN6" s="5"/>
      <c r="EFO6" s="5"/>
      <c r="EFP6" s="5"/>
      <c r="EFQ6" s="5"/>
      <c r="EFR6" s="5"/>
      <c r="EFS6" s="5"/>
      <c r="EFT6" s="5"/>
      <c r="EFU6" s="10"/>
      <c r="EFV6" s="11"/>
      <c r="EFW6" s="12"/>
      <c r="EFX6" s="13"/>
      <c r="EFY6" s="12"/>
      <c r="EFZ6" s="11"/>
      <c r="EGA6" s="13"/>
      <c r="EGB6" s="12"/>
      <c r="EGC6" s="12"/>
      <c r="EGD6" s="11"/>
      <c r="EGE6" s="13"/>
      <c r="EGF6" s="5"/>
      <c r="EGG6" s="5"/>
      <c r="EGH6" s="5"/>
      <c r="EGI6" s="5"/>
      <c r="EGJ6" s="5"/>
      <c r="EGK6" s="5"/>
      <c r="EGL6" s="5"/>
      <c r="EGM6" s="5"/>
      <c r="EGN6" s="5"/>
      <c r="EGO6" s="5"/>
      <c r="EGP6" s="5"/>
      <c r="EGQ6" s="10"/>
      <c r="EGR6" s="11"/>
      <c r="EGS6" s="12"/>
      <c r="EGT6" s="13"/>
      <c r="EGU6" s="12"/>
      <c r="EGV6" s="11"/>
      <c r="EGW6" s="13"/>
      <c r="EGX6" s="12"/>
      <c r="EGY6" s="12"/>
      <c r="EGZ6" s="11"/>
      <c r="EHA6" s="13"/>
      <c r="EHB6" s="5"/>
      <c r="EHC6" s="5"/>
      <c r="EHD6" s="5"/>
      <c r="EHE6" s="5"/>
      <c r="EHF6" s="5"/>
      <c r="EHG6" s="5"/>
      <c r="EHH6" s="5"/>
      <c r="EHI6" s="5"/>
      <c r="EHJ6" s="5"/>
      <c r="EHK6" s="5"/>
      <c r="EHL6" s="5"/>
      <c r="EHM6" s="10"/>
      <c r="EHN6" s="11"/>
      <c r="EHO6" s="12"/>
      <c r="EHP6" s="13"/>
      <c r="EHQ6" s="12"/>
      <c r="EHR6" s="11"/>
      <c r="EHS6" s="13"/>
      <c r="EHT6" s="12"/>
      <c r="EHU6" s="12"/>
      <c r="EHV6" s="11"/>
      <c r="EHW6" s="13"/>
      <c r="EHX6" s="5"/>
      <c r="EHY6" s="5"/>
      <c r="EHZ6" s="5"/>
      <c r="EIA6" s="5"/>
      <c r="EIB6" s="5"/>
      <c r="EIC6" s="5"/>
      <c r="EID6" s="5"/>
      <c r="EIE6" s="5"/>
      <c r="EIF6" s="5"/>
      <c r="EIG6" s="5"/>
      <c r="EIH6" s="5"/>
      <c r="EII6" s="10"/>
      <c r="EIJ6" s="11"/>
      <c r="EIK6" s="12"/>
      <c r="EIL6" s="13"/>
      <c r="EIM6" s="12"/>
      <c r="EIN6" s="11"/>
      <c r="EIO6" s="13"/>
      <c r="EIP6" s="12"/>
      <c r="EIQ6" s="12"/>
      <c r="EIR6" s="11"/>
      <c r="EIS6" s="13"/>
      <c r="EIT6" s="5"/>
      <c r="EIU6" s="5"/>
      <c r="EIV6" s="5"/>
      <c r="EIW6" s="5"/>
      <c r="EIX6" s="5"/>
      <c r="EIY6" s="5"/>
      <c r="EIZ6" s="5"/>
      <c r="EJA6" s="5"/>
      <c r="EJB6" s="5"/>
      <c r="EJC6" s="5"/>
      <c r="EJD6" s="5"/>
      <c r="EJE6" s="10"/>
      <c r="EJF6" s="11"/>
      <c r="EJG6" s="12"/>
      <c r="EJH6" s="13"/>
      <c r="EJI6" s="12"/>
      <c r="EJJ6" s="11"/>
      <c r="EJK6" s="13"/>
      <c r="EJL6" s="12"/>
      <c r="EJM6" s="12"/>
      <c r="EJN6" s="11"/>
      <c r="EJO6" s="13"/>
      <c r="EJP6" s="5"/>
      <c r="EJQ6" s="5"/>
      <c r="EJR6" s="5"/>
      <c r="EJS6" s="5"/>
      <c r="EJT6" s="5"/>
      <c r="EJU6" s="5"/>
      <c r="EJV6" s="5"/>
      <c r="EJW6" s="5"/>
      <c r="EJX6" s="5"/>
      <c r="EJY6" s="5"/>
      <c r="EJZ6" s="5"/>
      <c r="EKA6" s="10"/>
      <c r="EKB6" s="11"/>
      <c r="EKC6" s="12"/>
      <c r="EKD6" s="13"/>
      <c r="EKE6" s="12"/>
      <c r="EKF6" s="11"/>
      <c r="EKG6" s="13"/>
      <c r="EKH6" s="12"/>
      <c r="EKI6" s="12"/>
      <c r="EKJ6" s="11"/>
      <c r="EKK6" s="13"/>
      <c r="EKL6" s="5"/>
      <c r="EKM6" s="5"/>
      <c r="EKN6" s="5"/>
      <c r="EKO6" s="5"/>
      <c r="EKP6" s="5"/>
      <c r="EKQ6" s="5"/>
      <c r="EKR6" s="5"/>
      <c r="EKS6" s="5"/>
      <c r="EKT6" s="5"/>
      <c r="EKU6" s="5"/>
      <c r="EKV6" s="5"/>
      <c r="EKW6" s="10"/>
      <c r="EKX6" s="11"/>
      <c r="EKY6" s="12"/>
      <c r="EKZ6" s="13"/>
      <c r="ELA6" s="12"/>
      <c r="ELB6" s="11"/>
      <c r="ELC6" s="13"/>
      <c r="ELD6" s="12"/>
      <c r="ELE6" s="12"/>
      <c r="ELF6" s="11"/>
      <c r="ELG6" s="13"/>
      <c r="ELH6" s="5"/>
      <c r="ELI6" s="5"/>
      <c r="ELJ6" s="5"/>
      <c r="ELK6" s="5"/>
      <c r="ELL6" s="5"/>
      <c r="ELM6" s="5"/>
      <c r="ELN6" s="5"/>
      <c r="ELO6" s="5"/>
      <c r="ELP6" s="5"/>
      <c r="ELQ6" s="5"/>
      <c r="ELR6" s="5"/>
      <c r="ELS6" s="10"/>
      <c r="ELT6" s="11"/>
      <c r="ELU6" s="12"/>
      <c r="ELV6" s="13"/>
      <c r="ELW6" s="12"/>
      <c r="ELX6" s="11"/>
      <c r="ELY6" s="13"/>
      <c r="ELZ6" s="12"/>
      <c r="EMA6" s="12"/>
      <c r="EMB6" s="11"/>
      <c r="EMC6" s="13"/>
      <c r="EMD6" s="5"/>
      <c r="EME6" s="5"/>
      <c r="EMF6" s="5"/>
      <c r="EMG6" s="5"/>
      <c r="EMH6" s="5"/>
      <c r="EMI6" s="5"/>
      <c r="EMJ6" s="5"/>
      <c r="EMK6" s="5"/>
      <c r="EML6" s="5"/>
      <c r="EMM6" s="5"/>
      <c r="EMN6" s="5"/>
      <c r="EMO6" s="10"/>
      <c r="EMP6" s="11"/>
      <c r="EMQ6" s="12"/>
      <c r="EMR6" s="13"/>
      <c r="EMS6" s="12"/>
      <c r="EMT6" s="11"/>
      <c r="EMU6" s="13"/>
      <c r="EMV6" s="12"/>
      <c r="EMW6" s="12"/>
      <c r="EMX6" s="11"/>
      <c r="EMY6" s="13"/>
      <c r="EMZ6" s="5"/>
      <c r="ENA6" s="5"/>
      <c r="ENB6" s="5"/>
      <c r="ENC6" s="5"/>
      <c r="END6" s="5"/>
      <c r="ENE6" s="5"/>
      <c r="ENF6" s="5"/>
      <c r="ENG6" s="5"/>
      <c r="ENH6" s="5"/>
      <c r="ENI6" s="5"/>
      <c r="ENJ6" s="5"/>
      <c r="ENK6" s="10"/>
      <c r="ENL6" s="11"/>
      <c r="ENM6" s="12"/>
      <c r="ENN6" s="13"/>
      <c r="ENO6" s="12"/>
      <c r="ENP6" s="11"/>
      <c r="ENQ6" s="13"/>
      <c r="ENR6" s="12"/>
      <c r="ENS6" s="12"/>
      <c r="ENT6" s="11"/>
      <c r="ENU6" s="13"/>
      <c r="ENV6" s="5"/>
      <c r="ENW6" s="5"/>
      <c r="ENX6" s="5"/>
      <c r="ENY6" s="5"/>
      <c r="ENZ6" s="5"/>
      <c r="EOA6" s="5"/>
      <c r="EOB6" s="5"/>
      <c r="EOC6" s="5"/>
      <c r="EOD6" s="5"/>
      <c r="EOE6" s="5"/>
      <c r="EOF6" s="5"/>
      <c r="EOG6" s="10"/>
      <c r="EOH6" s="11"/>
      <c r="EOI6" s="12"/>
      <c r="EOJ6" s="13"/>
      <c r="EOK6" s="12"/>
      <c r="EOL6" s="11"/>
      <c r="EOM6" s="13"/>
      <c r="EON6" s="12"/>
      <c r="EOO6" s="12"/>
      <c r="EOP6" s="11"/>
      <c r="EOQ6" s="13"/>
      <c r="EOR6" s="5"/>
      <c r="EOS6" s="5"/>
      <c r="EOT6" s="5"/>
      <c r="EOU6" s="5"/>
      <c r="EOV6" s="5"/>
      <c r="EOW6" s="5"/>
      <c r="EOX6" s="5"/>
      <c r="EOY6" s="5"/>
      <c r="EOZ6" s="5"/>
      <c r="EPA6" s="5"/>
      <c r="EPB6" s="5"/>
      <c r="EPC6" s="10"/>
      <c r="EPD6" s="11"/>
      <c r="EPE6" s="12"/>
      <c r="EPF6" s="13"/>
      <c r="EPG6" s="12"/>
      <c r="EPH6" s="11"/>
      <c r="EPI6" s="13"/>
      <c r="EPJ6" s="12"/>
      <c r="EPK6" s="12"/>
      <c r="EPL6" s="11"/>
      <c r="EPM6" s="13"/>
      <c r="EPN6" s="5"/>
      <c r="EPO6" s="5"/>
      <c r="EPP6" s="5"/>
      <c r="EPQ6" s="5"/>
      <c r="EPR6" s="5"/>
      <c r="EPS6" s="5"/>
      <c r="EPT6" s="5"/>
      <c r="EPU6" s="5"/>
      <c r="EPV6" s="5"/>
      <c r="EPW6" s="5"/>
      <c r="EPX6" s="5"/>
      <c r="EPY6" s="10"/>
      <c r="EPZ6" s="11"/>
      <c r="EQA6" s="12"/>
      <c r="EQB6" s="13"/>
      <c r="EQC6" s="12"/>
      <c r="EQD6" s="11"/>
      <c r="EQE6" s="13"/>
      <c r="EQF6" s="12"/>
      <c r="EQG6" s="12"/>
      <c r="EQH6" s="11"/>
      <c r="EQI6" s="13"/>
      <c r="EQJ6" s="5"/>
      <c r="EQK6" s="5"/>
      <c r="EQL6" s="5"/>
      <c r="EQM6" s="5"/>
      <c r="EQN6" s="5"/>
      <c r="EQO6" s="5"/>
      <c r="EQP6" s="5"/>
      <c r="EQQ6" s="5"/>
      <c r="EQR6" s="5"/>
      <c r="EQS6" s="5"/>
      <c r="EQT6" s="5"/>
      <c r="EQU6" s="10"/>
      <c r="EQV6" s="11"/>
      <c r="EQW6" s="12"/>
      <c r="EQX6" s="13"/>
      <c r="EQY6" s="12"/>
      <c r="EQZ6" s="11"/>
      <c r="ERA6" s="13"/>
      <c r="ERB6" s="12"/>
      <c r="ERC6" s="12"/>
      <c r="ERD6" s="11"/>
      <c r="ERE6" s="13"/>
      <c r="ERF6" s="5"/>
      <c r="ERG6" s="5"/>
      <c r="ERH6" s="5"/>
      <c r="ERI6" s="5"/>
      <c r="ERJ6" s="5"/>
      <c r="ERK6" s="5"/>
      <c r="ERL6" s="5"/>
      <c r="ERM6" s="5"/>
      <c r="ERN6" s="5"/>
      <c r="ERO6" s="5"/>
      <c r="ERP6" s="5"/>
      <c r="ERQ6" s="10"/>
      <c r="ERR6" s="11"/>
      <c r="ERS6" s="12"/>
      <c r="ERT6" s="13"/>
      <c r="ERU6" s="12"/>
      <c r="ERV6" s="11"/>
      <c r="ERW6" s="13"/>
      <c r="ERX6" s="12"/>
      <c r="ERY6" s="12"/>
      <c r="ERZ6" s="11"/>
      <c r="ESA6" s="13"/>
      <c r="ESB6" s="5"/>
      <c r="ESC6" s="5"/>
      <c r="ESD6" s="5"/>
      <c r="ESE6" s="5"/>
      <c r="ESF6" s="5"/>
      <c r="ESG6" s="5"/>
      <c r="ESH6" s="5"/>
      <c r="ESI6" s="5"/>
      <c r="ESJ6" s="5"/>
      <c r="ESK6" s="5"/>
      <c r="ESL6" s="5"/>
      <c r="ESM6" s="10"/>
      <c r="ESN6" s="11"/>
      <c r="ESO6" s="12"/>
      <c r="ESP6" s="13"/>
      <c r="ESQ6" s="12"/>
      <c r="ESR6" s="11"/>
      <c r="ESS6" s="13"/>
      <c r="EST6" s="12"/>
      <c r="ESU6" s="12"/>
      <c r="ESV6" s="11"/>
      <c r="ESW6" s="13"/>
      <c r="ESX6" s="5"/>
      <c r="ESY6" s="5"/>
      <c r="ESZ6" s="5"/>
      <c r="ETA6" s="5"/>
      <c r="ETB6" s="5"/>
      <c r="ETC6" s="5"/>
      <c r="ETD6" s="5"/>
      <c r="ETE6" s="5"/>
      <c r="ETF6" s="5"/>
      <c r="ETG6" s="5"/>
      <c r="ETH6" s="5"/>
      <c r="ETI6" s="10"/>
      <c r="ETJ6" s="11"/>
      <c r="ETK6" s="12"/>
      <c r="ETL6" s="13"/>
      <c r="ETM6" s="12"/>
      <c r="ETN6" s="11"/>
      <c r="ETO6" s="13"/>
      <c r="ETP6" s="12"/>
      <c r="ETQ6" s="12"/>
      <c r="ETR6" s="11"/>
      <c r="ETS6" s="13"/>
      <c r="ETT6" s="5"/>
      <c r="ETU6" s="5"/>
      <c r="ETV6" s="5"/>
      <c r="ETW6" s="5"/>
      <c r="ETX6" s="5"/>
      <c r="ETY6" s="5"/>
      <c r="ETZ6" s="5"/>
      <c r="EUA6" s="5"/>
      <c r="EUB6" s="5"/>
      <c r="EUC6" s="5"/>
      <c r="EUD6" s="5"/>
      <c r="EUE6" s="10"/>
      <c r="EUF6" s="11"/>
      <c r="EUG6" s="12"/>
      <c r="EUH6" s="13"/>
      <c r="EUI6" s="12"/>
      <c r="EUJ6" s="11"/>
      <c r="EUK6" s="13"/>
      <c r="EUL6" s="12"/>
      <c r="EUM6" s="12"/>
      <c r="EUN6" s="11"/>
      <c r="EUO6" s="13"/>
      <c r="EUP6" s="5"/>
      <c r="EUQ6" s="5"/>
      <c r="EUR6" s="5"/>
      <c r="EUS6" s="5"/>
      <c r="EUT6" s="5"/>
      <c r="EUU6" s="5"/>
      <c r="EUV6" s="5"/>
      <c r="EUW6" s="5"/>
      <c r="EUX6" s="5"/>
      <c r="EUY6" s="5"/>
      <c r="EUZ6" s="5"/>
      <c r="EVA6" s="10"/>
      <c r="EVB6" s="11"/>
      <c r="EVC6" s="12"/>
      <c r="EVD6" s="13"/>
      <c r="EVE6" s="12"/>
      <c r="EVF6" s="11"/>
      <c r="EVG6" s="13"/>
      <c r="EVH6" s="12"/>
      <c r="EVI6" s="12"/>
      <c r="EVJ6" s="11"/>
      <c r="EVK6" s="13"/>
      <c r="EVL6" s="5"/>
      <c r="EVM6" s="5"/>
      <c r="EVN6" s="5"/>
      <c r="EVO6" s="5"/>
      <c r="EVP6" s="5"/>
      <c r="EVQ6" s="5"/>
      <c r="EVR6" s="5"/>
      <c r="EVS6" s="5"/>
      <c r="EVT6" s="5"/>
      <c r="EVU6" s="5"/>
      <c r="EVV6" s="5"/>
      <c r="EVW6" s="10"/>
      <c r="EVX6" s="11"/>
      <c r="EVY6" s="12"/>
      <c r="EVZ6" s="13"/>
      <c r="EWA6" s="12"/>
      <c r="EWB6" s="11"/>
      <c r="EWC6" s="13"/>
      <c r="EWD6" s="12"/>
      <c r="EWE6" s="12"/>
      <c r="EWF6" s="11"/>
      <c r="EWG6" s="13"/>
      <c r="EWH6" s="5"/>
      <c r="EWI6" s="5"/>
      <c r="EWJ6" s="5"/>
      <c r="EWK6" s="5"/>
      <c r="EWL6" s="5"/>
      <c r="EWM6" s="5"/>
      <c r="EWN6" s="5"/>
      <c r="EWO6" s="5"/>
      <c r="EWP6" s="5"/>
      <c r="EWQ6" s="5"/>
      <c r="EWR6" s="5"/>
      <c r="EWS6" s="10"/>
      <c r="EWT6" s="11"/>
      <c r="EWU6" s="12"/>
      <c r="EWV6" s="13"/>
      <c r="EWW6" s="12"/>
      <c r="EWX6" s="11"/>
      <c r="EWY6" s="13"/>
      <c r="EWZ6" s="12"/>
      <c r="EXA6" s="12"/>
      <c r="EXB6" s="11"/>
      <c r="EXC6" s="13"/>
      <c r="EXD6" s="5"/>
      <c r="EXE6" s="5"/>
      <c r="EXF6" s="5"/>
      <c r="EXG6" s="5"/>
      <c r="EXH6" s="5"/>
      <c r="EXI6" s="5"/>
      <c r="EXJ6" s="5"/>
      <c r="EXK6" s="5"/>
      <c r="EXL6" s="5"/>
      <c r="EXM6" s="5"/>
      <c r="EXN6" s="5"/>
      <c r="EXO6" s="10"/>
      <c r="EXP6" s="11"/>
      <c r="EXQ6" s="12"/>
      <c r="EXR6" s="13"/>
      <c r="EXS6" s="12"/>
      <c r="EXT6" s="11"/>
      <c r="EXU6" s="13"/>
      <c r="EXV6" s="12"/>
      <c r="EXW6" s="12"/>
      <c r="EXX6" s="11"/>
      <c r="EXY6" s="13"/>
      <c r="EXZ6" s="5"/>
      <c r="EYA6" s="5"/>
      <c r="EYB6" s="5"/>
      <c r="EYC6" s="5"/>
      <c r="EYD6" s="5"/>
      <c r="EYE6" s="5"/>
      <c r="EYF6" s="5"/>
      <c r="EYG6" s="5"/>
      <c r="EYH6" s="5"/>
      <c r="EYI6" s="5"/>
      <c r="EYJ6" s="5"/>
      <c r="EYK6" s="10"/>
      <c r="EYL6" s="11"/>
      <c r="EYM6" s="12"/>
      <c r="EYN6" s="13"/>
      <c r="EYO6" s="12"/>
      <c r="EYP6" s="11"/>
      <c r="EYQ6" s="13"/>
      <c r="EYR6" s="12"/>
      <c r="EYS6" s="12"/>
      <c r="EYT6" s="11"/>
      <c r="EYU6" s="13"/>
      <c r="EYV6" s="5"/>
      <c r="EYW6" s="5"/>
      <c r="EYX6" s="5"/>
      <c r="EYY6" s="5"/>
      <c r="EYZ6" s="5"/>
      <c r="EZA6" s="5"/>
      <c r="EZB6" s="5"/>
      <c r="EZC6" s="5"/>
      <c r="EZD6" s="5"/>
      <c r="EZE6" s="5"/>
      <c r="EZF6" s="5"/>
      <c r="EZG6" s="10"/>
      <c r="EZH6" s="11"/>
      <c r="EZI6" s="12"/>
      <c r="EZJ6" s="13"/>
      <c r="EZK6" s="12"/>
      <c r="EZL6" s="11"/>
      <c r="EZM6" s="13"/>
      <c r="EZN6" s="12"/>
      <c r="EZO6" s="12"/>
      <c r="EZP6" s="11"/>
      <c r="EZQ6" s="13"/>
      <c r="EZR6" s="5"/>
      <c r="EZS6" s="5"/>
      <c r="EZT6" s="5"/>
      <c r="EZU6" s="5"/>
      <c r="EZV6" s="5"/>
      <c r="EZW6" s="5"/>
      <c r="EZX6" s="5"/>
      <c r="EZY6" s="5"/>
      <c r="EZZ6" s="5"/>
      <c r="FAA6" s="5"/>
      <c r="FAB6" s="5"/>
      <c r="FAC6" s="10"/>
      <c r="FAD6" s="11"/>
      <c r="FAE6" s="12"/>
      <c r="FAF6" s="13"/>
      <c r="FAG6" s="12"/>
      <c r="FAH6" s="11"/>
      <c r="FAI6" s="13"/>
      <c r="FAJ6" s="12"/>
      <c r="FAK6" s="12"/>
      <c r="FAL6" s="11"/>
      <c r="FAM6" s="13"/>
      <c r="FAN6" s="5"/>
      <c r="FAO6" s="5"/>
      <c r="FAP6" s="5"/>
      <c r="FAQ6" s="5"/>
      <c r="FAR6" s="5"/>
      <c r="FAS6" s="5"/>
      <c r="FAT6" s="5"/>
      <c r="FAU6" s="5"/>
      <c r="FAV6" s="5"/>
      <c r="FAW6" s="5"/>
      <c r="FAX6" s="5"/>
      <c r="FAY6" s="10"/>
      <c r="FAZ6" s="11"/>
      <c r="FBA6" s="12"/>
      <c r="FBB6" s="13"/>
      <c r="FBC6" s="12"/>
      <c r="FBD6" s="11"/>
      <c r="FBE6" s="13"/>
      <c r="FBF6" s="12"/>
      <c r="FBG6" s="12"/>
      <c r="FBH6" s="11"/>
      <c r="FBI6" s="13"/>
      <c r="FBJ6" s="5"/>
      <c r="FBK6" s="5"/>
      <c r="FBL6" s="5"/>
      <c r="FBM6" s="5"/>
      <c r="FBN6" s="5"/>
      <c r="FBO6" s="5"/>
      <c r="FBP6" s="5"/>
      <c r="FBQ6" s="5"/>
      <c r="FBR6" s="5"/>
      <c r="FBS6" s="5"/>
      <c r="FBT6" s="5"/>
      <c r="FBU6" s="10"/>
      <c r="FBV6" s="11"/>
      <c r="FBW6" s="12"/>
      <c r="FBX6" s="13"/>
      <c r="FBY6" s="12"/>
      <c r="FBZ6" s="11"/>
      <c r="FCA6" s="13"/>
      <c r="FCB6" s="12"/>
      <c r="FCC6" s="12"/>
      <c r="FCD6" s="11"/>
      <c r="FCE6" s="13"/>
      <c r="FCF6" s="5"/>
      <c r="FCG6" s="5"/>
      <c r="FCH6" s="5"/>
      <c r="FCI6" s="5"/>
      <c r="FCJ6" s="5"/>
      <c r="FCK6" s="5"/>
      <c r="FCL6" s="5"/>
      <c r="FCM6" s="5"/>
      <c r="FCN6" s="5"/>
      <c r="FCO6" s="5"/>
      <c r="FCP6" s="5"/>
      <c r="FCQ6" s="10"/>
      <c r="FCR6" s="11"/>
      <c r="FCS6" s="12"/>
      <c r="FCT6" s="13"/>
      <c r="FCU6" s="12"/>
      <c r="FCV6" s="11"/>
      <c r="FCW6" s="13"/>
      <c r="FCX6" s="12"/>
      <c r="FCY6" s="12"/>
      <c r="FCZ6" s="11"/>
      <c r="FDA6" s="13"/>
      <c r="FDB6" s="5"/>
      <c r="FDC6" s="5"/>
      <c r="FDD6" s="5"/>
      <c r="FDE6" s="5"/>
      <c r="FDF6" s="5"/>
      <c r="FDG6" s="5"/>
      <c r="FDH6" s="5"/>
      <c r="FDI6" s="5"/>
      <c r="FDJ6" s="5"/>
      <c r="FDK6" s="5"/>
      <c r="FDL6" s="5"/>
      <c r="FDM6" s="10"/>
      <c r="FDN6" s="11"/>
      <c r="FDO6" s="12"/>
      <c r="FDP6" s="13"/>
      <c r="FDQ6" s="12"/>
      <c r="FDR6" s="11"/>
      <c r="FDS6" s="13"/>
      <c r="FDT6" s="12"/>
      <c r="FDU6" s="12"/>
      <c r="FDV6" s="11"/>
      <c r="FDW6" s="13"/>
      <c r="FDX6" s="5"/>
      <c r="FDY6" s="5"/>
      <c r="FDZ6" s="5"/>
      <c r="FEA6" s="5"/>
      <c r="FEB6" s="5"/>
      <c r="FEC6" s="5"/>
      <c r="FED6" s="5"/>
      <c r="FEE6" s="5"/>
      <c r="FEF6" s="5"/>
      <c r="FEG6" s="5"/>
      <c r="FEH6" s="5"/>
      <c r="FEI6" s="10"/>
      <c r="FEJ6" s="11"/>
      <c r="FEK6" s="12"/>
      <c r="FEL6" s="13"/>
      <c r="FEM6" s="12"/>
      <c r="FEN6" s="11"/>
      <c r="FEO6" s="13"/>
      <c r="FEP6" s="12"/>
      <c r="FEQ6" s="12"/>
      <c r="FER6" s="11"/>
      <c r="FES6" s="13"/>
      <c r="FET6" s="5"/>
      <c r="FEU6" s="5"/>
      <c r="FEV6" s="5"/>
      <c r="FEW6" s="5"/>
      <c r="FEX6" s="5"/>
      <c r="FEY6" s="5"/>
      <c r="FEZ6" s="5"/>
      <c r="FFA6" s="5"/>
      <c r="FFB6" s="5"/>
      <c r="FFC6" s="5"/>
      <c r="FFD6" s="5"/>
      <c r="FFE6" s="10"/>
      <c r="FFF6" s="11"/>
      <c r="FFG6" s="12"/>
      <c r="FFH6" s="13"/>
      <c r="FFI6" s="12"/>
      <c r="FFJ6" s="11"/>
      <c r="FFK6" s="13"/>
      <c r="FFL6" s="12"/>
      <c r="FFM6" s="12"/>
      <c r="FFN6" s="11"/>
      <c r="FFO6" s="13"/>
      <c r="FFP6" s="5"/>
      <c r="FFQ6" s="5"/>
      <c r="FFR6" s="5"/>
      <c r="FFS6" s="5"/>
      <c r="FFT6" s="5"/>
      <c r="FFU6" s="5"/>
      <c r="FFV6" s="5"/>
      <c r="FFW6" s="5"/>
      <c r="FFX6" s="5"/>
      <c r="FFY6" s="5"/>
      <c r="FFZ6" s="5"/>
      <c r="FGA6" s="10"/>
      <c r="FGB6" s="11"/>
      <c r="FGC6" s="12"/>
      <c r="FGD6" s="13"/>
      <c r="FGE6" s="12"/>
      <c r="FGF6" s="11"/>
      <c r="FGG6" s="13"/>
      <c r="FGH6" s="12"/>
      <c r="FGI6" s="12"/>
      <c r="FGJ6" s="11"/>
      <c r="FGK6" s="13"/>
      <c r="FGL6" s="5"/>
      <c r="FGM6" s="5"/>
      <c r="FGN6" s="5"/>
      <c r="FGO6" s="5"/>
      <c r="FGP6" s="5"/>
      <c r="FGQ6" s="5"/>
      <c r="FGR6" s="5"/>
      <c r="FGS6" s="5"/>
      <c r="FGT6" s="5"/>
      <c r="FGU6" s="5"/>
      <c r="FGV6" s="5"/>
      <c r="FGW6" s="10"/>
      <c r="FGX6" s="11"/>
      <c r="FGY6" s="12"/>
      <c r="FGZ6" s="13"/>
      <c r="FHA6" s="12"/>
      <c r="FHB6" s="11"/>
      <c r="FHC6" s="13"/>
      <c r="FHD6" s="12"/>
      <c r="FHE6" s="12"/>
      <c r="FHF6" s="11"/>
      <c r="FHG6" s="13"/>
      <c r="FHH6" s="5"/>
      <c r="FHI6" s="5"/>
      <c r="FHJ6" s="5"/>
      <c r="FHK6" s="5"/>
      <c r="FHL6" s="5"/>
      <c r="FHM6" s="5"/>
      <c r="FHN6" s="5"/>
      <c r="FHO6" s="5"/>
      <c r="FHP6" s="5"/>
      <c r="FHQ6" s="5"/>
      <c r="FHR6" s="5"/>
      <c r="FHS6" s="10"/>
      <c r="FHT6" s="11"/>
      <c r="FHU6" s="12"/>
      <c r="FHV6" s="13"/>
      <c r="FHW6" s="12"/>
      <c r="FHX6" s="11"/>
      <c r="FHY6" s="13"/>
      <c r="FHZ6" s="12"/>
      <c r="FIA6" s="12"/>
      <c r="FIB6" s="11"/>
      <c r="FIC6" s="13"/>
      <c r="FID6" s="5"/>
      <c r="FIE6" s="5"/>
      <c r="FIF6" s="5"/>
      <c r="FIG6" s="5"/>
      <c r="FIH6" s="5"/>
      <c r="FII6" s="5"/>
      <c r="FIJ6" s="5"/>
      <c r="FIK6" s="5"/>
      <c r="FIL6" s="5"/>
      <c r="FIM6" s="5"/>
      <c r="FIN6" s="5"/>
      <c r="FIO6" s="10"/>
      <c r="FIP6" s="11"/>
      <c r="FIQ6" s="12"/>
      <c r="FIR6" s="13"/>
      <c r="FIS6" s="12"/>
      <c r="FIT6" s="11"/>
      <c r="FIU6" s="13"/>
      <c r="FIV6" s="12"/>
      <c r="FIW6" s="12"/>
      <c r="FIX6" s="11"/>
      <c r="FIY6" s="13"/>
      <c r="FIZ6" s="5"/>
      <c r="FJA6" s="5"/>
      <c r="FJB6" s="5"/>
      <c r="FJC6" s="5"/>
      <c r="FJD6" s="5"/>
      <c r="FJE6" s="5"/>
      <c r="FJF6" s="5"/>
      <c r="FJG6" s="5"/>
      <c r="FJH6" s="5"/>
      <c r="FJI6" s="5"/>
      <c r="FJJ6" s="5"/>
      <c r="FJK6" s="10"/>
      <c r="FJL6" s="11"/>
      <c r="FJM6" s="12"/>
      <c r="FJN6" s="13"/>
      <c r="FJO6" s="12"/>
      <c r="FJP6" s="11"/>
      <c r="FJQ6" s="13"/>
      <c r="FJR6" s="12"/>
      <c r="FJS6" s="12"/>
      <c r="FJT6" s="11"/>
      <c r="FJU6" s="13"/>
      <c r="FJV6" s="5"/>
      <c r="FJW6" s="5"/>
      <c r="FJX6" s="5"/>
      <c r="FJY6" s="5"/>
      <c r="FJZ6" s="5"/>
      <c r="FKA6" s="5"/>
      <c r="FKB6" s="5"/>
      <c r="FKC6" s="5"/>
      <c r="FKD6" s="5"/>
      <c r="FKE6" s="5"/>
      <c r="FKF6" s="5"/>
      <c r="FKG6" s="10"/>
      <c r="FKH6" s="11"/>
      <c r="FKI6" s="12"/>
      <c r="FKJ6" s="13"/>
      <c r="FKK6" s="12"/>
      <c r="FKL6" s="11"/>
      <c r="FKM6" s="13"/>
      <c r="FKN6" s="12"/>
      <c r="FKO6" s="12"/>
      <c r="FKP6" s="11"/>
      <c r="FKQ6" s="13"/>
      <c r="FKR6" s="5"/>
      <c r="FKS6" s="5"/>
      <c r="FKT6" s="5"/>
      <c r="FKU6" s="5"/>
      <c r="FKV6" s="5"/>
      <c r="FKW6" s="5"/>
      <c r="FKX6" s="5"/>
      <c r="FKY6" s="5"/>
      <c r="FKZ6" s="5"/>
      <c r="FLA6" s="5"/>
      <c r="FLB6" s="5"/>
      <c r="FLC6" s="10"/>
      <c r="FLD6" s="11"/>
      <c r="FLE6" s="12"/>
      <c r="FLF6" s="13"/>
      <c r="FLG6" s="12"/>
      <c r="FLH6" s="11"/>
      <c r="FLI6" s="13"/>
      <c r="FLJ6" s="12"/>
      <c r="FLK6" s="12"/>
      <c r="FLL6" s="11"/>
      <c r="FLM6" s="13"/>
      <c r="FLN6" s="5"/>
      <c r="FLO6" s="5"/>
      <c r="FLP6" s="5"/>
      <c r="FLQ6" s="5"/>
      <c r="FLR6" s="5"/>
      <c r="FLS6" s="5"/>
      <c r="FLT6" s="5"/>
      <c r="FLU6" s="5"/>
      <c r="FLV6" s="5"/>
      <c r="FLW6" s="5"/>
      <c r="FLX6" s="5"/>
      <c r="FLY6" s="10"/>
      <c r="FLZ6" s="11"/>
      <c r="FMA6" s="12"/>
      <c r="FMB6" s="13"/>
      <c r="FMC6" s="12"/>
      <c r="FMD6" s="11"/>
      <c r="FME6" s="13"/>
      <c r="FMF6" s="12"/>
      <c r="FMG6" s="12"/>
      <c r="FMH6" s="11"/>
      <c r="FMI6" s="13"/>
      <c r="FMJ6" s="5"/>
      <c r="FMK6" s="5"/>
      <c r="FML6" s="5"/>
      <c r="FMM6" s="5"/>
      <c r="FMN6" s="5"/>
      <c r="FMO6" s="5"/>
      <c r="FMP6" s="5"/>
      <c r="FMQ6" s="5"/>
      <c r="FMR6" s="5"/>
      <c r="FMS6" s="5"/>
      <c r="FMT6" s="5"/>
      <c r="FMU6" s="10"/>
      <c r="FMV6" s="11"/>
      <c r="FMW6" s="12"/>
      <c r="FMX6" s="13"/>
      <c r="FMY6" s="12"/>
      <c r="FMZ6" s="11"/>
      <c r="FNA6" s="13"/>
      <c r="FNB6" s="12"/>
      <c r="FNC6" s="12"/>
      <c r="FND6" s="11"/>
      <c r="FNE6" s="13"/>
      <c r="FNF6" s="5"/>
      <c r="FNG6" s="5"/>
      <c r="FNH6" s="5"/>
      <c r="FNI6" s="5"/>
      <c r="FNJ6" s="5"/>
      <c r="FNK6" s="5"/>
      <c r="FNL6" s="5"/>
      <c r="FNM6" s="5"/>
      <c r="FNN6" s="5"/>
      <c r="FNO6" s="5"/>
      <c r="FNP6" s="5"/>
      <c r="FNQ6" s="10"/>
      <c r="FNR6" s="11"/>
      <c r="FNS6" s="12"/>
      <c r="FNT6" s="13"/>
      <c r="FNU6" s="12"/>
      <c r="FNV6" s="11"/>
      <c r="FNW6" s="13"/>
      <c r="FNX6" s="12"/>
      <c r="FNY6" s="12"/>
      <c r="FNZ6" s="11"/>
      <c r="FOA6" s="13"/>
      <c r="FOB6" s="5"/>
      <c r="FOC6" s="5"/>
      <c r="FOD6" s="5"/>
      <c r="FOE6" s="5"/>
      <c r="FOF6" s="5"/>
      <c r="FOG6" s="5"/>
      <c r="FOH6" s="5"/>
      <c r="FOI6" s="5"/>
      <c r="FOJ6" s="5"/>
      <c r="FOK6" s="5"/>
      <c r="FOL6" s="5"/>
      <c r="FOM6" s="10"/>
      <c r="FON6" s="11"/>
      <c r="FOO6" s="12"/>
      <c r="FOP6" s="13"/>
      <c r="FOQ6" s="12"/>
      <c r="FOR6" s="11"/>
      <c r="FOS6" s="13"/>
      <c r="FOT6" s="12"/>
      <c r="FOU6" s="12"/>
      <c r="FOV6" s="11"/>
      <c r="FOW6" s="13"/>
      <c r="FOX6" s="5"/>
      <c r="FOY6" s="5"/>
      <c r="FOZ6" s="5"/>
      <c r="FPA6" s="5"/>
      <c r="FPB6" s="5"/>
      <c r="FPC6" s="5"/>
      <c r="FPD6" s="5"/>
      <c r="FPE6" s="5"/>
      <c r="FPF6" s="5"/>
      <c r="FPG6" s="5"/>
      <c r="FPH6" s="5"/>
      <c r="FPI6" s="10"/>
      <c r="FPJ6" s="11"/>
      <c r="FPK6" s="12"/>
      <c r="FPL6" s="13"/>
      <c r="FPM6" s="12"/>
      <c r="FPN6" s="11"/>
      <c r="FPO6" s="13"/>
      <c r="FPP6" s="12"/>
      <c r="FPQ6" s="12"/>
      <c r="FPR6" s="11"/>
      <c r="FPS6" s="13"/>
      <c r="FPT6" s="5"/>
      <c r="FPU6" s="5"/>
      <c r="FPV6" s="5"/>
      <c r="FPW6" s="5"/>
      <c r="FPX6" s="5"/>
      <c r="FPY6" s="5"/>
      <c r="FPZ6" s="5"/>
      <c r="FQA6" s="5"/>
      <c r="FQB6" s="5"/>
      <c r="FQC6" s="5"/>
      <c r="FQD6" s="5"/>
      <c r="FQE6" s="10"/>
      <c r="FQF6" s="11"/>
      <c r="FQG6" s="12"/>
      <c r="FQH6" s="13"/>
      <c r="FQI6" s="12"/>
      <c r="FQJ6" s="11"/>
      <c r="FQK6" s="13"/>
      <c r="FQL6" s="12"/>
      <c r="FQM6" s="12"/>
      <c r="FQN6" s="11"/>
      <c r="FQO6" s="13"/>
      <c r="FQP6" s="5"/>
      <c r="FQQ6" s="5"/>
      <c r="FQR6" s="5"/>
      <c r="FQS6" s="5"/>
      <c r="FQT6" s="5"/>
      <c r="FQU6" s="5"/>
      <c r="FQV6" s="5"/>
      <c r="FQW6" s="5"/>
      <c r="FQX6" s="5"/>
      <c r="FQY6" s="5"/>
      <c r="FQZ6" s="5"/>
      <c r="FRA6" s="10"/>
      <c r="FRB6" s="11"/>
      <c r="FRC6" s="12"/>
      <c r="FRD6" s="13"/>
      <c r="FRE6" s="12"/>
      <c r="FRF6" s="11"/>
      <c r="FRG6" s="13"/>
      <c r="FRH6" s="12"/>
      <c r="FRI6" s="12"/>
      <c r="FRJ6" s="11"/>
      <c r="FRK6" s="13"/>
      <c r="FRL6" s="5"/>
      <c r="FRM6" s="5"/>
      <c r="FRN6" s="5"/>
      <c r="FRO6" s="5"/>
      <c r="FRP6" s="5"/>
      <c r="FRQ6" s="5"/>
      <c r="FRR6" s="5"/>
      <c r="FRS6" s="5"/>
      <c r="FRT6" s="5"/>
      <c r="FRU6" s="5"/>
      <c r="FRV6" s="5"/>
      <c r="FRW6" s="10"/>
      <c r="FRX6" s="11"/>
      <c r="FRY6" s="12"/>
      <c r="FRZ6" s="13"/>
      <c r="FSA6" s="12"/>
      <c r="FSB6" s="11"/>
      <c r="FSC6" s="13"/>
      <c r="FSD6" s="12"/>
      <c r="FSE6" s="12"/>
      <c r="FSF6" s="11"/>
      <c r="FSG6" s="13"/>
      <c r="FSH6" s="5"/>
      <c r="FSI6" s="5"/>
      <c r="FSJ6" s="5"/>
      <c r="FSK6" s="5"/>
      <c r="FSL6" s="5"/>
      <c r="FSM6" s="5"/>
      <c r="FSN6" s="5"/>
      <c r="FSO6" s="5"/>
      <c r="FSP6" s="5"/>
      <c r="FSQ6" s="5"/>
      <c r="FSR6" s="5"/>
      <c r="FSS6" s="10"/>
      <c r="FST6" s="11"/>
      <c r="FSU6" s="12"/>
      <c r="FSV6" s="13"/>
      <c r="FSW6" s="12"/>
      <c r="FSX6" s="11"/>
      <c r="FSY6" s="13"/>
      <c r="FSZ6" s="12"/>
      <c r="FTA6" s="12"/>
      <c r="FTB6" s="11"/>
      <c r="FTC6" s="13"/>
      <c r="FTD6" s="5"/>
      <c r="FTE6" s="5"/>
      <c r="FTF6" s="5"/>
      <c r="FTG6" s="5"/>
      <c r="FTH6" s="5"/>
      <c r="FTI6" s="5"/>
      <c r="FTJ6" s="5"/>
      <c r="FTK6" s="5"/>
      <c r="FTL6" s="5"/>
      <c r="FTM6" s="5"/>
      <c r="FTN6" s="5"/>
      <c r="FTO6" s="10"/>
      <c r="FTP6" s="11"/>
      <c r="FTQ6" s="12"/>
      <c r="FTR6" s="13"/>
      <c r="FTS6" s="12"/>
      <c r="FTT6" s="11"/>
      <c r="FTU6" s="13"/>
      <c r="FTV6" s="12"/>
      <c r="FTW6" s="12"/>
      <c r="FTX6" s="11"/>
      <c r="FTY6" s="13"/>
      <c r="FTZ6" s="5"/>
      <c r="FUA6" s="5"/>
      <c r="FUB6" s="5"/>
      <c r="FUC6" s="5"/>
      <c r="FUD6" s="5"/>
      <c r="FUE6" s="5"/>
      <c r="FUF6" s="5"/>
      <c r="FUG6" s="5"/>
      <c r="FUH6" s="5"/>
      <c r="FUI6" s="5"/>
      <c r="FUJ6" s="5"/>
      <c r="FUK6" s="10"/>
      <c r="FUL6" s="11"/>
      <c r="FUM6" s="12"/>
      <c r="FUN6" s="13"/>
      <c r="FUO6" s="12"/>
      <c r="FUP6" s="11"/>
      <c r="FUQ6" s="13"/>
      <c r="FUR6" s="12"/>
      <c r="FUS6" s="12"/>
      <c r="FUT6" s="11"/>
      <c r="FUU6" s="13"/>
      <c r="FUV6" s="5"/>
      <c r="FUW6" s="5"/>
      <c r="FUX6" s="5"/>
      <c r="FUY6" s="5"/>
      <c r="FUZ6" s="5"/>
      <c r="FVA6" s="5"/>
      <c r="FVB6" s="5"/>
      <c r="FVC6" s="5"/>
      <c r="FVD6" s="5"/>
      <c r="FVE6" s="5"/>
      <c r="FVF6" s="5"/>
      <c r="FVG6" s="10"/>
      <c r="FVH6" s="11"/>
      <c r="FVI6" s="12"/>
      <c r="FVJ6" s="13"/>
      <c r="FVK6" s="12"/>
      <c r="FVL6" s="11"/>
      <c r="FVM6" s="13"/>
      <c r="FVN6" s="12"/>
      <c r="FVO6" s="12"/>
      <c r="FVP6" s="11"/>
      <c r="FVQ6" s="13"/>
      <c r="FVR6" s="5"/>
      <c r="FVS6" s="5"/>
      <c r="FVT6" s="5"/>
      <c r="FVU6" s="5"/>
      <c r="FVV6" s="5"/>
      <c r="FVW6" s="5"/>
      <c r="FVX6" s="5"/>
      <c r="FVY6" s="5"/>
      <c r="FVZ6" s="5"/>
      <c r="FWA6" s="5"/>
      <c r="FWB6" s="5"/>
      <c r="FWC6" s="10"/>
      <c r="FWD6" s="11"/>
      <c r="FWE6" s="12"/>
      <c r="FWF6" s="13"/>
      <c r="FWG6" s="12"/>
      <c r="FWH6" s="11"/>
      <c r="FWI6" s="13"/>
      <c r="FWJ6" s="12"/>
      <c r="FWK6" s="12"/>
      <c r="FWL6" s="11"/>
      <c r="FWM6" s="13"/>
      <c r="FWN6" s="5"/>
      <c r="FWO6" s="5"/>
      <c r="FWP6" s="5"/>
      <c r="FWQ6" s="5"/>
      <c r="FWR6" s="5"/>
      <c r="FWS6" s="5"/>
      <c r="FWT6" s="5"/>
      <c r="FWU6" s="5"/>
      <c r="FWV6" s="5"/>
      <c r="FWW6" s="5"/>
      <c r="FWX6" s="5"/>
      <c r="FWY6" s="10"/>
      <c r="FWZ6" s="11"/>
      <c r="FXA6" s="12"/>
      <c r="FXB6" s="13"/>
      <c r="FXC6" s="12"/>
      <c r="FXD6" s="11"/>
      <c r="FXE6" s="13"/>
      <c r="FXF6" s="12"/>
      <c r="FXG6" s="12"/>
      <c r="FXH6" s="11"/>
      <c r="FXI6" s="13"/>
      <c r="FXJ6" s="5"/>
      <c r="FXK6" s="5"/>
      <c r="FXL6" s="5"/>
      <c r="FXM6" s="5"/>
      <c r="FXN6" s="5"/>
      <c r="FXO6" s="5"/>
      <c r="FXP6" s="5"/>
      <c r="FXQ6" s="5"/>
      <c r="FXR6" s="5"/>
      <c r="FXS6" s="5"/>
      <c r="FXT6" s="5"/>
      <c r="FXU6" s="10"/>
      <c r="FXV6" s="11"/>
      <c r="FXW6" s="12"/>
      <c r="FXX6" s="13"/>
      <c r="FXY6" s="12"/>
      <c r="FXZ6" s="11"/>
      <c r="FYA6" s="13"/>
      <c r="FYB6" s="12"/>
      <c r="FYC6" s="12"/>
      <c r="FYD6" s="11"/>
      <c r="FYE6" s="13"/>
      <c r="FYF6" s="5"/>
      <c r="FYG6" s="5"/>
      <c r="FYH6" s="5"/>
      <c r="FYI6" s="5"/>
      <c r="FYJ6" s="5"/>
      <c r="FYK6" s="5"/>
      <c r="FYL6" s="5"/>
      <c r="FYM6" s="5"/>
      <c r="FYN6" s="5"/>
      <c r="FYO6" s="5"/>
      <c r="FYP6" s="5"/>
      <c r="FYQ6" s="10"/>
      <c r="FYR6" s="11"/>
      <c r="FYS6" s="12"/>
      <c r="FYT6" s="13"/>
      <c r="FYU6" s="12"/>
      <c r="FYV6" s="11"/>
      <c r="FYW6" s="13"/>
      <c r="FYX6" s="12"/>
      <c r="FYY6" s="12"/>
      <c r="FYZ6" s="11"/>
      <c r="FZA6" s="13"/>
      <c r="FZB6" s="5"/>
      <c r="FZC6" s="5"/>
      <c r="FZD6" s="5"/>
      <c r="FZE6" s="5"/>
      <c r="FZF6" s="5"/>
      <c r="FZG6" s="5"/>
      <c r="FZH6" s="5"/>
      <c r="FZI6" s="5"/>
      <c r="FZJ6" s="5"/>
      <c r="FZK6" s="5"/>
      <c r="FZL6" s="5"/>
      <c r="FZM6" s="10"/>
      <c r="FZN6" s="11"/>
      <c r="FZO6" s="12"/>
      <c r="FZP6" s="13"/>
      <c r="FZQ6" s="12"/>
      <c r="FZR6" s="11"/>
      <c r="FZS6" s="13"/>
      <c r="FZT6" s="12"/>
      <c r="FZU6" s="12"/>
      <c r="FZV6" s="11"/>
      <c r="FZW6" s="13"/>
      <c r="FZX6" s="5"/>
      <c r="FZY6" s="5"/>
      <c r="FZZ6" s="5"/>
      <c r="GAA6" s="5"/>
      <c r="GAB6" s="5"/>
      <c r="GAC6" s="5"/>
      <c r="GAD6" s="5"/>
      <c r="GAE6" s="5"/>
      <c r="GAF6" s="5"/>
      <c r="GAG6" s="5"/>
      <c r="GAH6" s="5"/>
      <c r="GAI6" s="10"/>
      <c r="GAJ6" s="11"/>
      <c r="GAK6" s="12"/>
      <c r="GAL6" s="13"/>
      <c r="GAM6" s="12"/>
      <c r="GAN6" s="11"/>
      <c r="GAO6" s="13"/>
      <c r="GAP6" s="12"/>
      <c r="GAQ6" s="12"/>
      <c r="GAR6" s="11"/>
      <c r="GAS6" s="13"/>
      <c r="GAT6" s="5"/>
      <c r="GAU6" s="5"/>
      <c r="GAV6" s="5"/>
      <c r="GAW6" s="5"/>
      <c r="GAX6" s="5"/>
      <c r="GAY6" s="5"/>
      <c r="GAZ6" s="5"/>
      <c r="GBA6" s="5"/>
      <c r="GBB6" s="5"/>
      <c r="GBC6" s="5"/>
      <c r="GBD6" s="5"/>
      <c r="GBE6" s="10"/>
      <c r="GBF6" s="11"/>
      <c r="GBG6" s="12"/>
      <c r="GBH6" s="13"/>
      <c r="GBI6" s="12"/>
      <c r="GBJ6" s="11"/>
      <c r="GBK6" s="13"/>
      <c r="GBL6" s="12"/>
      <c r="GBM6" s="12"/>
      <c r="GBN6" s="11"/>
      <c r="GBO6" s="13"/>
      <c r="GBP6" s="5"/>
      <c r="GBQ6" s="5"/>
      <c r="GBR6" s="5"/>
      <c r="GBS6" s="5"/>
      <c r="GBT6" s="5"/>
      <c r="GBU6" s="5"/>
      <c r="GBV6" s="5"/>
      <c r="GBW6" s="5"/>
      <c r="GBX6" s="5"/>
      <c r="GBY6" s="5"/>
      <c r="GBZ6" s="5"/>
      <c r="GCA6" s="10"/>
      <c r="GCB6" s="11"/>
      <c r="GCC6" s="12"/>
      <c r="GCD6" s="13"/>
      <c r="GCE6" s="12"/>
      <c r="GCF6" s="11"/>
      <c r="GCG6" s="13"/>
      <c r="GCH6" s="12"/>
      <c r="GCI6" s="12"/>
      <c r="GCJ6" s="11"/>
      <c r="GCK6" s="13"/>
      <c r="GCL6" s="5"/>
      <c r="GCM6" s="5"/>
      <c r="GCN6" s="5"/>
      <c r="GCO6" s="5"/>
      <c r="GCP6" s="5"/>
      <c r="GCQ6" s="5"/>
      <c r="GCR6" s="5"/>
      <c r="GCS6" s="5"/>
      <c r="GCT6" s="5"/>
      <c r="GCU6" s="5"/>
      <c r="GCV6" s="5"/>
      <c r="GCW6" s="10"/>
      <c r="GCX6" s="11"/>
      <c r="GCY6" s="12"/>
      <c r="GCZ6" s="13"/>
      <c r="GDA6" s="12"/>
      <c r="GDB6" s="11"/>
      <c r="GDC6" s="13"/>
      <c r="GDD6" s="12"/>
      <c r="GDE6" s="12"/>
      <c r="GDF6" s="11"/>
      <c r="GDG6" s="13"/>
      <c r="GDH6" s="5"/>
      <c r="GDI6" s="5"/>
      <c r="GDJ6" s="5"/>
      <c r="GDK6" s="5"/>
      <c r="GDL6" s="5"/>
      <c r="GDM6" s="5"/>
      <c r="GDN6" s="5"/>
      <c r="GDO6" s="5"/>
      <c r="GDP6" s="5"/>
      <c r="GDQ6" s="5"/>
      <c r="GDR6" s="5"/>
      <c r="GDS6" s="10"/>
      <c r="GDT6" s="11"/>
      <c r="GDU6" s="12"/>
      <c r="GDV6" s="13"/>
      <c r="GDW6" s="12"/>
      <c r="GDX6" s="11"/>
      <c r="GDY6" s="13"/>
      <c r="GDZ6" s="12"/>
      <c r="GEA6" s="12"/>
      <c r="GEB6" s="11"/>
      <c r="GEC6" s="13"/>
      <c r="GED6" s="5"/>
      <c r="GEE6" s="5"/>
      <c r="GEF6" s="5"/>
      <c r="GEG6" s="5"/>
      <c r="GEH6" s="5"/>
      <c r="GEI6" s="5"/>
      <c r="GEJ6" s="5"/>
      <c r="GEK6" s="5"/>
      <c r="GEL6" s="5"/>
      <c r="GEM6" s="5"/>
      <c r="GEN6" s="5"/>
      <c r="GEO6" s="10"/>
      <c r="GEP6" s="11"/>
      <c r="GEQ6" s="12"/>
      <c r="GER6" s="13"/>
      <c r="GES6" s="12"/>
      <c r="GET6" s="11"/>
      <c r="GEU6" s="13"/>
      <c r="GEV6" s="12"/>
      <c r="GEW6" s="12"/>
      <c r="GEX6" s="11"/>
      <c r="GEY6" s="13"/>
      <c r="GEZ6" s="5"/>
      <c r="GFA6" s="5"/>
      <c r="GFB6" s="5"/>
      <c r="GFC6" s="5"/>
      <c r="GFD6" s="5"/>
      <c r="GFE6" s="5"/>
      <c r="GFF6" s="5"/>
      <c r="GFG6" s="5"/>
      <c r="GFH6" s="5"/>
      <c r="GFI6" s="5"/>
      <c r="GFJ6" s="5"/>
      <c r="GFK6" s="10"/>
      <c r="GFL6" s="11"/>
      <c r="GFM6" s="12"/>
      <c r="GFN6" s="13"/>
      <c r="GFO6" s="12"/>
      <c r="GFP6" s="11"/>
      <c r="GFQ6" s="13"/>
      <c r="GFR6" s="12"/>
      <c r="GFS6" s="12"/>
      <c r="GFT6" s="11"/>
      <c r="GFU6" s="13"/>
      <c r="GFV6" s="5"/>
      <c r="GFW6" s="5"/>
      <c r="GFX6" s="5"/>
      <c r="GFY6" s="5"/>
      <c r="GFZ6" s="5"/>
      <c r="GGA6" s="5"/>
      <c r="GGB6" s="5"/>
      <c r="GGC6" s="5"/>
      <c r="GGD6" s="5"/>
      <c r="GGE6" s="5"/>
      <c r="GGF6" s="5"/>
      <c r="GGG6" s="10"/>
      <c r="GGH6" s="11"/>
      <c r="GGI6" s="12"/>
      <c r="GGJ6" s="13"/>
      <c r="GGK6" s="12"/>
      <c r="GGL6" s="11"/>
      <c r="GGM6" s="13"/>
      <c r="GGN6" s="12"/>
      <c r="GGO6" s="12"/>
      <c r="GGP6" s="11"/>
      <c r="GGQ6" s="13"/>
      <c r="GGR6" s="5"/>
      <c r="GGS6" s="5"/>
      <c r="GGT6" s="5"/>
      <c r="GGU6" s="5"/>
      <c r="GGV6" s="5"/>
      <c r="GGW6" s="5"/>
      <c r="GGX6" s="5"/>
      <c r="GGY6" s="5"/>
      <c r="GGZ6" s="5"/>
      <c r="GHA6" s="5"/>
      <c r="GHB6" s="5"/>
      <c r="GHC6" s="10"/>
      <c r="GHD6" s="11"/>
      <c r="GHE6" s="12"/>
      <c r="GHF6" s="13"/>
      <c r="GHG6" s="12"/>
      <c r="GHH6" s="11"/>
      <c r="GHI6" s="13"/>
      <c r="GHJ6" s="12"/>
      <c r="GHK6" s="12"/>
      <c r="GHL6" s="11"/>
      <c r="GHM6" s="13"/>
      <c r="GHN6" s="5"/>
      <c r="GHO6" s="5"/>
      <c r="GHP6" s="5"/>
      <c r="GHQ6" s="5"/>
      <c r="GHR6" s="5"/>
      <c r="GHS6" s="5"/>
      <c r="GHT6" s="5"/>
      <c r="GHU6" s="5"/>
      <c r="GHV6" s="5"/>
      <c r="GHW6" s="5"/>
      <c r="GHX6" s="5"/>
      <c r="GHY6" s="10"/>
      <c r="GHZ6" s="11"/>
      <c r="GIA6" s="12"/>
      <c r="GIB6" s="13"/>
      <c r="GIC6" s="12"/>
      <c r="GID6" s="11"/>
      <c r="GIE6" s="13"/>
      <c r="GIF6" s="12"/>
      <c r="GIG6" s="12"/>
      <c r="GIH6" s="11"/>
      <c r="GII6" s="13"/>
      <c r="GIJ6" s="5"/>
      <c r="GIK6" s="5"/>
      <c r="GIL6" s="5"/>
      <c r="GIM6" s="5"/>
      <c r="GIN6" s="5"/>
      <c r="GIO6" s="5"/>
      <c r="GIP6" s="5"/>
      <c r="GIQ6" s="5"/>
      <c r="GIR6" s="5"/>
      <c r="GIS6" s="5"/>
      <c r="GIT6" s="5"/>
      <c r="GIU6" s="10"/>
      <c r="GIV6" s="11"/>
      <c r="GIW6" s="12"/>
      <c r="GIX6" s="13"/>
      <c r="GIY6" s="12"/>
      <c r="GIZ6" s="11"/>
      <c r="GJA6" s="13"/>
      <c r="GJB6" s="12"/>
      <c r="GJC6" s="12"/>
      <c r="GJD6" s="11"/>
      <c r="GJE6" s="13"/>
      <c r="GJF6" s="5"/>
      <c r="GJG6" s="5"/>
      <c r="GJH6" s="5"/>
      <c r="GJI6" s="5"/>
      <c r="GJJ6" s="5"/>
      <c r="GJK6" s="5"/>
      <c r="GJL6" s="5"/>
      <c r="GJM6" s="5"/>
      <c r="GJN6" s="5"/>
      <c r="GJO6" s="5"/>
      <c r="GJP6" s="5"/>
      <c r="GJQ6" s="10"/>
      <c r="GJR6" s="11"/>
      <c r="GJS6" s="12"/>
      <c r="GJT6" s="13"/>
      <c r="GJU6" s="12"/>
      <c r="GJV6" s="11"/>
      <c r="GJW6" s="13"/>
      <c r="GJX6" s="12"/>
      <c r="GJY6" s="12"/>
      <c r="GJZ6" s="11"/>
      <c r="GKA6" s="13"/>
      <c r="GKB6" s="5"/>
      <c r="GKC6" s="5"/>
      <c r="GKD6" s="5"/>
      <c r="GKE6" s="5"/>
      <c r="GKF6" s="5"/>
      <c r="GKG6" s="5"/>
      <c r="GKH6" s="5"/>
      <c r="GKI6" s="5"/>
      <c r="GKJ6" s="5"/>
      <c r="GKK6" s="5"/>
      <c r="GKL6" s="5"/>
      <c r="GKM6" s="10"/>
      <c r="GKN6" s="11"/>
      <c r="GKO6" s="12"/>
      <c r="GKP6" s="13"/>
      <c r="GKQ6" s="12"/>
      <c r="GKR6" s="11"/>
      <c r="GKS6" s="13"/>
      <c r="GKT6" s="12"/>
      <c r="GKU6" s="12"/>
      <c r="GKV6" s="11"/>
      <c r="GKW6" s="13"/>
      <c r="GKX6" s="5"/>
      <c r="GKY6" s="5"/>
      <c r="GKZ6" s="5"/>
      <c r="GLA6" s="5"/>
      <c r="GLB6" s="5"/>
      <c r="GLC6" s="5"/>
      <c r="GLD6" s="5"/>
      <c r="GLE6" s="5"/>
      <c r="GLF6" s="5"/>
      <c r="GLG6" s="5"/>
      <c r="GLH6" s="5"/>
      <c r="GLI6" s="10"/>
      <c r="GLJ6" s="11"/>
      <c r="GLK6" s="12"/>
      <c r="GLL6" s="13"/>
      <c r="GLM6" s="12"/>
      <c r="GLN6" s="11"/>
      <c r="GLO6" s="13"/>
      <c r="GLP6" s="12"/>
      <c r="GLQ6" s="12"/>
      <c r="GLR6" s="11"/>
      <c r="GLS6" s="13"/>
      <c r="GLT6" s="5"/>
      <c r="GLU6" s="5"/>
      <c r="GLV6" s="5"/>
      <c r="GLW6" s="5"/>
      <c r="GLX6" s="5"/>
      <c r="GLY6" s="5"/>
      <c r="GLZ6" s="5"/>
      <c r="GMA6" s="5"/>
      <c r="GMB6" s="5"/>
      <c r="GMC6" s="5"/>
      <c r="GMD6" s="5"/>
      <c r="GME6" s="10"/>
      <c r="GMF6" s="11"/>
      <c r="GMG6" s="12"/>
      <c r="GMH6" s="13"/>
      <c r="GMI6" s="12"/>
      <c r="GMJ6" s="11"/>
      <c r="GMK6" s="13"/>
      <c r="GML6" s="12"/>
      <c r="GMM6" s="12"/>
      <c r="GMN6" s="11"/>
      <c r="GMO6" s="13"/>
      <c r="GMP6" s="5"/>
      <c r="GMQ6" s="5"/>
      <c r="GMR6" s="5"/>
      <c r="GMS6" s="5"/>
      <c r="GMT6" s="5"/>
      <c r="GMU6" s="5"/>
      <c r="GMV6" s="5"/>
      <c r="GMW6" s="5"/>
      <c r="GMX6" s="5"/>
      <c r="GMY6" s="5"/>
      <c r="GMZ6" s="5"/>
      <c r="GNA6" s="10"/>
      <c r="GNB6" s="11"/>
      <c r="GNC6" s="12"/>
      <c r="GND6" s="13"/>
      <c r="GNE6" s="12"/>
      <c r="GNF6" s="11"/>
      <c r="GNG6" s="13"/>
      <c r="GNH6" s="12"/>
      <c r="GNI6" s="12"/>
      <c r="GNJ6" s="11"/>
      <c r="GNK6" s="13"/>
      <c r="GNL6" s="5"/>
      <c r="GNM6" s="5"/>
      <c r="GNN6" s="5"/>
      <c r="GNO6" s="5"/>
      <c r="GNP6" s="5"/>
      <c r="GNQ6" s="5"/>
      <c r="GNR6" s="5"/>
      <c r="GNS6" s="5"/>
      <c r="GNT6" s="5"/>
      <c r="GNU6" s="5"/>
      <c r="GNV6" s="5"/>
      <c r="GNW6" s="10"/>
      <c r="GNX6" s="11"/>
      <c r="GNY6" s="12"/>
      <c r="GNZ6" s="13"/>
      <c r="GOA6" s="12"/>
      <c r="GOB6" s="11"/>
      <c r="GOC6" s="13"/>
      <c r="GOD6" s="12"/>
      <c r="GOE6" s="12"/>
      <c r="GOF6" s="11"/>
      <c r="GOG6" s="13"/>
      <c r="GOH6" s="5"/>
      <c r="GOI6" s="5"/>
      <c r="GOJ6" s="5"/>
      <c r="GOK6" s="5"/>
      <c r="GOL6" s="5"/>
      <c r="GOM6" s="5"/>
      <c r="GON6" s="5"/>
      <c r="GOO6" s="5"/>
      <c r="GOP6" s="5"/>
      <c r="GOQ6" s="5"/>
      <c r="GOR6" s="5"/>
      <c r="GOS6" s="10"/>
      <c r="GOT6" s="11"/>
      <c r="GOU6" s="12"/>
      <c r="GOV6" s="13"/>
      <c r="GOW6" s="12"/>
      <c r="GOX6" s="11"/>
      <c r="GOY6" s="13"/>
      <c r="GOZ6" s="12"/>
      <c r="GPA6" s="12"/>
      <c r="GPB6" s="11"/>
      <c r="GPC6" s="13"/>
      <c r="GPD6" s="5"/>
      <c r="GPE6" s="5"/>
      <c r="GPF6" s="5"/>
      <c r="GPG6" s="5"/>
      <c r="GPH6" s="5"/>
      <c r="GPI6" s="5"/>
      <c r="GPJ6" s="5"/>
      <c r="GPK6" s="5"/>
      <c r="GPL6" s="5"/>
      <c r="GPM6" s="5"/>
      <c r="GPN6" s="5"/>
      <c r="GPO6" s="10"/>
      <c r="GPP6" s="11"/>
      <c r="GPQ6" s="12"/>
      <c r="GPR6" s="13"/>
      <c r="GPS6" s="12"/>
      <c r="GPT6" s="11"/>
      <c r="GPU6" s="13"/>
      <c r="GPV6" s="12"/>
      <c r="GPW6" s="12"/>
      <c r="GPX6" s="11"/>
      <c r="GPY6" s="13"/>
      <c r="GPZ6" s="5"/>
      <c r="GQA6" s="5"/>
      <c r="GQB6" s="5"/>
      <c r="GQC6" s="5"/>
      <c r="GQD6" s="5"/>
      <c r="GQE6" s="5"/>
      <c r="GQF6" s="5"/>
      <c r="GQG6" s="5"/>
      <c r="GQH6" s="5"/>
      <c r="GQI6" s="5"/>
      <c r="GQJ6" s="5"/>
      <c r="GQK6" s="10"/>
      <c r="GQL6" s="11"/>
      <c r="GQM6" s="12"/>
      <c r="GQN6" s="13"/>
      <c r="GQO6" s="12"/>
      <c r="GQP6" s="11"/>
      <c r="GQQ6" s="13"/>
      <c r="GQR6" s="12"/>
      <c r="GQS6" s="12"/>
      <c r="GQT6" s="11"/>
      <c r="GQU6" s="13"/>
      <c r="GQV6" s="5"/>
      <c r="GQW6" s="5"/>
      <c r="GQX6" s="5"/>
      <c r="GQY6" s="5"/>
      <c r="GQZ6" s="5"/>
      <c r="GRA6" s="5"/>
      <c r="GRB6" s="5"/>
      <c r="GRC6" s="5"/>
      <c r="GRD6" s="5"/>
      <c r="GRE6" s="5"/>
      <c r="GRF6" s="5"/>
      <c r="GRG6" s="10"/>
      <c r="GRH6" s="11"/>
      <c r="GRI6" s="12"/>
      <c r="GRJ6" s="13"/>
      <c r="GRK6" s="12"/>
      <c r="GRL6" s="11"/>
      <c r="GRM6" s="13"/>
      <c r="GRN6" s="12"/>
      <c r="GRO6" s="12"/>
      <c r="GRP6" s="11"/>
      <c r="GRQ6" s="13"/>
      <c r="GRR6" s="5"/>
      <c r="GRS6" s="5"/>
      <c r="GRT6" s="5"/>
      <c r="GRU6" s="5"/>
      <c r="GRV6" s="5"/>
      <c r="GRW6" s="5"/>
      <c r="GRX6" s="5"/>
      <c r="GRY6" s="5"/>
      <c r="GRZ6" s="5"/>
      <c r="GSA6" s="5"/>
      <c r="GSB6" s="5"/>
      <c r="GSC6" s="10"/>
      <c r="GSD6" s="11"/>
      <c r="GSE6" s="12"/>
      <c r="GSF6" s="13"/>
      <c r="GSG6" s="12"/>
      <c r="GSH6" s="11"/>
      <c r="GSI6" s="13"/>
      <c r="GSJ6" s="12"/>
      <c r="GSK6" s="12"/>
      <c r="GSL6" s="11"/>
      <c r="GSM6" s="13"/>
      <c r="GSN6" s="5"/>
      <c r="GSO6" s="5"/>
      <c r="GSP6" s="5"/>
      <c r="GSQ6" s="5"/>
      <c r="GSR6" s="5"/>
      <c r="GSS6" s="5"/>
      <c r="GST6" s="5"/>
      <c r="GSU6" s="5"/>
      <c r="GSV6" s="5"/>
      <c r="GSW6" s="5"/>
      <c r="GSX6" s="5"/>
      <c r="GSY6" s="10"/>
      <c r="GSZ6" s="11"/>
      <c r="GTA6" s="12"/>
      <c r="GTB6" s="13"/>
      <c r="GTC6" s="12"/>
      <c r="GTD6" s="11"/>
      <c r="GTE6" s="13"/>
      <c r="GTF6" s="12"/>
      <c r="GTG6" s="12"/>
      <c r="GTH6" s="11"/>
      <c r="GTI6" s="13"/>
      <c r="GTJ6" s="5"/>
      <c r="GTK6" s="5"/>
      <c r="GTL6" s="5"/>
      <c r="GTM6" s="5"/>
      <c r="GTN6" s="5"/>
      <c r="GTO6" s="5"/>
      <c r="GTP6" s="5"/>
      <c r="GTQ6" s="5"/>
      <c r="GTR6" s="5"/>
      <c r="GTS6" s="5"/>
      <c r="GTT6" s="5"/>
      <c r="GTU6" s="10"/>
      <c r="GTV6" s="11"/>
      <c r="GTW6" s="12"/>
      <c r="GTX6" s="13"/>
      <c r="GTY6" s="12"/>
      <c r="GTZ6" s="11"/>
      <c r="GUA6" s="13"/>
      <c r="GUB6" s="12"/>
      <c r="GUC6" s="12"/>
      <c r="GUD6" s="11"/>
      <c r="GUE6" s="13"/>
      <c r="GUF6" s="5"/>
      <c r="GUG6" s="5"/>
      <c r="GUH6" s="5"/>
      <c r="GUI6" s="5"/>
      <c r="GUJ6" s="5"/>
      <c r="GUK6" s="5"/>
      <c r="GUL6" s="5"/>
      <c r="GUM6" s="5"/>
      <c r="GUN6" s="5"/>
      <c r="GUO6" s="5"/>
      <c r="GUP6" s="5"/>
      <c r="GUQ6" s="10"/>
      <c r="GUR6" s="11"/>
      <c r="GUS6" s="12"/>
      <c r="GUT6" s="13"/>
      <c r="GUU6" s="12"/>
      <c r="GUV6" s="11"/>
      <c r="GUW6" s="13"/>
      <c r="GUX6" s="12"/>
      <c r="GUY6" s="12"/>
      <c r="GUZ6" s="11"/>
      <c r="GVA6" s="13"/>
      <c r="GVB6" s="5"/>
      <c r="GVC6" s="5"/>
      <c r="GVD6" s="5"/>
      <c r="GVE6" s="5"/>
      <c r="GVF6" s="5"/>
      <c r="GVG6" s="5"/>
      <c r="GVH6" s="5"/>
      <c r="GVI6" s="5"/>
      <c r="GVJ6" s="5"/>
      <c r="GVK6" s="5"/>
      <c r="GVL6" s="5"/>
      <c r="GVM6" s="10"/>
      <c r="GVN6" s="11"/>
      <c r="GVO6" s="12"/>
      <c r="GVP6" s="13"/>
      <c r="GVQ6" s="12"/>
      <c r="GVR6" s="11"/>
      <c r="GVS6" s="13"/>
      <c r="GVT6" s="12"/>
      <c r="GVU6" s="12"/>
      <c r="GVV6" s="11"/>
      <c r="GVW6" s="13"/>
      <c r="GVX6" s="5"/>
      <c r="GVY6" s="5"/>
      <c r="GVZ6" s="5"/>
      <c r="GWA6" s="5"/>
      <c r="GWB6" s="5"/>
      <c r="GWC6" s="5"/>
      <c r="GWD6" s="5"/>
      <c r="GWE6" s="5"/>
      <c r="GWF6" s="5"/>
      <c r="GWG6" s="5"/>
      <c r="GWH6" s="5"/>
      <c r="GWI6" s="10"/>
      <c r="GWJ6" s="11"/>
      <c r="GWK6" s="12"/>
      <c r="GWL6" s="13"/>
      <c r="GWM6" s="12"/>
      <c r="GWN6" s="11"/>
      <c r="GWO6" s="13"/>
      <c r="GWP6" s="12"/>
      <c r="GWQ6" s="12"/>
      <c r="GWR6" s="11"/>
      <c r="GWS6" s="13"/>
      <c r="GWT6" s="5"/>
      <c r="GWU6" s="5"/>
      <c r="GWV6" s="5"/>
      <c r="GWW6" s="5"/>
      <c r="GWX6" s="5"/>
      <c r="GWY6" s="5"/>
      <c r="GWZ6" s="5"/>
      <c r="GXA6" s="5"/>
      <c r="GXB6" s="5"/>
      <c r="GXC6" s="5"/>
      <c r="GXD6" s="5"/>
      <c r="GXE6" s="10"/>
      <c r="GXF6" s="11"/>
      <c r="GXG6" s="12"/>
      <c r="GXH6" s="13"/>
      <c r="GXI6" s="12"/>
      <c r="GXJ6" s="11"/>
      <c r="GXK6" s="13"/>
      <c r="GXL6" s="12"/>
      <c r="GXM6" s="12"/>
      <c r="GXN6" s="11"/>
      <c r="GXO6" s="13"/>
      <c r="GXP6" s="5"/>
      <c r="GXQ6" s="5"/>
      <c r="GXR6" s="5"/>
      <c r="GXS6" s="5"/>
      <c r="GXT6" s="5"/>
      <c r="GXU6" s="5"/>
      <c r="GXV6" s="5"/>
      <c r="GXW6" s="5"/>
      <c r="GXX6" s="5"/>
      <c r="GXY6" s="5"/>
      <c r="GXZ6" s="5"/>
      <c r="GYA6" s="10"/>
      <c r="GYB6" s="11"/>
      <c r="GYC6" s="12"/>
      <c r="GYD6" s="13"/>
      <c r="GYE6" s="12"/>
      <c r="GYF6" s="11"/>
      <c r="GYG6" s="13"/>
      <c r="GYH6" s="12"/>
      <c r="GYI6" s="12"/>
      <c r="GYJ6" s="11"/>
      <c r="GYK6" s="13"/>
      <c r="GYL6" s="5"/>
      <c r="GYM6" s="5"/>
      <c r="GYN6" s="5"/>
      <c r="GYO6" s="5"/>
      <c r="GYP6" s="5"/>
      <c r="GYQ6" s="5"/>
      <c r="GYR6" s="5"/>
      <c r="GYS6" s="5"/>
      <c r="GYT6" s="5"/>
      <c r="GYU6" s="5"/>
      <c r="GYV6" s="5"/>
      <c r="GYW6" s="10"/>
      <c r="GYX6" s="11"/>
      <c r="GYY6" s="12"/>
      <c r="GYZ6" s="13"/>
      <c r="GZA6" s="12"/>
      <c r="GZB6" s="11"/>
      <c r="GZC6" s="13"/>
      <c r="GZD6" s="12"/>
      <c r="GZE6" s="12"/>
      <c r="GZF6" s="11"/>
      <c r="GZG6" s="13"/>
      <c r="GZH6" s="5"/>
      <c r="GZI6" s="5"/>
      <c r="GZJ6" s="5"/>
      <c r="GZK6" s="5"/>
      <c r="GZL6" s="5"/>
      <c r="GZM6" s="5"/>
      <c r="GZN6" s="5"/>
      <c r="GZO6" s="5"/>
      <c r="GZP6" s="5"/>
      <c r="GZQ6" s="5"/>
      <c r="GZR6" s="5"/>
      <c r="GZS6" s="10"/>
      <c r="GZT6" s="11"/>
      <c r="GZU6" s="12"/>
      <c r="GZV6" s="13"/>
      <c r="GZW6" s="12"/>
      <c r="GZX6" s="11"/>
      <c r="GZY6" s="13"/>
      <c r="GZZ6" s="12"/>
      <c r="HAA6" s="12"/>
      <c r="HAB6" s="11"/>
      <c r="HAC6" s="13"/>
      <c r="HAD6" s="5"/>
      <c r="HAE6" s="5"/>
      <c r="HAF6" s="5"/>
      <c r="HAG6" s="5"/>
      <c r="HAH6" s="5"/>
      <c r="HAI6" s="5"/>
      <c r="HAJ6" s="5"/>
      <c r="HAK6" s="5"/>
      <c r="HAL6" s="5"/>
      <c r="HAM6" s="5"/>
      <c r="HAN6" s="5"/>
      <c r="HAO6" s="10"/>
      <c r="HAP6" s="11"/>
      <c r="HAQ6" s="12"/>
      <c r="HAR6" s="13"/>
      <c r="HAS6" s="12"/>
      <c r="HAT6" s="11"/>
      <c r="HAU6" s="13"/>
      <c r="HAV6" s="12"/>
      <c r="HAW6" s="12"/>
      <c r="HAX6" s="11"/>
      <c r="HAY6" s="13"/>
      <c r="HAZ6" s="5"/>
      <c r="HBA6" s="5"/>
      <c r="HBB6" s="5"/>
      <c r="HBC6" s="5"/>
      <c r="HBD6" s="5"/>
      <c r="HBE6" s="5"/>
      <c r="HBF6" s="5"/>
      <c r="HBG6" s="5"/>
      <c r="HBH6" s="5"/>
      <c r="HBI6" s="5"/>
      <c r="HBJ6" s="5"/>
      <c r="HBK6" s="10"/>
      <c r="HBL6" s="11"/>
      <c r="HBM6" s="12"/>
      <c r="HBN6" s="13"/>
      <c r="HBO6" s="12"/>
      <c r="HBP6" s="11"/>
      <c r="HBQ6" s="13"/>
      <c r="HBR6" s="12"/>
      <c r="HBS6" s="12"/>
      <c r="HBT6" s="11"/>
      <c r="HBU6" s="13"/>
      <c r="HBV6" s="5"/>
      <c r="HBW6" s="5"/>
      <c r="HBX6" s="5"/>
      <c r="HBY6" s="5"/>
      <c r="HBZ6" s="5"/>
      <c r="HCA6" s="5"/>
      <c r="HCB6" s="5"/>
      <c r="HCC6" s="5"/>
      <c r="HCD6" s="5"/>
      <c r="HCE6" s="5"/>
      <c r="HCF6" s="5"/>
      <c r="HCG6" s="10"/>
      <c r="HCH6" s="11"/>
      <c r="HCI6" s="12"/>
      <c r="HCJ6" s="13"/>
      <c r="HCK6" s="12"/>
      <c r="HCL6" s="11"/>
      <c r="HCM6" s="13"/>
      <c r="HCN6" s="12"/>
      <c r="HCO6" s="12"/>
      <c r="HCP6" s="11"/>
      <c r="HCQ6" s="13"/>
      <c r="HCR6" s="5"/>
      <c r="HCS6" s="5"/>
      <c r="HCT6" s="5"/>
      <c r="HCU6" s="5"/>
      <c r="HCV6" s="5"/>
      <c r="HCW6" s="5"/>
      <c r="HCX6" s="5"/>
      <c r="HCY6" s="5"/>
      <c r="HCZ6" s="5"/>
      <c r="HDA6" s="5"/>
      <c r="HDB6" s="5"/>
      <c r="HDC6" s="10"/>
      <c r="HDD6" s="11"/>
      <c r="HDE6" s="12"/>
      <c r="HDF6" s="13"/>
      <c r="HDG6" s="12"/>
      <c r="HDH6" s="11"/>
      <c r="HDI6" s="13"/>
      <c r="HDJ6" s="12"/>
      <c r="HDK6" s="12"/>
      <c r="HDL6" s="11"/>
      <c r="HDM6" s="13"/>
      <c r="HDN6" s="5"/>
      <c r="HDO6" s="5"/>
      <c r="HDP6" s="5"/>
      <c r="HDQ6" s="5"/>
      <c r="HDR6" s="5"/>
      <c r="HDS6" s="5"/>
      <c r="HDT6" s="5"/>
      <c r="HDU6" s="5"/>
      <c r="HDV6" s="5"/>
      <c r="HDW6" s="5"/>
      <c r="HDX6" s="5"/>
      <c r="HDY6" s="10"/>
      <c r="HDZ6" s="11"/>
      <c r="HEA6" s="12"/>
      <c r="HEB6" s="13"/>
      <c r="HEC6" s="12"/>
      <c r="HED6" s="11"/>
      <c r="HEE6" s="13"/>
      <c r="HEF6" s="12"/>
      <c r="HEG6" s="12"/>
      <c r="HEH6" s="11"/>
      <c r="HEI6" s="13"/>
      <c r="HEJ6" s="5"/>
      <c r="HEK6" s="5"/>
      <c r="HEL6" s="5"/>
      <c r="HEM6" s="5"/>
      <c r="HEN6" s="5"/>
      <c r="HEO6" s="5"/>
      <c r="HEP6" s="5"/>
      <c r="HEQ6" s="5"/>
      <c r="HER6" s="5"/>
      <c r="HES6" s="5"/>
      <c r="HET6" s="5"/>
      <c r="HEU6" s="10"/>
      <c r="HEV6" s="11"/>
      <c r="HEW6" s="12"/>
      <c r="HEX6" s="13"/>
      <c r="HEY6" s="12"/>
      <c r="HEZ6" s="11"/>
      <c r="HFA6" s="13"/>
      <c r="HFB6" s="12"/>
      <c r="HFC6" s="12"/>
      <c r="HFD6" s="11"/>
      <c r="HFE6" s="13"/>
      <c r="HFF6" s="5"/>
      <c r="HFG6" s="5"/>
      <c r="HFH6" s="5"/>
      <c r="HFI6" s="5"/>
      <c r="HFJ6" s="5"/>
      <c r="HFK6" s="5"/>
      <c r="HFL6" s="5"/>
      <c r="HFM6" s="5"/>
      <c r="HFN6" s="5"/>
      <c r="HFO6" s="5"/>
      <c r="HFP6" s="5"/>
      <c r="HFQ6" s="10"/>
      <c r="HFR6" s="11"/>
      <c r="HFS6" s="12"/>
      <c r="HFT6" s="13"/>
      <c r="HFU6" s="12"/>
      <c r="HFV6" s="11"/>
      <c r="HFW6" s="13"/>
      <c r="HFX6" s="12"/>
      <c r="HFY6" s="12"/>
      <c r="HFZ6" s="11"/>
      <c r="HGA6" s="13"/>
      <c r="HGB6" s="5"/>
      <c r="HGC6" s="5"/>
      <c r="HGD6" s="5"/>
      <c r="HGE6" s="5"/>
      <c r="HGF6" s="5"/>
      <c r="HGG6" s="5"/>
      <c r="HGH6" s="5"/>
      <c r="HGI6" s="5"/>
      <c r="HGJ6" s="5"/>
      <c r="HGK6" s="5"/>
      <c r="HGL6" s="5"/>
      <c r="HGM6" s="10"/>
      <c r="HGN6" s="11"/>
      <c r="HGO6" s="12"/>
      <c r="HGP6" s="13"/>
      <c r="HGQ6" s="12"/>
      <c r="HGR6" s="11"/>
      <c r="HGS6" s="13"/>
      <c r="HGT6" s="12"/>
      <c r="HGU6" s="12"/>
      <c r="HGV6" s="11"/>
      <c r="HGW6" s="13"/>
      <c r="HGX6" s="5"/>
      <c r="HGY6" s="5"/>
      <c r="HGZ6" s="5"/>
      <c r="HHA6" s="5"/>
      <c r="HHB6" s="5"/>
      <c r="HHC6" s="5"/>
      <c r="HHD6" s="5"/>
      <c r="HHE6" s="5"/>
      <c r="HHF6" s="5"/>
      <c r="HHG6" s="5"/>
      <c r="HHH6" s="5"/>
      <c r="HHI6" s="10"/>
      <c r="HHJ6" s="11"/>
      <c r="HHK6" s="12"/>
      <c r="HHL6" s="13"/>
      <c r="HHM6" s="12"/>
      <c r="HHN6" s="11"/>
      <c r="HHO6" s="13"/>
      <c r="HHP6" s="12"/>
      <c r="HHQ6" s="12"/>
      <c r="HHR6" s="11"/>
      <c r="HHS6" s="13"/>
      <c r="HHT6" s="5"/>
      <c r="HHU6" s="5"/>
      <c r="HHV6" s="5"/>
      <c r="HHW6" s="5"/>
      <c r="HHX6" s="5"/>
      <c r="HHY6" s="5"/>
      <c r="HHZ6" s="5"/>
      <c r="HIA6" s="5"/>
      <c r="HIB6" s="5"/>
      <c r="HIC6" s="5"/>
      <c r="HID6" s="5"/>
      <c r="HIE6" s="10"/>
      <c r="HIF6" s="11"/>
      <c r="HIG6" s="12"/>
      <c r="HIH6" s="13"/>
      <c r="HII6" s="12"/>
      <c r="HIJ6" s="11"/>
      <c r="HIK6" s="13"/>
      <c r="HIL6" s="12"/>
      <c r="HIM6" s="12"/>
      <c r="HIN6" s="11"/>
      <c r="HIO6" s="13"/>
      <c r="HIP6" s="5"/>
      <c r="HIQ6" s="5"/>
      <c r="HIR6" s="5"/>
      <c r="HIS6" s="5"/>
      <c r="HIT6" s="5"/>
      <c r="HIU6" s="5"/>
      <c r="HIV6" s="5"/>
      <c r="HIW6" s="5"/>
      <c r="HIX6" s="5"/>
      <c r="HIY6" s="5"/>
      <c r="HIZ6" s="5"/>
      <c r="HJA6" s="10"/>
      <c r="HJB6" s="11"/>
      <c r="HJC6" s="12"/>
      <c r="HJD6" s="13"/>
      <c r="HJE6" s="12"/>
      <c r="HJF6" s="11"/>
      <c r="HJG6" s="13"/>
      <c r="HJH6" s="12"/>
      <c r="HJI6" s="12"/>
      <c r="HJJ6" s="11"/>
      <c r="HJK6" s="13"/>
      <c r="HJL6" s="5"/>
      <c r="HJM6" s="5"/>
      <c r="HJN6" s="5"/>
      <c r="HJO6" s="5"/>
      <c r="HJP6" s="5"/>
      <c r="HJQ6" s="5"/>
      <c r="HJR6" s="5"/>
      <c r="HJS6" s="5"/>
      <c r="HJT6" s="5"/>
      <c r="HJU6" s="5"/>
      <c r="HJV6" s="5"/>
      <c r="HJW6" s="10"/>
      <c r="HJX6" s="11"/>
      <c r="HJY6" s="12"/>
      <c r="HJZ6" s="13"/>
      <c r="HKA6" s="12"/>
      <c r="HKB6" s="11"/>
      <c r="HKC6" s="13"/>
      <c r="HKD6" s="12"/>
      <c r="HKE6" s="12"/>
      <c r="HKF6" s="11"/>
      <c r="HKG6" s="13"/>
      <c r="HKH6" s="5"/>
      <c r="HKI6" s="5"/>
      <c r="HKJ6" s="5"/>
      <c r="HKK6" s="5"/>
      <c r="HKL6" s="5"/>
      <c r="HKM6" s="5"/>
      <c r="HKN6" s="5"/>
      <c r="HKO6" s="5"/>
      <c r="HKP6" s="5"/>
      <c r="HKQ6" s="5"/>
      <c r="HKR6" s="5"/>
      <c r="HKS6" s="10"/>
      <c r="HKT6" s="11"/>
      <c r="HKU6" s="12"/>
      <c r="HKV6" s="13"/>
      <c r="HKW6" s="12"/>
      <c r="HKX6" s="11"/>
      <c r="HKY6" s="13"/>
      <c r="HKZ6" s="12"/>
      <c r="HLA6" s="12"/>
      <c r="HLB6" s="11"/>
      <c r="HLC6" s="13"/>
      <c r="HLD6" s="5"/>
      <c r="HLE6" s="5"/>
      <c r="HLF6" s="5"/>
      <c r="HLG6" s="5"/>
      <c r="HLH6" s="5"/>
      <c r="HLI6" s="5"/>
      <c r="HLJ6" s="5"/>
      <c r="HLK6" s="5"/>
      <c r="HLL6" s="5"/>
      <c r="HLM6" s="5"/>
      <c r="HLN6" s="5"/>
      <c r="HLO6" s="10"/>
      <c r="HLP6" s="11"/>
      <c r="HLQ6" s="12"/>
      <c r="HLR6" s="13"/>
      <c r="HLS6" s="12"/>
      <c r="HLT6" s="11"/>
      <c r="HLU6" s="13"/>
      <c r="HLV6" s="12"/>
      <c r="HLW6" s="12"/>
      <c r="HLX6" s="11"/>
      <c r="HLY6" s="13"/>
      <c r="HLZ6" s="5"/>
      <c r="HMA6" s="5"/>
      <c r="HMB6" s="5"/>
      <c r="HMC6" s="5"/>
      <c r="HMD6" s="5"/>
      <c r="HME6" s="5"/>
      <c r="HMF6" s="5"/>
      <c r="HMG6" s="5"/>
      <c r="HMH6" s="5"/>
      <c r="HMI6" s="5"/>
      <c r="HMJ6" s="5"/>
      <c r="HMK6" s="10"/>
      <c r="HML6" s="11"/>
      <c r="HMM6" s="12"/>
      <c r="HMN6" s="13"/>
      <c r="HMO6" s="12"/>
      <c r="HMP6" s="11"/>
      <c r="HMQ6" s="13"/>
      <c r="HMR6" s="12"/>
      <c r="HMS6" s="12"/>
      <c r="HMT6" s="11"/>
      <c r="HMU6" s="13"/>
      <c r="HMV6" s="5"/>
      <c r="HMW6" s="5"/>
      <c r="HMX6" s="5"/>
      <c r="HMY6" s="5"/>
      <c r="HMZ6" s="5"/>
      <c r="HNA6" s="5"/>
      <c r="HNB6" s="5"/>
      <c r="HNC6" s="5"/>
      <c r="HND6" s="5"/>
      <c r="HNE6" s="5"/>
      <c r="HNF6" s="5"/>
      <c r="HNG6" s="10"/>
      <c r="HNH6" s="11"/>
      <c r="HNI6" s="12"/>
      <c r="HNJ6" s="13"/>
      <c r="HNK6" s="12"/>
      <c r="HNL6" s="11"/>
      <c r="HNM6" s="13"/>
      <c r="HNN6" s="12"/>
      <c r="HNO6" s="12"/>
      <c r="HNP6" s="11"/>
      <c r="HNQ6" s="13"/>
      <c r="HNR6" s="5"/>
      <c r="HNS6" s="5"/>
      <c r="HNT6" s="5"/>
      <c r="HNU6" s="5"/>
      <c r="HNV6" s="5"/>
      <c r="HNW6" s="5"/>
      <c r="HNX6" s="5"/>
      <c r="HNY6" s="5"/>
      <c r="HNZ6" s="5"/>
      <c r="HOA6" s="5"/>
      <c r="HOB6" s="5"/>
      <c r="HOC6" s="10"/>
      <c r="HOD6" s="11"/>
      <c r="HOE6" s="12"/>
      <c r="HOF6" s="13"/>
      <c r="HOG6" s="12"/>
      <c r="HOH6" s="11"/>
      <c r="HOI6" s="13"/>
      <c r="HOJ6" s="12"/>
      <c r="HOK6" s="12"/>
      <c r="HOL6" s="11"/>
      <c r="HOM6" s="13"/>
      <c r="HON6" s="5"/>
      <c r="HOO6" s="5"/>
      <c r="HOP6" s="5"/>
      <c r="HOQ6" s="5"/>
      <c r="HOR6" s="5"/>
      <c r="HOS6" s="5"/>
      <c r="HOT6" s="5"/>
      <c r="HOU6" s="5"/>
      <c r="HOV6" s="5"/>
      <c r="HOW6" s="5"/>
      <c r="HOX6" s="5"/>
      <c r="HOY6" s="10"/>
      <c r="HOZ6" s="11"/>
      <c r="HPA6" s="12"/>
      <c r="HPB6" s="13"/>
      <c r="HPC6" s="12"/>
      <c r="HPD6" s="11"/>
      <c r="HPE6" s="13"/>
      <c r="HPF6" s="12"/>
      <c r="HPG6" s="12"/>
      <c r="HPH6" s="11"/>
      <c r="HPI6" s="13"/>
      <c r="HPJ6" s="5"/>
      <c r="HPK6" s="5"/>
      <c r="HPL6" s="5"/>
      <c r="HPM6" s="5"/>
      <c r="HPN6" s="5"/>
      <c r="HPO6" s="5"/>
      <c r="HPP6" s="5"/>
      <c r="HPQ6" s="5"/>
      <c r="HPR6" s="5"/>
      <c r="HPS6" s="5"/>
      <c r="HPT6" s="5"/>
      <c r="HPU6" s="10"/>
      <c r="HPV6" s="11"/>
      <c r="HPW6" s="12"/>
      <c r="HPX6" s="13"/>
      <c r="HPY6" s="12"/>
      <c r="HPZ6" s="11"/>
      <c r="HQA6" s="13"/>
      <c r="HQB6" s="12"/>
      <c r="HQC6" s="12"/>
      <c r="HQD6" s="11"/>
      <c r="HQE6" s="13"/>
      <c r="HQF6" s="5"/>
      <c r="HQG6" s="5"/>
      <c r="HQH6" s="5"/>
      <c r="HQI6" s="5"/>
      <c r="HQJ6" s="5"/>
      <c r="HQK6" s="5"/>
      <c r="HQL6" s="5"/>
      <c r="HQM6" s="5"/>
      <c r="HQN6" s="5"/>
      <c r="HQO6" s="5"/>
      <c r="HQP6" s="5"/>
      <c r="HQQ6" s="10"/>
      <c r="HQR6" s="11"/>
      <c r="HQS6" s="12"/>
      <c r="HQT6" s="13"/>
      <c r="HQU6" s="12"/>
      <c r="HQV6" s="11"/>
      <c r="HQW6" s="13"/>
      <c r="HQX6" s="12"/>
      <c r="HQY6" s="12"/>
      <c r="HQZ6" s="11"/>
      <c r="HRA6" s="13"/>
      <c r="HRB6" s="5"/>
      <c r="HRC6" s="5"/>
      <c r="HRD6" s="5"/>
      <c r="HRE6" s="5"/>
      <c r="HRF6" s="5"/>
      <c r="HRG6" s="5"/>
      <c r="HRH6" s="5"/>
      <c r="HRI6" s="5"/>
      <c r="HRJ6" s="5"/>
      <c r="HRK6" s="5"/>
      <c r="HRL6" s="5"/>
      <c r="HRM6" s="10"/>
      <c r="HRN6" s="11"/>
      <c r="HRO6" s="12"/>
      <c r="HRP6" s="13"/>
      <c r="HRQ6" s="12"/>
      <c r="HRR6" s="11"/>
      <c r="HRS6" s="13"/>
      <c r="HRT6" s="12"/>
      <c r="HRU6" s="12"/>
      <c r="HRV6" s="11"/>
      <c r="HRW6" s="13"/>
      <c r="HRX6" s="5"/>
      <c r="HRY6" s="5"/>
      <c r="HRZ6" s="5"/>
      <c r="HSA6" s="5"/>
      <c r="HSB6" s="5"/>
      <c r="HSC6" s="5"/>
      <c r="HSD6" s="5"/>
      <c r="HSE6" s="5"/>
      <c r="HSF6" s="5"/>
      <c r="HSG6" s="5"/>
      <c r="HSH6" s="5"/>
      <c r="HSI6" s="10"/>
      <c r="HSJ6" s="11"/>
      <c r="HSK6" s="12"/>
      <c r="HSL6" s="13"/>
      <c r="HSM6" s="12"/>
      <c r="HSN6" s="11"/>
      <c r="HSO6" s="13"/>
      <c r="HSP6" s="12"/>
      <c r="HSQ6" s="12"/>
      <c r="HSR6" s="11"/>
      <c r="HSS6" s="13"/>
      <c r="HST6" s="5"/>
      <c r="HSU6" s="5"/>
      <c r="HSV6" s="5"/>
      <c r="HSW6" s="5"/>
      <c r="HSX6" s="5"/>
      <c r="HSY6" s="5"/>
      <c r="HSZ6" s="5"/>
      <c r="HTA6" s="5"/>
      <c r="HTB6" s="5"/>
      <c r="HTC6" s="5"/>
      <c r="HTD6" s="5"/>
      <c r="HTE6" s="10"/>
      <c r="HTF6" s="11"/>
      <c r="HTG6" s="12"/>
      <c r="HTH6" s="13"/>
      <c r="HTI6" s="12"/>
      <c r="HTJ6" s="11"/>
      <c r="HTK6" s="13"/>
      <c r="HTL6" s="12"/>
      <c r="HTM6" s="12"/>
      <c r="HTN6" s="11"/>
      <c r="HTO6" s="13"/>
      <c r="HTP6" s="5"/>
      <c r="HTQ6" s="5"/>
      <c r="HTR6" s="5"/>
      <c r="HTS6" s="5"/>
      <c r="HTT6" s="5"/>
      <c r="HTU6" s="5"/>
      <c r="HTV6" s="5"/>
      <c r="HTW6" s="5"/>
      <c r="HTX6" s="5"/>
      <c r="HTY6" s="5"/>
      <c r="HTZ6" s="5"/>
      <c r="HUA6" s="10"/>
      <c r="HUB6" s="11"/>
      <c r="HUC6" s="12"/>
      <c r="HUD6" s="13"/>
      <c r="HUE6" s="12"/>
      <c r="HUF6" s="11"/>
      <c r="HUG6" s="13"/>
      <c r="HUH6" s="12"/>
      <c r="HUI6" s="12"/>
      <c r="HUJ6" s="11"/>
      <c r="HUK6" s="13"/>
      <c r="HUL6" s="5"/>
      <c r="HUM6" s="5"/>
      <c r="HUN6" s="5"/>
      <c r="HUO6" s="5"/>
      <c r="HUP6" s="5"/>
      <c r="HUQ6" s="5"/>
      <c r="HUR6" s="5"/>
      <c r="HUS6" s="5"/>
      <c r="HUT6" s="5"/>
      <c r="HUU6" s="5"/>
      <c r="HUV6" s="5"/>
      <c r="HUW6" s="10"/>
      <c r="HUX6" s="11"/>
      <c r="HUY6" s="12"/>
      <c r="HUZ6" s="13"/>
      <c r="HVA6" s="12"/>
      <c r="HVB6" s="11"/>
      <c r="HVC6" s="13"/>
      <c r="HVD6" s="12"/>
      <c r="HVE6" s="12"/>
      <c r="HVF6" s="11"/>
      <c r="HVG6" s="13"/>
      <c r="HVH6" s="5"/>
      <c r="HVI6" s="5"/>
      <c r="HVJ6" s="5"/>
      <c r="HVK6" s="5"/>
      <c r="HVL6" s="5"/>
      <c r="HVM6" s="5"/>
      <c r="HVN6" s="5"/>
      <c r="HVO6" s="5"/>
      <c r="HVP6" s="5"/>
      <c r="HVQ6" s="5"/>
      <c r="HVR6" s="5"/>
      <c r="HVS6" s="10"/>
      <c r="HVT6" s="11"/>
      <c r="HVU6" s="12"/>
      <c r="HVV6" s="13"/>
      <c r="HVW6" s="12"/>
      <c r="HVX6" s="11"/>
      <c r="HVY6" s="13"/>
      <c r="HVZ6" s="12"/>
      <c r="HWA6" s="12"/>
      <c r="HWB6" s="11"/>
      <c r="HWC6" s="13"/>
      <c r="HWD6" s="5"/>
      <c r="HWE6" s="5"/>
      <c r="HWF6" s="5"/>
      <c r="HWG6" s="5"/>
      <c r="HWH6" s="5"/>
      <c r="HWI6" s="5"/>
      <c r="HWJ6" s="5"/>
      <c r="HWK6" s="5"/>
      <c r="HWL6" s="5"/>
      <c r="HWM6" s="5"/>
      <c r="HWN6" s="5"/>
      <c r="HWO6" s="10"/>
      <c r="HWP6" s="11"/>
      <c r="HWQ6" s="12"/>
      <c r="HWR6" s="13"/>
      <c r="HWS6" s="12"/>
      <c r="HWT6" s="11"/>
      <c r="HWU6" s="13"/>
      <c r="HWV6" s="12"/>
      <c r="HWW6" s="12"/>
      <c r="HWX6" s="11"/>
      <c r="HWY6" s="13"/>
      <c r="HWZ6" s="5"/>
      <c r="HXA6" s="5"/>
      <c r="HXB6" s="5"/>
      <c r="HXC6" s="5"/>
      <c r="HXD6" s="5"/>
      <c r="HXE6" s="5"/>
      <c r="HXF6" s="5"/>
      <c r="HXG6" s="5"/>
      <c r="HXH6" s="5"/>
      <c r="HXI6" s="5"/>
      <c r="HXJ6" s="5"/>
      <c r="HXK6" s="10"/>
      <c r="HXL6" s="11"/>
      <c r="HXM6" s="12"/>
      <c r="HXN6" s="13"/>
      <c r="HXO6" s="12"/>
      <c r="HXP6" s="11"/>
      <c r="HXQ6" s="13"/>
      <c r="HXR6" s="12"/>
      <c r="HXS6" s="12"/>
      <c r="HXT6" s="11"/>
      <c r="HXU6" s="13"/>
      <c r="HXV6" s="5"/>
      <c r="HXW6" s="5"/>
      <c r="HXX6" s="5"/>
      <c r="HXY6" s="5"/>
      <c r="HXZ6" s="5"/>
      <c r="HYA6" s="5"/>
      <c r="HYB6" s="5"/>
      <c r="HYC6" s="5"/>
      <c r="HYD6" s="5"/>
      <c r="HYE6" s="5"/>
      <c r="HYF6" s="5"/>
      <c r="HYG6" s="10"/>
      <c r="HYH6" s="11"/>
      <c r="HYI6" s="12"/>
      <c r="HYJ6" s="13"/>
      <c r="HYK6" s="12"/>
      <c r="HYL6" s="11"/>
      <c r="HYM6" s="13"/>
      <c r="HYN6" s="12"/>
      <c r="HYO6" s="12"/>
      <c r="HYP6" s="11"/>
      <c r="HYQ6" s="13"/>
      <c r="HYR6" s="5"/>
      <c r="HYS6" s="5"/>
      <c r="HYT6" s="5"/>
      <c r="HYU6" s="5"/>
      <c r="HYV6" s="5"/>
      <c r="HYW6" s="5"/>
      <c r="HYX6" s="5"/>
      <c r="HYY6" s="5"/>
      <c r="HYZ6" s="5"/>
      <c r="HZA6" s="5"/>
      <c r="HZB6" s="5"/>
      <c r="HZC6" s="10"/>
      <c r="HZD6" s="11"/>
      <c r="HZE6" s="12"/>
      <c r="HZF6" s="13"/>
      <c r="HZG6" s="12"/>
      <c r="HZH6" s="11"/>
      <c r="HZI6" s="13"/>
      <c r="HZJ6" s="12"/>
      <c r="HZK6" s="12"/>
      <c r="HZL6" s="11"/>
      <c r="HZM6" s="13"/>
      <c r="HZN6" s="5"/>
      <c r="HZO6" s="5"/>
      <c r="HZP6" s="5"/>
      <c r="HZQ6" s="5"/>
      <c r="HZR6" s="5"/>
      <c r="HZS6" s="5"/>
      <c r="HZT6" s="5"/>
      <c r="HZU6" s="5"/>
      <c r="HZV6" s="5"/>
      <c r="HZW6" s="5"/>
      <c r="HZX6" s="5"/>
      <c r="HZY6" s="10"/>
      <c r="HZZ6" s="11"/>
      <c r="IAA6" s="12"/>
      <c r="IAB6" s="13"/>
      <c r="IAC6" s="12"/>
      <c r="IAD6" s="11"/>
      <c r="IAE6" s="13"/>
      <c r="IAF6" s="12"/>
      <c r="IAG6" s="12"/>
      <c r="IAH6" s="11"/>
      <c r="IAI6" s="13"/>
      <c r="IAJ6" s="5"/>
      <c r="IAK6" s="5"/>
      <c r="IAL6" s="5"/>
      <c r="IAM6" s="5"/>
      <c r="IAN6" s="5"/>
      <c r="IAO6" s="5"/>
      <c r="IAP6" s="5"/>
      <c r="IAQ6" s="5"/>
      <c r="IAR6" s="5"/>
      <c r="IAS6" s="5"/>
      <c r="IAT6" s="5"/>
      <c r="IAU6" s="10"/>
      <c r="IAV6" s="11"/>
      <c r="IAW6" s="12"/>
      <c r="IAX6" s="13"/>
      <c r="IAY6" s="12"/>
      <c r="IAZ6" s="11"/>
      <c r="IBA6" s="13"/>
      <c r="IBB6" s="12"/>
      <c r="IBC6" s="12"/>
      <c r="IBD6" s="11"/>
      <c r="IBE6" s="13"/>
      <c r="IBF6" s="5"/>
      <c r="IBG6" s="5"/>
      <c r="IBH6" s="5"/>
      <c r="IBI6" s="5"/>
      <c r="IBJ6" s="5"/>
      <c r="IBK6" s="5"/>
      <c r="IBL6" s="5"/>
      <c r="IBM6" s="5"/>
      <c r="IBN6" s="5"/>
      <c r="IBO6" s="5"/>
      <c r="IBP6" s="5"/>
      <c r="IBQ6" s="10"/>
      <c r="IBR6" s="11"/>
      <c r="IBS6" s="12"/>
      <c r="IBT6" s="13"/>
      <c r="IBU6" s="12"/>
      <c r="IBV6" s="11"/>
      <c r="IBW6" s="13"/>
      <c r="IBX6" s="12"/>
      <c r="IBY6" s="12"/>
      <c r="IBZ6" s="11"/>
      <c r="ICA6" s="13"/>
      <c r="ICB6" s="5"/>
      <c r="ICC6" s="5"/>
      <c r="ICD6" s="5"/>
      <c r="ICE6" s="5"/>
      <c r="ICF6" s="5"/>
      <c r="ICG6" s="5"/>
      <c r="ICH6" s="5"/>
      <c r="ICI6" s="5"/>
      <c r="ICJ6" s="5"/>
      <c r="ICK6" s="5"/>
      <c r="ICL6" s="5"/>
      <c r="ICM6" s="10"/>
      <c r="ICN6" s="11"/>
      <c r="ICO6" s="12"/>
      <c r="ICP6" s="13"/>
      <c r="ICQ6" s="12"/>
      <c r="ICR6" s="11"/>
      <c r="ICS6" s="13"/>
      <c r="ICT6" s="12"/>
      <c r="ICU6" s="12"/>
      <c r="ICV6" s="11"/>
      <c r="ICW6" s="13"/>
      <c r="ICX6" s="5"/>
      <c r="ICY6" s="5"/>
      <c r="ICZ6" s="5"/>
      <c r="IDA6" s="5"/>
      <c r="IDB6" s="5"/>
      <c r="IDC6" s="5"/>
      <c r="IDD6" s="5"/>
      <c r="IDE6" s="5"/>
      <c r="IDF6" s="5"/>
      <c r="IDG6" s="5"/>
      <c r="IDH6" s="5"/>
      <c r="IDI6" s="10"/>
      <c r="IDJ6" s="11"/>
      <c r="IDK6" s="12"/>
      <c r="IDL6" s="13"/>
      <c r="IDM6" s="12"/>
      <c r="IDN6" s="11"/>
      <c r="IDO6" s="13"/>
      <c r="IDP6" s="12"/>
      <c r="IDQ6" s="12"/>
      <c r="IDR6" s="11"/>
      <c r="IDS6" s="13"/>
      <c r="IDT6" s="5"/>
      <c r="IDU6" s="5"/>
      <c r="IDV6" s="5"/>
      <c r="IDW6" s="5"/>
      <c r="IDX6" s="5"/>
      <c r="IDY6" s="5"/>
      <c r="IDZ6" s="5"/>
      <c r="IEA6" s="5"/>
      <c r="IEB6" s="5"/>
      <c r="IEC6" s="5"/>
      <c r="IED6" s="5"/>
      <c r="IEE6" s="10"/>
      <c r="IEF6" s="11"/>
      <c r="IEG6" s="12"/>
      <c r="IEH6" s="13"/>
      <c r="IEI6" s="12"/>
      <c r="IEJ6" s="11"/>
      <c r="IEK6" s="13"/>
      <c r="IEL6" s="12"/>
      <c r="IEM6" s="12"/>
      <c r="IEN6" s="11"/>
      <c r="IEO6" s="13"/>
      <c r="IEP6" s="5"/>
      <c r="IEQ6" s="5"/>
      <c r="IER6" s="5"/>
      <c r="IES6" s="5"/>
      <c r="IET6" s="5"/>
      <c r="IEU6" s="5"/>
      <c r="IEV6" s="5"/>
      <c r="IEW6" s="5"/>
      <c r="IEX6" s="5"/>
      <c r="IEY6" s="5"/>
      <c r="IEZ6" s="5"/>
      <c r="IFA6" s="10"/>
      <c r="IFB6" s="11"/>
      <c r="IFC6" s="12"/>
      <c r="IFD6" s="13"/>
      <c r="IFE6" s="12"/>
      <c r="IFF6" s="11"/>
      <c r="IFG6" s="13"/>
      <c r="IFH6" s="12"/>
      <c r="IFI6" s="12"/>
      <c r="IFJ6" s="11"/>
      <c r="IFK6" s="13"/>
      <c r="IFL6" s="5"/>
      <c r="IFM6" s="5"/>
      <c r="IFN6" s="5"/>
      <c r="IFO6" s="5"/>
      <c r="IFP6" s="5"/>
      <c r="IFQ6" s="5"/>
      <c r="IFR6" s="5"/>
      <c r="IFS6" s="5"/>
      <c r="IFT6" s="5"/>
      <c r="IFU6" s="5"/>
      <c r="IFV6" s="5"/>
      <c r="IFW6" s="10"/>
      <c r="IFX6" s="11"/>
      <c r="IFY6" s="12"/>
      <c r="IFZ6" s="13"/>
      <c r="IGA6" s="12"/>
      <c r="IGB6" s="11"/>
      <c r="IGC6" s="13"/>
      <c r="IGD6" s="12"/>
      <c r="IGE6" s="12"/>
      <c r="IGF6" s="11"/>
      <c r="IGG6" s="13"/>
      <c r="IGH6" s="5"/>
      <c r="IGI6" s="5"/>
      <c r="IGJ6" s="5"/>
      <c r="IGK6" s="5"/>
      <c r="IGL6" s="5"/>
      <c r="IGM6" s="5"/>
      <c r="IGN6" s="5"/>
      <c r="IGO6" s="5"/>
      <c r="IGP6" s="5"/>
      <c r="IGQ6" s="5"/>
      <c r="IGR6" s="5"/>
      <c r="IGS6" s="10"/>
      <c r="IGT6" s="11"/>
      <c r="IGU6" s="12"/>
      <c r="IGV6" s="13"/>
      <c r="IGW6" s="12"/>
      <c r="IGX6" s="11"/>
      <c r="IGY6" s="13"/>
      <c r="IGZ6" s="12"/>
      <c r="IHA6" s="12"/>
      <c r="IHB6" s="11"/>
      <c r="IHC6" s="13"/>
      <c r="IHD6" s="5"/>
      <c r="IHE6" s="5"/>
      <c r="IHF6" s="5"/>
      <c r="IHG6" s="5"/>
      <c r="IHH6" s="5"/>
      <c r="IHI6" s="5"/>
      <c r="IHJ6" s="5"/>
      <c r="IHK6" s="5"/>
      <c r="IHL6" s="5"/>
      <c r="IHM6" s="5"/>
      <c r="IHN6" s="5"/>
      <c r="IHO6" s="10"/>
      <c r="IHP6" s="11"/>
      <c r="IHQ6" s="12"/>
      <c r="IHR6" s="13"/>
      <c r="IHS6" s="12"/>
      <c r="IHT6" s="11"/>
      <c r="IHU6" s="13"/>
      <c r="IHV6" s="12"/>
      <c r="IHW6" s="12"/>
      <c r="IHX6" s="11"/>
      <c r="IHY6" s="13"/>
      <c r="IHZ6" s="5"/>
      <c r="IIA6" s="5"/>
      <c r="IIB6" s="5"/>
      <c r="IIC6" s="5"/>
      <c r="IID6" s="5"/>
      <c r="IIE6" s="5"/>
      <c r="IIF6" s="5"/>
      <c r="IIG6" s="5"/>
      <c r="IIH6" s="5"/>
      <c r="III6" s="5"/>
      <c r="IIJ6" s="5"/>
      <c r="IIK6" s="10"/>
      <c r="IIL6" s="11"/>
      <c r="IIM6" s="12"/>
      <c r="IIN6" s="13"/>
      <c r="IIO6" s="12"/>
      <c r="IIP6" s="11"/>
      <c r="IIQ6" s="13"/>
      <c r="IIR6" s="12"/>
      <c r="IIS6" s="12"/>
      <c r="IIT6" s="11"/>
      <c r="IIU6" s="13"/>
      <c r="IIV6" s="5"/>
      <c r="IIW6" s="5"/>
      <c r="IIX6" s="5"/>
      <c r="IIY6" s="5"/>
      <c r="IIZ6" s="5"/>
      <c r="IJA6" s="5"/>
      <c r="IJB6" s="5"/>
      <c r="IJC6" s="5"/>
      <c r="IJD6" s="5"/>
      <c r="IJE6" s="5"/>
      <c r="IJF6" s="5"/>
      <c r="IJG6" s="10"/>
      <c r="IJH6" s="11"/>
      <c r="IJI6" s="12"/>
      <c r="IJJ6" s="13"/>
      <c r="IJK6" s="12"/>
      <c r="IJL6" s="11"/>
      <c r="IJM6" s="13"/>
      <c r="IJN6" s="12"/>
      <c r="IJO6" s="12"/>
      <c r="IJP6" s="11"/>
      <c r="IJQ6" s="13"/>
      <c r="IJR6" s="5"/>
      <c r="IJS6" s="5"/>
      <c r="IJT6" s="5"/>
      <c r="IJU6" s="5"/>
      <c r="IJV6" s="5"/>
      <c r="IJW6" s="5"/>
      <c r="IJX6" s="5"/>
      <c r="IJY6" s="5"/>
      <c r="IJZ6" s="5"/>
      <c r="IKA6" s="5"/>
      <c r="IKB6" s="5"/>
      <c r="IKC6" s="10"/>
      <c r="IKD6" s="11"/>
      <c r="IKE6" s="12"/>
      <c r="IKF6" s="13"/>
      <c r="IKG6" s="12"/>
      <c r="IKH6" s="11"/>
      <c r="IKI6" s="13"/>
      <c r="IKJ6" s="12"/>
      <c r="IKK6" s="12"/>
      <c r="IKL6" s="11"/>
      <c r="IKM6" s="13"/>
      <c r="IKN6" s="5"/>
      <c r="IKO6" s="5"/>
      <c r="IKP6" s="5"/>
      <c r="IKQ6" s="5"/>
      <c r="IKR6" s="5"/>
      <c r="IKS6" s="5"/>
      <c r="IKT6" s="5"/>
      <c r="IKU6" s="5"/>
      <c r="IKV6" s="5"/>
      <c r="IKW6" s="5"/>
      <c r="IKX6" s="5"/>
      <c r="IKY6" s="10"/>
      <c r="IKZ6" s="11"/>
      <c r="ILA6" s="12"/>
      <c r="ILB6" s="13"/>
      <c r="ILC6" s="12"/>
      <c r="ILD6" s="11"/>
      <c r="ILE6" s="13"/>
      <c r="ILF6" s="12"/>
      <c r="ILG6" s="12"/>
      <c r="ILH6" s="11"/>
      <c r="ILI6" s="13"/>
      <c r="ILJ6" s="5"/>
      <c r="ILK6" s="5"/>
      <c r="ILL6" s="5"/>
      <c r="ILM6" s="5"/>
      <c r="ILN6" s="5"/>
      <c r="ILO6" s="5"/>
      <c r="ILP6" s="5"/>
      <c r="ILQ6" s="5"/>
      <c r="ILR6" s="5"/>
      <c r="ILS6" s="5"/>
      <c r="ILT6" s="5"/>
      <c r="ILU6" s="10"/>
      <c r="ILV6" s="11"/>
      <c r="ILW6" s="12"/>
      <c r="ILX6" s="13"/>
      <c r="ILY6" s="12"/>
      <c r="ILZ6" s="11"/>
      <c r="IMA6" s="13"/>
      <c r="IMB6" s="12"/>
      <c r="IMC6" s="12"/>
      <c r="IMD6" s="11"/>
      <c r="IME6" s="13"/>
      <c r="IMF6" s="5"/>
      <c r="IMG6" s="5"/>
      <c r="IMH6" s="5"/>
      <c r="IMI6" s="5"/>
      <c r="IMJ6" s="5"/>
      <c r="IMK6" s="5"/>
      <c r="IML6" s="5"/>
      <c r="IMM6" s="5"/>
      <c r="IMN6" s="5"/>
      <c r="IMO6" s="5"/>
      <c r="IMP6" s="5"/>
      <c r="IMQ6" s="10"/>
      <c r="IMR6" s="11"/>
      <c r="IMS6" s="12"/>
      <c r="IMT6" s="13"/>
      <c r="IMU6" s="12"/>
      <c r="IMV6" s="11"/>
      <c r="IMW6" s="13"/>
      <c r="IMX6" s="12"/>
      <c r="IMY6" s="12"/>
      <c r="IMZ6" s="11"/>
      <c r="INA6" s="13"/>
      <c r="INB6" s="5"/>
      <c r="INC6" s="5"/>
      <c r="IND6" s="5"/>
      <c r="INE6" s="5"/>
      <c r="INF6" s="5"/>
      <c r="ING6" s="5"/>
      <c r="INH6" s="5"/>
      <c r="INI6" s="5"/>
      <c r="INJ6" s="5"/>
      <c r="INK6" s="5"/>
      <c r="INL6" s="5"/>
      <c r="INM6" s="10"/>
      <c r="INN6" s="11"/>
      <c r="INO6" s="12"/>
      <c r="INP6" s="13"/>
      <c r="INQ6" s="12"/>
      <c r="INR6" s="11"/>
      <c r="INS6" s="13"/>
      <c r="INT6" s="12"/>
      <c r="INU6" s="12"/>
      <c r="INV6" s="11"/>
      <c r="INW6" s="13"/>
      <c r="INX6" s="5"/>
      <c r="INY6" s="5"/>
      <c r="INZ6" s="5"/>
      <c r="IOA6" s="5"/>
      <c r="IOB6" s="5"/>
      <c r="IOC6" s="5"/>
      <c r="IOD6" s="5"/>
      <c r="IOE6" s="5"/>
      <c r="IOF6" s="5"/>
      <c r="IOG6" s="5"/>
      <c r="IOH6" s="5"/>
      <c r="IOI6" s="10"/>
      <c r="IOJ6" s="11"/>
      <c r="IOK6" s="12"/>
      <c r="IOL6" s="13"/>
      <c r="IOM6" s="12"/>
      <c r="ION6" s="11"/>
      <c r="IOO6" s="13"/>
      <c r="IOP6" s="12"/>
      <c r="IOQ6" s="12"/>
      <c r="IOR6" s="11"/>
      <c r="IOS6" s="13"/>
      <c r="IOT6" s="5"/>
      <c r="IOU6" s="5"/>
      <c r="IOV6" s="5"/>
      <c r="IOW6" s="5"/>
      <c r="IOX6" s="5"/>
      <c r="IOY6" s="5"/>
      <c r="IOZ6" s="5"/>
      <c r="IPA6" s="5"/>
      <c r="IPB6" s="5"/>
      <c r="IPC6" s="5"/>
      <c r="IPD6" s="5"/>
      <c r="IPE6" s="10"/>
      <c r="IPF6" s="11"/>
      <c r="IPG6" s="12"/>
      <c r="IPH6" s="13"/>
      <c r="IPI6" s="12"/>
      <c r="IPJ6" s="11"/>
      <c r="IPK6" s="13"/>
      <c r="IPL6" s="12"/>
      <c r="IPM6" s="12"/>
      <c r="IPN6" s="11"/>
      <c r="IPO6" s="13"/>
      <c r="IPP6" s="5"/>
      <c r="IPQ6" s="5"/>
      <c r="IPR6" s="5"/>
      <c r="IPS6" s="5"/>
      <c r="IPT6" s="5"/>
      <c r="IPU6" s="5"/>
      <c r="IPV6" s="5"/>
      <c r="IPW6" s="5"/>
      <c r="IPX6" s="5"/>
      <c r="IPY6" s="5"/>
      <c r="IPZ6" s="5"/>
      <c r="IQA6" s="10"/>
      <c r="IQB6" s="11"/>
      <c r="IQC6" s="12"/>
      <c r="IQD6" s="13"/>
      <c r="IQE6" s="12"/>
      <c r="IQF6" s="11"/>
      <c r="IQG6" s="13"/>
      <c r="IQH6" s="12"/>
      <c r="IQI6" s="12"/>
      <c r="IQJ6" s="11"/>
      <c r="IQK6" s="13"/>
      <c r="IQL6" s="5"/>
      <c r="IQM6" s="5"/>
      <c r="IQN6" s="5"/>
      <c r="IQO6" s="5"/>
      <c r="IQP6" s="5"/>
      <c r="IQQ6" s="5"/>
      <c r="IQR6" s="5"/>
      <c r="IQS6" s="5"/>
      <c r="IQT6" s="5"/>
      <c r="IQU6" s="5"/>
      <c r="IQV6" s="5"/>
      <c r="IQW6" s="10"/>
      <c r="IQX6" s="11"/>
      <c r="IQY6" s="12"/>
      <c r="IQZ6" s="13"/>
      <c r="IRA6" s="12"/>
      <c r="IRB6" s="11"/>
      <c r="IRC6" s="13"/>
      <c r="IRD6" s="12"/>
      <c r="IRE6" s="12"/>
      <c r="IRF6" s="11"/>
      <c r="IRG6" s="13"/>
      <c r="IRH6" s="5"/>
      <c r="IRI6" s="5"/>
      <c r="IRJ6" s="5"/>
      <c r="IRK6" s="5"/>
      <c r="IRL6" s="5"/>
      <c r="IRM6" s="5"/>
      <c r="IRN6" s="5"/>
      <c r="IRO6" s="5"/>
      <c r="IRP6" s="5"/>
      <c r="IRQ6" s="5"/>
      <c r="IRR6" s="5"/>
      <c r="IRS6" s="10"/>
      <c r="IRT6" s="11"/>
      <c r="IRU6" s="12"/>
      <c r="IRV6" s="13"/>
      <c r="IRW6" s="12"/>
      <c r="IRX6" s="11"/>
      <c r="IRY6" s="13"/>
      <c r="IRZ6" s="12"/>
      <c r="ISA6" s="12"/>
      <c r="ISB6" s="11"/>
      <c r="ISC6" s="13"/>
      <c r="ISD6" s="5"/>
      <c r="ISE6" s="5"/>
      <c r="ISF6" s="5"/>
      <c r="ISG6" s="5"/>
      <c r="ISH6" s="5"/>
      <c r="ISI6" s="5"/>
      <c r="ISJ6" s="5"/>
      <c r="ISK6" s="5"/>
      <c r="ISL6" s="5"/>
      <c r="ISM6" s="5"/>
      <c r="ISN6" s="5"/>
      <c r="ISO6" s="10"/>
      <c r="ISP6" s="11"/>
      <c r="ISQ6" s="12"/>
      <c r="ISR6" s="13"/>
      <c r="ISS6" s="12"/>
      <c r="IST6" s="11"/>
      <c r="ISU6" s="13"/>
      <c r="ISV6" s="12"/>
      <c r="ISW6" s="12"/>
      <c r="ISX6" s="11"/>
      <c r="ISY6" s="13"/>
      <c r="ISZ6" s="5"/>
      <c r="ITA6" s="5"/>
      <c r="ITB6" s="5"/>
      <c r="ITC6" s="5"/>
      <c r="ITD6" s="5"/>
      <c r="ITE6" s="5"/>
      <c r="ITF6" s="5"/>
      <c r="ITG6" s="5"/>
      <c r="ITH6" s="5"/>
      <c r="ITI6" s="5"/>
      <c r="ITJ6" s="5"/>
      <c r="ITK6" s="10"/>
      <c r="ITL6" s="11"/>
      <c r="ITM6" s="12"/>
      <c r="ITN6" s="13"/>
      <c r="ITO6" s="12"/>
      <c r="ITP6" s="11"/>
      <c r="ITQ6" s="13"/>
      <c r="ITR6" s="12"/>
      <c r="ITS6" s="12"/>
      <c r="ITT6" s="11"/>
      <c r="ITU6" s="13"/>
      <c r="ITV6" s="5"/>
      <c r="ITW6" s="5"/>
      <c r="ITX6" s="5"/>
      <c r="ITY6" s="5"/>
      <c r="ITZ6" s="5"/>
      <c r="IUA6" s="5"/>
      <c r="IUB6" s="5"/>
      <c r="IUC6" s="5"/>
      <c r="IUD6" s="5"/>
      <c r="IUE6" s="5"/>
      <c r="IUF6" s="5"/>
      <c r="IUG6" s="10"/>
      <c r="IUH6" s="11"/>
      <c r="IUI6" s="12"/>
      <c r="IUJ6" s="13"/>
      <c r="IUK6" s="12"/>
      <c r="IUL6" s="11"/>
      <c r="IUM6" s="13"/>
      <c r="IUN6" s="12"/>
      <c r="IUO6" s="12"/>
      <c r="IUP6" s="11"/>
      <c r="IUQ6" s="13"/>
      <c r="IUR6" s="5"/>
      <c r="IUS6" s="5"/>
      <c r="IUT6" s="5"/>
      <c r="IUU6" s="5"/>
      <c r="IUV6" s="5"/>
      <c r="IUW6" s="5"/>
      <c r="IUX6" s="5"/>
      <c r="IUY6" s="5"/>
      <c r="IUZ6" s="5"/>
      <c r="IVA6" s="5"/>
      <c r="IVB6" s="5"/>
      <c r="IVC6" s="10"/>
      <c r="IVD6" s="11"/>
      <c r="IVE6" s="12"/>
      <c r="IVF6" s="13"/>
      <c r="IVG6" s="12"/>
      <c r="IVH6" s="11"/>
      <c r="IVI6" s="13"/>
      <c r="IVJ6" s="12"/>
      <c r="IVK6" s="12"/>
      <c r="IVL6" s="11"/>
      <c r="IVM6" s="13"/>
      <c r="IVN6" s="5"/>
      <c r="IVO6" s="5"/>
      <c r="IVP6" s="5"/>
      <c r="IVQ6" s="5"/>
      <c r="IVR6" s="5"/>
      <c r="IVS6" s="5"/>
      <c r="IVT6" s="5"/>
      <c r="IVU6" s="5"/>
      <c r="IVV6" s="5"/>
      <c r="IVW6" s="5"/>
      <c r="IVX6" s="5"/>
      <c r="IVY6" s="10"/>
      <c r="IVZ6" s="11"/>
      <c r="IWA6" s="12"/>
      <c r="IWB6" s="13"/>
      <c r="IWC6" s="12"/>
      <c r="IWD6" s="11"/>
      <c r="IWE6" s="13"/>
      <c r="IWF6" s="12"/>
      <c r="IWG6" s="12"/>
      <c r="IWH6" s="11"/>
      <c r="IWI6" s="13"/>
      <c r="IWJ6" s="5"/>
      <c r="IWK6" s="5"/>
      <c r="IWL6" s="5"/>
      <c r="IWM6" s="5"/>
      <c r="IWN6" s="5"/>
      <c r="IWO6" s="5"/>
      <c r="IWP6" s="5"/>
      <c r="IWQ6" s="5"/>
      <c r="IWR6" s="5"/>
      <c r="IWS6" s="5"/>
      <c r="IWT6" s="5"/>
      <c r="IWU6" s="10"/>
      <c r="IWV6" s="11"/>
      <c r="IWW6" s="12"/>
      <c r="IWX6" s="13"/>
      <c r="IWY6" s="12"/>
      <c r="IWZ6" s="11"/>
      <c r="IXA6" s="13"/>
      <c r="IXB6" s="12"/>
      <c r="IXC6" s="12"/>
      <c r="IXD6" s="11"/>
      <c r="IXE6" s="13"/>
      <c r="IXF6" s="5"/>
      <c r="IXG6" s="5"/>
      <c r="IXH6" s="5"/>
      <c r="IXI6" s="5"/>
      <c r="IXJ6" s="5"/>
      <c r="IXK6" s="5"/>
      <c r="IXL6" s="5"/>
      <c r="IXM6" s="5"/>
      <c r="IXN6" s="5"/>
      <c r="IXO6" s="5"/>
      <c r="IXP6" s="5"/>
      <c r="IXQ6" s="10"/>
      <c r="IXR6" s="11"/>
      <c r="IXS6" s="12"/>
      <c r="IXT6" s="13"/>
      <c r="IXU6" s="12"/>
      <c r="IXV6" s="11"/>
      <c r="IXW6" s="13"/>
      <c r="IXX6" s="12"/>
      <c r="IXY6" s="12"/>
      <c r="IXZ6" s="11"/>
      <c r="IYA6" s="13"/>
      <c r="IYB6" s="5"/>
      <c r="IYC6" s="5"/>
      <c r="IYD6" s="5"/>
      <c r="IYE6" s="5"/>
      <c r="IYF6" s="5"/>
      <c r="IYG6" s="5"/>
      <c r="IYH6" s="5"/>
      <c r="IYI6" s="5"/>
      <c r="IYJ6" s="5"/>
      <c r="IYK6" s="5"/>
      <c r="IYL6" s="5"/>
      <c r="IYM6" s="10"/>
      <c r="IYN6" s="11"/>
      <c r="IYO6" s="12"/>
      <c r="IYP6" s="13"/>
      <c r="IYQ6" s="12"/>
      <c r="IYR6" s="11"/>
      <c r="IYS6" s="13"/>
      <c r="IYT6" s="12"/>
      <c r="IYU6" s="12"/>
      <c r="IYV6" s="11"/>
      <c r="IYW6" s="13"/>
      <c r="IYX6" s="5"/>
      <c r="IYY6" s="5"/>
      <c r="IYZ6" s="5"/>
      <c r="IZA6" s="5"/>
      <c r="IZB6" s="5"/>
      <c r="IZC6" s="5"/>
      <c r="IZD6" s="5"/>
      <c r="IZE6" s="5"/>
      <c r="IZF6" s="5"/>
      <c r="IZG6" s="5"/>
      <c r="IZH6" s="5"/>
      <c r="IZI6" s="10"/>
      <c r="IZJ6" s="11"/>
      <c r="IZK6" s="12"/>
      <c r="IZL6" s="13"/>
      <c r="IZM6" s="12"/>
      <c r="IZN6" s="11"/>
      <c r="IZO6" s="13"/>
      <c r="IZP6" s="12"/>
      <c r="IZQ6" s="12"/>
      <c r="IZR6" s="11"/>
      <c r="IZS6" s="13"/>
      <c r="IZT6" s="5"/>
      <c r="IZU6" s="5"/>
      <c r="IZV6" s="5"/>
      <c r="IZW6" s="5"/>
      <c r="IZX6" s="5"/>
      <c r="IZY6" s="5"/>
      <c r="IZZ6" s="5"/>
      <c r="JAA6" s="5"/>
      <c r="JAB6" s="5"/>
      <c r="JAC6" s="5"/>
      <c r="JAD6" s="5"/>
      <c r="JAE6" s="10"/>
      <c r="JAF6" s="11"/>
      <c r="JAG6" s="12"/>
      <c r="JAH6" s="13"/>
      <c r="JAI6" s="12"/>
      <c r="JAJ6" s="11"/>
      <c r="JAK6" s="13"/>
      <c r="JAL6" s="12"/>
      <c r="JAM6" s="12"/>
      <c r="JAN6" s="11"/>
      <c r="JAO6" s="13"/>
      <c r="JAP6" s="5"/>
      <c r="JAQ6" s="5"/>
      <c r="JAR6" s="5"/>
      <c r="JAS6" s="5"/>
      <c r="JAT6" s="5"/>
      <c r="JAU6" s="5"/>
      <c r="JAV6" s="5"/>
      <c r="JAW6" s="5"/>
      <c r="JAX6" s="5"/>
      <c r="JAY6" s="5"/>
      <c r="JAZ6" s="5"/>
      <c r="JBA6" s="10"/>
      <c r="JBB6" s="11"/>
      <c r="JBC6" s="12"/>
      <c r="JBD6" s="13"/>
      <c r="JBE6" s="12"/>
      <c r="JBF6" s="11"/>
      <c r="JBG6" s="13"/>
      <c r="JBH6" s="12"/>
      <c r="JBI6" s="12"/>
      <c r="JBJ6" s="11"/>
      <c r="JBK6" s="13"/>
      <c r="JBL6" s="5"/>
      <c r="JBM6" s="5"/>
      <c r="JBN6" s="5"/>
      <c r="JBO6" s="5"/>
      <c r="JBP6" s="5"/>
      <c r="JBQ6" s="5"/>
      <c r="JBR6" s="5"/>
      <c r="JBS6" s="5"/>
      <c r="JBT6" s="5"/>
      <c r="JBU6" s="5"/>
      <c r="JBV6" s="5"/>
      <c r="JBW6" s="10"/>
      <c r="JBX6" s="11"/>
      <c r="JBY6" s="12"/>
      <c r="JBZ6" s="13"/>
      <c r="JCA6" s="12"/>
      <c r="JCB6" s="11"/>
      <c r="JCC6" s="13"/>
      <c r="JCD6" s="12"/>
      <c r="JCE6" s="12"/>
      <c r="JCF6" s="11"/>
      <c r="JCG6" s="13"/>
      <c r="JCH6" s="5"/>
      <c r="JCI6" s="5"/>
      <c r="JCJ6" s="5"/>
      <c r="JCK6" s="5"/>
      <c r="JCL6" s="5"/>
      <c r="JCM6" s="5"/>
      <c r="JCN6" s="5"/>
      <c r="JCO6" s="5"/>
      <c r="JCP6" s="5"/>
      <c r="JCQ6" s="5"/>
      <c r="JCR6" s="5"/>
      <c r="JCS6" s="10"/>
      <c r="JCT6" s="11"/>
      <c r="JCU6" s="12"/>
      <c r="JCV6" s="13"/>
      <c r="JCW6" s="12"/>
      <c r="JCX6" s="11"/>
      <c r="JCY6" s="13"/>
      <c r="JCZ6" s="12"/>
      <c r="JDA6" s="12"/>
      <c r="JDB6" s="11"/>
      <c r="JDC6" s="13"/>
      <c r="JDD6" s="5"/>
      <c r="JDE6" s="5"/>
      <c r="JDF6" s="5"/>
      <c r="JDG6" s="5"/>
      <c r="JDH6" s="5"/>
      <c r="JDI6" s="5"/>
      <c r="JDJ6" s="5"/>
      <c r="JDK6" s="5"/>
      <c r="JDL6" s="5"/>
      <c r="JDM6" s="5"/>
      <c r="JDN6" s="5"/>
      <c r="JDO6" s="10"/>
      <c r="JDP6" s="11"/>
      <c r="JDQ6" s="12"/>
      <c r="JDR6" s="13"/>
      <c r="JDS6" s="12"/>
      <c r="JDT6" s="11"/>
      <c r="JDU6" s="13"/>
      <c r="JDV6" s="12"/>
      <c r="JDW6" s="12"/>
      <c r="JDX6" s="11"/>
      <c r="JDY6" s="13"/>
      <c r="JDZ6" s="5"/>
      <c r="JEA6" s="5"/>
      <c r="JEB6" s="5"/>
      <c r="JEC6" s="5"/>
      <c r="JED6" s="5"/>
      <c r="JEE6" s="5"/>
      <c r="JEF6" s="5"/>
      <c r="JEG6" s="5"/>
      <c r="JEH6" s="5"/>
      <c r="JEI6" s="5"/>
      <c r="JEJ6" s="5"/>
      <c r="JEK6" s="10"/>
      <c r="JEL6" s="11"/>
      <c r="JEM6" s="12"/>
      <c r="JEN6" s="13"/>
      <c r="JEO6" s="12"/>
      <c r="JEP6" s="11"/>
      <c r="JEQ6" s="13"/>
      <c r="JER6" s="12"/>
      <c r="JES6" s="12"/>
      <c r="JET6" s="11"/>
      <c r="JEU6" s="13"/>
      <c r="JEV6" s="5"/>
      <c r="JEW6" s="5"/>
      <c r="JEX6" s="5"/>
      <c r="JEY6" s="5"/>
      <c r="JEZ6" s="5"/>
      <c r="JFA6" s="5"/>
      <c r="JFB6" s="5"/>
      <c r="JFC6" s="5"/>
      <c r="JFD6" s="5"/>
      <c r="JFE6" s="5"/>
      <c r="JFF6" s="5"/>
      <c r="JFG6" s="10"/>
      <c r="JFH6" s="11"/>
      <c r="JFI6" s="12"/>
      <c r="JFJ6" s="13"/>
      <c r="JFK6" s="12"/>
      <c r="JFL6" s="11"/>
      <c r="JFM6" s="13"/>
      <c r="JFN6" s="12"/>
      <c r="JFO6" s="12"/>
      <c r="JFP6" s="11"/>
      <c r="JFQ6" s="13"/>
      <c r="JFR6" s="5"/>
      <c r="JFS6" s="5"/>
      <c r="JFT6" s="5"/>
      <c r="JFU6" s="5"/>
      <c r="JFV6" s="5"/>
      <c r="JFW6" s="5"/>
      <c r="JFX6" s="5"/>
      <c r="JFY6" s="5"/>
      <c r="JFZ6" s="5"/>
      <c r="JGA6" s="5"/>
      <c r="JGB6" s="5"/>
      <c r="JGC6" s="10"/>
      <c r="JGD6" s="11"/>
      <c r="JGE6" s="12"/>
      <c r="JGF6" s="13"/>
      <c r="JGG6" s="12"/>
      <c r="JGH6" s="11"/>
      <c r="JGI6" s="13"/>
      <c r="JGJ6" s="12"/>
      <c r="JGK6" s="12"/>
      <c r="JGL6" s="11"/>
      <c r="JGM6" s="13"/>
      <c r="JGN6" s="5"/>
      <c r="JGO6" s="5"/>
      <c r="JGP6" s="5"/>
      <c r="JGQ6" s="5"/>
      <c r="JGR6" s="5"/>
      <c r="JGS6" s="5"/>
      <c r="JGT6" s="5"/>
      <c r="JGU6" s="5"/>
      <c r="JGV6" s="5"/>
      <c r="JGW6" s="5"/>
      <c r="JGX6" s="5"/>
      <c r="JGY6" s="10"/>
      <c r="JGZ6" s="11"/>
      <c r="JHA6" s="12"/>
      <c r="JHB6" s="13"/>
      <c r="JHC6" s="12"/>
      <c r="JHD6" s="11"/>
      <c r="JHE6" s="13"/>
      <c r="JHF6" s="12"/>
      <c r="JHG6" s="12"/>
      <c r="JHH6" s="11"/>
      <c r="JHI6" s="13"/>
      <c r="JHJ6" s="5"/>
      <c r="JHK6" s="5"/>
      <c r="JHL6" s="5"/>
      <c r="JHM6" s="5"/>
      <c r="JHN6" s="5"/>
      <c r="JHO6" s="5"/>
      <c r="JHP6" s="5"/>
      <c r="JHQ6" s="5"/>
      <c r="JHR6" s="5"/>
      <c r="JHS6" s="5"/>
      <c r="JHT6" s="5"/>
      <c r="JHU6" s="10"/>
      <c r="JHV6" s="11"/>
      <c r="JHW6" s="12"/>
      <c r="JHX6" s="13"/>
      <c r="JHY6" s="12"/>
      <c r="JHZ6" s="11"/>
      <c r="JIA6" s="13"/>
      <c r="JIB6" s="12"/>
      <c r="JIC6" s="12"/>
      <c r="JID6" s="11"/>
      <c r="JIE6" s="13"/>
      <c r="JIF6" s="5"/>
      <c r="JIG6" s="5"/>
      <c r="JIH6" s="5"/>
      <c r="JII6" s="5"/>
      <c r="JIJ6" s="5"/>
      <c r="JIK6" s="5"/>
      <c r="JIL6" s="5"/>
      <c r="JIM6" s="5"/>
      <c r="JIN6" s="5"/>
      <c r="JIO6" s="5"/>
      <c r="JIP6" s="5"/>
      <c r="JIQ6" s="10"/>
      <c r="JIR6" s="11"/>
      <c r="JIS6" s="12"/>
      <c r="JIT6" s="13"/>
      <c r="JIU6" s="12"/>
      <c r="JIV6" s="11"/>
      <c r="JIW6" s="13"/>
      <c r="JIX6" s="12"/>
      <c r="JIY6" s="12"/>
      <c r="JIZ6" s="11"/>
      <c r="JJA6" s="13"/>
      <c r="JJB6" s="5"/>
      <c r="JJC6" s="5"/>
      <c r="JJD6" s="5"/>
      <c r="JJE6" s="5"/>
      <c r="JJF6" s="5"/>
      <c r="JJG6" s="5"/>
      <c r="JJH6" s="5"/>
      <c r="JJI6" s="5"/>
      <c r="JJJ6" s="5"/>
      <c r="JJK6" s="5"/>
      <c r="JJL6" s="5"/>
      <c r="JJM6" s="10"/>
      <c r="JJN6" s="11"/>
      <c r="JJO6" s="12"/>
      <c r="JJP6" s="13"/>
      <c r="JJQ6" s="12"/>
      <c r="JJR6" s="11"/>
      <c r="JJS6" s="13"/>
      <c r="JJT6" s="12"/>
      <c r="JJU6" s="12"/>
      <c r="JJV6" s="11"/>
      <c r="JJW6" s="13"/>
      <c r="JJX6" s="5"/>
      <c r="JJY6" s="5"/>
      <c r="JJZ6" s="5"/>
      <c r="JKA6" s="5"/>
      <c r="JKB6" s="5"/>
      <c r="JKC6" s="5"/>
      <c r="JKD6" s="5"/>
      <c r="JKE6" s="5"/>
      <c r="JKF6" s="5"/>
      <c r="JKG6" s="5"/>
      <c r="JKH6" s="5"/>
      <c r="JKI6" s="10"/>
      <c r="JKJ6" s="11"/>
      <c r="JKK6" s="12"/>
      <c r="JKL6" s="13"/>
      <c r="JKM6" s="12"/>
      <c r="JKN6" s="11"/>
      <c r="JKO6" s="13"/>
      <c r="JKP6" s="12"/>
      <c r="JKQ6" s="12"/>
      <c r="JKR6" s="11"/>
      <c r="JKS6" s="13"/>
      <c r="JKT6" s="5"/>
      <c r="JKU6" s="5"/>
      <c r="JKV6" s="5"/>
      <c r="JKW6" s="5"/>
      <c r="JKX6" s="5"/>
      <c r="JKY6" s="5"/>
      <c r="JKZ6" s="5"/>
      <c r="JLA6" s="5"/>
      <c r="JLB6" s="5"/>
      <c r="JLC6" s="5"/>
      <c r="JLD6" s="5"/>
      <c r="JLE6" s="10"/>
      <c r="JLF6" s="11"/>
      <c r="JLG6" s="12"/>
      <c r="JLH6" s="13"/>
      <c r="JLI6" s="12"/>
      <c r="JLJ6" s="11"/>
      <c r="JLK6" s="13"/>
      <c r="JLL6" s="12"/>
      <c r="JLM6" s="12"/>
      <c r="JLN6" s="11"/>
      <c r="JLO6" s="13"/>
      <c r="JLP6" s="5"/>
      <c r="JLQ6" s="5"/>
      <c r="JLR6" s="5"/>
      <c r="JLS6" s="5"/>
      <c r="JLT6" s="5"/>
      <c r="JLU6" s="5"/>
      <c r="JLV6" s="5"/>
      <c r="JLW6" s="5"/>
      <c r="JLX6" s="5"/>
      <c r="JLY6" s="5"/>
      <c r="JLZ6" s="5"/>
      <c r="JMA6" s="10"/>
      <c r="JMB6" s="11"/>
      <c r="JMC6" s="12"/>
      <c r="JMD6" s="13"/>
      <c r="JME6" s="12"/>
      <c r="JMF6" s="11"/>
      <c r="JMG6" s="13"/>
      <c r="JMH6" s="12"/>
      <c r="JMI6" s="12"/>
      <c r="JMJ6" s="11"/>
      <c r="JMK6" s="13"/>
      <c r="JML6" s="5"/>
      <c r="JMM6" s="5"/>
      <c r="JMN6" s="5"/>
      <c r="JMO6" s="5"/>
      <c r="JMP6" s="5"/>
      <c r="JMQ6" s="5"/>
      <c r="JMR6" s="5"/>
      <c r="JMS6" s="5"/>
      <c r="JMT6" s="5"/>
      <c r="JMU6" s="5"/>
      <c r="JMV6" s="5"/>
      <c r="JMW6" s="10"/>
      <c r="JMX6" s="11"/>
      <c r="JMY6" s="12"/>
      <c r="JMZ6" s="13"/>
      <c r="JNA6" s="12"/>
      <c r="JNB6" s="11"/>
      <c r="JNC6" s="13"/>
      <c r="JND6" s="12"/>
      <c r="JNE6" s="12"/>
      <c r="JNF6" s="11"/>
      <c r="JNG6" s="13"/>
      <c r="JNH6" s="5"/>
      <c r="JNI6" s="5"/>
      <c r="JNJ6" s="5"/>
      <c r="JNK6" s="5"/>
      <c r="JNL6" s="5"/>
      <c r="JNM6" s="5"/>
      <c r="JNN6" s="5"/>
      <c r="JNO6" s="5"/>
      <c r="JNP6" s="5"/>
      <c r="JNQ6" s="5"/>
      <c r="JNR6" s="5"/>
      <c r="JNS6" s="10"/>
      <c r="JNT6" s="11"/>
      <c r="JNU6" s="12"/>
      <c r="JNV6" s="13"/>
      <c r="JNW6" s="12"/>
      <c r="JNX6" s="11"/>
      <c r="JNY6" s="13"/>
      <c r="JNZ6" s="12"/>
      <c r="JOA6" s="12"/>
      <c r="JOB6" s="11"/>
      <c r="JOC6" s="13"/>
      <c r="JOD6" s="5"/>
      <c r="JOE6" s="5"/>
      <c r="JOF6" s="5"/>
      <c r="JOG6" s="5"/>
      <c r="JOH6" s="5"/>
      <c r="JOI6" s="5"/>
      <c r="JOJ6" s="5"/>
      <c r="JOK6" s="5"/>
      <c r="JOL6" s="5"/>
      <c r="JOM6" s="5"/>
      <c r="JON6" s="5"/>
      <c r="JOO6" s="10"/>
      <c r="JOP6" s="11"/>
      <c r="JOQ6" s="12"/>
      <c r="JOR6" s="13"/>
      <c r="JOS6" s="12"/>
      <c r="JOT6" s="11"/>
      <c r="JOU6" s="13"/>
      <c r="JOV6" s="12"/>
      <c r="JOW6" s="12"/>
      <c r="JOX6" s="11"/>
      <c r="JOY6" s="13"/>
      <c r="JOZ6" s="5"/>
      <c r="JPA6" s="5"/>
      <c r="JPB6" s="5"/>
      <c r="JPC6" s="5"/>
      <c r="JPD6" s="5"/>
      <c r="JPE6" s="5"/>
      <c r="JPF6" s="5"/>
      <c r="JPG6" s="5"/>
      <c r="JPH6" s="5"/>
      <c r="JPI6" s="5"/>
      <c r="JPJ6" s="5"/>
      <c r="JPK6" s="10"/>
      <c r="JPL6" s="11"/>
      <c r="JPM6" s="12"/>
      <c r="JPN6" s="13"/>
      <c r="JPO6" s="12"/>
      <c r="JPP6" s="11"/>
      <c r="JPQ6" s="13"/>
      <c r="JPR6" s="12"/>
      <c r="JPS6" s="12"/>
      <c r="JPT6" s="11"/>
      <c r="JPU6" s="13"/>
      <c r="JPV6" s="5"/>
      <c r="JPW6" s="5"/>
      <c r="JPX6" s="5"/>
      <c r="JPY6" s="5"/>
      <c r="JPZ6" s="5"/>
      <c r="JQA6" s="5"/>
      <c r="JQB6" s="5"/>
      <c r="JQC6" s="5"/>
      <c r="JQD6" s="5"/>
      <c r="JQE6" s="5"/>
      <c r="JQF6" s="5"/>
      <c r="JQG6" s="10"/>
      <c r="JQH6" s="11"/>
      <c r="JQI6" s="12"/>
      <c r="JQJ6" s="13"/>
      <c r="JQK6" s="12"/>
      <c r="JQL6" s="11"/>
      <c r="JQM6" s="13"/>
      <c r="JQN6" s="12"/>
      <c r="JQO6" s="12"/>
      <c r="JQP6" s="11"/>
      <c r="JQQ6" s="13"/>
      <c r="JQR6" s="5"/>
      <c r="JQS6" s="5"/>
      <c r="JQT6" s="5"/>
      <c r="JQU6" s="5"/>
      <c r="JQV6" s="5"/>
      <c r="JQW6" s="5"/>
      <c r="JQX6" s="5"/>
      <c r="JQY6" s="5"/>
      <c r="JQZ6" s="5"/>
      <c r="JRA6" s="5"/>
      <c r="JRB6" s="5"/>
      <c r="JRC6" s="10"/>
      <c r="JRD6" s="11"/>
      <c r="JRE6" s="12"/>
      <c r="JRF6" s="13"/>
      <c r="JRG6" s="12"/>
      <c r="JRH6" s="11"/>
      <c r="JRI6" s="13"/>
      <c r="JRJ6" s="12"/>
      <c r="JRK6" s="12"/>
      <c r="JRL6" s="11"/>
      <c r="JRM6" s="13"/>
      <c r="JRN6" s="5"/>
      <c r="JRO6" s="5"/>
      <c r="JRP6" s="5"/>
      <c r="JRQ6" s="5"/>
      <c r="JRR6" s="5"/>
      <c r="JRS6" s="5"/>
      <c r="JRT6" s="5"/>
      <c r="JRU6" s="5"/>
      <c r="JRV6" s="5"/>
      <c r="JRW6" s="5"/>
      <c r="JRX6" s="5"/>
      <c r="JRY6" s="10"/>
      <c r="JRZ6" s="11"/>
      <c r="JSA6" s="12"/>
      <c r="JSB6" s="13"/>
      <c r="JSC6" s="12"/>
      <c r="JSD6" s="11"/>
      <c r="JSE6" s="13"/>
      <c r="JSF6" s="12"/>
      <c r="JSG6" s="12"/>
      <c r="JSH6" s="11"/>
      <c r="JSI6" s="13"/>
      <c r="JSJ6" s="5"/>
      <c r="JSK6" s="5"/>
      <c r="JSL6" s="5"/>
      <c r="JSM6" s="5"/>
      <c r="JSN6" s="5"/>
      <c r="JSO6" s="5"/>
      <c r="JSP6" s="5"/>
      <c r="JSQ6" s="5"/>
      <c r="JSR6" s="5"/>
      <c r="JSS6" s="5"/>
      <c r="JST6" s="5"/>
      <c r="JSU6" s="10"/>
      <c r="JSV6" s="11"/>
      <c r="JSW6" s="12"/>
      <c r="JSX6" s="13"/>
      <c r="JSY6" s="12"/>
      <c r="JSZ6" s="11"/>
      <c r="JTA6" s="13"/>
      <c r="JTB6" s="12"/>
      <c r="JTC6" s="12"/>
      <c r="JTD6" s="11"/>
      <c r="JTE6" s="13"/>
      <c r="JTF6" s="5"/>
      <c r="JTG6" s="5"/>
      <c r="JTH6" s="5"/>
      <c r="JTI6" s="5"/>
      <c r="JTJ6" s="5"/>
      <c r="JTK6" s="5"/>
      <c r="JTL6" s="5"/>
      <c r="JTM6" s="5"/>
      <c r="JTN6" s="5"/>
      <c r="JTO6" s="5"/>
      <c r="JTP6" s="5"/>
      <c r="JTQ6" s="10"/>
      <c r="JTR6" s="11"/>
      <c r="JTS6" s="12"/>
      <c r="JTT6" s="13"/>
      <c r="JTU6" s="12"/>
      <c r="JTV6" s="11"/>
      <c r="JTW6" s="13"/>
      <c r="JTX6" s="12"/>
      <c r="JTY6" s="12"/>
      <c r="JTZ6" s="11"/>
      <c r="JUA6" s="13"/>
      <c r="JUB6" s="5"/>
      <c r="JUC6" s="5"/>
      <c r="JUD6" s="5"/>
      <c r="JUE6" s="5"/>
      <c r="JUF6" s="5"/>
      <c r="JUG6" s="5"/>
      <c r="JUH6" s="5"/>
      <c r="JUI6" s="5"/>
      <c r="JUJ6" s="5"/>
      <c r="JUK6" s="5"/>
      <c r="JUL6" s="5"/>
      <c r="JUM6" s="10"/>
      <c r="JUN6" s="11"/>
      <c r="JUO6" s="12"/>
      <c r="JUP6" s="13"/>
      <c r="JUQ6" s="12"/>
      <c r="JUR6" s="11"/>
      <c r="JUS6" s="13"/>
      <c r="JUT6" s="12"/>
      <c r="JUU6" s="12"/>
      <c r="JUV6" s="11"/>
      <c r="JUW6" s="13"/>
      <c r="JUX6" s="5"/>
      <c r="JUY6" s="5"/>
      <c r="JUZ6" s="5"/>
      <c r="JVA6" s="5"/>
      <c r="JVB6" s="5"/>
      <c r="JVC6" s="5"/>
      <c r="JVD6" s="5"/>
      <c r="JVE6" s="5"/>
      <c r="JVF6" s="5"/>
      <c r="JVG6" s="5"/>
      <c r="JVH6" s="5"/>
      <c r="JVI6" s="10"/>
      <c r="JVJ6" s="11"/>
      <c r="JVK6" s="12"/>
      <c r="JVL6" s="13"/>
      <c r="JVM6" s="12"/>
      <c r="JVN6" s="11"/>
      <c r="JVO6" s="13"/>
      <c r="JVP6" s="12"/>
      <c r="JVQ6" s="12"/>
      <c r="JVR6" s="11"/>
      <c r="JVS6" s="13"/>
      <c r="JVT6" s="5"/>
      <c r="JVU6" s="5"/>
      <c r="JVV6" s="5"/>
      <c r="JVW6" s="5"/>
      <c r="JVX6" s="5"/>
      <c r="JVY6" s="5"/>
      <c r="JVZ6" s="5"/>
      <c r="JWA6" s="5"/>
      <c r="JWB6" s="5"/>
      <c r="JWC6" s="5"/>
      <c r="JWD6" s="5"/>
      <c r="JWE6" s="10"/>
      <c r="JWF6" s="11"/>
      <c r="JWG6" s="12"/>
      <c r="JWH6" s="13"/>
      <c r="JWI6" s="12"/>
      <c r="JWJ6" s="11"/>
      <c r="JWK6" s="13"/>
      <c r="JWL6" s="12"/>
      <c r="JWM6" s="12"/>
      <c r="JWN6" s="11"/>
      <c r="JWO6" s="13"/>
      <c r="JWP6" s="5"/>
      <c r="JWQ6" s="5"/>
      <c r="JWR6" s="5"/>
      <c r="JWS6" s="5"/>
      <c r="JWT6" s="5"/>
      <c r="JWU6" s="5"/>
      <c r="JWV6" s="5"/>
      <c r="JWW6" s="5"/>
      <c r="JWX6" s="5"/>
      <c r="JWY6" s="5"/>
      <c r="JWZ6" s="5"/>
      <c r="JXA6" s="10"/>
      <c r="JXB6" s="11"/>
      <c r="JXC6" s="12"/>
      <c r="JXD6" s="13"/>
      <c r="JXE6" s="12"/>
      <c r="JXF6" s="11"/>
      <c r="JXG6" s="13"/>
      <c r="JXH6" s="12"/>
      <c r="JXI6" s="12"/>
      <c r="JXJ6" s="11"/>
      <c r="JXK6" s="13"/>
      <c r="JXL6" s="5"/>
      <c r="JXM6" s="5"/>
      <c r="JXN6" s="5"/>
      <c r="JXO6" s="5"/>
      <c r="JXP6" s="5"/>
      <c r="JXQ6" s="5"/>
      <c r="JXR6" s="5"/>
      <c r="JXS6" s="5"/>
      <c r="JXT6" s="5"/>
      <c r="JXU6" s="5"/>
      <c r="JXV6" s="5"/>
      <c r="JXW6" s="10"/>
      <c r="JXX6" s="11"/>
      <c r="JXY6" s="12"/>
      <c r="JXZ6" s="13"/>
      <c r="JYA6" s="12"/>
      <c r="JYB6" s="11"/>
      <c r="JYC6" s="13"/>
      <c r="JYD6" s="12"/>
      <c r="JYE6" s="12"/>
      <c r="JYF6" s="11"/>
      <c r="JYG6" s="13"/>
      <c r="JYH6" s="5"/>
      <c r="JYI6" s="5"/>
      <c r="JYJ6" s="5"/>
      <c r="JYK6" s="5"/>
      <c r="JYL6" s="5"/>
      <c r="JYM6" s="5"/>
      <c r="JYN6" s="5"/>
      <c r="JYO6" s="5"/>
      <c r="JYP6" s="5"/>
      <c r="JYQ6" s="5"/>
      <c r="JYR6" s="5"/>
      <c r="JYS6" s="10"/>
      <c r="JYT6" s="11"/>
      <c r="JYU6" s="12"/>
      <c r="JYV6" s="13"/>
      <c r="JYW6" s="12"/>
      <c r="JYX6" s="11"/>
      <c r="JYY6" s="13"/>
      <c r="JYZ6" s="12"/>
      <c r="JZA6" s="12"/>
      <c r="JZB6" s="11"/>
      <c r="JZC6" s="13"/>
      <c r="JZD6" s="5"/>
      <c r="JZE6" s="5"/>
      <c r="JZF6" s="5"/>
      <c r="JZG6" s="5"/>
      <c r="JZH6" s="5"/>
      <c r="JZI6" s="5"/>
      <c r="JZJ6" s="5"/>
      <c r="JZK6" s="5"/>
      <c r="JZL6" s="5"/>
      <c r="JZM6" s="5"/>
      <c r="JZN6" s="5"/>
      <c r="JZO6" s="10"/>
      <c r="JZP6" s="11"/>
      <c r="JZQ6" s="12"/>
      <c r="JZR6" s="13"/>
      <c r="JZS6" s="12"/>
      <c r="JZT6" s="11"/>
      <c r="JZU6" s="13"/>
      <c r="JZV6" s="12"/>
      <c r="JZW6" s="12"/>
      <c r="JZX6" s="11"/>
      <c r="JZY6" s="13"/>
      <c r="JZZ6" s="5"/>
      <c r="KAA6" s="5"/>
      <c r="KAB6" s="5"/>
      <c r="KAC6" s="5"/>
      <c r="KAD6" s="5"/>
      <c r="KAE6" s="5"/>
      <c r="KAF6" s="5"/>
      <c r="KAG6" s="5"/>
      <c r="KAH6" s="5"/>
      <c r="KAI6" s="5"/>
      <c r="KAJ6" s="5"/>
      <c r="KAK6" s="10"/>
      <c r="KAL6" s="11"/>
      <c r="KAM6" s="12"/>
      <c r="KAN6" s="13"/>
      <c r="KAO6" s="12"/>
      <c r="KAP6" s="11"/>
      <c r="KAQ6" s="13"/>
      <c r="KAR6" s="12"/>
      <c r="KAS6" s="12"/>
      <c r="KAT6" s="11"/>
      <c r="KAU6" s="13"/>
      <c r="KAV6" s="5"/>
      <c r="KAW6" s="5"/>
      <c r="KAX6" s="5"/>
      <c r="KAY6" s="5"/>
      <c r="KAZ6" s="5"/>
      <c r="KBA6" s="5"/>
      <c r="KBB6" s="5"/>
      <c r="KBC6" s="5"/>
      <c r="KBD6" s="5"/>
      <c r="KBE6" s="5"/>
      <c r="KBF6" s="5"/>
      <c r="KBG6" s="10"/>
      <c r="KBH6" s="11"/>
      <c r="KBI6" s="12"/>
      <c r="KBJ6" s="13"/>
      <c r="KBK6" s="12"/>
      <c r="KBL6" s="11"/>
      <c r="KBM6" s="13"/>
      <c r="KBN6" s="12"/>
      <c r="KBO6" s="12"/>
      <c r="KBP6" s="11"/>
      <c r="KBQ6" s="13"/>
      <c r="KBR6" s="5"/>
      <c r="KBS6" s="5"/>
      <c r="KBT6" s="5"/>
      <c r="KBU6" s="5"/>
      <c r="KBV6" s="5"/>
      <c r="KBW6" s="5"/>
      <c r="KBX6" s="5"/>
      <c r="KBY6" s="5"/>
      <c r="KBZ6" s="5"/>
      <c r="KCA6" s="5"/>
      <c r="KCB6" s="5"/>
      <c r="KCC6" s="10"/>
      <c r="KCD6" s="11"/>
      <c r="KCE6" s="12"/>
      <c r="KCF6" s="13"/>
      <c r="KCG6" s="12"/>
      <c r="KCH6" s="11"/>
      <c r="KCI6" s="13"/>
      <c r="KCJ6" s="12"/>
      <c r="KCK6" s="12"/>
      <c r="KCL6" s="11"/>
      <c r="KCM6" s="13"/>
      <c r="KCN6" s="5"/>
      <c r="KCO6" s="5"/>
      <c r="KCP6" s="5"/>
      <c r="KCQ6" s="5"/>
      <c r="KCR6" s="5"/>
      <c r="KCS6" s="5"/>
      <c r="KCT6" s="5"/>
      <c r="KCU6" s="5"/>
      <c r="KCV6" s="5"/>
      <c r="KCW6" s="5"/>
      <c r="KCX6" s="5"/>
      <c r="KCY6" s="10"/>
      <c r="KCZ6" s="11"/>
      <c r="KDA6" s="12"/>
      <c r="KDB6" s="13"/>
      <c r="KDC6" s="12"/>
      <c r="KDD6" s="11"/>
      <c r="KDE6" s="13"/>
      <c r="KDF6" s="12"/>
      <c r="KDG6" s="12"/>
      <c r="KDH6" s="11"/>
      <c r="KDI6" s="13"/>
      <c r="KDJ6" s="5"/>
      <c r="KDK6" s="5"/>
      <c r="KDL6" s="5"/>
      <c r="KDM6" s="5"/>
      <c r="KDN6" s="5"/>
      <c r="KDO6" s="5"/>
      <c r="KDP6" s="5"/>
      <c r="KDQ6" s="5"/>
      <c r="KDR6" s="5"/>
      <c r="KDS6" s="5"/>
      <c r="KDT6" s="5"/>
      <c r="KDU6" s="10"/>
      <c r="KDV6" s="11"/>
      <c r="KDW6" s="12"/>
      <c r="KDX6" s="13"/>
      <c r="KDY6" s="12"/>
      <c r="KDZ6" s="11"/>
      <c r="KEA6" s="13"/>
      <c r="KEB6" s="12"/>
      <c r="KEC6" s="12"/>
      <c r="KED6" s="11"/>
      <c r="KEE6" s="13"/>
      <c r="KEF6" s="5"/>
      <c r="KEG6" s="5"/>
      <c r="KEH6" s="5"/>
      <c r="KEI6" s="5"/>
      <c r="KEJ6" s="5"/>
      <c r="KEK6" s="5"/>
      <c r="KEL6" s="5"/>
      <c r="KEM6" s="5"/>
      <c r="KEN6" s="5"/>
      <c r="KEO6" s="5"/>
      <c r="KEP6" s="5"/>
      <c r="KEQ6" s="10"/>
      <c r="KER6" s="11"/>
      <c r="KES6" s="12"/>
      <c r="KET6" s="13"/>
      <c r="KEU6" s="12"/>
      <c r="KEV6" s="11"/>
      <c r="KEW6" s="13"/>
      <c r="KEX6" s="12"/>
      <c r="KEY6" s="12"/>
      <c r="KEZ6" s="11"/>
      <c r="KFA6" s="13"/>
      <c r="KFB6" s="5"/>
      <c r="KFC6" s="5"/>
      <c r="KFD6" s="5"/>
      <c r="KFE6" s="5"/>
      <c r="KFF6" s="5"/>
      <c r="KFG6" s="5"/>
      <c r="KFH6" s="5"/>
      <c r="KFI6" s="5"/>
      <c r="KFJ6" s="5"/>
      <c r="KFK6" s="5"/>
      <c r="KFL6" s="5"/>
      <c r="KFM6" s="10"/>
      <c r="KFN6" s="11"/>
      <c r="KFO6" s="12"/>
      <c r="KFP6" s="13"/>
      <c r="KFQ6" s="12"/>
      <c r="KFR6" s="11"/>
      <c r="KFS6" s="13"/>
      <c r="KFT6" s="12"/>
      <c r="KFU6" s="12"/>
      <c r="KFV6" s="11"/>
      <c r="KFW6" s="13"/>
      <c r="KFX6" s="5"/>
      <c r="KFY6" s="5"/>
      <c r="KFZ6" s="5"/>
      <c r="KGA6" s="5"/>
      <c r="KGB6" s="5"/>
      <c r="KGC6" s="5"/>
      <c r="KGD6" s="5"/>
      <c r="KGE6" s="5"/>
      <c r="KGF6" s="5"/>
      <c r="KGG6" s="5"/>
      <c r="KGH6" s="5"/>
      <c r="KGI6" s="10"/>
      <c r="KGJ6" s="11"/>
      <c r="KGK6" s="12"/>
      <c r="KGL6" s="13"/>
      <c r="KGM6" s="12"/>
      <c r="KGN6" s="11"/>
      <c r="KGO6" s="13"/>
      <c r="KGP6" s="12"/>
      <c r="KGQ6" s="12"/>
      <c r="KGR6" s="11"/>
      <c r="KGS6" s="13"/>
      <c r="KGT6" s="5"/>
      <c r="KGU6" s="5"/>
      <c r="KGV6" s="5"/>
      <c r="KGW6" s="5"/>
      <c r="KGX6" s="5"/>
      <c r="KGY6" s="5"/>
      <c r="KGZ6" s="5"/>
      <c r="KHA6" s="5"/>
      <c r="KHB6" s="5"/>
      <c r="KHC6" s="5"/>
      <c r="KHD6" s="5"/>
      <c r="KHE6" s="10"/>
      <c r="KHF6" s="11"/>
      <c r="KHG6" s="12"/>
      <c r="KHH6" s="13"/>
      <c r="KHI6" s="12"/>
      <c r="KHJ6" s="11"/>
      <c r="KHK6" s="13"/>
      <c r="KHL6" s="12"/>
      <c r="KHM6" s="12"/>
      <c r="KHN6" s="11"/>
      <c r="KHO6" s="13"/>
      <c r="KHP6" s="5"/>
      <c r="KHQ6" s="5"/>
      <c r="KHR6" s="5"/>
      <c r="KHS6" s="5"/>
      <c r="KHT6" s="5"/>
      <c r="KHU6" s="5"/>
      <c r="KHV6" s="5"/>
      <c r="KHW6" s="5"/>
      <c r="KHX6" s="5"/>
      <c r="KHY6" s="5"/>
      <c r="KHZ6" s="5"/>
      <c r="KIA6" s="10"/>
      <c r="KIB6" s="11"/>
      <c r="KIC6" s="12"/>
      <c r="KID6" s="13"/>
      <c r="KIE6" s="12"/>
      <c r="KIF6" s="11"/>
      <c r="KIG6" s="13"/>
      <c r="KIH6" s="12"/>
      <c r="KII6" s="12"/>
      <c r="KIJ6" s="11"/>
      <c r="KIK6" s="13"/>
      <c r="KIL6" s="5"/>
      <c r="KIM6" s="5"/>
      <c r="KIN6" s="5"/>
      <c r="KIO6" s="5"/>
      <c r="KIP6" s="5"/>
      <c r="KIQ6" s="5"/>
      <c r="KIR6" s="5"/>
      <c r="KIS6" s="5"/>
      <c r="KIT6" s="5"/>
      <c r="KIU6" s="5"/>
      <c r="KIV6" s="5"/>
      <c r="KIW6" s="10"/>
      <c r="KIX6" s="11"/>
      <c r="KIY6" s="12"/>
      <c r="KIZ6" s="13"/>
      <c r="KJA6" s="12"/>
      <c r="KJB6" s="11"/>
      <c r="KJC6" s="13"/>
      <c r="KJD6" s="12"/>
      <c r="KJE6" s="12"/>
      <c r="KJF6" s="11"/>
      <c r="KJG6" s="13"/>
      <c r="KJH6" s="5"/>
      <c r="KJI6" s="5"/>
      <c r="KJJ6" s="5"/>
      <c r="KJK6" s="5"/>
      <c r="KJL6" s="5"/>
      <c r="KJM6" s="5"/>
      <c r="KJN6" s="5"/>
      <c r="KJO6" s="5"/>
      <c r="KJP6" s="5"/>
      <c r="KJQ6" s="5"/>
      <c r="KJR6" s="5"/>
      <c r="KJS6" s="10"/>
      <c r="KJT6" s="11"/>
      <c r="KJU6" s="12"/>
      <c r="KJV6" s="13"/>
      <c r="KJW6" s="12"/>
      <c r="KJX6" s="11"/>
      <c r="KJY6" s="13"/>
      <c r="KJZ6" s="12"/>
      <c r="KKA6" s="12"/>
      <c r="KKB6" s="11"/>
      <c r="KKC6" s="13"/>
      <c r="KKD6" s="5"/>
      <c r="KKE6" s="5"/>
      <c r="KKF6" s="5"/>
      <c r="KKG6" s="5"/>
      <c r="KKH6" s="5"/>
      <c r="KKI6" s="5"/>
      <c r="KKJ6" s="5"/>
      <c r="KKK6" s="5"/>
      <c r="KKL6" s="5"/>
      <c r="KKM6" s="5"/>
      <c r="KKN6" s="5"/>
      <c r="KKO6" s="10"/>
      <c r="KKP6" s="11"/>
      <c r="KKQ6" s="12"/>
      <c r="KKR6" s="13"/>
      <c r="KKS6" s="12"/>
      <c r="KKT6" s="11"/>
      <c r="KKU6" s="13"/>
      <c r="KKV6" s="12"/>
      <c r="KKW6" s="12"/>
      <c r="KKX6" s="11"/>
      <c r="KKY6" s="13"/>
      <c r="KKZ6" s="5"/>
      <c r="KLA6" s="5"/>
      <c r="KLB6" s="5"/>
      <c r="KLC6" s="5"/>
      <c r="KLD6" s="5"/>
      <c r="KLE6" s="5"/>
      <c r="KLF6" s="5"/>
      <c r="KLG6" s="5"/>
      <c r="KLH6" s="5"/>
      <c r="KLI6" s="5"/>
      <c r="KLJ6" s="5"/>
      <c r="KLK6" s="10"/>
      <c r="KLL6" s="11"/>
      <c r="KLM6" s="12"/>
      <c r="KLN6" s="13"/>
      <c r="KLO6" s="12"/>
      <c r="KLP6" s="11"/>
      <c r="KLQ6" s="13"/>
      <c r="KLR6" s="12"/>
      <c r="KLS6" s="12"/>
      <c r="KLT6" s="11"/>
      <c r="KLU6" s="13"/>
      <c r="KLV6" s="5"/>
      <c r="KLW6" s="5"/>
      <c r="KLX6" s="5"/>
      <c r="KLY6" s="5"/>
      <c r="KLZ6" s="5"/>
      <c r="KMA6" s="5"/>
      <c r="KMB6" s="5"/>
      <c r="KMC6" s="5"/>
      <c r="KMD6" s="5"/>
      <c r="KME6" s="5"/>
      <c r="KMF6" s="5"/>
      <c r="KMG6" s="10"/>
      <c r="KMH6" s="11"/>
      <c r="KMI6" s="12"/>
      <c r="KMJ6" s="13"/>
      <c r="KMK6" s="12"/>
      <c r="KML6" s="11"/>
      <c r="KMM6" s="13"/>
      <c r="KMN6" s="12"/>
      <c r="KMO6" s="12"/>
      <c r="KMP6" s="11"/>
      <c r="KMQ6" s="13"/>
      <c r="KMR6" s="5"/>
      <c r="KMS6" s="5"/>
      <c r="KMT6" s="5"/>
      <c r="KMU6" s="5"/>
      <c r="KMV6" s="5"/>
      <c r="KMW6" s="5"/>
      <c r="KMX6" s="5"/>
      <c r="KMY6" s="5"/>
      <c r="KMZ6" s="5"/>
      <c r="KNA6" s="5"/>
      <c r="KNB6" s="5"/>
      <c r="KNC6" s="10"/>
      <c r="KND6" s="11"/>
      <c r="KNE6" s="12"/>
      <c r="KNF6" s="13"/>
      <c r="KNG6" s="12"/>
      <c r="KNH6" s="11"/>
      <c r="KNI6" s="13"/>
      <c r="KNJ6" s="12"/>
      <c r="KNK6" s="12"/>
      <c r="KNL6" s="11"/>
      <c r="KNM6" s="13"/>
      <c r="KNN6" s="5"/>
      <c r="KNO6" s="5"/>
      <c r="KNP6" s="5"/>
      <c r="KNQ6" s="5"/>
      <c r="KNR6" s="5"/>
      <c r="KNS6" s="5"/>
      <c r="KNT6" s="5"/>
      <c r="KNU6" s="5"/>
      <c r="KNV6" s="5"/>
      <c r="KNW6" s="5"/>
      <c r="KNX6" s="5"/>
      <c r="KNY6" s="10"/>
      <c r="KNZ6" s="11"/>
      <c r="KOA6" s="12"/>
      <c r="KOB6" s="13"/>
      <c r="KOC6" s="12"/>
      <c r="KOD6" s="11"/>
      <c r="KOE6" s="13"/>
      <c r="KOF6" s="12"/>
      <c r="KOG6" s="12"/>
      <c r="KOH6" s="11"/>
      <c r="KOI6" s="13"/>
      <c r="KOJ6" s="5"/>
      <c r="KOK6" s="5"/>
      <c r="KOL6" s="5"/>
      <c r="KOM6" s="5"/>
      <c r="KON6" s="5"/>
      <c r="KOO6" s="5"/>
      <c r="KOP6" s="5"/>
      <c r="KOQ6" s="5"/>
      <c r="KOR6" s="5"/>
      <c r="KOS6" s="5"/>
      <c r="KOT6" s="5"/>
      <c r="KOU6" s="10"/>
      <c r="KOV6" s="11"/>
      <c r="KOW6" s="12"/>
      <c r="KOX6" s="13"/>
      <c r="KOY6" s="12"/>
      <c r="KOZ6" s="11"/>
      <c r="KPA6" s="13"/>
      <c r="KPB6" s="12"/>
      <c r="KPC6" s="12"/>
      <c r="KPD6" s="11"/>
      <c r="KPE6" s="13"/>
      <c r="KPF6" s="5"/>
      <c r="KPG6" s="5"/>
      <c r="KPH6" s="5"/>
      <c r="KPI6" s="5"/>
      <c r="KPJ6" s="5"/>
      <c r="KPK6" s="5"/>
      <c r="KPL6" s="5"/>
      <c r="KPM6" s="5"/>
      <c r="KPN6" s="5"/>
      <c r="KPO6" s="5"/>
      <c r="KPP6" s="5"/>
      <c r="KPQ6" s="10"/>
      <c r="KPR6" s="11"/>
      <c r="KPS6" s="12"/>
      <c r="KPT6" s="13"/>
      <c r="KPU6" s="12"/>
      <c r="KPV6" s="11"/>
      <c r="KPW6" s="13"/>
      <c r="KPX6" s="12"/>
      <c r="KPY6" s="12"/>
      <c r="KPZ6" s="11"/>
      <c r="KQA6" s="13"/>
      <c r="KQB6" s="5"/>
      <c r="KQC6" s="5"/>
      <c r="KQD6" s="5"/>
      <c r="KQE6" s="5"/>
      <c r="KQF6" s="5"/>
      <c r="KQG6" s="5"/>
      <c r="KQH6" s="5"/>
      <c r="KQI6" s="5"/>
      <c r="KQJ6" s="5"/>
      <c r="KQK6" s="5"/>
      <c r="KQL6" s="5"/>
      <c r="KQM6" s="10"/>
      <c r="KQN6" s="11"/>
      <c r="KQO6" s="12"/>
      <c r="KQP6" s="13"/>
      <c r="KQQ6" s="12"/>
      <c r="KQR6" s="11"/>
      <c r="KQS6" s="13"/>
      <c r="KQT6" s="12"/>
      <c r="KQU6" s="12"/>
      <c r="KQV6" s="11"/>
      <c r="KQW6" s="13"/>
      <c r="KQX6" s="5"/>
      <c r="KQY6" s="5"/>
      <c r="KQZ6" s="5"/>
      <c r="KRA6" s="5"/>
      <c r="KRB6" s="5"/>
      <c r="KRC6" s="5"/>
      <c r="KRD6" s="5"/>
      <c r="KRE6" s="5"/>
      <c r="KRF6" s="5"/>
      <c r="KRG6" s="5"/>
      <c r="KRH6" s="5"/>
      <c r="KRI6" s="10"/>
      <c r="KRJ6" s="11"/>
      <c r="KRK6" s="12"/>
      <c r="KRL6" s="13"/>
      <c r="KRM6" s="12"/>
      <c r="KRN6" s="11"/>
      <c r="KRO6" s="13"/>
      <c r="KRP6" s="12"/>
      <c r="KRQ6" s="12"/>
      <c r="KRR6" s="11"/>
      <c r="KRS6" s="13"/>
      <c r="KRT6" s="5"/>
      <c r="KRU6" s="5"/>
      <c r="KRV6" s="5"/>
      <c r="KRW6" s="5"/>
      <c r="KRX6" s="5"/>
      <c r="KRY6" s="5"/>
      <c r="KRZ6" s="5"/>
      <c r="KSA6" s="5"/>
      <c r="KSB6" s="5"/>
      <c r="KSC6" s="5"/>
      <c r="KSD6" s="5"/>
      <c r="KSE6" s="10"/>
      <c r="KSF6" s="11"/>
      <c r="KSG6" s="12"/>
      <c r="KSH6" s="13"/>
      <c r="KSI6" s="12"/>
      <c r="KSJ6" s="11"/>
      <c r="KSK6" s="13"/>
      <c r="KSL6" s="12"/>
      <c r="KSM6" s="12"/>
      <c r="KSN6" s="11"/>
      <c r="KSO6" s="13"/>
      <c r="KSP6" s="5"/>
      <c r="KSQ6" s="5"/>
      <c r="KSR6" s="5"/>
      <c r="KSS6" s="5"/>
      <c r="KST6" s="5"/>
      <c r="KSU6" s="5"/>
      <c r="KSV6" s="5"/>
      <c r="KSW6" s="5"/>
      <c r="KSX6" s="5"/>
      <c r="KSY6" s="5"/>
      <c r="KSZ6" s="5"/>
      <c r="KTA6" s="10"/>
      <c r="KTB6" s="11"/>
      <c r="KTC6" s="12"/>
      <c r="KTD6" s="13"/>
      <c r="KTE6" s="12"/>
      <c r="KTF6" s="11"/>
      <c r="KTG6" s="13"/>
      <c r="KTH6" s="12"/>
      <c r="KTI6" s="12"/>
      <c r="KTJ6" s="11"/>
      <c r="KTK6" s="13"/>
      <c r="KTL6" s="5"/>
      <c r="KTM6" s="5"/>
      <c r="KTN6" s="5"/>
      <c r="KTO6" s="5"/>
      <c r="KTP6" s="5"/>
      <c r="KTQ6" s="5"/>
      <c r="KTR6" s="5"/>
      <c r="KTS6" s="5"/>
      <c r="KTT6" s="5"/>
      <c r="KTU6" s="5"/>
      <c r="KTV6" s="5"/>
      <c r="KTW6" s="10"/>
      <c r="KTX6" s="11"/>
      <c r="KTY6" s="12"/>
      <c r="KTZ6" s="13"/>
      <c r="KUA6" s="12"/>
      <c r="KUB6" s="11"/>
      <c r="KUC6" s="13"/>
      <c r="KUD6" s="12"/>
      <c r="KUE6" s="12"/>
      <c r="KUF6" s="11"/>
      <c r="KUG6" s="13"/>
      <c r="KUH6" s="5"/>
      <c r="KUI6" s="5"/>
      <c r="KUJ6" s="5"/>
      <c r="KUK6" s="5"/>
      <c r="KUL6" s="5"/>
      <c r="KUM6" s="5"/>
      <c r="KUN6" s="5"/>
      <c r="KUO6" s="5"/>
      <c r="KUP6" s="5"/>
      <c r="KUQ6" s="5"/>
      <c r="KUR6" s="5"/>
      <c r="KUS6" s="10"/>
      <c r="KUT6" s="11"/>
      <c r="KUU6" s="12"/>
      <c r="KUV6" s="13"/>
      <c r="KUW6" s="12"/>
      <c r="KUX6" s="11"/>
      <c r="KUY6" s="13"/>
      <c r="KUZ6" s="12"/>
      <c r="KVA6" s="12"/>
      <c r="KVB6" s="11"/>
      <c r="KVC6" s="13"/>
      <c r="KVD6" s="5"/>
      <c r="KVE6" s="5"/>
      <c r="KVF6" s="5"/>
      <c r="KVG6" s="5"/>
      <c r="KVH6" s="5"/>
      <c r="KVI6" s="5"/>
      <c r="KVJ6" s="5"/>
      <c r="KVK6" s="5"/>
      <c r="KVL6" s="5"/>
      <c r="KVM6" s="5"/>
      <c r="KVN6" s="5"/>
      <c r="KVO6" s="10"/>
      <c r="KVP6" s="11"/>
      <c r="KVQ6" s="12"/>
      <c r="KVR6" s="13"/>
      <c r="KVS6" s="12"/>
      <c r="KVT6" s="11"/>
      <c r="KVU6" s="13"/>
      <c r="KVV6" s="12"/>
      <c r="KVW6" s="12"/>
      <c r="KVX6" s="11"/>
      <c r="KVY6" s="13"/>
      <c r="KVZ6" s="5"/>
      <c r="KWA6" s="5"/>
      <c r="KWB6" s="5"/>
      <c r="KWC6" s="5"/>
      <c r="KWD6" s="5"/>
      <c r="KWE6" s="5"/>
      <c r="KWF6" s="5"/>
      <c r="KWG6" s="5"/>
      <c r="KWH6" s="5"/>
      <c r="KWI6" s="5"/>
      <c r="KWJ6" s="5"/>
      <c r="KWK6" s="10"/>
      <c r="KWL6" s="11"/>
      <c r="KWM6" s="12"/>
      <c r="KWN6" s="13"/>
      <c r="KWO6" s="12"/>
      <c r="KWP6" s="11"/>
      <c r="KWQ6" s="13"/>
      <c r="KWR6" s="12"/>
      <c r="KWS6" s="12"/>
      <c r="KWT6" s="11"/>
      <c r="KWU6" s="13"/>
      <c r="KWV6" s="5"/>
      <c r="KWW6" s="5"/>
      <c r="KWX6" s="5"/>
      <c r="KWY6" s="5"/>
      <c r="KWZ6" s="5"/>
      <c r="KXA6" s="5"/>
      <c r="KXB6" s="5"/>
      <c r="KXC6" s="5"/>
      <c r="KXD6" s="5"/>
      <c r="KXE6" s="5"/>
      <c r="KXF6" s="5"/>
      <c r="KXG6" s="10"/>
      <c r="KXH6" s="11"/>
      <c r="KXI6" s="12"/>
      <c r="KXJ6" s="13"/>
      <c r="KXK6" s="12"/>
      <c r="KXL6" s="11"/>
      <c r="KXM6" s="13"/>
      <c r="KXN6" s="12"/>
      <c r="KXO6" s="12"/>
      <c r="KXP6" s="11"/>
      <c r="KXQ6" s="13"/>
      <c r="KXR6" s="5"/>
      <c r="KXS6" s="5"/>
      <c r="KXT6" s="5"/>
      <c r="KXU6" s="5"/>
      <c r="KXV6" s="5"/>
      <c r="KXW6" s="5"/>
      <c r="KXX6" s="5"/>
      <c r="KXY6" s="5"/>
      <c r="KXZ6" s="5"/>
      <c r="KYA6" s="5"/>
      <c r="KYB6" s="5"/>
      <c r="KYC6" s="10"/>
      <c r="KYD6" s="11"/>
      <c r="KYE6" s="12"/>
      <c r="KYF6" s="13"/>
      <c r="KYG6" s="12"/>
      <c r="KYH6" s="11"/>
      <c r="KYI6" s="13"/>
      <c r="KYJ6" s="12"/>
      <c r="KYK6" s="12"/>
      <c r="KYL6" s="11"/>
      <c r="KYM6" s="13"/>
      <c r="KYN6" s="5"/>
      <c r="KYO6" s="5"/>
      <c r="KYP6" s="5"/>
      <c r="KYQ6" s="5"/>
      <c r="KYR6" s="5"/>
      <c r="KYS6" s="5"/>
      <c r="KYT6" s="5"/>
      <c r="KYU6" s="5"/>
      <c r="KYV6" s="5"/>
      <c r="KYW6" s="5"/>
      <c r="KYX6" s="5"/>
      <c r="KYY6" s="10"/>
      <c r="KYZ6" s="11"/>
      <c r="KZA6" s="12"/>
      <c r="KZB6" s="13"/>
      <c r="KZC6" s="12"/>
      <c r="KZD6" s="11"/>
      <c r="KZE6" s="13"/>
      <c r="KZF6" s="12"/>
      <c r="KZG6" s="12"/>
      <c r="KZH6" s="11"/>
      <c r="KZI6" s="13"/>
      <c r="KZJ6" s="5"/>
      <c r="KZK6" s="5"/>
      <c r="KZL6" s="5"/>
      <c r="KZM6" s="5"/>
      <c r="KZN6" s="5"/>
      <c r="KZO6" s="5"/>
      <c r="KZP6" s="5"/>
      <c r="KZQ6" s="5"/>
      <c r="KZR6" s="5"/>
      <c r="KZS6" s="5"/>
      <c r="KZT6" s="5"/>
      <c r="KZU6" s="10"/>
      <c r="KZV6" s="11"/>
      <c r="KZW6" s="12"/>
      <c r="KZX6" s="13"/>
      <c r="KZY6" s="12"/>
      <c r="KZZ6" s="11"/>
      <c r="LAA6" s="13"/>
      <c r="LAB6" s="12"/>
      <c r="LAC6" s="12"/>
      <c r="LAD6" s="11"/>
      <c r="LAE6" s="13"/>
      <c r="LAF6" s="5"/>
      <c r="LAG6" s="5"/>
      <c r="LAH6" s="5"/>
      <c r="LAI6" s="5"/>
      <c r="LAJ6" s="5"/>
      <c r="LAK6" s="5"/>
      <c r="LAL6" s="5"/>
      <c r="LAM6" s="5"/>
      <c r="LAN6" s="5"/>
      <c r="LAO6" s="5"/>
      <c r="LAP6" s="5"/>
      <c r="LAQ6" s="10"/>
      <c r="LAR6" s="11"/>
      <c r="LAS6" s="12"/>
      <c r="LAT6" s="13"/>
      <c r="LAU6" s="12"/>
      <c r="LAV6" s="11"/>
      <c r="LAW6" s="13"/>
      <c r="LAX6" s="12"/>
      <c r="LAY6" s="12"/>
      <c r="LAZ6" s="11"/>
      <c r="LBA6" s="13"/>
      <c r="LBB6" s="5"/>
      <c r="LBC6" s="5"/>
      <c r="LBD6" s="5"/>
      <c r="LBE6" s="5"/>
      <c r="LBF6" s="5"/>
      <c r="LBG6" s="5"/>
      <c r="LBH6" s="5"/>
      <c r="LBI6" s="5"/>
      <c r="LBJ6" s="5"/>
      <c r="LBK6" s="5"/>
      <c r="LBL6" s="5"/>
      <c r="LBM6" s="10"/>
      <c r="LBN6" s="11"/>
      <c r="LBO6" s="12"/>
      <c r="LBP6" s="13"/>
      <c r="LBQ6" s="12"/>
      <c r="LBR6" s="11"/>
      <c r="LBS6" s="13"/>
      <c r="LBT6" s="12"/>
      <c r="LBU6" s="12"/>
      <c r="LBV6" s="11"/>
      <c r="LBW6" s="13"/>
      <c r="LBX6" s="5"/>
      <c r="LBY6" s="5"/>
      <c r="LBZ6" s="5"/>
      <c r="LCA6" s="5"/>
      <c r="LCB6" s="5"/>
      <c r="LCC6" s="5"/>
      <c r="LCD6" s="5"/>
      <c r="LCE6" s="5"/>
      <c r="LCF6" s="5"/>
      <c r="LCG6" s="5"/>
      <c r="LCH6" s="5"/>
      <c r="LCI6" s="10"/>
      <c r="LCJ6" s="11"/>
      <c r="LCK6" s="12"/>
      <c r="LCL6" s="13"/>
      <c r="LCM6" s="12"/>
      <c r="LCN6" s="11"/>
      <c r="LCO6" s="13"/>
      <c r="LCP6" s="12"/>
      <c r="LCQ6" s="12"/>
      <c r="LCR6" s="11"/>
      <c r="LCS6" s="13"/>
      <c r="LCT6" s="5"/>
      <c r="LCU6" s="5"/>
      <c r="LCV6" s="5"/>
      <c r="LCW6" s="5"/>
      <c r="LCX6" s="5"/>
      <c r="LCY6" s="5"/>
      <c r="LCZ6" s="5"/>
      <c r="LDA6" s="5"/>
      <c r="LDB6" s="5"/>
      <c r="LDC6" s="5"/>
      <c r="LDD6" s="5"/>
      <c r="LDE6" s="10"/>
      <c r="LDF6" s="11"/>
      <c r="LDG6" s="12"/>
      <c r="LDH6" s="13"/>
      <c r="LDI6" s="12"/>
      <c r="LDJ6" s="11"/>
      <c r="LDK6" s="13"/>
      <c r="LDL6" s="12"/>
      <c r="LDM6" s="12"/>
      <c r="LDN6" s="11"/>
      <c r="LDO6" s="13"/>
      <c r="LDP6" s="5"/>
      <c r="LDQ6" s="5"/>
      <c r="LDR6" s="5"/>
      <c r="LDS6" s="5"/>
      <c r="LDT6" s="5"/>
      <c r="LDU6" s="5"/>
      <c r="LDV6" s="5"/>
      <c r="LDW6" s="5"/>
      <c r="LDX6" s="5"/>
      <c r="LDY6" s="5"/>
      <c r="LDZ6" s="5"/>
      <c r="LEA6" s="10"/>
      <c r="LEB6" s="11"/>
      <c r="LEC6" s="12"/>
      <c r="LED6" s="13"/>
      <c r="LEE6" s="12"/>
      <c r="LEF6" s="11"/>
      <c r="LEG6" s="13"/>
      <c r="LEH6" s="12"/>
      <c r="LEI6" s="12"/>
      <c r="LEJ6" s="11"/>
      <c r="LEK6" s="13"/>
      <c r="LEL6" s="5"/>
      <c r="LEM6" s="5"/>
      <c r="LEN6" s="5"/>
      <c r="LEO6" s="5"/>
      <c r="LEP6" s="5"/>
      <c r="LEQ6" s="5"/>
      <c r="LER6" s="5"/>
      <c r="LES6" s="5"/>
      <c r="LET6" s="5"/>
      <c r="LEU6" s="5"/>
      <c r="LEV6" s="5"/>
      <c r="LEW6" s="10"/>
      <c r="LEX6" s="11"/>
      <c r="LEY6" s="12"/>
      <c r="LEZ6" s="13"/>
      <c r="LFA6" s="12"/>
      <c r="LFB6" s="11"/>
      <c r="LFC6" s="13"/>
      <c r="LFD6" s="12"/>
      <c r="LFE6" s="12"/>
      <c r="LFF6" s="11"/>
      <c r="LFG6" s="13"/>
      <c r="LFH6" s="5"/>
      <c r="LFI6" s="5"/>
      <c r="LFJ6" s="5"/>
      <c r="LFK6" s="5"/>
      <c r="LFL6" s="5"/>
      <c r="LFM6" s="5"/>
      <c r="LFN6" s="5"/>
      <c r="LFO6" s="5"/>
      <c r="LFP6" s="5"/>
      <c r="LFQ6" s="5"/>
      <c r="LFR6" s="5"/>
      <c r="LFS6" s="10"/>
      <c r="LFT6" s="11"/>
      <c r="LFU6" s="12"/>
      <c r="LFV6" s="13"/>
      <c r="LFW6" s="12"/>
      <c r="LFX6" s="11"/>
      <c r="LFY6" s="13"/>
      <c r="LFZ6" s="12"/>
      <c r="LGA6" s="12"/>
      <c r="LGB6" s="11"/>
      <c r="LGC6" s="13"/>
      <c r="LGD6" s="5"/>
      <c r="LGE6" s="5"/>
      <c r="LGF6" s="5"/>
      <c r="LGG6" s="5"/>
      <c r="LGH6" s="5"/>
      <c r="LGI6" s="5"/>
      <c r="LGJ6" s="5"/>
      <c r="LGK6" s="5"/>
      <c r="LGL6" s="5"/>
      <c r="LGM6" s="5"/>
      <c r="LGN6" s="5"/>
      <c r="LGO6" s="10"/>
      <c r="LGP6" s="11"/>
      <c r="LGQ6" s="12"/>
      <c r="LGR6" s="13"/>
      <c r="LGS6" s="12"/>
      <c r="LGT6" s="11"/>
      <c r="LGU6" s="13"/>
      <c r="LGV6" s="12"/>
      <c r="LGW6" s="12"/>
      <c r="LGX6" s="11"/>
      <c r="LGY6" s="13"/>
      <c r="LGZ6" s="5"/>
      <c r="LHA6" s="5"/>
      <c r="LHB6" s="5"/>
      <c r="LHC6" s="5"/>
      <c r="LHD6" s="5"/>
      <c r="LHE6" s="5"/>
      <c r="LHF6" s="5"/>
      <c r="LHG6" s="5"/>
      <c r="LHH6" s="5"/>
      <c r="LHI6" s="5"/>
      <c r="LHJ6" s="5"/>
      <c r="LHK6" s="10"/>
      <c r="LHL6" s="11"/>
      <c r="LHM6" s="12"/>
      <c r="LHN6" s="13"/>
      <c r="LHO6" s="12"/>
      <c r="LHP6" s="11"/>
      <c r="LHQ6" s="13"/>
      <c r="LHR6" s="12"/>
      <c r="LHS6" s="12"/>
      <c r="LHT6" s="11"/>
      <c r="LHU6" s="13"/>
      <c r="LHV6" s="5"/>
      <c r="LHW6" s="5"/>
      <c r="LHX6" s="5"/>
      <c r="LHY6" s="5"/>
      <c r="LHZ6" s="5"/>
      <c r="LIA6" s="5"/>
      <c r="LIB6" s="5"/>
      <c r="LIC6" s="5"/>
      <c r="LID6" s="5"/>
      <c r="LIE6" s="5"/>
      <c r="LIF6" s="5"/>
      <c r="LIG6" s="10"/>
      <c r="LIH6" s="11"/>
      <c r="LII6" s="12"/>
      <c r="LIJ6" s="13"/>
      <c r="LIK6" s="12"/>
      <c r="LIL6" s="11"/>
      <c r="LIM6" s="13"/>
      <c r="LIN6" s="12"/>
      <c r="LIO6" s="12"/>
      <c r="LIP6" s="11"/>
      <c r="LIQ6" s="13"/>
      <c r="LIR6" s="5"/>
      <c r="LIS6" s="5"/>
      <c r="LIT6" s="5"/>
      <c r="LIU6" s="5"/>
      <c r="LIV6" s="5"/>
      <c r="LIW6" s="5"/>
      <c r="LIX6" s="5"/>
      <c r="LIY6" s="5"/>
      <c r="LIZ6" s="5"/>
      <c r="LJA6" s="5"/>
      <c r="LJB6" s="5"/>
      <c r="LJC6" s="10"/>
      <c r="LJD6" s="11"/>
      <c r="LJE6" s="12"/>
      <c r="LJF6" s="13"/>
      <c r="LJG6" s="12"/>
      <c r="LJH6" s="11"/>
      <c r="LJI6" s="13"/>
      <c r="LJJ6" s="12"/>
      <c r="LJK6" s="12"/>
      <c r="LJL6" s="11"/>
      <c r="LJM6" s="13"/>
      <c r="LJN6" s="5"/>
      <c r="LJO6" s="5"/>
      <c r="LJP6" s="5"/>
      <c r="LJQ6" s="5"/>
      <c r="LJR6" s="5"/>
      <c r="LJS6" s="5"/>
      <c r="LJT6" s="5"/>
      <c r="LJU6" s="5"/>
      <c r="LJV6" s="5"/>
      <c r="LJW6" s="5"/>
      <c r="LJX6" s="5"/>
      <c r="LJY6" s="10"/>
      <c r="LJZ6" s="11"/>
      <c r="LKA6" s="12"/>
      <c r="LKB6" s="13"/>
      <c r="LKC6" s="12"/>
      <c r="LKD6" s="11"/>
      <c r="LKE6" s="13"/>
      <c r="LKF6" s="12"/>
      <c r="LKG6" s="12"/>
      <c r="LKH6" s="11"/>
      <c r="LKI6" s="13"/>
      <c r="LKJ6" s="5"/>
      <c r="LKK6" s="5"/>
      <c r="LKL6" s="5"/>
      <c r="LKM6" s="5"/>
      <c r="LKN6" s="5"/>
      <c r="LKO6" s="5"/>
      <c r="LKP6" s="5"/>
      <c r="LKQ6" s="5"/>
      <c r="LKR6" s="5"/>
      <c r="LKS6" s="5"/>
      <c r="LKT6" s="5"/>
      <c r="LKU6" s="10"/>
      <c r="LKV6" s="11"/>
      <c r="LKW6" s="12"/>
      <c r="LKX6" s="13"/>
      <c r="LKY6" s="12"/>
      <c r="LKZ6" s="11"/>
      <c r="LLA6" s="13"/>
      <c r="LLB6" s="12"/>
      <c r="LLC6" s="12"/>
      <c r="LLD6" s="11"/>
      <c r="LLE6" s="13"/>
      <c r="LLF6" s="5"/>
      <c r="LLG6" s="5"/>
      <c r="LLH6" s="5"/>
      <c r="LLI6" s="5"/>
      <c r="LLJ6" s="5"/>
      <c r="LLK6" s="5"/>
      <c r="LLL6" s="5"/>
      <c r="LLM6" s="5"/>
      <c r="LLN6" s="5"/>
      <c r="LLO6" s="5"/>
      <c r="LLP6" s="5"/>
      <c r="LLQ6" s="10"/>
      <c r="LLR6" s="11"/>
      <c r="LLS6" s="12"/>
      <c r="LLT6" s="13"/>
      <c r="LLU6" s="12"/>
      <c r="LLV6" s="11"/>
      <c r="LLW6" s="13"/>
      <c r="LLX6" s="12"/>
      <c r="LLY6" s="12"/>
      <c r="LLZ6" s="11"/>
      <c r="LMA6" s="13"/>
      <c r="LMB6" s="5"/>
      <c r="LMC6" s="5"/>
      <c r="LMD6" s="5"/>
      <c r="LME6" s="5"/>
      <c r="LMF6" s="5"/>
      <c r="LMG6" s="5"/>
      <c r="LMH6" s="5"/>
      <c r="LMI6" s="5"/>
      <c r="LMJ6" s="5"/>
      <c r="LMK6" s="5"/>
      <c r="LML6" s="5"/>
      <c r="LMM6" s="10"/>
      <c r="LMN6" s="11"/>
      <c r="LMO6" s="12"/>
      <c r="LMP6" s="13"/>
      <c r="LMQ6" s="12"/>
      <c r="LMR6" s="11"/>
      <c r="LMS6" s="13"/>
      <c r="LMT6" s="12"/>
      <c r="LMU6" s="12"/>
      <c r="LMV6" s="11"/>
      <c r="LMW6" s="13"/>
      <c r="LMX6" s="5"/>
      <c r="LMY6" s="5"/>
      <c r="LMZ6" s="5"/>
      <c r="LNA6" s="5"/>
      <c r="LNB6" s="5"/>
      <c r="LNC6" s="5"/>
      <c r="LND6" s="5"/>
      <c r="LNE6" s="5"/>
      <c r="LNF6" s="5"/>
      <c r="LNG6" s="5"/>
      <c r="LNH6" s="5"/>
      <c r="LNI6" s="10"/>
      <c r="LNJ6" s="11"/>
      <c r="LNK6" s="12"/>
      <c r="LNL6" s="13"/>
      <c r="LNM6" s="12"/>
      <c r="LNN6" s="11"/>
      <c r="LNO6" s="13"/>
      <c r="LNP6" s="12"/>
      <c r="LNQ6" s="12"/>
      <c r="LNR6" s="11"/>
      <c r="LNS6" s="13"/>
      <c r="LNT6" s="5"/>
      <c r="LNU6" s="5"/>
      <c r="LNV6" s="5"/>
      <c r="LNW6" s="5"/>
      <c r="LNX6" s="5"/>
      <c r="LNY6" s="5"/>
      <c r="LNZ6" s="5"/>
      <c r="LOA6" s="5"/>
      <c r="LOB6" s="5"/>
      <c r="LOC6" s="5"/>
      <c r="LOD6" s="5"/>
      <c r="LOE6" s="10"/>
      <c r="LOF6" s="11"/>
      <c r="LOG6" s="12"/>
      <c r="LOH6" s="13"/>
      <c r="LOI6" s="12"/>
      <c r="LOJ6" s="11"/>
      <c r="LOK6" s="13"/>
      <c r="LOL6" s="12"/>
      <c r="LOM6" s="12"/>
      <c r="LON6" s="11"/>
      <c r="LOO6" s="13"/>
      <c r="LOP6" s="5"/>
      <c r="LOQ6" s="5"/>
      <c r="LOR6" s="5"/>
      <c r="LOS6" s="5"/>
      <c r="LOT6" s="5"/>
      <c r="LOU6" s="5"/>
      <c r="LOV6" s="5"/>
      <c r="LOW6" s="5"/>
      <c r="LOX6" s="5"/>
      <c r="LOY6" s="5"/>
      <c r="LOZ6" s="5"/>
      <c r="LPA6" s="10"/>
      <c r="LPB6" s="11"/>
      <c r="LPC6" s="12"/>
      <c r="LPD6" s="13"/>
      <c r="LPE6" s="12"/>
      <c r="LPF6" s="11"/>
      <c r="LPG6" s="13"/>
      <c r="LPH6" s="12"/>
      <c r="LPI6" s="12"/>
      <c r="LPJ6" s="11"/>
      <c r="LPK6" s="13"/>
      <c r="LPL6" s="5"/>
      <c r="LPM6" s="5"/>
      <c r="LPN6" s="5"/>
      <c r="LPO6" s="5"/>
      <c r="LPP6" s="5"/>
      <c r="LPQ6" s="5"/>
      <c r="LPR6" s="5"/>
      <c r="LPS6" s="5"/>
      <c r="LPT6" s="5"/>
      <c r="LPU6" s="5"/>
      <c r="LPV6" s="5"/>
      <c r="LPW6" s="10"/>
      <c r="LPX6" s="11"/>
      <c r="LPY6" s="12"/>
      <c r="LPZ6" s="13"/>
      <c r="LQA6" s="12"/>
      <c r="LQB6" s="11"/>
      <c r="LQC6" s="13"/>
      <c r="LQD6" s="12"/>
      <c r="LQE6" s="12"/>
      <c r="LQF6" s="11"/>
      <c r="LQG6" s="13"/>
      <c r="LQH6" s="5"/>
      <c r="LQI6" s="5"/>
      <c r="LQJ6" s="5"/>
      <c r="LQK6" s="5"/>
      <c r="LQL6" s="5"/>
      <c r="LQM6" s="5"/>
      <c r="LQN6" s="5"/>
      <c r="LQO6" s="5"/>
      <c r="LQP6" s="5"/>
      <c r="LQQ6" s="5"/>
      <c r="LQR6" s="5"/>
      <c r="LQS6" s="10"/>
      <c r="LQT6" s="11"/>
      <c r="LQU6" s="12"/>
      <c r="LQV6" s="13"/>
      <c r="LQW6" s="12"/>
      <c r="LQX6" s="11"/>
      <c r="LQY6" s="13"/>
      <c r="LQZ6" s="12"/>
      <c r="LRA6" s="12"/>
      <c r="LRB6" s="11"/>
      <c r="LRC6" s="13"/>
      <c r="LRD6" s="5"/>
      <c r="LRE6" s="5"/>
      <c r="LRF6" s="5"/>
      <c r="LRG6" s="5"/>
      <c r="LRH6" s="5"/>
      <c r="LRI6" s="5"/>
      <c r="LRJ6" s="5"/>
      <c r="LRK6" s="5"/>
      <c r="LRL6" s="5"/>
      <c r="LRM6" s="5"/>
      <c r="LRN6" s="5"/>
      <c r="LRO6" s="10"/>
      <c r="LRP6" s="11"/>
      <c r="LRQ6" s="12"/>
      <c r="LRR6" s="13"/>
      <c r="LRS6" s="12"/>
      <c r="LRT6" s="11"/>
      <c r="LRU6" s="13"/>
      <c r="LRV6" s="12"/>
      <c r="LRW6" s="12"/>
      <c r="LRX6" s="11"/>
      <c r="LRY6" s="13"/>
      <c r="LRZ6" s="5"/>
      <c r="LSA6" s="5"/>
      <c r="LSB6" s="5"/>
      <c r="LSC6" s="5"/>
      <c r="LSD6" s="5"/>
      <c r="LSE6" s="5"/>
      <c r="LSF6" s="5"/>
      <c r="LSG6" s="5"/>
      <c r="LSH6" s="5"/>
      <c r="LSI6" s="5"/>
      <c r="LSJ6" s="5"/>
      <c r="LSK6" s="10"/>
      <c r="LSL6" s="11"/>
      <c r="LSM6" s="12"/>
      <c r="LSN6" s="13"/>
      <c r="LSO6" s="12"/>
      <c r="LSP6" s="11"/>
      <c r="LSQ6" s="13"/>
      <c r="LSR6" s="12"/>
      <c r="LSS6" s="12"/>
      <c r="LST6" s="11"/>
      <c r="LSU6" s="13"/>
      <c r="LSV6" s="5"/>
      <c r="LSW6" s="5"/>
      <c r="LSX6" s="5"/>
      <c r="LSY6" s="5"/>
      <c r="LSZ6" s="5"/>
      <c r="LTA6" s="5"/>
      <c r="LTB6" s="5"/>
      <c r="LTC6" s="5"/>
      <c r="LTD6" s="5"/>
      <c r="LTE6" s="5"/>
      <c r="LTF6" s="5"/>
      <c r="LTG6" s="10"/>
      <c r="LTH6" s="11"/>
      <c r="LTI6" s="12"/>
      <c r="LTJ6" s="13"/>
      <c r="LTK6" s="12"/>
      <c r="LTL6" s="11"/>
      <c r="LTM6" s="13"/>
      <c r="LTN6" s="12"/>
      <c r="LTO6" s="12"/>
      <c r="LTP6" s="11"/>
      <c r="LTQ6" s="13"/>
      <c r="LTR6" s="5"/>
      <c r="LTS6" s="5"/>
      <c r="LTT6" s="5"/>
      <c r="LTU6" s="5"/>
      <c r="LTV6" s="5"/>
      <c r="LTW6" s="5"/>
      <c r="LTX6" s="5"/>
      <c r="LTY6" s="5"/>
      <c r="LTZ6" s="5"/>
      <c r="LUA6" s="5"/>
      <c r="LUB6" s="5"/>
      <c r="LUC6" s="10"/>
      <c r="LUD6" s="11"/>
      <c r="LUE6" s="12"/>
      <c r="LUF6" s="13"/>
      <c r="LUG6" s="12"/>
      <c r="LUH6" s="11"/>
      <c r="LUI6" s="13"/>
      <c r="LUJ6" s="12"/>
      <c r="LUK6" s="12"/>
      <c r="LUL6" s="11"/>
      <c r="LUM6" s="13"/>
      <c r="LUN6" s="5"/>
      <c r="LUO6" s="5"/>
      <c r="LUP6" s="5"/>
      <c r="LUQ6" s="5"/>
      <c r="LUR6" s="5"/>
      <c r="LUS6" s="5"/>
      <c r="LUT6" s="5"/>
      <c r="LUU6" s="5"/>
      <c r="LUV6" s="5"/>
      <c r="LUW6" s="5"/>
      <c r="LUX6" s="5"/>
      <c r="LUY6" s="10"/>
      <c r="LUZ6" s="11"/>
      <c r="LVA6" s="12"/>
      <c r="LVB6" s="13"/>
      <c r="LVC6" s="12"/>
      <c r="LVD6" s="11"/>
      <c r="LVE6" s="13"/>
      <c r="LVF6" s="12"/>
      <c r="LVG6" s="12"/>
      <c r="LVH6" s="11"/>
      <c r="LVI6" s="13"/>
      <c r="LVJ6" s="5"/>
      <c r="LVK6" s="5"/>
      <c r="LVL6" s="5"/>
      <c r="LVM6" s="5"/>
      <c r="LVN6" s="5"/>
      <c r="LVO6" s="5"/>
      <c r="LVP6" s="5"/>
      <c r="LVQ6" s="5"/>
      <c r="LVR6" s="5"/>
      <c r="LVS6" s="5"/>
      <c r="LVT6" s="5"/>
      <c r="LVU6" s="10"/>
      <c r="LVV6" s="11"/>
      <c r="LVW6" s="12"/>
      <c r="LVX6" s="13"/>
      <c r="LVY6" s="12"/>
      <c r="LVZ6" s="11"/>
      <c r="LWA6" s="13"/>
      <c r="LWB6" s="12"/>
      <c r="LWC6" s="12"/>
      <c r="LWD6" s="11"/>
      <c r="LWE6" s="13"/>
      <c r="LWF6" s="5"/>
      <c r="LWG6" s="5"/>
      <c r="LWH6" s="5"/>
      <c r="LWI6" s="5"/>
      <c r="LWJ6" s="5"/>
      <c r="LWK6" s="5"/>
      <c r="LWL6" s="5"/>
      <c r="LWM6" s="5"/>
      <c r="LWN6" s="5"/>
      <c r="LWO6" s="5"/>
      <c r="LWP6" s="5"/>
      <c r="LWQ6" s="10"/>
      <c r="LWR6" s="11"/>
      <c r="LWS6" s="12"/>
      <c r="LWT6" s="13"/>
      <c r="LWU6" s="12"/>
      <c r="LWV6" s="11"/>
      <c r="LWW6" s="13"/>
      <c r="LWX6" s="12"/>
      <c r="LWY6" s="12"/>
      <c r="LWZ6" s="11"/>
      <c r="LXA6" s="13"/>
      <c r="LXB6" s="5"/>
      <c r="LXC6" s="5"/>
      <c r="LXD6" s="5"/>
      <c r="LXE6" s="5"/>
      <c r="LXF6" s="5"/>
      <c r="LXG6" s="5"/>
      <c r="LXH6" s="5"/>
      <c r="LXI6" s="5"/>
      <c r="LXJ6" s="5"/>
      <c r="LXK6" s="5"/>
      <c r="LXL6" s="5"/>
      <c r="LXM6" s="10"/>
      <c r="LXN6" s="11"/>
      <c r="LXO6" s="12"/>
      <c r="LXP6" s="13"/>
      <c r="LXQ6" s="12"/>
      <c r="LXR6" s="11"/>
      <c r="LXS6" s="13"/>
      <c r="LXT6" s="12"/>
      <c r="LXU6" s="12"/>
      <c r="LXV6" s="11"/>
      <c r="LXW6" s="13"/>
      <c r="LXX6" s="5"/>
      <c r="LXY6" s="5"/>
      <c r="LXZ6" s="5"/>
      <c r="LYA6" s="5"/>
      <c r="LYB6" s="5"/>
      <c r="LYC6" s="5"/>
      <c r="LYD6" s="5"/>
      <c r="LYE6" s="5"/>
      <c r="LYF6" s="5"/>
      <c r="LYG6" s="5"/>
      <c r="LYH6" s="5"/>
      <c r="LYI6" s="10"/>
      <c r="LYJ6" s="11"/>
      <c r="LYK6" s="12"/>
      <c r="LYL6" s="13"/>
      <c r="LYM6" s="12"/>
      <c r="LYN6" s="11"/>
      <c r="LYO6" s="13"/>
      <c r="LYP6" s="12"/>
      <c r="LYQ6" s="12"/>
      <c r="LYR6" s="11"/>
      <c r="LYS6" s="13"/>
      <c r="LYT6" s="5"/>
      <c r="LYU6" s="5"/>
      <c r="LYV6" s="5"/>
      <c r="LYW6" s="5"/>
      <c r="LYX6" s="5"/>
      <c r="LYY6" s="5"/>
      <c r="LYZ6" s="5"/>
      <c r="LZA6" s="5"/>
      <c r="LZB6" s="5"/>
      <c r="LZC6" s="5"/>
      <c r="LZD6" s="5"/>
      <c r="LZE6" s="10"/>
      <c r="LZF6" s="11"/>
      <c r="LZG6" s="12"/>
      <c r="LZH6" s="13"/>
      <c r="LZI6" s="12"/>
      <c r="LZJ6" s="11"/>
      <c r="LZK6" s="13"/>
      <c r="LZL6" s="12"/>
      <c r="LZM6" s="12"/>
      <c r="LZN6" s="11"/>
      <c r="LZO6" s="13"/>
      <c r="LZP6" s="5"/>
      <c r="LZQ6" s="5"/>
      <c r="LZR6" s="5"/>
      <c r="LZS6" s="5"/>
      <c r="LZT6" s="5"/>
      <c r="LZU6" s="5"/>
      <c r="LZV6" s="5"/>
      <c r="LZW6" s="5"/>
      <c r="LZX6" s="5"/>
      <c r="LZY6" s="5"/>
      <c r="LZZ6" s="5"/>
      <c r="MAA6" s="10"/>
      <c r="MAB6" s="11"/>
      <c r="MAC6" s="12"/>
      <c r="MAD6" s="13"/>
      <c r="MAE6" s="12"/>
      <c r="MAF6" s="11"/>
      <c r="MAG6" s="13"/>
      <c r="MAH6" s="12"/>
      <c r="MAI6" s="12"/>
      <c r="MAJ6" s="11"/>
      <c r="MAK6" s="13"/>
      <c r="MAL6" s="5"/>
      <c r="MAM6" s="5"/>
      <c r="MAN6" s="5"/>
      <c r="MAO6" s="5"/>
      <c r="MAP6" s="5"/>
      <c r="MAQ6" s="5"/>
      <c r="MAR6" s="5"/>
      <c r="MAS6" s="5"/>
      <c r="MAT6" s="5"/>
      <c r="MAU6" s="5"/>
      <c r="MAV6" s="5"/>
      <c r="MAW6" s="10"/>
      <c r="MAX6" s="11"/>
      <c r="MAY6" s="12"/>
      <c r="MAZ6" s="13"/>
      <c r="MBA6" s="12"/>
      <c r="MBB6" s="11"/>
      <c r="MBC6" s="13"/>
      <c r="MBD6" s="12"/>
      <c r="MBE6" s="12"/>
      <c r="MBF6" s="11"/>
      <c r="MBG6" s="13"/>
      <c r="MBH6" s="5"/>
      <c r="MBI6" s="5"/>
      <c r="MBJ6" s="5"/>
      <c r="MBK6" s="5"/>
      <c r="MBL6" s="5"/>
      <c r="MBM6" s="5"/>
      <c r="MBN6" s="5"/>
      <c r="MBO6" s="5"/>
      <c r="MBP6" s="5"/>
      <c r="MBQ6" s="5"/>
      <c r="MBR6" s="5"/>
      <c r="MBS6" s="10"/>
      <c r="MBT6" s="11"/>
      <c r="MBU6" s="12"/>
      <c r="MBV6" s="13"/>
      <c r="MBW6" s="12"/>
      <c r="MBX6" s="11"/>
      <c r="MBY6" s="13"/>
      <c r="MBZ6" s="12"/>
      <c r="MCA6" s="12"/>
      <c r="MCB6" s="11"/>
      <c r="MCC6" s="13"/>
      <c r="MCD6" s="5"/>
      <c r="MCE6" s="5"/>
      <c r="MCF6" s="5"/>
      <c r="MCG6" s="5"/>
      <c r="MCH6" s="5"/>
      <c r="MCI6" s="5"/>
      <c r="MCJ6" s="5"/>
      <c r="MCK6" s="5"/>
      <c r="MCL6" s="5"/>
      <c r="MCM6" s="5"/>
      <c r="MCN6" s="5"/>
      <c r="MCO6" s="10"/>
      <c r="MCP6" s="11"/>
      <c r="MCQ6" s="12"/>
      <c r="MCR6" s="13"/>
      <c r="MCS6" s="12"/>
      <c r="MCT6" s="11"/>
      <c r="MCU6" s="13"/>
      <c r="MCV6" s="12"/>
      <c r="MCW6" s="12"/>
      <c r="MCX6" s="11"/>
      <c r="MCY6" s="13"/>
      <c r="MCZ6" s="5"/>
      <c r="MDA6" s="5"/>
      <c r="MDB6" s="5"/>
      <c r="MDC6" s="5"/>
      <c r="MDD6" s="5"/>
      <c r="MDE6" s="5"/>
      <c r="MDF6" s="5"/>
      <c r="MDG6" s="5"/>
      <c r="MDH6" s="5"/>
      <c r="MDI6" s="5"/>
      <c r="MDJ6" s="5"/>
      <c r="MDK6" s="10"/>
      <c r="MDL6" s="11"/>
      <c r="MDM6" s="12"/>
      <c r="MDN6" s="13"/>
      <c r="MDO6" s="12"/>
      <c r="MDP6" s="11"/>
      <c r="MDQ6" s="13"/>
      <c r="MDR6" s="12"/>
      <c r="MDS6" s="12"/>
      <c r="MDT6" s="11"/>
      <c r="MDU6" s="13"/>
      <c r="MDV6" s="5"/>
      <c r="MDW6" s="5"/>
      <c r="MDX6" s="5"/>
      <c r="MDY6" s="5"/>
      <c r="MDZ6" s="5"/>
      <c r="MEA6" s="5"/>
      <c r="MEB6" s="5"/>
      <c r="MEC6" s="5"/>
      <c r="MED6" s="5"/>
      <c r="MEE6" s="5"/>
      <c r="MEF6" s="5"/>
      <c r="MEG6" s="10"/>
      <c r="MEH6" s="11"/>
      <c r="MEI6" s="12"/>
      <c r="MEJ6" s="13"/>
      <c r="MEK6" s="12"/>
      <c r="MEL6" s="11"/>
      <c r="MEM6" s="13"/>
      <c r="MEN6" s="12"/>
      <c r="MEO6" s="12"/>
      <c r="MEP6" s="11"/>
      <c r="MEQ6" s="13"/>
      <c r="MER6" s="5"/>
      <c r="MES6" s="5"/>
      <c r="MET6" s="5"/>
      <c r="MEU6" s="5"/>
      <c r="MEV6" s="5"/>
      <c r="MEW6" s="5"/>
      <c r="MEX6" s="5"/>
      <c r="MEY6" s="5"/>
      <c r="MEZ6" s="5"/>
      <c r="MFA6" s="5"/>
      <c r="MFB6" s="5"/>
      <c r="MFC6" s="10"/>
      <c r="MFD6" s="11"/>
      <c r="MFE6" s="12"/>
      <c r="MFF6" s="13"/>
      <c r="MFG6" s="12"/>
      <c r="MFH6" s="11"/>
      <c r="MFI6" s="13"/>
      <c r="MFJ6" s="12"/>
      <c r="MFK6" s="12"/>
      <c r="MFL6" s="11"/>
      <c r="MFM6" s="13"/>
      <c r="MFN6" s="5"/>
      <c r="MFO6" s="5"/>
      <c r="MFP6" s="5"/>
      <c r="MFQ6" s="5"/>
      <c r="MFR6" s="5"/>
      <c r="MFS6" s="5"/>
      <c r="MFT6" s="5"/>
      <c r="MFU6" s="5"/>
      <c r="MFV6" s="5"/>
      <c r="MFW6" s="5"/>
      <c r="MFX6" s="5"/>
      <c r="MFY6" s="10"/>
      <c r="MFZ6" s="11"/>
      <c r="MGA6" s="12"/>
      <c r="MGB6" s="13"/>
      <c r="MGC6" s="12"/>
      <c r="MGD6" s="11"/>
      <c r="MGE6" s="13"/>
      <c r="MGF6" s="12"/>
      <c r="MGG6" s="12"/>
      <c r="MGH6" s="11"/>
      <c r="MGI6" s="13"/>
      <c r="MGJ6" s="5"/>
      <c r="MGK6" s="5"/>
      <c r="MGL6" s="5"/>
      <c r="MGM6" s="5"/>
      <c r="MGN6" s="5"/>
      <c r="MGO6" s="5"/>
      <c r="MGP6" s="5"/>
      <c r="MGQ6" s="5"/>
      <c r="MGR6" s="5"/>
      <c r="MGS6" s="5"/>
      <c r="MGT6" s="5"/>
      <c r="MGU6" s="10"/>
      <c r="MGV6" s="11"/>
      <c r="MGW6" s="12"/>
      <c r="MGX6" s="13"/>
      <c r="MGY6" s="12"/>
      <c r="MGZ6" s="11"/>
      <c r="MHA6" s="13"/>
      <c r="MHB6" s="12"/>
      <c r="MHC6" s="12"/>
      <c r="MHD6" s="11"/>
      <c r="MHE6" s="13"/>
      <c r="MHF6" s="5"/>
      <c r="MHG6" s="5"/>
      <c r="MHH6" s="5"/>
      <c r="MHI6" s="5"/>
      <c r="MHJ6" s="5"/>
      <c r="MHK6" s="5"/>
      <c r="MHL6" s="5"/>
      <c r="MHM6" s="5"/>
      <c r="MHN6" s="5"/>
      <c r="MHO6" s="5"/>
      <c r="MHP6" s="5"/>
      <c r="MHQ6" s="10"/>
      <c r="MHR6" s="11"/>
      <c r="MHS6" s="12"/>
      <c r="MHT6" s="13"/>
      <c r="MHU6" s="12"/>
      <c r="MHV6" s="11"/>
      <c r="MHW6" s="13"/>
      <c r="MHX6" s="12"/>
      <c r="MHY6" s="12"/>
      <c r="MHZ6" s="11"/>
      <c r="MIA6" s="13"/>
      <c r="MIB6" s="5"/>
      <c r="MIC6" s="5"/>
      <c r="MID6" s="5"/>
      <c r="MIE6" s="5"/>
      <c r="MIF6" s="5"/>
      <c r="MIG6" s="5"/>
      <c r="MIH6" s="5"/>
      <c r="MII6" s="5"/>
      <c r="MIJ6" s="5"/>
      <c r="MIK6" s="5"/>
      <c r="MIL6" s="5"/>
      <c r="MIM6" s="10"/>
      <c r="MIN6" s="11"/>
      <c r="MIO6" s="12"/>
      <c r="MIP6" s="13"/>
      <c r="MIQ6" s="12"/>
      <c r="MIR6" s="11"/>
      <c r="MIS6" s="13"/>
      <c r="MIT6" s="12"/>
      <c r="MIU6" s="12"/>
      <c r="MIV6" s="11"/>
      <c r="MIW6" s="13"/>
      <c r="MIX6" s="5"/>
      <c r="MIY6" s="5"/>
      <c r="MIZ6" s="5"/>
      <c r="MJA6" s="5"/>
      <c r="MJB6" s="5"/>
      <c r="MJC6" s="5"/>
      <c r="MJD6" s="5"/>
      <c r="MJE6" s="5"/>
      <c r="MJF6" s="5"/>
      <c r="MJG6" s="5"/>
      <c r="MJH6" s="5"/>
      <c r="MJI6" s="10"/>
      <c r="MJJ6" s="11"/>
      <c r="MJK6" s="12"/>
      <c r="MJL6" s="13"/>
      <c r="MJM6" s="12"/>
      <c r="MJN6" s="11"/>
      <c r="MJO6" s="13"/>
      <c r="MJP6" s="12"/>
      <c r="MJQ6" s="12"/>
      <c r="MJR6" s="11"/>
      <c r="MJS6" s="13"/>
      <c r="MJT6" s="5"/>
      <c r="MJU6" s="5"/>
      <c r="MJV6" s="5"/>
      <c r="MJW6" s="5"/>
      <c r="MJX6" s="5"/>
      <c r="MJY6" s="5"/>
      <c r="MJZ6" s="5"/>
      <c r="MKA6" s="5"/>
      <c r="MKB6" s="5"/>
      <c r="MKC6" s="5"/>
      <c r="MKD6" s="5"/>
      <c r="MKE6" s="10"/>
      <c r="MKF6" s="11"/>
      <c r="MKG6" s="12"/>
      <c r="MKH6" s="13"/>
      <c r="MKI6" s="12"/>
      <c r="MKJ6" s="11"/>
      <c r="MKK6" s="13"/>
      <c r="MKL6" s="12"/>
      <c r="MKM6" s="12"/>
      <c r="MKN6" s="11"/>
      <c r="MKO6" s="13"/>
      <c r="MKP6" s="5"/>
      <c r="MKQ6" s="5"/>
      <c r="MKR6" s="5"/>
      <c r="MKS6" s="5"/>
      <c r="MKT6" s="5"/>
      <c r="MKU6" s="5"/>
      <c r="MKV6" s="5"/>
      <c r="MKW6" s="5"/>
      <c r="MKX6" s="5"/>
      <c r="MKY6" s="5"/>
      <c r="MKZ6" s="5"/>
      <c r="MLA6" s="10"/>
      <c r="MLB6" s="11"/>
      <c r="MLC6" s="12"/>
      <c r="MLD6" s="13"/>
      <c r="MLE6" s="12"/>
      <c r="MLF6" s="11"/>
      <c r="MLG6" s="13"/>
      <c r="MLH6" s="12"/>
      <c r="MLI6" s="12"/>
      <c r="MLJ6" s="11"/>
      <c r="MLK6" s="13"/>
      <c r="MLL6" s="5"/>
      <c r="MLM6" s="5"/>
      <c r="MLN6" s="5"/>
      <c r="MLO6" s="5"/>
      <c r="MLP6" s="5"/>
      <c r="MLQ6" s="5"/>
      <c r="MLR6" s="5"/>
      <c r="MLS6" s="5"/>
      <c r="MLT6" s="5"/>
      <c r="MLU6" s="5"/>
      <c r="MLV6" s="5"/>
      <c r="MLW6" s="10"/>
      <c r="MLX6" s="11"/>
      <c r="MLY6" s="12"/>
      <c r="MLZ6" s="13"/>
      <c r="MMA6" s="12"/>
      <c r="MMB6" s="11"/>
      <c r="MMC6" s="13"/>
      <c r="MMD6" s="12"/>
      <c r="MME6" s="12"/>
      <c r="MMF6" s="11"/>
      <c r="MMG6" s="13"/>
      <c r="MMH6" s="5"/>
      <c r="MMI6" s="5"/>
      <c r="MMJ6" s="5"/>
      <c r="MMK6" s="5"/>
      <c r="MML6" s="5"/>
      <c r="MMM6" s="5"/>
      <c r="MMN6" s="5"/>
      <c r="MMO6" s="5"/>
      <c r="MMP6" s="5"/>
      <c r="MMQ6" s="5"/>
      <c r="MMR6" s="5"/>
      <c r="MMS6" s="10"/>
      <c r="MMT6" s="11"/>
      <c r="MMU6" s="12"/>
      <c r="MMV6" s="13"/>
      <c r="MMW6" s="12"/>
      <c r="MMX6" s="11"/>
      <c r="MMY6" s="13"/>
      <c r="MMZ6" s="12"/>
      <c r="MNA6" s="12"/>
      <c r="MNB6" s="11"/>
      <c r="MNC6" s="13"/>
      <c r="MND6" s="5"/>
      <c r="MNE6" s="5"/>
      <c r="MNF6" s="5"/>
      <c r="MNG6" s="5"/>
      <c r="MNH6" s="5"/>
      <c r="MNI6" s="5"/>
      <c r="MNJ6" s="5"/>
      <c r="MNK6" s="5"/>
      <c r="MNL6" s="5"/>
      <c r="MNM6" s="5"/>
      <c r="MNN6" s="5"/>
      <c r="MNO6" s="10"/>
      <c r="MNP6" s="11"/>
      <c r="MNQ6" s="12"/>
      <c r="MNR6" s="13"/>
      <c r="MNS6" s="12"/>
      <c r="MNT6" s="11"/>
      <c r="MNU6" s="13"/>
      <c r="MNV6" s="12"/>
      <c r="MNW6" s="12"/>
      <c r="MNX6" s="11"/>
      <c r="MNY6" s="13"/>
      <c r="MNZ6" s="5"/>
      <c r="MOA6" s="5"/>
      <c r="MOB6" s="5"/>
      <c r="MOC6" s="5"/>
      <c r="MOD6" s="5"/>
      <c r="MOE6" s="5"/>
      <c r="MOF6" s="5"/>
      <c r="MOG6" s="5"/>
      <c r="MOH6" s="5"/>
      <c r="MOI6" s="5"/>
      <c r="MOJ6" s="5"/>
      <c r="MOK6" s="10"/>
      <c r="MOL6" s="11"/>
      <c r="MOM6" s="12"/>
      <c r="MON6" s="13"/>
      <c r="MOO6" s="12"/>
      <c r="MOP6" s="11"/>
      <c r="MOQ6" s="13"/>
      <c r="MOR6" s="12"/>
      <c r="MOS6" s="12"/>
      <c r="MOT6" s="11"/>
      <c r="MOU6" s="13"/>
      <c r="MOV6" s="5"/>
      <c r="MOW6" s="5"/>
      <c r="MOX6" s="5"/>
      <c r="MOY6" s="5"/>
      <c r="MOZ6" s="5"/>
      <c r="MPA6" s="5"/>
      <c r="MPB6" s="5"/>
      <c r="MPC6" s="5"/>
      <c r="MPD6" s="5"/>
      <c r="MPE6" s="5"/>
      <c r="MPF6" s="5"/>
      <c r="MPG6" s="10"/>
      <c r="MPH6" s="11"/>
      <c r="MPI6" s="12"/>
      <c r="MPJ6" s="13"/>
      <c r="MPK6" s="12"/>
      <c r="MPL6" s="11"/>
      <c r="MPM6" s="13"/>
      <c r="MPN6" s="12"/>
      <c r="MPO6" s="12"/>
      <c r="MPP6" s="11"/>
      <c r="MPQ6" s="13"/>
      <c r="MPR6" s="5"/>
      <c r="MPS6" s="5"/>
      <c r="MPT6" s="5"/>
      <c r="MPU6" s="5"/>
      <c r="MPV6" s="5"/>
      <c r="MPW6" s="5"/>
      <c r="MPX6" s="5"/>
      <c r="MPY6" s="5"/>
      <c r="MPZ6" s="5"/>
      <c r="MQA6" s="5"/>
      <c r="MQB6" s="5"/>
      <c r="MQC6" s="10"/>
      <c r="MQD6" s="11"/>
      <c r="MQE6" s="12"/>
      <c r="MQF6" s="13"/>
      <c r="MQG6" s="12"/>
      <c r="MQH6" s="11"/>
      <c r="MQI6" s="13"/>
      <c r="MQJ6" s="12"/>
      <c r="MQK6" s="12"/>
      <c r="MQL6" s="11"/>
      <c r="MQM6" s="13"/>
      <c r="MQN6" s="5"/>
      <c r="MQO6" s="5"/>
      <c r="MQP6" s="5"/>
      <c r="MQQ6" s="5"/>
      <c r="MQR6" s="5"/>
      <c r="MQS6" s="5"/>
      <c r="MQT6" s="5"/>
      <c r="MQU6" s="5"/>
      <c r="MQV6" s="5"/>
      <c r="MQW6" s="5"/>
      <c r="MQX6" s="5"/>
      <c r="MQY6" s="10"/>
      <c r="MQZ6" s="11"/>
      <c r="MRA6" s="12"/>
      <c r="MRB6" s="13"/>
      <c r="MRC6" s="12"/>
      <c r="MRD6" s="11"/>
      <c r="MRE6" s="13"/>
      <c r="MRF6" s="12"/>
      <c r="MRG6" s="12"/>
      <c r="MRH6" s="11"/>
      <c r="MRI6" s="13"/>
      <c r="MRJ6" s="5"/>
      <c r="MRK6" s="5"/>
      <c r="MRL6" s="5"/>
      <c r="MRM6" s="5"/>
      <c r="MRN6" s="5"/>
      <c r="MRO6" s="5"/>
      <c r="MRP6" s="5"/>
      <c r="MRQ6" s="5"/>
      <c r="MRR6" s="5"/>
      <c r="MRS6" s="5"/>
      <c r="MRT6" s="5"/>
      <c r="MRU6" s="10"/>
      <c r="MRV6" s="11"/>
      <c r="MRW6" s="12"/>
      <c r="MRX6" s="13"/>
      <c r="MRY6" s="12"/>
      <c r="MRZ6" s="11"/>
      <c r="MSA6" s="13"/>
      <c r="MSB6" s="12"/>
      <c r="MSC6" s="12"/>
      <c r="MSD6" s="11"/>
      <c r="MSE6" s="13"/>
      <c r="MSF6" s="5"/>
      <c r="MSG6" s="5"/>
      <c r="MSH6" s="5"/>
      <c r="MSI6" s="5"/>
      <c r="MSJ6" s="5"/>
      <c r="MSK6" s="5"/>
      <c r="MSL6" s="5"/>
      <c r="MSM6" s="5"/>
      <c r="MSN6" s="5"/>
      <c r="MSO6" s="5"/>
      <c r="MSP6" s="5"/>
      <c r="MSQ6" s="10"/>
      <c r="MSR6" s="11"/>
      <c r="MSS6" s="12"/>
      <c r="MST6" s="13"/>
      <c r="MSU6" s="12"/>
      <c r="MSV6" s="11"/>
      <c r="MSW6" s="13"/>
      <c r="MSX6" s="12"/>
      <c r="MSY6" s="12"/>
      <c r="MSZ6" s="11"/>
      <c r="MTA6" s="13"/>
      <c r="MTB6" s="5"/>
      <c r="MTC6" s="5"/>
      <c r="MTD6" s="5"/>
      <c r="MTE6" s="5"/>
      <c r="MTF6" s="5"/>
      <c r="MTG6" s="5"/>
      <c r="MTH6" s="5"/>
      <c r="MTI6" s="5"/>
      <c r="MTJ6" s="5"/>
      <c r="MTK6" s="5"/>
      <c r="MTL6" s="5"/>
      <c r="MTM6" s="10"/>
      <c r="MTN6" s="11"/>
      <c r="MTO6" s="12"/>
      <c r="MTP6" s="13"/>
      <c r="MTQ6" s="12"/>
      <c r="MTR6" s="11"/>
      <c r="MTS6" s="13"/>
      <c r="MTT6" s="12"/>
      <c r="MTU6" s="12"/>
      <c r="MTV6" s="11"/>
      <c r="MTW6" s="13"/>
      <c r="MTX6" s="5"/>
      <c r="MTY6" s="5"/>
      <c r="MTZ6" s="5"/>
      <c r="MUA6" s="5"/>
      <c r="MUB6" s="5"/>
      <c r="MUC6" s="5"/>
      <c r="MUD6" s="5"/>
      <c r="MUE6" s="5"/>
      <c r="MUF6" s="5"/>
      <c r="MUG6" s="5"/>
      <c r="MUH6" s="5"/>
      <c r="MUI6" s="10"/>
      <c r="MUJ6" s="11"/>
      <c r="MUK6" s="12"/>
      <c r="MUL6" s="13"/>
      <c r="MUM6" s="12"/>
      <c r="MUN6" s="11"/>
      <c r="MUO6" s="13"/>
      <c r="MUP6" s="12"/>
      <c r="MUQ6" s="12"/>
      <c r="MUR6" s="11"/>
      <c r="MUS6" s="13"/>
      <c r="MUT6" s="5"/>
      <c r="MUU6" s="5"/>
      <c r="MUV6" s="5"/>
      <c r="MUW6" s="5"/>
      <c r="MUX6" s="5"/>
      <c r="MUY6" s="5"/>
      <c r="MUZ6" s="5"/>
      <c r="MVA6" s="5"/>
      <c r="MVB6" s="5"/>
      <c r="MVC6" s="5"/>
      <c r="MVD6" s="5"/>
      <c r="MVE6" s="10"/>
      <c r="MVF6" s="11"/>
      <c r="MVG6" s="12"/>
      <c r="MVH6" s="13"/>
      <c r="MVI6" s="12"/>
      <c r="MVJ6" s="11"/>
      <c r="MVK6" s="13"/>
      <c r="MVL6" s="12"/>
      <c r="MVM6" s="12"/>
      <c r="MVN6" s="11"/>
      <c r="MVO6" s="13"/>
      <c r="MVP6" s="5"/>
      <c r="MVQ6" s="5"/>
      <c r="MVR6" s="5"/>
      <c r="MVS6" s="5"/>
      <c r="MVT6" s="5"/>
      <c r="MVU6" s="5"/>
      <c r="MVV6" s="5"/>
      <c r="MVW6" s="5"/>
      <c r="MVX6" s="5"/>
      <c r="MVY6" s="5"/>
      <c r="MVZ6" s="5"/>
      <c r="MWA6" s="10"/>
      <c r="MWB6" s="11"/>
      <c r="MWC6" s="12"/>
      <c r="MWD6" s="13"/>
      <c r="MWE6" s="12"/>
      <c r="MWF6" s="11"/>
      <c r="MWG6" s="13"/>
      <c r="MWH6" s="12"/>
      <c r="MWI6" s="12"/>
      <c r="MWJ6" s="11"/>
      <c r="MWK6" s="13"/>
      <c r="MWL6" s="5"/>
      <c r="MWM6" s="5"/>
      <c r="MWN6" s="5"/>
      <c r="MWO6" s="5"/>
      <c r="MWP6" s="5"/>
      <c r="MWQ6" s="5"/>
      <c r="MWR6" s="5"/>
      <c r="MWS6" s="5"/>
      <c r="MWT6" s="5"/>
      <c r="MWU6" s="5"/>
      <c r="MWV6" s="5"/>
      <c r="MWW6" s="10"/>
      <c r="MWX6" s="11"/>
      <c r="MWY6" s="12"/>
      <c r="MWZ6" s="13"/>
      <c r="MXA6" s="12"/>
      <c r="MXB6" s="11"/>
      <c r="MXC6" s="13"/>
      <c r="MXD6" s="12"/>
      <c r="MXE6" s="12"/>
      <c r="MXF6" s="11"/>
      <c r="MXG6" s="13"/>
      <c r="MXH6" s="5"/>
      <c r="MXI6" s="5"/>
      <c r="MXJ6" s="5"/>
      <c r="MXK6" s="5"/>
      <c r="MXL6" s="5"/>
      <c r="MXM6" s="5"/>
      <c r="MXN6" s="5"/>
      <c r="MXO6" s="5"/>
      <c r="MXP6" s="5"/>
      <c r="MXQ6" s="5"/>
      <c r="MXR6" s="5"/>
      <c r="MXS6" s="10"/>
      <c r="MXT6" s="11"/>
      <c r="MXU6" s="12"/>
      <c r="MXV6" s="13"/>
      <c r="MXW6" s="12"/>
      <c r="MXX6" s="11"/>
      <c r="MXY6" s="13"/>
      <c r="MXZ6" s="12"/>
      <c r="MYA6" s="12"/>
      <c r="MYB6" s="11"/>
      <c r="MYC6" s="13"/>
      <c r="MYD6" s="5"/>
      <c r="MYE6" s="5"/>
      <c r="MYF6" s="5"/>
      <c r="MYG6" s="5"/>
      <c r="MYH6" s="5"/>
      <c r="MYI6" s="5"/>
      <c r="MYJ6" s="5"/>
      <c r="MYK6" s="5"/>
      <c r="MYL6" s="5"/>
      <c r="MYM6" s="5"/>
      <c r="MYN6" s="5"/>
      <c r="MYO6" s="10"/>
      <c r="MYP6" s="11"/>
      <c r="MYQ6" s="12"/>
      <c r="MYR6" s="13"/>
      <c r="MYS6" s="12"/>
      <c r="MYT6" s="11"/>
      <c r="MYU6" s="13"/>
      <c r="MYV6" s="12"/>
      <c r="MYW6" s="12"/>
      <c r="MYX6" s="11"/>
      <c r="MYY6" s="13"/>
      <c r="MYZ6" s="5"/>
      <c r="MZA6" s="5"/>
      <c r="MZB6" s="5"/>
      <c r="MZC6" s="5"/>
      <c r="MZD6" s="5"/>
      <c r="MZE6" s="5"/>
      <c r="MZF6" s="5"/>
      <c r="MZG6" s="5"/>
      <c r="MZH6" s="5"/>
      <c r="MZI6" s="5"/>
      <c r="MZJ6" s="5"/>
      <c r="MZK6" s="10"/>
      <c r="MZL6" s="11"/>
      <c r="MZM6" s="12"/>
      <c r="MZN6" s="13"/>
      <c r="MZO6" s="12"/>
      <c r="MZP6" s="11"/>
      <c r="MZQ6" s="13"/>
      <c r="MZR6" s="12"/>
      <c r="MZS6" s="12"/>
      <c r="MZT6" s="11"/>
      <c r="MZU6" s="13"/>
      <c r="MZV6" s="5"/>
      <c r="MZW6" s="5"/>
      <c r="MZX6" s="5"/>
      <c r="MZY6" s="5"/>
      <c r="MZZ6" s="5"/>
      <c r="NAA6" s="5"/>
      <c r="NAB6" s="5"/>
      <c r="NAC6" s="5"/>
      <c r="NAD6" s="5"/>
      <c r="NAE6" s="5"/>
      <c r="NAF6" s="5"/>
      <c r="NAG6" s="10"/>
      <c r="NAH6" s="11"/>
      <c r="NAI6" s="12"/>
      <c r="NAJ6" s="13"/>
      <c r="NAK6" s="12"/>
      <c r="NAL6" s="11"/>
      <c r="NAM6" s="13"/>
      <c r="NAN6" s="12"/>
      <c r="NAO6" s="12"/>
      <c r="NAP6" s="11"/>
      <c r="NAQ6" s="13"/>
      <c r="NAR6" s="5"/>
      <c r="NAS6" s="5"/>
      <c r="NAT6" s="5"/>
      <c r="NAU6" s="5"/>
      <c r="NAV6" s="5"/>
      <c r="NAW6" s="5"/>
      <c r="NAX6" s="5"/>
      <c r="NAY6" s="5"/>
      <c r="NAZ6" s="5"/>
      <c r="NBA6" s="5"/>
      <c r="NBB6" s="5"/>
      <c r="NBC6" s="10"/>
      <c r="NBD6" s="11"/>
      <c r="NBE6" s="12"/>
      <c r="NBF6" s="13"/>
      <c r="NBG6" s="12"/>
      <c r="NBH6" s="11"/>
      <c r="NBI6" s="13"/>
      <c r="NBJ6" s="12"/>
      <c r="NBK6" s="12"/>
      <c r="NBL6" s="11"/>
      <c r="NBM6" s="13"/>
      <c r="NBN6" s="5"/>
      <c r="NBO6" s="5"/>
      <c r="NBP6" s="5"/>
      <c r="NBQ6" s="5"/>
      <c r="NBR6" s="5"/>
      <c r="NBS6" s="5"/>
      <c r="NBT6" s="5"/>
      <c r="NBU6" s="5"/>
      <c r="NBV6" s="5"/>
      <c r="NBW6" s="5"/>
      <c r="NBX6" s="5"/>
      <c r="NBY6" s="10"/>
      <c r="NBZ6" s="11"/>
      <c r="NCA6" s="12"/>
      <c r="NCB6" s="13"/>
      <c r="NCC6" s="12"/>
      <c r="NCD6" s="11"/>
      <c r="NCE6" s="13"/>
      <c r="NCF6" s="12"/>
      <c r="NCG6" s="12"/>
      <c r="NCH6" s="11"/>
      <c r="NCI6" s="13"/>
      <c r="NCJ6" s="5"/>
      <c r="NCK6" s="5"/>
      <c r="NCL6" s="5"/>
      <c r="NCM6" s="5"/>
      <c r="NCN6" s="5"/>
      <c r="NCO6" s="5"/>
      <c r="NCP6" s="5"/>
      <c r="NCQ6" s="5"/>
      <c r="NCR6" s="5"/>
      <c r="NCS6" s="5"/>
      <c r="NCT6" s="5"/>
      <c r="NCU6" s="10"/>
      <c r="NCV6" s="11"/>
      <c r="NCW6" s="12"/>
      <c r="NCX6" s="13"/>
      <c r="NCY6" s="12"/>
      <c r="NCZ6" s="11"/>
      <c r="NDA6" s="13"/>
      <c r="NDB6" s="12"/>
      <c r="NDC6" s="12"/>
      <c r="NDD6" s="11"/>
      <c r="NDE6" s="13"/>
      <c r="NDF6" s="5"/>
      <c r="NDG6" s="5"/>
      <c r="NDH6" s="5"/>
      <c r="NDI6" s="5"/>
      <c r="NDJ6" s="5"/>
      <c r="NDK6" s="5"/>
      <c r="NDL6" s="5"/>
      <c r="NDM6" s="5"/>
      <c r="NDN6" s="5"/>
      <c r="NDO6" s="5"/>
      <c r="NDP6" s="5"/>
      <c r="NDQ6" s="10"/>
      <c r="NDR6" s="11"/>
      <c r="NDS6" s="12"/>
      <c r="NDT6" s="13"/>
      <c r="NDU6" s="12"/>
      <c r="NDV6" s="11"/>
      <c r="NDW6" s="13"/>
      <c r="NDX6" s="12"/>
      <c r="NDY6" s="12"/>
      <c r="NDZ6" s="11"/>
      <c r="NEA6" s="13"/>
      <c r="NEB6" s="5"/>
      <c r="NEC6" s="5"/>
      <c r="NED6" s="5"/>
      <c r="NEE6" s="5"/>
      <c r="NEF6" s="5"/>
      <c r="NEG6" s="5"/>
      <c r="NEH6" s="5"/>
      <c r="NEI6" s="5"/>
      <c r="NEJ6" s="5"/>
      <c r="NEK6" s="5"/>
      <c r="NEL6" s="5"/>
      <c r="NEM6" s="10"/>
      <c r="NEN6" s="11"/>
      <c r="NEO6" s="12"/>
      <c r="NEP6" s="13"/>
      <c r="NEQ6" s="12"/>
      <c r="NER6" s="11"/>
      <c r="NES6" s="13"/>
      <c r="NET6" s="12"/>
      <c r="NEU6" s="12"/>
      <c r="NEV6" s="11"/>
      <c r="NEW6" s="13"/>
      <c r="NEX6" s="5"/>
      <c r="NEY6" s="5"/>
      <c r="NEZ6" s="5"/>
      <c r="NFA6" s="5"/>
      <c r="NFB6" s="5"/>
      <c r="NFC6" s="5"/>
      <c r="NFD6" s="5"/>
      <c r="NFE6" s="5"/>
      <c r="NFF6" s="5"/>
      <c r="NFG6" s="5"/>
      <c r="NFH6" s="5"/>
      <c r="NFI6" s="10"/>
      <c r="NFJ6" s="11"/>
      <c r="NFK6" s="12"/>
      <c r="NFL6" s="13"/>
      <c r="NFM6" s="12"/>
      <c r="NFN6" s="11"/>
      <c r="NFO6" s="13"/>
      <c r="NFP6" s="12"/>
      <c r="NFQ6" s="12"/>
      <c r="NFR6" s="11"/>
      <c r="NFS6" s="13"/>
      <c r="NFT6" s="5"/>
      <c r="NFU6" s="5"/>
      <c r="NFV6" s="5"/>
      <c r="NFW6" s="5"/>
      <c r="NFX6" s="5"/>
      <c r="NFY6" s="5"/>
      <c r="NFZ6" s="5"/>
      <c r="NGA6" s="5"/>
      <c r="NGB6" s="5"/>
      <c r="NGC6" s="5"/>
      <c r="NGD6" s="5"/>
      <c r="NGE6" s="10"/>
      <c r="NGF6" s="11"/>
      <c r="NGG6" s="12"/>
      <c r="NGH6" s="13"/>
      <c r="NGI6" s="12"/>
      <c r="NGJ6" s="11"/>
      <c r="NGK6" s="13"/>
      <c r="NGL6" s="12"/>
      <c r="NGM6" s="12"/>
      <c r="NGN6" s="11"/>
      <c r="NGO6" s="13"/>
      <c r="NGP6" s="5"/>
      <c r="NGQ6" s="5"/>
      <c r="NGR6" s="5"/>
      <c r="NGS6" s="5"/>
      <c r="NGT6" s="5"/>
      <c r="NGU6" s="5"/>
      <c r="NGV6" s="5"/>
      <c r="NGW6" s="5"/>
      <c r="NGX6" s="5"/>
      <c r="NGY6" s="5"/>
      <c r="NGZ6" s="5"/>
      <c r="NHA6" s="10"/>
      <c r="NHB6" s="11"/>
      <c r="NHC6" s="12"/>
      <c r="NHD6" s="13"/>
      <c r="NHE6" s="12"/>
      <c r="NHF6" s="11"/>
      <c r="NHG6" s="13"/>
      <c r="NHH6" s="12"/>
      <c r="NHI6" s="12"/>
      <c r="NHJ6" s="11"/>
      <c r="NHK6" s="13"/>
      <c r="NHL6" s="5"/>
      <c r="NHM6" s="5"/>
      <c r="NHN6" s="5"/>
      <c r="NHO6" s="5"/>
      <c r="NHP6" s="5"/>
      <c r="NHQ6" s="5"/>
      <c r="NHR6" s="5"/>
      <c r="NHS6" s="5"/>
      <c r="NHT6" s="5"/>
      <c r="NHU6" s="5"/>
      <c r="NHV6" s="5"/>
      <c r="NHW6" s="10"/>
      <c r="NHX6" s="11"/>
      <c r="NHY6" s="12"/>
      <c r="NHZ6" s="13"/>
      <c r="NIA6" s="12"/>
      <c r="NIB6" s="11"/>
      <c r="NIC6" s="13"/>
      <c r="NID6" s="12"/>
      <c r="NIE6" s="12"/>
      <c r="NIF6" s="11"/>
      <c r="NIG6" s="13"/>
      <c r="NIH6" s="5"/>
      <c r="NII6" s="5"/>
      <c r="NIJ6" s="5"/>
      <c r="NIK6" s="5"/>
      <c r="NIL6" s="5"/>
      <c r="NIM6" s="5"/>
      <c r="NIN6" s="5"/>
      <c r="NIO6" s="5"/>
      <c r="NIP6" s="5"/>
      <c r="NIQ6" s="5"/>
      <c r="NIR6" s="5"/>
      <c r="NIS6" s="10"/>
      <c r="NIT6" s="11"/>
      <c r="NIU6" s="12"/>
      <c r="NIV6" s="13"/>
      <c r="NIW6" s="12"/>
      <c r="NIX6" s="11"/>
      <c r="NIY6" s="13"/>
      <c r="NIZ6" s="12"/>
      <c r="NJA6" s="12"/>
      <c r="NJB6" s="11"/>
      <c r="NJC6" s="13"/>
      <c r="NJD6" s="5"/>
      <c r="NJE6" s="5"/>
      <c r="NJF6" s="5"/>
      <c r="NJG6" s="5"/>
      <c r="NJH6" s="5"/>
      <c r="NJI6" s="5"/>
      <c r="NJJ6" s="5"/>
      <c r="NJK6" s="5"/>
      <c r="NJL6" s="5"/>
      <c r="NJM6" s="5"/>
      <c r="NJN6" s="5"/>
      <c r="NJO6" s="10"/>
      <c r="NJP6" s="11"/>
      <c r="NJQ6" s="12"/>
      <c r="NJR6" s="13"/>
      <c r="NJS6" s="12"/>
      <c r="NJT6" s="11"/>
      <c r="NJU6" s="13"/>
      <c r="NJV6" s="12"/>
      <c r="NJW6" s="12"/>
      <c r="NJX6" s="11"/>
      <c r="NJY6" s="13"/>
      <c r="NJZ6" s="5"/>
      <c r="NKA6" s="5"/>
      <c r="NKB6" s="5"/>
      <c r="NKC6" s="5"/>
      <c r="NKD6" s="5"/>
      <c r="NKE6" s="5"/>
      <c r="NKF6" s="5"/>
      <c r="NKG6" s="5"/>
      <c r="NKH6" s="5"/>
      <c r="NKI6" s="5"/>
      <c r="NKJ6" s="5"/>
      <c r="NKK6" s="10"/>
      <c r="NKL6" s="11"/>
      <c r="NKM6" s="12"/>
      <c r="NKN6" s="13"/>
      <c r="NKO6" s="12"/>
      <c r="NKP6" s="11"/>
      <c r="NKQ6" s="13"/>
      <c r="NKR6" s="12"/>
      <c r="NKS6" s="12"/>
      <c r="NKT6" s="11"/>
      <c r="NKU6" s="13"/>
      <c r="NKV6" s="5"/>
      <c r="NKW6" s="5"/>
      <c r="NKX6" s="5"/>
      <c r="NKY6" s="5"/>
      <c r="NKZ6" s="5"/>
      <c r="NLA6" s="5"/>
      <c r="NLB6" s="5"/>
      <c r="NLC6" s="5"/>
      <c r="NLD6" s="5"/>
      <c r="NLE6" s="5"/>
      <c r="NLF6" s="5"/>
      <c r="NLG6" s="10"/>
      <c r="NLH6" s="11"/>
      <c r="NLI6" s="12"/>
      <c r="NLJ6" s="13"/>
      <c r="NLK6" s="12"/>
      <c r="NLL6" s="11"/>
      <c r="NLM6" s="13"/>
      <c r="NLN6" s="12"/>
      <c r="NLO6" s="12"/>
      <c r="NLP6" s="11"/>
      <c r="NLQ6" s="13"/>
      <c r="NLR6" s="5"/>
      <c r="NLS6" s="5"/>
      <c r="NLT6" s="5"/>
      <c r="NLU6" s="5"/>
      <c r="NLV6" s="5"/>
      <c r="NLW6" s="5"/>
      <c r="NLX6" s="5"/>
      <c r="NLY6" s="5"/>
      <c r="NLZ6" s="5"/>
      <c r="NMA6" s="5"/>
      <c r="NMB6" s="5"/>
      <c r="NMC6" s="10"/>
      <c r="NMD6" s="11"/>
      <c r="NME6" s="12"/>
      <c r="NMF6" s="13"/>
      <c r="NMG6" s="12"/>
      <c r="NMH6" s="11"/>
      <c r="NMI6" s="13"/>
      <c r="NMJ6" s="12"/>
      <c r="NMK6" s="12"/>
      <c r="NML6" s="11"/>
      <c r="NMM6" s="13"/>
      <c r="NMN6" s="5"/>
      <c r="NMO6" s="5"/>
      <c r="NMP6" s="5"/>
      <c r="NMQ6" s="5"/>
      <c r="NMR6" s="5"/>
      <c r="NMS6" s="5"/>
      <c r="NMT6" s="5"/>
      <c r="NMU6" s="5"/>
      <c r="NMV6" s="5"/>
      <c r="NMW6" s="5"/>
      <c r="NMX6" s="5"/>
      <c r="NMY6" s="10"/>
      <c r="NMZ6" s="11"/>
      <c r="NNA6" s="12"/>
      <c r="NNB6" s="13"/>
      <c r="NNC6" s="12"/>
      <c r="NND6" s="11"/>
      <c r="NNE6" s="13"/>
      <c r="NNF6" s="12"/>
      <c r="NNG6" s="12"/>
      <c r="NNH6" s="11"/>
      <c r="NNI6" s="13"/>
      <c r="NNJ6" s="5"/>
      <c r="NNK6" s="5"/>
      <c r="NNL6" s="5"/>
      <c r="NNM6" s="5"/>
      <c r="NNN6" s="5"/>
      <c r="NNO6" s="5"/>
      <c r="NNP6" s="5"/>
      <c r="NNQ6" s="5"/>
      <c r="NNR6" s="5"/>
      <c r="NNS6" s="5"/>
      <c r="NNT6" s="5"/>
      <c r="NNU6" s="10"/>
      <c r="NNV6" s="11"/>
      <c r="NNW6" s="12"/>
      <c r="NNX6" s="13"/>
      <c r="NNY6" s="12"/>
      <c r="NNZ6" s="11"/>
      <c r="NOA6" s="13"/>
      <c r="NOB6" s="12"/>
      <c r="NOC6" s="12"/>
      <c r="NOD6" s="11"/>
      <c r="NOE6" s="13"/>
      <c r="NOF6" s="5"/>
      <c r="NOG6" s="5"/>
      <c r="NOH6" s="5"/>
      <c r="NOI6" s="5"/>
      <c r="NOJ6" s="5"/>
      <c r="NOK6" s="5"/>
      <c r="NOL6" s="5"/>
      <c r="NOM6" s="5"/>
      <c r="NON6" s="5"/>
      <c r="NOO6" s="5"/>
      <c r="NOP6" s="5"/>
      <c r="NOQ6" s="10"/>
      <c r="NOR6" s="11"/>
      <c r="NOS6" s="12"/>
      <c r="NOT6" s="13"/>
      <c r="NOU6" s="12"/>
      <c r="NOV6" s="11"/>
      <c r="NOW6" s="13"/>
      <c r="NOX6" s="12"/>
      <c r="NOY6" s="12"/>
      <c r="NOZ6" s="11"/>
      <c r="NPA6" s="13"/>
      <c r="NPB6" s="5"/>
      <c r="NPC6" s="5"/>
      <c r="NPD6" s="5"/>
      <c r="NPE6" s="5"/>
      <c r="NPF6" s="5"/>
      <c r="NPG6" s="5"/>
      <c r="NPH6" s="5"/>
      <c r="NPI6" s="5"/>
      <c r="NPJ6" s="5"/>
      <c r="NPK6" s="5"/>
      <c r="NPL6" s="5"/>
      <c r="NPM6" s="10"/>
      <c r="NPN6" s="11"/>
      <c r="NPO6" s="12"/>
      <c r="NPP6" s="13"/>
      <c r="NPQ6" s="12"/>
      <c r="NPR6" s="11"/>
      <c r="NPS6" s="13"/>
      <c r="NPT6" s="12"/>
      <c r="NPU6" s="12"/>
      <c r="NPV6" s="11"/>
      <c r="NPW6" s="13"/>
      <c r="NPX6" s="5"/>
      <c r="NPY6" s="5"/>
      <c r="NPZ6" s="5"/>
      <c r="NQA6" s="5"/>
      <c r="NQB6" s="5"/>
      <c r="NQC6" s="5"/>
      <c r="NQD6" s="5"/>
      <c r="NQE6" s="5"/>
      <c r="NQF6" s="5"/>
      <c r="NQG6" s="5"/>
      <c r="NQH6" s="5"/>
      <c r="NQI6" s="10"/>
      <c r="NQJ6" s="11"/>
      <c r="NQK6" s="12"/>
      <c r="NQL6" s="13"/>
      <c r="NQM6" s="12"/>
      <c r="NQN6" s="11"/>
      <c r="NQO6" s="13"/>
      <c r="NQP6" s="12"/>
      <c r="NQQ6" s="12"/>
      <c r="NQR6" s="11"/>
      <c r="NQS6" s="13"/>
      <c r="NQT6" s="5"/>
      <c r="NQU6" s="5"/>
      <c r="NQV6" s="5"/>
      <c r="NQW6" s="5"/>
      <c r="NQX6" s="5"/>
      <c r="NQY6" s="5"/>
      <c r="NQZ6" s="5"/>
      <c r="NRA6" s="5"/>
      <c r="NRB6" s="5"/>
      <c r="NRC6" s="5"/>
      <c r="NRD6" s="5"/>
      <c r="NRE6" s="10"/>
      <c r="NRF6" s="11"/>
      <c r="NRG6" s="12"/>
      <c r="NRH6" s="13"/>
      <c r="NRI6" s="12"/>
      <c r="NRJ6" s="11"/>
      <c r="NRK6" s="13"/>
      <c r="NRL6" s="12"/>
      <c r="NRM6" s="12"/>
      <c r="NRN6" s="11"/>
      <c r="NRO6" s="13"/>
      <c r="NRP6" s="5"/>
      <c r="NRQ6" s="5"/>
      <c r="NRR6" s="5"/>
      <c r="NRS6" s="5"/>
      <c r="NRT6" s="5"/>
      <c r="NRU6" s="5"/>
      <c r="NRV6" s="5"/>
      <c r="NRW6" s="5"/>
      <c r="NRX6" s="5"/>
      <c r="NRY6" s="5"/>
      <c r="NRZ6" s="5"/>
      <c r="NSA6" s="10"/>
      <c r="NSB6" s="11"/>
      <c r="NSC6" s="12"/>
      <c r="NSD6" s="13"/>
      <c r="NSE6" s="12"/>
      <c r="NSF6" s="11"/>
      <c r="NSG6" s="13"/>
      <c r="NSH6" s="12"/>
      <c r="NSI6" s="12"/>
      <c r="NSJ6" s="11"/>
      <c r="NSK6" s="13"/>
      <c r="NSL6" s="5"/>
      <c r="NSM6" s="5"/>
      <c r="NSN6" s="5"/>
      <c r="NSO6" s="5"/>
      <c r="NSP6" s="5"/>
      <c r="NSQ6" s="5"/>
      <c r="NSR6" s="5"/>
      <c r="NSS6" s="5"/>
      <c r="NST6" s="5"/>
      <c r="NSU6" s="5"/>
      <c r="NSV6" s="5"/>
      <c r="NSW6" s="10"/>
      <c r="NSX6" s="11"/>
      <c r="NSY6" s="12"/>
      <c r="NSZ6" s="13"/>
      <c r="NTA6" s="12"/>
      <c r="NTB6" s="11"/>
      <c r="NTC6" s="13"/>
      <c r="NTD6" s="12"/>
      <c r="NTE6" s="12"/>
      <c r="NTF6" s="11"/>
      <c r="NTG6" s="13"/>
      <c r="NTH6" s="5"/>
      <c r="NTI6" s="5"/>
      <c r="NTJ6" s="5"/>
      <c r="NTK6" s="5"/>
      <c r="NTL6" s="5"/>
      <c r="NTM6" s="5"/>
      <c r="NTN6" s="5"/>
      <c r="NTO6" s="5"/>
      <c r="NTP6" s="5"/>
      <c r="NTQ6" s="5"/>
      <c r="NTR6" s="5"/>
      <c r="NTS6" s="10"/>
      <c r="NTT6" s="11"/>
      <c r="NTU6" s="12"/>
      <c r="NTV6" s="13"/>
      <c r="NTW6" s="12"/>
      <c r="NTX6" s="11"/>
      <c r="NTY6" s="13"/>
      <c r="NTZ6" s="12"/>
      <c r="NUA6" s="12"/>
      <c r="NUB6" s="11"/>
      <c r="NUC6" s="13"/>
      <c r="NUD6" s="5"/>
      <c r="NUE6" s="5"/>
      <c r="NUF6" s="5"/>
      <c r="NUG6" s="5"/>
      <c r="NUH6" s="5"/>
      <c r="NUI6" s="5"/>
      <c r="NUJ6" s="5"/>
      <c r="NUK6" s="5"/>
      <c r="NUL6" s="5"/>
      <c r="NUM6" s="5"/>
      <c r="NUN6" s="5"/>
      <c r="NUO6" s="10"/>
      <c r="NUP6" s="11"/>
      <c r="NUQ6" s="12"/>
      <c r="NUR6" s="13"/>
      <c r="NUS6" s="12"/>
      <c r="NUT6" s="11"/>
      <c r="NUU6" s="13"/>
      <c r="NUV6" s="12"/>
      <c r="NUW6" s="12"/>
      <c r="NUX6" s="11"/>
      <c r="NUY6" s="13"/>
      <c r="NUZ6" s="5"/>
      <c r="NVA6" s="5"/>
      <c r="NVB6" s="5"/>
      <c r="NVC6" s="5"/>
      <c r="NVD6" s="5"/>
      <c r="NVE6" s="5"/>
      <c r="NVF6" s="5"/>
      <c r="NVG6" s="5"/>
      <c r="NVH6" s="5"/>
      <c r="NVI6" s="5"/>
      <c r="NVJ6" s="5"/>
      <c r="NVK6" s="10"/>
      <c r="NVL6" s="11"/>
      <c r="NVM6" s="12"/>
      <c r="NVN6" s="13"/>
      <c r="NVO6" s="12"/>
      <c r="NVP6" s="11"/>
      <c r="NVQ6" s="13"/>
      <c r="NVR6" s="12"/>
      <c r="NVS6" s="12"/>
      <c r="NVT6" s="11"/>
      <c r="NVU6" s="13"/>
      <c r="NVV6" s="5"/>
      <c r="NVW6" s="5"/>
      <c r="NVX6" s="5"/>
      <c r="NVY6" s="5"/>
      <c r="NVZ6" s="5"/>
      <c r="NWA6" s="5"/>
      <c r="NWB6" s="5"/>
      <c r="NWC6" s="5"/>
      <c r="NWD6" s="5"/>
      <c r="NWE6" s="5"/>
      <c r="NWF6" s="5"/>
      <c r="NWG6" s="10"/>
      <c r="NWH6" s="11"/>
      <c r="NWI6" s="12"/>
      <c r="NWJ6" s="13"/>
      <c r="NWK6" s="12"/>
      <c r="NWL6" s="11"/>
      <c r="NWM6" s="13"/>
      <c r="NWN6" s="12"/>
      <c r="NWO6" s="12"/>
      <c r="NWP6" s="11"/>
      <c r="NWQ6" s="13"/>
      <c r="NWR6" s="5"/>
      <c r="NWS6" s="5"/>
      <c r="NWT6" s="5"/>
      <c r="NWU6" s="5"/>
      <c r="NWV6" s="5"/>
      <c r="NWW6" s="5"/>
      <c r="NWX6" s="5"/>
      <c r="NWY6" s="5"/>
      <c r="NWZ6" s="5"/>
      <c r="NXA6" s="5"/>
      <c r="NXB6" s="5"/>
      <c r="NXC6" s="10"/>
      <c r="NXD6" s="11"/>
      <c r="NXE6" s="12"/>
      <c r="NXF6" s="13"/>
      <c r="NXG6" s="12"/>
      <c r="NXH6" s="11"/>
      <c r="NXI6" s="13"/>
      <c r="NXJ6" s="12"/>
      <c r="NXK6" s="12"/>
      <c r="NXL6" s="11"/>
      <c r="NXM6" s="13"/>
      <c r="NXN6" s="5"/>
      <c r="NXO6" s="5"/>
      <c r="NXP6" s="5"/>
      <c r="NXQ6" s="5"/>
      <c r="NXR6" s="5"/>
      <c r="NXS6" s="5"/>
      <c r="NXT6" s="5"/>
      <c r="NXU6" s="5"/>
      <c r="NXV6" s="5"/>
      <c r="NXW6" s="5"/>
      <c r="NXX6" s="5"/>
      <c r="NXY6" s="10"/>
      <c r="NXZ6" s="11"/>
      <c r="NYA6" s="12"/>
      <c r="NYB6" s="13"/>
      <c r="NYC6" s="12"/>
      <c r="NYD6" s="11"/>
      <c r="NYE6" s="13"/>
      <c r="NYF6" s="12"/>
      <c r="NYG6" s="12"/>
      <c r="NYH6" s="11"/>
      <c r="NYI6" s="13"/>
      <c r="NYJ6" s="5"/>
      <c r="NYK6" s="5"/>
      <c r="NYL6" s="5"/>
      <c r="NYM6" s="5"/>
      <c r="NYN6" s="5"/>
      <c r="NYO6" s="5"/>
      <c r="NYP6" s="5"/>
      <c r="NYQ6" s="5"/>
      <c r="NYR6" s="5"/>
      <c r="NYS6" s="5"/>
      <c r="NYT6" s="5"/>
      <c r="NYU6" s="10"/>
      <c r="NYV6" s="11"/>
      <c r="NYW6" s="12"/>
      <c r="NYX6" s="13"/>
      <c r="NYY6" s="12"/>
      <c r="NYZ6" s="11"/>
      <c r="NZA6" s="13"/>
      <c r="NZB6" s="12"/>
      <c r="NZC6" s="12"/>
      <c r="NZD6" s="11"/>
      <c r="NZE6" s="13"/>
      <c r="NZF6" s="5"/>
      <c r="NZG6" s="5"/>
      <c r="NZH6" s="5"/>
      <c r="NZI6" s="5"/>
      <c r="NZJ6" s="5"/>
      <c r="NZK6" s="5"/>
      <c r="NZL6" s="5"/>
      <c r="NZM6" s="5"/>
      <c r="NZN6" s="5"/>
      <c r="NZO6" s="5"/>
      <c r="NZP6" s="5"/>
      <c r="NZQ6" s="10"/>
      <c r="NZR6" s="11"/>
      <c r="NZS6" s="12"/>
      <c r="NZT6" s="13"/>
      <c r="NZU6" s="12"/>
      <c r="NZV6" s="11"/>
      <c r="NZW6" s="13"/>
      <c r="NZX6" s="12"/>
      <c r="NZY6" s="12"/>
      <c r="NZZ6" s="11"/>
      <c r="OAA6" s="13"/>
      <c r="OAB6" s="5"/>
      <c r="OAC6" s="5"/>
      <c r="OAD6" s="5"/>
      <c r="OAE6" s="5"/>
      <c r="OAF6" s="5"/>
      <c r="OAG6" s="5"/>
      <c r="OAH6" s="5"/>
      <c r="OAI6" s="5"/>
      <c r="OAJ6" s="5"/>
      <c r="OAK6" s="5"/>
      <c r="OAL6" s="5"/>
      <c r="OAM6" s="10"/>
      <c r="OAN6" s="11"/>
      <c r="OAO6" s="12"/>
      <c r="OAP6" s="13"/>
      <c r="OAQ6" s="12"/>
      <c r="OAR6" s="11"/>
      <c r="OAS6" s="13"/>
      <c r="OAT6" s="12"/>
      <c r="OAU6" s="12"/>
      <c r="OAV6" s="11"/>
      <c r="OAW6" s="13"/>
      <c r="OAX6" s="5"/>
      <c r="OAY6" s="5"/>
      <c r="OAZ6" s="5"/>
      <c r="OBA6" s="5"/>
      <c r="OBB6" s="5"/>
      <c r="OBC6" s="5"/>
      <c r="OBD6" s="5"/>
      <c r="OBE6" s="5"/>
      <c r="OBF6" s="5"/>
      <c r="OBG6" s="5"/>
      <c r="OBH6" s="5"/>
      <c r="OBI6" s="10"/>
      <c r="OBJ6" s="11"/>
      <c r="OBK6" s="12"/>
      <c r="OBL6" s="13"/>
      <c r="OBM6" s="12"/>
      <c r="OBN6" s="11"/>
      <c r="OBO6" s="13"/>
      <c r="OBP6" s="12"/>
      <c r="OBQ6" s="12"/>
      <c r="OBR6" s="11"/>
      <c r="OBS6" s="13"/>
      <c r="OBT6" s="5"/>
      <c r="OBU6" s="5"/>
      <c r="OBV6" s="5"/>
      <c r="OBW6" s="5"/>
      <c r="OBX6" s="5"/>
      <c r="OBY6" s="5"/>
      <c r="OBZ6" s="5"/>
      <c r="OCA6" s="5"/>
      <c r="OCB6" s="5"/>
      <c r="OCC6" s="5"/>
      <c r="OCD6" s="5"/>
      <c r="OCE6" s="10"/>
      <c r="OCF6" s="11"/>
      <c r="OCG6" s="12"/>
      <c r="OCH6" s="13"/>
      <c r="OCI6" s="12"/>
      <c r="OCJ6" s="11"/>
      <c r="OCK6" s="13"/>
      <c r="OCL6" s="12"/>
      <c r="OCM6" s="12"/>
      <c r="OCN6" s="11"/>
      <c r="OCO6" s="13"/>
      <c r="OCP6" s="5"/>
      <c r="OCQ6" s="5"/>
      <c r="OCR6" s="5"/>
      <c r="OCS6" s="5"/>
      <c r="OCT6" s="5"/>
      <c r="OCU6" s="5"/>
      <c r="OCV6" s="5"/>
      <c r="OCW6" s="5"/>
      <c r="OCX6" s="5"/>
      <c r="OCY6" s="5"/>
      <c r="OCZ6" s="5"/>
      <c r="ODA6" s="10"/>
      <c r="ODB6" s="11"/>
      <c r="ODC6" s="12"/>
      <c r="ODD6" s="13"/>
      <c r="ODE6" s="12"/>
      <c r="ODF6" s="11"/>
      <c r="ODG6" s="13"/>
      <c r="ODH6" s="12"/>
      <c r="ODI6" s="12"/>
      <c r="ODJ6" s="11"/>
      <c r="ODK6" s="13"/>
      <c r="ODL6" s="5"/>
      <c r="ODM6" s="5"/>
      <c r="ODN6" s="5"/>
      <c r="ODO6" s="5"/>
      <c r="ODP6" s="5"/>
      <c r="ODQ6" s="5"/>
      <c r="ODR6" s="5"/>
      <c r="ODS6" s="5"/>
      <c r="ODT6" s="5"/>
      <c r="ODU6" s="5"/>
      <c r="ODV6" s="5"/>
      <c r="ODW6" s="10"/>
      <c r="ODX6" s="11"/>
      <c r="ODY6" s="12"/>
      <c r="ODZ6" s="13"/>
      <c r="OEA6" s="12"/>
      <c r="OEB6" s="11"/>
      <c r="OEC6" s="13"/>
      <c r="OED6" s="12"/>
      <c r="OEE6" s="12"/>
      <c r="OEF6" s="11"/>
      <c r="OEG6" s="13"/>
      <c r="OEH6" s="5"/>
      <c r="OEI6" s="5"/>
      <c r="OEJ6" s="5"/>
      <c r="OEK6" s="5"/>
      <c r="OEL6" s="5"/>
      <c r="OEM6" s="5"/>
      <c r="OEN6" s="5"/>
      <c r="OEO6" s="5"/>
      <c r="OEP6" s="5"/>
      <c r="OEQ6" s="5"/>
      <c r="OER6" s="5"/>
      <c r="OES6" s="10"/>
      <c r="OET6" s="11"/>
      <c r="OEU6" s="12"/>
      <c r="OEV6" s="13"/>
      <c r="OEW6" s="12"/>
      <c r="OEX6" s="11"/>
      <c r="OEY6" s="13"/>
      <c r="OEZ6" s="12"/>
      <c r="OFA6" s="12"/>
      <c r="OFB6" s="11"/>
      <c r="OFC6" s="13"/>
      <c r="OFD6" s="5"/>
      <c r="OFE6" s="5"/>
      <c r="OFF6" s="5"/>
      <c r="OFG6" s="5"/>
      <c r="OFH6" s="5"/>
      <c r="OFI6" s="5"/>
      <c r="OFJ6" s="5"/>
      <c r="OFK6" s="5"/>
      <c r="OFL6" s="5"/>
      <c r="OFM6" s="5"/>
      <c r="OFN6" s="5"/>
      <c r="OFO6" s="10"/>
      <c r="OFP6" s="11"/>
      <c r="OFQ6" s="12"/>
      <c r="OFR6" s="13"/>
      <c r="OFS6" s="12"/>
      <c r="OFT6" s="11"/>
      <c r="OFU6" s="13"/>
      <c r="OFV6" s="12"/>
      <c r="OFW6" s="12"/>
      <c r="OFX6" s="11"/>
      <c r="OFY6" s="13"/>
      <c r="OFZ6" s="5"/>
      <c r="OGA6" s="5"/>
      <c r="OGB6" s="5"/>
      <c r="OGC6" s="5"/>
      <c r="OGD6" s="5"/>
      <c r="OGE6" s="5"/>
      <c r="OGF6" s="5"/>
      <c r="OGG6" s="5"/>
      <c r="OGH6" s="5"/>
      <c r="OGI6" s="5"/>
      <c r="OGJ6" s="5"/>
      <c r="OGK6" s="10"/>
      <c r="OGL6" s="11"/>
      <c r="OGM6" s="12"/>
      <c r="OGN6" s="13"/>
      <c r="OGO6" s="12"/>
      <c r="OGP6" s="11"/>
      <c r="OGQ6" s="13"/>
      <c r="OGR6" s="12"/>
      <c r="OGS6" s="12"/>
      <c r="OGT6" s="11"/>
      <c r="OGU6" s="13"/>
      <c r="OGV6" s="5"/>
      <c r="OGW6" s="5"/>
      <c r="OGX6" s="5"/>
      <c r="OGY6" s="5"/>
      <c r="OGZ6" s="5"/>
      <c r="OHA6" s="5"/>
      <c r="OHB6" s="5"/>
      <c r="OHC6" s="5"/>
      <c r="OHD6" s="5"/>
      <c r="OHE6" s="5"/>
      <c r="OHF6" s="5"/>
      <c r="OHG6" s="10"/>
      <c r="OHH6" s="11"/>
      <c r="OHI6" s="12"/>
      <c r="OHJ6" s="13"/>
      <c r="OHK6" s="12"/>
      <c r="OHL6" s="11"/>
      <c r="OHM6" s="13"/>
      <c r="OHN6" s="12"/>
      <c r="OHO6" s="12"/>
      <c r="OHP6" s="11"/>
      <c r="OHQ6" s="13"/>
      <c r="OHR6" s="5"/>
      <c r="OHS6" s="5"/>
      <c r="OHT6" s="5"/>
      <c r="OHU6" s="5"/>
      <c r="OHV6" s="5"/>
      <c r="OHW6" s="5"/>
      <c r="OHX6" s="5"/>
      <c r="OHY6" s="5"/>
      <c r="OHZ6" s="5"/>
      <c r="OIA6" s="5"/>
      <c r="OIB6" s="5"/>
      <c r="OIC6" s="10"/>
      <c r="OID6" s="11"/>
      <c r="OIE6" s="12"/>
      <c r="OIF6" s="13"/>
      <c r="OIG6" s="12"/>
      <c r="OIH6" s="11"/>
      <c r="OII6" s="13"/>
      <c r="OIJ6" s="12"/>
      <c r="OIK6" s="12"/>
      <c r="OIL6" s="11"/>
      <c r="OIM6" s="13"/>
      <c r="OIN6" s="5"/>
      <c r="OIO6" s="5"/>
      <c r="OIP6" s="5"/>
      <c r="OIQ6" s="5"/>
      <c r="OIR6" s="5"/>
      <c r="OIS6" s="5"/>
      <c r="OIT6" s="5"/>
      <c r="OIU6" s="5"/>
      <c r="OIV6" s="5"/>
      <c r="OIW6" s="5"/>
      <c r="OIX6" s="5"/>
      <c r="OIY6" s="10"/>
      <c r="OIZ6" s="11"/>
      <c r="OJA6" s="12"/>
      <c r="OJB6" s="13"/>
      <c r="OJC6" s="12"/>
      <c r="OJD6" s="11"/>
      <c r="OJE6" s="13"/>
      <c r="OJF6" s="12"/>
      <c r="OJG6" s="12"/>
      <c r="OJH6" s="11"/>
      <c r="OJI6" s="13"/>
      <c r="OJJ6" s="5"/>
      <c r="OJK6" s="5"/>
      <c r="OJL6" s="5"/>
      <c r="OJM6" s="5"/>
      <c r="OJN6" s="5"/>
      <c r="OJO6" s="5"/>
      <c r="OJP6" s="5"/>
      <c r="OJQ6" s="5"/>
      <c r="OJR6" s="5"/>
      <c r="OJS6" s="5"/>
      <c r="OJT6" s="5"/>
      <c r="OJU6" s="10"/>
      <c r="OJV6" s="11"/>
      <c r="OJW6" s="12"/>
      <c r="OJX6" s="13"/>
      <c r="OJY6" s="12"/>
      <c r="OJZ6" s="11"/>
      <c r="OKA6" s="13"/>
      <c r="OKB6" s="12"/>
      <c r="OKC6" s="12"/>
      <c r="OKD6" s="11"/>
      <c r="OKE6" s="13"/>
      <c r="OKF6" s="5"/>
      <c r="OKG6" s="5"/>
      <c r="OKH6" s="5"/>
      <c r="OKI6" s="5"/>
      <c r="OKJ6" s="5"/>
      <c r="OKK6" s="5"/>
      <c r="OKL6" s="5"/>
      <c r="OKM6" s="5"/>
      <c r="OKN6" s="5"/>
      <c r="OKO6" s="5"/>
      <c r="OKP6" s="5"/>
      <c r="OKQ6" s="10"/>
      <c r="OKR6" s="11"/>
      <c r="OKS6" s="12"/>
      <c r="OKT6" s="13"/>
      <c r="OKU6" s="12"/>
      <c r="OKV6" s="11"/>
      <c r="OKW6" s="13"/>
      <c r="OKX6" s="12"/>
      <c r="OKY6" s="12"/>
      <c r="OKZ6" s="11"/>
      <c r="OLA6" s="13"/>
      <c r="OLB6" s="5"/>
      <c r="OLC6" s="5"/>
      <c r="OLD6" s="5"/>
      <c r="OLE6" s="5"/>
      <c r="OLF6" s="5"/>
      <c r="OLG6" s="5"/>
      <c r="OLH6" s="5"/>
      <c r="OLI6" s="5"/>
      <c r="OLJ6" s="5"/>
      <c r="OLK6" s="5"/>
      <c r="OLL6" s="5"/>
      <c r="OLM6" s="10"/>
      <c r="OLN6" s="11"/>
      <c r="OLO6" s="12"/>
      <c r="OLP6" s="13"/>
      <c r="OLQ6" s="12"/>
      <c r="OLR6" s="11"/>
      <c r="OLS6" s="13"/>
      <c r="OLT6" s="12"/>
      <c r="OLU6" s="12"/>
      <c r="OLV6" s="11"/>
      <c r="OLW6" s="13"/>
      <c r="OLX6" s="5"/>
      <c r="OLY6" s="5"/>
      <c r="OLZ6" s="5"/>
      <c r="OMA6" s="5"/>
      <c r="OMB6" s="5"/>
      <c r="OMC6" s="5"/>
      <c r="OMD6" s="5"/>
      <c r="OME6" s="5"/>
      <c r="OMF6" s="5"/>
      <c r="OMG6" s="5"/>
      <c r="OMH6" s="5"/>
      <c r="OMI6" s="10"/>
      <c r="OMJ6" s="11"/>
      <c r="OMK6" s="12"/>
      <c r="OML6" s="13"/>
      <c r="OMM6" s="12"/>
      <c r="OMN6" s="11"/>
      <c r="OMO6" s="13"/>
      <c r="OMP6" s="12"/>
      <c r="OMQ6" s="12"/>
      <c r="OMR6" s="11"/>
      <c r="OMS6" s="13"/>
      <c r="OMT6" s="5"/>
      <c r="OMU6" s="5"/>
      <c r="OMV6" s="5"/>
      <c r="OMW6" s="5"/>
      <c r="OMX6" s="5"/>
      <c r="OMY6" s="5"/>
      <c r="OMZ6" s="5"/>
      <c r="ONA6" s="5"/>
      <c r="ONB6" s="5"/>
      <c r="ONC6" s="5"/>
      <c r="OND6" s="5"/>
      <c r="ONE6" s="10"/>
      <c r="ONF6" s="11"/>
      <c r="ONG6" s="12"/>
      <c r="ONH6" s="13"/>
      <c r="ONI6" s="12"/>
      <c r="ONJ6" s="11"/>
      <c r="ONK6" s="13"/>
      <c r="ONL6" s="12"/>
      <c r="ONM6" s="12"/>
      <c r="ONN6" s="11"/>
      <c r="ONO6" s="13"/>
      <c r="ONP6" s="5"/>
      <c r="ONQ6" s="5"/>
      <c r="ONR6" s="5"/>
      <c r="ONS6" s="5"/>
      <c r="ONT6" s="5"/>
      <c r="ONU6" s="5"/>
      <c r="ONV6" s="5"/>
      <c r="ONW6" s="5"/>
      <c r="ONX6" s="5"/>
      <c r="ONY6" s="5"/>
      <c r="ONZ6" s="5"/>
      <c r="OOA6" s="10"/>
      <c r="OOB6" s="11"/>
      <c r="OOC6" s="12"/>
      <c r="OOD6" s="13"/>
      <c r="OOE6" s="12"/>
      <c r="OOF6" s="11"/>
      <c r="OOG6" s="13"/>
      <c r="OOH6" s="12"/>
      <c r="OOI6" s="12"/>
      <c r="OOJ6" s="11"/>
      <c r="OOK6" s="13"/>
      <c r="OOL6" s="5"/>
      <c r="OOM6" s="5"/>
      <c r="OON6" s="5"/>
      <c r="OOO6" s="5"/>
      <c r="OOP6" s="5"/>
      <c r="OOQ6" s="5"/>
      <c r="OOR6" s="5"/>
      <c r="OOS6" s="5"/>
      <c r="OOT6" s="5"/>
      <c r="OOU6" s="5"/>
      <c r="OOV6" s="5"/>
      <c r="OOW6" s="10"/>
      <c r="OOX6" s="11"/>
      <c r="OOY6" s="12"/>
      <c r="OOZ6" s="13"/>
      <c r="OPA6" s="12"/>
      <c r="OPB6" s="11"/>
      <c r="OPC6" s="13"/>
      <c r="OPD6" s="12"/>
      <c r="OPE6" s="12"/>
      <c r="OPF6" s="11"/>
      <c r="OPG6" s="13"/>
      <c r="OPH6" s="5"/>
      <c r="OPI6" s="5"/>
      <c r="OPJ6" s="5"/>
      <c r="OPK6" s="5"/>
      <c r="OPL6" s="5"/>
      <c r="OPM6" s="5"/>
      <c r="OPN6" s="5"/>
      <c r="OPO6" s="5"/>
      <c r="OPP6" s="5"/>
      <c r="OPQ6" s="5"/>
      <c r="OPR6" s="5"/>
      <c r="OPS6" s="10"/>
      <c r="OPT6" s="11"/>
      <c r="OPU6" s="12"/>
      <c r="OPV6" s="13"/>
      <c r="OPW6" s="12"/>
      <c r="OPX6" s="11"/>
      <c r="OPY6" s="13"/>
      <c r="OPZ6" s="12"/>
      <c r="OQA6" s="12"/>
      <c r="OQB6" s="11"/>
      <c r="OQC6" s="13"/>
      <c r="OQD6" s="5"/>
      <c r="OQE6" s="5"/>
      <c r="OQF6" s="5"/>
      <c r="OQG6" s="5"/>
      <c r="OQH6" s="5"/>
      <c r="OQI6" s="5"/>
      <c r="OQJ6" s="5"/>
      <c r="OQK6" s="5"/>
      <c r="OQL6" s="5"/>
      <c r="OQM6" s="5"/>
      <c r="OQN6" s="5"/>
      <c r="OQO6" s="10"/>
      <c r="OQP6" s="11"/>
      <c r="OQQ6" s="12"/>
      <c r="OQR6" s="13"/>
      <c r="OQS6" s="12"/>
      <c r="OQT6" s="11"/>
      <c r="OQU6" s="13"/>
      <c r="OQV6" s="12"/>
      <c r="OQW6" s="12"/>
      <c r="OQX6" s="11"/>
      <c r="OQY6" s="13"/>
      <c r="OQZ6" s="5"/>
      <c r="ORA6" s="5"/>
      <c r="ORB6" s="5"/>
      <c r="ORC6" s="5"/>
      <c r="ORD6" s="5"/>
      <c r="ORE6" s="5"/>
      <c r="ORF6" s="5"/>
      <c r="ORG6" s="5"/>
      <c r="ORH6" s="5"/>
      <c r="ORI6" s="5"/>
      <c r="ORJ6" s="5"/>
      <c r="ORK6" s="10"/>
      <c r="ORL6" s="11"/>
      <c r="ORM6" s="12"/>
      <c r="ORN6" s="13"/>
      <c r="ORO6" s="12"/>
      <c r="ORP6" s="11"/>
      <c r="ORQ6" s="13"/>
      <c r="ORR6" s="12"/>
      <c r="ORS6" s="12"/>
      <c r="ORT6" s="11"/>
      <c r="ORU6" s="13"/>
      <c r="ORV6" s="5"/>
      <c r="ORW6" s="5"/>
      <c r="ORX6" s="5"/>
      <c r="ORY6" s="5"/>
      <c r="ORZ6" s="5"/>
      <c r="OSA6" s="5"/>
      <c r="OSB6" s="5"/>
      <c r="OSC6" s="5"/>
      <c r="OSD6" s="5"/>
      <c r="OSE6" s="5"/>
      <c r="OSF6" s="5"/>
      <c r="OSG6" s="10"/>
      <c r="OSH6" s="11"/>
      <c r="OSI6" s="12"/>
      <c r="OSJ6" s="13"/>
      <c r="OSK6" s="12"/>
      <c r="OSL6" s="11"/>
      <c r="OSM6" s="13"/>
      <c r="OSN6" s="12"/>
      <c r="OSO6" s="12"/>
      <c r="OSP6" s="11"/>
      <c r="OSQ6" s="13"/>
      <c r="OSR6" s="5"/>
      <c r="OSS6" s="5"/>
      <c r="OST6" s="5"/>
      <c r="OSU6" s="5"/>
      <c r="OSV6" s="5"/>
      <c r="OSW6" s="5"/>
      <c r="OSX6" s="5"/>
      <c r="OSY6" s="5"/>
      <c r="OSZ6" s="5"/>
      <c r="OTA6" s="5"/>
      <c r="OTB6" s="5"/>
      <c r="OTC6" s="10"/>
      <c r="OTD6" s="11"/>
      <c r="OTE6" s="12"/>
      <c r="OTF6" s="13"/>
      <c r="OTG6" s="12"/>
      <c r="OTH6" s="11"/>
      <c r="OTI6" s="13"/>
      <c r="OTJ6" s="12"/>
      <c r="OTK6" s="12"/>
      <c r="OTL6" s="11"/>
      <c r="OTM6" s="13"/>
      <c r="OTN6" s="5"/>
      <c r="OTO6" s="5"/>
      <c r="OTP6" s="5"/>
      <c r="OTQ6" s="5"/>
      <c r="OTR6" s="5"/>
      <c r="OTS6" s="5"/>
      <c r="OTT6" s="5"/>
      <c r="OTU6" s="5"/>
      <c r="OTV6" s="5"/>
      <c r="OTW6" s="5"/>
      <c r="OTX6" s="5"/>
      <c r="OTY6" s="10"/>
      <c r="OTZ6" s="11"/>
      <c r="OUA6" s="12"/>
      <c r="OUB6" s="13"/>
      <c r="OUC6" s="12"/>
      <c r="OUD6" s="11"/>
      <c r="OUE6" s="13"/>
      <c r="OUF6" s="12"/>
      <c r="OUG6" s="12"/>
      <c r="OUH6" s="11"/>
      <c r="OUI6" s="13"/>
      <c r="OUJ6" s="5"/>
      <c r="OUK6" s="5"/>
      <c r="OUL6" s="5"/>
      <c r="OUM6" s="5"/>
      <c r="OUN6" s="5"/>
      <c r="OUO6" s="5"/>
      <c r="OUP6" s="5"/>
      <c r="OUQ6" s="5"/>
      <c r="OUR6" s="5"/>
      <c r="OUS6" s="5"/>
      <c r="OUT6" s="5"/>
      <c r="OUU6" s="10"/>
      <c r="OUV6" s="11"/>
      <c r="OUW6" s="12"/>
      <c r="OUX6" s="13"/>
      <c r="OUY6" s="12"/>
      <c r="OUZ6" s="11"/>
      <c r="OVA6" s="13"/>
      <c r="OVB6" s="12"/>
      <c r="OVC6" s="12"/>
      <c r="OVD6" s="11"/>
      <c r="OVE6" s="13"/>
      <c r="OVF6" s="5"/>
      <c r="OVG6" s="5"/>
      <c r="OVH6" s="5"/>
      <c r="OVI6" s="5"/>
      <c r="OVJ6" s="5"/>
      <c r="OVK6" s="5"/>
      <c r="OVL6" s="5"/>
      <c r="OVM6" s="5"/>
      <c r="OVN6" s="5"/>
      <c r="OVO6" s="5"/>
      <c r="OVP6" s="5"/>
      <c r="OVQ6" s="10"/>
      <c r="OVR6" s="11"/>
      <c r="OVS6" s="12"/>
      <c r="OVT6" s="13"/>
      <c r="OVU6" s="12"/>
      <c r="OVV6" s="11"/>
      <c r="OVW6" s="13"/>
      <c r="OVX6" s="12"/>
      <c r="OVY6" s="12"/>
      <c r="OVZ6" s="11"/>
      <c r="OWA6" s="13"/>
      <c r="OWB6" s="5"/>
      <c r="OWC6" s="5"/>
      <c r="OWD6" s="5"/>
      <c r="OWE6" s="5"/>
      <c r="OWF6" s="5"/>
      <c r="OWG6" s="5"/>
      <c r="OWH6" s="5"/>
      <c r="OWI6" s="5"/>
      <c r="OWJ6" s="5"/>
      <c r="OWK6" s="5"/>
      <c r="OWL6" s="5"/>
      <c r="OWM6" s="10"/>
      <c r="OWN6" s="11"/>
      <c r="OWO6" s="12"/>
      <c r="OWP6" s="13"/>
      <c r="OWQ6" s="12"/>
      <c r="OWR6" s="11"/>
      <c r="OWS6" s="13"/>
      <c r="OWT6" s="12"/>
      <c r="OWU6" s="12"/>
      <c r="OWV6" s="11"/>
      <c r="OWW6" s="13"/>
      <c r="OWX6" s="5"/>
      <c r="OWY6" s="5"/>
      <c r="OWZ6" s="5"/>
      <c r="OXA6" s="5"/>
      <c r="OXB6" s="5"/>
      <c r="OXC6" s="5"/>
      <c r="OXD6" s="5"/>
      <c r="OXE6" s="5"/>
      <c r="OXF6" s="5"/>
      <c r="OXG6" s="5"/>
      <c r="OXH6" s="5"/>
      <c r="OXI6" s="10"/>
      <c r="OXJ6" s="11"/>
      <c r="OXK6" s="12"/>
      <c r="OXL6" s="13"/>
      <c r="OXM6" s="12"/>
      <c r="OXN6" s="11"/>
      <c r="OXO6" s="13"/>
      <c r="OXP6" s="12"/>
      <c r="OXQ6" s="12"/>
      <c r="OXR6" s="11"/>
      <c r="OXS6" s="13"/>
      <c r="OXT6" s="5"/>
      <c r="OXU6" s="5"/>
      <c r="OXV6" s="5"/>
      <c r="OXW6" s="5"/>
      <c r="OXX6" s="5"/>
      <c r="OXY6" s="5"/>
      <c r="OXZ6" s="5"/>
      <c r="OYA6" s="5"/>
      <c r="OYB6" s="5"/>
      <c r="OYC6" s="5"/>
      <c r="OYD6" s="5"/>
      <c r="OYE6" s="10"/>
      <c r="OYF6" s="11"/>
      <c r="OYG6" s="12"/>
      <c r="OYH6" s="13"/>
      <c r="OYI6" s="12"/>
      <c r="OYJ6" s="11"/>
      <c r="OYK6" s="13"/>
      <c r="OYL6" s="12"/>
      <c r="OYM6" s="12"/>
      <c r="OYN6" s="11"/>
      <c r="OYO6" s="13"/>
      <c r="OYP6" s="5"/>
      <c r="OYQ6" s="5"/>
      <c r="OYR6" s="5"/>
      <c r="OYS6" s="5"/>
      <c r="OYT6" s="5"/>
      <c r="OYU6" s="5"/>
      <c r="OYV6" s="5"/>
      <c r="OYW6" s="5"/>
      <c r="OYX6" s="5"/>
      <c r="OYY6" s="5"/>
      <c r="OYZ6" s="5"/>
      <c r="OZA6" s="10"/>
      <c r="OZB6" s="11"/>
      <c r="OZC6" s="12"/>
      <c r="OZD6" s="13"/>
      <c r="OZE6" s="12"/>
      <c r="OZF6" s="11"/>
      <c r="OZG6" s="13"/>
      <c r="OZH6" s="12"/>
      <c r="OZI6" s="12"/>
      <c r="OZJ6" s="11"/>
      <c r="OZK6" s="13"/>
      <c r="OZL6" s="5"/>
      <c r="OZM6" s="5"/>
      <c r="OZN6" s="5"/>
      <c r="OZO6" s="5"/>
      <c r="OZP6" s="5"/>
      <c r="OZQ6" s="5"/>
      <c r="OZR6" s="5"/>
      <c r="OZS6" s="5"/>
      <c r="OZT6" s="5"/>
      <c r="OZU6" s="5"/>
      <c r="OZV6" s="5"/>
      <c r="OZW6" s="10"/>
      <c r="OZX6" s="11"/>
      <c r="OZY6" s="12"/>
      <c r="OZZ6" s="13"/>
      <c r="PAA6" s="12"/>
      <c r="PAB6" s="11"/>
      <c r="PAC6" s="13"/>
      <c r="PAD6" s="12"/>
      <c r="PAE6" s="12"/>
      <c r="PAF6" s="11"/>
      <c r="PAG6" s="13"/>
      <c r="PAH6" s="5"/>
      <c r="PAI6" s="5"/>
      <c r="PAJ6" s="5"/>
      <c r="PAK6" s="5"/>
      <c r="PAL6" s="5"/>
      <c r="PAM6" s="5"/>
      <c r="PAN6" s="5"/>
      <c r="PAO6" s="5"/>
      <c r="PAP6" s="5"/>
      <c r="PAQ6" s="5"/>
      <c r="PAR6" s="5"/>
      <c r="PAS6" s="10"/>
      <c r="PAT6" s="11"/>
      <c r="PAU6" s="12"/>
      <c r="PAV6" s="13"/>
      <c r="PAW6" s="12"/>
      <c r="PAX6" s="11"/>
      <c r="PAY6" s="13"/>
      <c r="PAZ6" s="12"/>
      <c r="PBA6" s="12"/>
      <c r="PBB6" s="11"/>
      <c r="PBC6" s="13"/>
      <c r="PBD6" s="5"/>
      <c r="PBE6" s="5"/>
      <c r="PBF6" s="5"/>
      <c r="PBG6" s="5"/>
      <c r="PBH6" s="5"/>
      <c r="PBI6" s="5"/>
      <c r="PBJ6" s="5"/>
      <c r="PBK6" s="5"/>
      <c r="PBL6" s="5"/>
      <c r="PBM6" s="5"/>
      <c r="PBN6" s="5"/>
      <c r="PBO6" s="10"/>
      <c r="PBP6" s="11"/>
      <c r="PBQ6" s="12"/>
      <c r="PBR6" s="13"/>
      <c r="PBS6" s="12"/>
      <c r="PBT6" s="11"/>
      <c r="PBU6" s="13"/>
      <c r="PBV6" s="12"/>
      <c r="PBW6" s="12"/>
      <c r="PBX6" s="11"/>
      <c r="PBY6" s="13"/>
      <c r="PBZ6" s="5"/>
      <c r="PCA6" s="5"/>
      <c r="PCB6" s="5"/>
      <c r="PCC6" s="5"/>
      <c r="PCD6" s="5"/>
      <c r="PCE6" s="5"/>
      <c r="PCF6" s="5"/>
      <c r="PCG6" s="5"/>
      <c r="PCH6" s="5"/>
      <c r="PCI6" s="5"/>
      <c r="PCJ6" s="5"/>
      <c r="PCK6" s="10"/>
      <c r="PCL6" s="11"/>
      <c r="PCM6" s="12"/>
      <c r="PCN6" s="13"/>
      <c r="PCO6" s="12"/>
      <c r="PCP6" s="11"/>
      <c r="PCQ6" s="13"/>
      <c r="PCR6" s="12"/>
      <c r="PCS6" s="12"/>
      <c r="PCT6" s="11"/>
      <c r="PCU6" s="13"/>
      <c r="PCV6" s="5"/>
      <c r="PCW6" s="5"/>
      <c r="PCX6" s="5"/>
      <c r="PCY6" s="5"/>
      <c r="PCZ6" s="5"/>
      <c r="PDA6" s="5"/>
      <c r="PDB6" s="5"/>
      <c r="PDC6" s="5"/>
      <c r="PDD6" s="5"/>
      <c r="PDE6" s="5"/>
      <c r="PDF6" s="5"/>
      <c r="PDG6" s="10"/>
      <c r="PDH6" s="11"/>
      <c r="PDI6" s="12"/>
      <c r="PDJ6" s="13"/>
      <c r="PDK6" s="12"/>
      <c r="PDL6" s="11"/>
      <c r="PDM6" s="13"/>
      <c r="PDN6" s="12"/>
      <c r="PDO6" s="12"/>
      <c r="PDP6" s="11"/>
      <c r="PDQ6" s="13"/>
      <c r="PDR6" s="5"/>
      <c r="PDS6" s="5"/>
      <c r="PDT6" s="5"/>
      <c r="PDU6" s="5"/>
      <c r="PDV6" s="5"/>
      <c r="PDW6" s="5"/>
      <c r="PDX6" s="5"/>
      <c r="PDY6" s="5"/>
      <c r="PDZ6" s="5"/>
      <c r="PEA6" s="5"/>
      <c r="PEB6" s="5"/>
      <c r="PEC6" s="10"/>
      <c r="PED6" s="11"/>
      <c r="PEE6" s="12"/>
      <c r="PEF6" s="13"/>
      <c r="PEG6" s="12"/>
      <c r="PEH6" s="11"/>
      <c r="PEI6" s="13"/>
      <c r="PEJ6" s="12"/>
      <c r="PEK6" s="12"/>
      <c r="PEL6" s="11"/>
      <c r="PEM6" s="13"/>
      <c r="PEN6" s="5"/>
      <c r="PEO6" s="5"/>
      <c r="PEP6" s="5"/>
      <c r="PEQ6" s="5"/>
      <c r="PER6" s="5"/>
      <c r="PES6" s="5"/>
      <c r="PET6" s="5"/>
      <c r="PEU6" s="5"/>
      <c r="PEV6" s="5"/>
      <c r="PEW6" s="5"/>
      <c r="PEX6" s="5"/>
      <c r="PEY6" s="10"/>
      <c r="PEZ6" s="11"/>
      <c r="PFA6" s="12"/>
      <c r="PFB6" s="13"/>
      <c r="PFC6" s="12"/>
      <c r="PFD6" s="11"/>
      <c r="PFE6" s="13"/>
      <c r="PFF6" s="12"/>
      <c r="PFG6" s="12"/>
      <c r="PFH6" s="11"/>
      <c r="PFI6" s="13"/>
      <c r="PFJ6" s="5"/>
      <c r="PFK6" s="5"/>
      <c r="PFL6" s="5"/>
      <c r="PFM6" s="5"/>
      <c r="PFN6" s="5"/>
      <c r="PFO6" s="5"/>
      <c r="PFP6" s="5"/>
      <c r="PFQ6" s="5"/>
      <c r="PFR6" s="5"/>
      <c r="PFS6" s="5"/>
      <c r="PFT6" s="5"/>
      <c r="PFU6" s="10"/>
      <c r="PFV6" s="11"/>
      <c r="PFW6" s="12"/>
      <c r="PFX6" s="13"/>
      <c r="PFY6" s="12"/>
      <c r="PFZ6" s="11"/>
      <c r="PGA6" s="13"/>
      <c r="PGB6" s="12"/>
      <c r="PGC6" s="12"/>
      <c r="PGD6" s="11"/>
      <c r="PGE6" s="13"/>
      <c r="PGF6" s="5"/>
      <c r="PGG6" s="5"/>
      <c r="PGH6" s="5"/>
      <c r="PGI6" s="5"/>
      <c r="PGJ6" s="5"/>
      <c r="PGK6" s="5"/>
      <c r="PGL6" s="5"/>
      <c r="PGM6" s="5"/>
      <c r="PGN6" s="5"/>
      <c r="PGO6" s="5"/>
      <c r="PGP6" s="5"/>
      <c r="PGQ6" s="10"/>
      <c r="PGR6" s="11"/>
      <c r="PGS6" s="12"/>
      <c r="PGT6" s="13"/>
      <c r="PGU6" s="12"/>
      <c r="PGV6" s="11"/>
      <c r="PGW6" s="13"/>
      <c r="PGX6" s="12"/>
      <c r="PGY6" s="12"/>
      <c r="PGZ6" s="11"/>
      <c r="PHA6" s="13"/>
      <c r="PHB6" s="5"/>
      <c r="PHC6" s="5"/>
      <c r="PHD6" s="5"/>
      <c r="PHE6" s="5"/>
      <c r="PHF6" s="5"/>
      <c r="PHG6" s="5"/>
      <c r="PHH6" s="5"/>
      <c r="PHI6" s="5"/>
      <c r="PHJ6" s="5"/>
      <c r="PHK6" s="5"/>
      <c r="PHL6" s="5"/>
      <c r="PHM6" s="10"/>
      <c r="PHN6" s="11"/>
      <c r="PHO6" s="12"/>
      <c r="PHP6" s="13"/>
      <c r="PHQ6" s="12"/>
      <c r="PHR6" s="11"/>
      <c r="PHS6" s="13"/>
      <c r="PHT6" s="12"/>
      <c r="PHU6" s="12"/>
      <c r="PHV6" s="11"/>
      <c r="PHW6" s="13"/>
      <c r="PHX6" s="5"/>
      <c r="PHY6" s="5"/>
      <c r="PHZ6" s="5"/>
      <c r="PIA6" s="5"/>
      <c r="PIB6" s="5"/>
      <c r="PIC6" s="5"/>
      <c r="PID6" s="5"/>
      <c r="PIE6" s="5"/>
      <c r="PIF6" s="5"/>
      <c r="PIG6" s="5"/>
      <c r="PIH6" s="5"/>
      <c r="PII6" s="10"/>
      <c r="PIJ6" s="11"/>
      <c r="PIK6" s="12"/>
      <c r="PIL6" s="13"/>
      <c r="PIM6" s="12"/>
      <c r="PIN6" s="11"/>
      <c r="PIO6" s="13"/>
      <c r="PIP6" s="12"/>
      <c r="PIQ6" s="12"/>
      <c r="PIR6" s="11"/>
      <c r="PIS6" s="13"/>
      <c r="PIT6" s="5"/>
      <c r="PIU6" s="5"/>
      <c r="PIV6" s="5"/>
      <c r="PIW6" s="5"/>
      <c r="PIX6" s="5"/>
      <c r="PIY6" s="5"/>
      <c r="PIZ6" s="5"/>
      <c r="PJA6" s="5"/>
      <c r="PJB6" s="5"/>
      <c r="PJC6" s="5"/>
      <c r="PJD6" s="5"/>
      <c r="PJE6" s="10"/>
      <c r="PJF6" s="11"/>
      <c r="PJG6" s="12"/>
      <c r="PJH6" s="13"/>
      <c r="PJI6" s="12"/>
      <c r="PJJ6" s="11"/>
      <c r="PJK6" s="13"/>
      <c r="PJL6" s="12"/>
      <c r="PJM6" s="12"/>
      <c r="PJN6" s="11"/>
      <c r="PJO6" s="13"/>
      <c r="PJP6" s="5"/>
      <c r="PJQ6" s="5"/>
      <c r="PJR6" s="5"/>
      <c r="PJS6" s="5"/>
      <c r="PJT6" s="5"/>
      <c r="PJU6" s="5"/>
      <c r="PJV6" s="5"/>
      <c r="PJW6" s="5"/>
      <c r="PJX6" s="5"/>
      <c r="PJY6" s="5"/>
      <c r="PJZ6" s="5"/>
      <c r="PKA6" s="10"/>
      <c r="PKB6" s="11"/>
      <c r="PKC6" s="12"/>
      <c r="PKD6" s="13"/>
      <c r="PKE6" s="12"/>
      <c r="PKF6" s="11"/>
      <c r="PKG6" s="13"/>
      <c r="PKH6" s="12"/>
      <c r="PKI6" s="12"/>
      <c r="PKJ6" s="11"/>
      <c r="PKK6" s="13"/>
      <c r="PKL6" s="5"/>
      <c r="PKM6" s="5"/>
      <c r="PKN6" s="5"/>
      <c r="PKO6" s="5"/>
      <c r="PKP6" s="5"/>
      <c r="PKQ6" s="5"/>
      <c r="PKR6" s="5"/>
      <c r="PKS6" s="5"/>
      <c r="PKT6" s="5"/>
      <c r="PKU6" s="5"/>
      <c r="PKV6" s="5"/>
      <c r="PKW6" s="10"/>
      <c r="PKX6" s="11"/>
      <c r="PKY6" s="12"/>
      <c r="PKZ6" s="13"/>
      <c r="PLA6" s="12"/>
      <c r="PLB6" s="11"/>
      <c r="PLC6" s="13"/>
      <c r="PLD6" s="12"/>
      <c r="PLE6" s="12"/>
      <c r="PLF6" s="11"/>
      <c r="PLG6" s="13"/>
      <c r="PLH6" s="5"/>
      <c r="PLI6" s="5"/>
      <c r="PLJ6" s="5"/>
      <c r="PLK6" s="5"/>
      <c r="PLL6" s="5"/>
      <c r="PLM6" s="5"/>
      <c r="PLN6" s="5"/>
      <c r="PLO6" s="5"/>
      <c r="PLP6" s="5"/>
      <c r="PLQ6" s="5"/>
      <c r="PLR6" s="5"/>
      <c r="PLS6" s="10"/>
      <c r="PLT6" s="11"/>
      <c r="PLU6" s="12"/>
      <c r="PLV6" s="13"/>
      <c r="PLW6" s="12"/>
      <c r="PLX6" s="11"/>
      <c r="PLY6" s="13"/>
      <c r="PLZ6" s="12"/>
      <c r="PMA6" s="12"/>
      <c r="PMB6" s="11"/>
      <c r="PMC6" s="13"/>
      <c r="PMD6" s="5"/>
      <c r="PME6" s="5"/>
      <c r="PMF6" s="5"/>
      <c r="PMG6" s="5"/>
      <c r="PMH6" s="5"/>
      <c r="PMI6" s="5"/>
      <c r="PMJ6" s="5"/>
      <c r="PMK6" s="5"/>
      <c r="PML6" s="5"/>
      <c r="PMM6" s="5"/>
      <c r="PMN6" s="5"/>
      <c r="PMO6" s="10"/>
      <c r="PMP6" s="11"/>
      <c r="PMQ6" s="12"/>
      <c r="PMR6" s="13"/>
      <c r="PMS6" s="12"/>
      <c r="PMT6" s="11"/>
      <c r="PMU6" s="13"/>
      <c r="PMV6" s="12"/>
      <c r="PMW6" s="12"/>
      <c r="PMX6" s="11"/>
      <c r="PMY6" s="13"/>
      <c r="PMZ6" s="5"/>
      <c r="PNA6" s="5"/>
      <c r="PNB6" s="5"/>
      <c r="PNC6" s="5"/>
      <c r="PND6" s="5"/>
      <c r="PNE6" s="5"/>
      <c r="PNF6" s="5"/>
      <c r="PNG6" s="5"/>
      <c r="PNH6" s="5"/>
      <c r="PNI6" s="5"/>
      <c r="PNJ6" s="5"/>
      <c r="PNK6" s="10"/>
      <c r="PNL6" s="11"/>
      <c r="PNM6" s="12"/>
      <c r="PNN6" s="13"/>
      <c r="PNO6" s="12"/>
      <c r="PNP6" s="11"/>
      <c r="PNQ6" s="13"/>
      <c r="PNR6" s="12"/>
      <c r="PNS6" s="12"/>
      <c r="PNT6" s="11"/>
      <c r="PNU6" s="13"/>
      <c r="PNV6" s="5"/>
      <c r="PNW6" s="5"/>
      <c r="PNX6" s="5"/>
      <c r="PNY6" s="5"/>
      <c r="PNZ6" s="5"/>
      <c r="POA6" s="5"/>
      <c r="POB6" s="5"/>
      <c r="POC6" s="5"/>
      <c r="POD6" s="5"/>
      <c r="POE6" s="5"/>
      <c r="POF6" s="5"/>
      <c r="POG6" s="10"/>
      <c r="POH6" s="11"/>
      <c r="POI6" s="12"/>
      <c r="POJ6" s="13"/>
      <c r="POK6" s="12"/>
      <c r="POL6" s="11"/>
      <c r="POM6" s="13"/>
      <c r="PON6" s="12"/>
      <c r="POO6" s="12"/>
      <c r="POP6" s="11"/>
      <c r="POQ6" s="13"/>
      <c r="POR6" s="5"/>
      <c r="POS6" s="5"/>
      <c r="POT6" s="5"/>
      <c r="POU6" s="5"/>
      <c r="POV6" s="5"/>
      <c r="POW6" s="5"/>
      <c r="POX6" s="5"/>
      <c r="POY6" s="5"/>
      <c r="POZ6" s="5"/>
      <c r="PPA6" s="5"/>
      <c r="PPB6" s="5"/>
      <c r="PPC6" s="10"/>
      <c r="PPD6" s="11"/>
      <c r="PPE6" s="12"/>
      <c r="PPF6" s="13"/>
      <c r="PPG6" s="12"/>
      <c r="PPH6" s="11"/>
      <c r="PPI6" s="13"/>
      <c r="PPJ6" s="12"/>
      <c r="PPK6" s="12"/>
      <c r="PPL6" s="11"/>
      <c r="PPM6" s="13"/>
      <c r="PPN6" s="5"/>
      <c r="PPO6" s="5"/>
      <c r="PPP6" s="5"/>
      <c r="PPQ6" s="5"/>
      <c r="PPR6" s="5"/>
      <c r="PPS6" s="5"/>
      <c r="PPT6" s="5"/>
      <c r="PPU6" s="5"/>
      <c r="PPV6" s="5"/>
      <c r="PPW6" s="5"/>
      <c r="PPX6" s="5"/>
      <c r="PPY6" s="10"/>
      <c r="PPZ6" s="11"/>
      <c r="PQA6" s="12"/>
      <c r="PQB6" s="13"/>
      <c r="PQC6" s="12"/>
      <c r="PQD6" s="11"/>
      <c r="PQE6" s="13"/>
      <c r="PQF6" s="12"/>
      <c r="PQG6" s="12"/>
      <c r="PQH6" s="11"/>
      <c r="PQI6" s="13"/>
      <c r="PQJ6" s="5"/>
      <c r="PQK6" s="5"/>
      <c r="PQL6" s="5"/>
      <c r="PQM6" s="5"/>
      <c r="PQN6" s="5"/>
      <c r="PQO6" s="5"/>
      <c r="PQP6" s="5"/>
      <c r="PQQ6" s="5"/>
      <c r="PQR6" s="5"/>
      <c r="PQS6" s="5"/>
      <c r="PQT6" s="5"/>
      <c r="PQU6" s="10"/>
      <c r="PQV6" s="11"/>
      <c r="PQW6" s="12"/>
      <c r="PQX6" s="13"/>
      <c r="PQY6" s="12"/>
      <c r="PQZ6" s="11"/>
      <c r="PRA6" s="13"/>
      <c r="PRB6" s="12"/>
      <c r="PRC6" s="12"/>
      <c r="PRD6" s="11"/>
      <c r="PRE6" s="13"/>
      <c r="PRF6" s="5"/>
      <c r="PRG6" s="5"/>
      <c r="PRH6" s="5"/>
      <c r="PRI6" s="5"/>
      <c r="PRJ6" s="5"/>
      <c r="PRK6" s="5"/>
      <c r="PRL6" s="5"/>
      <c r="PRM6" s="5"/>
      <c r="PRN6" s="5"/>
      <c r="PRO6" s="5"/>
      <c r="PRP6" s="5"/>
      <c r="PRQ6" s="10"/>
      <c r="PRR6" s="11"/>
      <c r="PRS6" s="12"/>
      <c r="PRT6" s="13"/>
      <c r="PRU6" s="12"/>
      <c r="PRV6" s="11"/>
      <c r="PRW6" s="13"/>
      <c r="PRX6" s="12"/>
      <c r="PRY6" s="12"/>
      <c r="PRZ6" s="11"/>
      <c r="PSA6" s="13"/>
      <c r="PSB6" s="5"/>
      <c r="PSC6" s="5"/>
      <c r="PSD6" s="5"/>
      <c r="PSE6" s="5"/>
      <c r="PSF6" s="5"/>
      <c r="PSG6" s="5"/>
      <c r="PSH6" s="5"/>
      <c r="PSI6" s="5"/>
      <c r="PSJ6" s="5"/>
      <c r="PSK6" s="5"/>
      <c r="PSL6" s="5"/>
      <c r="PSM6" s="10"/>
      <c r="PSN6" s="11"/>
      <c r="PSO6" s="12"/>
      <c r="PSP6" s="13"/>
      <c r="PSQ6" s="12"/>
      <c r="PSR6" s="11"/>
      <c r="PSS6" s="13"/>
      <c r="PST6" s="12"/>
      <c r="PSU6" s="12"/>
      <c r="PSV6" s="11"/>
      <c r="PSW6" s="13"/>
      <c r="PSX6" s="5"/>
      <c r="PSY6" s="5"/>
      <c r="PSZ6" s="5"/>
      <c r="PTA6" s="5"/>
      <c r="PTB6" s="5"/>
      <c r="PTC6" s="5"/>
      <c r="PTD6" s="5"/>
      <c r="PTE6" s="5"/>
      <c r="PTF6" s="5"/>
      <c r="PTG6" s="5"/>
      <c r="PTH6" s="5"/>
      <c r="PTI6" s="10"/>
      <c r="PTJ6" s="11"/>
      <c r="PTK6" s="12"/>
      <c r="PTL6" s="13"/>
      <c r="PTM6" s="12"/>
      <c r="PTN6" s="11"/>
      <c r="PTO6" s="13"/>
      <c r="PTP6" s="12"/>
      <c r="PTQ6" s="12"/>
      <c r="PTR6" s="11"/>
      <c r="PTS6" s="13"/>
      <c r="PTT6" s="5"/>
      <c r="PTU6" s="5"/>
      <c r="PTV6" s="5"/>
      <c r="PTW6" s="5"/>
      <c r="PTX6" s="5"/>
      <c r="PTY6" s="5"/>
      <c r="PTZ6" s="5"/>
      <c r="PUA6" s="5"/>
      <c r="PUB6" s="5"/>
      <c r="PUC6" s="5"/>
      <c r="PUD6" s="5"/>
      <c r="PUE6" s="10"/>
      <c r="PUF6" s="11"/>
      <c r="PUG6" s="12"/>
      <c r="PUH6" s="13"/>
      <c r="PUI6" s="12"/>
      <c r="PUJ6" s="11"/>
      <c r="PUK6" s="13"/>
      <c r="PUL6" s="12"/>
      <c r="PUM6" s="12"/>
      <c r="PUN6" s="11"/>
      <c r="PUO6" s="13"/>
      <c r="PUP6" s="5"/>
      <c r="PUQ6" s="5"/>
      <c r="PUR6" s="5"/>
      <c r="PUS6" s="5"/>
      <c r="PUT6" s="5"/>
      <c r="PUU6" s="5"/>
      <c r="PUV6" s="5"/>
      <c r="PUW6" s="5"/>
      <c r="PUX6" s="5"/>
      <c r="PUY6" s="5"/>
      <c r="PUZ6" s="5"/>
      <c r="PVA6" s="10"/>
      <c r="PVB6" s="11"/>
      <c r="PVC6" s="12"/>
      <c r="PVD6" s="13"/>
      <c r="PVE6" s="12"/>
      <c r="PVF6" s="11"/>
      <c r="PVG6" s="13"/>
      <c r="PVH6" s="12"/>
      <c r="PVI6" s="12"/>
      <c r="PVJ6" s="11"/>
      <c r="PVK6" s="13"/>
      <c r="PVL6" s="5"/>
      <c r="PVM6" s="5"/>
      <c r="PVN6" s="5"/>
      <c r="PVO6" s="5"/>
      <c r="PVP6" s="5"/>
      <c r="PVQ6" s="5"/>
      <c r="PVR6" s="5"/>
      <c r="PVS6" s="5"/>
      <c r="PVT6" s="5"/>
      <c r="PVU6" s="5"/>
      <c r="PVV6" s="5"/>
      <c r="PVW6" s="10"/>
      <c r="PVX6" s="11"/>
      <c r="PVY6" s="12"/>
      <c r="PVZ6" s="13"/>
      <c r="PWA6" s="12"/>
      <c r="PWB6" s="11"/>
      <c r="PWC6" s="13"/>
      <c r="PWD6" s="12"/>
      <c r="PWE6" s="12"/>
      <c r="PWF6" s="11"/>
      <c r="PWG6" s="13"/>
      <c r="PWH6" s="5"/>
      <c r="PWI6" s="5"/>
      <c r="PWJ6" s="5"/>
      <c r="PWK6" s="5"/>
      <c r="PWL6" s="5"/>
      <c r="PWM6" s="5"/>
      <c r="PWN6" s="5"/>
      <c r="PWO6" s="5"/>
      <c r="PWP6" s="5"/>
      <c r="PWQ6" s="5"/>
      <c r="PWR6" s="5"/>
      <c r="PWS6" s="10"/>
      <c r="PWT6" s="11"/>
      <c r="PWU6" s="12"/>
      <c r="PWV6" s="13"/>
      <c r="PWW6" s="12"/>
      <c r="PWX6" s="11"/>
      <c r="PWY6" s="13"/>
      <c r="PWZ6" s="12"/>
      <c r="PXA6" s="12"/>
      <c r="PXB6" s="11"/>
      <c r="PXC6" s="13"/>
      <c r="PXD6" s="5"/>
      <c r="PXE6" s="5"/>
      <c r="PXF6" s="5"/>
      <c r="PXG6" s="5"/>
      <c r="PXH6" s="5"/>
      <c r="PXI6" s="5"/>
      <c r="PXJ6" s="5"/>
      <c r="PXK6" s="5"/>
      <c r="PXL6" s="5"/>
      <c r="PXM6" s="5"/>
      <c r="PXN6" s="5"/>
      <c r="PXO6" s="10"/>
      <c r="PXP6" s="11"/>
      <c r="PXQ6" s="12"/>
      <c r="PXR6" s="13"/>
      <c r="PXS6" s="12"/>
      <c r="PXT6" s="11"/>
      <c r="PXU6" s="13"/>
      <c r="PXV6" s="12"/>
      <c r="PXW6" s="12"/>
      <c r="PXX6" s="11"/>
      <c r="PXY6" s="13"/>
      <c r="PXZ6" s="5"/>
      <c r="PYA6" s="5"/>
      <c r="PYB6" s="5"/>
      <c r="PYC6" s="5"/>
      <c r="PYD6" s="5"/>
      <c r="PYE6" s="5"/>
      <c r="PYF6" s="5"/>
      <c r="PYG6" s="5"/>
      <c r="PYH6" s="5"/>
      <c r="PYI6" s="5"/>
      <c r="PYJ6" s="5"/>
      <c r="PYK6" s="10"/>
      <c r="PYL6" s="11"/>
      <c r="PYM6" s="12"/>
      <c r="PYN6" s="13"/>
      <c r="PYO6" s="12"/>
      <c r="PYP6" s="11"/>
      <c r="PYQ6" s="13"/>
      <c r="PYR6" s="12"/>
      <c r="PYS6" s="12"/>
      <c r="PYT6" s="11"/>
      <c r="PYU6" s="13"/>
      <c r="PYV6" s="5"/>
      <c r="PYW6" s="5"/>
      <c r="PYX6" s="5"/>
      <c r="PYY6" s="5"/>
      <c r="PYZ6" s="5"/>
      <c r="PZA6" s="5"/>
      <c r="PZB6" s="5"/>
      <c r="PZC6" s="5"/>
      <c r="PZD6" s="5"/>
      <c r="PZE6" s="5"/>
      <c r="PZF6" s="5"/>
      <c r="PZG6" s="10"/>
      <c r="PZH6" s="11"/>
      <c r="PZI6" s="12"/>
      <c r="PZJ6" s="13"/>
      <c r="PZK6" s="12"/>
      <c r="PZL6" s="11"/>
      <c r="PZM6" s="13"/>
      <c r="PZN6" s="12"/>
      <c r="PZO6" s="12"/>
      <c r="PZP6" s="11"/>
      <c r="PZQ6" s="13"/>
      <c r="PZR6" s="5"/>
      <c r="PZS6" s="5"/>
      <c r="PZT6" s="5"/>
      <c r="PZU6" s="5"/>
      <c r="PZV6" s="5"/>
      <c r="PZW6" s="5"/>
      <c r="PZX6" s="5"/>
      <c r="PZY6" s="5"/>
      <c r="PZZ6" s="5"/>
      <c r="QAA6" s="5"/>
      <c r="QAB6" s="5"/>
      <c r="QAC6" s="10"/>
      <c r="QAD6" s="11"/>
      <c r="QAE6" s="12"/>
      <c r="QAF6" s="13"/>
      <c r="QAG6" s="12"/>
      <c r="QAH6" s="11"/>
      <c r="QAI6" s="13"/>
      <c r="QAJ6" s="12"/>
      <c r="QAK6" s="12"/>
      <c r="QAL6" s="11"/>
      <c r="QAM6" s="13"/>
      <c r="QAN6" s="5"/>
      <c r="QAO6" s="5"/>
      <c r="QAP6" s="5"/>
      <c r="QAQ6" s="5"/>
      <c r="QAR6" s="5"/>
      <c r="QAS6" s="5"/>
      <c r="QAT6" s="5"/>
      <c r="QAU6" s="5"/>
      <c r="QAV6" s="5"/>
      <c r="QAW6" s="5"/>
      <c r="QAX6" s="5"/>
      <c r="QAY6" s="10"/>
      <c r="QAZ6" s="11"/>
      <c r="QBA6" s="12"/>
      <c r="QBB6" s="13"/>
      <c r="QBC6" s="12"/>
      <c r="QBD6" s="11"/>
      <c r="QBE6" s="13"/>
      <c r="QBF6" s="12"/>
      <c r="QBG6" s="12"/>
      <c r="QBH6" s="11"/>
      <c r="QBI6" s="13"/>
      <c r="QBJ6" s="5"/>
      <c r="QBK6" s="5"/>
      <c r="QBL6" s="5"/>
      <c r="QBM6" s="5"/>
      <c r="QBN6" s="5"/>
      <c r="QBO6" s="5"/>
      <c r="QBP6" s="5"/>
      <c r="QBQ6" s="5"/>
      <c r="QBR6" s="5"/>
      <c r="QBS6" s="5"/>
      <c r="QBT6" s="5"/>
      <c r="QBU6" s="10"/>
      <c r="QBV6" s="11"/>
      <c r="QBW6" s="12"/>
      <c r="QBX6" s="13"/>
      <c r="QBY6" s="12"/>
      <c r="QBZ6" s="11"/>
      <c r="QCA6" s="13"/>
      <c r="QCB6" s="12"/>
      <c r="QCC6" s="12"/>
      <c r="QCD6" s="11"/>
      <c r="QCE6" s="13"/>
      <c r="QCF6" s="5"/>
      <c r="QCG6" s="5"/>
      <c r="QCH6" s="5"/>
      <c r="QCI6" s="5"/>
      <c r="QCJ6" s="5"/>
      <c r="QCK6" s="5"/>
      <c r="QCL6" s="5"/>
      <c r="QCM6" s="5"/>
      <c r="QCN6" s="5"/>
      <c r="QCO6" s="5"/>
      <c r="QCP6" s="5"/>
      <c r="QCQ6" s="10"/>
      <c r="QCR6" s="11"/>
      <c r="QCS6" s="12"/>
      <c r="QCT6" s="13"/>
      <c r="QCU6" s="12"/>
      <c r="QCV6" s="11"/>
      <c r="QCW6" s="13"/>
      <c r="QCX6" s="12"/>
      <c r="QCY6" s="12"/>
      <c r="QCZ6" s="11"/>
      <c r="QDA6" s="13"/>
      <c r="QDB6" s="5"/>
      <c r="QDC6" s="5"/>
      <c r="QDD6" s="5"/>
      <c r="QDE6" s="5"/>
      <c r="QDF6" s="5"/>
      <c r="QDG6" s="5"/>
      <c r="QDH6" s="5"/>
      <c r="QDI6" s="5"/>
      <c r="QDJ6" s="5"/>
      <c r="QDK6" s="5"/>
      <c r="QDL6" s="5"/>
      <c r="QDM6" s="10"/>
      <c r="QDN6" s="11"/>
      <c r="QDO6" s="12"/>
      <c r="QDP6" s="13"/>
      <c r="QDQ6" s="12"/>
      <c r="QDR6" s="11"/>
      <c r="QDS6" s="13"/>
      <c r="QDT6" s="12"/>
      <c r="QDU6" s="12"/>
      <c r="QDV6" s="11"/>
      <c r="QDW6" s="13"/>
      <c r="QDX6" s="5"/>
      <c r="QDY6" s="5"/>
      <c r="QDZ6" s="5"/>
      <c r="QEA6" s="5"/>
      <c r="QEB6" s="5"/>
      <c r="QEC6" s="5"/>
      <c r="QED6" s="5"/>
      <c r="QEE6" s="5"/>
      <c r="QEF6" s="5"/>
      <c r="QEG6" s="5"/>
      <c r="QEH6" s="5"/>
      <c r="QEI6" s="10"/>
      <c r="QEJ6" s="11"/>
      <c r="QEK6" s="12"/>
      <c r="QEL6" s="13"/>
      <c r="QEM6" s="12"/>
      <c r="QEN6" s="11"/>
      <c r="QEO6" s="13"/>
      <c r="QEP6" s="12"/>
      <c r="QEQ6" s="12"/>
      <c r="QER6" s="11"/>
      <c r="QES6" s="13"/>
      <c r="QET6" s="5"/>
      <c r="QEU6" s="5"/>
      <c r="QEV6" s="5"/>
      <c r="QEW6" s="5"/>
      <c r="QEX6" s="5"/>
      <c r="QEY6" s="5"/>
      <c r="QEZ6" s="5"/>
      <c r="QFA6" s="5"/>
      <c r="QFB6" s="5"/>
      <c r="QFC6" s="5"/>
      <c r="QFD6" s="5"/>
      <c r="QFE6" s="10"/>
      <c r="QFF6" s="11"/>
      <c r="QFG6" s="12"/>
      <c r="QFH6" s="13"/>
      <c r="QFI6" s="12"/>
      <c r="QFJ6" s="11"/>
      <c r="QFK6" s="13"/>
      <c r="QFL6" s="12"/>
      <c r="QFM6" s="12"/>
      <c r="QFN6" s="11"/>
      <c r="QFO6" s="13"/>
      <c r="QFP6" s="5"/>
      <c r="QFQ6" s="5"/>
      <c r="QFR6" s="5"/>
      <c r="QFS6" s="5"/>
      <c r="QFT6" s="5"/>
      <c r="QFU6" s="5"/>
      <c r="QFV6" s="5"/>
      <c r="QFW6" s="5"/>
      <c r="QFX6" s="5"/>
      <c r="QFY6" s="5"/>
      <c r="QFZ6" s="5"/>
      <c r="QGA6" s="10"/>
      <c r="QGB6" s="11"/>
      <c r="QGC6" s="12"/>
      <c r="QGD6" s="13"/>
      <c r="QGE6" s="12"/>
      <c r="QGF6" s="11"/>
      <c r="QGG6" s="13"/>
      <c r="QGH6" s="12"/>
      <c r="QGI6" s="12"/>
      <c r="QGJ6" s="11"/>
      <c r="QGK6" s="13"/>
      <c r="QGL6" s="5"/>
      <c r="QGM6" s="5"/>
      <c r="QGN6" s="5"/>
      <c r="QGO6" s="5"/>
      <c r="QGP6" s="5"/>
      <c r="QGQ6" s="5"/>
      <c r="QGR6" s="5"/>
      <c r="QGS6" s="5"/>
      <c r="QGT6" s="5"/>
      <c r="QGU6" s="5"/>
      <c r="QGV6" s="5"/>
      <c r="QGW6" s="10"/>
      <c r="QGX6" s="11"/>
      <c r="QGY6" s="12"/>
      <c r="QGZ6" s="13"/>
      <c r="QHA6" s="12"/>
      <c r="QHB6" s="11"/>
      <c r="QHC6" s="13"/>
      <c r="QHD6" s="12"/>
      <c r="QHE6" s="12"/>
      <c r="QHF6" s="11"/>
      <c r="QHG6" s="13"/>
      <c r="QHH6" s="5"/>
      <c r="QHI6" s="5"/>
      <c r="QHJ6" s="5"/>
      <c r="QHK6" s="5"/>
      <c r="QHL6" s="5"/>
      <c r="QHM6" s="5"/>
      <c r="QHN6" s="5"/>
      <c r="QHO6" s="5"/>
      <c r="QHP6" s="5"/>
      <c r="QHQ6" s="5"/>
      <c r="QHR6" s="5"/>
      <c r="QHS6" s="10"/>
      <c r="QHT6" s="11"/>
      <c r="QHU6" s="12"/>
      <c r="QHV6" s="13"/>
      <c r="QHW6" s="12"/>
      <c r="QHX6" s="11"/>
      <c r="QHY6" s="13"/>
      <c r="QHZ6" s="12"/>
      <c r="QIA6" s="12"/>
      <c r="QIB6" s="11"/>
      <c r="QIC6" s="13"/>
      <c r="QID6" s="5"/>
      <c r="QIE6" s="5"/>
      <c r="QIF6" s="5"/>
      <c r="QIG6" s="5"/>
      <c r="QIH6" s="5"/>
      <c r="QII6" s="5"/>
      <c r="QIJ6" s="5"/>
      <c r="QIK6" s="5"/>
      <c r="QIL6" s="5"/>
      <c r="QIM6" s="5"/>
      <c r="QIN6" s="5"/>
      <c r="QIO6" s="10"/>
      <c r="QIP6" s="11"/>
      <c r="QIQ6" s="12"/>
      <c r="QIR6" s="13"/>
      <c r="QIS6" s="12"/>
      <c r="QIT6" s="11"/>
      <c r="QIU6" s="13"/>
      <c r="QIV6" s="12"/>
      <c r="QIW6" s="12"/>
      <c r="QIX6" s="11"/>
      <c r="QIY6" s="13"/>
      <c r="QIZ6" s="5"/>
      <c r="QJA6" s="5"/>
      <c r="QJB6" s="5"/>
      <c r="QJC6" s="5"/>
      <c r="QJD6" s="5"/>
      <c r="QJE6" s="5"/>
      <c r="QJF6" s="5"/>
      <c r="QJG6" s="5"/>
      <c r="QJH6" s="5"/>
      <c r="QJI6" s="5"/>
      <c r="QJJ6" s="5"/>
      <c r="QJK6" s="10"/>
      <c r="QJL6" s="11"/>
      <c r="QJM6" s="12"/>
      <c r="QJN6" s="13"/>
      <c r="QJO6" s="12"/>
      <c r="QJP6" s="11"/>
      <c r="QJQ6" s="13"/>
      <c r="QJR6" s="12"/>
      <c r="QJS6" s="12"/>
      <c r="QJT6" s="11"/>
      <c r="QJU6" s="13"/>
      <c r="QJV6" s="5"/>
      <c r="QJW6" s="5"/>
      <c r="QJX6" s="5"/>
      <c r="QJY6" s="5"/>
      <c r="QJZ6" s="5"/>
      <c r="QKA6" s="5"/>
      <c r="QKB6" s="5"/>
      <c r="QKC6" s="5"/>
      <c r="QKD6" s="5"/>
      <c r="QKE6" s="5"/>
      <c r="QKF6" s="5"/>
      <c r="QKG6" s="10"/>
      <c r="QKH6" s="11"/>
      <c r="QKI6" s="12"/>
      <c r="QKJ6" s="13"/>
      <c r="QKK6" s="12"/>
      <c r="QKL6" s="11"/>
      <c r="QKM6" s="13"/>
      <c r="QKN6" s="12"/>
      <c r="QKO6" s="12"/>
      <c r="QKP6" s="11"/>
      <c r="QKQ6" s="13"/>
      <c r="QKR6" s="5"/>
      <c r="QKS6" s="5"/>
      <c r="QKT6" s="5"/>
      <c r="QKU6" s="5"/>
      <c r="QKV6" s="5"/>
      <c r="QKW6" s="5"/>
      <c r="QKX6" s="5"/>
      <c r="QKY6" s="5"/>
      <c r="QKZ6" s="5"/>
      <c r="QLA6" s="5"/>
      <c r="QLB6" s="5"/>
      <c r="QLC6" s="10"/>
      <c r="QLD6" s="11"/>
      <c r="QLE6" s="12"/>
      <c r="QLF6" s="13"/>
      <c r="QLG6" s="12"/>
      <c r="QLH6" s="11"/>
      <c r="QLI6" s="13"/>
      <c r="QLJ6" s="12"/>
      <c r="QLK6" s="12"/>
      <c r="QLL6" s="11"/>
      <c r="QLM6" s="13"/>
      <c r="QLN6" s="5"/>
      <c r="QLO6" s="5"/>
      <c r="QLP6" s="5"/>
      <c r="QLQ6" s="5"/>
      <c r="QLR6" s="5"/>
      <c r="QLS6" s="5"/>
      <c r="QLT6" s="5"/>
      <c r="QLU6" s="5"/>
      <c r="QLV6" s="5"/>
      <c r="QLW6" s="5"/>
      <c r="QLX6" s="5"/>
      <c r="QLY6" s="10"/>
      <c r="QLZ6" s="11"/>
      <c r="QMA6" s="12"/>
      <c r="QMB6" s="13"/>
      <c r="QMC6" s="12"/>
      <c r="QMD6" s="11"/>
      <c r="QME6" s="13"/>
      <c r="QMF6" s="12"/>
      <c r="QMG6" s="12"/>
      <c r="QMH6" s="11"/>
      <c r="QMI6" s="13"/>
      <c r="QMJ6" s="5"/>
      <c r="QMK6" s="5"/>
      <c r="QML6" s="5"/>
      <c r="QMM6" s="5"/>
      <c r="QMN6" s="5"/>
      <c r="QMO6" s="5"/>
      <c r="QMP6" s="5"/>
      <c r="QMQ6" s="5"/>
      <c r="QMR6" s="5"/>
      <c r="QMS6" s="5"/>
      <c r="QMT6" s="5"/>
      <c r="QMU6" s="10"/>
      <c r="QMV6" s="11"/>
      <c r="QMW6" s="12"/>
      <c r="QMX6" s="13"/>
      <c r="QMY6" s="12"/>
      <c r="QMZ6" s="11"/>
      <c r="QNA6" s="13"/>
      <c r="QNB6" s="12"/>
      <c r="QNC6" s="12"/>
      <c r="QND6" s="11"/>
      <c r="QNE6" s="13"/>
      <c r="QNF6" s="5"/>
      <c r="QNG6" s="5"/>
      <c r="QNH6" s="5"/>
      <c r="QNI6" s="5"/>
      <c r="QNJ6" s="5"/>
      <c r="QNK6" s="5"/>
      <c r="QNL6" s="5"/>
      <c r="QNM6" s="5"/>
      <c r="QNN6" s="5"/>
      <c r="QNO6" s="5"/>
      <c r="QNP6" s="5"/>
      <c r="QNQ6" s="10"/>
      <c r="QNR6" s="11"/>
      <c r="QNS6" s="12"/>
      <c r="QNT6" s="13"/>
      <c r="QNU6" s="12"/>
      <c r="QNV6" s="11"/>
      <c r="QNW6" s="13"/>
      <c r="QNX6" s="12"/>
      <c r="QNY6" s="12"/>
      <c r="QNZ6" s="11"/>
      <c r="QOA6" s="13"/>
      <c r="QOB6" s="5"/>
      <c r="QOC6" s="5"/>
      <c r="QOD6" s="5"/>
      <c r="QOE6" s="5"/>
      <c r="QOF6" s="5"/>
      <c r="QOG6" s="5"/>
      <c r="QOH6" s="5"/>
      <c r="QOI6" s="5"/>
      <c r="QOJ6" s="5"/>
      <c r="QOK6" s="5"/>
      <c r="QOL6" s="5"/>
      <c r="QOM6" s="10"/>
      <c r="QON6" s="11"/>
      <c r="QOO6" s="12"/>
      <c r="QOP6" s="13"/>
      <c r="QOQ6" s="12"/>
      <c r="QOR6" s="11"/>
      <c r="QOS6" s="13"/>
      <c r="QOT6" s="12"/>
      <c r="QOU6" s="12"/>
      <c r="QOV6" s="11"/>
      <c r="QOW6" s="13"/>
      <c r="QOX6" s="5"/>
      <c r="QOY6" s="5"/>
      <c r="QOZ6" s="5"/>
      <c r="QPA6" s="5"/>
      <c r="QPB6" s="5"/>
      <c r="QPC6" s="5"/>
      <c r="QPD6" s="5"/>
      <c r="QPE6" s="5"/>
      <c r="QPF6" s="5"/>
      <c r="QPG6" s="5"/>
      <c r="QPH6" s="5"/>
      <c r="QPI6" s="10"/>
      <c r="QPJ6" s="11"/>
      <c r="QPK6" s="12"/>
      <c r="QPL6" s="13"/>
      <c r="QPM6" s="12"/>
      <c r="QPN6" s="11"/>
      <c r="QPO6" s="13"/>
      <c r="QPP6" s="12"/>
      <c r="QPQ6" s="12"/>
      <c r="QPR6" s="11"/>
      <c r="QPS6" s="13"/>
      <c r="QPT6" s="5"/>
      <c r="QPU6" s="5"/>
      <c r="QPV6" s="5"/>
      <c r="QPW6" s="5"/>
      <c r="QPX6" s="5"/>
      <c r="QPY6" s="5"/>
      <c r="QPZ6" s="5"/>
      <c r="QQA6" s="5"/>
      <c r="QQB6" s="5"/>
      <c r="QQC6" s="5"/>
      <c r="QQD6" s="5"/>
      <c r="QQE6" s="10"/>
      <c r="QQF6" s="11"/>
      <c r="QQG6" s="12"/>
      <c r="QQH6" s="13"/>
      <c r="QQI6" s="12"/>
      <c r="QQJ6" s="11"/>
      <c r="QQK6" s="13"/>
      <c r="QQL6" s="12"/>
      <c r="QQM6" s="12"/>
      <c r="QQN6" s="11"/>
      <c r="QQO6" s="13"/>
      <c r="QQP6" s="5"/>
      <c r="QQQ6" s="5"/>
      <c r="QQR6" s="5"/>
      <c r="QQS6" s="5"/>
      <c r="QQT6" s="5"/>
      <c r="QQU6" s="5"/>
      <c r="QQV6" s="5"/>
      <c r="QQW6" s="5"/>
      <c r="QQX6" s="5"/>
      <c r="QQY6" s="5"/>
      <c r="QQZ6" s="5"/>
      <c r="QRA6" s="10"/>
      <c r="QRB6" s="11"/>
      <c r="QRC6" s="12"/>
      <c r="QRD6" s="13"/>
      <c r="QRE6" s="12"/>
      <c r="QRF6" s="11"/>
      <c r="QRG6" s="13"/>
      <c r="QRH6" s="12"/>
      <c r="QRI6" s="12"/>
      <c r="QRJ6" s="11"/>
      <c r="QRK6" s="13"/>
      <c r="QRL6" s="5"/>
      <c r="QRM6" s="5"/>
      <c r="QRN6" s="5"/>
      <c r="QRO6" s="5"/>
      <c r="QRP6" s="5"/>
      <c r="QRQ6" s="5"/>
      <c r="QRR6" s="5"/>
      <c r="QRS6" s="5"/>
      <c r="QRT6" s="5"/>
      <c r="QRU6" s="5"/>
      <c r="QRV6" s="5"/>
      <c r="QRW6" s="10"/>
      <c r="QRX6" s="11"/>
      <c r="QRY6" s="12"/>
      <c r="QRZ6" s="13"/>
      <c r="QSA6" s="12"/>
      <c r="QSB6" s="11"/>
      <c r="QSC6" s="13"/>
      <c r="QSD6" s="12"/>
      <c r="QSE6" s="12"/>
      <c r="QSF6" s="11"/>
      <c r="QSG6" s="13"/>
      <c r="QSH6" s="5"/>
      <c r="QSI6" s="5"/>
      <c r="QSJ6" s="5"/>
      <c r="QSK6" s="5"/>
      <c r="QSL6" s="5"/>
      <c r="QSM6" s="5"/>
      <c r="QSN6" s="5"/>
      <c r="QSO6" s="5"/>
      <c r="QSP6" s="5"/>
      <c r="QSQ6" s="5"/>
      <c r="QSR6" s="5"/>
      <c r="QSS6" s="10"/>
      <c r="QST6" s="11"/>
      <c r="QSU6" s="12"/>
      <c r="QSV6" s="13"/>
      <c r="QSW6" s="12"/>
      <c r="QSX6" s="11"/>
      <c r="QSY6" s="13"/>
      <c r="QSZ6" s="12"/>
      <c r="QTA6" s="12"/>
      <c r="QTB6" s="11"/>
      <c r="QTC6" s="13"/>
      <c r="QTD6" s="5"/>
      <c r="QTE6" s="5"/>
      <c r="QTF6" s="5"/>
      <c r="QTG6" s="5"/>
      <c r="QTH6" s="5"/>
      <c r="QTI6" s="5"/>
      <c r="QTJ6" s="5"/>
      <c r="QTK6" s="5"/>
      <c r="QTL6" s="5"/>
      <c r="QTM6" s="5"/>
      <c r="QTN6" s="5"/>
      <c r="QTO6" s="10"/>
      <c r="QTP6" s="11"/>
      <c r="QTQ6" s="12"/>
      <c r="QTR6" s="13"/>
      <c r="QTS6" s="12"/>
      <c r="QTT6" s="11"/>
      <c r="QTU6" s="13"/>
      <c r="QTV6" s="12"/>
      <c r="QTW6" s="12"/>
      <c r="QTX6" s="11"/>
      <c r="QTY6" s="13"/>
      <c r="QTZ6" s="5"/>
      <c r="QUA6" s="5"/>
      <c r="QUB6" s="5"/>
      <c r="QUC6" s="5"/>
      <c r="QUD6" s="5"/>
      <c r="QUE6" s="5"/>
      <c r="QUF6" s="5"/>
      <c r="QUG6" s="5"/>
      <c r="QUH6" s="5"/>
      <c r="QUI6" s="5"/>
      <c r="QUJ6" s="5"/>
      <c r="QUK6" s="10"/>
      <c r="QUL6" s="11"/>
      <c r="QUM6" s="12"/>
      <c r="QUN6" s="13"/>
      <c r="QUO6" s="12"/>
      <c r="QUP6" s="11"/>
      <c r="QUQ6" s="13"/>
      <c r="QUR6" s="12"/>
      <c r="QUS6" s="12"/>
      <c r="QUT6" s="11"/>
      <c r="QUU6" s="13"/>
      <c r="QUV6" s="5"/>
      <c r="QUW6" s="5"/>
      <c r="QUX6" s="5"/>
      <c r="QUY6" s="5"/>
      <c r="QUZ6" s="5"/>
      <c r="QVA6" s="5"/>
      <c r="QVB6" s="5"/>
      <c r="QVC6" s="5"/>
      <c r="QVD6" s="5"/>
      <c r="QVE6" s="5"/>
      <c r="QVF6" s="5"/>
      <c r="QVG6" s="10"/>
      <c r="QVH6" s="11"/>
      <c r="QVI6" s="12"/>
      <c r="QVJ6" s="13"/>
      <c r="QVK6" s="12"/>
      <c r="QVL6" s="11"/>
      <c r="QVM6" s="13"/>
      <c r="QVN6" s="12"/>
      <c r="QVO6" s="12"/>
      <c r="QVP6" s="11"/>
      <c r="QVQ6" s="13"/>
      <c r="QVR6" s="5"/>
      <c r="QVS6" s="5"/>
      <c r="QVT6" s="5"/>
      <c r="QVU6" s="5"/>
      <c r="QVV6" s="5"/>
      <c r="QVW6" s="5"/>
      <c r="QVX6" s="5"/>
      <c r="QVY6" s="5"/>
      <c r="QVZ6" s="5"/>
      <c r="QWA6" s="5"/>
      <c r="QWB6" s="5"/>
      <c r="QWC6" s="10"/>
      <c r="QWD6" s="11"/>
      <c r="QWE6" s="12"/>
      <c r="QWF6" s="13"/>
      <c r="QWG6" s="12"/>
      <c r="QWH6" s="11"/>
      <c r="QWI6" s="13"/>
      <c r="QWJ6" s="12"/>
      <c r="QWK6" s="12"/>
      <c r="QWL6" s="11"/>
      <c r="QWM6" s="13"/>
      <c r="QWN6" s="5"/>
      <c r="QWO6" s="5"/>
      <c r="QWP6" s="5"/>
      <c r="QWQ6" s="5"/>
      <c r="QWR6" s="5"/>
      <c r="QWS6" s="5"/>
      <c r="QWT6" s="5"/>
      <c r="QWU6" s="5"/>
      <c r="QWV6" s="5"/>
      <c r="QWW6" s="5"/>
      <c r="QWX6" s="5"/>
      <c r="QWY6" s="10"/>
      <c r="QWZ6" s="11"/>
      <c r="QXA6" s="12"/>
      <c r="QXB6" s="13"/>
      <c r="QXC6" s="12"/>
      <c r="QXD6" s="11"/>
      <c r="QXE6" s="13"/>
      <c r="QXF6" s="12"/>
      <c r="QXG6" s="12"/>
      <c r="QXH6" s="11"/>
      <c r="QXI6" s="13"/>
      <c r="QXJ6" s="5"/>
      <c r="QXK6" s="5"/>
      <c r="QXL6" s="5"/>
      <c r="QXM6" s="5"/>
      <c r="QXN6" s="5"/>
      <c r="QXO6" s="5"/>
      <c r="QXP6" s="5"/>
      <c r="QXQ6" s="5"/>
      <c r="QXR6" s="5"/>
      <c r="QXS6" s="5"/>
      <c r="QXT6" s="5"/>
      <c r="QXU6" s="10"/>
      <c r="QXV6" s="11"/>
      <c r="QXW6" s="12"/>
      <c r="QXX6" s="13"/>
      <c r="QXY6" s="12"/>
      <c r="QXZ6" s="11"/>
      <c r="QYA6" s="13"/>
      <c r="QYB6" s="12"/>
      <c r="QYC6" s="12"/>
      <c r="QYD6" s="11"/>
      <c r="QYE6" s="13"/>
      <c r="QYF6" s="5"/>
      <c r="QYG6" s="5"/>
      <c r="QYH6" s="5"/>
      <c r="QYI6" s="5"/>
      <c r="QYJ6" s="5"/>
      <c r="QYK6" s="5"/>
      <c r="QYL6" s="5"/>
      <c r="QYM6" s="5"/>
      <c r="QYN6" s="5"/>
      <c r="QYO6" s="5"/>
      <c r="QYP6" s="5"/>
      <c r="QYQ6" s="10"/>
      <c r="QYR6" s="11"/>
      <c r="QYS6" s="12"/>
      <c r="QYT6" s="13"/>
      <c r="QYU6" s="12"/>
      <c r="QYV6" s="11"/>
      <c r="QYW6" s="13"/>
      <c r="QYX6" s="12"/>
      <c r="QYY6" s="12"/>
      <c r="QYZ6" s="11"/>
      <c r="QZA6" s="13"/>
      <c r="QZB6" s="5"/>
      <c r="QZC6" s="5"/>
      <c r="QZD6" s="5"/>
      <c r="QZE6" s="5"/>
      <c r="QZF6" s="5"/>
      <c r="QZG6" s="5"/>
      <c r="QZH6" s="5"/>
      <c r="QZI6" s="5"/>
      <c r="QZJ6" s="5"/>
      <c r="QZK6" s="5"/>
      <c r="QZL6" s="5"/>
      <c r="QZM6" s="10"/>
      <c r="QZN6" s="11"/>
      <c r="QZO6" s="12"/>
      <c r="QZP6" s="13"/>
      <c r="QZQ6" s="12"/>
      <c r="QZR6" s="11"/>
      <c r="QZS6" s="13"/>
      <c r="QZT6" s="12"/>
      <c r="QZU6" s="12"/>
      <c r="QZV6" s="11"/>
      <c r="QZW6" s="13"/>
      <c r="QZX6" s="5"/>
      <c r="QZY6" s="5"/>
      <c r="QZZ6" s="5"/>
      <c r="RAA6" s="5"/>
      <c r="RAB6" s="5"/>
      <c r="RAC6" s="5"/>
      <c r="RAD6" s="5"/>
      <c r="RAE6" s="5"/>
      <c r="RAF6" s="5"/>
      <c r="RAG6" s="5"/>
      <c r="RAH6" s="5"/>
      <c r="RAI6" s="10"/>
      <c r="RAJ6" s="11"/>
      <c r="RAK6" s="12"/>
      <c r="RAL6" s="13"/>
      <c r="RAM6" s="12"/>
      <c r="RAN6" s="11"/>
      <c r="RAO6" s="13"/>
      <c r="RAP6" s="12"/>
      <c r="RAQ6" s="12"/>
      <c r="RAR6" s="11"/>
      <c r="RAS6" s="13"/>
      <c r="RAT6" s="5"/>
      <c r="RAU6" s="5"/>
      <c r="RAV6" s="5"/>
      <c r="RAW6" s="5"/>
      <c r="RAX6" s="5"/>
      <c r="RAY6" s="5"/>
      <c r="RAZ6" s="5"/>
      <c r="RBA6" s="5"/>
      <c r="RBB6" s="5"/>
      <c r="RBC6" s="5"/>
      <c r="RBD6" s="5"/>
      <c r="RBE6" s="10"/>
      <c r="RBF6" s="11"/>
      <c r="RBG6" s="12"/>
      <c r="RBH6" s="13"/>
      <c r="RBI6" s="12"/>
      <c r="RBJ6" s="11"/>
      <c r="RBK6" s="13"/>
      <c r="RBL6" s="12"/>
      <c r="RBM6" s="12"/>
      <c r="RBN6" s="11"/>
      <c r="RBO6" s="13"/>
      <c r="RBP6" s="5"/>
      <c r="RBQ6" s="5"/>
      <c r="RBR6" s="5"/>
      <c r="RBS6" s="5"/>
      <c r="RBT6" s="5"/>
      <c r="RBU6" s="5"/>
      <c r="RBV6" s="5"/>
      <c r="RBW6" s="5"/>
      <c r="RBX6" s="5"/>
      <c r="RBY6" s="5"/>
      <c r="RBZ6" s="5"/>
      <c r="RCA6" s="10"/>
      <c r="RCB6" s="11"/>
      <c r="RCC6" s="12"/>
      <c r="RCD6" s="13"/>
      <c r="RCE6" s="12"/>
      <c r="RCF6" s="11"/>
      <c r="RCG6" s="13"/>
      <c r="RCH6" s="12"/>
      <c r="RCI6" s="12"/>
      <c r="RCJ6" s="11"/>
      <c r="RCK6" s="13"/>
      <c r="RCL6" s="5"/>
      <c r="RCM6" s="5"/>
      <c r="RCN6" s="5"/>
      <c r="RCO6" s="5"/>
      <c r="RCP6" s="5"/>
      <c r="RCQ6" s="5"/>
      <c r="RCR6" s="5"/>
      <c r="RCS6" s="5"/>
      <c r="RCT6" s="5"/>
      <c r="RCU6" s="5"/>
      <c r="RCV6" s="5"/>
      <c r="RCW6" s="10"/>
      <c r="RCX6" s="11"/>
      <c r="RCY6" s="12"/>
      <c r="RCZ6" s="13"/>
      <c r="RDA6" s="12"/>
      <c r="RDB6" s="11"/>
      <c r="RDC6" s="13"/>
      <c r="RDD6" s="12"/>
      <c r="RDE6" s="12"/>
      <c r="RDF6" s="11"/>
      <c r="RDG6" s="13"/>
      <c r="RDH6" s="5"/>
      <c r="RDI6" s="5"/>
      <c r="RDJ6" s="5"/>
      <c r="RDK6" s="5"/>
      <c r="RDL6" s="5"/>
      <c r="RDM6" s="5"/>
      <c r="RDN6" s="5"/>
      <c r="RDO6" s="5"/>
      <c r="RDP6" s="5"/>
      <c r="RDQ6" s="5"/>
      <c r="RDR6" s="5"/>
      <c r="RDS6" s="10"/>
      <c r="RDT6" s="11"/>
      <c r="RDU6" s="12"/>
      <c r="RDV6" s="13"/>
      <c r="RDW6" s="12"/>
      <c r="RDX6" s="11"/>
      <c r="RDY6" s="13"/>
      <c r="RDZ6" s="12"/>
      <c r="REA6" s="12"/>
      <c r="REB6" s="11"/>
      <c r="REC6" s="13"/>
      <c r="RED6" s="5"/>
      <c r="REE6" s="5"/>
      <c r="REF6" s="5"/>
      <c r="REG6" s="5"/>
      <c r="REH6" s="5"/>
      <c r="REI6" s="5"/>
      <c r="REJ6" s="5"/>
      <c r="REK6" s="5"/>
      <c r="REL6" s="5"/>
      <c r="REM6" s="5"/>
      <c r="REN6" s="5"/>
      <c r="REO6" s="10"/>
      <c r="REP6" s="11"/>
      <c r="REQ6" s="12"/>
      <c r="RER6" s="13"/>
      <c r="RES6" s="12"/>
      <c r="RET6" s="11"/>
      <c r="REU6" s="13"/>
      <c r="REV6" s="12"/>
      <c r="REW6" s="12"/>
      <c r="REX6" s="11"/>
      <c r="REY6" s="13"/>
      <c r="REZ6" s="5"/>
      <c r="RFA6" s="5"/>
      <c r="RFB6" s="5"/>
      <c r="RFC6" s="5"/>
      <c r="RFD6" s="5"/>
      <c r="RFE6" s="5"/>
      <c r="RFF6" s="5"/>
      <c r="RFG6" s="5"/>
      <c r="RFH6" s="5"/>
      <c r="RFI6" s="5"/>
      <c r="RFJ6" s="5"/>
      <c r="RFK6" s="10"/>
      <c r="RFL6" s="11"/>
      <c r="RFM6" s="12"/>
      <c r="RFN6" s="13"/>
      <c r="RFO6" s="12"/>
      <c r="RFP6" s="11"/>
      <c r="RFQ6" s="13"/>
      <c r="RFR6" s="12"/>
      <c r="RFS6" s="12"/>
      <c r="RFT6" s="11"/>
      <c r="RFU6" s="13"/>
      <c r="RFV6" s="5"/>
      <c r="RFW6" s="5"/>
      <c r="RFX6" s="5"/>
      <c r="RFY6" s="5"/>
      <c r="RFZ6" s="5"/>
      <c r="RGA6" s="5"/>
      <c r="RGB6" s="5"/>
      <c r="RGC6" s="5"/>
      <c r="RGD6" s="5"/>
      <c r="RGE6" s="5"/>
      <c r="RGF6" s="5"/>
      <c r="RGG6" s="10"/>
      <c r="RGH6" s="11"/>
      <c r="RGI6" s="12"/>
      <c r="RGJ6" s="13"/>
      <c r="RGK6" s="12"/>
      <c r="RGL6" s="11"/>
      <c r="RGM6" s="13"/>
      <c r="RGN6" s="12"/>
      <c r="RGO6" s="12"/>
      <c r="RGP6" s="11"/>
      <c r="RGQ6" s="13"/>
      <c r="RGR6" s="5"/>
      <c r="RGS6" s="5"/>
      <c r="RGT6" s="5"/>
      <c r="RGU6" s="5"/>
      <c r="RGV6" s="5"/>
      <c r="RGW6" s="5"/>
      <c r="RGX6" s="5"/>
      <c r="RGY6" s="5"/>
      <c r="RGZ6" s="5"/>
      <c r="RHA6" s="5"/>
      <c r="RHB6" s="5"/>
      <c r="RHC6" s="10"/>
      <c r="RHD6" s="11"/>
      <c r="RHE6" s="12"/>
      <c r="RHF6" s="13"/>
      <c r="RHG6" s="12"/>
      <c r="RHH6" s="11"/>
      <c r="RHI6" s="13"/>
      <c r="RHJ6" s="12"/>
      <c r="RHK6" s="12"/>
      <c r="RHL6" s="11"/>
      <c r="RHM6" s="13"/>
      <c r="RHN6" s="5"/>
      <c r="RHO6" s="5"/>
      <c r="RHP6" s="5"/>
      <c r="RHQ6" s="5"/>
      <c r="RHR6" s="5"/>
      <c r="RHS6" s="5"/>
      <c r="RHT6" s="5"/>
      <c r="RHU6" s="5"/>
      <c r="RHV6" s="5"/>
      <c r="RHW6" s="5"/>
      <c r="RHX6" s="5"/>
      <c r="RHY6" s="10"/>
      <c r="RHZ6" s="11"/>
      <c r="RIA6" s="12"/>
      <c r="RIB6" s="13"/>
      <c r="RIC6" s="12"/>
      <c r="RID6" s="11"/>
      <c r="RIE6" s="13"/>
      <c r="RIF6" s="12"/>
      <c r="RIG6" s="12"/>
      <c r="RIH6" s="11"/>
      <c r="RII6" s="13"/>
      <c r="RIJ6" s="5"/>
      <c r="RIK6" s="5"/>
      <c r="RIL6" s="5"/>
      <c r="RIM6" s="5"/>
      <c r="RIN6" s="5"/>
      <c r="RIO6" s="5"/>
      <c r="RIP6" s="5"/>
      <c r="RIQ6" s="5"/>
      <c r="RIR6" s="5"/>
      <c r="RIS6" s="5"/>
      <c r="RIT6" s="5"/>
      <c r="RIU6" s="10"/>
      <c r="RIV6" s="11"/>
      <c r="RIW6" s="12"/>
      <c r="RIX6" s="13"/>
      <c r="RIY6" s="12"/>
      <c r="RIZ6" s="11"/>
      <c r="RJA6" s="13"/>
      <c r="RJB6" s="12"/>
      <c r="RJC6" s="12"/>
      <c r="RJD6" s="11"/>
      <c r="RJE6" s="13"/>
      <c r="RJF6" s="5"/>
      <c r="RJG6" s="5"/>
      <c r="RJH6" s="5"/>
      <c r="RJI6" s="5"/>
      <c r="RJJ6" s="5"/>
      <c r="RJK6" s="5"/>
      <c r="RJL6" s="5"/>
      <c r="RJM6" s="5"/>
      <c r="RJN6" s="5"/>
      <c r="RJO6" s="5"/>
      <c r="RJP6" s="5"/>
      <c r="RJQ6" s="10"/>
      <c r="RJR6" s="11"/>
      <c r="RJS6" s="12"/>
      <c r="RJT6" s="13"/>
      <c r="RJU6" s="12"/>
      <c r="RJV6" s="11"/>
      <c r="RJW6" s="13"/>
      <c r="RJX6" s="12"/>
      <c r="RJY6" s="12"/>
      <c r="RJZ6" s="11"/>
      <c r="RKA6" s="13"/>
      <c r="RKB6" s="5"/>
      <c r="RKC6" s="5"/>
      <c r="RKD6" s="5"/>
      <c r="RKE6" s="5"/>
      <c r="RKF6" s="5"/>
      <c r="RKG6" s="5"/>
      <c r="RKH6" s="5"/>
      <c r="RKI6" s="5"/>
      <c r="RKJ6" s="5"/>
      <c r="RKK6" s="5"/>
      <c r="RKL6" s="5"/>
      <c r="RKM6" s="10"/>
      <c r="RKN6" s="11"/>
      <c r="RKO6" s="12"/>
      <c r="RKP6" s="13"/>
      <c r="RKQ6" s="12"/>
      <c r="RKR6" s="11"/>
      <c r="RKS6" s="13"/>
      <c r="RKT6" s="12"/>
      <c r="RKU6" s="12"/>
      <c r="RKV6" s="11"/>
      <c r="RKW6" s="13"/>
      <c r="RKX6" s="5"/>
      <c r="RKY6" s="5"/>
      <c r="RKZ6" s="5"/>
      <c r="RLA6" s="5"/>
      <c r="RLB6" s="5"/>
      <c r="RLC6" s="5"/>
      <c r="RLD6" s="5"/>
      <c r="RLE6" s="5"/>
      <c r="RLF6" s="5"/>
      <c r="RLG6" s="5"/>
      <c r="RLH6" s="5"/>
      <c r="RLI6" s="10"/>
      <c r="RLJ6" s="11"/>
      <c r="RLK6" s="12"/>
      <c r="RLL6" s="13"/>
      <c r="RLM6" s="12"/>
      <c r="RLN6" s="11"/>
      <c r="RLO6" s="13"/>
      <c r="RLP6" s="12"/>
      <c r="RLQ6" s="12"/>
      <c r="RLR6" s="11"/>
      <c r="RLS6" s="13"/>
      <c r="RLT6" s="5"/>
      <c r="RLU6" s="5"/>
      <c r="RLV6" s="5"/>
      <c r="RLW6" s="5"/>
      <c r="RLX6" s="5"/>
      <c r="RLY6" s="5"/>
      <c r="RLZ6" s="5"/>
      <c r="RMA6" s="5"/>
      <c r="RMB6" s="5"/>
      <c r="RMC6" s="5"/>
      <c r="RMD6" s="5"/>
      <c r="RME6" s="10"/>
      <c r="RMF6" s="11"/>
      <c r="RMG6" s="12"/>
      <c r="RMH6" s="13"/>
      <c r="RMI6" s="12"/>
      <c r="RMJ6" s="11"/>
      <c r="RMK6" s="13"/>
      <c r="RML6" s="12"/>
      <c r="RMM6" s="12"/>
      <c r="RMN6" s="11"/>
      <c r="RMO6" s="13"/>
      <c r="RMP6" s="5"/>
      <c r="RMQ6" s="5"/>
      <c r="RMR6" s="5"/>
      <c r="RMS6" s="5"/>
      <c r="RMT6" s="5"/>
      <c r="RMU6" s="5"/>
      <c r="RMV6" s="5"/>
      <c r="RMW6" s="5"/>
      <c r="RMX6" s="5"/>
      <c r="RMY6" s="5"/>
      <c r="RMZ6" s="5"/>
      <c r="RNA6" s="10"/>
      <c r="RNB6" s="11"/>
      <c r="RNC6" s="12"/>
      <c r="RND6" s="13"/>
      <c r="RNE6" s="12"/>
      <c r="RNF6" s="11"/>
      <c r="RNG6" s="13"/>
      <c r="RNH6" s="12"/>
      <c r="RNI6" s="12"/>
      <c r="RNJ6" s="11"/>
      <c r="RNK6" s="13"/>
      <c r="RNL6" s="5"/>
      <c r="RNM6" s="5"/>
      <c r="RNN6" s="5"/>
      <c r="RNO6" s="5"/>
      <c r="RNP6" s="5"/>
      <c r="RNQ6" s="5"/>
      <c r="RNR6" s="5"/>
      <c r="RNS6" s="5"/>
      <c r="RNT6" s="5"/>
      <c r="RNU6" s="5"/>
      <c r="RNV6" s="5"/>
      <c r="RNW6" s="10"/>
      <c r="RNX6" s="11"/>
      <c r="RNY6" s="12"/>
      <c r="RNZ6" s="13"/>
      <c r="ROA6" s="12"/>
      <c r="ROB6" s="11"/>
      <c r="ROC6" s="13"/>
      <c r="ROD6" s="12"/>
      <c r="ROE6" s="12"/>
      <c r="ROF6" s="11"/>
      <c r="ROG6" s="13"/>
      <c r="ROH6" s="5"/>
      <c r="ROI6" s="5"/>
      <c r="ROJ6" s="5"/>
      <c r="ROK6" s="5"/>
      <c r="ROL6" s="5"/>
      <c r="ROM6" s="5"/>
      <c r="RON6" s="5"/>
      <c r="ROO6" s="5"/>
      <c r="ROP6" s="5"/>
      <c r="ROQ6" s="5"/>
      <c r="ROR6" s="5"/>
      <c r="ROS6" s="10"/>
      <c r="ROT6" s="11"/>
      <c r="ROU6" s="12"/>
      <c r="ROV6" s="13"/>
      <c r="ROW6" s="12"/>
      <c r="ROX6" s="11"/>
      <c r="ROY6" s="13"/>
      <c r="ROZ6" s="12"/>
      <c r="RPA6" s="12"/>
      <c r="RPB6" s="11"/>
      <c r="RPC6" s="13"/>
      <c r="RPD6" s="5"/>
      <c r="RPE6" s="5"/>
      <c r="RPF6" s="5"/>
      <c r="RPG6" s="5"/>
      <c r="RPH6" s="5"/>
      <c r="RPI6" s="5"/>
      <c r="RPJ6" s="5"/>
      <c r="RPK6" s="5"/>
      <c r="RPL6" s="5"/>
      <c r="RPM6" s="5"/>
      <c r="RPN6" s="5"/>
      <c r="RPO6" s="10"/>
      <c r="RPP6" s="11"/>
      <c r="RPQ6" s="12"/>
      <c r="RPR6" s="13"/>
      <c r="RPS6" s="12"/>
      <c r="RPT6" s="11"/>
      <c r="RPU6" s="13"/>
      <c r="RPV6" s="12"/>
      <c r="RPW6" s="12"/>
      <c r="RPX6" s="11"/>
      <c r="RPY6" s="13"/>
      <c r="RPZ6" s="5"/>
      <c r="RQA6" s="5"/>
      <c r="RQB6" s="5"/>
      <c r="RQC6" s="5"/>
      <c r="RQD6" s="5"/>
      <c r="RQE6" s="5"/>
      <c r="RQF6" s="5"/>
      <c r="RQG6" s="5"/>
      <c r="RQH6" s="5"/>
      <c r="RQI6" s="5"/>
      <c r="RQJ6" s="5"/>
      <c r="RQK6" s="10"/>
      <c r="RQL6" s="11"/>
      <c r="RQM6" s="12"/>
      <c r="RQN6" s="13"/>
      <c r="RQO6" s="12"/>
      <c r="RQP6" s="11"/>
      <c r="RQQ6" s="13"/>
      <c r="RQR6" s="12"/>
      <c r="RQS6" s="12"/>
      <c r="RQT6" s="11"/>
      <c r="RQU6" s="13"/>
      <c r="RQV6" s="5"/>
      <c r="RQW6" s="5"/>
      <c r="RQX6" s="5"/>
      <c r="RQY6" s="5"/>
      <c r="RQZ6" s="5"/>
      <c r="RRA6" s="5"/>
      <c r="RRB6" s="5"/>
      <c r="RRC6" s="5"/>
      <c r="RRD6" s="5"/>
      <c r="RRE6" s="5"/>
      <c r="RRF6" s="5"/>
      <c r="RRG6" s="10"/>
      <c r="RRH6" s="11"/>
      <c r="RRI6" s="12"/>
      <c r="RRJ6" s="13"/>
      <c r="RRK6" s="12"/>
      <c r="RRL6" s="11"/>
      <c r="RRM6" s="13"/>
      <c r="RRN6" s="12"/>
      <c r="RRO6" s="12"/>
      <c r="RRP6" s="11"/>
      <c r="RRQ6" s="13"/>
      <c r="RRR6" s="5"/>
      <c r="RRS6" s="5"/>
      <c r="RRT6" s="5"/>
      <c r="RRU6" s="5"/>
      <c r="RRV6" s="5"/>
      <c r="RRW6" s="5"/>
      <c r="RRX6" s="5"/>
      <c r="RRY6" s="5"/>
      <c r="RRZ6" s="5"/>
      <c r="RSA6" s="5"/>
      <c r="RSB6" s="5"/>
      <c r="RSC6" s="10"/>
      <c r="RSD6" s="11"/>
      <c r="RSE6" s="12"/>
      <c r="RSF6" s="13"/>
      <c r="RSG6" s="12"/>
      <c r="RSH6" s="11"/>
      <c r="RSI6" s="13"/>
      <c r="RSJ6" s="12"/>
      <c r="RSK6" s="12"/>
      <c r="RSL6" s="11"/>
      <c r="RSM6" s="13"/>
      <c r="RSN6" s="5"/>
      <c r="RSO6" s="5"/>
      <c r="RSP6" s="5"/>
      <c r="RSQ6" s="5"/>
      <c r="RSR6" s="5"/>
      <c r="RSS6" s="5"/>
      <c r="RST6" s="5"/>
      <c r="RSU6" s="5"/>
      <c r="RSV6" s="5"/>
      <c r="RSW6" s="5"/>
      <c r="RSX6" s="5"/>
      <c r="RSY6" s="10"/>
      <c r="RSZ6" s="11"/>
      <c r="RTA6" s="12"/>
      <c r="RTB6" s="13"/>
      <c r="RTC6" s="12"/>
      <c r="RTD6" s="11"/>
      <c r="RTE6" s="13"/>
      <c r="RTF6" s="12"/>
      <c r="RTG6" s="12"/>
      <c r="RTH6" s="11"/>
      <c r="RTI6" s="13"/>
      <c r="RTJ6" s="5"/>
      <c r="RTK6" s="5"/>
      <c r="RTL6" s="5"/>
      <c r="RTM6" s="5"/>
      <c r="RTN6" s="5"/>
      <c r="RTO6" s="5"/>
      <c r="RTP6" s="5"/>
      <c r="RTQ6" s="5"/>
      <c r="RTR6" s="5"/>
      <c r="RTS6" s="5"/>
      <c r="RTT6" s="5"/>
      <c r="RTU6" s="10"/>
      <c r="RTV6" s="11"/>
      <c r="RTW6" s="12"/>
      <c r="RTX6" s="13"/>
      <c r="RTY6" s="12"/>
      <c r="RTZ6" s="11"/>
      <c r="RUA6" s="13"/>
      <c r="RUB6" s="12"/>
      <c r="RUC6" s="12"/>
      <c r="RUD6" s="11"/>
      <c r="RUE6" s="13"/>
      <c r="RUF6" s="5"/>
      <c r="RUG6" s="5"/>
      <c r="RUH6" s="5"/>
      <c r="RUI6" s="5"/>
      <c r="RUJ6" s="5"/>
      <c r="RUK6" s="5"/>
      <c r="RUL6" s="5"/>
      <c r="RUM6" s="5"/>
      <c r="RUN6" s="5"/>
      <c r="RUO6" s="5"/>
      <c r="RUP6" s="5"/>
      <c r="RUQ6" s="10"/>
      <c r="RUR6" s="11"/>
      <c r="RUS6" s="12"/>
      <c r="RUT6" s="13"/>
      <c r="RUU6" s="12"/>
      <c r="RUV6" s="11"/>
      <c r="RUW6" s="13"/>
      <c r="RUX6" s="12"/>
      <c r="RUY6" s="12"/>
      <c r="RUZ6" s="11"/>
      <c r="RVA6" s="13"/>
      <c r="RVB6" s="5"/>
      <c r="RVC6" s="5"/>
      <c r="RVD6" s="5"/>
      <c r="RVE6" s="5"/>
      <c r="RVF6" s="5"/>
      <c r="RVG6" s="5"/>
      <c r="RVH6" s="5"/>
      <c r="RVI6" s="5"/>
      <c r="RVJ6" s="5"/>
      <c r="RVK6" s="5"/>
      <c r="RVL6" s="5"/>
      <c r="RVM6" s="10"/>
      <c r="RVN6" s="11"/>
      <c r="RVO6" s="12"/>
      <c r="RVP6" s="13"/>
      <c r="RVQ6" s="12"/>
      <c r="RVR6" s="11"/>
      <c r="RVS6" s="13"/>
      <c r="RVT6" s="12"/>
      <c r="RVU6" s="12"/>
      <c r="RVV6" s="11"/>
      <c r="RVW6" s="13"/>
      <c r="RVX6" s="5"/>
      <c r="RVY6" s="5"/>
      <c r="RVZ6" s="5"/>
      <c r="RWA6" s="5"/>
      <c r="RWB6" s="5"/>
      <c r="RWC6" s="5"/>
      <c r="RWD6" s="5"/>
      <c r="RWE6" s="5"/>
      <c r="RWF6" s="5"/>
      <c r="RWG6" s="5"/>
      <c r="RWH6" s="5"/>
      <c r="RWI6" s="10"/>
      <c r="RWJ6" s="11"/>
      <c r="RWK6" s="12"/>
      <c r="RWL6" s="13"/>
      <c r="RWM6" s="12"/>
      <c r="RWN6" s="11"/>
      <c r="RWO6" s="13"/>
      <c r="RWP6" s="12"/>
      <c r="RWQ6" s="12"/>
      <c r="RWR6" s="11"/>
      <c r="RWS6" s="13"/>
      <c r="RWT6" s="5"/>
      <c r="RWU6" s="5"/>
      <c r="RWV6" s="5"/>
      <c r="RWW6" s="5"/>
      <c r="RWX6" s="5"/>
      <c r="RWY6" s="5"/>
      <c r="RWZ6" s="5"/>
      <c r="RXA6" s="5"/>
      <c r="RXB6" s="5"/>
      <c r="RXC6" s="5"/>
      <c r="RXD6" s="5"/>
      <c r="RXE6" s="10"/>
      <c r="RXF6" s="11"/>
      <c r="RXG6" s="12"/>
      <c r="RXH6" s="13"/>
      <c r="RXI6" s="12"/>
      <c r="RXJ6" s="11"/>
      <c r="RXK6" s="13"/>
      <c r="RXL6" s="12"/>
      <c r="RXM6" s="12"/>
      <c r="RXN6" s="11"/>
      <c r="RXO6" s="13"/>
      <c r="RXP6" s="5"/>
      <c r="RXQ6" s="5"/>
      <c r="RXR6" s="5"/>
      <c r="RXS6" s="5"/>
      <c r="RXT6" s="5"/>
      <c r="RXU6" s="5"/>
      <c r="RXV6" s="5"/>
      <c r="RXW6" s="5"/>
      <c r="RXX6" s="5"/>
      <c r="RXY6" s="5"/>
      <c r="RXZ6" s="5"/>
      <c r="RYA6" s="10"/>
      <c r="RYB6" s="11"/>
      <c r="RYC6" s="12"/>
      <c r="RYD6" s="13"/>
      <c r="RYE6" s="12"/>
      <c r="RYF6" s="11"/>
      <c r="RYG6" s="13"/>
      <c r="RYH6" s="12"/>
      <c r="RYI6" s="12"/>
      <c r="RYJ6" s="11"/>
      <c r="RYK6" s="13"/>
      <c r="RYL6" s="5"/>
      <c r="RYM6" s="5"/>
      <c r="RYN6" s="5"/>
      <c r="RYO6" s="5"/>
      <c r="RYP6" s="5"/>
      <c r="RYQ6" s="5"/>
      <c r="RYR6" s="5"/>
      <c r="RYS6" s="5"/>
      <c r="RYT6" s="5"/>
      <c r="RYU6" s="5"/>
      <c r="RYV6" s="5"/>
      <c r="RYW6" s="10"/>
      <c r="RYX6" s="11"/>
      <c r="RYY6" s="12"/>
      <c r="RYZ6" s="13"/>
      <c r="RZA6" s="12"/>
      <c r="RZB6" s="11"/>
      <c r="RZC6" s="13"/>
      <c r="RZD6" s="12"/>
      <c r="RZE6" s="12"/>
      <c r="RZF6" s="11"/>
      <c r="RZG6" s="13"/>
      <c r="RZH6" s="5"/>
      <c r="RZI6" s="5"/>
      <c r="RZJ6" s="5"/>
      <c r="RZK6" s="5"/>
      <c r="RZL6" s="5"/>
      <c r="RZM6" s="5"/>
      <c r="RZN6" s="5"/>
      <c r="RZO6" s="5"/>
      <c r="RZP6" s="5"/>
      <c r="RZQ6" s="5"/>
      <c r="RZR6" s="5"/>
      <c r="RZS6" s="10"/>
      <c r="RZT6" s="11"/>
      <c r="RZU6" s="12"/>
      <c r="RZV6" s="13"/>
      <c r="RZW6" s="12"/>
      <c r="RZX6" s="11"/>
      <c r="RZY6" s="13"/>
      <c r="RZZ6" s="12"/>
      <c r="SAA6" s="12"/>
      <c r="SAB6" s="11"/>
      <c r="SAC6" s="13"/>
      <c r="SAD6" s="5"/>
      <c r="SAE6" s="5"/>
      <c r="SAF6" s="5"/>
      <c r="SAG6" s="5"/>
      <c r="SAH6" s="5"/>
      <c r="SAI6" s="5"/>
      <c r="SAJ6" s="5"/>
      <c r="SAK6" s="5"/>
      <c r="SAL6" s="5"/>
      <c r="SAM6" s="5"/>
      <c r="SAN6" s="5"/>
      <c r="SAO6" s="10"/>
      <c r="SAP6" s="11"/>
      <c r="SAQ6" s="12"/>
      <c r="SAR6" s="13"/>
      <c r="SAS6" s="12"/>
      <c r="SAT6" s="11"/>
      <c r="SAU6" s="13"/>
      <c r="SAV6" s="12"/>
      <c r="SAW6" s="12"/>
      <c r="SAX6" s="11"/>
      <c r="SAY6" s="13"/>
      <c r="SAZ6" s="5"/>
      <c r="SBA6" s="5"/>
      <c r="SBB6" s="5"/>
      <c r="SBC6" s="5"/>
      <c r="SBD6" s="5"/>
      <c r="SBE6" s="5"/>
      <c r="SBF6" s="5"/>
      <c r="SBG6" s="5"/>
      <c r="SBH6" s="5"/>
      <c r="SBI6" s="5"/>
      <c r="SBJ6" s="5"/>
      <c r="SBK6" s="10"/>
      <c r="SBL6" s="11"/>
      <c r="SBM6" s="12"/>
      <c r="SBN6" s="13"/>
      <c r="SBO6" s="12"/>
      <c r="SBP6" s="11"/>
      <c r="SBQ6" s="13"/>
      <c r="SBR6" s="12"/>
      <c r="SBS6" s="12"/>
      <c r="SBT6" s="11"/>
      <c r="SBU6" s="13"/>
      <c r="SBV6" s="5"/>
      <c r="SBW6" s="5"/>
      <c r="SBX6" s="5"/>
      <c r="SBY6" s="5"/>
      <c r="SBZ6" s="5"/>
      <c r="SCA6" s="5"/>
      <c r="SCB6" s="5"/>
      <c r="SCC6" s="5"/>
      <c r="SCD6" s="5"/>
      <c r="SCE6" s="5"/>
      <c r="SCF6" s="5"/>
      <c r="SCG6" s="10"/>
      <c r="SCH6" s="11"/>
      <c r="SCI6" s="12"/>
      <c r="SCJ6" s="13"/>
      <c r="SCK6" s="12"/>
      <c r="SCL6" s="11"/>
      <c r="SCM6" s="13"/>
      <c r="SCN6" s="12"/>
      <c r="SCO6" s="12"/>
      <c r="SCP6" s="11"/>
      <c r="SCQ6" s="13"/>
      <c r="SCR6" s="5"/>
      <c r="SCS6" s="5"/>
      <c r="SCT6" s="5"/>
      <c r="SCU6" s="5"/>
      <c r="SCV6" s="5"/>
      <c r="SCW6" s="5"/>
      <c r="SCX6" s="5"/>
      <c r="SCY6" s="5"/>
      <c r="SCZ6" s="5"/>
      <c r="SDA6" s="5"/>
      <c r="SDB6" s="5"/>
      <c r="SDC6" s="10"/>
      <c r="SDD6" s="11"/>
      <c r="SDE6" s="12"/>
      <c r="SDF6" s="13"/>
      <c r="SDG6" s="12"/>
      <c r="SDH6" s="11"/>
      <c r="SDI6" s="13"/>
      <c r="SDJ6" s="12"/>
      <c r="SDK6" s="12"/>
      <c r="SDL6" s="11"/>
      <c r="SDM6" s="13"/>
      <c r="SDN6" s="5"/>
      <c r="SDO6" s="5"/>
      <c r="SDP6" s="5"/>
      <c r="SDQ6" s="5"/>
      <c r="SDR6" s="5"/>
      <c r="SDS6" s="5"/>
      <c r="SDT6" s="5"/>
      <c r="SDU6" s="5"/>
      <c r="SDV6" s="5"/>
      <c r="SDW6" s="5"/>
      <c r="SDX6" s="5"/>
      <c r="SDY6" s="10"/>
      <c r="SDZ6" s="11"/>
      <c r="SEA6" s="12"/>
      <c r="SEB6" s="13"/>
      <c r="SEC6" s="12"/>
      <c r="SED6" s="11"/>
      <c r="SEE6" s="13"/>
      <c r="SEF6" s="12"/>
      <c r="SEG6" s="12"/>
      <c r="SEH6" s="11"/>
      <c r="SEI6" s="13"/>
      <c r="SEJ6" s="5"/>
      <c r="SEK6" s="5"/>
      <c r="SEL6" s="5"/>
      <c r="SEM6" s="5"/>
      <c r="SEN6" s="5"/>
      <c r="SEO6" s="5"/>
      <c r="SEP6" s="5"/>
      <c r="SEQ6" s="5"/>
      <c r="SER6" s="5"/>
      <c r="SES6" s="5"/>
      <c r="SET6" s="5"/>
      <c r="SEU6" s="10"/>
      <c r="SEV6" s="11"/>
      <c r="SEW6" s="12"/>
      <c r="SEX6" s="13"/>
      <c r="SEY6" s="12"/>
      <c r="SEZ6" s="11"/>
      <c r="SFA6" s="13"/>
      <c r="SFB6" s="12"/>
      <c r="SFC6" s="12"/>
      <c r="SFD6" s="11"/>
      <c r="SFE6" s="13"/>
      <c r="SFF6" s="5"/>
      <c r="SFG6" s="5"/>
      <c r="SFH6" s="5"/>
      <c r="SFI6" s="5"/>
      <c r="SFJ6" s="5"/>
      <c r="SFK6" s="5"/>
      <c r="SFL6" s="5"/>
      <c r="SFM6" s="5"/>
      <c r="SFN6" s="5"/>
      <c r="SFO6" s="5"/>
      <c r="SFP6" s="5"/>
      <c r="SFQ6" s="10"/>
      <c r="SFR6" s="11"/>
      <c r="SFS6" s="12"/>
      <c r="SFT6" s="13"/>
      <c r="SFU6" s="12"/>
      <c r="SFV6" s="11"/>
      <c r="SFW6" s="13"/>
      <c r="SFX6" s="12"/>
      <c r="SFY6" s="12"/>
      <c r="SFZ6" s="11"/>
      <c r="SGA6" s="13"/>
      <c r="SGB6" s="5"/>
      <c r="SGC6" s="5"/>
      <c r="SGD6" s="5"/>
      <c r="SGE6" s="5"/>
      <c r="SGF6" s="5"/>
      <c r="SGG6" s="5"/>
      <c r="SGH6" s="5"/>
      <c r="SGI6" s="5"/>
      <c r="SGJ6" s="5"/>
      <c r="SGK6" s="5"/>
      <c r="SGL6" s="5"/>
      <c r="SGM6" s="10"/>
      <c r="SGN6" s="11"/>
      <c r="SGO6" s="12"/>
      <c r="SGP6" s="13"/>
      <c r="SGQ6" s="12"/>
      <c r="SGR6" s="11"/>
      <c r="SGS6" s="13"/>
      <c r="SGT6" s="12"/>
      <c r="SGU6" s="12"/>
      <c r="SGV6" s="11"/>
      <c r="SGW6" s="13"/>
      <c r="SGX6" s="5"/>
      <c r="SGY6" s="5"/>
      <c r="SGZ6" s="5"/>
      <c r="SHA6" s="5"/>
      <c r="SHB6" s="5"/>
      <c r="SHC6" s="5"/>
      <c r="SHD6" s="5"/>
      <c r="SHE6" s="5"/>
      <c r="SHF6" s="5"/>
      <c r="SHG6" s="5"/>
      <c r="SHH6" s="5"/>
      <c r="SHI6" s="10"/>
      <c r="SHJ6" s="11"/>
      <c r="SHK6" s="12"/>
      <c r="SHL6" s="13"/>
      <c r="SHM6" s="12"/>
      <c r="SHN6" s="11"/>
      <c r="SHO6" s="13"/>
      <c r="SHP6" s="12"/>
      <c r="SHQ6" s="12"/>
      <c r="SHR6" s="11"/>
      <c r="SHS6" s="13"/>
      <c r="SHT6" s="5"/>
      <c r="SHU6" s="5"/>
      <c r="SHV6" s="5"/>
      <c r="SHW6" s="5"/>
      <c r="SHX6" s="5"/>
      <c r="SHY6" s="5"/>
      <c r="SHZ6" s="5"/>
      <c r="SIA6" s="5"/>
      <c r="SIB6" s="5"/>
      <c r="SIC6" s="5"/>
      <c r="SID6" s="5"/>
      <c r="SIE6" s="10"/>
      <c r="SIF6" s="11"/>
      <c r="SIG6" s="12"/>
      <c r="SIH6" s="13"/>
      <c r="SII6" s="12"/>
      <c r="SIJ6" s="11"/>
      <c r="SIK6" s="13"/>
      <c r="SIL6" s="12"/>
      <c r="SIM6" s="12"/>
      <c r="SIN6" s="11"/>
      <c r="SIO6" s="13"/>
      <c r="SIP6" s="5"/>
      <c r="SIQ6" s="5"/>
      <c r="SIR6" s="5"/>
      <c r="SIS6" s="5"/>
      <c r="SIT6" s="5"/>
      <c r="SIU6" s="5"/>
      <c r="SIV6" s="5"/>
      <c r="SIW6" s="5"/>
      <c r="SIX6" s="5"/>
      <c r="SIY6" s="5"/>
      <c r="SIZ6" s="5"/>
      <c r="SJA6" s="10"/>
      <c r="SJB6" s="11"/>
      <c r="SJC6" s="12"/>
      <c r="SJD6" s="13"/>
      <c r="SJE6" s="12"/>
      <c r="SJF6" s="11"/>
      <c r="SJG6" s="13"/>
      <c r="SJH6" s="12"/>
      <c r="SJI6" s="12"/>
      <c r="SJJ6" s="11"/>
      <c r="SJK6" s="13"/>
      <c r="SJL6" s="5"/>
      <c r="SJM6" s="5"/>
      <c r="SJN6" s="5"/>
      <c r="SJO6" s="5"/>
      <c r="SJP6" s="5"/>
      <c r="SJQ6" s="5"/>
      <c r="SJR6" s="5"/>
      <c r="SJS6" s="5"/>
      <c r="SJT6" s="5"/>
      <c r="SJU6" s="5"/>
      <c r="SJV6" s="5"/>
      <c r="SJW6" s="10"/>
      <c r="SJX6" s="11"/>
      <c r="SJY6" s="12"/>
      <c r="SJZ6" s="13"/>
      <c r="SKA6" s="12"/>
      <c r="SKB6" s="11"/>
      <c r="SKC6" s="13"/>
      <c r="SKD6" s="12"/>
      <c r="SKE6" s="12"/>
      <c r="SKF6" s="11"/>
      <c r="SKG6" s="13"/>
      <c r="SKH6" s="5"/>
      <c r="SKI6" s="5"/>
      <c r="SKJ6" s="5"/>
      <c r="SKK6" s="5"/>
      <c r="SKL6" s="5"/>
      <c r="SKM6" s="5"/>
      <c r="SKN6" s="5"/>
      <c r="SKO6" s="5"/>
      <c r="SKP6" s="5"/>
      <c r="SKQ6" s="5"/>
      <c r="SKR6" s="5"/>
      <c r="SKS6" s="10"/>
      <c r="SKT6" s="11"/>
      <c r="SKU6" s="12"/>
      <c r="SKV6" s="13"/>
      <c r="SKW6" s="12"/>
      <c r="SKX6" s="11"/>
      <c r="SKY6" s="13"/>
      <c r="SKZ6" s="12"/>
      <c r="SLA6" s="12"/>
      <c r="SLB6" s="11"/>
      <c r="SLC6" s="13"/>
      <c r="SLD6" s="5"/>
      <c r="SLE6" s="5"/>
      <c r="SLF6" s="5"/>
      <c r="SLG6" s="5"/>
      <c r="SLH6" s="5"/>
      <c r="SLI6" s="5"/>
      <c r="SLJ6" s="5"/>
      <c r="SLK6" s="5"/>
      <c r="SLL6" s="5"/>
      <c r="SLM6" s="5"/>
      <c r="SLN6" s="5"/>
      <c r="SLO6" s="10"/>
      <c r="SLP6" s="11"/>
      <c r="SLQ6" s="12"/>
      <c r="SLR6" s="13"/>
      <c r="SLS6" s="12"/>
      <c r="SLT6" s="11"/>
      <c r="SLU6" s="13"/>
      <c r="SLV6" s="12"/>
      <c r="SLW6" s="12"/>
      <c r="SLX6" s="11"/>
      <c r="SLY6" s="13"/>
      <c r="SLZ6" s="5"/>
      <c r="SMA6" s="5"/>
      <c r="SMB6" s="5"/>
      <c r="SMC6" s="5"/>
      <c r="SMD6" s="5"/>
      <c r="SME6" s="5"/>
      <c r="SMF6" s="5"/>
      <c r="SMG6" s="5"/>
      <c r="SMH6" s="5"/>
      <c r="SMI6" s="5"/>
      <c r="SMJ6" s="5"/>
      <c r="SMK6" s="10"/>
      <c r="SML6" s="11"/>
      <c r="SMM6" s="12"/>
      <c r="SMN6" s="13"/>
      <c r="SMO6" s="12"/>
      <c r="SMP6" s="11"/>
      <c r="SMQ6" s="13"/>
      <c r="SMR6" s="12"/>
      <c r="SMS6" s="12"/>
      <c r="SMT6" s="11"/>
      <c r="SMU6" s="13"/>
      <c r="SMV6" s="5"/>
      <c r="SMW6" s="5"/>
      <c r="SMX6" s="5"/>
      <c r="SMY6" s="5"/>
      <c r="SMZ6" s="5"/>
      <c r="SNA6" s="5"/>
      <c r="SNB6" s="5"/>
      <c r="SNC6" s="5"/>
      <c r="SND6" s="5"/>
      <c r="SNE6" s="5"/>
      <c r="SNF6" s="5"/>
      <c r="SNG6" s="10"/>
      <c r="SNH6" s="11"/>
      <c r="SNI6" s="12"/>
      <c r="SNJ6" s="13"/>
      <c r="SNK6" s="12"/>
      <c r="SNL6" s="11"/>
      <c r="SNM6" s="13"/>
      <c r="SNN6" s="12"/>
      <c r="SNO6" s="12"/>
      <c r="SNP6" s="11"/>
      <c r="SNQ6" s="13"/>
      <c r="SNR6" s="5"/>
      <c r="SNS6" s="5"/>
      <c r="SNT6" s="5"/>
      <c r="SNU6" s="5"/>
      <c r="SNV6" s="5"/>
      <c r="SNW6" s="5"/>
      <c r="SNX6" s="5"/>
      <c r="SNY6" s="5"/>
      <c r="SNZ6" s="5"/>
      <c r="SOA6" s="5"/>
      <c r="SOB6" s="5"/>
      <c r="SOC6" s="10"/>
      <c r="SOD6" s="11"/>
      <c r="SOE6" s="12"/>
      <c r="SOF6" s="13"/>
      <c r="SOG6" s="12"/>
      <c r="SOH6" s="11"/>
      <c r="SOI6" s="13"/>
      <c r="SOJ6" s="12"/>
      <c r="SOK6" s="12"/>
      <c r="SOL6" s="11"/>
      <c r="SOM6" s="13"/>
      <c r="SON6" s="5"/>
      <c r="SOO6" s="5"/>
      <c r="SOP6" s="5"/>
      <c r="SOQ6" s="5"/>
      <c r="SOR6" s="5"/>
      <c r="SOS6" s="5"/>
      <c r="SOT6" s="5"/>
      <c r="SOU6" s="5"/>
      <c r="SOV6" s="5"/>
      <c r="SOW6" s="5"/>
      <c r="SOX6" s="5"/>
      <c r="SOY6" s="10"/>
      <c r="SOZ6" s="11"/>
      <c r="SPA6" s="12"/>
      <c r="SPB6" s="13"/>
      <c r="SPC6" s="12"/>
      <c r="SPD6" s="11"/>
      <c r="SPE6" s="13"/>
      <c r="SPF6" s="12"/>
      <c r="SPG6" s="12"/>
      <c r="SPH6" s="11"/>
      <c r="SPI6" s="13"/>
      <c r="SPJ6" s="5"/>
      <c r="SPK6" s="5"/>
      <c r="SPL6" s="5"/>
      <c r="SPM6" s="5"/>
      <c r="SPN6" s="5"/>
      <c r="SPO6" s="5"/>
      <c r="SPP6" s="5"/>
      <c r="SPQ6" s="5"/>
      <c r="SPR6" s="5"/>
      <c r="SPS6" s="5"/>
      <c r="SPT6" s="5"/>
      <c r="SPU6" s="10"/>
      <c r="SPV6" s="11"/>
      <c r="SPW6" s="12"/>
      <c r="SPX6" s="13"/>
      <c r="SPY6" s="12"/>
      <c r="SPZ6" s="11"/>
      <c r="SQA6" s="13"/>
      <c r="SQB6" s="12"/>
      <c r="SQC6" s="12"/>
      <c r="SQD6" s="11"/>
      <c r="SQE6" s="13"/>
      <c r="SQF6" s="5"/>
      <c r="SQG6" s="5"/>
      <c r="SQH6" s="5"/>
      <c r="SQI6" s="5"/>
      <c r="SQJ6" s="5"/>
      <c r="SQK6" s="5"/>
      <c r="SQL6" s="5"/>
      <c r="SQM6" s="5"/>
      <c r="SQN6" s="5"/>
      <c r="SQO6" s="5"/>
      <c r="SQP6" s="5"/>
      <c r="SQQ6" s="10"/>
      <c r="SQR6" s="11"/>
      <c r="SQS6" s="12"/>
      <c r="SQT6" s="13"/>
      <c r="SQU6" s="12"/>
      <c r="SQV6" s="11"/>
      <c r="SQW6" s="13"/>
      <c r="SQX6" s="12"/>
      <c r="SQY6" s="12"/>
      <c r="SQZ6" s="11"/>
      <c r="SRA6" s="13"/>
      <c r="SRB6" s="5"/>
      <c r="SRC6" s="5"/>
      <c r="SRD6" s="5"/>
      <c r="SRE6" s="5"/>
      <c r="SRF6" s="5"/>
      <c r="SRG6" s="5"/>
      <c r="SRH6" s="5"/>
      <c r="SRI6" s="5"/>
      <c r="SRJ6" s="5"/>
      <c r="SRK6" s="5"/>
      <c r="SRL6" s="5"/>
      <c r="SRM6" s="10"/>
      <c r="SRN6" s="11"/>
      <c r="SRO6" s="12"/>
      <c r="SRP6" s="13"/>
      <c r="SRQ6" s="12"/>
      <c r="SRR6" s="11"/>
      <c r="SRS6" s="13"/>
      <c r="SRT6" s="12"/>
      <c r="SRU6" s="12"/>
      <c r="SRV6" s="11"/>
      <c r="SRW6" s="13"/>
      <c r="SRX6" s="5"/>
      <c r="SRY6" s="5"/>
      <c r="SRZ6" s="5"/>
      <c r="SSA6" s="5"/>
      <c r="SSB6" s="5"/>
      <c r="SSC6" s="5"/>
      <c r="SSD6" s="5"/>
      <c r="SSE6" s="5"/>
      <c r="SSF6" s="5"/>
      <c r="SSG6" s="5"/>
      <c r="SSH6" s="5"/>
      <c r="SSI6" s="10"/>
      <c r="SSJ6" s="11"/>
      <c r="SSK6" s="12"/>
      <c r="SSL6" s="13"/>
      <c r="SSM6" s="12"/>
      <c r="SSN6" s="11"/>
      <c r="SSO6" s="13"/>
      <c r="SSP6" s="12"/>
      <c r="SSQ6" s="12"/>
      <c r="SSR6" s="11"/>
      <c r="SSS6" s="13"/>
      <c r="SST6" s="5"/>
      <c r="SSU6" s="5"/>
      <c r="SSV6" s="5"/>
      <c r="SSW6" s="5"/>
      <c r="SSX6" s="5"/>
      <c r="SSY6" s="5"/>
      <c r="SSZ6" s="5"/>
      <c r="STA6" s="5"/>
      <c r="STB6" s="5"/>
      <c r="STC6" s="5"/>
      <c r="STD6" s="5"/>
      <c r="STE6" s="10"/>
      <c r="STF6" s="11"/>
      <c r="STG6" s="12"/>
      <c r="STH6" s="13"/>
      <c r="STI6" s="12"/>
      <c r="STJ6" s="11"/>
      <c r="STK6" s="13"/>
      <c r="STL6" s="12"/>
      <c r="STM6" s="12"/>
      <c r="STN6" s="11"/>
      <c r="STO6" s="13"/>
      <c r="STP6" s="5"/>
      <c r="STQ6" s="5"/>
      <c r="STR6" s="5"/>
      <c r="STS6" s="5"/>
      <c r="STT6" s="5"/>
      <c r="STU6" s="5"/>
      <c r="STV6" s="5"/>
      <c r="STW6" s="5"/>
      <c r="STX6" s="5"/>
      <c r="STY6" s="5"/>
      <c r="STZ6" s="5"/>
      <c r="SUA6" s="10"/>
      <c r="SUB6" s="11"/>
      <c r="SUC6" s="12"/>
      <c r="SUD6" s="13"/>
      <c r="SUE6" s="12"/>
      <c r="SUF6" s="11"/>
      <c r="SUG6" s="13"/>
      <c r="SUH6" s="12"/>
      <c r="SUI6" s="12"/>
      <c r="SUJ6" s="11"/>
      <c r="SUK6" s="13"/>
      <c r="SUL6" s="5"/>
      <c r="SUM6" s="5"/>
      <c r="SUN6" s="5"/>
      <c r="SUO6" s="5"/>
      <c r="SUP6" s="5"/>
      <c r="SUQ6" s="5"/>
      <c r="SUR6" s="5"/>
      <c r="SUS6" s="5"/>
      <c r="SUT6" s="5"/>
      <c r="SUU6" s="5"/>
      <c r="SUV6" s="5"/>
      <c r="SUW6" s="10"/>
      <c r="SUX6" s="11"/>
      <c r="SUY6" s="12"/>
      <c r="SUZ6" s="13"/>
      <c r="SVA6" s="12"/>
      <c r="SVB6" s="11"/>
      <c r="SVC6" s="13"/>
      <c r="SVD6" s="12"/>
      <c r="SVE6" s="12"/>
      <c r="SVF6" s="11"/>
      <c r="SVG6" s="13"/>
      <c r="SVH6" s="5"/>
      <c r="SVI6" s="5"/>
      <c r="SVJ6" s="5"/>
      <c r="SVK6" s="5"/>
      <c r="SVL6" s="5"/>
      <c r="SVM6" s="5"/>
      <c r="SVN6" s="5"/>
      <c r="SVO6" s="5"/>
      <c r="SVP6" s="5"/>
      <c r="SVQ6" s="5"/>
      <c r="SVR6" s="5"/>
      <c r="SVS6" s="10"/>
      <c r="SVT6" s="11"/>
      <c r="SVU6" s="12"/>
      <c r="SVV6" s="13"/>
      <c r="SVW6" s="12"/>
      <c r="SVX6" s="11"/>
      <c r="SVY6" s="13"/>
      <c r="SVZ6" s="12"/>
      <c r="SWA6" s="12"/>
      <c r="SWB6" s="11"/>
      <c r="SWC6" s="13"/>
      <c r="SWD6" s="5"/>
      <c r="SWE6" s="5"/>
      <c r="SWF6" s="5"/>
      <c r="SWG6" s="5"/>
      <c r="SWH6" s="5"/>
      <c r="SWI6" s="5"/>
      <c r="SWJ6" s="5"/>
      <c r="SWK6" s="5"/>
      <c r="SWL6" s="5"/>
      <c r="SWM6" s="5"/>
      <c r="SWN6" s="5"/>
      <c r="SWO6" s="10"/>
      <c r="SWP6" s="11"/>
      <c r="SWQ6" s="12"/>
      <c r="SWR6" s="13"/>
      <c r="SWS6" s="12"/>
      <c r="SWT6" s="11"/>
      <c r="SWU6" s="13"/>
      <c r="SWV6" s="12"/>
      <c r="SWW6" s="12"/>
      <c r="SWX6" s="11"/>
      <c r="SWY6" s="13"/>
      <c r="SWZ6" s="5"/>
      <c r="SXA6" s="5"/>
      <c r="SXB6" s="5"/>
      <c r="SXC6" s="5"/>
      <c r="SXD6" s="5"/>
      <c r="SXE6" s="5"/>
      <c r="SXF6" s="5"/>
      <c r="SXG6" s="5"/>
      <c r="SXH6" s="5"/>
      <c r="SXI6" s="5"/>
      <c r="SXJ6" s="5"/>
      <c r="SXK6" s="10"/>
      <c r="SXL6" s="11"/>
      <c r="SXM6" s="12"/>
      <c r="SXN6" s="13"/>
      <c r="SXO6" s="12"/>
      <c r="SXP6" s="11"/>
      <c r="SXQ6" s="13"/>
      <c r="SXR6" s="12"/>
      <c r="SXS6" s="12"/>
      <c r="SXT6" s="11"/>
      <c r="SXU6" s="13"/>
      <c r="SXV6" s="5"/>
      <c r="SXW6" s="5"/>
      <c r="SXX6" s="5"/>
      <c r="SXY6" s="5"/>
      <c r="SXZ6" s="5"/>
      <c r="SYA6" s="5"/>
      <c r="SYB6" s="5"/>
      <c r="SYC6" s="5"/>
      <c r="SYD6" s="5"/>
      <c r="SYE6" s="5"/>
      <c r="SYF6" s="5"/>
      <c r="SYG6" s="10"/>
      <c r="SYH6" s="11"/>
      <c r="SYI6" s="12"/>
      <c r="SYJ6" s="13"/>
      <c r="SYK6" s="12"/>
      <c r="SYL6" s="11"/>
      <c r="SYM6" s="13"/>
      <c r="SYN6" s="12"/>
      <c r="SYO6" s="12"/>
      <c r="SYP6" s="11"/>
      <c r="SYQ6" s="13"/>
      <c r="SYR6" s="5"/>
      <c r="SYS6" s="5"/>
      <c r="SYT6" s="5"/>
      <c r="SYU6" s="5"/>
      <c r="SYV6" s="5"/>
      <c r="SYW6" s="5"/>
      <c r="SYX6" s="5"/>
      <c r="SYY6" s="5"/>
      <c r="SYZ6" s="5"/>
      <c r="SZA6" s="5"/>
      <c r="SZB6" s="5"/>
      <c r="SZC6" s="10"/>
      <c r="SZD6" s="11"/>
      <c r="SZE6" s="12"/>
      <c r="SZF6" s="13"/>
      <c r="SZG6" s="12"/>
      <c r="SZH6" s="11"/>
      <c r="SZI6" s="13"/>
      <c r="SZJ6" s="12"/>
      <c r="SZK6" s="12"/>
      <c r="SZL6" s="11"/>
      <c r="SZM6" s="13"/>
      <c r="SZN6" s="5"/>
      <c r="SZO6" s="5"/>
      <c r="SZP6" s="5"/>
      <c r="SZQ6" s="5"/>
      <c r="SZR6" s="5"/>
      <c r="SZS6" s="5"/>
      <c r="SZT6" s="5"/>
      <c r="SZU6" s="5"/>
      <c r="SZV6" s="5"/>
      <c r="SZW6" s="5"/>
      <c r="SZX6" s="5"/>
      <c r="SZY6" s="10"/>
      <c r="SZZ6" s="11"/>
      <c r="TAA6" s="12"/>
      <c r="TAB6" s="13"/>
      <c r="TAC6" s="12"/>
      <c r="TAD6" s="11"/>
      <c r="TAE6" s="13"/>
      <c r="TAF6" s="12"/>
      <c r="TAG6" s="12"/>
      <c r="TAH6" s="11"/>
      <c r="TAI6" s="13"/>
      <c r="TAJ6" s="5"/>
      <c r="TAK6" s="5"/>
      <c r="TAL6" s="5"/>
      <c r="TAM6" s="5"/>
      <c r="TAN6" s="5"/>
      <c r="TAO6" s="5"/>
      <c r="TAP6" s="5"/>
      <c r="TAQ6" s="5"/>
      <c r="TAR6" s="5"/>
      <c r="TAS6" s="5"/>
      <c r="TAT6" s="5"/>
      <c r="TAU6" s="10"/>
      <c r="TAV6" s="11"/>
      <c r="TAW6" s="12"/>
      <c r="TAX6" s="13"/>
      <c r="TAY6" s="12"/>
      <c r="TAZ6" s="11"/>
      <c r="TBA6" s="13"/>
      <c r="TBB6" s="12"/>
      <c r="TBC6" s="12"/>
      <c r="TBD6" s="11"/>
      <c r="TBE6" s="13"/>
      <c r="TBF6" s="5"/>
      <c r="TBG6" s="5"/>
      <c r="TBH6" s="5"/>
      <c r="TBI6" s="5"/>
      <c r="TBJ6" s="5"/>
      <c r="TBK6" s="5"/>
      <c r="TBL6" s="5"/>
      <c r="TBM6" s="5"/>
      <c r="TBN6" s="5"/>
      <c r="TBO6" s="5"/>
      <c r="TBP6" s="5"/>
      <c r="TBQ6" s="10"/>
      <c r="TBR6" s="11"/>
      <c r="TBS6" s="12"/>
      <c r="TBT6" s="13"/>
      <c r="TBU6" s="12"/>
      <c r="TBV6" s="11"/>
      <c r="TBW6" s="13"/>
      <c r="TBX6" s="12"/>
      <c r="TBY6" s="12"/>
      <c r="TBZ6" s="11"/>
      <c r="TCA6" s="13"/>
      <c r="TCB6" s="5"/>
      <c r="TCC6" s="5"/>
      <c r="TCD6" s="5"/>
      <c r="TCE6" s="5"/>
      <c r="TCF6" s="5"/>
      <c r="TCG6" s="5"/>
      <c r="TCH6" s="5"/>
      <c r="TCI6" s="5"/>
      <c r="TCJ6" s="5"/>
      <c r="TCK6" s="5"/>
      <c r="TCL6" s="5"/>
      <c r="TCM6" s="10"/>
      <c r="TCN6" s="11"/>
      <c r="TCO6" s="12"/>
      <c r="TCP6" s="13"/>
      <c r="TCQ6" s="12"/>
      <c r="TCR6" s="11"/>
      <c r="TCS6" s="13"/>
      <c r="TCT6" s="12"/>
      <c r="TCU6" s="12"/>
      <c r="TCV6" s="11"/>
      <c r="TCW6" s="13"/>
      <c r="TCX6" s="5"/>
      <c r="TCY6" s="5"/>
      <c r="TCZ6" s="5"/>
      <c r="TDA6" s="5"/>
      <c r="TDB6" s="5"/>
      <c r="TDC6" s="5"/>
      <c r="TDD6" s="5"/>
      <c r="TDE6" s="5"/>
      <c r="TDF6" s="5"/>
      <c r="TDG6" s="5"/>
      <c r="TDH6" s="5"/>
      <c r="TDI6" s="10"/>
      <c r="TDJ6" s="11"/>
      <c r="TDK6" s="12"/>
      <c r="TDL6" s="13"/>
      <c r="TDM6" s="12"/>
      <c r="TDN6" s="11"/>
      <c r="TDO6" s="13"/>
      <c r="TDP6" s="12"/>
      <c r="TDQ6" s="12"/>
      <c r="TDR6" s="11"/>
      <c r="TDS6" s="13"/>
      <c r="TDT6" s="5"/>
      <c r="TDU6" s="5"/>
      <c r="TDV6" s="5"/>
      <c r="TDW6" s="5"/>
      <c r="TDX6" s="5"/>
      <c r="TDY6" s="5"/>
      <c r="TDZ6" s="5"/>
      <c r="TEA6" s="5"/>
      <c r="TEB6" s="5"/>
      <c r="TEC6" s="5"/>
      <c r="TED6" s="5"/>
      <c r="TEE6" s="10"/>
      <c r="TEF6" s="11"/>
      <c r="TEG6" s="12"/>
      <c r="TEH6" s="13"/>
      <c r="TEI6" s="12"/>
      <c r="TEJ6" s="11"/>
      <c r="TEK6" s="13"/>
      <c r="TEL6" s="12"/>
      <c r="TEM6" s="12"/>
      <c r="TEN6" s="11"/>
      <c r="TEO6" s="13"/>
      <c r="TEP6" s="5"/>
      <c r="TEQ6" s="5"/>
      <c r="TER6" s="5"/>
      <c r="TES6" s="5"/>
      <c r="TET6" s="5"/>
      <c r="TEU6" s="5"/>
      <c r="TEV6" s="5"/>
      <c r="TEW6" s="5"/>
      <c r="TEX6" s="5"/>
      <c r="TEY6" s="5"/>
      <c r="TEZ6" s="5"/>
      <c r="TFA6" s="10"/>
      <c r="TFB6" s="11"/>
      <c r="TFC6" s="12"/>
      <c r="TFD6" s="13"/>
      <c r="TFE6" s="12"/>
      <c r="TFF6" s="11"/>
      <c r="TFG6" s="13"/>
      <c r="TFH6" s="12"/>
      <c r="TFI6" s="12"/>
      <c r="TFJ6" s="11"/>
      <c r="TFK6" s="13"/>
      <c r="TFL6" s="5"/>
      <c r="TFM6" s="5"/>
      <c r="TFN6" s="5"/>
      <c r="TFO6" s="5"/>
      <c r="TFP6" s="5"/>
      <c r="TFQ6" s="5"/>
      <c r="TFR6" s="5"/>
      <c r="TFS6" s="5"/>
      <c r="TFT6" s="5"/>
      <c r="TFU6" s="5"/>
      <c r="TFV6" s="5"/>
      <c r="TFW6" s="10"/>
      <c r="TFX6" s="11"/>
      <c r="TFY6" s="12"/>
      <c r="TFZ6" s="13"/>
      <c r="TGA6" s="12"/>
      <c r="TGB6" s="11"/>
      <c r="TGC6" s="13"/>
      <c r="TGD6" s="12"/>
      <c r="TGE6" s="12"/>
      <c r="TGF6" s="11"/>
      <c r="TGG6" s="13"/>
      <c r="TGH6" s="5"/>
      <c r="TGI6" s="5"/>
      <c r="TGJ6" s="5"/>
      <c r="TGK6" s="5"/>
      <c r="TGL6" s="5"/>
      <c r="TGM6" s="5"/>
      <c r="TGN6" s="5"/>
      <c r="TGO6" s="5"/>
      <c r="TGP6" s="5"/>
      <c r="TGQ6" s="5"/>
      <c r="TGR6" s="5"/>
      <c r="TGS6" s="10"/>
      <c r="TGT6" s="11"/>
      <c r="TGU6" s="12"/>
      <c r="TGV6" s="13"/>
      <c r="TGW6" s="12"/>
      <c r="TGX6" s="11"/>
      <c r="TGY6" s="13"/>
      <c r="TGZ6" s="12"/>
      <c r="THA6" s="12"/>
      <c r="THB6" s="11"/>
      <c r="THC6" s="13"/>
      <c r="THD6" s="5"/>
      <c r="THE6" s="5"/>
      <c r="THF6" s="5"/>
      <c r="THG6" s="5"/>
      <c r="THH6" s="5"/>
      <c r="THI6" s="5"/>
      <c r="THJ6" s="5"/>
      <c r="THK6" s="5"/>
      <c r="THL6" s="5"/>
      <c r="THM6" s="5"/>
      <c r="THN6" s="5"/>
      <c r="THO6" s="10"/>
      <c r="THP6" s="11"/>
      <c r="THQ6" s="12"/>
      <c r="THR6" s="13"/>
      <c r="THS6" s="12"/>
      <c r="THT6" s="11"/>
      <c r="THU6" s="13"/>
      <c r="THV6" s="12"/>
      <c r="THW6" s="12"/>
      <c r="THX6" s="11"/>
      <c r="THY6" s="13"/>
      <c r="THZ6" s="5"/>
      <c r="TIA6" s="5"/>
      <c r="TIB6" s="5"/>
      <c r="TIC6" s="5"/>
      <c r="TID6" s="5"/>
      <c r="TIE6" s="5"/>
      <c r="TIF6" s="5"/>
      <c r="TIG6" s="5"/>
      <c r="TIH6" s="5"/>
      <c r="TII6" s="5"/>
      <c r="TIJ6" s="5"/>
      <c r="TIK6" s="10"/>
      <c r="TIL6" s="11"/>
      <c r="TIM6" s="12"/>
      <c r="TIN6" s="13"/>
      <c r="TIO6" s="12"/>
      <c r="TIP6" s="11"/>
      <c r="TIQ6" s="13"/>
      <c r="TIR6" s="12"/>
      <c r="TIS6" s="12"/>
      <c r="TIT6" s="11"/>
      <c r="TIU6" s="13"/>
      <c r="TIV6" s="5"/>
      <c r="TIW6" s="5"/>
      <c r="TIX6" s="5"/>
      <c r="TIY6" s="5"/>
      <c r="TIZ6" s="5"/>
      <c r="TJA6" s="5"/>
      <c r="TJB6" s="5"/>
      <c r="TJC6" s="5"/>
      <c r="TJD6" s="5"/>
      <c r="TJE6" s="5"/>
      <c r="TJF6" s="5"/>
      <c r="TJG6" s="10"/>
      <c r="TJH6" s="11"/>
      <c r="TJI6" s="12"/>
      <c r="TJJ6" s="13"/>
      <c r="TJK6" s="12"/>
      <c r="TJL6" s="11"/>
      <c r="TJM6" s="13"/>
      <c r="TJN6" s="12"/>
      <c r="TJO6" s="12"/>
      <c r="TJP6" s="11"/>
      <c r="TJQ6" s="13"/>
      <c r="TJR6" s="5"/>
      <c r="TJS6" s="5"/>
      <c r="TJT6" s="5"/>
      <c r="TJU6" s="5"/>
      <c r="TJV6" s="5"/>
      <c r="TJW6" s="5"/>
      <c r="TJX6" s="5"/>
      <c r="TJY6" s="5"/>
      <c r="TJZ6" s="5"/>
      <c r="TKA6" s="5"/>
      <c r="TKB6" s="5"/>
      <c r="TKC6" s="10"/>
      <c r="TKD6" s="11"/>
      <c r="TKE6" s="12"/>
      <c r="TKF6" s="13"/>
      <c r="TKG6" s="12"/>
      <c r="TKH6" s="11"/>
      <c r="TKI6" s="13"/>
      <c r="TKJ6" s="12"/>
      <c r="TKK6" s="12"/>
      <c r="TKL6" s="11"/>
      <c r="TKM6" s="13"/>
      <c r="TKN6" s="5"/>
      <c r="TKO6" s="5"/>
      <c r="TKP6" s="5"/>
      <c r="TKQ6" s="5"/>
      <c r="TKR6" s="5"/>
      <c r="TKS6" s="5"/>
      <c r="TKT6" s="5"/>
      <c r="TKU6" s="5"/>
      <c r="TKV6" s="5"/>
      <c r="TKW6" s="5"/>
      <c r="TKX6" s="5"/>
      <c r="TKY6" s="10"/>
      <c r="TKZ6" s="11"/>
      <c r="TLA6" s="12"/>
      <c r="TLB6" s="13"/>
      <c r="TLC6" s="12"/>
      <c r="TLD6" s="11"/>
      <c r="TLE6" s="13"/>
      <c r="TLF6" s="12"/>
      <c r="TLG6" s="12"/>
      <c r="TLH6" s="11"/>
      <c r="TLI6" s="13"/>
      <c r="TLJ6" s="5"/>
      <c r="TLK6" s="5"/>
      <c r="TLL6" s="5"/>
      <c r="TLM6" s="5"/>
      <c r="TLN6" s="5"/>
      <c r="TLO6" s="5"/>
      <c r="TLP6" s="5"/>
      <c r="TLQ6" s="5"/>
      <c r="TLR6" s="5"/>
      <c r="TLS6" s="5"/>
      <c r="TLT6" s="5"/>
      <c r="TLU6" s="10"/>
      <c r="TLV6" s="11"/>
      <c r="TLW6" s="12"/>
      <c r="TLX6" s="13"/>
      <c r="TLY6" s="12"/>
      <c r="TLZ6" s="11"/>
      <c r="TMA6" s="13"/>
      <c r="TMB6" s="12"/>
      <c r="TMC6" s="12"/>
      <c r="TMD6" s="11"/>
      <c r="TME6" s="13"/>
      <c r="TMF6" s="5"/>
      <c r="TMG6" s="5"/>
      <c r="TMH6" s="5"/>
      <c r="TMI6" s="5"/>
      <c r="TMJ6" s="5"/>
      <c r="TMK6" s="5"/>
      <c r="TML6" s="5"/>
      <c r="TMM6" s="5"/>
      <c r="TMN6" s="5"/>
      <c r="TMO6" s="5"/>
      <c r="TMP6" s="5"/>
      <c r="TMQ6" s="10"/>
      <c r="TMR6" s="11"/>
      <c r="TMS6" s="12"/>
      <c r="TMT6" s="13"/>
      <c r="TMU6" s="12"/>
      <c r="TMV6" s="11"/>
      <c r="TMW6" s="13"/>
      <c r="TMX6" s="12"/>
      <c r="TMY6" s="12"/>
      <c r="TMZ6" s="11"/>
      <c r="TNA6" s="13"/>
      <c r="TNB6" s="5"/>
      <c r="TNC6" s="5"/>
      <c r="TND6" s="5"/>
      <c r="TNE6" s="5"/>
      <c r="TNF6" s="5"/>
      <c r="TNG6" s="5"/>
      <c r="TNH6" s="5"/>
      <c r="TNI6" s="5"/>
      <c r="TNJ6" s="5"/>
      <c r="TNK6" s="5"/>
      <c r="TNL6" s="5"/>
      <c r="TNM6" s="10"/>
      <c r="TNN6" s="11"/>
      <c r="TNO6" s="12"/>
      <c r="TNP6" s="13"/>
      <c r="TNQ6" s="12"/>
      <c r="TNR6" s="11"/>
      <c r="TNS6" s="13"/>
      <c r="TNT6" s="12"/>
      <c r="TNU6" s="12"/>
      <c r="TNV6" s="11"/>
      <c r="TNW6" s="13"/>
      <c r="TNX6" s="5"/>
      <c r="TNY6" s="5"/>
      <c r="TNZ6" s="5"/>
      <c r="TOA6" s="5"/>
      <c r="TOB6" s="5"/>
      <c r="TOC6" s="5"/>
      <c r="TOD6" s="5"/>
      <c r="TOE6" s="5"/>
      <c r="TOF6" s="5"/>
      <c r="TOG6" s="5"/>
      <c r="TOH6" s="5"/>
      <c r="TOI6" s="10"/>
      <c r="TOJ6" s="11"/>
      <c r="TOK6" s="12"/>
      <c r="TOL6" s="13"/>
      <c r="TOM6" s="12"/>
      <c r="TON6" s="11"/>
      <c r="TOO6" s="13"/>
      <c r="TOP6" s="12"/>
      <c r="TOQ6" s="12"/>
      <c r="TOR6" s="11"/>
      <c r="TOS6" s="13"/>
      <c r="TOT6" s="5"/>
      <c r="TOU6" s="5"/>
      <c r="TOV6" s="5"/>
      <c r="TOW6" s="5"/>
      <c r="TOX6" s="5"/>
      <c r="TOY6" s="5"/>
      <c r="TOZ6" s="5"/>
      <c r="TPA6" s="5"/>
      <c r="TPB6" s="5"/>
      <c r="TPC6" s="5"/>
      <c r="TPD6" s="5"/>
      <c r="TPE6" s="10"/>
      <c r="TPF6" s="11"/>
      <c r="TPG6" s="12"/>
      <c r="TPH6" s="13"/>
      <c r="TPI6" s="12"/>
      <c r="TPJ6" s="11"/>
      <c r="TPK6" s="13"/>
      <c r="TPL6" s="12"/>
      <c r="TPM6" s="12"/>
      <c r="TPN6" s="11"/>
      <c r="TPO6" s="13"/>
      <c r="TPP6" s="5"/>
      <c r="TPQ6" s="5"/>
      <c r="TPR6" s="5"/>
      <c r="TPS6" s="5"/>
      <c r="TPT6" s="5"/>
      <c r="TPU6" s="5"/>
      <c r="TPV6" s="5"/>
      <c r="TPW6" s="5"/>
      <c r="TPX6" s="5"/>
      <c r="TPY6" s="5"/>
      <c r="TPZ6" s="5"/>
      <c r="TQA6" s="10"/>
      <c r="TQB6" s="11"/>
      <c r="TQC6" s="12"/>
      <c r="TQD6" s="13"/>
      <c r="TQE6" s="12"/>
      <c r="TQF6" s="11"/>
      <c r="TQG6" s="13"/>
      <c r="TQH6" s="12"/>
      <c r="TQI6" s="12"/>
      <c r="TQJ6" s="11"/>
      <c r="TQK6" s="13"/>
      <c r="TQL6" s="5"/>
      <c r="TQM6" s="5"/>
      <c r="TQN6" s="5"/>
      <c r="TQO6" s="5"/>
      <c r="TQP6" s="5"/>
      <c r="TQQ6" s="5"/>
      <c r="TQR6" s="5"/>
      <c r="TQS6" s="5"/>
      <c r="TQT6" s="5"/>
      <c r="TQU6" s="5"/>
      <c r="TQV6" s="5"/>
      <c r="TQW6" s="10"/>
      <c r="TQX6" s="11"/>
      <c r="TQY6" s="12"/>
      <c r="TQZ6" s="13"/>
      <c r="TRA6" s="12"/>
      <c r="TRB6" s="11"/>
      <c r="TRC6" s="13"/>
      <c r="TRD6" s="12"/>
      <c r="TRE6" s="12"/>
      <c r="TRF6" s="11"/>
      <c r="TRG6" s="13"/>
      <c r="TRH6" s="5"/>
      <c r="TRI6" s="5"/>
      <c r="TRJ6" s="5"/>
      <c r="TRK6" s="5"/>
      <c r="TRL6" s="5"/>
      <c r="TRM6" s="5"/>
      <c r="TRN6" s="5"/>
      <c r="TRO6" s="5"/>
      <c r="TRP6" s="5"/>
      <c r="TRQ6" s="5"/>
      <c r="TRR6" s="5"/>
      <c r="TRS6" s="10"/>
      <c r="TRT6" s="11"/>
      <c r="TRU6" s="12"/>
      <c r="TRV6" s="13"/>
      <c r="TRW6" s="12"/>
      <c r="TRX6" s="11"/>
      <c r="TRY6" s="13"/>
      <c r="TRZ6" s="12"/>
      <c r="TSA6" s="12"/>
      <c r="TSB6" s="11"/>
      <c r="TSC6" s="13"/>
      <c r="TSD6" s="5"/>
      <c r="TSE6" s="5"/>
      <c r="TSF6" s="5"/>
      <c r="TSG6" s="5"/>
      <c r="TSH6" s="5"/>
      <c r="TSI6" s="5"/>
      <c r="TSJ6" s="5"/>
      <c r="TSK6" s="5"/>
      <c r="TSL6" s="5"/>
      <c r="TSM6" s="5"/>
      <c r="TSN6" s="5"/>
      <c r="TSO6" s="10"/>
      <c r="TSP6" s="11"/>
      <c r="TSQ6" s="12"/>
      <c r="TSR6" s="13"/>
      <c r="TSS6" s="12"/>
      <c r="TST6" s="11"/>
      <c r="TSU6" s="13"/>
      <c r="TSV6" s="12"/>
      <c r="TSW6" s="12"/>
      <c r="TSX6" s="11"/>
      <c r="TSY6" s="13"/>
      <c r="TSZ6" s="5"/>
      <c r="TTA6" s="5"/>
      <c r="TTB6" s="5"/>
      <c r="TTC6" s="5"/>
      <c r="TTD6" s="5"/>
      <c r="TTE6" s="5"/>
      <c r="TTF6" s="5"/>
      <c r="TTG6" s="5"/>
      <c r="TTH6" s="5"/>
      <c r="TTI6" s="5"/>
      <c r="TTJ6" s="5"/>
      <c r="TTK6" s="10"/>
      <c r="TTL6" s="11"/>
      <c r="TTM6" s="12"/>
      <c r="TTN6" s="13"/>
      <c r="TTO6" s="12"/>
      <c r="TTP6" s="11"/>
      <c r="TTQ6" s="13"/>
      <c r="TTR6" s="12"/>
      <c r="TTS6" s="12"/>
      <c r="TTT6" s="11"/>
      <c r="TTU6" s="13"/>
      <c r="TTV6" s="5"/>
      <c r="TTW6" s="5"/>
      <c r="TTX6" s="5"/>
      <c r="TTY6" s="5"/>
      <c r="TTZ6" s="5"/>
      <c r="TUA6" s="5"/>
      <c r="TUB6" s="5"/>
      <c r="TUC6" s="5"/>
      <c r="TUD6" s="5"/>
      <c r="TUE6" s="5"/>
      <c r="TUF6" s="5"/>
      <c r="TUG6" s="10"/>
      <c r="TUH6" s="11"/>
      <c r="TUI6" s="12"/>
      <c r="TUJ6" s="13"/>
      <c r="TUK6" s="12"/>
      <c r="TUL6" s="11"/>
      <c r="TUM6" s="13"/>
      <c r="TUN6" s="12"/>
      <c r="TUO6" s="12"/>
      <c r="TUP6" s="11"/>
      <c r="TUQ6" s="13"/>
      <c r="TUR6" s="5"/>
      <c r="TUS6" s="5"/>
      <c r="TUT6" s="5"/>
      <c r="TUU6" s="5"/>
      <c r="TUV6" s="5"/>
      <c r="TUW6" s="5"/>
      <c r="TUX6" s="5"/>
      <c r="TUY6" s="5"/>
      <c r="TUZ6" s="5"/>
      <c r="TVA6" s="5"/>
      <c r="TVB6" s="5"/>
      <c r="TVC6" s="10"/>
      <c r="TVD6" s="11"/>
      <c r="TVE6" s="12"/>
      <c r="TVF6" s="13"/>
      <c r="TVG6" s="12"/>
      <c r="TVH6" s="11"/>
      <c r="TVI6" s="13"/>
      <c r="TVJ6" s="12"/>
      <c r="TVK6" s="12"/>
      <c r="TVL6" s="11"/>
      <c r="TVM6" s="13"/>
      <c r="TVN6" s="5"/>
      <c r="TVO6" s="5"/>
      <c r="TVP6" s="5"/>
      <c r="TVQ6" s="5"/>
      <c r="TVR6" s="5"/>
      <c r="TVS6" s="5"/>
      <c r="TVT6" s="5"/>
      <c r="TVU6" s="5"/>
      <c r="TVV6" s="5"/>
      <c r="TVW6" s="5"/>
      <c r="TVX6" s="5"/>
      <c r="TVY6" s="10"/>
      <c r="TVZ6" s="11"/>
      <c r="TWA6" s="12"/>
      <c r="TWB6" s="13"/>
      <c r="TWC6" s="12"/>
      <c r="TWD6" s="11"/>
      <c r="TWE6" s="13"/>
      <c r="TWF6" s="12"/>
      <c r="TWG6" s="12"/>
      <c r="TWH6" s="11"/>
      <c r="TWI6" s="13"/>
      <c r="TWJ6" s="5"/>
      <c r="TWK6" s="5"/>
      <c r="TWL6" s="5"/>
      <c r="TWM6" s="5"/>
      <c r="TWN6" s="5"/>
      <c r="TWO6" s="5"/>
      <c r="TWP6" s="5"/>
      <c r="TWQ6" s="5"/>
      <c r="TWR6" s="5"/>
      <c r="TWS6" s="5"/>
      <c r="TWT6" s="5"/>
      <c r="TWU6" s="10"/>
      <c r="TWV6" s="11"/>
      <c r="TWW6" s="12"/>
      <c r="TWX6" s="13"/>
      <c r="TWY6" s="12"/>
      <c r="TWZ6" s="11"/>
      <c r="TXA6" s="13"/>
      <c r="TXB6" s="12"/>
      <c r="TXC6" s="12"/>
      <c r="TXD6" s="11"/>
      <c r="TXE6" s="13"/>
      <c r="TXF6" s="5"/>
      <c r="TXG6" s="5"/>
      <c r="TXH6" s="5"/>
      <c r="TXI6" s="5"/>
      <c r="TXJ6" s="5"/>
      <c r="TXK6" s="5"/>
      <c r="TXL6" s="5"/>
      <c r="TXM6" s="5"/>
      <c r="TXN6" s="5"/>
      <c r="TXO6" s="5"/>
      <c r="TXP6" s="5"/>
      <c r="TXQ6" s="10"/>
      <c r="TXR6" s="11"/>
      <c r="TXS6" s="12"/>
      <c r="TXT6" s="13"/>
      <c r="TXU6" s="12"/>
      <c r="TXV6" s="11"/>
      <c r="TXW6" s="13"/>
      <c r="TXX6" s="12"/>
      <c r="TXY6" s="12"/>
      <c r="TXZ6" s="11"/>
      <c r="TYA6" s="13"/>
      <c r="TYB6" s="5"/>
      <c r="TYC6" s="5"/>
      <c r="TYD6" s="5"/>
      <c r="TYE6" s="5"/>
      <c r="TYF6" s="5"/>
      <c r="TYG6" s="5"/>
      <c r="TYH6" s="5"/>
      <c r="TYI6" s="5"/>
      <c r="TYJ6" s="5"/>
      <c r="TYK6" s="5"/>
      <c r="TYL6" s="5"/>
      <c r="TYM6" s="10"/>
      <c r="TYN6" s="11"/>
      <c r="TYO6" s="12"/>
      <c r="TYP6" s="13"/>
      <c r="TYQ6" s="12"/>
      <c r="TYR6" s="11"/>
      <c r="TYS6" s="13"/>
      <c r="TYT6" s="12"/>
      <c r="TYU6" s="12"/>
      <c r="TYV6" s="11"/>
      <c r="TYW6" s="13"/>
      <c r="TYX6" s="5"/>
      <c r="TYY6" s="5"/>
      <c r="TYZ6" s="5"/>
      <c r="TZA6" s="5"/>
      <c r="TZB6" s="5"/>
      <c r="TZC6" s="5"/>
      <c r="TZD6" s="5"/>
      <c r="TZE6" s="5"/>
      <c r="TZF6" s="5"/>
      <c r="TZG6" s="5"/>
      <c r="TZH6" s="5"/>
      <c r="TZI6" s="10"/>
      <c r="TZJ6" s="11"/>
      <c r="TZK6" s="12"/>
      <c r="TZL6" s="13"/>
      <c r="TZM6" s="12"/>
      <c r="TZN6" s="11"/>
      <c r="TZO6" s="13"/>
      <c r="TZP6" s="12"/>
      <c r="TZQ6" s="12"/>
      <c r="TZR6" s="11"/>
      <c r="TZS6" s="13"/>
      <c r="TZT6" s="5"/>
      <c r="TZU6" s="5"/>
      <c r="TZV6" s="5"/>
      <c r="TZW6" s="5"/>
      <c r="TZX6" s="5"/>
      <c r="TZY6" s="5"/>
      <c r="TZZ6" s="5"/>
      <c r="UAA6" s="5"/>
      <c r="UAB6" s="5"/>
      <c r="UAC6" s="5"/>
      <c r="UAD6" s="5"/>
      <c r="UAE6" s="10"/>
      <c r="UAF6" s="11"/>
      <c r="UAG6" s="12"/>
      <c r="UAH6" s="13"/>
      <c r="UAI6" s="12"/>
      <c r="UAJ6" s="11"/>
      <c r="UAK6" s="13"/>
      <c r="UAL6" s="12"/>
      <c r="UAM6" s="12"/>
      <c r="UAN6" s="11"/>
      <c r="UAO6" s="13"/>
      <c r="UAP6" s="5"/>
      <c r="UAQ6" s="5"/>
      <c r="UAR6" s="5"/>
      <c r="UAS6" s="5"/>
      <c r="UAT6" s="5"/>
      <c r="UAU6" s="5"/>
      <c r="UAV6" s="5"/>
      <c r="UAW6" s="5"/>
      <c r="UAX6" s="5"/>
      <c r="UAY6" s="5"/>
      <c r="UAZ6" s="5"/>
      <c r="UBA6" s="10"/>
      <c r="UBB6" s="11"/>
      <c r="UBC6" s="12"/>
      <c r="UBD6" s="13"/>
      <c r="UBE6" s="12"/>
      <c r="UBF6" s="11"/>
      <c r="UBG6" s="13"/>
      <c r="UBH6" s="12"/>
      <c r="UBI6" s="12"/>
      <c r="UBJ6" s="11"/>
      <c r="UBK6" s="13"/>
      <c r="UBL6" s="5"/>
      <c r="UBM6" s="5"/>
      <c r="UBN6" s="5"/>
      <c r="UBO6" s="5"/>
      <c r="UBP6" s="5"/>
      <c r="UBQ6" s="5"/>
      <c r="UBR6" s="5"/>
      <c r="UBS6" s="5"/>
      <c r="UBT6" s="5"/>
      <c r="UBU6" s="5"/>
      <c r="UBV6" s="5"/>
      <c r="UBW6" s="10"/>
      <c r="UBX6" s="11"/>
      <c r="UBY6" s="12"/>
      <c r="UBZ6" s="13"/>
      <c r="UCA6" s="12"/>
      <c r="UCB6" s="11"/>
      <c r="UCC6" s="13"/>
      <c r="UCD6" s="12"/>
      <c r="UCE6" s="12"/>
      <c r="UCF6" s="11"/>
      <c r="UCG6" s="13"/>
      <c r="UCH6" s="5"/>
      <c r="UCI6" s="5"/>
      <c r="UCJ6" s="5"/>
      <c r="UCK6" s="5"/>
      <c r="UCL6" s="5"/>
      <c r="UCM6" s="5"/>
      <c r="UCN6" s="5"/>
      <c r="UCO6" s="5"/>
      <c r="UCP6" s="5"/>
      <c r="UCQ6" s="5"/>
      <c r="UCR6" s="5"/>
      <c r="UCS6" s="10"/>
      <c r="UCT6" s="11"/>
      <c r="UCU6" s="12"/>
      <c r="UCV6" s="13"/>
      <c r="UCW6" s="12"/>
      <c r="UCX6" s="11"/>
      <c r="UCY6" s="13"/>
      <c r="UCZ6" s="12"/>
      <c r="UDA6" s="12"/>
      <c r="UDB6" s="11"/>
      <c r="UDC6" s="13"/>
      <c r="UDD6" s="5"/>
      <c r="UDE6" s="5"/>
      <c r="UDF6" s="5"/>
      <c r="UDG6" s="5"/>
      <c r="UDH6" s="5"/>
      <c r="UDI6" s="5"/>
      <c r="UDJ6" s="5"/>
      <c r="UDK6" s="5"/>
      <c r="UDL6" s="5"/>
      <c r="UDM6" s="5"/>
      <c r="UDN6" s="5"/>
      <c r="UDO6" s="10"/>
      <c r="UDP6" s="11"/>
      <c r="UDQ6" s="12"/>
      <c r="UDR6" s="13"/>
      <c r="UDS6" s="12"/>
      <c r="UDT6" s="11"/>
      <c r="UDU6" s="13"/>
      <c r="UDV6" s="12"/>
      <c r="UDW6" s="12"/>
      <c r="UDX6" s="11"/>
      <c r="UDY6" s="13"/>
      <c r="UDZ6" s="5"/>
      <c r="UEA6" s="5"/>
      <c r="UEB6" s="5"/>
      <c r="UEC6" s="5"/>
      <c r="UED6" s="5"/>
      <c r="UEE6" s="5"/>
      <c r="UEF6" s="5"/>
      <c r="UEG6" s="5"/>
      <c r="UEH6" s="5"/>
      <c r="UEI6" s="5"/>
      <c r="UEJ6" s="5"/>
      <c r="UEK6" s="10"/>
      <c r="UEL6" s="11"/>
      <c r="UEM6" s="12"/>
      <c r="UEN6" s="13"/>
      <c r="UEO6" s="12"/>
      <c r="UEP6" s="11"/>
      <c r="UEQ6" s="13"/>
      <c r="UER6" s="12"/>
      <c r="UES6" s="12"/>
      <c r="UET6" s="11"/>
      <c r="UEU6" s="13"/>
      <c r="UEV6" s="5"/>
      <c r="UEW6" s="5"/>
      <c r="UEX6" s="5"/>
      <c r="UEY6" s="5"/>
      <c r="UEZ6" s="5"/>
      <c r="UFA6" s="5"/>
      <c r="UFB6" s="5"/>
      <c r="UFC6" s="5"/>
      <c r="UFD6" s="5"/>
      <c r="UFE6" s="5"/>
      <c r="UFF6" s="5"/>
      <c r="UFG6" s="10"/>
      <c r="UFH6" s="11"/>
      <c r="UFI6" s="12"/>
      <c r="UFJ6" s="13"/>
      <c r="UFK6" s="12"/>
      <c r="UFL6" s="11"/>
      <c r="UFM6" s="13"/>
      <c r="UFN6" s="12"/>
      <c r="UFO6" s="12"/>
      <c r="UFP6" s="11"/>
      <c r="UFQ6" s="13"/>
      <c r="UFR6" s="5"/>
      <c r="UFS6" s="5"/>
      <c r="UFT6" s="5"/>
      <c r="UFU6" s="5"/>
      <c r="UFV6" s="5"/>
      <c r="UFW6" s="5"/>
      <c r="UFX6" s="5"/>
      <c r="UFY6" s="5"/>
      <c r="UFZ6" s="5"/>
      <c r="UGA6" s="5"/>
      <c r="UGB6" s="5"/>
      <c r="UGC6" s="10"/>
      <c r="UGD6" s="11"/>
      <c r="UGE6" s="12"/>
      <c r="UGF6" s="13"/>
      <c r="UGG6" s="12"/>
      <c r="UGH6" s="11"/>
      <c r="UGI6" s="13"/>
      <c r="UGJ6" s="12"/>
      <c r="UGK6" s="12"/>
      <c r="UGL6" s="11"/>
      <c r="UGM6" s="13"/>
      <c r="UGN6" s="5"/>
      <c r="UGO6" s="5"/>
      <c r="UGP6" s="5"/>
      <c r="UGQ6" s="5"/>
      <c r="UGR6" s="5"/>
      <c r="UGS6" s="5"/>
      <c r="UGT6" s="5"/>
      <c r="UGU6" s="5"/>
      <c r="UGV6" s="5"/>
      <c r="UGW6" s="5"/>
      <c r="UGX6" s="5"/>
      <c r="UGY6" s="10"/>
      <c r="UGZ6" s="11"/>
      <c r="UHA6" s="12"/>
      <c r="UHB6" s="13"/>
      <c r="UHC6" s="12"/>
      <c r="UHD6" s="11"/>
      <c r="UHE6" s="13"/>
      <c r="UHF6" s="12"/>
      <c r="UHG6" s="12"/>
      <c r="UHH6" s="11"/>
      <c r="UHI6" s="13"/>
      <c r="UHJ6" s="5"/>
      <c r="UHK6" s="5"/>
      <c r="UHL6" s="5"/>
      <c r="UHM6" s="5"/>
      <c r="UHN6" s="5"/>
      <c r="UHO6" s="5"/>
      <c r="UHP6" s="5"/>
      <c r="UHQ6" s="5"/>
      <c r="UHR6" s="5"/>
      <c r="UHS6" s="5"/>
      <c r="UHT6" s="5"/>
      <c r="UHU6" s="10"/>
      <c r="UHV6" s="11"/>
      <c r="UHW6" s="12"/>
      <c r="UHX6" s="13"/>
      <c r="UHY6" s="12"/>
      <c r="UHZ6" s="11"/>
      <c r="UIA6" s="13"/>
      <c r="UIB6" s="12"/>
      <c r="UIC6" s="12"/>
      <c r="UID6" s="11"/>
      <c r="UIE6" s="13"/>
      <c r="UIF6" s="5"/>
      <c r="UIG6" s="5"/>
      <c r="UIH6" s="5"/>
      <c r="UII6" s="5"/>
      <c r="UIJ6" s="5"/>
      <c r="UIK6" s="5"/>
      <c r="UIL6" s="5"/>
      <c r="UIM6" s="5"/>
      <c r="UIN6" s="5"/>
      <c r="UIO6" s="5"/>
      <c r="UIP6" s="5"/>
      <c r="UIQ6" s="10"/>
      <c r="UIR6" s="11"/>
      <c r="UIS6" s="12"/>
      <c r="UIT6" s="13"/>
      <c r="UIU6" s="12"/>
      <c r="UIV6" s="11"/>
      <c r="UIW6" s="13"/>
      <c r="UIX6" s="12"/>
      <c r="UIY6" s="12"/>
      <c r="UIZ6" s="11"/>
      <c r="UJA6" s="13"/>
      <c r="UJB6" s="5"/>
      <c r="UJC6" s="5"/>
      <c r="UJD6" s="5"/>
      <c r="UJE6" s="5"/>
      <c r="UJF6" s="5"/>
      <c r="UJG6" s="5"/>
      <c r="UJH6" s="5"/>
      <c r="UJI6" s="5"/>
      <c r="UJJ6" s="5"/>
      <c r="UJK6" s="5"/>
      <c r="UJL6" s="5"/>
      <c r="UJM6" s="10"/>
      <c r="UJN6" s="11"/>
      <c r="UJO6" s="12"/>
      <c r="UJP6" s="13"/>
      <c r="UJQ6" s="12"/>
      <c r="UJR6" s="11"/>
      <c r="UJS6" s="13"/>
      <c r="UJT6" s="12"/>
      <c r="UJU6" s="12"/>
      <c r="UJV6" s="11"/>
      <c r="UJW6" s="13"/>
      <c r="UJX6" s="5"/>
      <c r="UJY6" s="5"/>
      <c r="UJZ6" s="5"/>
      <c r="UKA6" s="5"/>
      <c r="UKB6" s="5"/>
      <c r="UKC6" s="5"/>
      <c r="UKD6" s="5"/>
      <c r="UKE6" s="5"/>
      <c r="UKF6" s="5"/>
      <c r="UKG6" s="5"/>
      <c r="UKH6" s="5"/>
      <c r="UKI6" s="10"/>
      <c r="UKJ6" s="11"/>
      <c r="UKK6" s="12"/>
      <c r="UKL6" s="13"/>
      <c r="UKM6" s="12"/>
      <c r="UKN6" s="11"/>
      <c r="UKO6" s="13"/>
      <c r="UKP6" s="12"/>
      <c r="UKQ6" s="12"/>
      <c r="UKR6" s="11"/>
      <c r="UKS6" s="13"/>
      <c r="UKT6" s="5"/>
      <c r="UKU6" s="5"/>
      <c r="UKV6" s="5"/>
      <c r="UKW6" s="5"/>
      <c r="UKX6" s="5"/>
      <c r="UKY6" s="5"/>
      <c r="UKZ6" s="5"/>
      <c r="ULA6" s="5"/>
      <c r="ULB6" s="5"/>
      <c r="ULC6" s="5"/>
      <c r="ULD6" s="5"/>
      <c r="ULE6" s="10"/>
      <c r="ULF6" s="11"/>
      <c r="ULG6" s="12"/>
      <c r="ULH6" s="13"/>
      <c r="ULI6" s="12"/>
      <c r="ULJ6" s="11"/>
      <c r="ULK6" s="13"/>
      <c r="ULL6" s="12"/>
      <c r="ULM6" s="12"/>
      <c r="ULN6" s="11"/>
      <c r="ULO6" s="13"/>
      <c r="ULP6" s="5"/>
      <c r="ULQ6" s="5"/>
      <c r="ULR6" s="5"/>
      <c r="ULS6" s="5"/>
      <c r="ULT6" s="5"/>
      <c r="ULU6" s="5"/>
      <c r="ULV6" s="5"/>
      <c r="ULW6" s="5"/>
      <c r="ULX6" s="5"/>
      <c r="ULY6" s="5"/>
      <c r="ULZ6" s="5"/>
      <c r="UMA6" s="10"/>
      <c r="UMB6" s="11"/>
      <c r="UMC6" s="12"/>
      <c r="UMD6" s="13"/>
      <c r="UME6" s="12"/>
      <c r="UMF6" s="11"/>
      <c r="UMG6" s="13"/>
      <c r="UMH6" s="12"/>
      <c r="UMI6" s="12"/>
      <c r="UMJ6" s="11"/>
      <c r="UMK6" s="13"/>
      <c r="UML6" s="5"/>
      <c r="UMM6" s="5"/>
      <c r="UMN6" s="5"/>
      <c r="UMO6" s="5"/>
      <c r="UMP6" s="5"/>
      <c r="UMQ6" s="5"/>
      <c r="UMR6" s="5"/>
      <c r="UMS6" s="5"/>
      <c r="UMT6" s="5"/>
      <c r="UMU6" s="5"/>
      <c r="UMV6" s="5"/>
      <c r="UMW6" s="10"/>
      <c r="UMX6" s="11"/>
      <c r="UMY6" s="12"/>
      <c r="UMZ6" s="13"/>
      <c r="UNA6" s="12"/>
      <c r="UNB6" s="11"/>
      <c r="UNC6" s="13"/>
      <c r="UND6" s="12"/>
      <c r="UNE6" s="12"/>
      <c r="UNF6" s="11"/>
      <c r="UNG6" s="13"/>
      <c r="UNH6" s="5"/>
      <c r="UNI6" s="5"/>
      <c r="UNJ6" s="5"/>
      <c r="UNK6" s="5"/>
      <c r="UNL6" s="5"/>
      <c r="UNM6" s="5"/>
      <c r="UNN6" s="5"/>
      <c r="UNO6" s="5"/>
      <c r="UNP6" s="5"/>
      <c r="UNQ6" s="5"/>
      <c r="UNR6" s="5"/>
      <c r="UNS6" s="10"/>
      <c r="UNT6" s="11"/>
      <c r="UNU6" s="12"/>
      <c r="UNV6" s="13"/>
      <c r="UNW6" s="12"/>
      <c r="UNX6" s="11"/>
      <c r="UNY6" s="13"/>
      <c r="UNZ6" s="12"/>
      <c r="UOA6" s="12"/>
      <c r="UOB6" s="11"/>
      <c r="UOC6" s="13"/>
      <c r="UOD6" s="5"/>
      <c r="UOE6" s="5"/>
      <c r="UOF6" s="5"/>
      <c r="UOG6" s="5"/>
      <c r="UOH6" s="5"/>
      <c r="UOI6" s="5"/>
      <c r="UOJ6" s="5"/>
      <c r="UOK6" s="5"/>
      <c r="UOL6" s="5"/>
      <c r="UOM6" s="5"/>
      <c r="UON6" s="5"/>
      <c r="UOO6" s="10"/>
      <c r="UOP6" s="11"/>
      <c r="UOQ6" s="12"/>
      <c r="UOR6" s="13"/>
      <c r="UOS6" s="12"/>
      <c r="UOT6" s="11"/>
      <c r="UOU6" s="13"/>
      <c r="UOV6" s="12"/>
      <c r="UOW6" s="12"/>
      <c r="UOX6" s="11"/>
      <c r="UOY6" s="13"/>
      <c r="UOZ6" s="5"/>
      <c r="UPA6" s="5"/>
      <c r="UPB6" s="5"/>
      <c r="UPC6" s="5"/>
      <c r="UPD6" s="5"/>
      <c r="UPE6" s="5"/>
      <c r="UPF6" s="5"/>
      <c r="UPG6" s="5"/>
      <c r="UPH6" s="5"/>
      <c r="UPI6" s="5"/>
      <c r="UPJ6" s="5"/>
      <c r="UPK6" s="10"/>
      <c r="UPL6" s="11"/>
      <c r="UPM6" s="12"/>
      <c r="UPN6" s="13"/>
      <c r="UPO6" s="12"/>
      <c r="UPP6" s="11"/>
      <c r="UPQ6" s="13"/>
      <c r="UPR6" s="12"/>
      <c r="UPS6" s="12"/>
      <c r="UPT6" s="11"/>
      <c r="UPU6" s="13"/>
      <c r="UPV6" s="5"/>
      <c r="UPW6" s="5"/>
      <c r="UPX6" s="5"/>
      <c r="UPY6" s="5"/>
      <c r="UPZ6" s="5"/>
      <c r="UQA6" s="5"/>
      <c r="UQB6" s="5"/>
      <c r="UQC6" s="5"/>
      <c r="UQD6" s="5"/>
      <c r="UQE6" s="5"/>
      <c r="UQF6" s="5"/>
      <c r="UQG6" s="10"/>
      <c r="UQH6" s="11"/>
      <c r="UQI6" s="12"/>
      <c r="UQJ6" s="13"/>
      <c r="UQK6" s="12"/>
      <c r="UQL6" s="11"/>
      <c r="UQM6" s="13"/>
      <c r="UQN6" s="12"/>
      <c r="UQO6" s="12"/>
      <c r="UQP6" s="11"/>
      <c r="UQQ6" s="13"/>
      <c r="UQR6" s="5"/>
      <c r="UQS6" s="5"/>
      <c r="UQT6" s="5"/>
      <c r="UQU6" s="5"/>
      <c r="UQV6" s="5"/>
      <c r="UQW6" s="5"/>
      <c r="UQX6" s="5"/>
      <c r="UQY6" s="5"/>
      <c r="UQZ6" s="5"/>
      <c r="URA6" s="5"/>
      <c r="URB6" s="5"/>
      <c r="URC6" s="10"/>
      <c r="URD6" s="11"/>
      <c r="URE6" s="12"/>
      <c r="URF6" s="13"/>
      <c r="URG6" s="12"/>
      <c r="URH6" s="11"/>
      <c r="URI6" s="13"/>
      <c r="URJ6" s="12"/>
      <c r="URK6" s="12"/>
      <c r="URL6" s="11"/>
      <c r="URM6" s="13"/>
      <c r="URN6" s="5"/>
      <c r="URO6" s="5"/>
      <c r="URP6" s="5"/>
      <c r="URQ6" s="5"/>
      <c r="URR6" s="5"/>
      <c r="URS6" s="5"/>
      <c r="URT6" s="5"/>
      <c r="URU6" s="5"/>
      <c r="URV6" s="5"/>
      <c r="URW6" s="5"/>
      <c r="URX6" s="5"/>
      <c r="URY6" s="10"/>
      <c r="URZ6" s="11"/>
      <c r="USA6" s="12"/>
      <c r="USB6" s="13"/>
      <c r="USC6" s="12"/>
      <c r="USD6" s="11"/>
      <c r="USE6" s="13"/>
      <c r="USF6" s="12"/>
      <c r="USG6" s="12"/>
      <c r="USH6" s="11"/>
      <c r="USI6" s="13"/>
      <c r="USJ6" s="5"/>
      <c r="USK6" s="5"/>
      <c r="USL6" s="5"/>
      <c r="USM6" s="5"/>
      <c r="USN6" s="5"/>
      <c r="USO6" s="5"/>
      <c r="USP6" s="5"/>
      <c r="USQ6" s="5"/>
      <c r="USR6" s="5"/>
      <c r="USS6" s="5"/>
      <c r="UST6" s="5"/>
      <c r="USU6" s="10"/>
      <c r="USV6" s="11"/>
      <c r="USW6" s="12"/>
      <c r="USX6" s="13"/>
      <c r="USY6" s="12"/>
      <c r="USZ6" s="11"/>
      <c r="UTA6" s="13"/>
      <c r="UTB6" s="12"/>
      <c r="UTC6" s="12"/>
      <c r="UTD6" s="11"/>
      <c r="UTE6" s="13"/>
      <c r="UTF6" s="5"/>
      <c r="UTG6" s="5"/>
      <c r="UTH6" s="5"/>
      <c r="UTI6" s="5"/>
      <c r="UTJ6" s="5"/>
      <c r="UTK6" s="5"/>
      <c r="UTL6" s="5"/>
      <c r="UTM6" s="5"/>
      <c r="UTN6" s="5"/>
      <c r="UTO6" s="5"/>
      <c r="UTP6" s="5"/>
      <c r="UTQ6" s="10"/>
      <c r="UTR6" s="11"/>
      <c r="UTS6" s="12"/>
      <c r="UTT6" s="13"/>
      <c r="UTU6" s="12"/>
      <c r="UTV6" s="11"/>
      <c r="UTW6" s="13"/>
      <c r="UTX6" s="12"/>
      <c r="UTY6" s="12"/>
      <c r="UTZ6" s="11"/>
      <c r="UUA6" s="13"/>
      <c r="UUB6" s="5"/>
      <c r="UUC6" s="5"/>
      <c r="UUD6" s="5"/>
      <c r="UUE6" s="5"/>
      <c r="UUF6" s="5"/>
      <c r="UUG6" s="5"/>
      <c r="UUH6" s="5"/>
      <c r="UUI6" s="5"/>
      <c r="UUJ6" s="5"/>
      <c r="UUK6" s="5"/>
      <c r="UUL6" s="5"/>
      <c r="UUM6" s="10"/>
      <c r="UUN6" s="11"/>
      <c r="UUO6" s="12"/>
      <c r="UUP6" s="13"/>
      <c r="UUQ6" s="12"/>
      <c r="UUR6" s="11"/>
      <c r="UUS6" s="13"/>
      <c r="UUT6" s="12"/>
      <c r="UUU6" s="12"/>
      <c r="UUV6" s="11"/>
      <c r="UUW6" s="13"/>
      <c r="UUX6" s="5"/>
      <c r="UUY6" s="5"/>
      <c r="UUZ6" s="5"/>
      <c r="UVA6" s="5"/>
      <c r="UVB6" s="5"/>
      <c r="UVC6" s="5"/>
      <c r="UVD6" s="5"/>
      <c r="UVE6" s="5"/>
      <c r="UVF6" s="5"/>
      <c r="UVG6" s="5"/>
      <c r="UVH6" s="5"/>
      <c r="UVI6" s="10"/>
      <c r="UVJ6" s="11"/>
      <c r="UVK6" s="12"/>
      <c r="UVL6" s="13"/>
      <c r="UVM6" s="12"/>
      <c r="UVN6" s="11"/>
      <c r="UVO6" s="13"/>
      <c r="UVP6" s="12"/>
      <c r="UVQ6" s="12"/>
      <c r="UVR6" s="11"/>
      <c r="UVS6" s="13"/>
      <c r="UVT6" s="5"/>
      <c r="UVU6" s="5"/>
      <c r="UVV6" s="5"/>
      <c r="UVW6" s="5"/>
      <c r="UVX6" s="5"/>
      <c r="UVY6" s="5"/>
      <c r="UVZ6" s="5"/>
      <c r="UWA6" s="5"/>
      <c r="UWB6" s="5"/>
      <c r="UWC6" s="5"/>
      <c r="UWD6" s="5"/>
      <c r="UWE6" s="10"/>
      <c r="UWF6" s="11"/>
      <c r="UWG6" s="12"/>
      <c r="UWH6" s="13"/>
      <c r="UWI6" s="12"/>
      <c r="UWJ6" s="11"/>
      <c r="UWK6" s="13"/>
      <c r="UWL6" s="12"/>
      <c r="UWM6" s="12"/>
      <c r="UWN6" s="11"/>
      <c r="UWO6" s="13"/>
      <c r="UWP6" s="5"/>
      <c r="UWQ6" s="5"/>
      <c r="UWR6" s="5"/>
      <c r="UWS6" s="5"/>
      <c r="UWT6" s="5"/>
      <c r="UWU6" s="5"/>
      <c r="UWV6" s="5"/>
      <c r="UWW6" s="5"/>
      <c r="UWX6" s="5"/>
      <c r="UWY6" s="5"/>
      <c r="UWZ6" s="5"/>
      <c r="UXA6" s="10"/>
      <c r="UXB6" s="11"/>
      <c r="UXC6" s="12"/>
      <c r="UXD6" s="13"/>
      <c r="UXE6" s="12"/>
      <c r="UXF6" s="11"/>
      <c r="UXG6" s="13"/>
      <c r="UXH6" s="12"/>
      <c r="UXI6" s="12"/>
      <c r="UXJ6" s="11"/>
      <c r="UXK6" s="13"/>
      <c r="UXL6" s="5"/>
      <c r="UXM6" s="5"/>
      <c r="UXN6" s="5"/>
      <c r="UXO6" s="5"/>
      <c r="UXP6" s="5"/>
      <c r="UXQ6" s="5"/>
      <c r="UXR6" s="5"/>
      <c r="UXS6" s="5"/>
      <c r="UXT6" s="5"/>
      <c r="UXU6" s="5"/>
      <c r="UXV6" s="5"/>
      <c r="UXW6" s="10"/>
      <c r="UXX6" s="11"/>
      <c r="UXY6" s="12"/>
      <c r="UXZ6" s="13"/>
      <c r="UYA6" s="12"/>
      <c r="UYB6" s="11"/>
      <c r="UYC6" s="13"/>
      <c r="UYD6" s="12"/>
      <c r="UYE6" s="12"/>
      <c r="UYF6" s="11"/>
      <c r="UYG6" s="13"/>
      <c r="UYH6" s="5"/>
      <c r="UYI6" s="5"/>
      <c r="UYJ6" s="5"/>
      <c r="UYK6" s="5"/>
      <c r="UYL6" s="5"/>
      <c r="UYM6" s="5"/>
      <c r="UYN6" s="5"/>
      <c r="UYO6" s="5"/>
      <c r="UYP6" s="5"/>
      <c r="UYQ6" s="5"/>
      <c r="UYR6" s="5"/>
      <c r="UYS6" s="10"/>
      <c r="UYT6" s="11"/>
      <c r="UYU6" s="12"/>
      <c r="UYV6" s="13"/>
      <c r="UYW6" s="12"/>
      <c r="UYX6" s="11"/>
      <c r="UYY6" s="13"/>
      <c r="UYZ6" s="12"/>
      <c r="UZA6" s="12"/>
      <c r="UZB6" s="11"/>
      <c r="UZC6" s="13"/>
      <c r="UZD6" s="5"/>
      <c r="UZE6" s="5"/>
      <c r="UZF6" s="5"/>
      <c r="UZG6" s="5"/>
      <c r="UZH6" s="5"/>
      <c r="UZI6" s="5"/>
      <c r="UZJ6" s="5"/>
      <c r="UZK6" s="5"/>
      <c r="UZL6" s="5"/>
      <c r="UZM6" s="5"/>
      <c r="UZN6" s="5"/>
      <c r="UZO6" s="10"/>
      <c r="UZP6" s="11"/>
      <c r="UZQ6" s="12"/>
      <c r="UZR6" s="13"/>
      <c r="UZS6" s="12"/>
      <c r="UZT6" s="11"/>
      <c r="UZU6" s="13"/>
      <c r="UZV6" s="12"/>
      <c r="UZW6" s="12"/>
      <c r="UZX6" s="11"/>
      <c r="UZY6" s="13"/>
      <c r="UZZ6" s="5"/>
      <c r="VAA6" s="5"/>
      <c r="VAB6" s="5"/>
      <c r="VAC6" s="5"/>
      <c r="VAD6" s="5"/>
      <c r="VAE6" s="5"/>
      <c r="VAF6" s="5"/>
      <c r="VAG6" s="5"/>
      <c r="VAH6" s="5"/>
      <c r="VAI6" s="5"/>
      <c r="VAJ6" s="5"/>
      <c r="VAK6" s="10"/>
      <c r="VAL6" s="11"/>
      <c r="VAM6" s="12"/>
      <c r="VAN6" s="13"/>
      <c r="VAO6" s="12"/>
      <c r="VAP6" s="11"/>
      <c r="VAQ6" s="13"/>
      <c r="VAR6" s="12"/>
      <c r="VAS6" s="12"/>
      <c r="VAT6" s="11"/>
      <c r="VAU6" s="13"/>
      <c r="VAV6" s="5"/>
      <c r="VAW6" s="5"/>
      <c r="VAX6" s="5"/>
      <c r="VAY6" s="5"/>
      <c r="VAZ6" s="5"/>
      <c r="VBA6" s="5"/>
      <c r="VBB6" s="5"/>
      <c r="VBC6" s="5"/>
      <c r="VBD6" s="5"/>
      <c r="VBE6" s="5"/>
      <c r="VBF6" s="5"/>
      <c r="VBG6" s="10"/>
      <c r="VBH6" s="11"/>
      <c r="VBI6" s="12"/>
      <c r="VBJ6" s="13"/>
      <c r="VBK6" s="12"/>
      <c r="VBL6" s="11"/>
      <c r="VBM6" s="13"/>
      <c r="VBN6" s="12"/>
      <c r="VBO6" s="12"/>
      <c r="VBP6" s="11"/>
      <c r="VBQ6" s="13"/>
      <c r="VBR6" s="5"/>
      <c r="VBS6" s="5"/>
      <c r="VBT6" s="5"/>
      <c r="VBU6" s="5"/>
      <c r="VBV6" s="5"/>
      <c r="VBW6" s="5"/>
      <c r="VBX6" s="5"/>
      <c r="VBY6" s="5"/>
      <c r="VBZ6" s="5"/>
      <c r="VCA6" s="5"/>
      <c r="VCB6" s="5"/>
      <c r="VCC6" s="10"/>
      <c r="VCD6" s="11"/>
      <c r="VCE6" s="12"/>
      <c r="VCF6" s="13"/>
      <c r="VCG6" s="12"/>
      <c r="VCH6" s="11"/>
      <c r="VCI6" s="13"/>
      <c r="VCJ6" s="12"/>
      <c r="VCK6" s="12"/>
      <c r="VCL6" s="11"/>
      <c r="VCM6" s="13"/>
      <c r="VCN6" s="5"/>
      <c r="VCO6" s="5"/>
      <c r="VCP6" s="5"/>
      <c r="VCQ6" s="5"/>
      <c r="VCR6" s="5"/>
      <c r="VCS6" s="5"/>
      <c r="VCT6" s="5"/>
      <c r="VCU6" s="5"/>
      <c r="VCV6" s="5"/>
      <c r="VCW6" s="5"/>
      <c r="VCX6" s="5"/>
      <c r="VCY6" s="10"/>
      <c r="VCZ6" s="11"/>
      <c r="VDA6" s="12"/>
      <c r="VDB6" s="13"/>
      <c r="VDC6" s="12"/>
      <c r="VDD6" s="11"/>
      <c r="VDE6" s="13"/>
      <c r="VDF6" s="12"/>
      <c r="VDG6" s="12"/>
      <c r="VDH6" s="11"/>
      <c r="VDI6" s="13"/>
      <c r="VDJ6" s="5"/>
      <c r="VDK6" s="5"/>
      <c r="VDL6" s="5"/>
      <c r="VDM6" s="5"/>
      <c r="VDN6" s="5"/>
      <c r="VDO6" s="5"/>
      <c r="VDP6" s="5"/>
      <c r="VDQ6" s="5"/>
      <c r="VDR6" s="5"/>
      <c r="VDS6" s="5"/>
      <c r="VDT6" s="5"/>
      <c r="VDU6" s="10"/>
      <c r="VDV6" s="11"/>
      <c r="VDW6" s="12"/>
      <c r="VDX6" s="13"/>
      <c r="VDY6" s="12"/>
      <c r="VDZ6" s="11"/>
      <c r="VEA6" s="13"/>
      <c r="VEB6" s="12"/>
      <c r="VEC6" s="12"/>
      <c r="VED6" s="11"/>
      <c r="VEE6" s="13"/>
      <c r="VEF6" s="5"/>
      <c r="VEG6" s="5"/>
      <c r="VEH6" s="5"/>
      <c r="VEI6" s="5"/>
      <c r="VEJ6" s="5"/>
      <c r="VEK6" s="5"/>
      <c r="VEL6" s="5"/>
      <c r="VEM6" s="5"/>
      <c r="VEN6" s="5"/>
      <c r="VEO6" s="5"/>
      <c r="VEP6" s="5"/>
      <c r="VEQ6" s="10"/>
      <c r="VER6" s="11"/>
      <c r="VES6" s="12"/>
      <c r="VET6" s="13"/>
      <c r="VEU6" s="12"/>
      <c r="VEV6" s="11"/>
      <c r="VEW6" s="13"/>
      <c r="VEX6" s="12"/>
      <c r="VEY6" s="12"/>
      <c r="VEZ6" s="11"/>
      <c r="VFA6" s="13"/>
      <c r="VFB6" s="5"/>
      <c r="VFC6" s="5"/>
      <c r="VFD6" s="5"/>
      <c r="VFE6" s="5"/>
      <c r="VFF6" s="5"/>
      <c r="VFG6" s="5"/>
      <c r="VFH6" s="5"/>
      <c r="VFI6" s="5"/>
      <c r="VFJ6" s="5"/>
      <c r="VFK6" s="5"/>
      <c r="VFL6" s="5"/>
      <c r="VFM6" s="10"/>
      <c r="VFN6" s="11"/>
      <c r="VFO6" s="12"/>
      <c r="VFP6" s="13"/>
      <c r="VFQ6" s="12"/>
      <c r="VFR6" s="11"/>
      <c r="VFS6" s="13"/>
      <c r="VFT6" s="12"/>
      <c r="VFU6" s="12"/>
      <c r="VFV6" s="11"/>
      <c r="VFW6" s="13"/>
      <c r="VFX6" s="5"/>
      <c r="VFY6" s="5"/>
      <c r="VFZ6" s="5"/>
      <c r="VGA6" s="5"/>
      <c r="VGB6" s="5"/>
      <c r="VGC6" s="5"/>
      <c r="VGD6" s="5"/>
      <c r="VGE6" s="5"/>
      <c r="VGF6" s="5"/>
      <c r="VGG6" s="5"/>
      <c r="VGH6" s="5"/>
      <c r="VGI6" s="10"/>
      <c r="VGJ6" s="11"/>
      <c r="VGK6" s="12"/>
      <c r="VGL6" s="13"/>
      <c r="VGM6" s="12"/>
      <c r="VGN6" s="11"/>
      <c r="VGO6" s="13"/>
      <c r="VGP6" s="12"/>
      <c r="VGQ6" s="12"/>
      <c r="VGR6" s="11"/>
      <c r="VGS6" s="13"/>
      <c r="VGT6" s="5"/>
      <c r="VGU6" s="5"/>
      <c r="VGV6" s="5"/>
      <c r="VGW6" s="5"/>
      <c r="VGX6" s="5"/>
      <c r="VGY6" s="5"/>
      <c r="VGZ6" s="5"/>
      <c r="VHA6" s="5"/>
      <c r="VHB6" s="5"/>
      <c r="VHC6" s="5"/>
      <c r="VHD6" s="5"/>
      <c r="VHE6" s="10"/>
      <c r="VHF6" s="11"/>
      <c r="VHG6" s="12"/>
      <c r="VHH6" s="13"/>
      <c r="VHI6" s="12"/>
      <c r="VHJ6" s="11"/>
      <c r="VHK6" s="13"/>
      <c r="VHL6" s="12"/>
      <c r="VHM6" s="12"/>
      <c r="VHN6" s="11"/>
      <c r="VHO6" s="13"/>
      <c r="VHP6" s="5"/>
      <c r="VHQ6" s="5"/>
      <c r="VHR6" s="5"/>
      <c r="VHS6" s="5"/>
      <c r="VHT6" s="5"/>
      <c r="VHU6" s="5"/>
      <c r="VHV6" s="5"/>
      <c r="VHW6" s="5"/>
      <c r="VHX6" s="5"/>
      <c r="VHY6" s="5"/>
      <c r="VHZ6" s="5"/>
      <c r="VIA6" s="10"/>
      <c r="VIB6" s="11"/>
      <c r="VIC6" s="12"/>
      <c r="VID6" s="13"/>
      <c r="VIE6" s="12"/>
      <c r="VIF6" s="11"/>
      <c r="VIG6" s="13"/>
      <c r="VIH6" s="12"/>
      <c r="VII6" s="12"/>
      <c r="VIJ6" s="11"/>
      <c r="VIK6" s="13"/>
      <c r="VIL6" s="5"/>
      <c r="VIM6" s="5"/>
      <c r="VIN6" s="5"/>
      <c r="VIO6" s="5"/>
      <c r="VIP6" s="5"/>
      <c r="VIQ6" s="5"/>
      <c r="VIR6" s="5"/>
      <c r="VIS6" s="5"/>
      <c r="VIT6" s="5"/>
      <c r="VIU6" s="5"/>
      <c r="VIV6" s="5"/>
      <c r="VIW6" s="10"/>
      <c r="VIX6" s="11"/>
      <c r="VIY6" s="12"/>
      <c r="VIZ6" s="13"/>
      <c r="VJA6" s="12"/>
      <c r="VJB6" s="11"/>
      <c r="VJC6" s="13"/>
      <c r="VJD6" s="12"/>
      <c r="VJE6" s="12"/>
      <c r="VJF6" s="11"/>
      <c r="VJG6" s="13"/>
      <c r="VJH6" s="5"/>
      <c r="VJI6" s="5"/>
      <c r="VJJ6" s="5"/>
      <c r="VJK6" s="5"/>
      <c r="VJL6" s="5"/>
      <c r="VJM6" s="5"/>
      <c r="VJN6" s="5"/>
      <c r="VJO6" s="5"/>
      <c r="VJP6" s="5"/>
      <c r="VJQ6" s="5"/>
      <c r="VJR6" s="5"/>
      <c r="VJS6" s="10"/>
      <c r="VJT6" s="11"/>
      <c r="VJU6" s="12"/>
      <c r="VJV6" s="13"/>
      <c r="VJW6" s="12"/>
      <c r="VJX6" s="11"/>
      <c r="VJY6" s="13"/>
      <c r="VJZ6" s="12"/>
      <c r="VKA6" s="12"/>
      <c r="VKB6" s="11"/>
      <c r="VKC6" s="13"/>
      <c r="VKD6" s="5"/>
      <c r="VKE6" s="5"/>
      <c r="VKF6" s="5"/>
      <c r="VKG6" s="5"/>
      <c r="VKH6" s="5"/>
      <c r="VKI6" s="5"/>
      <c r="VKJ6" s="5"/>
      <c r="VKK6" s="5"/>
      <c r="VKL6" s="5"/>
      <c r="VKM6" s="5"/>
      <c r="VKN6" s="5"/>
      <c r="VKO6" s="10"/>
      <c r="VKP6" s="11"/>
      <c r="VKQ6" s="12"/>
      <c r="VKR6" s="13"/>
      <c r="VKS6" s="12"/>
      <c r="VKT6" s="11"/>
      <c r="VKU6" s="13"/>
      <c r="VKV6" s="12"/>
      <c r="VKW6" s="12"/>
      <c r="VKX6" s="11"/>
      <c r="VKY6" s="13"/>
      <c r="VKZ6" s="5"/>
      <c r="VLA6" s="5"/>
      <c r="VLB6" s="5"/>
      <c r="VLC6" s="5"/>
      <c r="VLD6" s="5"/>
      <c r="VLE6" s="5"/>
      <c r="VLF6" s="5"/>
      <c r="VLG6" s="5"/>
      <c r="VLH6" s="5"/>
      <c r="VLI6" s="5"/>
      <c r="VLJ6" s="5"/>
      <c r="VLK6" s="10"/>
      <c r="VLL6" s="11"/>
      <c r="VLM6" s="12"/>
      <c r="VLN6" s="13"/>
      <c r="VLO6" s="12"/>
      <c r="VLP6" s="11"/>
      <c r="VLQ6" s="13"/>
      <c r="VLR6" s="12"/>
      <c r="VLS6" s="12"/>
      <c r="VLT6" s="11"/>
      <c r="VLU6" s="13"/>
      <c r="VLV6" s="5"/>
      <c r="VLW6" s="5"/>
      <c r="VLX6" s="5"/>
      <c r="VLY6" s="5"/>
      <c r="VLZ6" s="5"/>
      <c r="VMA6" s="5"/>
      <c r="VMB6" s="5"/>
      <c r="VMC6" s="5"/>
      <c r="VMD6" s="5"/>
      <c r="VME6" s="5"/>
      <c r="VMF6" s="5"/>
      <c r="VMG6" s="10"/>
      <c r="VMH6" s="11"/>
      <c r="VMI6" s="12"/>
      <c r="VMJ6" s="13"/>
      <c r="VMK6" s="12"/>
      <c r="VML6" s="11"/>
      <c r="VMM6" s="13"/>
      <c r="VMN6" s="12"/>
      <c r="VMO6" s="12"/>
      <c r="VMP6" s="11"/>
      <c r="VMQ6" s="13"/>
      <c r="VMR6" s="5"/>
      <c r="VMS6" s="5"/>
      <c r="VMT6" s="5"/>
      <c r="VMU6" s="5"/>
      <c r="VMV6" s="5"/>
      <c r="VMW6" s="5"/>
      <c r="VMX6" s="5"/>
      <c r="VMY6" s="5"/>
      <c r="VMZ6" s="5"/>
      <c r="VNA6" s="5"/>
      <c r="VNB6" s="5"/>
      <c r="VNC6" s="10"/>
      <c r="VND6" s="11"/>
      <c r="VNE6" s="12"/>
      <c r="VNF6" s="13"/>
      <c r="VNG6" s="12"/>
      <c r="VNH6" s="11"/>
      <c r="VNI6" s="13"/>
      <c r="VNJ6" s="12"/>
      <c r="VNK6" s="12"/>
      <c r="VNL6" s="11"/>
      <c r="VNM6" s="13"/>
      <c r="VNN6" s="5"/>
      <c r="VNO6" s="5"/>
      <c r="VNP6" s="5"/>
      <c r="VNQ6" s="5"/>
      <c r="VNR6" s="5"/>
      <c r="VNS6" s="5"/>
      <c r="VNT6" s="5"/>
      <c r="VNU6" s="5"/>
      <c r="VNV6" s="5"/>
      <c r="VNW6" s="5"/>
      <c r="VNX6" s="5"/>
      <c r="VNY6" s="10"/>
      <c r="VNZ6" s="11"/>
      <c r="VOA6" s="12"/>
      <c r="VOB6" s="13"/>
      <c r="VOC6" s="12"/>
      <c r="VOD6" s="11"/>
      <c r="VOE6" s="13"/>
      <c r="VOF6" s="12"/>
      <c r="VOG6" s="12"/>
      <c r="VOH6" s="11"/>
      <c r="VOI6" s="13"/>
      <c r="VOJ6" s="5"/>
      <c r="VOK6" s="5"/>
      <c r="VOL6" s="5"/>
      <c r="VOM6" s="5"/>
      <c r="VON6" s="5"/>
      <c r="VOO6" s="5"/>
      <c r="VOP6" s="5"/>
      <c r="VOQ6" s="5"/>
      <c r="VOR6" s="5"/>
      <c r="VOS6" s="5"/>
      <c r="VOT6" s="5"/>
      <c r="VOU6" s="10"/>
      <c r="VOV6" s="11"/>
      <c r="VOW6" s="12"/>
      <c r="VOX6" s="13"/>
      <c r="VOY6" s="12"/>
      <c r="VOZ6" s="11"/>
      <c r="VPA6" s="13"/>
      <c r="VPB6" s="12"/>
      <c r="VPC6" s="12"/>
      <c r="VPD6" s="11"/>
      <c r="VPE6" s="13"/>
      <c r="VPF6" s="5"/>
      <c r="VPG6" s="5"/>
      <c r="VPH6" s="5"/>
      <c r="VPI6" s="5"/>
      <c r="VPJ6" s="5"/>
      <c r="VPK6" s="5"/>
      <c r="VPL6" s="5"/>
      <c r="VPM6" s="5"/>
      <c r="VPN6" s="5"/>
      <c r="VPO6" s="5"/>
      <c r="VPP6" s="5"/>
      <c r="VPQ6" s="10"/>
      <c r="VPR6" s="11"/>
      <c r="VPS6" s="12"/>
      <c r="VPT6" s="13"/>
      <c r="VPU6" s="12"/>
      <c r="VPV6" s="11"/>
      <c r="VPW6" s="13"/>
      <c r="VPX6" s="12"/>
      <c r="VPY6" s="12"/>
      <c r="VPZ6" s="11"/>
      <c r="VQA6" s="13"/>
      <c r="VQB6" s="5"/>
      <c r="VQC6" s="5"/>
      <c r="VQD6" s="5"/>
      <c r="VQE6" s="5"/>
      <c r="VQF6" s="5"/>
      <c r="VQG6" s="5"/>
      <c r="VQH6" s="5"/>
      <c r="VQI6" s="5"/>
      <c r="VQJ6" s="5"/>
      <c r="VQK6" s="5"/>
      <c r="VQL6" s="5"/>
      <c r="VQM6" s="10"/>
      <c r="VQN6" s="11"/>
      <c r="VQO6" s="12"/>
      <c r="VQP6" s="13"/>
      <c r="VQQ6" s="12"/>
      <c r="VQR6" s="11"/>
      <c r="VQS6" s="13"/>
      <c r="VQT6" s="12"/>
      <c r="VQU6" s="12"/>
      <c r="VQV6" s="11"/>
      <c r="VQW6" s="13"/>
      <c r="VQX6" s="5"/>
      <c r="VQY6" s="5"/>
      <c r="VQZ6" s="5"/>
      <c r="VRA6" s="5"/>
      <c r="VRB6" s="5"/>
      <c r="VRC6" s="5"/>
      <c r="VRD6" s="5"/>
      <c r="VRE6" s="5"/>
      <c r="VRF6" s="5"/>
      <c r="VRG6" s="5"/>
      <c r="VRH6" s="5"/>
      <c r="VRI6" s="10"/>
      <c r="VRJ6" s="11"/>
      <c r="VRK6" s="12"/>
      <c r="VRL6" s="13"/>
      <c r="VRM6" s="12"/>
      <c r="VRN6" s="11"/>
      <c r="VRO6" s="13"/>
      <c r="VRP6" s="12"/>
      <c r="VRQ6" s="12"/>
      <c r="VRR6" s="11"/>
      <c r="VRS6" s="13"/>
      <c r="VRT6" s="5"/>
      <c r="VRU6" s="5"/>
      <c r="VRV6" s="5"/>
      <c r="VRW6" s="5"/>
      <c r="VRX6" s="5"/>
      <c r="VRY6" s="5"/>
      <c r="VRZ6" s="5"/>
      <c r="VSA6" s="5"/>
      <c r="VSB6" s="5"/>
      <c r="VSC6" s="5"/>
      <c r="VSD6" s="5"/>
      <c r="VSE6" s="10"/>
      <c r="VSF6" s="11"/>
      <c r="VSG6" s="12"/>
      <c r="VSH6" s="13"/>
      <c r="VSI6" s="12"/>
      <c r="VSJ6" s="11"/>
      <c r="VSK6" s="13"/>
      <c r="VSL6" s="12"/>
      <c r="VSM6" s="12"/>
      <c r="VSN6" s="11"/>
      <c r="VSO6" s="13"/>
      <c r="VSP6" s="5"/>
      <c r="VSQ6" s="5"/>
      <c r="VSR6" s="5"/>
      <c r="VSS6" s="5"/>
      <c r="VST6" s="5"/>
      <c r="VSU6" s="5"/>
      <c r="VSV6" s="5"/>
      <c r="VSW6" s="5"/>
      <c r="VSX6" s="5"/>
      <c r="VSY6" s="5"/>
      <c r="VSZ6" s="5"/>
      <c r="VTA6" s="10"/>
      <c r="VTB6" s="11"/>
      <c r="VTC6" s="12"/>
      <c r="VTD6" s="13"/>
      <c r="VTE6" s="12"/>
      <c r="VTF6" s="11"/>
      <c r="VTG6" s="13"/>
      <c r="VTH6" s="12"/>
      <c r="VTI6" s="12"/>
      <c r="VTJ6" s="11"/>
      <c r="VTK6" s="13"/>
      <c r="VTL6" s="5"/>
      <c r="VTM6" s="5"/>
      <c r="VTN6" s="5"/>
      <c r="VTO6" s="5"/>
      <c r="VTP6" s="5"/>
      <c r="VTQ6" s="5"/>
      <c r="VTR6" s="5"/>
      <c r="VTS6" s="5"/>
      <c r="VTT6" s="5"/>
      <c r="VTU6" s="5"/>
      <c r="VTV6" s="5"/>
      <c r="VTW6" s="10"/>
      <c r="VTX6" s="11"/>
      <c r="VTY6" s="12"/>
      <c r="VTZ6" s="13"/>
      <c r="VUA6" s="12"/>
      <c r="VUB6" s="11"/>
      <c r="VUC6" s="13"/>
      <c r="VUD6" s="12"/>
      <c r="VUE6" s="12"/>
      <c r="VUF6" s="11"/>
      <c r="VUG6" s="13"/>
      <c r="VUH6" s="5"/>
      <c r="VUI6" s="5"/>
      <c r="VUJ6" s="5"/>
      <c r="VUK6" s="5"/>
      <c r="VUL6" s="5"/>
      <c r="VUM6" s="5"/>
      <c r="VUN6" s="5"/>
      <c r="VUO6" s="5"/>
      <c r="VUP6" s="5"/>
      <c r="VUQ6" s="5"/>
      <c r="VUR6" s="5"/>
      <c r="VUS6" s="10"/>
      <c r="VUT6" s="11"/>
      <c r="VUU6" s="12"/>
      <c r="VUV6" s="13"/>
      <c r="VUW6" s="12"/>
      <c r="VUX6" s="11"/>
      <c r="VUY6" s="13"/>
      <c r="VUZ6" s="12"/>
      <c r="VVA6" s="12"/>
      <c r="VVB6" s="11"/>
      <c r="VVC6" s="13"/>
      <c r="VVD6" s="5"/>
      <c r="VVE6" s="5"/>
      <c r="VVF6" s="5"/>
      <c r="VVG6" s="5"/>
      <c r="VVH6" s="5"/>
      <c r="VVI6" s="5"/>
      <c r="VVJ6" s="5"/>
      <c r="VVK6" s="5"/>
      <c r="VVL6" s="5"/>
      <c r="VVM6" s="5"/>
      <c r="VVN6" s="5"/>
      <c r="VVO6" s="10"/>
      <c r="VVP6" s="11"/>
      <c r="VVQ6" s="12"/>
      <c r="VVR6" s="13"/>
      <c r="VVS6" s="12"/>
      <c r="VVT6" s="11"/>
      <c r="VVU6" s="13"/>
      <c r="VVV6" s="12"/>
      <c r="VVW6" s="12"/>
      <c r="VVX6" s="11"/>
      <c r="VVY6" s="13"/>
      <c r="VVZ6" s="5"/>
      <c r="VWA6" s="5"/>
      <c r="VWB6" s="5"/>
      <c r="VWC6" s="5"/>
      <c r="VWD6" s="5"/>
      <c r="VWE6" s="5"/>
      <c r="VWF6" s="5"/>
      <c r="VWG6" s="5"/>
      <c r="VWH6" s="5"/>
      <c r="VWI6" s="5"/>
      <c r="VWJ6" s="5"/>
      <c r="VWK6" s="10"/>
      <c r="VWL6" s="11"/>
      <c r="VWM6" s="12"/>
      <c r="VWN6" s="13"/>
      <c r="VWO6" s="12"/>
      <c r="VWP6" s="11"/>
      <c r="VWQ6" s="13"/>
      <c r="VWR6" s="12"/>
      <c r="VWS6" s="12"/>
      <c r="VWT6" s="11"/>
      <c r="VWU6" s="13"/>
      <c r="VWV6" s="5"/>
      <c r="VWW6" s="5"/>
      <c r="VWX6" s="5"/>
      <c r="VWY6" s="5"/>
      <c r="VWZ6" s="5"/>
      <c r="VXA6" s="5"/>
      <c r="VXB6" s="5"/>
      <c r="VXC6" s="5"/>
      <c r="VXD6" s="5"/>
      <c r="VXE6" s="5"/>
      <c r="VXF6" s="5"/>
      <c r="VXG6" s="10"/>
      <c r="VXH6" s="11"/>
      <c r="VXI6" s="12"/>
      <c r="VXJ6" s="13"/>
      <c r="VXK6" s="12"/>
      <c r="VXL6" s="11"/>
      <c r="VXM6" s="13"/>
      <c r="VXN6" s="12"/>
      <c r="VXO6" s="12"/>
      <c r="VXP6" s="11"/>
      <c r="VXQ6" s="13"/>
      <c r="VXR6" s="5"/>
      <c r="VXS6" s="5"/>
      <c r="VXT6" s="5"/>
      <c r="VXU6" s="5"/>
      <c r="VXV6" s="5"/>
      <c r="VXW6" s="5"/>
      <c r="VXX6" s="5"/>
      <c r="VXY6" s="5"/>
      <c r="VXZ6" s="5"/>
      <c r="VYA6" s="5"/>
      <c r="VYB6" s="5"/>
      <c r="VYC6" s="10"/>
      <c r="VYD6" s="11"/>
      <c r="VYE6" s="12"/>
      <c r="VYF6" s="13"/>
      <c r="VYG6" s="12"/>
      <c r="VYH6" s="11"/>
      <c r="VYI6" s="13"/>
      <c r="VYJ6" s="12"/>
      <c r="VYK6" s="12"/>
      <c r="VYL6" s="11"/>
      <c r="VYM6" s="13"/>
      <c r="VYN6" s="5"/>
      <c r="VYO6" s="5"/>
      <c r="VYP6" s="5"/>
      <c r="VYQ6" s="5"/>
      <c r="VYR6" s="5"/>
      <c r="VYS6" s="5"/>
      <c r="VYT6" s="5"/>
      <c r="VYU6" s="5"/>
      <c r="VYV6" s="5"/>
      <c r="VYW6" s="5"/>
      <c r="VYX6" s="5"/>
      <c r="VYY6" s="10"/>
      <c r="VYZ6" s="11"/>
      <c r="VZA6" s="12"/>
      <c r="VZB6" s="13"/>
      <c r="VZC6" s="12"/>
      <c r="VZD6" s="11"/>
      <c r="VZE6" s="13"/>
      <c r="VZF6" s="12"/>
      <c r="VZG6" s="12"/>
      <c r="VZH6" s="11"/>
      <c r="VZI6" s="13"/>
      <c r="VZJ6" s="5"/>
      <c r="VZK6" s="5"/>
      <c r="VZL6" s="5"/>
      <c r="VZM6" s="5"/>
      <c r="VZN6" s="5"/>
      <c r="VZO6" s="5"/>
      <c r="VZP6" s="5"/>
      <c r="VZQ6" s="5"/>
      <c r="VZR6" s="5"/>
      <c r="VZS6" s="5"/>
      <c r="VZT6" s="5"/>
      <c r="VZU6" s="10"/>
      <c r="VZV6" s="11"/>
      <c r="VZW6" s="12"/>
      <c r="VZX6" s="13"/>
      <c r="VZY6" s="12"/>
      <c r="VZZ6" s="11"/>
      <c r="WAA6" s="13"/>
      <c r="WAB6" s="12"/>
      <c r="WAC6" s="12"/>
      <c r="WAD6" s="11"/>
      <c r="WAE6" s="13"/>
      <c r="WAF6" s="5"/>
      <c r="WAG6" s="5"/>
      <c r="WAH6" s="5"/>
      <c r="WAI6" s="5"/>
      <c r="WAJ6" s="5"/>
      <c r="WAK6" s="5"/>
      <c r="WAL6" s="5"/>
      <c r="WAM6" s="5"/>
      <c r="WAN6" s="5"/>
      <c r="WAO6" s="5"/>
      <c r="WAP6" s="5"/>
      <c r="WAQ6" s="10"/>
      <c r="WAR6" s="11"/>
      <c r="WAS6" s="12"/>
      <c r="WAT6" s="13"/>
      <c r="WAU6" s="12"/>
      <c r="WAV6" s="11"/>
      <c r="WAW6" s="13"/>
      <c r="WAX6" s="12"/>
      <c r="WAY6" s="12"/>
      <c r="WAZ6" s="11"/>
      <c r="WBA6" s="13"/>
      <c r="WBB6" s="5"/>
      <c r="WBC6" s="5"/>
      <c r="WBD6" s="5"/>
      <c r="WBE6" s="5"/>
      <c r="WBF6" s="5"/>
      <c r="WBG6" s="5"/>
      <c r="WBH6" s="5"/>
      <c r="WBI6" s="5"/>
      <c r="WBJ6" s="5"/>
      <c r="WBK6" s="5"/>
      <c r="WBL6" s="5"/>
      <c r="WBM6" s="10"/>
      <c r="WBN6" s="11"/>
      <c r="WBO6" s="12"/>
      <c r="WBP6" s="13"/>
      <c r="WBQ6" s="12"/>
      <c r="WBR6" s="11"/>
      <c r="WBS6" s="13"/>
      <c r="WBT6" s="12"/>
      <c r="WBU6" s="12"/>
      <c r="WBV6" s="11"/>
      <c r="WBW6" s="13"/>
      <c r="WBX6" s="5"/>
      <c r="WBY6" s="5"/>
      <c r="WBZ6" s="5"/>
      <c r="WCA6" s="5"/>
      <c r="WCB6" s="5"/>
      <c r="WCC6" s="5"/>
      <c r="WCD6" s="5"/>
      <c r="WCE6" s="5"/>
      <c r="WCF6" s="5"/>
      <c r="WCG6" s="5"/>
      <c r="WCH6" s="5"/>
      <c r="WCI6" s="10"/>
      <c r="WCJ6" s="11"/>
      <c r="WCK6" s="12"/>
      <c r="WCL6" s="13"/>
      <c r="WCM6" s="12"/>
      <c r="WCN6" s="11"/>
      <c r="WCO6" s="13"/>
      <c r="WCP6" s="12"/>
      <c r="WCQ6" s="12"/>
      <c r="WCR6" s="11"/>
      <c r="WCS6" s="13"/>
      <c r="WCT6" s="5"/>
      <c r="WCU6" s="5"/>
      <c r="WCV6" s="5"/>
      <c r="WCW6" s="5"/>
      <c r="WCX6" s="5"/>
      <c r="WCY6" s="5"/>
      <c r="WCZ6" s="5"/>
      <c r="WDA6" s="5"/>
      <c r="WDB6" s="5"/>
      <c r="WDC6" s="5"/>
      <c r="WDD6" s="5"/>
      <c r="WDE6" s="10"/>
      <c r="WDF6" s="11"/>
      <c r="WDG6" s="12"/>
      <c r="WDH6" s="13"/>
      <c r="WDI6" s="12"/>
      <c r="WDJ6" s="11"/>
      <c r="WDK6" s="13"/>
      <c r="WDL6" s="12"/>
      <c r="WDM6" s="12"/>
      <c r="WDN6" s="11"/>
      <c r="WDO6" s="13"/>
      <c r="WDP6" s="5"/>
      <c r="WDQ6" s="5"/>
      <c r="WDR6" s="5"/>
      <c r="WDS6" s="5"/>
      <c r="WDT6" s="5"/>
      <c r="WDU6" s="5"/>
      <c r="WDV6" s="5"/>
      <c r="WDW6" s="5"/>
      <c r="WDX6" s="5"/>
      <c r="WDY6" s="5"/>
      <c r="WDZ6" s="5"/>
      <c r="WEA6" s="10"/>
      <c r="WEB6" s="11"/>
      <c r="WEC6" s="12"/>
      <c r="WED6" s="13"/>
      <c r="WEE6" s="12"/>
      <c r="WEF6" s="11"/>
      <c r="WEG6" s="13"/>
      <c r="WEH6" s="12"/>
      <c r="WEI6" s="12"/>
      <c r="WEJ6" s="11"/>
      <c r="WEK6" s="13"/>
      <c r="WEL6" s="5"/>
      <c r="WEM6" s="5"/>
      <c r="WEN6" s="5"/>
      <c r="WEO6" s="5"/>
      <c r="WEP6" s="5"/>
      <c r="WEQ6" s="5"/>
      <c r="WER6" s="5"/>
      <c r="WES6" s="5"/>
      <c r="WET6" s="5"/>
      <c r="WEU6" s="5"/>
      <c r="WEV6" s="5"/>
      <c r="WEW6" s="10"/>
      <c r="WEX6" s="11"/>
      <c r="WEY6" s="12"/>
      <c r="WEZ6" s="13"/>
      <c r="WFA6" s="12"/>
      <c r="WFB6" s="11"/>
      <c r="WFC6" s="13"/>
      <c r="WFD6" s="12"/>
      <c r="WFE6" s="12"/>
      <c r="WFF6" s="11"/>
      <c r="WFG6" s="13"/>
      <c r="WFH6" s="5"/>
      <c r="WFI6" s="5"/>
      <c r="WFJ6" s="5"/>
      <c r="WFK6" s="5"/>
      <c r="WFL6" s="5"/>
      <c r="WFM6" s="5"/>
      <c r="WFN6" s="5"/>
      <c r="WFO6" s="5"/>
      <c r="WFP6" s="5"/>
      <c r="WFQ6" s="5"/>
      <c r="WFR6" s="5"/>
      <c r="WFS6" s="10"/>
      <c r="WFT6" s="11"/>
      <c r="WFU6" s="12"/>
      <c r="WFV6" s="13"/>
      <c r="WFW6" s="12"/>
      <c r="WFX6" s="11"/>
      <c r="WFY6" s="13"/>
      <c r="WFZ6" s="12"/>
      <c r="WGA6" s="12"/>
      <c r="WGB6" s="11"/>
      <c r="WGC6" s="13"/>
      <c r="WGD6" s="5"/>
      <c r="WGE6" s="5"/>
      <c r="WGF6" s="5"/>
      <c r="WGG6" s="5"/>
      <c r="WGH6" s="5"/>
      <c r="WGI6" s="5"/>
      <c r="WGJ6" s="5"/>
      <c r="WGK6" s="5"/>
      <c r="WGL6" s="5"/>
      <c r="WGM6" s="5"/>
      <c r="WGN6" s="5"/>
      <c r="WGO6" s="10"/>
      <c r="WGP6" s="11"/>
      <c r="WGQ6" s="12"/>
      <c r="WGR6" s="13"/>
      <c r="WGS6" s="12"/>
      <c r="WGT6" s="11"/>
      <c r="WGU6" s="13"/>
      <c r="WGV6" s="12"/>
      <c r="WGW6" s="12"/>
      <c r="WGX6" s="11"/>
      <c r="WGY6" s="13"/>
      <c r="WGZ6" s="5"/>
      <c r="WHA6" s="5"/>
      <c r="WHB6" s="5"/>
      <c r="WHC6" s="5"/>
      <c r="WHD6" s="5"/>
      <c r="WHE6" s="5"/>
      <c r="WHF6" s="5"/>
      <c r="WHG6" s="5"/>
      <c r="WHH6" s="5"/>
      <c r="WHI6" s="5"/>
      <c r="WHJ6" s="5"/>
      <c r="WHK6" s="10"/>
      <c r="WHL6" s="11"/>
      <c r="WHM6" s="12"/>
      <c r="WHN6" s="13"/>
      <c r="WHO6" s="12"/>
      <c r="WHP6" s="11"/>
      <c r="WHQ6" s="13"/>
      <c r="WHR6" s="12"/>
      <c r="WHS6" s="12"/>
      <c r="WHT6" s="11"/>
      <c r="WHU6" s="13"/>
      <c r="WHV6" s="5"/>
      <c r="WHW6" s="5"/>
      <c r="WHX6" s="5"/>
      <c r="WHY6" s="5"/>
      <c r="WHZ6" s="5"/>
      <c r="WIA6" s="5"/>
      <c r="WIB6" s="5"/>
      <c r="WIC6" s="5"/>
      <c r="WID6" s="5"/>
      <c r="WIE6" s="5"/>
      <c r="WIF6" s="5"/>
      <c r="WIG6" s="10"/>
      <c r="WIH6" s="11"/>
      <c r="WII6" s="12"/>
      <c r="WIJ6" s="13"/>
      <c r="WIK6" s="12"/>
      <c r="WIL6" s="11"/>
      <c r="WIM6" s="13"/>
      <c r="WIN6" s="12"/>
      <c r="WIO6" s="12"/>
      <c r="WIP6" s="11"/>
      <c r="WIQ6" s="13"/>
      <c r="WIR6" s="5"/>
      <c r="WIS6" s="5"/>
      <c r="WIT6" s="5"/>
      <c r="WIU6" s="5"/>
      <c r="WIV6" s="5"/>
      <c r="WIW6" s="5"/>
      <c r="WIX6" s="5"/>
      <c r="WIY6" s="5"/>
      <c r="WIZ6" s="5"/>
      <c r="WJA6" s="5"/>
      <c r="WJB6" s="5"/>
      <c r="WJC6" s="10"/>
      <c r="WJD6" s="11"/>
      <c r="WJE6" s="12"/>
      <c r="WJF6" s="13"/>
      <c r="WJG6" s="12"/>
      <c r="WJH6" s="11"/>
      <c r="WJI6" s="13"/>
      <c r="WJJ6" s="12"/>
      <c r="WJK6" s="12"/>
      <c r="WJL6" s="11"/>
      <c r="WJM6" s="13"/>
      <c r="WJN6" s="5"/>
      <c r="WJO6" s="5"/>
      <c r="WJP6" s="5"/>
      <c r="WJQ6" s="5"/>
      <c r="WJR6" s="5"/>
      <c r="WJS6" s="5"/>
      <c r="WJT6" s="5"/>
      <c r="WJU6" s="5"/>
      <c r="WJV6" s="5"/>
      <c r="WJW6" s="5"/>
      <c r="WJX6" s="5"/>
      <c r="WJY6" s="10"/>
      <c r="WJZ6" s="11"/>
      <c r="WKA6" s="12"/>
      <c r="WKB6" s="13"/>
      <c r="WKC6" s="12"/>
      <c r="WKD6" s="11"/>
      <c r="WKE6" s="13"/>
      <c r="WKF6" s="12"/>
      <c r="WKG6" s="12"/>
      <c r="WKH6" s="11"/>
      <c r="WKI6" s="13"/>
      <c r="WKJ6" s="5"/>
      <c r="WKK6" s="5"/>
      <c r="WKL6" s="5"/>
      <c r="WKM6" s="5"/>
      <c r="WKN6" s="5"/>
      <c r="WKO6" s="5"/>
      <c r="WKP6" s="5"/>
      <c r="WKQ6" s="5"/>
      <c r="WKR6" s="5"/>
      <c r="WKS6" s="5"/>
      <c r="WKT6" s="5"/>
      <c r="WKU6" s="10"/>
      <c r="WKV6" s="11"/>
      <c r="WKW6" s="12"/>
      <c r="WKX6" s="13"/>
      <c r="WKY6" s="12"/>
      <c r="WKZ6" s="11"/>
      <c r="WLA6" s="13"/>
      <c r="WLB6" s="12"/>
      <c r="WLC6" s="12"/>
      <c r="WLD6" s="11"/>
      <c r="WLE6" s="13"/>
      <c r="WLF6" s="5"/>
      <c r="WLG6" s="5"/>
      <c r="WLH6" s="5"/>
      <c r="WLI6" s="5"/>
      <c r="WLJ6" s="5"/>
      <c r="WLK6" s="5"/>
      <c r="WLL6" s="5"/>
      <c r="WLM6" s="5"/>
      <c r="WLN6" s="5"/>
      <c r="WLO6" s="5"/>
      <c r="WLP6" s="5"/>
      <c r="WLQ6" s="10"/>
      <c r="WLR6" s="11"/>
      <c r="WLS6" s="12"/>
      <c r="WLT6" s="13"/>
      <c r="WLU6" s="12"/>
      <c r="WLV6" s="11"/>
      <c r="WLW6" s="13"/>
      <c r="WLX6" s="12"/>
      <c r="WLY6" s="12"/>
      <c r="WLZ6" s="11"/>
      <c r="WMA6" s="13"/>
      <c r="WMB6" s="5"/>
      <c r="WMC6" s="5"/>
      <c r="WMD6" s="5"/>
      <c r="WME6" s="5"/>
      <c r="WMF6" s="5"/>
      <c r="WMG6" s="5"/>
      <c r="WMH6" s="5"/>
      <c r="WMI6" s="5"/>
      <c r="WMJ6" s="5"/>
      <c r="WMK6" s="5"/>
      <c r="WML6" s="5"/>
      <c r="WMM6" s="10"/>
      <c r="WMN6" s="11"/>
      <c r="WMO6" s="12"/>
      <c r="WMP6" s="13"/>
      <c r="WMQ6" s="12"/>
      <c r="WMR6" s="11"/>
      <c r="WMS6" s="13"/>
      <c r="WMT6" s="12"/>
      <c r="WMU6" s="12"/>
      <c r="WMV6" s="11"/>
      <c r="WMW6" s="13"/>
      <c r="WMX6" s="5"/>
      <c r="WMY6" s="5"/>
      <c r="WMZ6" s="5"/>
      <c r="WNA6" s="5"/>
      <c r="WNB6" s="5"/>
      <c r="WNC6" s="5"/>
      <c r="WND6" s="5"/>
      <c r="WNE6" s="5"/>
      <c r="WNF6" s="5"/>
      <c r="WNG6" s="5"/>
      <c r="WNH6" s="5"/>
      <c r="WNI6" s="10"/>
      <c r="WNJ6" s="11"/>
      <c r="WNK6" s="12"/>
      <c r="WNL6" s="13"/>
      <c r="WNM6" s="12"/>
      <c r="WNN6" s="11"/>
      <c r="WNO6" s="13"/>
      <c r="WNP6" s="12"/>
      <c r="WNQ6" s="12"/>
      <c r="WNR6" s="11"/>
      <c r="WNS6" s="13"/>
      <c r="WNT6" s="5"/>
      <c r="WNU6" s="5"/>
      <c r="WNV6" s="5"/>
      <c r="WNW6" s="5"/>
      <c r="WNX6" s="5"/>
      <c r="WNY6" s="5"/>
      <c r="WNZ6" s="5"/>
      <c r="WOA6" s="5"/>
      <c r="WOB6" s="5"/>
      <c r="WOC6" s="5"/>
      <c r="WOD6" s="5"/>
      <c r="WOE6" s="10"/>
      <c r="WOF6" s="11"/>
      <c r="WOG6" s="12"/>
      <c r="WOH6" s="13"/>
      <c r="WOI6" s="12"/>
      <c r="WOJ6" s="11"/>
      <c r="WOK6" s="13"/>
      <c r="WOL6" s="12"/>
      <c r="WOM6" s="12"/>
      <c r="WON6" s="11"/>
      <c r="WOO6" s="13"/>
      <c r="WOP6" s="5"/>
      <c r="WOQ6" s="5"/>
      <c r="WOR6" s="5"/>
      <c r="WOS6" s="5"/>
      <c r="WOT6" s="5"/>
      <c r="WOU6" s="5"/>
      <c r="WOV6" s="5"/>
      <c r="WOW6" s="5"/>
      <c r="WOX6" s="5"/>
      <c r="WOY6" s="5"/>
      <c r="WOZ6" s="5"/>
      <c r="WPA6" s="10"/>
      <c r="WPB6" s="11"/>
      <c r="WPC6" s="12"/>
      <c r="WPD6" s="13"/>
      <c r="WPE6" s="12"/>
      <c r="WPF6" s="11"/>
      <c r="WPG6" s="13"/>
      <c r="WPH6" s="12"/>
      <c r="WPI6" s="12"/>
      <c r="WPJ6" s="11"/>
      <c r="WPK6" s="13"/>
      <c r="WPL6" s="5"/>
      <c r="WPM6" s="5"/>
      <c r="WPN6" s="5"/>
      <c r="WPO6" s="5"/>
      <c r="WPP6" s="5"/>
      <c r="WPQ6" s="5"/>
      <c r="WPR6" s="5"/>
      <c r="WPS6" s="5"/>
      <c r="WPT6" s="5"/>
      <c r="WPU6" s="5"/>
      <c r="WPV6" s="5"/>
      <c r="WPW6" s="10"/>
      <c r="WPX6" s="11"/>
      <c r="WPY6" s="12"/>
      <c r="WPZ6" s="13"/>
      <c r="WQA6" s="12"/>
      <c r="WQB6" s="11"/>
      <c r="WQC6" s="13"/>
      <c r="WQD6" s="12"/>
      <c r="WQE6" s="12"/>
      <c r="WQF6" s="11"/>
      <c r="WQG6" s="13"/>
      <c r="WQH6" s="5"/>
      <c r="WQI6" s="5"/>
      <c r="WQJ6" s="5"/>
      <c r="WQK6" s="5"/>
      <c r="WQL6" s="5"/>
      <c r="WQM6" s="5"/>
      <c r="WQN6" s="5"/>
      <c r="WQO6" s="5"/>
      <c r="WQP6" s="5"/>
      <c r="WQQ6" s="5"/>
      <c r="WQR6" s="5"/>
      <c r="WQS6" s="10"/>
      <c r="WQT6" s="11"/>
      <c r="WQU6" s="12"/>
      <c r="WQV6" s="13"/>
      <c r="WQW6" s="12"/>
      <c r="WQX6" s="11"/>
      <c r="WQY6" s="13"/>
      <c r="WQZ6" s="12"/>
      <c r="WRA6" s="12"/>
      <c r="WRB6" s="11"/>
      <c r="WRC6" s="13"/>
      <c r="WRD6" s="5"/>
      <c r="WRE6" s="5"/>
      <c r="WRF6" s="5"/>
      <c r="WRG6" s="5"/>
      <c r="WRH6" s="5"/>
      <c r="WRI6" s="5"/>
      <c r="WRJ6" s="5"/>
      <c r="WRK6" s="5"/>
      <c r="WRL6" s="5"/>
      <c r="WRM6" s="5"/>
      <c r="WRN6" s="5"/>
      <c r="WRO6" s="10"/>
      <c r="WRP6" s="11"/>
      <c r="WRQ6" s="12"/>
      <c r="WRR6" s="13"/>
      <c r="WRS6" s="12"/>
      <c r="WRT6" s="11"/>
      <c r="WRU6" s="13"/>
      <c r="WRV6" s="12"/>
      <c r="WRW6" s="12"/>
      <c r="WRX6" s="11"/>
      <c r="WRY6" s="13"/>
      <c r="WRZ6" s="5"/>
      <c r="WSA6" s="5"/>
      <c r="WSB6" s="5"/>
      <c r="WSC6" s="5"/>
      <c r="WSD6" s="5"/>
      <c r="WSE6" s="5"/>
      <c r="WSF6" s="5"/>
      <c r="WSG6" s="5"/>
      <c r="WSH6" s="5"/>
      <c r="WSI6" s="5"/>
      <c r="WSJ6" s="5"/>
      <c r="WSK6" s="10"/>
      <c r="WSL6" s="11"/>
      <c r="WSM6" s="12"/>
      <c r="WSN6" s="13"/>
      <c r="WSO6" s="12"/>
      <c r="WSP6" s="11"/>
      <c r="WSQ6" s="13"/>
      <c r="WSR6" s="12"/>
      <c r="WSS6" s="12"/>
      <c r="WST6" s="11"/>
      <c r="WSU6" s="13"/>
      <c r="WSV6" s="5"/>
      <c r="WSW6" s="5"/>
      <c r="WSX6" s="5"/>
      <c r="WSY6" s="5"/>
      <c r="WSZ6" s="5"/>
      <c r="WTA6" s="5"/>
      <c r="WTB6" s="5"/>
      <c r="WTC6" s="5"/>
      <c r="WTD6" s="5"/>
      <c r="WTE6" s="5"/>
      <c r="WTF6" s="5"/>
      <c r="WTG6" s="10"/>
      <c r="WTH6" s="11"/>
      <c r="WTI6" s="12"/>
      <c r="WTJ6" s="13"/>
      <c r="WTK6" s="12"/>
      <c r="WTL6" s="11"/>
      <c r="WTM6" s="13"/>
      <c r="WTN6" s="12"/>
      <c r="WTO6" s="12"/>
      <c r="WTP6" s="11"/>
      <c r="WTQ6" s="13"/>
      <c r="WTR6" s="5"/>
      <c r="WTS6" s="5"/>
      <c r="WTT6" s="5"/>
      <c r="WTU6" s="5"/>
      <c r="WTV6" s="5"/>
      <c r="WTW6" s="5"/>
      <c r="WTX6" s="5"/>
      <c r="WTY6" s="5"/>
      <c r="WTZ6" s="5"/>
      <c r="WUA6" s="5"/>
      <c r="WUB6" s="5"/>
      <c r="WUC6" s="10"/>
      <c r="WUD6" s="11"/>
      <c r="WUE6" s="12"/>
      <c r="WUF6" s="13"/>
      <c r="WUG6" s="12"/>
      <c r="WUH6" s="11"/>
      <c r="WUI6" s="13"/>
      <c r="WUJ6" s="12"/>
      <c r="WUK6" s="12"/>
      <c r="WUL6" s="11"/>
      <c r="WUM6" s="13"/>
      <c r="WUN6" s="5"/>
      <c r="WUO6" s="5"/>
      <c r="WUP6" s="5"/>
      <c r="WUQ6" s="5"/>
      <c r="WUR6" s="5"/>
      <c r="WUS6" s="5"/>
      <c r="WUT6" s="5"/>
      <c r="WUU6" s="5"/>
      <c r="WUV6" s="5"/>
      <c r="WUW6" s="5"/>
      <c r="WUX6" s="5"/>
      <c r="WUY6" s="10"/>
      <c r="WUZ6" s="11"/>
      <c r="WVA6" s="12"/>
      <c r="WVB6" s="13"/>
      <c r="WVC6" s="12"/>
      <c r="WVD6" s="11"/>
      <c r="WVE6" s="13"/>
      <c r="WVF6" s="12"/>
      <c r="WVG6" s="12"/>
      <c r="WVH6" s="11"/>
      <c r="WVI6" s="13"/>
      <c r="WVJ6" s="5"/>
      <c r="WVK6" s="5"/>
      <c r="WVL6" s="5"/>
      <c r="WVM6" s="5"/>
      <c r="WVN6" s="5"/>
      <c r="WVO6" s="5"/>
      <c r="WVP6" s="5"/>
      <c r="WVQ6" s="5"/>
      <c r="WVR6" s="5"/>
      <c r="WVS6" s="5"/>
      <c r="WVT6" s="5"/>
      <c r="WVU6" s="10"/>
      <c r="WVV6" s="11"/>
      <c r="WVW6" s="12"/>
      <c r="WVX6" s="13"/>
      <c r="WVY6" s="12"/>
      <c r="WVZ6" s="11"/>
      <c r="WWA6" s="13"/>
      <c r="WWB6" s="12"/>
      <c r="WWC6" s="12"/>
      <c r="WWD6" s="11"/>
      <c r="WWE6" s="13"/>
      <c r="WWF6" s="5"/>
      <c r="WWG6" s="5"/>
      <c r="WWH6" s="5"/>
      <c r="WWI6" s="5"/>
      <c r="WWJ6" s="5"/>
      <c r="WWK6" s="5"/>
      <c r="WWL6" s="5"/>
      <c r="WWM6" s="5"/>
      <c r="WWN6" s="5"/>
      <c r="WWO6" s="5"/>
      <c r="WWP6" s="5"/>
      <c r="WWQ6" s="10"/>
      <c r="WWR6" s="11"/>
      <c r="WWS6" s="12"/>
      <c r="WWT6" s="13"/>
      <c r="WWU6" s="12"/>
      <c r="WWV6" s="11"/>
      <c r="WWW6" s="13"/>
      <c r="WWX6" s="12"/>
      <c r="WWY6" s="12"/>
      <c r="WWZ6" s="11"/>
      <c r="WXA6" s="13"/>
      <c r="WXB6" s="5"/>
      <c r="WXC6" s="5"/>
      <c r="WXD6" s="5"/>
      <c r="WXE6" s="5"/>
      <c r="WXF6" s="5"/>
      <c r="WXG6" s="5"/>
      <c r="WXH6" s="5"/>
      <c r="WXI6" s="5"/>
      <c r="WXJ6" s="5"/>
      <c r="WXK6" s="5"/>
      <c r="WXL6" s="5"/>
      <c r="WXM6" s="10"/>
      <c r="WXN6" s="11"/>
      <c r="WXO6" s="12"/>
      <c r="WXP6" s="13"/>
      <c r="WXQ6" s="12"/>
      <c r="WXR6" s="11"/>
      <c r="WXS6" s="13"/>
      <c r="WXT6" s="12"/>
      <c r="WXU6" s="12"/>
      <c r="WXV6" s="11"/>
      <c r="WXW6" s="13"/>
      <c r="WXX6" s="5"/>
      <c r="WXY6" s="5"/>
      <c r="WXZ6" s="5"/>
      <c r="WYA6" s="5"/>
      <c r="WYB6" s="5"/>
      <c r="WYC6" s="5"/>
      <c r="WYD6" s="5"/>
      <c r="WYE6" s="5"/>
      <c r="WYF6" s="5"/>
      <c r="WYG6" s="5"/>
      <c r="WYH6" s="5"/>
      <c r="WYI6" s="10"/>
      <c r="WYJ6" s="11"/>
      <c r="WYK6" s="12"/>
      <c r="WYL6" s="13"/>
      <c r="WYM6" s="12"/>
      <c r="WYN6" s="11"/>
      <c r="WYO6" s="13"/>
      <c r="WYP6" s="12"/>
      <c r="WYQ6" s="12"/>
      <c r="WYR6" s="11"/>
      <c r="WYS6" s="13"/>
      <c r="WYT6" s="5"/>
      <c r="WYU6" s="5"/>
      <c r="WYV6" s="5"/>
      <c r="WYW6" s="5"/>
      <c r="WYX6" s="5"/>
      <c r="WYY6" s="5"/>
      <c r="WYZ6" s="5"/>
      <c r="WZA6" s="5"/>
      <c r="WZB6" s="5"/>
      <c r="WZC6" s="5"/>
      <c r="WZD6" s="5"/>
      <c r="WZE6" s="10"/>
      <c r="WZF6" s="11"/>
      <c r="WZG6" s="12"/>
      <c r="WZH6" s="13"/>
      <c r="WZI6" s="12"/>
      <c r="WZJ6" s="11"/>
      <c r="WZK6" s="13"/>
      <c r="WZL6" s="12"/>
      <c r="WZM6" s="12"/>
      <c r="WZN6" s="11"/>
      <c r="WZO6" s="13"/>
      <c r="WZP6" s="5"/>
      <c r="WZQ6" s="5"/>
      <c r="WZR6" s="5"/>
      <c r="WZS6" s="5"/>
      <c r="WZT6" s="5"/>
      <c r="WZU6" s="5"/>
      <c r="WZV6" s="5"/>
      <c r="WZW6" s="5"/>
      <c r="WZX6" s="5"/>
      <c r="WZY6" s="5"/>
      <c r="WZZ6" s="5"/>
      <c r="XAA6" s="10"/>
      <c r="XAB6" s="11"/>
      <c r="XAC6" s="12"/>
      <c r="XAD6" s="13"/>
      <c r="XAE6" s="12"/>
      <c r="XAF6" s="11"/>
      <c r="XAG6" s="13"/>
      <c r="XAH6" s="12"/>
      <c r="XAI6" s="12"/>
      <c r="XAJ6" s="11"/>
      <c r="XAK6" s="13"/>
      <c r="XAL6" s="5"/>
      <c r="XAM6" s="5"/>
      <c r="XAN6" s="5"/>
      <c r="XAO6" s="5"/>
      <c r="XAP6" s="5"/>
      <c r="XAQ6" s="5"/>
      <c r="XAR6" s="5"/>
      <c r="XAS6" s="5"/>
      <c r="XAT6" s="5"/>
      <c r="XAU6" s="5"/>
      <c r="XAV6" s="5"/>
      <c r="XAW6" s="10"/>
      <c r="XAX6" s="11"/>
      <c r="XAY6" s="12"/>
      <c r="XAZ6" s="13"/>
      <c r="XBA6" s="12"/>
      <c r="XBB6" s="11"/>
      <c r="XBC6" s="13"/>
      <c r="XBD6" s="12"/>
      <c r="XBE6" s="12"/>
      <c r="XBF6" s="11"/>
      <c r="XBG6" s="13"/>
      <c r="XBH6" s="5"/>
      <c r="XBI6" s="5"/>
      <c r="XBJ6" s="5"/>
      <c r="XBK6" s="5"/>
      <c r="XBL6" s="5"/>
      <c r="XBM6" s="5"/>
      <c r="XBN6" s="5"/>
      <c r="XBO6" s="5"/>
      <c r="XBP6" s="5"/>
      <c r="XBQ6" s="5"/>
      <c r="XBR6" s="5"/>
      <c r="XBS6" s="10"/>
      <c r="XBT6" s="11"/>
      <c r="XBU6" s="12"/>
      <c r="XBV6" s="13"/>
      <c r="XBW6" s="12"/>
      <c r="XBX6" s="11"/>
      <c r="XBY6" s="13"/>
      <c r="XBZ6" s="12"/>
      <c r="XCA6" s="12"/>
      <c r="XCB6" s="11"/>
      <c r="XCC6" s="13"/>
      <c r="XCD6" s="5"/>
      <c r="XCE6" s="5"/>
      <c r="XCF6" s="5"/>
      <c r="XCG6" s="5"/>
      <c r="XCH6" s="5"/>
      <c r="XCI6" s="5"/>
      <c r="XCJ6" s="5"/>
      <c r="XCK6" s="5"/>
      <c r="XCL6" s="5"/>
      <c r="XCM6" s="5"/>
      <c r="XCN6" s="5"/>
      <c r="XCO6" s="10"/>
      <c r="XCP6" s="11"/>
      <c r="XCQ6" s="12"/>
      <c r="XCR6" s="13"/>
      <c r="XCS6" s="12"/>
      <c r="XCT6" s="11"/>
      <c r="XCU6" s="13"/>
      <c r="XCV6" s="12"/>
      <c r="XCW6" s="12"/>
      <c r="XCX6" s="11"/>
      <c r="XCY6" s="13"/>
      <c r="XCZ6" s="5"/>
      <c r="XDA6" s="5"/>
      <c r="XDB6" s="5"/>
      <c r="XDC6" s="5"/>
      <c r="XDD6" s="5"/>
      <c r="XDE6" s="5"/>
      <c r="XDF6" s="5"/>
      <c r="XDG6" s="5"/>
      <c r="XDH6" s="5"/>
      <c r="XDI6" s="5"/>
      <c r="XDJ6" s="5"/>
      <c r="XDK6" s="10"/>
      <c r="XDL6" s="11"/>
      <c r="XDM6" s="12"/>
      <c r="XDN6" s="13"/>
      <c r="XDO6" s="12"/>
      <c r="XDP6" s="11"/>
      <c r="XDQ6" s="13"/>
      <c r="XDR6" s="12"/>
      <c r="XDS6" s="12"/>
      <c r="XDT6" s="11"/>
      <c r="XDU6" s="13"/>
      <c r="XDV6" s="5"/>
      <c r="XDW6" s="5"/>
      <c r="XDX6" s="5"/>
      <c r="XDY6" s="5"/>
      <c r="XDZ6" s="5"/>
      <c r="XEA6" s="5"/>
      <c r="XEB6" s="5"/>
      <c r="XEC6" s="5"/>
      <c r="XED6" s="5"/>
      <c r="XEE6" s="5"/>
      <c r="XEF6" s="5"/>
      <c r="XEG6" s="10"/>
      <c r="XEH6" s="11"/>
      <c r="XEI6" s="12"/>
      <c r="XEJ6" s="13"/>
      <c r="XEK6" s="12"/>
      <c r="XEL6" s="11"/>
      <c r="XEM6" s="13"/>
      <c r="XEN6" s="12"/>
      <c r="XEO6" s="12"/>
      <c r="XEP6" s="11"/>
      <c r="XEQ6" s="13"/>
      <c r="XER6" s="5"/>
      <c r="XES6" s="5"/>
      <c r="XET6" s="5"/>
      <c r="XEU6" s="5"/>
      <c r="XEV6" s="5"/>
      <c r="XEW6" s="5"/>
      <c r="XEX6" s="5"/>
      <c r="XEY6" s="5"/>
      <c r="XEZ6" s="5"/>
    </row>
    <row r="7" spans="2:16380">
      <c r="B7" s="15" t="s">
        <v>776</v>
      </c>
      <c r="C7" s="15" t="s">
        <v>777</v>
      </c>
      <c r="D7" s="15" t="s">
        <v>777</v>
      </c>
      <c r="E7" s="16">
        <v>40680</v>
      </c>
      <c r="F7" s="19">
        <v>40622</v>
      </c>
      <c r="G7" s="18"/>
      <c r="H7" s="16">
        <v>40806</v>
      </c>
      <c r="I7" s="16">
        <v>44094</v>
      </c>
      <c r="J7" s="17">
        <v>1.1000000000000001E-2</v>
      </c>
      <c r="K7" s="16">
        <v>44275</v>
      </c>
      <c r="L7" s="20" t="str">
        <f ca="1">_xll.meLWOBondCreateFromGeneratorLVB(C7,$L$4,_xll.meUtilityLVBFromKeysValues($C$6:$K$6,C7:K7))</f>
        <v>JP1103141B54:1</v>
      </c>
      <c r="M7" s="92">
        <f ca="1">_xll.BDP($B7,$M$5)</f>
        <v>-0.11899999999999304</v>
      </c>
      <c r="N7" s="37">
        <f ca="1">_xll.meLWOBondCleanPrice($L7,$C$4,$M7%)</f>
        <v>102.95749217548831</v>
      </c>
      <c r="O7" s="37">
        <f ca="1">_xll.meLWOBondDirtyPrice($L7,$C$4,$M7%)</f>
        <v>102.75000000000001</v>
      </c>
      <c r="P7" s="87">
        <f ca="1">_xll.meLWOBondYield($L7,$C$4,N7)</f>
        <v>-1.1899999999987062E-3</v>
      </c>
      <c r="Q7" s="89">
        <f ca="1">_xll.meLWOBondModifiedDuration($L7,$C$4,$M7%)</f>
        <v>2.3924140919241408</v>
      </c>
      <c r="R7" s="23">
        <f ca="1">_xll.meLWOBondDV01($L7,$C$4,$M7%)</f>
        <v>245.8205479452055</v>
      </c>
      <c r="S7" s="85">
        <f ca="1">M7</f>
        <v>-0.11899999999999304</v>
      </c>
      <c r="T7" s="22" t="str">
        <f ca="1">_xll.BDP($B7,T$6, "YAS_BOND_SPL_YLD="&amp;S7,"YAS_YLD_CONV=2")</f>
        <v>#N/A Requesting Data...</v>
      </c>
      <c r="U7" s="23">
        <f ca="1">N7</f>
        <v>102.95749217548831</v>
      </c>
      <c r="V7" s="23">
        <f t="shared" ref="V7:V70" ca="1" si="0">TRUNC(U7,3)</f>
        <v>102.95699999999999</v>
      </c>
      <c r="W7" s="24" t="e">
        <f t="shared" ref="W7:W70" ca="1" si="1">ABS(V7-T7)</f>
        <v>#VALUE!</v>
      </c>
      <c r="X7" s="23">
        <f ca="1">_xll.meLWOBondDV01($L7,$C$4,$S7%)</f>
        <v>245.8205479452055</v>
      </c>
      <c r="Y7" s="22" t="e">
        <f ca="1">_xll.BDP($B7,Y$6, "YLD_YTM_ASK="&amp;$S7,"YAS_YLD_CONV=3")*$Y$3*0.0001</f>
        <v>#VALUE!</v>
      </c>
      <c r="Z7" s="24" t="e">
        <f ca="1">ABS(Y7-X7)</f>
        <v>#VALUE!</v>
      </c>
      <c r="AA7" s="23">
        <f ca="1">_xll.meLWOBondModifiedDuration($L7,$C$4,$S7%)</f>
        <v>2.3924140919241408</v>
      </c>
      <c r="AB7" s="22" t="str">
        <f ca="1">_xll.BDP($B7,AB$6, "YLD_YTM_ASK="&amp;$S7,"YAS_YLD_CONV=3")</f>
        <v>#N/A Requesting Data...</v>
      </c>
      <c r="AC7" s="24" t="e">
        <f t="shared" ref="AC7:AC70" ca="1" si="2">ABS(AB7-AA7)</f>
        <v>#VALUE!</v>
      </c>
      <c r="AD7" s="23">
        <f ca="1">_xll.meLWOBondDV01Numerical($L7,$C$4,$S7%, 0.5, "CENTRAL")</f>
        <v>249.79161771753414</v>
      </c>
      <c r="AE7" s="63" t="str">
        <f ca="1">_xll.BDP($B7,AE$6, "YAS_BOND_PX="&amp;T7)</f>
        <v>#N/A Invalid Override</v>
      </c>
      <c r="AF7" s="64" t="e">
        <f ca="1">_xll.meLWOBondCompoundYield(L7,$C$4,T7)*100</f>
        <v>#VALUE!</v>
      </c>
      <c r="AG7" s="65" t="e">
        <f t="shared" ref="AG7:AG70" ca="1" si="3">TRUNC(AF7, 3)</f>
        <v>#VALUE!</v>
      </c>
      <c r="AH7" s="35" t="e">
        <f t="shared" ref="AH7:AH70" ca="1" si="4">ABS(AG7-AE7)*10000</f>
        <v>#VALUE!</v>
      </c>
      <c r="AI7" s="63" t="str">
        <f ca="1">_xll.BDP($B7,AI$6, "PX_ASK="&amp;T7)</f>
        <v>#N/A Invalid Override</v>
      </c>
      <c r="AJ7" s="35" t="e">
        <f t="shared" ref="AJ7:AJ70" ca="1" si="5">ABS(AI7-AF7)*10000</f>
        <v>#VALUE!</v>
      </c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  <c r="AAA7" s="5"/>
      <c r="AAB7" s="5"/>
      <c r="AAC7" s="5"/>
      <c r="AAD7" s="5"/>
      <c r="AAE7" s="5"/>
      <c r="AAF7" s="5"/>
      <c r="AAG7" s="5"/>
      <c r="AAH7" s="5"/>
      <c r="AAI7" s="5"/>
      <c r="AAJ7" s="5"/>
      <c r="AAK7" s="5"/>
      <c r="AAL7" s="5"/>
      <c r="AAM7" s="5"/>
      <c r="AAN7" s="5"/>
      <c r="AAO7" s="5"/>
      <c r="AAP7" s="5"/>
      <c r="AAQ7" s="5"/>
      <c r="AAR7" s="5"/>
      <c r="AAS7" s="5"/>
      <c r="AAT7" s="5"/>
      <c r="AAU7" s="5"/>
      <c r="AAV7" s="5"/>
      <c r="AAW7" s="5"/>
      <c r="AAX7" s="5"/>
      <c r="AAY7" s="5"/>
      <c r="AAZ7" s="5"/>
      <c r="ABA7" s="5"/>
      <c r="ABB7" s="5"/>
      <c r="ABC7" s="5"/>
      <c r="ABD7" s="5"/>
      <c r="ABE7" s="5"/>
      <c r="ABF7" s="5"/>
      <c r="ABG7" s="5"/>
      <c r="ABH7" s="5"/>
      <c r="ABI7" s="5"/>
      <c r="ABJ7" s="5"/>
      <c r="ABK7" s="5"/>
      <c r="ABL7" s="5"/>
      <c r="ABM7" s="5"/>
      <c r="ABN7" s="5"/>
      <c r="ABO7" s="5"/>
      <c r="ABP7" s="5"/>
      <c r="ABQ7" s="5"/>
      <c r="ABR7" s="5"/>
      <c r="ABS7" s="5"/>
      <c r="ABT7" s="5"/>
      <c r="ABU7" s="5"/>
      <c r="ABV7" s="5"/>
      <c r="ABW7" s="5"/>
      <c r="ABX7" s="5"/>
      <c r="ABY7" s="5"/>
      <c r="ABZ7" s="5"/>
      <c r="ACA7" s="5"/>
      <c r="ACB7" s="5"/>
      <c r="ACC7" s="5"/>
      <c r="ACD7" s="5"/>
      <c r="ACE7" s="5"/>
      <c r="ACF7" s="5"/>
      <c r="ACG7" s="5"/>
      <c r="ACH7" s="5"/>
      <c r="ACI7" s="5"/>
      <c r="ACJ7" s="5"/>
      <c r="ACK7" s="5"/>
      <c r="ACL7" s="5"/>
      <c r="ACM7" s="5"/>
      <c r="ACN7" s="5"/>
      <c r="ACO7" s="5"/>
      <c r="ACP7" s="5"/>
      <c r="ACQ7" s="5"/>
      <c r="ACR7" s="5"/>
      <c r="ACS7" s="5"/>
      <c r="ACT7" s="5"/>
      <c r="ACU7" s="5"/>
      <c r="ACV7" s="5"/>
      <c r="ACW7" s="5"/>
      <c r="ACX7" s="5"/>
      <c r="ACY7" s="5"/>
      <c r="ACZ7" s="5"/>
      <c r="ADA7" s="5"/>
      <c r="ADB7" s="5"/>
      <c r="ADC7" s="5"/>
      <c r="ADD7" s="5"/>
      <c r="ADE7" s="5"/>
      <c r="ADF7" s="5"/>
      <c r="ADG7" s="5"/>
      <c r="ADH7" s="5"/>
      <c r="ADI7" s="5"/>
      <c r="ADJ7" s="5"/>
      <c r="ADK7" s="5"/>
      <c r="ADL7" s="5"/>
      <c r="ADM7" s="5"/>
      <c r="ADN7" s="5"/>
      <c r="ADO7" s="5"/>
      <c r="ADP7" s="5"/>
      <c r="ADQ7" s="5"/>
      <c r="ADR7" s="5"/>
      <c r="ADS7" s="5"/>
      <c r="ADT7" s="5"/>
      <c r="ADU7" s="5"/>
      <c r="ADV7" s="5"/>
      <c r="ADW7" s="5"/>
      <c r="ADX7" s="5"/>
      <c r="ADY7" s="5"/>
      <c r="ADZ7" s="5"/>
      <c r="AEA7" s="5"/>
      <c r="AEB7" s="5"/>
      <c r="AEC7" s="5"/>
      <c r="AED7" s="5"/>
      <c r="AEE7" s="5"/>
      <c r="AEF7" s="5"/>
      <c r="AEG7" s="5"/>
      <c r="AEH7" s="5"/>
      <c r="AEI7" s="5"/>
      <c r="AEJ7" s="5"/>
      <c r="AEK7" s="5"/>
      <c r="AEL7" s="5"/>
      <c r="AEM7" s="5"/>
      <c r="AEN7" s="5"/>
      <c r="AEO7" s="5"/>
      <c r="AEP7" s="5"/>
      <c r="AEQ7" s="5"/>
      <c r="AER7" s="5"/>
      <c r="AES7" s="5"/>
      <c r="AET7" s="5"/>
      <c r="AEU7" s="5"/>
      <c r="AEV7" s="5"/>
      <c r="AEW7" s="5"/>
      <c r="AEX7" s="5"/>
      <c r="AEY7" s="5"/>
      <c r="AEZ7" s="5"/>
      <c r="AFA7" s="5"/>
      <c r="AFB7" s="5"/>
      <c r="AFC7" s="5"/>
      <c r="AFD7" s="5"/>
      <c r="AFE7" s="5"/>
      <c r="AFF7" s="5"/>
      <c r="AFG7" s="5"/>
      <c r="AFH7" s="5"/>
      <c r="AFI7" s="5"/>
      <c r="AFJ7" s="5"/>
      <c r="AFK7" s="5"/>
      <c r="AFL7" s="5"/>
      <c r="AFM7" s="5"/>
      <c r="AFN7" s="5"/>
      <c r="AFO7" s="5"/>
      <c r="AFP7" s="5"/>
      <c r="AFQ7" s="5"/>
      <c r="AFR7" s="5"/>
      <c r="AFS7" s="5"/>
      <c r="AFT7" s="5"/>
      <c r="AFU7" s="5"/>
      <c r="AFV7" s="5"/>
      <c r="AFW7" s="5"/>
      <c r="AFX7" s="5"/>
      <c r="AFY7" s="5"/>
      <c r="AFZ7" s="5"/>
      <c r="AGA7" s="5"/>
      <c r="AGB7" s="5"/>
      <c r="AGC7" s="5"/>
      <c r="AGD7" s="5"/>
      <c r="AGE7" s="5"/>
      <c r="AGF7" s="5"/>
      <c r="AGG7" s="5"/>
      <c r="AGH7" s="5"/>
      <c r="AGI7" s="5"/>
      <c r="AGJ7" s="5"/>
      <c r="AGK7" s="5"/>
      <c r="AGL7" s="5"/>
      <c r="AGM7" s="5"/>
      <c r="AGN7" s="5"/>
      <c r="AGO7" s="5"/>
      <c r="AGP7" s="5"/>
      <c r="AGQ7" s="5"/>
      <c r="AGR7" s="5"/>
      <c r="AGS7" s="5"/>
      <c r="AGT7" s="5"/>
      <c r="AGU7" s="5"/>
      <c r="AGV7" s="5"/>
      <c r="AGW7" s="5"/>
      <c r="AGX7" s="5"/>
      <c r="AGY7" s="5"/>
      <c r="AGZ7" s="5"/>
      <c r="AHA7" s="5"/>
      <c r="AHB7" s="5"/>
      <c r="AHC7" s="5"/>
      <c r="AHD7" s="5"/>
      <c r="AHE7" s="5"/>
      <c r="AHF7" s="5"/>
      <c r="AHG7" s="5"/>
      <c r="AHH7" s="5"/>
      <c r="AHI7" s="5"/>
      <c r="AHJ7" s="5"/>
      <c r="AHK7" s="5"/>
      <c r="AHL7" s="5"/>
      <c r="AHM7" s="5"/>
      <c r="AHN7" s="5"/>
      <c r="AHO7" s="5"/>
      <c r="AHP7" s="5"/>
      <c r="AHQ7" s="5"/>
      <c r="AHR7" s="5"/>
      <c r="AHS7" s="5"/>
      <c r="AHT7" s="5"/>
      <c r="AHU7" s="5"/>
      <c r="AHV7" s="5"/>
      <c r="AHW7" s="5"/>
      <c r="AHX7" s="5"/>
      <c r="AHY7" s="5"/>
      <c r="AHZ7" s="5"/>
      <c r="AIA7" s="5"/>
      <c r="AIB7" s="5"/>
      <c r="AIC7" s="5"/>
      <c r="AID7" s="5"/>
      <c r="AIE7" s="5"/>
      <c r="AIF7" s="5"/>
      <c r="AIG7" s="5"/>
      <c r="AIH7" s="5"/>
      <c r="AII7" s="5"/>
      <c r="AIJ7" s="5"/>
      <c r="AIK7" s="5"/>
      <c r="AIL7" s="5"/>
      <c r="AIM7" s="5"/>
      <c r="AIN7" s="5"/>
      <c r="AIO7" s="5"/>
      <c r="AIP7" s="5"/>
      <c r="AIQ7" s="5"/>
      <c r="AIR7" s="5"/>
      <c r="AIS7" s="5"/>
      <c r="AIT7" s="5"/>
      <c r="AIU7" s="5"/>
      <c r="AIV7" s="5"/>
      <c r="AIW7" s="5"/>
      <c r="AIX7" s="5"/>
      <c r="AIY7" s="5"/>
      <c r="AIZ7" s="5"/>
      <c r="AJA7" s="5"/>
      <c r="AJB7" s="5"/>
      <c r="AJC7" s="5"/>
      <c r="AJD7" s="5"/>
      <c r="AJE7" s="5"/>
      <c r="AJF7" s="5"/>
      <c r="AJG7" s="5"/>
      <c r="AJH7" s="5"/>
      <c r="AJI7" s="5"/>
      <c r="AJJ7" s="5"/>
      <c r="AJK7" s="5"/>
      <c r="AJL7" s="5"/>
      <c r="AJM7" s="5"/>
      <c r="AJN7" s="5"/>
      <c r="AJO7" s="5"/>
      <c r="AJP7" s="5"/>
      <c r="AJQ7" s="5"/>
      <c r="AJR7" s="5"/>
      <c r="AJS7" s="5"/>
      <c r="AJT7" s="5"/>
      <c r="AJU7" s="5"/>
      <c r="AJV7" s="5"/>
      <c r="AJW7" s="5"/>
      <c r="AJX7" s="5"/>
      <c r="AJY7" s="5"/>
      <c r="AJZ7" s="5"/>
      <c r="AKA7" s="5"/>
      <c r="AKB7" s="5"/>
      <c r="AKC7" s="5"/>
      <c r="AKD7" s="5"/>
      <c r="AKE7" s="5"/>
      <c r="AKF7" s="5"/>
      <c r="AKG7" s="5"/>
      <c r="AKH7" s="5"/>
      <c r="AKI7" s="5"/>
      <c r="AKJ7" s="5"/>
      <c r="AKK7" s="5"/>
      <c r="AKL7" s="5"/>
      <c r="AKM7" s="5"/>
      <c r="AKN7" s="5"/>
      <c r="AKO7" s="5"/>
      <c r="AKP7" s="5"/>
      <c r="AKQ7" s="5"/>
      <c r="AKR7" s="5"/>
      <c r="AKS7" s="5"/>
      <c r="AKT7" s="5"/>
      <c r="AKU7" s="5"/>
      <c r="AKV7" s="5"/>
      <c r="AKW7" s="5"/>
      <c r="AKX7" s="5"/>
      <c r="AKY7" s="5"/>
      <c r="AKZ7" s="5"/>
      <c r="ALA7" s="5"/>
      <c r="ALB7" s="5"/>
      <c r="ALC7" s="5"/>
      <c r="ALD7" s="5"/>
      <c r="ALE7" s="5"/>
      <c r="ALF7" s="5"/>
      <c r="ALG7" s="5"/>
      <c r="ALH7" s="5"/>
      <c r="ALI7" s="5"/>
      <c r="ALJ7" s="5"/>
      <c r="ALK7" s="5"/>
      <c r="ALL7" s="5"/>
      <c r="ALM7" s="5"/>
      <c r="ALN7" s="5"/>
      <c r="ALO7" s="5"/>
      <c r="ALP7" s="5"/>
      <c r="ALQ7" s="5"/>
      <c r="ALR7" s="5"/>
      <c r="ALS7" s="5"/>
      <c r="ALT7" s="5"/>
      <c r="ALU7" s="5"/>
      <c r="ALV7" s="5"/>
      <c r="ALW7" s="5"/>
      <c r="ALX7" s="5"/>
      <c r="ALY7" s="5"/>
      <c r="ALZ7" s="5"/>
      <c r="AMA7" s="5"/>
      <c r="AMB7" s="5"/>
      <c r="AMC7" s="5"/>
      <c r="AMD7" s="5"/>
      <c r="AME7" s="5"/>
      <c r="AMF7" s="5"/>
      <c r="AMG7" s="5"/>
      <c r="AMH7" s="5"/>
      <c r="AMI7" s="5"/>
      <c r="AMJ7" s="5"/>
      <c r="AMK7" s="5"/>
      <c r="AML7" s="5"/>
      <c r="AMM7" s="5"/>
      <c r="AMN7" s="5"/>
      <c r="AMO7" s="5"/>
      <c r="AMP7" s="5"/>
      <c r="AMQ7" s="5"/>
      <c r="AMR7" s="5"/>
      <c r="AMS7" s="5"/>
      <c r="AMT7" s="5"/>
      <c r="AMU7" s="5"/>
      <c r="AMV7" s="5"/>
      <c r="AMW7" s="5"/>
      <c r="AMX7" s="5"/>
      <c r="AMY7" s="5"/>
      <c r="AMZ7" s="5"/>
      <c r="ANA7" s="5"/>
      <c r="ANB7" s="5"/>
      <c r="ANC7" s="5"/>
      <c r="AND7" s="5"/>
      <c r="ANE7" s="5"/>
      <c r="ANF7" s="5"/>
      <c r="ANG7" s="5"/>
      <c r="ANH7" s="5"/>
      <c r="ANI7" s="5"/>
      <c r="ANJ7" s="5"/>
      <c r="ANK7" s="5"/>
      <c r="ANL7" s="5"/>
      <c r="ANM7" s="5"/>
      <c r="ANN7" s="5"/>
      <c r="ANO7" s="5"/>
      <c r="ANP7" s="5"/>
      <c r="ANQ7" s="5"/>
      <c r="ANR7" s="5"/>
      <c r="ANS7" s="5"/>
      <c r="ANT7" s="5"/>
      <c r="ANU7" s="5"/>
      <c r="ANV7" s="5"/>
      <c r="ANW7" s="5"/>
      <c r="ANX7" s="5"/>
      <c r="ANY7" s="5"/>
      <c r="ANZ7" s="5"/>
      <c r="AOA7" s="5"/>
      <c r="AOB7" s="5"/>
      <c r="AOC7" s="5"/>
      <c r="AOD7" s="5"/>
      <c r="AOE7" s="5"/>
      <c r="AOF7" s="5"/>
      <c r="AOG7" s="5"/>
      <c r="AOH7" s="5"/>
      <c r="AOI7" s="5"/>
      <c r="AOJ7" s="5"/>
      <c r="AOK7" s="5"/>
      <c r="AOL7" s="5"/>
      <c r="AOM7" s="5"/>
      <c r="AON7" s="5"/>
      <c r="AOO7" s="5"/>
      <c r="AOP7" s="5"/>
      <c r="AOQ7" s="5"/>
      <c r="AOR7" s="5"/>
      <c r="AOS7" s="5"/>
      <c r="AOT7" s="5"/>
      <c r="AOU7" s="5"/>
      <c r="AOV7" s="5"/>
      <c r="AOW7" s="5"/>
      <c r="AOX7" s="5"/>
      <c r="AOY7" s="5"/>
      <c r="AOZ7" s="5"/>
      <c r="APA7" s="5"/>
      <c r="APB7" s="5"/>
      <c r="APC7" s="5"/>
      <c r="APD7" s="5"/>
      <c r="APE7" s="5"/>
      <c r="APF7" s="5"/>
      <c r="APG7" s="5"/>
      <c r="APH7" s="5"/>
      <c r="API7" s="5"/>
      <c r="APJ7" s="5"/>
      <c r="APK7" s="5"/>
      <c r="APL7" s="5"/>
      <c r="APM7" s="5"/>
      <c r="APN7" s="5"/>
      <c r="APO7" s="5"/>
      <c r="APP7" s="5"/>
      <c r="APQ7" s="5"/>
      <c r="APR7" s="5"/>
      <c r="APS7" s="5"/>
      <c r="APT7" s="5"/>
      <c r="APU7" s="5"/>
      <c r="APV7" s="5"/>
      <c r="APW7" s="5"/>
      <c r="APX7" s="5"/>
      <c r="APY7" s="5"/>
      <c r="APZ7" s="5"/>
      <c r="AQA7" s="5"/>
      <c r="AQB7" s="5"/>
      <c r="AQC7" s="5"/>
      <c r="AQD7" s="5"/>
      <c r="AQE7" s="5"/>
      <c r="AQF7" s="5"/>
      <c r="AQG7" s="5"/>
      <c r="AQH7" s="5"/>
      <c r="AQI7" s="5"/>
      <c r="AQJ7" s="5"/>
      <c r="AQK7" s="5"/>
      <c r="AQL7" s="5"/>
      <c r="AQM7" s="5"/>
      <c r="AQN7" s="5"/>
      <c r="AQO7" s="5"/>
      <c r="AQP7" s="5"/>
      <c r="AQQ7" s="5"/>
      <c r="AQR7" s="5"/>
      <c r="AQS7" s="5"/>
      <c r="AQT7" s="5"/>
      <c r="AQU7" s="5"/>
      <c r="AQV7" s="5"/>
      <c r="AQW7" s="5"/>
      <c r="AQX7" s="5"/>
      <c r="AQY7" s="5"/>
      <c r="AQZ7" s="5"/>
      <c r="ARA7" s="5"/>
      <c r="ARB7" s="5"/>
      <c r="ARC7" s="5"/>
      <c r="ARD7" s="5"/>
      <c r="ARE7" s="5"/>
      <c r="ARF7" s="5"/>
      <c r="ARG7" s="5"/>
      <c r="ARH7" s="5"/>
      <c r="ARI7" s="5"/>
      <c r="ARJ7" s="5"/>
      <c r="ARK7" s="5"/>
      <c r="ARL7" s="5"/>
      <c r="ARM7" s="5"/>
      <c r="ARN7" s="5"/>
      <c r="ARO7" s="5"/>
      <c r="ARP7" s="5"/>
      <c r="ARQ7" s="5"/>
      <c r="ARR7" s="5"/>
      <c r="ARS7" s="5"/>
      <c r="ART7" s="5"/>
      <c r="ARU7" s="5"/>
      <c r="ARV7" s="5"/>
      <c r="ARW7" s="5"/>
      <c r="ARX7" s="5"/>
      <c r="ARY7" s="5"/>
      <c r="ARZ7" s="5"/>
      <c r="ASA7" s="5"/>
      <c r="ASB7" s="5"/>
      <c r="ASC7" s="5"/>
      <c r="ASD7" s="5"/>
      <c r="ASE7" s="5"/>
      <c r="ASF7" s="5"/>
      <c r="ASG7" s="5"/>
      <c r="ASH7" s="5"/>
      <c r="ASI7" s="5"/>
      <c r="ASJ7" s="5"/>
      <c r="ASK7" s="5"/>
      <c r="ASL7" s="5"/>
      <c r="ASM7" s="5"/>
      <c r="ASN7" s="5"/>
      <c r="ASO7" s="5"/>
      <c r="ASP7" s="5"/>
      <c r="ASQ7" s="5"/>
      <c r="ASR7" s="5"/>
      <c r="ASS7" s="5"/>
      <c r="AST7" s="5"/>
      <c r="ASU7" s="5"/>
      <c r="ASV7" s="5"/>
      <c r="ASW7" s="5"/>
      <c r="ASX7" s="5"/>
      <c r="ASY7" s="5"/>
      <c r="ASZ7" s="5"/>
      <c r="ATA7" s="5"/>
      <c r="ATB7" s="5"/>
      <c r="ATC7" s="5"/>
      <c r="ATD7" s="5"/>
      <c r="ATE7" s="5"/>
      <c r="ATF7" s="5"/>
      <c r="ATG7" s="5"/>
      <c r="ATH7" s="5"/>
      <c r="ATI7" s="5"/>
      <c r="ATJ7" s="5"/>
      <c r="ATK7" s="5"/>
      <c r="ATL7" s="5"/>
      <c r="ATM7" s="5"/>
      <c r="ATN7" s="5"/>
      <c r="ATO7" s="5"/>
      <c r="ATP7" s="5"/>
      <c r="ATQ7" s="5"/>
      <c r="ATR7" s="5"/>
      <c r="ATS7" s="5"/>
      <c r="ATT7" s="5"/>
      <c r="ATU7" s="5"/>
      <c r="ATV7" s="5"/>
      <c r="ATW7" s="5"/>
      <c r="ATX7" s="5"/>
      <c r="ATY7" s="5"/>
      <c r="ATZ7" s="5"/>
      <c r="AUA7" s="5"/>
      <c r="AUB7" s="5"/>
      <c r="AUC7" s="5"/>
      <c r="AUD7" s="5"/>
      <c r="AUE7" s="5"/>
      <c r="AUF7" s="5"/>
      <c r="AUG7" s="5"/>
      <c r="AUH7" s="5"/>
      <c r="AUI7" s="5"/>
      <c r="AUJ7" s="5"/>
      <c r="AUK7" s="5"/>
      <c r="AUL7" s="5"/>
      <c r="AUM7" s="5"/>
      <c r="AUN7" s="5"/>
      <c r="AUO7" s="5"/>
      <c r="AUP7" s="5"/>
      <c r="AUQ7" s="5"/>
      <c r="AUR7" s="5"/>
      <c r="AUS7" s="5"/>
      <c r="AUT7" s="5"/>
      <c r="AUU7" s="5"/>
      <c r="AUV7" s="5"/>
      <c r="AUW7" s="5"/>
      <c r="AUX7" s="5"/>
      <c r="AUY7" s="5"/>
      <c r="AUZ7" s="5"/>
      <c r="AVA7" s="5"/>
      <c r="AVB7" s="5"/>
      <c r="AVC7" s="5"/>
      <c r="AVD7" s="5"/>
      <c r="AVE7" s="5"/>
      <c r="AVF7" s="5"/>
      <c r="AVG7" s="5"/>
      <c r="AVH7" s="5"/>
      <c r="AVI7" s="5"/>
      <c r="AVJ7" s="5"/>
      <c r="AVK7" s="5"/>
      <c r="AVL7" s="5"/>
      <c r="AVM7" s="5"/>
      <c r="AVN7" s="5"/>
      <c r="AVO7" s="5"/>
      <c r="AVP7" s="5"/>
      <c r="AVQ7" s="5"/>
      <c r="AVR7" s="5"/>
      <c r="AVS7" s="5"/>
      <c r="AVT7" s="5"/>
      <c r="AVU7" s="5"/>
      <c r="AVV7" s="5"/>
      <c r="AVW7" s="5"/>
      <c r="AVX7" s="5"/>
      <c r="AVY7" s="5"/>
      <c r="AVZ7" s="5"/>
      <c r="AWA7" s="5"/>
      <c r="AWB7" s="5"/>
      <c r="AWC7" s="5"/>
      <c r="AWD7" s="5"/>
      <c r="AWE7" s="5"/>
      <c r="AWF7" s="5"/>
      <c r="AWG7" s="5"/>
      <c r="AWH7" s="5"/>
      <c r="AWI7" s="5"/>
      <c r="AWJ7" s="5"/>
      <c r="AWK7" s="5"/>
      <c r="AWL7" s="5"/>
      <c r="AWM7" s="5"/>
      <c r="AWN7" s="5"/>
      <c r="AWO7" s="5"/>
      <c r="AWP7" s="5"/>
      <c r="AWQ7" s="5"/>
      <c r="AWR7" s="5"/>
      <c r="AWS7" s="5"/>
      <c r="AWT7" s="5"/>
      <c r="AWU7" s="5"/>
      <c r="AWV7" s="5"/>
      <c r="AWW7" s="5"/>
      <c r="AWX7" s="5"/>
      <c r="AWY7" s="5"/>
      <c r="AWZ7" s="5"/>
      <c r="AXA7" s="5"/>
      <c r="AXB7" s="5"/>
      <c r="AXC7" s="5"/>
      <c r="AXD7" s="5"/>
      <c r="AXE7" s="5"/>
      <c r="AXF7" s="5"/>
      <c r="AXG7" s="5"/>
      <c r="AXH7" s="5"/>
      <c r="AXI7" s="5"/>
      <c r="AXJ7" s="5"/>
      <c r="AXK7" s="5"/>
      <c r="AXL7" s="5"/>
      <c r="AXM7" s="5"/>
      <c r="AXN7" s="5"/>
      <c r="AXO7" s="5"/>
      <c r="AXP7" s="5"/>
      <c r="AXQ7" s="5"/>
      <c r="AXR7" s="5"/>
      <c r="AXS7" s="5"/>
      <c r="AXT7" s="5"/>
      <c r="AXU7" s="5"/>
      <c r="AXV7" s="5"/>
      <c r="AXW7" s="5"/>
      <c r="AXX7" s="5"/>
      <c r="AXY7" s="5"/>
      <c r="AXZ7" s="5"/>
      <c r="AYA7" s="5"/>
      <c r="AYB7" s="5"/>
      <c r="AYC7" s="5"/>
      <c r="AYD7" s="5"/>
      <c r="AYE7" s="5"/>
      <c r="AYF7" s="5"/>
      <c r="AYG7" s="5"/>
      <c r="AYH7" s="5"/>
      <c r="AYI7" s="5"/>
      <c r="AYJ7" s="5"/>
      <c r="AYK7" s="5"/>
      <c r="AYL7" s="5"/>
      <c r="AYM7" s="5"/>
      <c r="AYN7" s="5"/>
      <c r="AYO7" s="5"/>
      <c r="AYP7" s="5"/>
      <c r="AYQ7" s="5"/>
      <c r="AYR7" s="5"/>
      <c r="AYS7" s="5"/>
      <c r="AYT7" s="5"/>
      <c r="AYU7" s="5"/>
      <c r="AYV7" s="5"/>
      <c r="AYW7" s="5"/>
      <c r="AYX7" s="5"/>
      <c r="AYY7" s="5"/>
      <c r="AYZ7" s="5"/>
      <c r="AZA7" s="5"/>
      <c r="AZB7" s="5"/>
      <c r="AZC7" s="5"/>
      <c r="AZD7" s="5"/>
      <c r="AZE7" s="5"/>
      <c r="AZF7" s="5"/>
      <c r="AZG7" s="5"/>
      <c r="AZH7" s="5"/>
      <c r="AZI7" s="5"/>
      <c r="AZJ7" s="5"/>
      <c r="AZK7" s="5"/>
      <c r="AZL7" s="5"/>
      <c r="AZM7" s="5"/>
      <c r="AZN7" s="5"/>
      <c r="AZO7" s="5"/>
      <c r="AZP7" s="5"/>
      <c r="AZQ7" s="5"/>
      <c r="AZR7" s="5"/>
      <c r="AZS7" s="5"/>
      <c r="AZT7" s="5"/>
      <c r="AZU7" s="5"/>
      <c r="AZV7" s="5"/>
      <c r="AZW7" s="5"/>
      <c r="AZX7" s="5"/>
      <c r="AZY7" s="5"/>
      <c r="AZZ7" s="5"/>
      <c r="BAA7" s="5"/>
      <c r="BAB7" s="5"/>
      <c r="BAC7" s="5"/>
      <c r="BAD7" s="5"/>
      <c r="BAE7" s="5"/>
      <c r="BAF7" s="5"/>
      <c r="BAG7" s="5"/>
      <c r="BAH7" s="5"/>
      <c r="BAI7" s="5"/>
      <c r="BAJ7" s="5"/>
      <c r="BAK7" s="5"/>
      <c r="BAL7" s="5"/>
      <c r="BAM7" s="5"/>
      <c r="BAN7" s="5"/>
      <c r="BAO7" s="5"/>
      <c r="BAP7" s="5"/>
      <c r="BAQ7" s="5"/>
      <c r="BAR7" s="5"/>
      <c r="BAS7" s="5"/>
      <c r="BAT7" s="5"/>
      <c r="BAU7" s="5"/>
      <c r="BAV7" s="5"/>
      <c r="BAW7" s="5"/>
      <c r="BAX7" s="5"/>
      <c r="BAY7" s="5"/>
      <c r="BAZ7" s="5"/>
      <c r="BBA7" s="5"/>
      <c r="BBB7" s="5"/>
      <c r="BBC7" s="5"/>
      <c r="BBD7" s="5"/>
      <c r="BBE7" s="5"/>
      <c r="BBF7" s="5"/>
      <c r="BBG7" s="5"/>
      <c r="BBH7" s="5"/>
      <c r="BBI7" s="5"/>
      <c r="BBJ7" s="5"/>
      <c r="BBK7" s="5"/>
      <c r="BBL7" s="5"/>
      <c r="BBM7" s="5"/>
      <c r="BBN7" s="5"/>
      <c r="BBO7" s="5"/>
      <c r="BBP7" s="5"/>
      <c r="BBQ7" s="5"/>
      <c r="BBR7" s="5"/>
      <c r="BBS7" s="5"/>
      <c r="BBT7" s="5"/>
      <c r="BBU7" s="5"/>
      <c r="BBV7" s="5"/>
      <c r="BBW7" s="5"/>
      <c r="BBX7" s="5"/>
      <c r="BBY7" s="5"/>
      <c r="BBZ7" s="5"/>
      <c r="BCA7" s="5"/>
      <c r="BCB7" s="5"/>
      <c r="BCC7" s="5"/>
      <c r="BCD7" s="5"/>
      <c r="BCE7" s="5"/>
      <c r="BCF7" s="5"/>
      <c r="BCG7" s="5"/>
      <c r="BCH7" s="5"/>
      <c r="BCI7" s="5"/>
      <c r="BCJ7" s="5"/>
      <c r="BCK7" s="5"/>
      <c r="BCL7" s="5"/>
      <c r="BCM7" s="5"/>
      <c r="BCN7" s="5"/>
      <c r="BCO7" s="5"/>
      <c r="BCP7" s="5"/>
      <c r="BCQ7" s="5"/>
      <c r="BCR7" s="5"/>
      <c r="BCS7" s="5"/>
      <c r="BCT7" s="5"/>
      <c r="BCU7" s="5"/>
      <c r="BCV7" s="5"/>
      <c r="BCW7" s="5"/>
      <c r="BCX7" s="5"/>
      <c r="BCY7" s="5"/>
      <c r="BCZ7" s="5"/>
      <c r="BDA7" s="5"/>
      <c r="BDB7" s="5"/>
      <c r="BDC7" s="5"/>
      <c r="BDD7" s="5"/>
      <c r="BDE7" s="5"/>
      <c r="BDF7" s="5"/>
      <c r="BDG7" s="5"/>
      <c r="BDH7" s="5"/>
      <c r="BDI7" s="5"/>
      <c r="BDJ7" s="5"/>
      <c r="BDK7" s="5"/>
      <c r="BDL7" s="5"/>
      <c r="BDM7" s="5"/>
      <c r="BDN7" s="5"/>
      <c r="BDO7" s="5"/>
      <c r="BDP7" s="5"/>
      <c r="BDQ7" s="5"/>
      <c r="BDR7" s="5"/>
      <c r="BDS7" s="5"/>
      <c r="BDT7" s="5"/>
      <c r="BDU7" s="5"/>
      <c r="BDV7" s="5"/>
      <c r="BDW7" s="5"/>
      <c r="BDX7" s="5"/>
      <c r="BDY7" s="5"/>
      <c r="BDZ7" s="5"/>
      <c r="BEA7" s="5"/>
      <c r="BEB7" s="5"/>
      <c r="BEC7" s="5"/>
      <c r="BED7" s="5"/>
      <c r="BEE7" s="5"/>
      <c r="BEF7" s="5"/>
      <c r="BEG7" s="5"/>
      <c r="BEH7" s="5"/>
      <c r="BEI7" s="5"/>
      <c r="BEJ7" s="5"/>
      <c r="BEK7" s="5"/>
      <c r="BEL7" s="5"/>
      <c r="BEM7" s="5"/>
      <c r="BEN7" s="5"/>
      <c r="BEO7" s="5"/>
      <c r="BEP7" s="5"/>
      <c r="BEQ7" s="5"/>
      <c r="BER7" s="5"/>
      <c r="BES7" s="5"/>
      <c r="BET7" s="5"/>
      <c r="BEU7" s="5"/>
      <c r="BEV7" s="5"/>
      <c r="BEW7" s="5"/>
      <c r="BEX7" s="5"/>
      <c r="BEY7" s="5"/>
      <c r="BEZ7" s="5"/>
      <c r="BFA7" s="5"/>
      <c r="BFB7" s="5"/>
      <c r="BFC7" s="5"/>
      <c r="BFD7" s="5"/>
      <c r="BFE7" s="5"/>
      <c r="BFF7" s="5"/>
      <c r="BFG7" s="5"/>
      <c r="BFH7" s="5"/>
      <c r="BFI7" s="5"/>
      <c r="BFJ7" s="5"/>
      <c r="BFK7" s="5"/>
      <c r="BFL7" s="5"/>
      <c r="BFM7" s="5"/>
      <c r="BFN7" s="5"/>
      <c r="BFO7" s="5"/>
      <c r="BFP7" s="5"/>
      <c r="BFQ7" s="5"/>
      <c r="BFR7" s="5"/>
      <c r="BFS7" s="5"/>
      <c r="BFT7" s="5"/>
      <c r="BFU7" s="5"/>
      <c r="BFV7" s="5"/>
      <c r="BFW7" s="5"/>
      <c r="BFX7" s="5"/>
      <c r="BFY7" s="5"/>
      <c r="BFZ7" s="5"/>
      <c r="BGA7" s="5"/>
      <c r="BGB7" s="5"/>
      <c r="BGC7" s="5"/>
      <c r="BGD7" s="5"/>
      <c r="BGE7" s="5"/>
      <c r="BGF7" s="5"/>
      <c r="BGG7" s="5"/>
      <c r="BGH7" s="5"/>
      <c r="BGI7" s="5"/>
      <c r="BGJ7" s="5"/>
      <c r="BGK7" s="5"/>
      <c r="BGL7" s="5"/>
      <c r="BGM7" s="5"/>
      <c r="BGN7" s="5"/>
      <c r="BGO7" s="5"/>
      <c r="BGP7" s="5"/>
      <c r="BGQ7" s="5"/>
      <c r="BGR7" s="5"/>
      <c r="BGS7" s="5"/>
      <c r="BGT7" s="5"/>
      <c r="BGU7" s="5"/>
      <c r="BGV7" s="5"/>
      <c r="BGW7" s="5"/>
      <c r="BGX7" s="5"/>
      <c r="BGY7" s="5"/>
      <c r="BGZ7" s="5"/>
      <c r="BHA7" s="5"/>
      <c r="BHB7" s="5"/>
      <c r="BHC7" s="5"/>
      <c r="BHD7" s="5"/>
      <c r="BHE7" s="5"/>
      <c r="BHF7" s="5"/>
      <c r="BHG7" s="5"/>
      <c r="BHH7" s="5"/>
      <c r="BHI7" s="5"/>
      <c r="BHJ7" s="5"/>
      <c r="BHK7" s="5"/>
      <c r="BHL7" s="5"/>
      <c r="BHM7" s="5"/>
      <c r="BHN7" s="5"/>
      <c r="BHO7" s="5"/>
      <c r="BHP7" s="5"/>
      <c r="BHQ7" s="5"/>
      <c r="BHR7" s="5"/>
      <c r="BHS7" s="5"/>
      <c r="BHT7" s="5"/>
      <c r="BHU7" s="5"/>
      <c r="BHV7" s="5"/>
      <c r="BHW7" s="5"/>
      <c r="BHX7" s="5"/>
      <c r="BHY7" s="5"/>
      <c r="BHZ7" s="5"/>
      <c r="BIA7" s="5"/>
      <c r="BIB7" s="5"/>
      <c r="BIC7" s="5"/>
      <c r="BID7" s="5"/>
      <c r="BIE7" s="5"/>
      <c r="BIF7" s="5"/>
      <c r="BIG7" s="5"/>
      <c r="BIH7" s="5"/>
      <c r="BII7" s="5"/>
      <c r="BIJ7" s="5"/>
      <c r="BIK7" s="5"/>
      <c r="BIL7" s="5"/>
      <c r="BIM7" s="5"/>
      <c r="BIN7" s="5"/>
      <c r="BIO7" s="5"/>
      <c r="BIP7" s="5"/>
      <c r="BIQ7" s="5"/>
      <c r="BIR7" s="5"/>
      <c r="BIS7" s="5"/>
      <c r="BIT7" s="5"/>
      <c r="BIU7" s="5"/>
      <c r="BIV7" s="5"/>
      <c r="BIW7" s="5"/>
      <c r="BIX7" s="5"/>
      <c r="BIY7" s="5"/>
      <c r="BIZ7" s="5"/>
      <c r="BJA7" s="5"/>
      <c r="BJB7" s="5"/>
      <c r="BJC7" s="5"/>
      <c r="BJD7" s="5"/>
      <c r="BJE7" s="5"/>
      <c r="BJF7" s="5"/>
      <c r="BJG7" s="5"/>
      <c r="BJH7" s="5"/>
      <c r="BJI7" s="5"/>
      <c r="BJJ7" s="5"/>
      <c r="BJK7" s="5"/>
      <c r="BJL7" s="5"/>
      <c r="BJM7" s="5"/>
      <c r="BJN7" s="5"/>
      <c r="BJO7" s="5"/>
      <c r="BJP7" s="5"/>
      <c r="BJQ7" s="5"/>
      <c r="BJR7" s="5"/>
      <c r="BJS7" s="5"/>
      <c r="BJT7" s="5"/>
      <c r="BJU7" s="5"/>
      <c r="BJV7" s="5"/>
      <c r="BJW7" s="5"/>
      <c r="BJX7" s="5"/>
      <c r="BJY7" s="5"/>
      <c r="BJZ7" s="5"/>
      <c r="BKA7" s="5"/>
      <c r="BKB7" s="5"/>
      <c r="BKC7" s="5"/>
      <c r="BKD7" s="5"/>
      <c r="BKE7" s="5"/>
      <c r="BKF7" s="5"/>
      <c r="BKG7" s="5"/>
      <c r="BKH7" s="5"/>
      <c r="BKI7" s="5"/>
      <c r="BKJ7" s="5"/>
      <c r="BKK7" s="5"/>
      <c r="BKL7" s="5"/>
      <c r="BKM7" s="5"/>
      <c r="BKN7" s="5"/>
      <c r="BKO7" s="5"/>
      <c r="BKP7" s="5"/>
      <c r="BKQ7" s="5"/>
      <c r="BKR7" s="5"/>
      <c r="BKS7" s="5"/>
      <c r="BKT7" s="5"/>
      <c r="BKU7" s="5"/>
      <c r="BKV7" s="5"/>
      <c r="BKW7" s="5"/>
      <c r="BKX7" s="5"/>
      <c r="BKY7" s="5"/>
      <c r="BKZ7" s="5"/>
      <c r="BLA7" s="5"/>
      <c r="BLB7" s="5"/>
      <c r="BLC7" s="5"/>
      <c r="BLD7" s="5"/>
      <c r="BLE7" s="5"/>
      <c r="BLF7" s="5"/>
      <c r="BLG7" s="5"/>
      <c r="BLH7" s="5"/>
      <c r="BLI7" s="5"/>
      <c r="BLJ7" s="5"/>
      <c r="BLK7" s="5"/>
      <c r="BLL7" s="5"/>
      <c r="BLM7" s="5"/>
      <c r="BLN7" s="5"/>
      <c r="BLO7" s="5"/>
      <c r="BLP7" s="5"/>
      <c r="BLQ7" s="5"/>
      <c r="BLR7" s="5"/>
      <c r="BLS7" s="5"/>
      <c r="BLT7" s="5"/>
      <c r="BLU7" s="5"/>
      <c r="BLV7" s="5"/>
      <c r="BLW7" s="5"/>
      <c r="BLX7" s="5"/>
      <c r="BLY7" s="5"/>
      <c r="BLZ7" s="5"/>
      <c r="BMA7" s="5"/>
      <c r="BMB7" s="5"/>
      <c r="BMC7" s="5"/>
      <c r="BMD7" s="5"/>
      <c r="BME7" s="5"/>
      <c r="BMF7" s="5"/>
      <c r="BMG7" s="5"/>
      <c r="BMH7" s="5"/>
      <c r="BMI7" s="5"/>
      <c r="BMJ7" s="5"/>
      <c r="BMK7" s="5"/>
      <c r="BML7" s="5"/>
      <c r="BMM7" s="5"/>
      <c r="BMN7" s="5"/>
      <c r="BMO7" s="5"/>
      <c r="BMP7" s="5"/>
      <c r="BMQ7" s="5"/>
      <c r="BMR7" s="5"/>
      <c r="BMS7" s="5"/>
      <c r="BMT7" s="5"/>
      <c r="BMU7" s="5"/>
      <c r="BMV7" s="5"/>
      <c r="BMW7" s="5"/>
      <c r="BMX7" s="5"/>
      <c r="BMY7" s="5"/>
      <c r="BMZ7" s="5"/>
      <c r="BNA7" s="5"/>
      <c r="BNB7" s="5"/>
      <c r="BNC7" s="5"/>
      <c r="BND7" s="5"/>
      <c r="BNE7" s="5"/>
      <c r="BNF7" s="5"/>
      <c r="BNG7" s="5"/>
      <c r="BNH7" s="5"/>
      <c r="BNI7" s="5"/>
      <c r="BNJ7" s="5"/>
      <c r="BNK7" s="5"/>
      <c r="BNL7" s="5"/>
      <c r="BNM7" s="5"/>
      <c r="BNN7" s="5"/>
      <c r="BNO7" s="5"/>
      <c r="BNP7" s="5"/>
      <c r="BNQ7" s="5"/>
      <c r="BNR7" s="5"/>
      <c r="BNS7" s="5"/>
      <c r="BNT7" s="5"/>
      <c r="BNU7" s="5"/>
      <c r="BNV7" s="5"/>
      <c r="BNW7" s="5"/>
      <c r="BNX7" s="5"/>
      <c r="BNY7" s="5"/>
      <c r="BNZ7" s="5"/>
      <c r="BOA7" s="5"/>
      <c r="BOB7" s="5"/>
      <c r="BOC7" s="5"/>
      <c r="BOD7" s="5"/>
      <c r="BOE7" s="5"/>
      <c r="BOF7" s="5"/>
      <c r="BOG7" s="5"/>
      <c r="BOH7" s="5"/>
      <c r="BOI7" s="5"/>
      <c r="BOJ7" s="5"/>
      <c r="BOK7" s="5"/>
      <c r="BOL7" s="5"/>
      <c r="BOM7" s="5"/>
      <c r="BON7" s="5"/>
      <c r="BOO7" s="5"/>
      <c r="BOP7" s="5"/>
      <c r="BOQ7" s="5"/>
      <c r="BOR7" s="5"/>
      <c r="BOS7" s="5"/>
      <c r="BOT7" s="5"/>
      <c r="BOU7" s="5"/>
      <c r="BOV7" s="5"/>
      <c r="BOW7" s="5"/>
      <c r="BOX7" s="5"/>
      <c r="BOY7" s="5"/>
      <c r="BOZ7" s="5"/>
      <c r="BPA7" s="5"/>
      <c r="BPB7" s="5"/>
      <c r="BPC7" s="5"/>
      <c r="BPD7" s="5"/>
      <c r="BPE7" s="5"/>
      <c r="BPF7" s="5"/>
      <c r="BPG7" s="5"/>
      <c r="BPH7" s="5"/>
      <c r="BPI7" s="5"/>
      <c r="BPJ7" s="5"/>
      <c r="BPK7" s="5"/>
      <c r="BPL7" s="5"/>
      <c r="BPM7" s="5"/>
      <c r="BPN7" s="5"/>
      <c r="BPO7" s="5"/>
      <c r="BPP7" s="5"/>
      <c r="BPQ7" s="5"/>
      <c r="BPR7" s="5"/>
      <c r="BPS7" s="5"/>
      <c r="BPT7" s="5"/>
      <c r="BPU7" s="5"/>
      <c r="BPV7" s="5"/>
      <c r="BPW7" s="5"/>
      <c r="BPX7" s="5"/>
      <c r="BPY7" s="5"/>
      <c r="BPZ7" s="5"/>
      <c r="BQA7" s="5"/>
      <c r="BQB7" s="5"/>
      <c r="BQC7" s="5"/>
      <c r="BQD7" s="5"/>
      <c r="BQE7" s="5"/>
      <c r="BQF7" s="5"/>
      <c r="BQG7" s="5"/>
      <c r="BQH7" s="5"/>
      <c r="BQI7" s="5"/>
      <c r="BQJ7" s="5"/>
      <c r="BQK7" s="5"/>
      <c r="BQL7" s="5"/>
      <c r="BQM7" s="5"/>
      <c r="BQN7" s="5"/>
      <c r="BQO7" s="5"/>
      <c r="BQP7" s="5"/>
      <c r="BQQ7" s="5"/>
      <c r="BQR7" s="5"/>
      <c r="BQS7" s="5"/>
      <c r="BQT7" s="5"/>
      <c r="BQU7" s="5"/>
      <c r="BQV7" s="5"/>
      <c r="BQW7" s="5"/>
      <c r="BQX7" s="5"/>
      <c r="BQY7" s="5"/>
      <c r="BQZ7" s="5"/>
      <c r="BRA7" s="5"/>
      <c r="BRB7" s="5"/>
      <c r="BRC7" s="5"/>
      <c r="BRD7" s="5"/>
      <c r="BRE7" s="5"/>
      <c r="BRF7" s="5"/>
      <c r="BRG7" s="5"/>
      <c r="BRH7" s="5"/>
      <c r="BRI7" s="5"/>
      <c r="BRJ7" s="5"/>
      <c r="BRK7" s="5"/>
      <c r="BRL7" s="5"/>
      <c r="BRM7" s="5"/>
      <c r="BRN7" s="5"/>
      <c r="BRO7" s="5"/>
      <c r="BRP7" s="5"/>
      <c r="BRQ7" s="5"/>
      <c r="BRR7" s="5"/>
      <c r="BRS7" s="5"/>
      <c r="BRT7" s="5"/>
      <c r="BRU7" s="5"/>
      <c r="BRV7" s="5"/>
      <c r="BRW7" s="5"/>
      <c r="BRX7" s="5"/>
      <c r="BRY7" s="5"/>
      <c r="BRZ7" s="5"/>
      <c r="BSA7" s="5"/>
      <c r="BSB7" s="5"/>
      <c r="BSC7" s="5"/>
      <c r="BSD7" s="5"/>
      <c r="BSE7" s="5"/>
      <c r="BSF7" s="5"/>
      <c r="BSG7" s="5"/>
      <c r="BSH7" s="5"/>
      <c r="BSI7" s="5"/>
      <c r="BSJ7" s="5"/>
      <c r="BSK7" s="5"/>
      <c r="BSL7" s="5"/>
      <c r="BSM7" s="5"/>
      <c r="BSN7" s="5"/>
      <c r="BSO7" s="5"/>
      <c r="BSP7" s="5"/>
      <c r="BSQ7" s="5"/>
      <c r="BSR7" s="5"/>
      <c r="BSS7" s="5"/>
      <c r="BST7" s="5"/>
      <c r="BSU7" s="5"/>
      <c r="BSV7" s="5"/>
      <c r="BSW7" s="5"/>
      <c r="BSX7" s="5"/>
      <c r="BSY7" s="5"/>
      <c r="BSZ7" s="5"/>
      <c r="BTA7" s="5"/>
      <c r="BTB7" s="5"/>
      <c r="BTC7" s="5"/>
      <c r="BTD7" s="5"/>
      <c r="BTE7" s="5"/>
      <c r="BTF7" s="5"/>
      <c r="BTG7" s="5"/>
      <c r="BTH7" s="5"/>
      <c r="BTI7" s="5"/>
      <c r="BTJ7" s="5"/>
      <c r="BTK7" s="5"/>
      <c r="BTL7" s="5"/>
      <c r="BTM7" s="5"/>
      <c r="BTN7" s="5"/>
      <c r="BTO7" s="5"/>
      <c r="BTP7" s="5"/>
      <c r="BTQ7" s="5"/>
      <c r="BTR7" s="5"/>
      <c r="BTS7" s="5"/>
      <c r="BTT7" s="5"/>
      <c r="BTU7" s="5"/>
      <c r="BTV7" s="5"/>
      <c r="BTW7" s="5"/>
      <c r="BTX7" s="5"/>
      <c r="BTY7" s="5"/>
      <c r="BTZ7" s="5"/>
      <c r="BUA7" s="5"/>
      <c r="BUB7" s="5"/>
      <c r="BUC7" s="5"/>
      <c r="BUD7" s="5"/>
      <c r="BUE7" s="5"/>
      <c r="BUF7" s="5"/>
      <c r="BUG7" s="5"/>
      <c r="BUH7" s="5"/>
      <c r="BUI7" s="5"/>
      <c r="BUJ7" s="5"/>
      <c r="BUK7" s="5"/>
      <c r="BUL7" s="5"/>
      <c r="BUM7" s="5"/>
      <c r="BUN7" s="5"/>
      <c r="BUO7" s="5"/>
      <c r="BUP7" s="5"/>
      <c r="BUQ7" s="5"/>
      <c r="BUR7" s="5"/>
      <c r="BUS7" s="5"/>
      <c r="BUT7" s="5"/>
      <c r="BUU7" s="5"/>
      <c r="BUV7" s="5"/>
      <c r="BUW7" s="5"/>
      <c r="BUX7" s="5"/>
      <c r="BUY7" s="5"/>
      <c r="BUZ7" s="5"/>
      <c r="BVA7" s="5"/>
      <c r="BVB7" s="5"/>
      <c r="BVC7" s="5"/>
      <c r="BVD7" s="5"/>
      <c r="BVE7" s="5"/>
      <c r="BVF7" s="5"/>
      <c r="BVG7" s="5"/>
      <c r="BVH7" s="5"/>
      <c r="BVI7" s="5"/>
      <c r="BVJ7" s="5"/>
      <c r="BVK7" s="5"/>
      <c r="BVL7" s="5"/>
      <c r="BVM7" s="5"/>
      <c r="BVN7" s="5"/>
      <c r="BVO7" s="5"/>
      <c r="BVP7" s="5"/>
      <c r="BVQ7" s="5"/>
      <c r="BVR7" s="5"/>
      <c r="BVS7" s="5"/>
      <c r="BVT7" s="5"/>
      <c r="BVU7" s="5"/>
      <c r="BVV7" s="5"/>
      <c r="BVW7" s="5"/>
      <c r="BVX7" s="5"/>
      <c r="BVY7" s="5"/>
      <c r="BVZ7" s="5"/>
      <c r="BWA7" s="5"/>
      <c r="BWB7" s="5"/>
      <c r="BWC7" s="5"/>
      <c r="BWD7" s="5"/>
      <c r="BWE7" s="5"/>
      <c r="BWF7" s="5"/>
      <c r="BWG7" s="5"/>
      <c r="BWH7" s="5"/>
      <c r="BWI7" s="5"/>
      <c r="BWJ7" s="5"/>
      <c r="BWK7" s="5"/>
      <c r="BWL7" s="5"/>
      <c r="BWM7" s="5"/>
      <c r="BWN7" s="5"/>
      <c r="BWO7" s="5"/>
      <c r="BWP7" s="5"/>
      <c r="BWQ7" s="5"/>
      <c r="BWR7" s="5"/>
      <c r="BWS7" s="5"/>
      <c r="BWT7" s="5"/>
      <c r="BWU7" s="5"/>
      <c r="BWV7" s="5"/>
      <c r="BWW7" s="5"/>
      <c r="BWX7" s="5"/>
      <c r="BWY7" s="5"/>
      <c r="BWZ7" s="5"/>
      <c r="BXA7" s="5"/>
      <c r="BXB7" s="5"/>
      <c r="BXC7" s="5"/>
      <c r="BXD7" s="5"/>
      <c r="BXE7" s="5"/>
      <c r="BXF7" s="5"/>
      <c r="BXG7" s="5"/>
      <c r="BXH7" s="5"/>
      <c r="BXI7" s="5"/>
      <c r="BXJ7" s="5"/>
      <c r="BXK7" s="5"/>
      <c r="BXL7" s="5"/>
      <c r="BXM7" s="5"/>
      <c r="BXN7" s="5"/>
      <c r="BXO7" s="5"/>
      <c r="BXP7" s="5"/>
      <c r="BXQ7" s="5"/>
      <c r="BXR7" s="5"/>
      <c r="BXS7" s="5"/>
      <c r="BXT7" s="5"/>
      <c r="BXU7" s="5"/>
      <c r="BXV7" s="5"/>
      <c r="BXW7" s="5"/>
      <c r="BXX7" s="5"/>
      <c r="BXY7" s="5"/>
      <c r="BXZ7" s="5"/>
      <c r="BYA7" s="5"/>
      <c r="BYB7" s="5"/>
      <c r="BYC7" s="5"/>
      <c r="BYD7" s="5"/>
      <c r="BYE7" s="5"/>
      <c r="BYF7" s="5"/>
      <c r="BYG7" s="5"/>
      <c r="BYH7" s="5"/>
      <c r="BYI7" s="5"/>
      <c r="BYJ7" s="5"/>
      <c r="BYK7" s="5"/>
      <c r="BYL7" s="5"/>
      <c r="BYM7" s="5"/>
      <c r="BYN7" s="5"/>
      <c r="BYO7" s="5"/>
      <c r="BYP7" s="5"/>
      <c r="BYQ7" s="5"/>
      <c r="BYR7" s="5"/>
      <c r="BYS7" s="5"/>
      <c r="BYT7" s="5"/>
      <c r="BYU7" s="5"/>
      <c r="BYV7" s="5"/>
      <c r="BYW7" s="5"/>
      <c r="BYX7" s="5"/>
      <c r="BYY7" s="5"/>
      <c r="BYZ7" s="5"/>
      <c r="BZA7" s="5"/>
      <c r="BZB7" s="5"/>
      <c r="BZC7" s="5"/>
      <c r="BZD7" s="5"/>
      <c r="BZE7" s="5"/>
      <c r="BZF7" s="5"/>
      <c r="BZG7" s="5"/>
      <c r="BZH7" s="5"/>
      <c r="BZI7" s="5"/>
      <c r="BZJ7" s="5"/>
      <c r="BZK7" s="5"/>
      <c r="BZL7" s="5"/>
      <c r="BZM7" s="5"/>
      <c r="BZN7" s="5"/>
      <c r="BZO7" s="5"/>
      <c r="BZP7" s="5"/>
      <c r="BZQ7" s="5"/>
      <c r="BZR7" s="5"/>
      <c r="BZS7" s="5"/>
      <c r="BZT7" s="5"/>
      <c r="BZU7" s="5"/>
      <c r="BZV7" s="5"/>
      <c r="BZW7" s="5"/>
      <c r="BZX7" s="5"/>
      <c r="BZY7" s="5"/>
      <c r="BZZ7" s="5"/>
      <c r="CAA7" s="5"/>
      <c r="CAB7" s="5"/>
      <c r="CAC7" s="5"/>
      <c r="CAD7" s="5"/>
      <c r="CAE7" s="5"/>
      <c r="CAF7" s="5"/>
      <c r="CAG7" s="5"/>
      <c r="CAH7" s="5"/>
      <c r="CAI7" s="5"/>
      <c r="CAJ7" s="5"/>
      <c r="CAK7" s="5"/>
      <c r="CAL7" s="5"/>
      <c r="CAM7" s="5"/>
      <c r="CAN7" s="5"/>
      <c r="CAO7" s="5"/>
      <c r="CAP7" s="5"/>
      <c r="CAQ7" s="5"/>
      <c r="CAR7" s="5"/>
      <c r="CAS7" s="5"/>
      <c r="CAT7" s="5"/>
      <c r="CAU7" s="5"/>
      <c r="CAV7" s="5"/>
      <c r="CAW7" s="5"/>
      <c r="CAX7" s="5"/>
      <c r="CAY7" s="5"/>
      <c r="CAZ7" s="5"/>
      <c r="CBA7" s="5"/>
      <c r="CBB7" s="5"/>
      <c r="CBC7" s="5"/>
      <c r="CBD7" s="5"/>
      <c r="CBE7" s="5"/>
      <c r="CBF7" s="5"/>
      <c r="CBG7" s="5"/>
      <c r="CBH7" s="5"/>
      <c r="CBI7" s="5"/>
      <c r="CBJ7" s="5"/>
      <c r="CBK7" s="5"/>
      <c r="CBL7" s="5"/>
      <c r="CBM7" s="5"/>
      <c r="CBN7" s="5"/>
      <c r="CBO7" s="5"/>
      <c r="CBP7" s="5"/>
      <c r="CBQ7" s="5"/>
      <c r="CBR7" s="5"/>
      <c r="CBS7" s="5"/>
      <c r="CBT7" s="5"/>
      <c r="CBU7" s="5"/>
      <c r="CBV7" s="5"/>
      <c r="CBW7" s="5"/>
      <c r="CBX7" s="5"/>
      <c r="CBY7" s="5"/>
      <c r="CBZ7" s="5"/>
      <c r="CCA7" s="5"/>
      <c r="CCB7" s="5"/>
      <c r="CCC7" s="5"/>
      <c r="CCD7" s="5"/>
      <c r="CCE7" s="5"/>
      <c r="CCF7" s="5"/>
      <c r="CCG7" s="5"/>
      <c r="CCH7" s="5"/>
      <c r="CCI7" s="5"/>
      <c r="CCJ7" s="5"/>
      <c r="CCK7" s="5"/>
      <c r="CCL7" s="5"/>
      <c r="CCM7" s="5"/>
      <c r="CCN7" s="5"/>
      <c r="CCO7" s="5"/>
      <c r="CCP7" s="5"/>
      <c r="CCQ7" s="5"/>
      <c r="CCR7" s="5"/>
      <c r="CCS7" s="5"/>
      <c r="CCT7" s="5"/>
      <c r="CCU7" s="5"/>
      <c r="CCV7" s="5"/>
      <c r="CCW7" s="5"/>
      <c r="CCX7" s="5"/>
      <c r="CCY7" s="5"/>
      <c r="CCZ7" s="5"/>
      <c r="CDA7" s="5"/>
      <c r="CDB7" s="5"/>
      <c r="CDC7" s="5"/>
      <c r="CDD7" s="5"/>
      <c r="CDE7" s="5"/>
      <c r="CDF7" s="5"/>
      <c r="CDG7" s="5"/>
      <c r="CDH7" s="5"/>
      <c r="CDI7" s="5"/>
      <c r="CDJ7" s="5"/>
      <c r="CDK7" s="5"/>
      <c r="CDL7" s="5"/>
      <c r="CDM7" s="5"/>
      <c r="CDN7" s="5"/>
      <c r="CDO7" s="5"/>
      <c r="CDP7" s="5"/>
      <c r="CDQ7" s="5"/>
      <c r="CDR7" s="5"/>
      <c r="CDS7" s="5"/>
      <c r="CDT7" s="5"/>
      <c r="CDU7" s="5"/>
      <c r="CDV7" s="5"/>
      <c r="CDW7" s="5"/>
      <c r="CDX7" s="5"/>
      <c r="CDY7" s="5"/>
      <c r="CDZ7" s="5"/>
      <c r="CEA7" s="5"/>
      <c r="CEB7" s="5"/>
      <c r="CEC7" s="5"/>
      <c r="CED7" s="5"/>
      <c r="CEE7" s="5"/>
      <c r="CEF7" s="5"/>
      <c r="CEG7" s="5"/>
      <c r="CEH7" s="5"/>
      <c r="CEI7" s="5"/>
      <c r="CEJ7" s="5"/>
      <c r="CEK7" s="5"/>
      <c r="CEL7" s="5"/>
      <c r="CEM7" s="5"/>
      <c r="CEN7" s="5"/>
      <c r="CEO7" s="5"/>
      <c r="CEP7" s="5"/>
      <c r="CEQ7" s="5"/>
      <c r="CER7" s="5"/>
      <c r="CES7" s="5"/>
      <c r="CET7" s="5"/>
      <c r="CEU7" s="5"/>
      <c r="CEV7" s="5"/>
      <c r="CEW7" s="5"/>
      <c r="CEX7" s="5"/>
      <c r="CEY7" s="5"/>
      <c r="CEZ7" s="5"/>
      <c r="CFA7" s="5"/>
      <c r="CFB7" s="5"/>
      <c r="CFC7" s="5"/>
      <c r="CFD7" s="5"/>
      <c r="CFE7" s="5"/>
      <c r="CFF7" s="5"/>
      <c r="CFG7" s="5"/>
      <c r="CFH7" s="5"/>
      <c r="CFI7" s="5"/>
      <c r="CFJ7" s="5"/>
      <c r="CFK7" s="5"/>
      <c r="CFL7" s="5"/>
      <c r="CFM7" s="5"/>
      <c r="CFN7" s="5"/>
      <c r="CFO7" s="5"/>
      <c r="CFP7" s="5"/>
      <c r="CFQ7" s="5"/>
      <c r="CFR7" s="5"/>
      <c r="CFS7" s="5"/>
      <c r="CFT7" s="5"/>
      <c r="CFU7" s="5"/>
      <c r="CFV7" s="5"/>
      <c r="CFW7" s="5"/>
      <c r="CFX7" s="5"/>
      <c r="CFY7" s="5"/>
      <c r="CFZ7" s="5"/>
      <c r="CGA7" s="5"/>
      <c r="CGB7" s="5"/>
      <c r="CGC7" s="5"/>
      <c r="CGD7" s="5"/>
      <c r="CGE7" s="5"/>
      <c r="CGF7" s="5"/>
      <c r="CGG7" s="5"/>
      <c r="CGH7" s="5"/>
      <c r="CGI7" s="5"/>
      <c r="CGJ7" s="5"/>
      <c r="CGK7" s="5"/>
      <c r="CGL7" s="5"/>
      <c r="CGM7" s="5"/>
      <c r="CGN7" s="5"/>
      <c r="CGO7" s="5"/>
      <c r="CGP7" s="5"/>
      <c r="CGQ7" s="5"/>
      <c r="CGR7" s="5"/>
      <c r="CGS7" s="5"/>
      <c r="CGT7" s="5"/>
      <c r="CGU7" s="5"/>
      <c r="CGV7" s="5"/>
      <c r="CGW7" s="5"/>
      <c r="CGX7" s="5"/>
      <c r="CGY7" s="5"/>
      <c r="CGZ7" s="5"/>
      <c r="CHA7" s="5"/>
      <c r="CHB7" s="5"/>
      <c r="CHC7" s="5"/>
      <c r="CHD7" s="5"/>
      <c r="CHE7" s="5"/>
      <c r="CHF7" s="5"/>
      <c r="CHG7" s="5"/>
      <c r="CHH7" s="5"/>
      <c r="CHI7" s="5"/>
      <c r="CHJ7" s="5"/>
      <c r="CHK7" s="5"/>
      <c r="CHL7" s="5"/>
      <c r="CHM7" s="5"/>
      <c r="CHN7" s="5"/>
      <c r="CHO7" s="5"/>
      <c r="CHP7" s="5"/>
      <c r="CHQ7" s="5"/>
      <c r="CHR7" s="5"/>
      <c r="CHS7" s="5"/>
      <c r="CHT7" s="5"/>
      <c r="CHU7" s="5"/>
      <c r="CHV7" s="5"/>
      <c r="CHW7" s="5"/>
      <c r="CHX7" s="5"/>
      <c r="CHY7" s="5"/>
      <c r="CHZ7" s="5"/>
      <c r="CIA7" s="5"/>
      <c r="CIB7" s="5"/>
      <c r="CIC7" s="5"/>
      <c r="CID7" s="5"/>
      <c r="CIE7" s="5"/>
      <c r="CIF7" s="5"/>
      <c r="CIG7" s="5"/>
      <c r="CIH7" s="5"/>
      <c r="CII7" s="5"/>
      <c r="CIJ7" s="5"/>
      <c r="CIK7" s="5"/>
      <c r="CIL7" s="5"/>
      <c r="CIM7" s="5"/>
      <c r="CIN7" s="5"/>
      <c r="CIO7" s="5"/>
      <c r="CIP7" s="5"/>
      <c r="CIQ7" s="5"/>
      <c r="CIR7" s="5"/>
      <c r="CIS7" s="5"/>
      <c r="CIT7" s="5"/>
      <c r="CIU7" s="5"/>
      <c r="CIV7" s="5"/>
      <c r="CIW7" s="5"/>
      <c r="CIX7" s="5"/>
      <c r="CIY7" s="5"/>
      <c r="CIZ7" s="5"/>
      <c r="CJA7" s="5"/>
      <c r="CJB7" s="5"/>
      <c r="CJC7" s="5"/>
      <c r="CJD7" s="5"/>
      <c r="CJE7" s="5"/>
      <c r="CJF7" s="5"/>
      <c r="CJG7" s="5"/>
      <c r="CJH7" s="5"/>
      <c r="CJI7" s="5"/>
      <c r="CJJ7" s="5"/>
      <c r="CJK7" s="5"/>
      <c r="CJL7" s="5"/>
      <c r="CJM7" s="5"/>
      <c r="CJN7" s="5"/>
      <c r="CJO7" s="5"/>
      <c r="CJP7" s="5"/>
      <c r="CJQ7" s="5"/>
      <c r="CJR7" s="5"/>
      <c r="CJS7" s="5"/>
      <c r="CJT7" s="5"/>
      <c r="CJU7" s="5"/>
      <c r="CJV7" s="5"/>
      <c r="CJW7" s="5"/>
      <c r="CJX7" s="5"/>
      <c r="CJY7" s="5"/>
      <c r="CJZ7" s="5"/>
      <c r="CKA7" s="5"/>
      <c r="CKB7" s="5"/>
      <c r="CKC7" s="5"/>
      <c r="CKD7" s="5"/>
      <c r="CKE7" s="5"/>
      <c r="CKF7" s="5"/>
      <c r="CKG7" s="5"/>
      <c r="CKH7" s="5"/>
      <c r="CKI7" s="5"/>
      <c r="CKJ7" s="5"/>
      <c r="CKK7" s="5"/>
      <c r="CKL7" s="5"/>
      <c r="CKM7" s="5"/>
      <c r="CKN7" s="5"/>
      <c r="CKO7" s="5"/>
      <c r="CKP7" s="5"/>
      <c r="CKQ7" s="5"/>
      <c r="CKR7" s="5"/>
      <c r="CKS7" s="5"/>
      <c r="CKT7" s="5"/>
      <c r="CKU7" s="5"/>
      <c r="CKV7" s="5"/>
      <c r="CKW7" s="5"/>
      <c r="CKX7" s="5"/>
      <c r="CKY7" s="5"/>
      <c r="CKZ7" s="5"/>
      <c r="CLA7" s="5"/>
      <c r="CLB7" s="5"/>
      <c r="CLC7" s="5"/>
      <c r="CLD7" s="5"/>
      <c r="CLE7" s="5"/>
      <c r="CLF7" s="5"/>
      <c r="CLG7" s="5"/>
      <c r="CLH7" s="5"/>
      <c r="CLI7" s="5"/>
      <c r="CLJ7" s="5"/>
      <c r="CLK7" s="5"/>
      <c r="CLL7" s="5"/>
      <c r="CLM7" s="5"/>
      <c r="CLN7" s="5"/>
      <c r="CLO7" s="5"/>
      <c r="CLP7" s="5"/>
      <c r="CLQ7" s="5"/>
      <c r="CLR7" s="5"/>
      <c r="CLS7" s="5"/>
      <c r="CLT7" s="5"/>
      <c r="CLU7" s="5"/>
      <c r="CLV7" s="5"/>
      <c r="CLW7" s="5"/>
      <c r="CLX7" s="5"/>
      <c r="CLY7" s="5"/>
      <c r="CLZ7" s="5"/>
      <c r="CMA7" s="5"/>
      <c r="CMB7" s="5"/>
      <c r="CMC7" s="5"/>
      <c r="CMD7" s="5"/>
      <c r="CME7" s="5"/>
      <c r="CMF7" s="5"/>
      <c r="CMG7" s="5"/>
      <c r="CMH7" s="5"/>
      <c r="CMI7" s="5"/>
      <c r="CMJ7" s="5"/>
      <c r="CMK7" s="5"/>
      <c r="CML7" s="5"/>
      <c r="CMM7" s="5"/>
      <c r="CMN7" s="5"/>
      <c r="CMO7" s="5"/>
      <c r="CMP7" s="5"/>
      <c r="CMQ7" s="5"/>
      <c r="CMR7" s="5"/>
      <c r="CMS7" s="5"/>
      <c r="CMT7" s="5"/>
      <c r="CMU7" s="5"/>
      <c r="CMV7" s="5"/>
      <c r="CMW7" s="5"/>
      <c r="CMX7" s="5"/>
      <c r="CMY7" s="5"/>
      <c r="CMZ7" s="5"/>
      <c r="CNA7" s="5"/>
      <c r="CNB7" s="5"/>
      <c r="CNC7" s="5"/>
      <c r="CND7" s="5"/>
      <c r="CNE7" s="5"/>
      <c r="CNF7" s="5"/>
      <c r="CNG7" s="5"/>
      <c r="CNH7" s="5"/>
      <c r="CNI7" s="5"/>
      <c r="CNJ7" s="5"/>
      <c r="CNK7" s="5"/>
      <c r="CNL7" s="5"/>
      <c r="CNM7" s="5"/>
      <c r="CNN7" s="5"/>
      <c r="CNO7" s="5"/>
      <c r="CNP7" s="5"/>
      <c r="CNQ7" s="5"/>
      <c r="CNR7" s="5"/>
      <c r="CNS7" s="5"/>
      <c r="CNT7" s="5"/>
      <c r="CNU7" s="5"/>
      <c r="CNV7" s="5"/>
      <c r="CNW7" s="5"/>
      <c r="CNX7" s="5"/>
      <c r="CNY7" s="5"/>
      <c r="CNZ7" s="5"/>
      <c r="COA7" s="5"/>
      <c r="COB7" s="5"/>
      <c r="COC7" s="5"/>
      <c r="COD7" s="5"/>
      <c r="COE7" s="5"/>
      <c r="COF7" s="5"/>
      <c r="COG7" s="5"/>
      <c r="COH7" s="5"/>
      <c r="COI7" s="5"/>
      <c r="COJ7" s="5"/>
      <c r="COK7" s="5"/>
      <c r="COL7" s="5"/>
      <c r="COM7" s="5"/>
      <c r="CON7" s="5"/>
      <c r="COO7" s="5"/>
      <c r="COP7" s="5"/>
      <c r="COQ7" s="5"/>
      <c r="COR7" s="5"/>
      <c r="COS7" s="5"/>
      <c r="COT7" s="5"/>
      <c r="COU7" s="5"/>
      <c r="COV7" s="5"/>
      <c r="COW7" s="5"/>
      <c r="COX7" s="5"/>
      <c r="COY7" s="5"/>
      <c r="COZ7" s="5"/>
      <c r="CPA7" s="5"/>
      <c r="CPB7" s="5"/>
      <c r="CPC7" s="5"/>
      <c r="CPD7" s="5"/>
      <c r="CPE7" s="5"/>
      <c r="CPF7" s="5"/>
      <c r="CPG7" s="5"/>
      <c r="CPH7" s="5"/>
      <c r="CPI7" s="5"/>
      <c r="CPJ7" s="5"/>
      <c r="CPK7" s="5"/>
      <c r="CPL7" s="5"/>
      <c r="CPM7" s="5"/>
      <c r="CPN7" s="5"/>
      <c r="CPO7" s="5"/>
      <c r="CPP7" s="5"/>
      <c r="CPQ7" s="5"/>
      <c r="CPR7" s="5"/>
      <c r="CPS7" s="5"/>
      <c r="CPT7" s="5"/>
      <c r="CPU7" s="5"/>
      <c r="CPV7" s="5"/>
      <c r="CPW7" s="5"/>
      <c r="CPX7" s="5"/>
      <c r="CPY7" s="5"/>
      <c r="CPZ7" s="5"/>
      <c r="CQA7" s="5"/>
      <c r="CQB7" s="5"/>
      <c r="CQC7" s="5"/>
      <c r="CQD7" s="5"/>
      <c r="CQE7" s="5"/>
      <c r="CQF7" s="5"/>
      <c r="CQG7" s="5"/>
      <c r="CQH7" s="5"/>
      <c r="CQI7" s="5"/>
      <c r="CQJ7" s="5"/>
      <c r="CQK7" s="5"/>
      <c r="CQL7" s="5"/>
      <c r="CQM7" s="5"/>
      <c r="CQN7" s="5"/>
      <c r="CQO7" s="5"/>
      <c r="CQP7" s="5"/>
      <c r="CQQ7" s="5"/>
      <c r="CQR7" s="5"/>
      <c r="CQS7" s="5"/>
      <c r="CQT7" s="5"/>
      <c r="CQU7" s="5"/>
      <c r="CQV7" s="5"/>
      <c r="CQW7" s="5"/>
      <c r="CQX7" s="5"/>
      <c r="CQY7" s="5"/>
      <c r="CQZ7" s="5"/>
      <c r="CRA7" s="5"/>
      <c r="CRB7" s="5"/>
      <c r="CRC7" s="5"/>
      <c r="CRD7" s="5"/>
      <c r="CRE7" s="5"/>
      <c r="CRF7" s="5"/>
      <c r="CRG7" s="5"/>
      <c r="CRH7" s="5"/>
      <c r="CRI7" s="5"/>
      <c r="CRJ7" s="5"/>
      <c r="CRK7" s="5"/>
      <c r="CRL7" s="5"/>
      <c r="CRM7" s="5"/>
      <c r="CRN7" s="5"/>
      <c r="CRO7" s="5"/>
      <c r="CRP7" s="5"/>
      <c r="CRQ7" s="5"/>
      <c r="CRR7" s="5"/>
      <c r="CRS7" s="5"/>
      <c r="CRT7" s="5"/>
      <c r="CRU7" s="5"/>
      <c r="CRV7" s="5"/>
      <c r="CRW7" s="5"/>
      <c r="CRX7" s="5"/>
      <c r="CRY7" s="5"/>
      <c r="CRZ7" s="5"/>
      <c r="CSA7" s="5"/>
      <c r="CSB7" s="5"/>
      <c r="CSC7" s="5"/>
      <c r="CSD7" s="5"/>
      <c r="CSE7" s="5"/>
      <c r="CSF7" s="5"/>
      <c r="CSG7" s="5"/>
      <c r="CSH7" s="5"/>
      <c r="CSI7" s="5"/>
      <c r="CSJ7" s="5"/>
      <c r="CSK7" s="5"/>
      <c r="CSL7" s="5"/>
      <c r="CSM7" s="5"/>
      <c r="CSN7" s="5"/>
      <c r="CSO7" s="5"/>
      <c r="CSP7" s="5"/>
      <c r="CSQ7" s="5"/>
      <c r="CSR7" s="5"/>
      <c r="CSS7" s="5"/>
      <c r="CST7" s="5"/>
      <c r="CSU7" s="5"/>
      <c r="CSV7" s="5"/>
      <c r="CSW7" s="5"/>
      <c r="CSX7" s="5"/>
      <c r="CSY7" s="5"/>
      <c r="CSZ7" s="5"/>
      <c r="CTA7" s="5"/>
      <c r="CTB7" s="5"/>
      <c r="CTC7" s="5"/>
      <c r="CTD7" s="5"/>
      <c r="CTE7" s="5"/>
      <c r="CTF7" s="5"/>
      <c r="CTG7" s="5"/>
      <c r="CTH7" s="5"/>
      <c r="CTI7" s="5"/>
      <c r="CTJ7" s="5"/>
      <c r="CTK7" s="5"/>
      <c r="CTL7" s="5"/>
      <c r="CTM7" s="5"/>
      <c r="CTN7" s="5"/>
      <c r="CTO7" s="5"/>
      <c r="CTP7" s="5"/>
      <c r="CTQ7" s="5"/>
      <c r="CTR7" s="5"/>
      <c r="CTS7" s="5"/>
      <c r="CTT7" s="5"/>
      <c r="CTU7" s="5"/>
      <c r="CTV7" s="5"/>
      <c r="CTW7" s="5"/>
      <c r="CTX7" s="5"/>
      <c r="CTY7" s="5"/>
      <c r="CTZ7" s="5"/>
      <c r="CUA7" s="5"/>
      <c r="CUB7" s="5"/>
      <c r="CUC7" s="5"/>
      <c r="CUD7" s="5"/>
      <c r="CUE7" s="5"/>
      <c r="CUF7" s="5"/>
      <c r="CUG7" s="5"/>
      <c r="CUH7" s="5"/>
      <c r="CUI7" s="5"/>
      <c r="CUJ7" s="5"/>
      <c r="CUK7" s="5"/>
      <c r="CUL7" s="5"/>
      <c r="CUM7" s="5"/>
      <c r="CUN7" s="5"/>
      <c r="CUO7" s="5"/>
      <c r="CUP7" s="5"/>
      <c r="CUQ7" s="5"/>
      <c r="CUR7" s="5"/>
      <c r="CUS7" s="5"/>
      <c r="CUT7" s="5"/>
      <c r="CUU7" s="5"/>
      <c r="CUV7" s="5"/>
      <c r="CUW7" s="5"/>
      <c r="CUX7" s="5"/>
      <c r="CUY7" s="5"/>
      <c r="CUZ7" s="5"/>
      <c r="CVA7" s="5"/>
      <c r="CVB7" s="5"/>
      <c r="CVC7" s="5"/>
      <c r="CVD7" s="5"/>
      <c r="CVE7" s="5"/>
      <c r="CVF7" s="5"/>
      <c r="CVG7" s="5"/>
      <c r="CVH7" s="5"/>
      <c r="CVI7" s="5"/>
      <c r="CVJ7" s="5"/>
      <c r="CVK7" s="5"/>
      <c r="CVL7" s="5"/>
      <c r="CVM7" s="5"/>
      <c r="CVN7" s="5"/>
      <c r="CVO7" s="5"/>
      <c r="CVP7" s="5"/>
      <c r="CVQ7" s="5"/>
      <c r="CVR7" s="5"/>
      <c r="CVS7" s="5"/>
      <c r="CVT7" s="5"/>
      <c r="CVU7" s="5"/>
      <c r="CVV7" s="5"/>
      <c r="CVW7" s="5"/>
      <c r="CVX7" s="5"/>
      <c r="CVY7" s="5"/>
      <c r="CVZ7" s="5"/>
      <c r="CWA7" s="5"/>
      <c r="CWB7" s="5"/>
      <c r="CWC7" s="5"/>
      <c r="CWD7" s="5"/>
      <c r="CWE7" s="5"/>
      <c r="CWF7" s="5"/>
      <c r="CWG7" s="5"/>
      <c r="CWH7" s="5"/>
      <c r="CWI7" s="5"/>
      <c r="CWJ7" s="5"/>
      <c r="CWK7" s="5"/>
      <c r="CWL7" s="5"/>
      <c r="CWM7" s="5"/>
      <c r="CWN7" s="5"/>
      <c r="CWO7" s="5"/>
      <c r="CWP7" s="5"/>
      <c r="CWQ7" s="5"/>
      <c r="CWR7" s="5"/>
      <c r="CWS7" s="5"/>
      <c r="CWT7" s="5"/>
      <c r="CWU7" s="5"/>
      <c r="CWV7" s="5"/>
      <c r="CWW7" s="5"/>
      <c r="CWX7" s="5"/>
      <c r="CWY7" s="5"/>
      <c r="CWZ7" s="5"/>
      <c r="CXA7" s="5"/>
      <c r="CXB7" s="5"/>
      <c r="CXC7" s="5"/>
      <c r="CXD7" s="5"/>
      <c r="CXE7" s="5"/>
      <c r="CXF7" s="5"/>
      <c r="CXG7" s="5"/>
      <c r="CXH7" s="5"/>
      <c r="CXI7" s="5"/>
      <c r="CXJ7" s="5"/>
      <c r="CXK7" s="5"/>
      <c r="CXL7" s="5"/>
      <c r="CXM7" s="5"/>
      <c r="CXN7" s="5"/>
      <c r="CXO7" s="5"/>
      <c r="CXP7" s="5"/>
      <c r="CXQ7" s="5"/>
      <c r="CXR7" s="5"/>
      <c r="CXS7" s="5"/>
      <c r="CXT7" s="5"/>
      <c r="CXU7" s="5"/>
      <c r="CXV7" s="5"/>
      <c r="CXW7" s="5"/>
      <c r="CXX7" s="5"/>
      <c r="CXY7" s="5"/>
      <c r="CXZ7" s="5"/>
      <c r="CYA7" s="5"/>
      <c r="CYB7" s="5"/>
      <c r="CYC7" s="5"/>
      <c r="CYD7" s="5"/>
      <c r="CYE7" s="5"/>
      <c r="CYF7" s="5"/>
      <c r="CYG7" s="5"/>
      <c r="CYH7" s="5"/>
      <c r="CYI7" s="5"/>
      <c r="CYJ7" s="5"/>
      <c r="CYK7" s="5"/>
      <c r="CYL7" s="5"/>
      <c r="CYM7" s="5"/>
      <c r="CYN7" s="5"/>
      <c r="CYO7" s="5"/>
      <c r="CYP7" s="5"/>
      <c r="CYQ7" s="5"/>
      <c r="CYR7" s="5"/>
      <c r="CYS7" s="5"/>
      <c r="CYT7" s="5"/>
      <c r="CYU7" s="5"/>
      <c r="CYV7" s="5"/>
      <c r="CYW7" s="5"/>
      <c r="CYX7" s="5"/>
      <c r="CYY7" s="5"/>
      <c r="CYZ7" s="5"/>
      <c r="CZA7" s="5"/>
      <c r="CZB7" s="5"/>
      <c r="CZC7" s="5"/>
      <c r="CZD7" s="5"/>
      <c r="CZE7" s="5"/>
      <c r="CZF7" s="5"/>
      <c r="CZG7" s="5"/>
      <c r="CZH7" s="5"/>
      <c r="CZI7" s="5"/>
      <c r="CZJ7" s="5"/>
      <c r="CZK7" s="5"/>
      <c r="CZL7" s="5"/>
      <c r="CZM7" s="5"/>
      <c r="CZN7" s="5"/>
      <c r="CZO7" s="5"/>
      <c r="CZP7" s="5"/>
      <c r="CZQ7" s="5"/>
      <c r="CZR7" s="5"/>
      <c r="CZS7" s="5"/>
      <c r="CZT7" s="5"/>
      <c r="CZU7" s="5"/>
      <c r="CZV7" s="5"/>
      <c r="CZW7" s="5"/>
      <c r="CZX7" s="5"/>
      <c r="CZY7" s="5"/>
      <c r="CZZ7" s="5"/>
      <c r="DAA7" s="5"/>
      <c r="DAB7" s="5"/>
      <c r="DAC7" s="5"/>
      <c r="DAD7" s="5"/>
      <c r="DAE7" s="5"/>
      <c r="DAF7" s="5"/>
      <c r="DAG7" s="5"/>
      <c r="DAH7" s="5"/>
      <c r="DAI7" s="5"/>
      <c r="DAJ7" s="5"/>
      <c r="DAK7" s="5"/>
      <c r="DAL7" s="5"/>
      <c r="DAM7" s="5"/>
      <c r="DAN7" s="5"/>
      <c r="DAO7" s="5"/>
      <c r="DAP7" s="5"/>
      <c r="DAQ7" s="5"/>
      <c r="DAR7" s="5"/>
      <c r="DAS7" s="5"/>
      <c r="DAT7" s="5"/>
      <c r="DAU7" s="5"/>
      <c r="DAV7" s="5"/>
      <c r="DAW7" s="5"/>
      <c r="DAX7" s="5"/>
      <c r="DAY7" s="5"/>
      <c r="DAZ7" s="5"/>
      <c r="DBA7" s="5"/>
      <c r="DBB7" s="5"/>
      <c r="DBC7" s="5"/>
      <c r="DBD7" s="5"/>
      <c r="DBE7" s="5"/>
      <c r="DBF7" s="5"/>
      <c r="DBG7" s="5"/>
      <c r="DBH7" s="5"/>
      <c r="DBI7" s="5"/>
      <c r="DBJ7" s="5"/>
      <c r="DBK7" s="5"/>
      <c r="DBL7" s="5"/>
      <c r="DBM7" s="5"/>
      <c r="DBN7" s="5"/>
      <c r="DBO7" s="5"/>
      <c r="DBP7" s="5"/>
      <c r="DBQ7" s="5"/>
      <c r="DBR7" s="5"/>
      <c r="DBS7" s="5"/>
      <c r="DBT7" s="5"/>
      <c r="DBU7" s="5"/>
      <c r="DBV7" s="5"/>
      <c r="DBW7" s="5"/>
      <c r="DBX7" s="5"/>
      <c r="DBY7" s="5"/>
      <c r="DBZ7" s="5"/>
      <c r="DCA7" s="5"/>
      <c r="DCB7" s="5"/>
      <c r="DCC7" s="5"/>
      <c r="DCD7" s="5"/>
      <c r="DCE7" s="5"/>
      <c r="DCF7" s="5"/>
      <c r="DCG7" s="5"/>
      <c r="DCH7" s="5"/>
      <c r="DCI7" s="5"/>
      <c r="DCJ7" s="5"/>
      <c r="DCK7" s="5"/>
      <c r="DCL7" s="5"/>
      <c r="DCM7" s="5"/>
      <c r="DCN7" s="5"/>
      <c r="DCO7" s="5"/>
      <c r="DCP7" s="5"/>
      <c r="DCQ7" s="5"/>
      <c r="DCR7" s="5"/>
      <c r="DCS7" s="5"/>
      <c r="DCT7" s="5"/>
      <c r="DCU7" s="5"/>
      <c r="DCV7" s="5"/>
      <c r="DCW7" s="5"/>
      <c r="DCX7" s="5"/>
      <c r="DCY7" s="5"/>
      <c r="DCZ7" s="5"/>
      <c r="DDA7" s="5"/>
      <c r="DDB7" s="5"/>
      <c r="DDC7" s="5"/>
      <c r="DDD7" s="5"/>
      <c r="DDE7" s="5"/>
      <c r="DDF7" s="5"/>
      <c r="DDG7" s="5"/>
      <c r="DDH7" s="5"/>
      <c r="DDI7" s="5"/>
      <c r="DDJ7" s="5"/>
      <c r="DDK7" s="5"/>
      <c r="DDL7" s="5"/>
      <c r="DDM7" s="5"/>
      <c r="DDN7" s="5"/>
      <c r="DDO7" s="5"/>
      <c r="DDP7" s="5"/>
      <c r="DDQ7" s="5"/>
      <c r="DDR7" s="5"/>
      <c r="DDS7" s="5"/>
      <c r="DDT7" s="5"/>
      <c r="DDU7" s="5"/>
      <c r="DDV7" s="5"/>
      <c r="DDW7" s="5"/>
      <c r="DDX7" s="5"/>
      <c r="DDY7" s="5"/>
      <c r="DDZ7" s="5"/>
      <c r="DEA7" s="5"/>
      <c r="DEB7" s="5"/>
      <c r="DEC7" s="5"/>
      <c r="DED7" s="5"/>
      <c r="DEE7" s="5"/>
      <c r="DEF7" s="5"/>
      <c r="DEG7" s="5"/>
      <c r="DEH7" s="5"/>
      <c r="DEI7" s="5"/>
      <c r="DEJ7" s="5"/>
      <c r="DEK7" s="5"/>
      <c r="DEL7" s="5"/>
      <c r="DEM7" s="5"/>
      <c r="DEN7" s="5"/>
      <c r="DEO7" s="5"/>
      <c r="DEP7" s="5"/>
      <c r="DEQ7" s="5"/>
      <c r="DER7" s="5"/>
      <c r="DES7" s="5"/>
      <c r="DET7" s="5"/>
      <c r="DEU7" s="5"/>
      <c r="DEV7" s="5"/>
      <c r="DEW7" s="5"/>
      <c r="DEX7" s="5"/>
      <c r="DEY7" s="5"/>
      <c r="DEZ7" s="5"/>
      <c r="DFA7" s="5"/>
      <c r="DFB7" s="5"/>
      <c r="DFC7" s="5"/>
      <c r="DFD7" s="5"/>
      <c r="DFE7" s="5"/>
      <c r="DFF7" s="5"/>
      <c r="DFG7" s="5"/>
      <c r="DFH7" s="5"/>
      <c r="DFI7" s="5"/>
      <c r="DFJ7" s="5"/>
      <c r="DFK7" s="5"/>
      <c r="DFL7" s="5"/>
      <c r="DFM7" s="5"/>
      <c r="DFN7" s="5"/>
      <c r="DFO7" s="5"/>
      <c r="DFP7" s="5"/>
      <c r="DFQ7" s="5"/>
      <c r="DFR7" s="5"/>
      <c r="DFS7" s="5"/>
      <c r="DFT7" s="5"/>
      <c r="DFU7" s="5"/>
      <c r="DFV7" s="5"/>
      <c r="DFW7" s="5"/>
      <c r="DFX7" s="5"/>
      <c r="DFY7" s="5"/>
      <c r="DFZ7" s="5"/>
      <c r="DGA7" s="5"/>
      <c r="DGB7" s="5"/>
      <c r="DGC7" s="5"/>
      <c r="DGD7" s="5"/>
      <c r="DGE7" s="5"/>
      <c r="DGF7" s="5"/>
      <c r="DGG7" s="5"/>
      <c r="DGH7" s="5"/>
      <c r="DGI7" s="5"/>
      <c r="DGJ7" s="5"/>
      <c r="DGK7" s="5"/>
      <c r="DGL7" s="5"/>
      <c r="DGM7" s="5"/>
      <c r="DGN7" s="5"/>
      <c r="DGO7" s="5"/>
      <c r="DGP7" s="5"/>
      <c r="DGQ7" s="5"/>
      <c r="DGR7" s="5"/>
      <c r="DGS7" s="5"/>
      <c r="DGT7" s="5"/>
      <c r="DGU7" s="5"/>
      <c r="DGV7" s="5"/>
      <c r="DGW7" s="5"/>
      <c r="DGX7" s="5"/>
      <c r="DGY7" s="5"/>
      <c r="DGZ7" s="5"/>
      <c r="DHA7" s="5"/>
      <c r="DHB7" s="5"/>
      <c r="DHC7" s="5"/>
      <c r="DHD7" s="5"/>
      <c r="DHE7" s="5"/>
      <c r="DHF7" s="5"/>
      <c r="DHG7" s="5"/>
      <c r="DHH7" s="5"/>
      <c r="DHI7" s="5"/>
      <c r="DHJ7" s="5"/>
      <c r="DHK7" s="5"/>
      <c r="DHL7" s="5"/>
      <c r="DHM7" s="5"/>
      <c r="DHN7" s="5"/>
      <c r="DHO7" s="5"/>
      <c r="DHP7" s="5"/>
      <c r="DHQ7" s="5"/>
      <c r="DHR7" s="5"/>
      <c r="DHS7" s="5"/>
      <c r="DHT7" s="5"/>
      <c r="DHU7" s="5"/>
      <c r="DHV7" s="5"/>
      <c r="DHW7" s="5"/>
      <c r="DHX7" s="5"/>
      <c r="DHY7" s="5"/>
      <c r="DHZ7" s="5"/>
      <c r="DIA7" s="5"/>
      <c r="DIB7" s="5"/>
      <c r="DIC7" s="5"/>
      <c r="DID7" s="5"/>
      <c r="DIE7" s="5"/>
      <c r="DIF7" s="5"/>
      <c r="DIG7" s="5"/>
      <c r="DIH7" s="5"/>
      <c r="DII7" s="5"/>
      <c r="DIJ7" s="5"/>
      <c r="DIK7" s="5"/>
      <c r="DIL7" s="5"/>
      <c r="DIM7" s="5"/>
      <c r="DIN7" s="5"/>
      <c r="DIO7" s="5"/>
      <c r="DIP7" s="5"/>
      <c r="DIQ7" s="5"/>
      <c r="DIR7" s="5"/>
      <c r="DIS7" s="5"/>
      <c r="DIT7" s="5"/>
      <c r="DIU7" s="5"/>
      <c r="DIV7" s="5"/>
      <c r="DIW7" s="5"/>
      <c r="DIX7" s="5"/>
      <c r="DIY7" s="5"/>
      <c r="DIZ7" s="5"/>
      <c r="DJA7" s="5"/>
      <c r="DJB7" s="5"/>
      <c r="DJC7" s="5"/>
      <c r="DJD7" s="5"/>
      <c r="DJE7" s="5"/>
      <c r="DJF7" s="5"/>
      <c r="DJG7" s="5"/>
      <c r="DJH7" s="5"/>
      <c r="DJI7" s="5"/>
      <c r="DJJ7" s="5"/>
      <c r="DJK7" s="5"/>
      <c r="DJL7" s="5"/>
      <c r="DJM7" s="5"/>
      <c r="DJN7" s="5"/>
      <c r="DJO7" s="5"/>
      <c r="DJP7" s="5"/>
      <c r="DJQ7" s="5"/>
      <c r="DJR7" s="5"/>
      <c r="DJS7" s="5"/>
      <c r="DJT7" s="5"/>
      <c r="DJU7" s="5"/>
      <c r="DJV7" s="5"/>
      <c r="DJW7" s="5"/>
      <c r="DJX7" s="5"/>
      <c r="DJY7" s="5"/>
      <c r="DJZ7" s="5"/>
      <c r="DKA7" s="5"/>
      <c r="DKB7" s="5"/>
      <c r="DKC7" s="5"/>
      <c r="DKD7" s="5"/>
      <c r="DKE7" s="5"/>
      <c r="DKF7" s="5"/>
      <c r="DKG7" s="5"/>
      <c r="DKH7" s="5"/>
      <c r="DKI7" s="5"/>
      <c r="DKJ7" s="5"/>
      <c r="DKK7" s="5"/>
      <c r="DKL7" s="5"/>
      <c r="DKM7" s="5"/>
      <c r="DKN7" s="5"/>
      <c r="DKO7" s="5"/>
      <c r="DKP7" s="5"/>
      <c r="DKQ7" s="5"/>
      <c r="DKR7" s="5"/>
      <c r="DKS7" s="5"/>
      <c r="DKT7" s="5"/>
      <c r="DKU7" s="5"/>
      <c r="DKV7" s="5"/>
      <c r="DKW7" s="5"/>
      <c r="DKX7" s="5"/>
      <c r="DKY7" s="5"/>
      <c r="DKZ7" s="5"/>
      <c r="DLA7" s="5"/>
      <c r="DLB7" s="5"/>
      <c r="DLC7" s="5"/>
      <c r="DLD7" s="5"/>
      <c r="DLE7" s="5"/>
      <c r="DLF7" s="5"/>
      <c r="DLG7" s="5"/>
      <c r="DLH7" s="5"/>
      <c r="DLI7" s="5"/>
      <c r="DLJ7" s="5"/>
      <c r="DLK7" s="5"/>
      <c r="DLL7" s="5"/>
      <c r="DLM7" s="5"/>
      <c r="DLN7" s="5"/>
      <c r="DLO7" s="5"/>
      <c r="DLP7" s="5"/>
      <c r="DLQ7" s="5"/>
      <c r="DLR7" s="5"/>
      <c r="DLS7" s="5"/>
      <c r="DLT7" s="5"/>
      <c r="DLU7" s="5"/>
      <c r="DLV7" s="5"/>
      <c r="DLW7" s="5"/>
      <c r="DLX7" s="5"/>
      <c r="DLY7" s="5"/>
      <c r="DLZ7" s="5"/>
      <c r="DMA7" s="5"/>
      <c r="DMB7" s="5"/>
      <c r="DMC7" s="5"/>
      <c r="DMD7" s="5"/>
      <c r="DME7" s="5"/>
      <c r="DMF7" s="5"/>
      <c r="DMG7" s="5"/>
      <c r="DMH7" s="5"/>
      <c r="DMI7" s="5"/>
      <c r="DMJ7" s="5"/>
      <c r="DMK7" s="5"/>
      <c r="DML7" s="5"/>
      <c r="DMM7" s="5"/>
      <c r="DMN7" s="5"/>
      <c r="DMO7" s="5"/>
      <c r="DMP7" s="5"/>
      <c r="DMQ7" s="5"/>
      <c r="DMR7" s="5"/>
      <c r="DMS7" s="5"/>
      <c r="DMT7" s="5"/>
      <c r="DMU7" s="5"/>
      <c r="DMV7" s="5"/>
      <c r="DMW7" s="5"/>
      <c r="DMX7" s="5"/>
      <c r="DMY7" s="5"/>
      <c r="DMZ7" s="5"/>
      <c r="DNA7" s="5"/>
      <c r="DNB7" s="5"/>
      <c r="DNC7" s="5"/>
      <c r="DND7" s="5"/>
      <c r="DNE7" s="5"/>
      <c r="DNF7" s="5"/>
      <c r="DNG7" s="5"/>
      <c r="DNH7" s="5"/>
      <c r="DNI7" s="5"/>
      <c r="DNJ7" s="5"/>
      <c r="DNK7" s="5"/>
      <c r="DNL7" s="5"/>
      <c r="DNM7" s="5"/>
      <c r="DNN7" s="5"/>
      <c r="DNO7" s="5"/>
      <c r="DNP7" s="5"/>
      <c r="DNQ7" s="5"/>
      <c r="DNR7" s="5"/>
      <c r="DNS7" s="5"/>
      <c r="DNT7" s="5"/>
      <c r="DNU7" s="5"/>
      <c r="DNV7" s="5"/>
      <c r="DNW7" s="5"/>
      <c r="DNX7" s="5"/>
      <c r="DNY7" s="5"/>
      <c r="DNZ7" s="5"/>
      <c r="DOA7" s="5"/>
      <c r="DOB7" s="5"/>
      <c r="DOC7" s="5"/>
      <c r="DOD7" s="5"/>
      <c r="DOE7" s="5"/>
      <c r="DOF7" s="5"/>
      <c r="DOG7" s="5"/>
      <c r="DOH7" s="5"/>
      <c r="DOI7" s="5"/>
      <c r="DOJ7" s="5"/>
      <c r="DOK7" s="5"/>
      <c r="DOL7" s="5"/>
      <c r="DOM7" s="5"/>
      <c r="DON7" s="5"/>
      <c r="DOO7" s="5"/>
      <c r="DOP7" s="5"/>
      <c r="DOQ7" s="5"/>
      <c r="DOR7" s="5"/>
      <c r="DOS7" s="5"/>
      <c r="DOT7" s="5"/>
      <c r="DOU7" s="5"/>
      <c r="DOV7" s="5"/>
      <c r="DOW7" s="5"/>
      <c r="DOX7" s="5"/>
      <c r="DOY7" s="5"/>
      <c r="DOZ7" s="5"/>
      <c r="DPA7" s="5"/>
      <c r="DPB7" s="5"/>
      <c r="DPC7" s="5"/>
      <c r="DPD7" s="5"/>
      <c r="DPE7" s="5"/>
      <c r="DPF7" s="5"/>
      <c r="DPG7" s="5"/>
      <c r="DPH7" s="5"/>
      <c r="DPI7" s="5"/>
      <c r="DPJ7" s="5"/>
      <c r="DPK7" s="5"/>
      <c r="DPL7" s="5"/>
      <c r="DPM7" s="5"/>
      <c r="DPN7" s="5"/>
      <c r="DPO7" s="5"/>
      <c r="DPP7" s="5"/>
      <c r="DPQ7" s="5"/>
      <c r="DPR7" s="5"/>
      <c r="DPS7" s="5"/>
      <c r="DPT7" s="5"/>
      <c r="DPU7" s="5"/>
      <c r="DPV7" s="5"/>
      <c r="DPW7" s="5"/>
      <c r="DPX7" s="5"/>
      <c r="DPY7" s="5"/>
      <c r="DPZ7" s="5"/>
      <c r="DQA7" s="5"/>
      <c r="DQB7" s="5"/>
      <c r="DQC7" s="5"/>
      <c r="DQD7" s="5"/>
      <c r="DQE7" s="5"/>
      <c r="DQF7" s="5"/>
      <c r="DQG7" s="5"/>
      <c r="DQH7" s="5"/>
      <c r="DQI7" s="5"/>
      <c r="DQJ7" s="5"/>
      <c r="DQK7" s="5"/>
      <c r="DQL7" s="5"/>
      <c r="DQM7" s="5"/>
      <c r="DQN7" s="5"/>
      <c r="DQO7" s="5"/>
      <c r="DQP7" s="5"/>
      <c r="DQQ7" s="5"/>
      <c r="DQR7" s="5"/>
      <c r="DQS7" s="5"/>
      <c r="DQT7" s="5"/>
      <c r="DQU7" s="5"/>
      <c r="DQV7" s="5"/>
      <c r="DQW7" s="5"/>
      <c r="DQX7" s="5"/>
      <c r="DQY7" s="5"/>
      <c r="DQZ7" s="5"/>
      <c r="DRA7" s="5"/>
      <c r="DRB7" s="5"/>
      <c r="DRC7" s="5"/>
      <c r="DRD7" s="5"/>
      <c r="DRE7" s="5"/>
      <c r="DRF7" s="5"/>
      <c r="DRG7" s="5"/>
      <c r="DRH7" s="5"/>
      <c r="DRI7" s="5"/>
      <c r="DRJ7" s="5"/>
      <c r="DRK7" s="5"/>
      <c r="DRL7" s="5"/>
      <c r="DRM7" s="5"/>
      <c r="DRN7" s="5"/>
      <c r="DRO7" s="5"/>
      <c r="DRP7" s="5"/>
      <c r="DRQ7" s="5"/>
      <c r="DRR7" s="5"/>
      <c r="DRS7" s="5"/>
      <c r="DRT7" s="5"/>
      <c r="DRU7" s="5"/>
      <c r="DRV7" s="5"/>
      <c r="DRW7" s="5"/>
      <c r="DRX7" s="5"/>
      <c r="DRY7" s="5"/>
      <c r="DRZ7" s="5"/>
      <c r="DSA7" s="5"/>
      <c r="DSB7" s="5"/>
      <c r="DSC7" s="5"/>
      <c r="DSD7" s="5"/>
      <c r="DSE7" s="5"/>
      <c r="DSF7" s="5"/>
      <c r="DSG7" s="5"/>
      <c r="DSH7" s="5"/>
      <c r="DSI7" s="5"/>
      <c r="DSJ7" s="5"/>
      <c r="DSK7" s="5"/>
      <c r="DSL7" s="5"/>
      <c r="DSM7" s="5"/>
      <c r="DSN7" s="5"/>
      <c r="DSO7" s="5"/>
      <c r="DSP7" s="5"/>
      <c r="DSQ7" s="5"/>
      <c r="DSR7" s="5"/>
      <c r="DSS7" s="5"/>
      <c r="DST7" s="5"/>
      <c r="DSU7" s="5"/>
      <c r="DSV7" s="5"/>
      <c r="DSW7" s="5"/>
      <c r="DSX7" s="5"/>
      <c r="DSY7" s="5"/>
      <c r="DSZ7" s="5"/>
      <c r="DTA7" s="5"/>
      <c r="DTB7" s="5"/>
      <c r="DTC7" s="5"/>
      <c r="DTD7" s="5"/>
      <c r="DTE7" s="5"/>
      <c r="DTF7" s="5"/>
      <c r="DTG7" s="5"/>
      <c r="DTH7" s="5"/>
      <c r="DTI7" s="5"/>
      <c r="DTJ7" s="5"/>
      <c r="DTK7" s="5"/>
      <c r="DTL7" s="5"/>
      <c r="DTM7" s="5"/>
      <c r="DTN7" s="5"/>
      <c r="DTO7" s="5"/>
      <c r="DTP7" s="5"/>
      <c r="DTQ7" s="5"/>
      <c r="DTR7" s="5"/>
      <c r="DTS7" s="5"/>
      <c r="DTT7" s="5"/>
      <c r="DTU7" s="5"/>
      <c r="DTV7" s="5"/>
      <c r="DTW7" s="5"/>
      <c r="DTX7" s="5"/>
      <c r="DTY7" s="5"/>
      <c r="DTZ7" s="5"/>
      <c r="DUA7" s="5"/>
      <c r="DUB7" s="5"/>
      <c r="DUC7" s="5"/>
      <c r="DUD7" s="5"/>
      <c r="DUE7" s="5"/>
      <c r="DUF7" s="5"/>
      <c r="DUG7" s="5"/>
      <c r="DUH7" s="5"/>
      <c r="DUI7" s="5"/>
      <c r="DUJ7" s="5"/>
      <c r="DUK7" s="5"/>
      <c r="DUL7" s="5"/>
      <c r="DUM7" s="5"/>
      <c r="DUN7" s="5"/>
      <c r="DUO7" s="5"/>
      <c r="DUP7" s="5"/>
      <c r="DUQ7" s="5"/>
      <c r="DUR7" s="5"/>
      <c r="DUS7" s="5"/>
      <c r="DUT7" s="5"/>
      <c r="DUU7" s="5"/>
      <c r="DUV7" s="5"/>
      <c r="DUW7" s="5"/>
      <c r="DUX7" s="5"/>
      <c r="DUY7" s="5"/>
      <c r="DUZ7" s="5"/>
      <c r="DVA7" s="5"/>
      <c r="DVB7" s="5"/>
      <c r="DVC7" s="5"/>
      <c r="DVD7" s="5"/>
      <c r="DVE7" s="5"/>
      <c r="DVF7" s="5"/>
      <c r="DVG7" s="5"/>
      <c r="DVH7" s="5"/>
      <c r="DVI7" s="5"/>
      <c r="DVJ7" s="5"/>
      <c r="DVK7" s="5"/>
      <c r="DVL7" s="5"/>
      <c r="DVM7" s="5"/>
      <c r="DVN7" s="5"/>
      <c r="DVO7" s="5"/>
      <c r="DVP7" s="5"/>
      <c r="DVQ7" s="5"/>
      <c r="DVR7" s="5"/>
      <c r="DVS7" s="5"/>
      <c r="DVT7" s="5"/>
      <c r="DVU7" s="5"/>
      <c r="DVV7" s="5"/>
      <c r="DVW7" s="5"/>
      <c r="DVX7" s="5"/>
      <c r="DVY7" s="5"/>
      <c r="DVZ7" s="5"/>
      <c r="DWA7" s="5"/>
      <c r="DWB7" s="5"/>
      <c r="DWC7" s="5"/>
      <c r="DWD7" s="5"/>
      <c r="DWE7" s="5"/>
      <c r="DWF7" s="5"/>
      <c r="DWG7" s="5"/>
      <c r="DWH7" s="5"/>
      <c r="DWI7" s="5"/>
      <c r="DWJ7" s="5"/>
      <c r="DWK7" s="5"/>
      <c r="DWL7" s="5"/>
      <c r="DWM7" s="5"/>
      <c r="DWN7" s="5"/>
      <c r="DWO7" s="5"/>
      <c r="DWP7" s="5"/>
      <c r="DWQ7" s="5"/>
      <c r="DWR7" s="5"/>
      <c r="DWS7" s="5"/>
      <c r="DWT7" s="5"/>
      <c r="DWU7" s="5"/>
      <c r="DWV7" s="5"/>
      <c r="DWW7" s="5"/>
      <c r="DWX7" s="5"/>
      <c r="DWY7" s="5"/>
      <c r="DWZ7" s="5"/>
      <c r="DXA7" s="5"/>
      <c r="DXB7" s="5"/>
      <c r="DXC7" s="5"/>
      <c r="DXD7" s="5"/>
      <c r="DXE7" s="5"/>
      <c r="DXF7" s="5"/>
      <c r="DXG7" s="5"/>
      <c r="DXH7" s="5"/>
      <c r="DXI7" s="5"/>
      <c r="DXJ7" s="5"/>
      <c r="DXK7" s="5"/>
      <c r="DXL7" s="5"/>
      <c r="DXM7" s="5"/>
      <c r="DXN7" s="5"/>
      <c r="DXO7" s="5"/>
      <c r="DXP7" s="5"/>
      <c r="DXQ7" s="5"/>
      <c r="DXR7" s="5"/>
      <c r="DXS7" s="5"/>
      <c r="DXT7" s="5"/>
      <c r="DXU7" s="5"/>
      <c r="DXV7" s="5"/>
      <c r="DXW7" s="5"/>
      <c r="DXX7" s="5"/>
      <c r="DXY7" s="5"/>
      <c r="DXZ7" s="5"/>
      <c r="DYA7" s="5"/>
      <c r="DYB7" s="5"/>
      <c r="DYC7" s="5"/>
      <c r="DYD7" s="5"/>
      <c r="DYE7" s="5"/>
      <c r="DYF7" s="5"/>
      <c r="DYG7" s="5"/>
      <c r="DYH7" s="5"/>
      <c r="DYI7" s="5"/>
      <c r="DYJ7" s="5"/>
      <c r="DYK7" s="5"/>
      <c r="DYL7" s="5"/>
      <c r="DYM7" s="5"/>
      <c r="DYN7" s="5"/>
      <c r="DYO7" s="5"/>
      <c r="DYP7" s="5"/>
      <c r="DYQ7" s="5"/>
      <c r="DYR7" s="5"/>
      <c r="DYS7" s="5"/>
      <c r="DYT7" s="5"/>
      <c r="DYU7" s="5"/>
      <c r="DYV7" s="5"/>
      <c r="DYW7" s="5"/>
      <c r="DYX7" s="5"/>
      <c r="DYY7" s="5"/>
      <c r="DYZ7" s="5"/>
      <c r="DZA7" s="5"/>
      <c r="DZB7" s="5"/>
      <c r="DZC7" s="5"/>
      <c r="DZD7" s="5"/>
      <c r="DZE7" s="5"/>
      <c r="DZF7" s="5"/>
      <c r="DZG7" s="5"/>
      <c r="DZH7" s="5"/>
      <c r="DZI7" s="5"/>
      <c r="DZJ7" s="5"/>
      <c r="DZK7" s="5"/>
      <c r="DZL7" s="5"/>
      <c r="DZM7" s="5"/>
      <c r="DZN7" s="5"/>
      <c r="DZO7" s="5"/>
      <c r="DZP7" s="5"/>
      <c r="DZQ7" s="5"/>
      <c r="DZR7" s="5"/>
      <c r="DZS7" s="5"/>
      <c r="DZT7" s="5"/>
      <c r="DZU7" s="5"/>
      <c r="DZV7" s="5"/>
      <c r="DZW7" s="5"/>
      <c r="DZX7" s="5"/>
      <c r="DZY7" s="5"/>
      <c r="DZZ7" s="5"/>
      <c r="EAA7" s="5"/>
      <c r="EAB7" s="5"/>
      <c r="EAC7" s="5"/>
      <c r="EAD7" s="5"/>
      <c r="EAE7" s="5"/>
      <c r="EAF7" s="5"/>
      <c r="EAG7" s="5"/>
      <c r="EAH7" s="5"/>
      <c r="EAI7" s="5"/>
      <c r="EAJ7" s="5"/>
      <c r="EAK7" s="5"/>
      <c r="EAL7" s="5"/>
      <c r="EAM7" s="5"/>
      <c r="EAN7" s="5"/>
      <c r="EAO7" s="5"/>
      <c r="EAP7" s="5"/>
      <c r="EAQ7" s="5"/>
      <c r="EAR7" s="5"/>
      <c r="EAS7" s="5"/>
      <c r="EAT7" s="5"/>
      <c r="EAU7" s="5"/>
      <c r="EAV7" s="5"/>
      <c r="EAW7" s="5"/>
      <c r="EAX7" s="5"/>
      <c r="EAY7" s="5"/>
      <c r="EAZ7" s="5"/>
      <c r="EBA7" s="5"/>
      <c r="EBB7" s="5"/>
      <c r="EBC7" s="5"/>
      <c r="EBD7" s="5"/>
      <c r="EBE7" s="5"/>
      <c r="EBF7" s="5"/>
      <c r="EBG7" s="5"/>
      <c r="EBH7" s="5"/>
      <c r="EBI7" s="5"/>
      <c r="EBJ7" s="5"/>
      <c r="EBK7" s="5"/>
      <c r="EBL7" s="5"/>
      <c r="EBM7" s="5"/>
      <c r="EBN7" s="5"/>
      <c r="EBO7" s="5"/>
      <c r="EBP7" s="5"/>
      <c r="EBQ7" s="5"/>
      <c r="EBR7" s="5"/>
      <c r="EBS7" s="5"/>
      <c r="EBT7" s="5"/>
      <c r="EBU7" s="5"/>
      <c r="EBV7" s="5"/>
      <c r="EBW7" s="5"/>
      <c r="EBX7" s="5"/>
      <c r="EBY7" s="5"/>
      <c r="EBZ7" s="5"/>
      <c r="ECA7" s="5"/>
      <c r="ECB7" s="5"/>
      <c r="ECC7" s="5"/>
      <c r="ECD7" s="5"/>
      <c r="ECE7" s="5"/>
      <c r="ECF7" s="5"/>
      <c r="ECG7" s="5"/>
      <c r="ECH7" s="5"/>
      <c r="ECI7" s="5"/>
      <c r="ECJ7" s="5"/>
      <c r="ECK7" s="5"/>
      <c r="ECL7" s="5"/>
      <c r="ECM7" s="5"/>
      <c r="ECN7" s="5"/>
      <c r="ECO7" s="5"/>
      <c r="ECP7" s="5"/>
      <c r="ECQ7" s="5"/>
      <c r="ECR7" s="5"/>
      <c r="ECS7" s="5"/>
      <c r="ECT7" s="5"/>
      <c r="ECU7" s="5"/>
      <c r="ECV7" s="5"/>
      <c r="ECW7" s="5"/>
      <c r="ECX7" s="5"/>
      <c r="ECY7" s="5"/>
      <c r="ECZ7" s="5"/>
      <c r="EDA7" s="5"/>
      <c r="EDB7" s="5"/>
      <c r="EDC7" s="5"/>
      <c r="EDD7" s="5"/>
      <c r="EDE7" s="5"/>
      <c r="EDF7" s="5"/>
      <c r="EDG7" s="5"/>
      <c r="EDH7" s="5"/>
      <c r="EDI7" s="5"/>
      <c r="EDJ7" s="5"/>
      <c r="EDK7" s="5"/>
      <c r="EDL7" s="5"/>
      <c r="EDM7" s="5"/>
      <c r="EDN7" s="5"/>
      <c r="EDO7" s="5"/>
      <c r="EDP7" s="5"/>
      <c r="EDQ7" s="5"/>
      <c r="EDR7" s="5"/>
      <c r="EDS7" s="5"/>
      <c r="EDT7" s="5"/>
      <c r="EDU7" s="5"/>
      <c r="EDV7" s="5"/>
      <c r="EDW7" s="5"/>
      <c r="EDX7" s="5"/>
      <c r="EDY7" s="5"/>
      <c r="EDZ7" s="5"/>
      <c r="EEA7" s="5"/>
      <c r="EEB7" s="5"/>
      <c r="EEC7" s="5"/>
      <c r="EED7" s="5"/>
      <c r="EEE7" s="5"/>
      <c r="EEF7" s="5"/>
      <c r="EEG7" s="5"/>
      <c r="EEH7" s="5"/>
      <c r="EEI7" s="5"/>
      <c r="EEJ7" s="5"/>
      <c r="EEK7" s="5"/>
      <c r="EEL7" s="5"/>
      <c r="EEM7" s="5"/>
      <c r="EEN7" s="5"/>
      <c r="EEO7" s="5"/>
      <c r="EEP7" s="5"/>
      <c r="EEQ7" s="5"/>
      <c r="EER7" s="5"/>
      <c r="EES7" s="5"/>
      <c r="EET7" s="5"/>
      <c r="EEU7" s="5"/>
      <c r="EEV7" s="5"/>
      <c r="EEW7" s="5"/>
      <c r="EEX7" s="5"/>
      <c r="EEY7" s="5"/>
      <c r="EEZ7" s="5"/>
      <c r="EFA7" s="5"/>
      <c r="EFB7" s="5"/>
      <c r="EFC7" s="5"/>
      <c r="EFD7" s="5"/>
      <c r="EFE7" s="5"/>
      <c r="EFF7" s="5"/>
      <c r="EFG7" s="5"/>
      <c r="EFH7" s="5"/>
      <c r="EFI7" s="5"/>
      <c r="EFJ7" s="5"/>
      <c r="EFK7" s="5"/>
      <c r="EFL7" s="5"/>
      <c r="EFM7" s="5"/>
      <c r="EFN7" s="5"/>
      <c r="EFO7" s="5"/>
      <c r="EFP7" s="5"/>
      <c r="EFQ7" s="5"/>
      <c r="EFR7" s="5"/>
      <c r="EFS7" s="5"/>
      <c r="EFT7" s="5"/>
      <c r="EFU7" s="5"/>
      <c r="EFV7" s="5"/>
      <c r="EFW7" s="5"/>
      <c r="EFX7" s="5"/>
      <c r="EFY7" s="5"/>
      <c r="EFZ7" s="5"/>
      <c r="EGA7" s="5"/>
      <c r="EGB7" s="5"/>
      <c r="EGC7" s="5"/>
      <c r="EGD7" s="5"/>
      <c r="EGE7" s="5"/>
      <c r="EGF7" s="5"/>
      <c r="EGG7" s="5"/>
      <c r="EGH7" s="5"/>
      <c r="EGI7" s="5"/>
      <c r="EGJ7" s="5"/>
      <c r="EGK7" s="5"/>
      <c r="EGL7" s="5"/>
      <c r="EGM7" s="5"/>
      <c r="EGN7" s="5"/>
      <c r="EGO7" s="5"/>
      <c r="EGP7" s="5"/>
      <c r="EGQ7" s="5"/>
      <c r="EGR7" s="5"/>
      <c r="EGS7" s="5"/>
      <c r="EGT7" s="5"/>
      <c r="EGU7" s="5"/>
      <c r="EGV7" s="5"/>
      <c r="EGW7" s="5"/>
      <c r="EGX7" s="5"/>
      <c r="EGY7" s="5"/>
      <c r="EGZ7" s="5"/>
      <c r="EHA7" s="5"/>
      <c r="EHB7" s="5"/>
      <c r="EHC7" s="5"/>
      <c r="EHD7" s="5"/>
      <c r="EHE7" s="5"/>
      <c r="EHF7" s="5"/>
      <c r="EHG7" s="5"/>
      <c r="EHH7" s="5"/>
      <c r="EHI7" s="5"/>
      <c r="EHJ7" s="5"/>
      <c r="EHK7" s="5"/>
      <c r="EHL7" s="5"/>
      <c r="EHM7" s="5"/>
      <c r="EHN7" s="5"/>
      <c r="EHO7" s="5"/>
      <c r="EHP7" s="5"/>
      <c r="EHQ7" s="5"/>
      <c r="EHR7" s="5"/>
      <c r="EHS7" s="5"/>
      <c r="EHT7" s="5"/>
      <c r="EHU7" s="5"/>
      <c r="EHV7" s="5"/>
      <c r="EHW7" s="5"/>
      <c r="EHX7" s="5"/>
      <c r="EHY7" s="5"/>
      <c r="EHZ7" s="5"/>
      <c r="EIA7" s="5"/>
      <c r="EIB7" s="5"/>
      <c r="EIC7" s="5"/>
      <c r="EID7" s="5"/>
      <c r="EIE7" s="5"/>
      <c r="EIF7" s="5"/>
      <c r="EIG7" s="5"/>
      <c r="EIH7" s="5"/>
      <c r="EII7" s="5"/>
      <c r="EIJ7" s="5"/>
      <c r="EIK7" s="5"/>
      <c r="EIL7" s="5"/>
      <c r="EIM7" s="5"/>
      <c r="EIN7" s="5"/>
      <c r="EIO7" s="5"/>
      <c r="EIP7" s="5"/>
      <c r="EIQ7" s="5"/>
      <c r="EIR7" s="5"/>
      <c r="EIS7" s="5"/>
      <c r="EIT7" s="5"/>
      <c r="EIU7" s="5"/>
      <c r="EIV7" s="5"/>
      <c r="EIW7" s="5"/>
      <c r="EIX7" s="5"/>
      <c r="EIY7" s="5"/>
      <c r="EIZ7" s="5"/>
      <c r="EJA7" s="5"/>
      <c r="EJB7" s="5"/>
      <c r="EJC7" s="5"/>
      <c r="EJD7" s="5"/>
      <c r="EJE7" s="5"/>
      <c r="EJF7" s="5"/>
      <c r="EJG7" s="5"/>
      <c r="EJH7" s="5"/>
      <c r="EJI7" s="5"/>
      <c r="EJJ7" s="5"/>
      <c r="EJK7" s="5"/>
      <c r="EJL7" s="5"/>
      <c r="EJM7" s="5"/>
      <c r="EJN7" s="5"/>
      <c r="EJO7" s="5"/>
      <c r="EJP7" s="5"/>
      <c r="EJQ7" s="5"/>
      <c r="EJR7" s="5"/>
      <c r="EJS7" s="5"/>
      <c r="EJT7" s="5"/>
      <c r="EJU7" s="5"/>
      <c r="EJV7" s="5"/>
      <c r="EJW7" s="5"/>
      <c r="EJX7" s="5"/>
      <c r="EJY7" s="5"/>
      <c r="EJZ7" s="5"/>
      <c r="EKA7" s="5"/>
      <c r="EKB7" s="5"/>
      <c r="EKC7" s="5"/>
      <c r="EKD7" s="5"/>
      <c r="EKE7" s="5"/>
      <c r="EKF7" s="5"/>
      <c r="EKG7" s="5"/>
      <c r="EKH7" s="5"/>
      <c r="EKI7" s="5"/>
      <c r="EKJ7" s="5"/>
      <c r="EKK7" s="5"/>
      <c r="EKL7" s="5"/>
      <c r="EKM7" s="5"/>
      <c r="EKN7" s="5"/>
      <c r="EKO7" s="5"/>
      <c r="EKP7" s="5"/>
      <c r="EKQ7" s="5"/>
      <c r="EKR7" s="5"/>
      <c r="EKS7" s="5"/>
      <c r="EKT7" s="5"/>
      <c r="EKU7" s="5"/>
      <c r="EKV7" s="5"/>
      <c r="EKW7" s="5"/>
      <c r="EKX7" s="5"/>
      <c r="EKY7" s="5"/>
      <c r="EKZ7" s="5"/>
      <c r="ELA7" s="5"/>
      <c r="ELB7" s="5"/>
      <c r="ELC7" s="5"/>
      <c r="ELD7" s="5"/>
      <c r="ELE7" s="5"/>
      <c r="ELF7" s="5"/>
      <c r="ELG7" s="5"/>
      <c r="ELH7" s="5"/>
      <c r="ELI7" s="5"/>
      <c r="ELJ7" s="5"/>
      <c r="ELK7" s="5"/>
      <c r="ELL7" s="5"/>
      <c r="ELM7" s="5"/>
      <c r="ELN7" s="5"/>
      <c r="ELO7" s="5"/>
      <c r="ELP7" s="5"/>
      <c r="ELQ7" s="5"/>
      <c r="ELR7" s="5"/>
      <c r="ELS7" s="5"/>
      <c r="ELT7" s="5"/>
      <c r="ELU7" s="5"/>
      <c r="ELV7" s="5"/>
      <c r="ELW7" s="5"/>
      <c r="ELX7" s="5"/>
      <c r="ELY7" s="5"/>
      <c r="ELZ7" s="5"/>
      <c r="EMA7" s="5"/>
      <c r="EMB7" s="5"/>
      <c r="EMC7" s="5"/>
      <c r="EMD7" s="5"/>
      <c r="EME7" s="5"/>
      <c r="EMF7" s="5"/>
      <c r="EMG7" s="5"/>
      <c r="EMH7" s="5"/>
      <c r="EMI7" s="5"/>
      <c r="EMJ7" s="5"/>
      <c r="EMK7" s="5"/>
      <c r="EML7" s="5"/>
      <c r="EMM7" s="5"/>
      <c r="EMN7" s="5"/>
      <c r="EMO7" s="5"/>
      <c r="EMP7" s="5"/>
      <c r="EMQ7" s="5"/>
      <c r="EMR7" s="5"/>
      <c r="EMS7" s="5"/>
      <c r="EMT7" s="5"/>
      <c r="EMU7" s="5"/>
      <c r="EMV7" s="5"/>
      <c r="EMW7" s="5"/>
      <c r="EMX7" s="5"/>
      <c r="EMY7" s="5"/>
      <c r="EMZ7" s="5"/>
      <c r="ENA7" s="5"/>
      <c r="ENB7" s="5"/>
      <c r="ENC7" s="5"/>
      <c r="END7" s="5"/>
      <c r="ENE7" s="5"/>
      <c r="ENF7" s="5"/>
      <c r="ENG7" s="5"/>
      <c r="ENH7" s="5"/>
      <c r="ENI7" s="5"/>
      <c r="ENJ7" s="5"/>
      <c r="ENK7" s="5"/>
      <c r="ENL7" s="5"/>
      <c r="ENM7" s="5"/>
      <c r="ENN7" s="5"/>
      <c r="ENO7" s="5"/>
      <c r="ENP7" s="5"/>
      <c r="ENQ7" s="5"/>
      <c r="ENR7" s="5"/>
      <c r="ENS7" s="5"/>
      <c r="ENT7" s="5"/>
      <c r="ENU7" s="5"/>
      <c r="ENV7" s="5"/>
      <c r="ENW7" s="5"/>
      <c r="ENX7" s="5"/>
      <c r="ENY7" s="5"/>
      <c r="ENZ7" s="5"/>
      <c r="EOA7" s="5"/>
      <c r="EOB7" s="5"/>
      <c r="EOC7" s="5"/>
      <c r="EOD7" s="5"/>
      <c r="EOE7" s="5"/>
      <c r="EOF7" s="5"/>
      <c r="EOG7" s="5"/>
      <c r="EOH7" s="5"/>
      <c r="EOI7" s="5"/>
      <c r="EOJ7" s="5"/>
      <c r="EOK7" s="5"/>
      <c r="EOL7" s="5"/>
      <c r="EOM7" s="5"/>
      <c r="EON7" s="5"/>
      <c r="EOO7" s="5"/>
      <c r="EOP7" s="5"/>
      <c r="EOQ7" s="5"/>
      <c r="EOR7" s="5"/>
      <c r="EOS7" s="5"/>
      <c r="EOT7" s="5"/>
      <c r="EOU7" s="5"/>
      <c r="EOV7" s="5"/>
      <c r="EOW7" s="5"/>
      <c r="EOX7" s="5"/>
      <c r="EOY7" s="5"/>
      <c r="EOZ7" s="5"/>
      <c r="EPA7" s="5"/>
      <c r="EPB7" s="5"/>
      <c r="EPC7" s="5"/>
      <c r="EPD7" s="5"/>
      <c r="EPE7" s="5"/>
      <c r="EPF7" s="5"/>
      <c r="EPG7" s="5"/>
      <c r="EPH7" s="5"/>
      <c r="EPI7" s="5"/>
      <c r="EPJ7" s="5"/>
      <c r="EPK7" s="5"/>
      <c r="EPL7" s="5"/>
      <c r="EPM7" s="5"/>
      <c r="EPN7" s="5"/>
      <c r="EPO7" s="5"/>
      <c r="EPP7" s="5"/>
      <c r="EPQ7" s="5"/>
      <c r="EPR7" s="5"/>
      <c r="EPS7" s="5"/>
      <c r="EPT7" s="5"/>
      <c r="EPU7" s="5"/>
      <c r="EPV7" s="5"/>
      <c r="EPW7" s="5"/>
      <c r="EPX7" s="5"/>
      <c r="EPY7" s="5"/>
      <c r="EPZ7" s="5"/>
      <c r="EQA7" s="5"/>
      <c r="EQB7" s="5"/>
      <c r="EQC7" s="5"/>
      <c r="EQD7" s="5"/>
      <c r="EQE7" s="5"/>
      <c r="EQF7" s="5"/>
      <c r="EQG7" s="5"/>
      <c r="EQH7" s="5"/>
      <c r="EQI7" s="5"/>
      <c r="EQJ7" s="5"/>
      <c r="EQK7" s="5"/>
      <c r="EQL7" s="5"/>
      <c r="EQM7" s="5"/>
      <c r="EQN7" s="5"/>
      <c r="EQO7" s="5"/>
      <c r="EQP7" s="5"/>
      <c r="EQQ7" s="5"/>
      <c r="EQR7" s="5"/>
      <c r="EQS7" s="5"/>
      <c r="EQT7" s="5"/>
      <c r="EQU7" s="5"/>
      <c r="EQV7" s="5"/>
      <c r="EQW7" s="5"/>
      <c r="EQX7" s="5"/>
      <c r="EQY7" s="5"/>
      <c r="EQZ7" s="5"/>
      <c r="ERA7" s="5"/>
      <c r="ERB7" s="5"/>
      <c r="ERC7" s="5"/>
      <c r="ERD7" s="5"/>
      <c r="ERE7" s="5"/>
      <c r="ERF7" s="5"/>
      <c r="ERG7" s="5"/>
      <c r="ERH7" s="5"/>
      <c r="ERI7" s="5"/>
      <c r="ERJ7" s="5"/>
      <c r="ERK7" s="5"/>
      <c r="ERL7" s="5"/>
      <c r="ERM7" s="5"/>
      <c r="ERN7" s="5"/>
      <c r="ERO7" s="5"/>
      <c r="ERP7" s="5"/>
      <c r="ERQ7" s="5"/>
      <c r="ERR7" s="5"/>
      <c r="ERS7" s="5"/>
      <c r="ERT7" s="5"/>
      <c r="ERU7" s="5"/>
      <c r="ERV7" s="5"/>
      <c r="ERW7" s="5"/>
      <c r="ERX7" s="5"/>
      <c r="ERY7" s="5"/>
      <c r="ERZ7" s="5"/>
      <c r="ESA7" s="5"/>
      <c r="ESB7" s="5"/>
      <c r="ESC7" s="5"/>
      <c r="ESD7" s="5"/>
      <c r="ESE7" s="5"/>
      <c r="ESF7" s="5"/>
      <c r="ESG7" s="5"/>
      <c r="ESH7" s="5"/>
      <c r="ESI7" s="5"/>
      <c r="ESJ7" s="5"/>
      <c r="ESK7" s="5"/>
      <c r="ESL7" s="5"/>
      <c r="ESM7" s="5"/>
      <c r="ESN7" s="5"/>
      <c r="ESO7" s="5"/>
      <c r="ESP7" s="5"/>
      <c r="ESQ7" s="5"/>
      <c r="ESR7" s="5"/>
      <c r="ESS7" s="5"/>
      <c r="EST7" s="5"/>
      <c r="ESU7" s="5"/>
      <c r="ESV7" s="5"/>
      <c r="ESW7" s="5"/>
      <c r="ESX7" s="5"/>
      <c r="ESY7" s="5"/>
      <c r="ESZ7" s="5"/>
      <c r="ETA7" s="5"/>
      <c r="ETB7" s="5"/>
      <c r="ETC7" s="5"/>
      <c r="ETD7" s="5"/>
      <c r="ETE7" s="5"/>
      <c r="ETF7" s="5"/>
      <c r="ETG7" s="5"/>
      <c r="ETH7" s="5"/>
      <c r="ETI7" s="5"/>
      <c r="ETJ7" s="5"/>
      <c r="ETK7" s="5"/>
      <c r="ETL7" s="5"/>
      <c r="ETM7" s="5"/>
      <c r="ETN7" s="5"/>
      <c r="ETO7" s="5"/>
      <c r="ETP7" s="5"/>
      <c r="ETQ7" s="5"/>
      <c r="ETR7" s="5"/>
      <c r="ETS7" s="5"/>
      <c r="ETT7" s="5"/>
      <c r="ETU7" s="5"/>
      <c r="ETV7" s="5"/>
      <c r="ETW7" s="5"/>
      <c r="ETX7" s="5"/>
      <c r="ETY7" s="5"/>
      <c r="ETZ7" s="5"/>
      <c r="EUA7" s="5"/>
      <c r="EUB7" s="5"/>
      <c r="EUC7" s="5"/>
      <c r="EUD7" s="5"/>
      <c r="EUE7" s="5"/>
      <c r="EUF7" s="5"/>
      <c r="EUG7" s="5"/>
      <c r="EUH7" s="5"/>
      <c r="EUI7" s="5"/>
      <c r="EUJ7" s="5"/>
      <c r="EUK7" s="5"/>
      <c r="EUL7" s="5"/>
      <c r="EUM7" s="5"/>
      <c r="EUN7" s="5"/>
      <c r="EUO7" s="5"/>
      <c r="EUP7" s="5"/>
      <c r="EUQ7" s="5"/>
      <c r="EUR7" s="5"/>
      <c r="EUS7" s="5"/>
      <c r="EUT7" s="5"/>
      <c r="EUU7" s="5"/>
      <c r="EUV7" s="5"/>
      <c r="EUW7" s="5"/>
      <c r="EUX7" s="5"/>
      <c r="EUY7" s="5"/>
      <c r="EUZ7" s="5"/>
      <c r="EVA7" s="5"/>
      <c r="EVB7" s="5"/>
      <c r="EVC7" s="5"/>
      <c r="EVD7" s="5"/>
      <c r="EVE7" s="5"/>
      <c r="EVF7" s="5"/>
      <c r="EVG7" s="5"/>
      <c r="EVH7" s="5"/>
      <c r="EVI7" s="5"/>
      <c r="EVJ7" s="5"/>
      <c r="EVK7" s="5"/>
      <c r="EVL7" s="5"/>
      <c r="EVM7" s="5"/>
      <c r="EVN7" s="5"/>
      <c r="EVO7" s="5"/>
      <c r="EVP7" s="5"/>
      <c r="EVQ7" s="5"/>
      <c r="EVR7" s="5"/>
      <c r="EVS7" s="5"/>
      <c r="EVT7" s="5"/>
      <c r="EVU7" s="5"/>
      <c r="EVV7" s="5"/>
      <c r="EVW7" s="5"/>
      <c r="EVX7" s="5"/>
      <c r="EVY7" s="5"/>
      <c r="EVZ7" s="5"/>
      <c r="EWA7" s="5"/>
      <c r="EWB7" s="5"/>
      <c r="EWC7" s="5"/>
      <c r="EWD7" s="5"/>
      <c r="EWE7" s="5"/>
      <c r="EWF7" s="5"/>
      <c r="EWG7" s="5"/>
      <c r="EWH7" s="5"/>
      <c r="EWI7" s="5"/>
      <c r="EWJ7" s="5"/>
      <c r="EWK7" s="5"/>
      <c r="EWL7" s="5"/>
      <c r="EWM7" s="5"/>
      <c r="EWN7" s="5"/>
      <c r="EWO7" s="5"/>
      <c r="EWP7" s="5"/>
      <c r="EWQ7" s="5"/>
      <c r="EWR7" s="5"/>
      <c r="EWS7" s="5"/>
      <c r="EWT7" s="5"/>
      <c r="EWU7" s="5"/>
      <c r="EWV7" s="5"/>
      <c r="EWW7" s="5"/>
      <c r="EWX7" s="5"/>
      <c r="EWY7" s="5"/>
      <c r="EWZ7" s="5"/>
      <c r="EXA7" s="5"/>
      <c r="EXB7" s="5"/>
      <c r="EXC7" s="5"/>
      <c r="EXD7" s="5"/>
      <c r="EXE7" s="5"/>
      <c r="EXF7" s="5"/>
      <c r="EXG7" s="5"/>
      <c r="EXH7" s="5"/>
      <c r="EXI7" s="5"/>
      <c r="EXJ7" s="5"/>
      <c r="EXK7" s="5"/>
      <c r="EXL7" s="5"/>
      <c r="EXM7" s="5"/>
      <c r="EXN7" s="5"/>
      <c r="EXO7" s="5"/>
      <c r="EXP7" s="5"/>
      <c r="EXQ7" s="5"/>
      <c r="EXR7" s="5"/>
      <c r="EXS7" s="5"/>
      <c r="EXT7" s="5"/>
      <c r="EXU7" s="5"/>
      <c r="EXV7" s="5"/>
      <c r="EXW7" s="5"/>
      <c r="EXX7" s="5"/>
      <c r="EXY7" s="5"/>
      <c r="EXZ7" s="5"/>
      <c r="EYA7" s="5"/>
      <c r="EYB7" s="5"/>
      <c r="EYC7" s="5"/>
      <c r="EYD7" s="5"/>
      <c r="EYE7" s="5"/>
      <c r="EYF7" s="5"/>
      <c r="EYG7" s="5"/>
      <c r="EYH7" s="5"/>
      <c r="EYI7" s="5"/>
      <c r="EYJ7" s="5"/>
      <c r="EYK7" s="5"/>
      <c r="EYL7" s="5"/>
      <c r="EYM7" s="5"/>
      <c r="EYN7" s="5"/>
      <c r="EYO7" s="5"/>
      <c r="EYP7" s="5"/>
      <c r="EYQ7" s="5"/>
      <c r="EYR7" s="5"/>
      <c r="EYS7" s="5"/>
      <c r="EYT7" s="5"/>
      <c r="EYU7" s="5"/>
      <c r="EYV7" s="5"/>
      <c r="EYW7" s="5"/>
      <c r="EYX7" s="5"/>
      <c r="EYY7" s="5"/>
      <c r="EYZ7" s="5"/>
      <c r="EZA7" s="5"/>
      <c r="EZB7" s="5"/>
      <c r="EZC7" s="5"/>
      <c r="EZD7" s="5"/>
      <c r="EZE7" s="5"/>
      <c r="EZF7" s="5"/>
      <c r="EZG7" s="5"/>
      <c r="EZH7" s="5"/>
      <c r="EZI7" s="5"/>
      <c r="EZJ7" s="5"/>
      <c r="EZK7" s="5"/>
      <c r="EZL7" s="5"/>
      <c r="EZM7" s="5"/>
      <c r="EZN7" s="5"/>
      <c r="EZO7" s="5"/>
      <c r="EZP7" s="5"/>
      <c r="EZQ7" s="5"/>
      <c r="EZR7" s="5"/>
      <c r="EZS7" s="5"/>
      <c r="EZT7" s="5"/>
      <c r="EZU7" s="5"/>
      <c r="EZV7" s="5"/>
      <c r="EZW7" s="5"/>
      <c r="EZX7" s="5"/>
      <c r="EZY7" s="5"/>
      <c r="EZZ7" s="5"/>
      <c r="FAA7" s="5"/>
      <c r="FAB7" s="5"/>
      <c r="FAC7" s="5"/>
      <c r="FAD7" s="5"/>
      <c r="FAE7" s="5"/>
      <c r="FAF7" s="5"/>
      <c r="FAG7" s="5"/>
      <c r="FAH7" s="5"/>
      <c r="FAI7" s="5"/>
      <c r="FAJ7" s="5"/>
      <c r="FAK7" s="5"/>
      <c r="FAL7" s="5"/>
      <c r="FAM7" s="5"/>
      <c r="FAN7" s="5"/>
      <c r="FAO7" s="5"/>
      <c r="FAP7" s="5"/>
      <c r="FAQ7" s="5"/>
      <c r="FAR7" s="5"/>
      <c r="FAS7" s="5"/>
      <c r="FAT7" s="5"/>
      <c r="FAU7" s="5"/>
      <c r="FAV7" s="5"/>
      <c r="FAW7" s="5"/>
      <c r="FAX7" s="5"/>
      <c r="FAY7" s="5"/>
      <c r="FAZ7" s="5"/>
      <c r="FBA7" s="5"/>
      <c r="FBB7" s="5"/>
      <c r="FBC7" s="5"/>
      <c r="FBD7" s="5"/>
      <c r="FBE7" s="5"/>
      <c r="FBF7" s="5"/>
      <c r="FBG7" s="5"/>
      <c r="FBH7" s="5"/>
      <c r="FBI7" s="5"/>
      <c r="FBJ7" s="5"/>
      <c r="FBK7" s="5"/>
      <c r="FBL7" s="5"/>
      <c r="FBM7" s="5"/>
      <c r="FBN7" s="5"/>
      <c r="FBO7" s="5"/>
      <c r="FBP7" s="5"/>
      <c r="FBQ7" s="5"/>
      <c r="FBR7" s="5"/>
      <c r="FBS7" s="5"/>
      <c r="FBT7" s="5"/>
      <c r="FBU7" s="5"/>
      <c r="FBV7" s="5"/>
      <c r="FBW7" s="5"/>
      <c r="FBX7" s="5"/>
      <c r="FBY7" s="5"/>
      <c r="FBZ7" s="5"/>
      <c r="FCA7" s="5"/>
      <c r="FCB7" s="5"/>
      <c r="FCC7" s="5"/>
      <c r="FCD7" s="5"/>
      <c r="FCE7" s="5"/>
      <c r="FCF7" s="5"/>
      <c r="FCG7" s="5"/>
      <c r="FCH7" s="5"/>
      <c r="FCI7" s="5"/>
      <c r="FCJ7" s="5"/>
      <c r="FCK7" s="5"/>
      <c r="FCL7" s="5"/>
      <c r="FCM7" s="5"/>
      <c r="FCN7" s="5"/>
      <c r="FCO7" s="5"/>
      <c r="FCP7" s="5"/>
      <c r="FCQ7" s="5"/>
      <c r="FCR7" s="5"/>
      <c r="FCS7" s="5"/>
      <c r="FCT7" s="5"/>
      <c r="FCU7" s="5"/>
      <c r="FCV7" s="5"/>
      <c r="FCW7" s="5"/>
      <c r="FCX7" s="5"/>
      <c r="FCY7" s="5"/>
      <c r="FCZ7" s="5"/>
      <c r="FDA7" s="5"/>
      <c r="FDB7" s="5"/>
      <c r="FDC7" s="5"/>
      <c r="FDD7" s="5"/>
      <c r="FDE7" s="5"/>
      <c r="FDF7" s="5"/>
      <c r="FDG7" s="5"/>
      <c r="FDH7" s="5"/>
      <c r="FDI7" s="5"/>
      <c r="FDJ7" s="5"/>
      <c r="FDK7" s="5"/>
      <c r="FDL7" s="5"/>
      <c r="FDM7" s="5"/>
      <c r="FDN7" s="5"/>
      <c r="FDO7" s="5"/>
      <c r="FDP7" s="5"/>
      <c r="FDQ7" s="5"/>
      <c r="FDR7" s="5"/>
      <c r="FDS7" s="5"/>
      <c r="FDT7" s="5"/>
      <c r="FDU7" s="5"/>
      <c r="FDV7" s="5"/>
      <c r="FDW7" s="5"/>
      <c r="FDX7" s="5"/>
      <c r="FDY7" s="5"/>
      <c r="FDZ7" s="5"/>
      <c r="FEA7" s="5"/>
      <c r="FEB7" s="5"/>
      <c r="FEC7" s="5"/>
      <c r="FED7" s="5"/>
      <c r="FEE7" s="5"/>
      <c r="FEF7" s="5"/>
      <c r="FEG7" s="5"/>
      <c r="FEH7" s="5"/>
      <c r="FEI7" s="5"/>
      <c r="FEJ7" s="5"/>
      <c r="FEK7" s="5"/>
      <c r="FEL7" s="5"/>
      <c r="FEM7" s="5"/>
      <c r="FEN7" s="5"/>
      <c r="FEO7" s="5"/>
      <c r="FEP7" s="5"/>
      <c r="FEQ7" s="5"/>
      <c r="FER7" s="5"/>
      <c r="FES7" s="5"/>
      <c r="FET7" s="5"/>
      <c r="FEU7" s="5"/>
      <c r="FEV7" s="5"/>
      <c r="FEW7" s="5"/>
      <c r="FEX7" s="5"/>
      <c r="FEY7" s="5"/>
      <c r="FEZ7" s="5"/>
      <c r="FFA7" s="5"/>
      <c r="FFB7" s="5"/>
      <c r="FFC7" s="5"/>
      <c r="FFD7" s="5"/>
      <c r="FFE7" s="5"/>
      <c r="FFF7" s="5"/>
      <c r="FFG7" s="5"/>
      <c r="FFH7" s="5"/>
      <c r="FFI7" s="5"/>
      <c r="FFJ7" s="5"/>
      <c r="FFK7" s="5"/>
      <c r="FFL7" s="5"/>
      <c r="FFM7" s="5"/>
      <c r="FFN7" s="5"/>
      <c r="FFO7" s="5"/>
      <c r="FFP7" s="5"/>
      <c r="FFQ7" s="5"/>
      <c r="FFR7" s="5"/>
      <c r="FFS7" s="5"/>
      <c r="FFT7" s="5"/>
      <c r="FFU7" s="5"/>
      <c r="FFV7" s="5"/>
      <c r="FFW7" s="5"/>
      <c r="FFX7" s="5"/>
      <c r="FFY7" s="5"/>
      <c r="FFZ7" s="5"/>
      <c r="FGA7" s="5"/>
      <c r="FGB7" s="5"/>
      <c r="FGC7" s="5"/>
      <c r="FGD7" s="5"/>
      <c r="FGE7" s="5"/>
      <c r="FGF7" s="5"/>
      <c r="FGG7" s="5"/>
      <c r="FGH7" s="5"/>
      <c r="FGI7" s="5"/>
      <c r="FGJ7" s="5"/>
      <c r="FGK7" s="5"/>
      <c r="FGL7" s="5"/>
      <c r="FGM7" s="5"/>
      <c r="FGN7" s="5"/>
      <c r="FGO7" s="5"/>
      <c r="FGP7" s="5"/>
      <c r="FGQ7" s="5"/>
      <c r="FGR7" s="5"/>
      <c r="FGS7" s="5"/>
      <c r="FGT7" s="5"/>
      <c r="FGU7" s="5"/>
      <c r="FGV7" s="5"/>
      <c r="FGW7" s="5"/>
      <c r="FGX7" s="5"/>
      <c r="FGY7" s="5"/>
      <c r="FGZ7" s="5"/>
      <c r="FHA7" s="5"/>
      <c r="FHB7" s="5"/>
      <c r="FHC7" s="5"/>
      <c r="FHD7" s="5"/>
      <c r="FHE7" s="5"/>
      <c r="FHF7" s="5"/>
      <c r="FHG7" s="5"/>
      <c r="FHH7" s="5"/>
      <c r="FHI7" s="5"/>
      <c r="FHJ7" s="5"/>
      <c r="FHK7" s="5"/>
      <c r="FHL7" s="5"/>
      <c r="FHM7" s="5"/>
      <c r="FHN7" s="5"/>
      <c r="FHO7" s="5"/>
      <c r="FHP7" s="5"/>
      <c r="FHQ7" s="5"/>
      <c r="FHR7" s="5"/>
      <c r="FHS7" s="5"/>
      <c r="FHT7" s="5"/>
      <c r="FHU7" s="5"/>
      <c r="FHV7" s="5"/>
      <c r="FHW7" s="5"/>
      <c r="FHX7" s="5"/>
      <c r="FHY7" s="5"/>
      <c r="FHZ7" s="5"/>
      <c r="FIA7" s="5"/>
      <c r="FIB7" s="5"/>
      <c r="FIC7" s="5"/>
      <c r="FID7" s="5"/>
      <c r="FIE7" s="5"/>
      <c r="FIF7" s="5"/>
      <c r="FIG7" s="5"/>
      <c r="FIH7" s="5"/>
      <c r="FII7" s="5"/>
      <c r="FIJ7" s="5"/>
      <c r="FIK7" s="5"/>
      <c r="FIL7" s="5"/>
      <c r="FIM7" s="5"/>
      <c r="FIN7" s="5"/>
      <c r="FIO7" s="5"/>
      <c r="FIP7" s="5"/>
      <c r="FIQ7" s="5"/>
      <c r="FIR7" s="5"/>
      <c r="FIS7" s="5"/>
      <c r="FIT7" s="5"/>
      <c r="FIU7" s="5"/>
      <c r="FIV7" s="5"/>
      <c r="FIW7" s="5"/>
      <c r="FIX7" s="5"/>
      <c r="FIY7" s="5"/>
      <c r="FIZ7" s="5"/>
      <c r="FJA7" s="5"/>
      <c r="FJB7" s="5"/>
      <c r="FJC7" s="5"/>
      <c r="FJD7" s="5"/>
      <c r="FJE7" s="5"/>
      <c r="FJF7" s="5"/>
      <c r="FJG7" s="5"/>
      <c r="FJH7" s="5"/>
      <c r="FJI7" s="5"/>
      <c r="FJJ7" s="5"/>
      <c r="FJK7" s="5"/>
      <c r="FJL7" s="5"/>
      <c r="FJM7" s="5"/>
      <c r="FJN7" s="5"/>
      <c r="FJO7" s="5"/>
      <c r="FJP7" s="5"/>
      <c r="FJQ7" s="5"/>
      <c r="FJR7" s="5"/>
      <c r="FJS7" s="5"/>
      <c r="FJT7" s="5"/>
      <c r="FJU7" s="5"/>
      <c r="FJV7" s="5"/>
      <c r="FJW7" s="5"/>
      <c r="FJX7" s="5"/>
      <c r="FJY7" s="5"/>
      <c r="FJZ7" s="5"/>
      <c r="FKA7" s="5"/>
      <c r="FKB7" s="5"/>
      <c r="FKC7" s="5"/>
      <c r="FKD7" s="5"/>
      <c r="FKE7" s="5"/>
      <c r="FKF7" s="5"/>
      <c r="FKG7" s="5"/>
      <c r="FKH7" s="5"/>
      <c r="FKI7" s="5"/>
      <c r="FKJ7" s="5"/>
      <c r="FKK7" s="5"/>
      <c r="FKL7" s="5"/>
      <c r="FKM7" s="5"/>
      <c r="FKN7" s="5"/>
      <c r="FKO7" s="5"/>
      <c r="FKP7" s="5"/>
      <c r="FKQ7" s="5"/>
      <c r="FKR7" s="5"/>
      <c r="FKS7" s="5"/>
      <c r="FKT7" s="5"/>
      <c r="FKU7" s="5"/>
      <c r="FKV7" s="5"/>
      <c r="FKW7" s="5"/>
      <c r="FKX7" s="5"/>
      <c r="FKY7" s="5"/>
      <c r="FKZ7" s="5"/>
      <c r="FLA7" s="5"/>
      <c r="FLB7" s="5"/>
      <c r="FLC7" s="5"/>
      <c r="FLD7" s="5"/>
      <c r="FLE7" s="5"/>
      <c r="FLF7" s="5"/>
      <c r="FLG7" s="5"/>
      <c r="FLH7" s="5"/>
      <c r="FLI7" s="5"/>
      <c r="FLJ7" s="5"/>
      <c r="FLK7" s="5"/>
      <c r="FLL7" s="5"/>
      <c r="FLM7" s="5"/>
      <c r="FLN7" s="5"/>
      <c r="FLO7" s="5"/>
      <c r="FLP7" s="5"/>
      <c r="FLQ7" s="5"/>
      <c r="FLR7" s="5"/>
      <c r="FLS7" s="5"/>
      <c r="FLT7" s="5"/>
      <c r="FLU7" s="5"/>
      <c r="FLV7" s="5"/>
      <c r="FLW7" s="5"/>
      <c r="FLX7" s="5"/>
      <c r="FLY7" s="5"/>
      <c r="FLZ7" s="5"/>
      <c r="FMA7" s="5"/>
      <c r="FMB7" s="5"/>
      <c r="FMC7" s="5"/>
      <c r="FMD7" s="5"/>
      <c r="FME7" s="5"/>
      <c r="FMF7" s="5"/>
      <c r="FMG7" s="5"/>
      <c r="FMH7" s="5"/>
      <c r="FMI7" s="5"/>
      <c r="FMJ7" s="5"/>
      <c r="FMK7" s="5"/>
      <c r="FML7" s="5"/>
      <c r="FMM7" s="5"/>
      <c r="FMN7" s="5"/>
      <c r="FMO7" s="5"/>
      <c r="FMP7" s="5"/>
      <c r="FMQ7" s="5"/>
      <c r="FMR7" s="5"/>
      <c r="FMS7" s="5"/>
      <c r="FMT7" s="5"/>
      <c r="FMU7" s="5"/>
      <c r="FMV7" s="5"/>
      <c r="FMW7" s="5"/>
      <c r="FMX7" s="5"/>
      <c r="FMY7" s="5"/>
      <c r="FMZ7" s="5"/>
      <c r="FNA7" s="5"/>
      <c r="FNB7" s="5"/>
      <c r="FNC7" s="5"/>
      <c r="FND7" s="5"/>
      <c r="FNE7" s="5"/>
      <c r="FNF7" s="5"/>
      <c r="FNG7" s="5"/>
      <c r="FNH7" s="5"/>
      <c r="FNI7" s="5"/>
      <c r="FNJ7" s="5"/>
      <c r="FNK7" s="5"/>
      <c r="FNL7" s="5"/>
      <c r="FNM7" s="5"/>
      <c r="FNN7" s="5"/>
      <c r="FNO7" s="5"/>
      <c r="FNP7" s="5"/>
      <c r="FNQ7" s="5"/>
      <c r="FNR7" s="5"/>
      <c r="FNS7" s="5"/>
      <c r="FNT7" s="5"/>
      <c r="FNU7" s="5"/>
      <c r="FNV7" s="5"/>
      <c r="FNW7" s="5"/>
      <c r="FNX7" s="5"/>
      <c r="FNY7" s="5"/>
      <c r="FNZ7" s="5"/>
      <c r="FOA7" s="5"/>
      <c r="FOB7" s="5"/>
      <c r="FOC7" s="5"/>
      <c r="FOD7" s="5"/>
      <c r="FOE7" s="5"/>
      <c r="FOF7" s="5"/>
      <c r="FOG7" s="5"/>
      <c r="FOH7" s="5"/>
      <c r="FOI7" s="5"/>
      <c r="FOJ7" s="5"/>
      <c r="FOK7" s="5"/>
      <c r="FOL7" s="5"/>
      <c r="FOM7" s="5"/>
      <c r="FON7" s="5"/>
      <c r="FOO7" s="5"/>
      <c r="FOP7" s="5"/>
      <c r="FOQ7" s="5"/>
      <c r="FOR7" s="5"/>
      <c r="FOS7" s="5"/>
      <c r="FOT7" s="5"/>
      <c r="FOU7" s="5"/>
      <c r="FOV7" s="5"/>
      <c r="FOW7" s="5"/>
      <c r="FOX7" s="5"/>
      <c r="FOY7" s="5"/>
      <c r="FOZ7" s="5"/>
      <c r="FPA7" s="5"/>
      <c r="FPB7" s="5"/>
      <c r="FPC7" s="5"/>
      <c r="FPD7" s="5"/>
      <c r="FPE7" s="5"/>
      <c r="FPF7" s="5"/>
      <c r="FPG7" s="5"/>
      <c r="FPH7" s="5"/>
      <c r="FPI7" s="5"/>
      <c r="FPJ7" s="5"/>
      <c r="FPK7" s="5"/>
      <c r="FPL7" s="5"/>
      <c r="FPM7" s="5"/>
      <c r="FPN7" s="5"/>
      <c r="FPO7" s="5"/>
      <c r="FPP7" s="5"/>
      <c r="FPQ7" s="5"/>
      <c r="FPR7" s="5"/>
      <c r="FPS7" s="5"/>
      <c r="FPT7" s="5"/>
      <c r="FPU7" s="5"/>
      <c r="FPV7" s="5"/>
      <c r="FPW7" s="5"/>
      <c r="FPX7" s="5"/>
      <c r="FPY7" s="5"/>
      <c r="FPZ7" s="5"/>
      <c r="FQA7" s="5"/>
      <c r="FQB7" s="5"/>
      <c r="FQC7" s="5"/>
      <c r="FQD7" s="5"/>
      <c r="FQE7" s="5"/>
      <c r="FQF7" s="5"/>
      <c r="FQG7" s="5"/>
      <c r="FQH7" s="5"/>
      <c r="FQI7" s="5"/>
      <c r="FQJ7" s="5"/>
      <c r="FQK7" s="5"/>
      <c r="FQL7" s="5"/>
      <c r="FQM7" s="5"/>
      <c r="FQN7" s="5"/>
      <c r="FQO7" s="5"/>
      <c r="FQP7" s="5"/>
      <c r="FQQ7" s="5"/>
      <c r="FQR7" s="5"/>
      <c r="FQS7" s="5"/>
      <c r="FQT7" s="5"/>
      <c r="FQU7" s="5"/>
      <c r="FQV7" s="5"/>
      <c r="FQW7" s="5"/>
      <c r="FQX7" s="5"/>
      <c r="FQY7" s="5"/>
      <c r="FQZ7" s="5"/>
      <c r="FRA7" s="5"/>
      <c r="FRB7" s="5"/>
      <c r="FRC7" s="5"/>
      <c r="FRD7" s="5"/>
      <c r="FRE7" s="5"/>
      <c r="FRF7" s="5"/>
      <c r="FRG7" s="5"/>
      <c r="FRH7" s="5"/>
      <c r="FRI7" s="5"/>
      <c r="FRJ7" s="5"/>
      <c r="FRK7" s="5"/>
      <c r="FRL7" s="5"/>
      <c r="FRM7" s="5"/>
      <c r="FRN7" s="5"/>
      <c r="FRO7" s="5"/>
      <c r="FRP7" s="5"/>
      <c r="FRQ7" s="5"/>
      <c r="FRR7" s="5"/>
      <c r="FRS7" s="5"/>
      <c r="FRT7" s="5"/>
      <c r="FRU7" s="5"/>
      <c r="FRV7" s="5"/>
      <c r="FRW7" s="5"/>
      <c r="FRX7" s="5"/>
      <c r="FRY7" s="5"/>
      <c r="FRZ7" s="5"/>
      <c r="FSA7" s="5"/>
      <c r="FSB7" s="5"/>
      <c r="FSC7" s="5"/>
      <c r="FSD7" s="5"/>
      <c r="FSE7" s="5"/>
      <c r="FSF7" s="5"/>
      <c r="FSG7" s="5"/>
      <c r="FSH7" s="5"/>
      <c r="FSI7" s="5"/>
      <c r="FSJ7" s="5"/>
      <c r="FSK7" s="5"/>
      <c r="FSL7" s="5"/>
      <c r="FSM7" s="5"/>
      <c r="FSN7" s="5"/>
      <c r="FSO7" s="5"/>
      <c r="FSP7" s="5"/>
      <c r="FSQ7" s="5"/>
      <c r="FSR7" s="5"/>
      <c r="FSS7" s="5"/>
      <c r="FST7" s="5"/>
      <c r="FSU7" s="5"/>
      <c r="FSV7" s="5"/>
      <c r="FSW7" s="5"/>
      <c r="FSX7" s="5"/>
      <c r="FSY7" s="5"/>
      <c r="FSZ7" s="5"/>
      <c r="FTA7" s="5"/>
      <c r="FTB7" s="5"/>
      <c r="FTC7" s="5"/>
      <c r="FTD7" s="5"/>
      <c r="FTE7" s="5"/>
      <c r="FTF7" s="5"/>
      <c r="FTG7" s="5"/>
      <c r="FTH7" s="5"/>
      <c r="FTI7" s="5"/>
      <c r="FTJ7" s="5"/>
      <c r="FTK7" s="5"/>
      <c r="FTL7" s="5"/>
      <c r="FTM7" s="5"/>
      <c r="FTN7" s="5"/>
      <c r="FTO7" s="5"/>
      <c r="FTP7" s="5"/>
      <c r="FTQ7" s="5"/>
      <c r="FTR7" s="5"/>
      <c r="FTS7" s="5"/>
      <c r="FTT7" s="5"/>
      <c r="FTU7" s="5"/>
      <c r="FTV7" s="5"/>
      <c r="FTW7" s="5"/>
      <c r="FTX7" s="5"/>
      <c r="FTY7" s="5"/>
      <c r="FTZ7" s="5"/>
      <c r="FUA7" s="5"/>
      <c r="FUB7" s="5"/>
      <c r="FUC7" s="5"/>
      <c r="FUD7" s="5"/>
      <c r="FUE7" s="5"/>
      <c r="FUF7" s="5"/>
      <c r="FUG7" s="5"/>
      <c r="FUH7" s="5"/>
      <c r="FUI7" s="5"/>
      <c r="FUJ7" s="5"/>
      <c r="FUK7" s="5"/>
      <c r="FUL7" s="5"/>
      <c r="FUM7" s="5"/>
      <c r="FUN7" s="5"/>
      <c r="FUO7" s="5"/>
      <c r="FUP7" s="5"/>
      <c r="FUQ7" s="5"/>
      <c r="FUR7" s="5"/>
      <c r="FUS7" s="5"/>
      <c r="FUT7" s="5"/>
      <c r="FUU7" s="5"/>
      <c r="FUV7" s="5"/>
      <c r="FUW7" s="5"/>
      <c r="FUX7" s="5"/>
      <c r="FUY7" s="5"/>
      <c r="FUZ7" s="5"/>
      <c r="FVA7" s="5"/>
      <c r="FVB7" s="5"/>
      <c r="FVC7" s="5"/>
      <c r="FVD7" s="5"/>
      <c r="FVE7" s="5"/>
      <c r="FVF7" s="5"/>
      <c r="FVG7" s="5"/>
      <c r="FVH7" s="5"/>
      <c r="FVI7" s="5"/>
      <c r="FVJ7" s="5"/>
      <c r="FVK7" s="5"/>
      <c r="FVL7" s="5"/>
      <c r="FVM7" s="5"/>
      <c r="FVN7" s="5"/>
      <c r="FVO7" s="5"/>
      <c r="FVP7" s="5"/>
      <c r="FVQ7" s="5"/>
      <c r="FVR7" s="5"/>
      <c r="FVS7" s="5"/>
      <c r="FVT7" s="5"/>
      <c r="FVU7" s="5"/>
      <c r="FVV7" s="5"/>
      <c r="FVW7" s="5"/>
      <c r="FVX7" s="5"/>
      <c r="FVY7" s="5"/>
      <c r="FVZ7" s="5"/>
      <c r="FWA7" s="5"/>
      <c r="FWB7" s="5"/>
      <c r="FWC7" s="5"/>
      <c r="FWD7" s="5"/>
      <c r="FWE7" s="5"/>
      <c r="FWF7" s="5"/>
      <c r="FWG7" s="5"/>
      <c r="FWH7" s="5"/>
      <c r="FWI7" s="5"/>
      <c r="FWJ7" s="5"/>
      <c r="FWK7" s="5"/>
      <c r="FWL7" s="5"/>
      <c r="FWM7" s="5"/>
      <c r="FWN7" s="5"/>
      <c r="FWO7" s="5"/>
      <c r="FWP7" s="5"/>
      <c r="FWQ7" s="5"/>
      <c r="FWR7" s="5"/>
      <c r="FWS7" s="5"/>
      <c r="FWT7" s="5"/>
      <c r="FWU7" s="5"/>
      <c r="FWV7" s="5"/>
      <c r="FWW7" s="5"/>
      <c r="FWX7" s="5"/>
      <c r="FWY7" s="5"/>
      <c r="FWZ7" s="5"/>
      <c r="FXA7" s="5"/>
      <c r="FXB7" s="5"/>
      <c r="FXC7" s="5"/>
      <c r="FXD7" s="5"/>
      <c r="FXE7" s="5"/>
      <c r="FXF7" s="5"/>
      <c r="FXG7" s="5"/>
      <c r="FXH7" s="5"/>
      <c r="FXI7" s="5"/>
      <c r="FXJ7" s="5"/>
      <c r="FXK7" s="5"/>
      <c r="FXL7" s="5"/>
      <c r="FXM7" s="5"/>
      <c r="FXN7" s="5"/>
      <c r="FXO7" s="5"/>
      <c r="FXP7" s="5"/>
      <c r="FXQ7" s="5"/>
      <c r="FXR7" s="5"/>
      <c r="FXS7" s="5"/>
      <c r="FXT7" s="5"/>
      <c r="FXU7" s="5"/>
      <c r="FXV7" s="5"/>
      <c r="FXW7" s="5"/>
      <c r="FXX7" s="5"/>
      <c r="FXY7" s="5"/>
      <c r="FXZ7" s="5"/>
      <c r="FYA7" s="5"/>
      <c r="FYB7" s="5"/>
      <c r="FYC7" s="5"/>
      <c r="FYD7" s="5"/>
      <c r="FYE7" s="5"/>
      <c r="FYF7" s="5"/>
      <c r="FYG7" s="5"/>
      <c r="FYH7" s="5"/>
      <c r="FYI7" s="5"/>
      <c r="FYJ7" s="5"/>
      <c r="FYK7" s="5"/>
      <c r="FYL7" s="5"/>
      <c r="FYM7" s="5"/>
      <c r="FYN7" s="5"/>
      <c r="FYO7" s="5"/>
      <c r="FYP7" s="5"/>
      <c r="FYQ7" s="5"/>
      <c r="FYR7" s="5"/>
      <c r="FYS7" s="5"/>
      <c r="FYT7" s="5"/>
      <c r="FYU7" s="5"/>
      <c r="FYV7" s="5"/>
      <c r="FYW7" s="5"/>
      <c r="FYX7" s="5"/>
      <c r="FYY7" s="5"/>
      <c r="FYZ7" s="5"/>
      <c r="FZA7" s="5"/>
      <c r="FZB7" s="5"/>
      <c r="FZC7" s="5"/>
      <c r="FZD7" s="5"/>
      <c r="FZE7" s="5"/>
      <c r="FZF7" s="5"/>
      <c r="FZG7" s="5"/>
      <c r="FZH7" s="5"/>
      <c r="FZI7" s="5"/>
      <c r="FZJ7" s="5"/>
      <c r="FZK7" s="5"/>
      <c r="FZL7" s="5"/>
      <c r="FZM7" s="5"/>
      <c r="FZN7" s="5"/>
      <c r="FZO7" s="5"/>
      <c r="FZP7" s="5"/>
      <c r="FZQ7" s="5"/>
      <c r="FZR7" s="5"/>
      <c r="FZS7" s="5"/>
      <c r="FZT7" s="5"/>
      <c r="FZU7" s="5"/>
      <c r="FZV7" s="5"/>
      <c r="FZW7" s="5"/>
      <c r="FZX7" s="5"/>
      <c r="FZY7" s="5"/>
      <c r="FZZ7" s="5"/>
      <c r="GAA7" s="5"/>
      <c r="GAB7" s="5"/>
      <c r="GAC7" s="5"/>
      <c r="GAD7" s="5"/>
      <c r="GAE7" s="5"/>
      <c r="GAF7" s="5"/>
      <c r="GAG7" s="5"/>
      <c r="GAH7" s="5"/>
      <c r="GAI7" s="5"/>
      <c r="GAJ7" s="5"/>
      <c r="GAK7" s="5"/>
      <c r="GAL7" s="5"/>
      <c r="GAM7" s="5"/>
      <c r="GAN7" s="5"/>
      <c r="GAO7" s="5"/>
      <c r="GAP7" s="5"/>
      <c r="GAQ7" s="5"/>
      <c r="GAR7" s="5"/>
      <c r="GAS7" s="5"/>
      <c r="GAT7" s="5"/>
      <c r="GAU7" s="5"/>
      <c r="GAV7" s="5"/>
      <c r="GAW7" s="5"/>
      <c r="GAX7" s="5"/>
      <c r="GAY7" s="5"/>
      <c r="GAZ7" s="5"/>
      <c r="GBA7" s="5"/>
      <c r="GBB7" s="5"/>
      <c r="GBC7" s="5"/>
      <c r="GBD7" s="5"/>
      <c r="GBE7" s="5"/>
      <c r="GBF7" s="5"/>
      <c r="GBG7" s="5"/>
      <c r="GBH7" s="5"/>
      <c r="GBI7" s="5"/>
      <c r="GBJ7" s="5"/>
      <c r="GBK7" s="5"/>
      <c r="GBL7" s="5"/>
      <c r="GBM7" s="5"/>
      <c r="GBN7" s="5"/>
      <c r="GBO7" s="5"/>
      <c r="GBP7" s="5"/>
      <c r="GBQ7" s="5"/>
      <c r="GBR7" s="5"/>
      <c r="GBS7" s="5"/>
      <c r="GBT7" s="5"/>
      <c r="GBU7" s="5"/>
      <c r="GBV7" s="5"/>
      <c r="GBW7" s="5"/>
      <c r="GBX7" s="5"/>
      <c r="GBY7" s="5"/>
      <c r="GBZ7" s="5"/>
      <c r="GCA7" s="5"/>
      <c r="GCB7" s="5"/>
      <c r="GCC7" s="5"/>
      <c r="GCD7" s="5"/>
      <c r="GCE7" s="5"/>
      <c r="GCF7" s="5"/>
      <c r="GCG7" s="5"/>
      <c r="GCH7" s="5"/>
      <c r="GCI7" s="5"/>
      <c r="GCJ7" s="5"/>
      <c r="GCK7" s="5"/>
      <c r="GCL7" s="5"/>
      <c r="GCM7" s="5"/>
      <c r="GCN7" s="5"/>
      <c r="GCO7" s="5"/>
      <c r="GCP7" s="5"/>
      <c r="GCQ7" s="5"/>
      <c r="GCR7" s="5"/>
      <c r="GCS7" s="5"/>
      <c r="GCT7" s="5"/>
      <c r="GCU7" s="5"/>
      <c r="GCV7" s="5"/>
      <c r="GCW7" s="5"/>
      <c r="GCX7" s="5"/>
      <c r="GCY7" s="5"/>
      <c r="GCZ7" s="5"/>
      <c r="GDA7" s="5"/>
      <c r="GDB7" s="5"/>
      <c r="GDC7" s="5"/>
      <c r="GDD7" s="5"/>
      <c r="GDE7" s="5"/>
      <c r="GDF7" s="5"/>
      <c r="GDG7" s="5"/>
      <c r="GDH7" s="5"/>
      <c r="GDI7" s="5"/>
      <c r="GDJ7" s="5"/>
      <c r="GDK7" s="5"/>
      <c r="GDL7" s="5"/>
      <c r="GDM7" s="5"/>
      <c r="GDN7" s="5"/>
      <c r="GDO7" s="5"/>
      <c r="GDP7" s="5"/>
      <c r="GDQ7" s="5"/>
      <c r="GDR7" s="5"/>
      <c r="GDS7" s="5"/>
      <c r="GDT7" s="5"/>
      <c r="GDU7" s="5"/>
      <c r="GDV7" s="5"/>
      <c r="GDW7" s="5"/>
      <c r="GDX7" s="5"/>
      <c r="GDY7" s="5"/>
      <c r="GDZ7" s="5"/>
      <c r="GEA7" s="5"/>
      <c r="GEB7" s="5"/>
      <c r="GEC7" s="5"/>
      <c r="GED7" s="5"/>
      <c r="GEE7" s="5"/>
      <c r="GEF7" s="5"/>
      <c r="GEG7" s="5"/>
      <c r="GEH7" s="5"/>
      <c r="GEI7" s="5"/>
      <c r="GEJ7" s="5"/>
      <c r="GEK7" s="5"/>
      <c r="GEL7" s="5"/>
      <c r="GEM7" s="5"/>
      <c r="GEN7" s="5"/>
      <c r="GEO7" s="5"/>
      <c r="GEP7" s="5"/>
      <c r="GEQ7" s="5"/>
      <c r="GER7" s="5"/>
      <c r="GES7" s="5"/>
      <c r="GET7" s="5"/>
      <c r="GEU7" s="5"/>
      <c r="GEV7" s="5"/>
      <c r="GEW7" s="5"/>
      <c r="GEX7" s="5"/>
      <c r="GEY7" s="5"/>
      <c r="GEZ7" s="5"/>
      <c r="GFA7" s="5"/>
      <c r="GFB7" s="5"/>
      <c r="GFC7" s="5"/>
      <c r="GFD7" s="5"/>
      <c r="GFE7" s="5"/>
      <c r="GFF7" s="5"/>
      <c r="GFG7" s="5"/>
      <c r="GFH7" s="5"/>
      <c r="GFI7" s="5"/>
      <c r="GFJ7" s="5"/>
      <c r="GFK7" s="5"/>
      <c r="GFL7" s="5"/>
      <c r="GFM7" s="5"/>
      <c r="GFN7" s="5"/>
      <c r="GFO7" s="5"/>
      <c r="GFP7" s="5"/>
      <c r="GFQ7" s="5"/>
      <c r="GFR7" s="5"/>
      <c r="GFS7" s="5"/>
      <c r="GFT7" s="5"/>
      <c r="GFU7" s="5"/>
      <c r="GFV7" s="5"/>
      <c r="GFW7" s="5"/>
      <c r="GFX7" s="5"/>
      <c r="GFY7" s="5"/>
      <c r="GFZ7" s="5"/>
      <c r="GGA7" s="5"/>
      <c r="GGB7" s="5"/>
      <c r="GGC7" s="5"/>
      <c r="GGD7" s="5"/>
      <c r="GGE7" s="5"/>
      <c r="GGF7" s="5"/>
      <c r="GGG7" s="5"/>
      <c r="GGH7" s="5"/>
      <c r="GGI7" s="5"/>
      <c r="GGJ7" s="5"/>
      <c r="GGK7" s="5"/>
      <c r="GGL7" s="5"/>
      <c r="GGM7" s="5"/>
      <c r="GGN7" s="5"/>
      <c r="GGO7" s="5"/>
      <c r="GGP7" s="5"/>
      <c r="GGQ7" s="5"/>
      <c r="GGR7" s="5"/>
      <c r="GGS7" s="5"/>
      <c r="GGT7" s="5"/>
      <c r="GGU7" s="5"/>
      <c r="GGV7" s="5"/>
      <c r="GGW7" s="5"/>
      <c r="GGX7" s="5"/>
      <c r="GGY7" s="5"/>
      <c r="GGZ7" s="5"/>
      <c r="GHA7" s="5"/>
      <c r="GHB7" s="5"/>
      <c r="GHC7" s="5"/>
      <c r="GHD7" s="5"/>
      <c r="GHE7" s="5"/>
      <c r="GHF7" s="5"/>
      <c r="GHG7" s="5"/>
      <c r="GHH7" s="5"/>
      <c r="GHI7" s="5"/>
      <c r="GHJ7" s="5"/>
      <c r="GHK7" s="5"/>
      <c r="GHL7" s="5"/>
      <c r="GHM7" s="5"/>
      <c r="GHN7" s="5"/>
      <c r="GHO7" s="5"/>
      <c r="GHP7" s="5"/>
      <c r="GHQ7" s="5"/>
      <c r="GHR7" s="5"/>
      <c r="GHS7" s="5"/>
      <c r="GHT7" s="5"/>
      <c r="GHU7" s="5"/>
      <c r="GHV7" s="5"/>
      <c r="GHW7" s="5"/>
      <c r="GHX7" s="5"/>
      <c r="GHY7" s="5"/>
      <c r="GHZ7" s="5"/>
      <c r="GIA7" s="5"/>
      <c r="GIB7" s="5"/>
      <c r="GIC7" s="5"/>
      <c r="GID7" s="5"/>
      <c r="GIE7" s="5"/>
      <c r="GIF7" s="5"/>
      <c r="GIG7" s="5"/>
      <c r="GIH7" s="5"/>
      <c r="GII7" s="5"/>
      <c r="GIJ7" s="5"/>
      <c r="GIK7" s="5"/>
      <c r="GIL7" s="5"/>
      <c r="GIM7" s="5"/>
      <c r="GIN7" s="5"/>
      <c r="GIO7" s="5"/>
      <c r="GIP7" s="5"/>
      <c r="GIQ7" s="5"/>
      <c r="GIR7" s="5"/>
      <c r="GIS7" s="5"/>
      <c r="GIT7" s="5"/>
      <c r="GIU7" s="5"/>
      <c r="GIV7" s="5"/>
      <c r="GIW7" s="5"/>
      <c r="GIX7" s="5"/>
      <c r="GIY7" s="5"/>
      <c r="GIZ7" s="5"/>
      <c r="GJA7" s="5"/>
      <c r="GJB7" s="5"/>
      <c r="GJC7" s="5"/>
      <c r="GJD7" s="5"/>
      <c r="GJE7" s="5"/>
      <c r="GJF7" s="5"/>
      <c r="GJG7" s="5"/>
      <c r="GJH7" s="5"/>
      <c r="GJI7" s="5"/>
      <c r="GJJ7" s="5"/>
      <c r="GJK7" s="5"/>
      <c r="GJL7" s="5"/>
      <c r="GJM7" s="5"/>
      <c r="GJN7" s="5"/>
      <c r="GJO7" s="5"/>
      <c r="GJP7" s="5"/>
      <c r="GJQ7" s="5"/>
      <c r="GJR7" s="5"/>
      <c r="GJS7" s="5"/>
      <c r="GJT7" s="5"/>
      <c r="GJU7" s="5"/>
      <c r="GJV7" s="5"/>
      <c r="GJW7" s="5"/>
      <c r="GJX7" s="5"/>
      <c r="GJY7" s="5"/>
      <c r="GJZ7" s="5"/>
      <c r="GKA7" s="5"/>
      <c r="GKB7" s="5"/>
      <c r="GKC7" s="5"/>
      <c r="GKD7" s="5"/>
      <c r="GKE7" s="5"/>
      <c r="GKF7" s="5"/>
      <c r="GKG7" s="5"/>
      <c r="GKH7" s="5"/>
      <c r="GKI7" s="5"/>
      <c r="GKJ7" s="5"/>
      <c r="GKK7" s="5"/>
      <c r="GKL7" s="5"/>
      <c r="GKM7" s="5"/>
      <c r="GKN7" s="5"/>
      <c r="GKO7" s="5"/>
      <c r="GKP7" s="5"/>
      <c r="GKQ7" s="5"/>
      <c r="GKR7" s="5"/>
      <c r="GKS7" s="5"/>
      <c r="GKT7" s="5"/>
      <c r="GKU7" s="5"/>
      <c r="GKV7" s="5"/>
      <c r="GKW7" s="5"/>
      <c r="GKX7" s="5"/>
      <c r="GKY7" s="5"/>
      <c r="GKZ7" s="5"/>
      <c r="GLA7" s="5"/>
      <c r="GLB7" s="5"/>
      <c r="GLC7" s="5"/>
      <c r="GLD7" s="5"/>
      <c r="GLE7" s="5"/>
      <c r="GLF7" s="5"/>
      <c r="GLG7" s="5"/>
      <c r="GLH7" s="5"/>
      <c r="GLI7" s="5"/>
      <c r="GLJ7" s="5"/>
      <c r="GLK7" s="5"/>
      <c r="GLL7" s="5"/>
      <c r="GLM7" s="5"/>
      <c r="GLN7" s="5"/>
      <c r="GLO7" s="5"/>
      <c r="GLP7" s="5"/>
      <c r="GLQ7" s="5"/>
      <c r="GLR7" s="5"/>
      <c r="GLS7" s="5"/>
      <c r="GLT7" s="5"/>
      <c r="GLU7" s="5"/>
      <c r="GLV7" s="5"/>
      <c r="GLW7" s="5"/>
      <c r="GLX7" s="5"/>
      <c r="GLY7" s="5"/>
      <c r="GLZ7" s="5"/>
      <c r="GMA7" s="5"/>
      <c r="GMB7" s="5"/>
      <c r="GMC7" s="5"/>
      <c r="GMD7" s="5"/>
      <c r="GME7" s="5"/>
      <c r="GMF7" s="5"/>
      <c r="GMG7" s="5"/>
      <c r="GMH7" s="5"/>
      <c r="GMI7" s="5"/>
      <c r="GMJ7" s="5"/>
      <c r="GMK7" s="5"/>
      <c r="GML7" s="5"/>
      <c r="GMM7" s="5"/>
      <c r="GMN7" s="5"/>
      <c r="GMO7" s="5"/>
      <c r="GMP7" s="5"/>
      <c r="GMQ7" s="5"/>
      <c r="GMR7" s="5"/>
      <c r="GMS7" s="5"/>
      <c r="GMT7" s="5"/>
      <c r="GMU7" s="5"/>
      <c r="GMV7" s="5"/>
      <c r="GMW7" s="5"/>
      <c r="GMX7" s="5"/>
      <c r="GMY7" s="5"/>
      <c r="GMZ7" s="5"/>
      <c r="GNA7" s="5"/>
      <c r="GNB7" s="5"/>
      <c r="GNC7" s="5"/>
      <c r="GND7" s="5"/>
      <c r="GNE7" s="5"/>
      <c r="GNF7" s="5"/>
      <c r="GNG7" s="5"/>
      <c r="GNH7" s="5"/>
      <c r="GNI7" s="5"/>
      <c r="GNJ7" s="5"/>
      <c r="GNK7" s="5"/>
      <c r="GNL7" s="5"/>
      <c r="GNM7" s="5"/>
      <c r="GNN7" s="5"/>
      <c r="GNO7" s="5"/>
      <c r="GNP7" s="5"/>
      <c r="GNQ7" s="5"/>
      <c r="GNR7" s="5"/>
      <c r="GNS7" s="5"/>
      <c r="GNT7" s="5"/>
      <c r="GNU7" s="5"/>
      <c r="GNV7" s="5"/>
      <c r="GNW7" s="5"/>
      <c r="GNX7" s="5"/>
      <c r="GNY7" s="5"/>
      <c r="GNZ7" s="5"/>
      <c r="GOA7" s="5"/>
      <c r="GOB7" s="5"/>
      <c r="GOC7" s="5"/>
      <c r="GOD7" s="5"/>
      <c r="GOE7" s="5"/>
      <c r="GOF7" s="5"/>
      <c r="GOG7" s="5"/>
      <c r="GOH7" s="5"/>
      <c r="GOI7" s="5"/>
      <c r="GOJ7" s="5"/>
      <c r="GOK7" s="5"/>
      <c r="GOL7" s="5"/>
      <c r="GOM7" s="5"/>
      <c r="GON7" s="5"/>
      <c r="GOO7" s="5"/>
      <c r="GOP7" s="5"/>
      <c r="GOQ7" s="5"/>
      <c r="GOR7" s="5"/>
      <c r="GOS7" s="5"/>
      <c r="GOT7" s="5"/>
      <c r="GOU7" s="5"/>
      <c r="GOV7" s="5"/>
      <c r="GOW7" s="5"/>
      <c r="GOX7" s="5"/>
      <c r="GOY7" s="5"/>
      <c r="GOZ7" s="5"/>
      <c r="GPA7" s="5"/>
      <c r="GPB7" s="5"/>
      <c r="GPC7" s="5"/>
      <c r="GPD7" s="5"/>
      <c r="GPE7" s="5"/>
      <c r="GPF7" s="5"/>
      <c r="GPG7" s="5"/>
      <c r="GPH7" s="5"/>
      <c r="GPI7" s="5"/>
      <c r="GPJ7" s="5"/>
      <c r="GPK7" s="5"/>
      <c r="GPL7" s="5"/>
      <c r="GPM7" s="5"/>
      <c r="GPN7" s="5"/>
      <c r="GPO7" s="5"/>
      <c r="GPP7" s="5"/>
      <c r="GPQ7" s="5"/>
      <c r="GPR7" s="5"/>
      <c r="GPS7" s="5"/>
      <c r="GPT7" s="5"/>
      <c r="GPU7" s="5"/>
      <c r="GPV7" s="5"/>
      <c r="GPW7" s="5"/>
      <c r="GPX7" s="5"/>
      <c r="GPY7" s="5"/>
      <c r="GPZ7" s="5"/>
      <c r="GQA7" s="5"/>
      <c r="GQB7" s="5"/>
      <c r="GQC7" s="5"/>
      <c r="GQD7" s="5"/>
      <c r="GQE7" s="5"/>
      <c r="GQF7" s="5"/>
      <c r="GQG7" s="5"/>
      <c r="GQH7" s="5"/>
      <c r="GQI7" s="5"/>
      <c r="GQJ7" s="5"/>
      <c r="GQK7" s="5"/>
      <c r="GQL7" s="5"/>
      <c r="GQM7" s="5"/>
      <c r="GQN7" s="5"/>
      <c r="GQO7" s="5"/>
      <c r="GQP7" s="5"/>
      <c r="GQQ7" s="5"/>
      <c r="GQR7" s="5"/>
      <c r="GQS7" s="5"/>
      <c r="GQT7" s="5"/>
      <c r="GQU7" s="5"/>
      <c r="GQV7" s="5"/>
      <c r="GQW7" s="5"/>
      <c r="GQX7" s="5"/>
      <c r="GQY7" s="5"/>
      <c r="GQZ7" s="5"/>
      <c r="GRA7" s="5"/>
      <c r="GRB7" s="5"/>
      <c r="GRC7" s="5"/>
      <c r="GRD7" s="5"/>
      <c r="GRE7" s="5"/>
      <c r="GRF7" s="5"/>
      <c r="GRG7" s="5"/>
      <c r="GRH7" s="5"/>
      <c r="GRI7" s="5"/>
      <c r="GRJ7" s="5"/>
      <c r="GRK7" s="5"/>
      <c r="GRL7" s="5"/>
      <c r="GRM7" s="5"/>
      <c r="GRN7" s="5"/>
      <c r="GRO7" s="5"/>
      <c r="GRP7" s="5"/>
      <c r="GRQ7" s="5"/>
      <c r="GRR7" s="5"/>
      <c r="GRS7" s="5"/>
      <c r="GRT7" s="5"/>
      <c r="GRU7" s="5"/>
      <c r="GRV7" s="5"/>
      <c r="GRW7" s="5"/>
      <c r="GRX7" s="5"/>
      <c r="GRY7" s="5"/>
      <c r="GRZ7" s="5"/>
      <c r="GSA7" s="5"/>
      <c r="GSB7" s="5"/>
      <c r="GSC7" s="5"/>
      <c r="GSD7" s="5"/>
      <c r="GSE7" s="5"/>
      <c r="GSF7" s="5"/>
      <c r="GSG7" s="5"/>
      <c r="GSH7" s="5"/>
      <c r="GSI7" s="5"/>
      <c r="GSJ7" s="5"/>
      <c r="GSK7" s="5"/>
      <c r="GSL7" s="5"/>
      <c r="GSM7" s="5"/>
      <c r="GSN7" s="5"/>
      <c r="GSO7" s="5"/>
      <c r="GSP7" s="5"/>
      <c r="GSQ7" s="5"/>
      <c r="GSR7" s="5"/>
      <c r="GSS7" s="5"/>
      <c r="GST7" s="5"/>
      <c r="GSU7" s="5"/>
      <c r="GSV7" s="5"/>
      <c r="GSW7" s="5"/>
      <c r="GSX7" s="5"/>
      <c r="GSY7" s="5"/>
      <c r="GSZ7" s="5"/>
      <c r="GTA7" s="5"/>
      <c r="GTB7" s="5"/>
      <c r="GTC7" s="5"/>
      <c r="GTD7" s="5"/>
      <c r="GTE7" s="5"/>
      <c r="GTF7" s="5"/>
      <c r="GTG7" s="5"/>
      <c r="GTH7" s="5"/>
      <c r="GTI7" s="5"/>
      <c r="GTJ7" s="5"/>
      <c r="GTK7" s="5"/>
      <c r="GTL7" s="5"/>
      <c r="GTM7" s="5"/>
      <c r="GTN7" s="5"/>
      <c r="GTO7" s="5"/>
      <c r="GTP7" s="5"/>
      <c r="GTQ7" s="5"/>
      <c r="GTR7" s="5"/>
      <c r="GTS7" s="5"/>
      <c r="GTT7" s="5"/>
      <c r="GTU7" s="5"/>
      <c r="GTV7" s="5"/>
      <c r="GTW7" s="5"/>
      <c r="GTX7" s="5"/>
      <c r="GTY7" s="5"/>
      <c r="GTZ7" s="5"/>
      <c r="GUA7" s="5"/>
      <c r="GUB7" s="5"/>
      <c r="GUC7" s="5"/>
      <c r="GUD7" s="5"/>
      <c r="GUE7" s="5"/>
      <c r="GUF7" s="5"/>
      <c r="GUG7" s="5"/>
      <c r="GUH7" s="5"/>
      <c r="GUI7" s="5"/>
      <c r="GUJ7" s="5"/>
      <c r="GUK7" s="5"/>
      <c r="GUL7" s="5"/>
      <c r="GUM7" s="5"/>
      <c r="GUN7" s="5"/>
      <c r="GUO7" s="5"/>
      <c r="GUP7" s="5"/>
      <c r="GUQ7" s="5"/>
      <c r="GUR7" s="5"/>
      <c r="GUS7" s="5"/>
      <c r="GUT7" s="5"/>
      <c r="GUU7" s="5"/>
      <c r="GUV7" s="5"/>
      <c r="GUW7" s="5"/>
      <c r="GUX7" s="5"/>
      <c r="GUY7" s="5"/>
      <c r="GUZ7" s="5"/>
      <c r="GVA7" s="5"/>
      <c r="GVB7" s="5"/>
      <c r="GVC7" s="5"/>
      <c r="GVD7" s="5"/>
      <c r="GVE7" s="5"/>
      <c r="GVF7" s="5"/>
      <c r="GVG7" s="5"/>
      <c r="GVH7" s="5"/>
      <c r="GVI7" s="5"/>
      <c r="GVJ7" s="5"/>
      <c r="GVK7" s="5"/>
      <c r="GVL7" s="5"/>
      <c r="GVM7" s="5"/>
      <c r="GVN7" s="5"/>
      <c r="GVO7" s="5"/>
      <c r="GVP7" s="5"/>
      <c r="GVQ7" s="5"/>
      <c r="GVR7" s="5"/>
      <c r="GVS7" s="5"/>
      <c r="GVT7" s="5"/>
      <c r="GVU7" s="5"/>
      <c r="GVV7" s="5"/>
      <c r="GVW7" s="5"/>
      <c r="GVX7" s="5"/>
      <c r="GVY7" s="5"/>
      <c r="GVZ7" s="5"/>
      <c r="GWA7" s="5"/>
      <c r="GWB7" s="5"/>
      <c r="GWC7" s="5"/>
      <c r="GWD7" s="5"/>
      <c r="GWE7" s="5"/>
      <c r="GWF7" s="5"/>
      <c r="GWG7" s="5"/>
      <c r="GWH7" s="5"/>
      <c r="GWI7" s="5"/>
      <c r="GWJ7" s="5"/>
      <c r="GWK7" s="5"/>
      <c r="GWL7" s="5"/>
      <c r="GWM7" s="5"/>
      <c r="GWN7" s="5"/>
      <c r="GWO7" s="5"/>
      <c r="GWP7" s="5"/>
      <c r="GWQ7" s="5"/>
      <c r="GWR7" s="5"/>
      <c r="GWS7" s="5"/>
      <c r="GWT7" s="5"/>
      <c r="GWU7" s="5"/>
      <c r="GWV7" s="5"/>
      <c r="GWW7" s="5"/>
      <c r="GWX7" s="5"/>
      <c r="GWY7" s="5"/>
      <c r="GWZ7" s="5"/>
      <c r="GXA7" s="5"/>
      <c r="GXB7" s="5"/>
      <c r="GXC7" s="5"/>
      <c r="GXD7" s="5"/>
      <c r="GXE7" s="5"/>
      <c r="GXF7" s="5"/>
      <c r="GXG7" s="5"/>
      <c r="GXH7" s="5"/>
      <c r="GXI7" s="5"/>
      <c r="GXJ7" s="5"/>
      <c r="GXK7" s="5"/>
      <c r="GXL7" s="5"/>
      <c r="GXM7" s="5"/>
      <c r="GXN7" s="5"/>
      <c r="GXO7" s="5"/>
      <c r="GXP7" s="5"/>
      <c r="GXQ7" s="5"/>
      <c r="GXR7" s="5"/>
      <c r="GXS7" s="5"/>
      <c r="GXT7" s="5"/>
      <c r="GXU7" s="5"/>
      <c r="GXV7" s="5"/>
      <c r="GXW7" s="5"/>
      <c r="GXX7" s="5"/>
      <c r="GXY7" s="5"/>
      <c r="GXZ7" s="5"/>
      <c r="GYA7" s="5"/>
      <c r="GYB7" s="5"/>
      <c r="GYC7" s="5"/>
      <c r="GYD7" s="5"/>
      <c r="GYE7" s="5"/>
      <c r="GYF7" s="5"/>
      <c r="GYG7" s="5"/>
      <c r="GYH7" s="5"/>
      <c r="GYI7" s="5"/>
      <c r="GYJ7" s="5"/>
      <c r="GYK7" s="5"/>
      <c r="GYL7" s="5"/>
      <c r="GYM7" s="5"/>
      <c r="GYN7" s="5"/>
      <c r="GYO7" s="5"/>
      <c r="GYP7" s="5"/>
      <c r="GYQ7" s="5"/>
      <c r="GYR7" s="5"/>
      <c r="GYS7" s="5"/>
      <c r="GYT7" s="5"/>
      <c r="GYU7" s="5"/>
      <c r="GYV7" s="5"/>
      <c r="GYW7" s="5"/>
      <c r="GYX7" s="5"/>
      <c r="GYY7" s="5"/>
      <c r="GYZ7" s="5"/>
      <c r="GZA7" s="5"/>
      <c r="GZB7" s="5"/>
      <c r="GZC7" s="5"/>
      <c r="GZD7" s="5"/>
      <c r="GZE7" s="5"/>
      <c r="GZF7" s="5"/>
      <c r="GZG7" s="5"/>
      <c r="GZH7" s="5"/>
      <c r="GZI7" s="5"/>
      <c r="GZJ7" s="5"/>
      <c r="GZK7" s="5"/>
      <c r="GZL7" s="5"/>
      <c r="GZM7" s="5"/>
      <c r="GZN7" s="5"/>
      <c r="GZO7" s="5"/>
      <c r="GZP7" s="5"/>
      <c r="GZQ7" s="5"/>
      <c r="GZR7" s="5"/>
      <c r="GZS7" s="5"/>
      <c r="GZT7" s="5"/>
      <c r="GZU7" s="5"/>
      <c r="GZV7" s="5"/>
      <c r="GZW7" s="5"/>
      <c r="GZX7" s="5"/>
      <c r="GZY7" s="5"/>
      <c r="GZZ7" s="5"/>
      <c r="HAA7" s="5"/>
      <c r="HAB7" s="5"/>
      <c r="HAC7" s="5"/>
      <c r="HAD7" s="5"/>
      <c r="HAE7" s="5"/>
      <c r="HAF7" s="5"/>
      <c r="HAG7" s="5"/>
      <c r="HAH7" s="5"/>
      <c r="HAI7" s="5"/>
      <c r="HAJ7" s="5"/>
      <c r="HAK7" s="5"/>
      <c r="HAL7" s="5"/>
      <c r="HAM7" s="5"/>
      <c r="HAN7" s="5"/>
      <c r="HAO7" s="5"/>
      <c r="HAP7" s="5"/>
      <c r="HAQ7" s="5"/>
      <c r="HAR7" s="5"/>
      <c r="HAS7" s="5"/>
      <c r="HAT7" s="5"/>
      <c r="HAU7" s="5"/>
      <c r="HAV7" s="5"/>
      <c r="HAW7" s="5"/>
      <c r="HAX7" s="5"/>
      <c r="HAY7" s="5"/>
      <c r="HAZ7" s="5"/>
      <c r="HBA7" s="5"/>
      <c r="HBB7" s="5"/>
      <c r="HBC7" s="5"/>
      <c r="HBD7" s="5"/>
      <c r="HBE7" s="5"/>
      <c r="HBF7" s="5"/>
      <c r="HBG7" s="5"/>
      <c r="HBH7" s="5"/>
      <c r="HBI7" s="5"/>
      <c r="HBJ7" s="5"/>
      <c r="HBK7" s="5"/>
      <c r="HBL7" s="5"/>
      <c r="HBM7" s="5"/>
      <c r="HBN7" s="5"/>
      <c r="HBO7" s="5"/>
      <c r="HBP7" s="5"/>
      <c r="HBQ7" s="5"/>
      <c r="HBR7" s="5"/>
      <c r="HBS7" s="5"/>
      <c r="HBT7" s="5"/>
      <c r="HBU7" s="5"/>
      <c r="HBV7" s="5"/>
      <c r="HBW7" s="5"/>
      <c r="HBX7" s="5"/>
      <c r="HBY7" s="5"/>
      <c r="HBZ7" s="5"/>
      <c r="HCA7" s="5"/>
      <c r="HCB7" s="5"/>
      <c r="HCC7" s="5"/>
      <c r="HCD7" s="5"/>
      <c r="HCE7" s="5"/>
      <c r="HCF7" s="5"/>
      <c r="HCG7" s="5"/>
      <c r="HCH7" s="5"/>
      <c r="HCI7" s="5"/>
      <c r="HCJ7" s="5"/>
      <c r="HCK7" s="5"/>
      <c r="HCL7" s="5"/>
      <c r="HCM7" s="5"/>
      <c r="HCN7" s="5"/>
      <c r="HCO7" s="5"/>
      <c r="HCP7" s="5"/>
      <c r="HCQ7" s="5"/>
      <c r="HCR7" s="5"/>
      <c r="HCS7" s="5"/>
      <c r="HCT7" s="5"/>
      <c r="HCU7" s="5"/>
      <c r="HCV7" s="5"/>
      <c r="HCW7" s="5"/>
      <c r="HCX7" s="5"/>
      <c r="HCY7" s="5"/>
      <c r="HCZ7" s="5"/>
      <c r="HDA7" s="5"/>
      <c r="HDB7" s="5"/>
      <c r="HDC7" s="5"/>
      <c r="HDD7" s="5"/>
      <c r="HDE7" s="5"/>
      <c r="HDF7" s="5"/>
      <c r="HDG7" s="5"/>
      <c r="HDH7" s="5"/>
      <c r="HDI7" s="5"/>
      <c r="HDJ7" s="5"/>
      <c r="HDK7" s="5"/>
      <c r="HDL7" s="5"/>
      <c r="HDM7" s="5"/>
      <c r="HDN7" s="5"/>
      <c r="HDO7" s="5"/>
      <c r="HDP7" s="5"/>
      <c r="HDQ7" s="5"/>
      <c r="HDR7" s="5"/>
      <c r="HDS7" s="5"/>
      <c r="HDT7" s="5"/>
      <c r="HDU7" s="5"/>
      <c r="HDV7" s="5"/>
      <c r="HDW7" s="5"/>
      <c r="HDX7" s="5"/>
      <c r="HDY7" s="5"/>
      <c r="HDZ7" s="5"/>
      <c r="HEA7" s="5"/>
      <c r="HEB7" s="5"/>
      <c r="HEC7" s="5"/>
      <c r="HED7" s="5"/>
      <c r="HEE7" s="5"/>
      <c r="HEF7" s="5"/>
      <c r="HEG7" s="5"/>
      <c r="HEH7" s="5"/>
      <c r="HEI7" s="5"/>
      <c r="HEJ7" s="5"/>
      <c r="HEK7" s="5"/>
      <c r="HEL7" s="5"/>
      <c r="HEM7" s="5"/>
      <c r="HEN7" s="5"/>
      <c r="HEO7" s="5"/>
      <c r="HEP7" s="5"/>
      <c r="HEQ7" s="5"/>
      <c r="HER7" s="5"/>
      <c r="HES7" s="5"/>
      <c r="HET7" s="5"/>
      <c r="HEU7" s="5"/>
      <c r="HEV7" s="5"/>
      <c r="HEW7" s="5"/>
      <c r="HEX7" s="5"/>
      <c r="HEY7" s="5"/>
      <c r="HEZ7" s="5"/>
      <c r="HFA7" s="5"/>
      <c r="HFB7" s="5"/>
      <c r="HFC7" s="5"/>
      <c r="HFD7" s="5"/>
      <c r="HFE7" s="5"/>
      <c r="HFF7" s="5"/>
      <c r="HFG7" s="5"/>
      <c r="HFH7" s="5"/>
      <c r="HFI7" s="5"/>
      <c r="HFJ7" s="5"/>
      <c r="HFK7" s="5"/>
      <c r="HFL7" s="5"/>
      <c r="HFM7" s="5"/>
      <c r="HFN7" s="5"/>
      <c r="HFO7" s="5"/>
      <c r="HFP7" s="5"/>
      <c r="HFQ7" s="5"/>
      <c r="HFR7" s="5"/>
      <c r="HFS7" s="5"/>
      <c r="HFT7" s="5"/>
      <c r="HFU7" s="5"/>
      <c r="HFV7" s="5"/>
      <c r="HFW7" s="5"/>
      <c r="HFX7" s="5"/>
      <c r="HFY7" s="5"/>
      <c r="HFZ7" s="5"/>
      <c r="HGA7" s="5"/>
      <c r="HGB7" s="5"/>
      <c r="HGC7" s="5"/>
      <c r="HGD7" s="5"/>
      <c r="HGE7" s="5"/>
      <c r="HGF7" s="5"/>
      <c r="HGG7" s="5"/>
      <c r="HGH7" s="5"/>
      <c r="HGI7" s="5"/>
      <c r="HGJ7" s="5"/>
      <c r="HGK7" s="5"/>
      <c r="HGL7" s="5"/>
      <c r="HGM7" s="5"/>
      <c r="HGN7" s="5"/>
      <c r="HGO7" s="5"/>
      <c r="HGP7" s="5"/>
      <c r="HGQ7" s="5"/>
      <c r="HGR7" s="5"/>
      <c r="HGS7" s="5"/>
      <c r="HGT7" s="5"/>
      <c r="HGU7" s="5"/>
      <c r="HGV7" s="5"/>
      <c r="HGW7" s="5"/>
      <c r="HGX7" s="5"/>
      <c r="HGY7" s="5"/>
      <c r="HGZ7" s="5"/>
      <c r="HHA7" s="5"/>
      <c r="HHB7" s="5"/>
      <c r="HHC7" s="5"/>
      <c r="HHD7" s="5"/>
      <c r="HHE7" s="5"/>
      <c r="HHF7" s="5"/>
      <c r="HHG7" s="5"/>
      <c r="HHH7" s="5"/>
      <c r="HHI7" s="5"/>
      <c r="HHJ7" s="5"/>
      <c r="HHK7" s="5"/>
      <c r="HHL7" s="5"/>
      <c r="HHM7" s="5"/>
      <c r="HHN7" s="5"/>
      <c r="HHO7" s="5"/>
      <c r="HHP7" s="5"/>
      <c r="HHQ7" s="5"/>
      <c r="HHR7" s="5"/>
      <c r="HHS7" s="5"/>
      <c r="HHT7" s="5"/>
      <c r="HHU7" s="5"/>
      <c r="HHV7" s="5"/>
      <c r="HHW7" s="5"/>
      <c r="HHX7" s="5"/>
      <c r="HHY7" s="5"/>
      <c r="HHZ7" s="5"/>
      <c r="HIA7" s="5"/>
      <c r="HIB7" s="5"/>
      <c r="HIC7" s="5"/>
      <c r="HID7" s="5"/>
      <c r="HIE7" s="5"/>
      <c r="HIF7" s="5"/>
      <c r="HIG7" s="5"/>
      <c r="HIH7" s="5"/>
      <c r="HII7" s="5"/>
      <c r="HIJ7" s="5"/>
      <c r="HIK7" s="5"/>
      <c r="HIL7" s="5"/>
      <c r="HIM7" s="5"/>
      <c r="HIN7" s="5"/>
      <c r="HIO7" s="5"/>
      <c r="HIP7" s="5"/>
      <c r="HIQ7" s="5"/>
      <c r="HIR7" s="5"/>
      <c r="HIS7" s="5"/>
      <c r="HIT7" s="5"/>
      <c r="HIU7" s="5"/>
      <c r="HIV7" s="5"/>
      <c r="HIW7" s="5"/>
      <c r="HIX7" s="5"/>
      <c r="HIY7" s="5"/>
      <c r="HIZ7" s="5"/>
      <c r="HJA7" s="5"/>
      <c r="HJB7" s="5"/>
      <c r="HJC7" s="5"/>
      <c r="HJD7" s="5"/>
      <c r="HJE7" s="5"/>
      <c r="HJF7" s="5"/>
      <c r="HJG7" s="5"/>
      <c r="HJH7" s="5"/>
      <c r="HJI7" s="5"/>
      <c r="HJJ7" s="5"/>
      <c r="HJK7" s="5"/>
      <c r="HJL7" s="5"/>
      <c r="HJM7" s="5"/>
      <c r="HJN7" s="5"/>
      <c r="HJO7" s="5"/>
      <c r="HJP7" s="5"/>
      <c r="HJQ7" s="5"/>
      <c r="HJR7" s="5"/>
      <c r="HJS7" s="5"/>
      <c r="HJT7" s="5"/>
      <c r="HJU7" s="5"/>
      <c r="HJV7" s="5"/>
      <c r="HJW7" s="5"/>
      <c r="HJX7" s="5"/>
      <c r="HJY7" s="5"/>
      <c r="HJZ7" s="5"/>
      <c r="HKA7" s="5"/>
      <c r="HKB7" s="5"/>
      <c r="HKC7" s="5"/>
      <c r="HKD7" s="5"/>
      <c r="HKE7" s="5"/>
      <c r="HKF7" s="5"/>
      <c r="HKG7" s="5"/>
      <c r="HKH7" s="5"/>
      <c r="HKI7" s="5"/>
      <c r="HKJ7" s="5"/>
      <c r="HKK7" s="5"/>
      <c r="HKL7" s="5"/>
      <c r="HKM7" s="5"/>
      <c r="HKN7" s="5"/>
      <c r="HKO7" s="5"/>
      <c r="HKP7" s="5"/>
      <c r="HKQ7" s="5"/>
      <c r="HKR7" s="5"/>
      <c r="HKS7" s="5"/>
      <c r="HKT7" s="5"/>
      <c r="HKU7" s="5"/>
      <c r="HKV7" s="5"/>
      <c r="HKW7" s="5"/>
      <c r="HKX7" s="5"/>
      <c r="HKY7" s="5"/>
      <c r="HKZ7" s="5"/>
      <c r="HLA7" s="5"/>
      <c r="HLB7" s="5"/>
      <c r="HLC7" s="5"/>
      <c r="HLD7" s="5"/>
      <c r="HLE7" s="5"/>
      <c r="HLF7" s="5"/>
      <c r="HLG7" s="5"/>
      <c r="HLH7" s="5"/>
      <c r="HLI7" s="5"/>
      <c r="HLJ7" s="5"/>
      <c r="HLK7" s="5"/>
      <c r="HLL7" s="5"/>
      <c r="HLM7" s="5"/>
      <c r="HLN7" s="5"/>
      <c r="HLO7" s="5"/>
      <c r="HLP7" s="5"/>
      <c r="HLQ7" s="5"/>
      <c r="HLR7" s="5"/>
      <c r="HLS7" s="5"/>
      <c r="HLT7" s="5"/>
      <c r="HLU7" s="5"/>
      <c r="HLV7" s="5"/>
      <c r="HLW7" s="5"/>
      <c r="HLX7" s="5"/>
      <c r="HLY7" s="5"/>
      <c r="HLZ7" s="5"/>
      <c r="HMA7" s="5"/>
      <c r="HMB7" s="5"/>
      <c r="HMC7" s="5"/>
      <c r="HMD7" s="5"/>
      <c r="HME7" s="5"/>
      <c r="HMF7" s="5"/>
      <c r="HMG7" s="5"/>
      <c r="HMH7" s="5"/>
      <c r="HMI7" s="5"/>
      <c r="HMJ7" s="5"/>
      <c r="HMK7" s="5"/>
      <c r="HML7" s="5"/>
      <c r="HMM7" s="5"/>
      <c r="HMN7" s="5"/>
      <c r="HMO7" s="5"/>
      <c r="HMP7" s="5"/>
      <c r="HMQ7" s="5"/>
      <c r="HMR7" s="5"/>
      <c r="HMS7" s="5"/>
      <c r="HMT7" s="5"/>
      <c r="HMU7" s="5"/>
      <c r="HMV7" s="5"/>
      <c r="HMW7" s="5"/>
      <c r="HMX7" s="5"/>
      <c r="HMY7" s="5"/>
      <c r="HMZ7" s="5"/>
      <c r="HNA7" s="5"/>
      <c r="HNB7" s="5"/>
      <c r="HNC7" s="5"/>
      <c r="HND7" s="5"/>
      <c r="HNE7" s="5"/>
      <c r="HNF7" s="5"/>
      <c r="HNG7" s="5"/>
      <c r="HNH7" s="5"/>
      <c r="HNI7" s="5"/>
      <c r="HNJ7" s="5"/>
      <c r="HNK7" s="5"/>
      <c r="HNL7" s="5"/>
      <c r="HNM7" s="5"/>
      <c r="HNN7" s="5"/>
      <c r="HNO7" s="5"/>
      <c r="HNP7" s="5"/>
      <c r="HNQ7" s="5"/>
      <c r="HNR7" s="5"/>
      <c r="HNS7" s="5"/>
      <c r="HNT7" s="5"/>
      <c r="HNU7" s="5"/>
      <c r="HNV7" s="5"/>
      <c r="HNW7" s="5"/>
      <c r="HNX7" s="5"/>
      <c r="HNY7" s="5"/>
      <c r="HNZ7" s="5"/>
      <c r="HOA7" s="5"/>
      <c r="HOB7" s="5"/>
      <c r="HOC7" s="5"/>
      <c r="HOD7" s="5"/>
      <c r="HOE7" s="5"/>
      <c r="HOF7" s="5"/>
      <c r="HOG7" s="5"/>
      <c r="HOH7" s="5"/>
      <c r="HOI7" s="5"/>
      <c r="HOJ7" s="5"/>
      <c r="HOK7" s="5"/>
      <c r="HOL7" s="5"/>
      <c r="HOM7" s="5"/>
      <c r="HON7" s="5"/>
      <c r="HOO7" s="5"/>
      <c r="HOP7" s="5"/>
      <c r="HOQ7" s="5"/>
      <c r="HOR7" s="5"/>
      <c r="HOS7" s="5"/>
      <c r="HOT7" s="5"/>
      <c r="HOU7" s="5"/>
      <c r="HOV7" s="5"/>
      <c r="HOW7" s="5"/>
      <c r="HOX7" s="5"/>
      <c r="HOY7" s="5"/>
      <c r="HOZ7" s="5"/>
      <c r="HPA7" s="5"/>
      <c r="HPB7" s="5"/>
      <c r="HPC7" s="5"/>
      <c r="HPD7" s="5"/>
      <c r="HPE7" s="5"/>
      <c r="HPF7" s="5"/>
      <c r="HPG7" s="5"/>
      <c r="HPH7" s="5"/>
      <c r="HPI7" s="5"/>
      <c r="HPJ7" s="5"/>
      <c r="HPK7" s="5"/>
      <c r="HPL7" s="5"/>
      <c r="HPM7" s="5"/>
      <c r="HPN7" s="5"/>
      <c r="HPO7" s="5"/>
      <c r="HPP7" s="5"/>
      <c r="HPQ7" s="5"/>
      <c r="HPR7" s="5"/>
      <c r="HPS7" s="5"/>
      <c r="HPT7" s="5"/>
      <c r="HPU7" s="5"/>
      <c r="HPV7" s="5"/>
      <c r="HPW7" s="5"/>
      <c r="HPX7" s="5"/>
      <c r="HPY7" s="5"/>
      <c r="HPZ7" s="5"/>
      <c r="HQA7" s="5"/>
      <c r="HQB7" s="5"/>
      <c r="HQC7" s="5"/>
      <c r="HQD7" s="5"/>
      <c r="HQE7" s="5"/>
      <c r="HQF7" s="5"/>
      <c r="HQG7" s="5"/>
      <c r="HQH7" s="5"/>
      <c r="HQI7" s="5"/>
      <c r="HQJ7" s="5"/>
      <c r="HQK7" s="5"/>
      <c r="HQL7" s="5"/>
      <c r="HQM7" s="5"/>
      <c r="HQN7" s="5"/>
      <c r="HQO7" s="5"/>
      <c r="HQP7" s="5"/>
      <c r="HQQ7" s="5"/>
      <c r="HQR7" s="5"/>
      <c r="HQS7" s="5"/>
      <c r="HQT7" s="5"/>
      <c r="HQU7" s="5"/>
      <c r="HQV7" s="5"/>
      <c r="HQW7" s="5"/>
      <c r="HQX7" s="5"/>
      <c r="HQY7" s="5"/>
      <c r="HQZ7" s="5"/>
      <c r="HRA7" s="5"/>
      <c r="HRB7" s="5"/>
      <c r="HRC7" s="5"/>
      <c r="HRD7" s="5"/>
      <c r="HRE7" s="5"/>
      <c r="HRF7" s="5"/>
      <c r="HRG7" s="5"/>
      <c r="HRH7" s="5"/>
      <c r="HRI7" s="5"/>
      <c r="HRJ7" s="5"/>
      <c r="HRK7" s="5"/>
      <c r="HRL7" s="5"/>
      <c r="HRM7" s="5"/>
      <c r="HRN7" s="5"/>
      <c r="HRO7" s="5"/>
      <c r="HRP7" s="5"/>
      <c r="HRQ7" s="5"/>
      <c r="HRR7" s="5"/>
      <c r="HRS7" s="5"/>
      <c r="HRT7" s="5"/>
      <c r="HRU7" s="5"/>
      <c r="HRV7" s="5"/>
      <c r="HRW7" s="5"/>
      <c r="HRX7" s="5"/>
      <c r="HRY7" s="5"/>
      <c r="HRZ7" s="5"/>
      <c r="HSA7" s="5"/>
      <c r="HSB7" s="5"/>
      <c r="HSC7" s="5"/>
      <c r="HSD7" s="5"/>
      <c r="HSE7" s="5"/>
      <c r="HSF7" s="5"/>
      <c r="HSG7" s="5"/>
      <c r="HSH7" s="5"/>
      <c r="HSI7" s="5"/>
      <c r="HSJ7" s="5"/>
      <c r="HSK7" s="5"/>
      <c r="HSL7" s="5"/>
      <c r="HSM7" s="5"/>
      <c r="HSN7" s="5"/>
      <c r="HSO7" s="5"/>
      <c r="HSP7" s="5"/>
      <c r="HSQ7" s="5"/>
      <c r="HSR7" s="5"/>
      <c r="HSS7" s="5"/>
      <c r="HST7" s="5"/>
      <c r="HSU7" s="5"/>
      <c r="HSV7" s="5"/>
      <c r="HSW7" s="5"/>
      <c r="HSX7" s="5"/>
      <c r="HSY7" s="5"/>
      <c r="HSZ7" s="5"/>
      <c r="HTA7" s="5"/>
      <c r="HTB7" s="5"/>
      <c r="HTC7" s="5"/>
      <c r="HTD7" s="5"/>
      <c r="HTE7" s="5"/>
      <c r="HTF7" s="5"/>
      <c r="HTG7" s="5"/>
      <c r="HTH7" s="5"/>
      <c r="HTI7" s="5"/>
      <c r="HTJ7" s="5"/>
      <c r="HTK7" s="5"/>
      <c r="HTL7" s="5"/>
      <c r="HTM7" s="5"/>
      <c r="HTN7" s="5"/>
      <c r="HTO7" s="5"/>
      <c r="HTP7" s="5"/>
      <c r="HTQ7" s="5"/>
      <c r="HTR7" s="5"/>
      <c r="HTS7" s="5"/>
      <c r="HTT7" s="5"/>
      <c r="HTU7" s="5"/>
      <c r="HTV7" s="5"/>
      <c r="HTW7" s="5"/>
      <c r="HTX7" s="5"/>
      <c r="HTY7" s="5"/>
      <c r="HTZ7" s="5"/>
      <c r="HUA7" s="5"/>
      <c r="HUB7" s="5"/>
      <c r="HUC7" s="5"/>
      <c r="HUD7" s="5"/>
      <c r="HUE7" s="5"/>
      <c r="HUF7" s="5"/>
      <c r="HUG7" s="5"/>
      <c r="HUH7" s="5"/>
      <c r="HUI7" s="5"/>
      <c r="HUJ7" s="5"/>
      <c r="HUK7" s="5"/>
      <c r="HUL7" s="5"/>
      <c r="HUM7" s="5"/>
      <c r="HUN7" s="5"/>
      <c r="HUO7" s="5"/>
      <c r="HUP7" s="5"/>
      <c r="HUQ7" s="5"/>
      <c r="HUR7" s="5"/>
      <c r="HUS7" s="5"/>
      <c r="HUT7" s="5"/>
      <c r="HUU7" s="5"/>
      <c r="HUV7" s="5"/>
      <c r="HUW7" s="5"/>
      <c r="HUX7" s="5"/>
      <c r="HUY7" s="5"/>
      <c r="HUZ7" s="5"/>
      <c r="HVA7" s="5"/>
      <c r="HVB7" s="5"/>
      <c r="HVC7" s="5"/>
      <c r="HVD7" s="5"/>
      <c r="HVE7" s="5"/>
      <c r="HVF7" s="5"/>
      <c r="HVG7" s="5"/>
      <c r="HVH7" s="5"/>
      <c r="HVI7" s="5"/>
      <c r="HVJ7" s="5"/>
      <c r="HVK7" s="5"/>
      <c r="HVL7" s="5"/>
      <c r="HVM7" s="5"/>
      <c r="HVN7" s="5"/>
      <c r="HVO7" s="5"/>
      <c r="HVP7" s="5"/>
      <c r="HVQ7" s="5"/>
      <c r="HVR7" s="5"/>
      <c r="HVS7" s="5"/>
      <c r="HVT7" s="5"/>
      <c r="HVU7" s="5"/>
      <c r="HVV7" s="5"/>
      <c r="HVW7" s="5"/>
      <c r="HVX7" s="5"/>
      <c r="HVY7" s="5"/>
      <c r="HVZ7" s="5"/>
      <c r="HWA7" s="5"/>
      <c r="HWB7" s="5"/>
      <c r="HWC7" s="5"/>
      <c r="HWD7" s="5"/>
      <c r="HWE7" s="5"/>
      <c r="HWF7" s="5"/>
      <c r="HWG7" s="5"/>
      <c r="HWH7" s="5"/>
      <c r="HWI7" s="5"/>
      <c r="HWJ7" s="5"/>
      <c r="HWK7" s="5"/>
      <c r="HWL7" s="5"/>
      <c r="HWM7" s="5"/>
      <c r="HWN7" s="5"/>
      <c r="HWO7" s="5"/>
      <c r="HWP7" s="5"/>
      <c r="HWQ7" s="5"/>
      <c r="HWR7" s="5"/>
      <c r="HWS7" s="5"/>
      <c r="HWT7" s="5"/>
      <c r="HWU7" s="5"/>
      <c r="HWV7" s="5"/>
      <c r="HWW7" s="5"/>
      <c r="HWX7" s="5"/>
      <c r="HWY7" s="5"/>
      <c r="HWZ7" s="5"/>
      <c r="HXA7" s="5"/>
      <c r="HXB7" s="5"/>
      <c r="HXC7" s="5"/>
      <c r="HXD7" s="5"/>
      <c r="HXE7" s="5"/>
      <c r="HXF7" s="5"/>
      <c r="HXG7" s="5"/>
      <c r="HXH7" s="5"/>
      <c r="HXI7" s="5"/>
      <c r="HXJ7" s="5"/>
      <c r="HXK7" s="5"/>
      <c r="HXL7" s="5"/>
      <c r="HXM7" s="5"/>
      <c r="HXN7" s="5"/>
      <c r="HXO7" s="5"/>
      <c r="HXP7" s="5"/>
      <c r="HXQ7" s="5"/>
      <c r="HXR7" s="5"/>
      <c r="HXS7" s="5"/>
      <c r="HXT7" s="5"/>
      <c r="HXU7" s="5"/>
      <c r="HXV7" s="5"/>
      <c r="HXW7" s="5"/>
      <c r="HXX7" s="5"/>
      <c r="HXY7" s="5"/>
      <c r="HXZ7" s="5"/>
      <c r="HYA7" s="5"/>
      <c r="HYB7" s="5"/>
      <c r="HYC7" s="5"/>
      <c r="HYD7" s="5"/>
      <c r="HYE7" s="5"/>
      <c r="HYF7" s="5"/>
      <c r="HYG7" s="5"/>
      <c r="HYH7" s="5"/>
      <c r="HYI7" s="5"/>
      <c r="HYJ7" s="5"/>
      <c r="HYK7" s="5"/>
      <c r="HYL7" s="5"/>
      <c r="HYM7" s="5"/>
      <c r="HYN7" s="5"/>
      <c r="HYO7" s="5"/>
      <c r="HYP7" s="5"/>
      <c r="HYQ7" s="5"/>
      <c r="HYR7" s="5"/>
      <c r="HYS7" s="5"/>
      <c r="HYT7" s="5"/>
      <c r="HYU7" s="5"/>
      <c r="HYV7" s="5"/>
      <c r="HYW7" s="5"/>
      <c r="HYX7" s="5"/>
      <c r="HYY7" s="5"/>
      <c r="HYZ7" s="5"/>
      <c r="HZA7" s="5"/>
      <c r="HZB7" s="5"/>
      <c r="HZC7" s="5"/>
      <c r="HZD7" s="5"/>
      <c r="HZE7" s="5"/>
      <c r="HZF7" s="5"/>
      <c r="HZG7" s="5"/>
      <c r="HZH7" s="5"/>
      <c r="HZI7" s="5"/>
      <c r="HZJ7" s="5"/>
      <c r="HZK7" s="5"/>
      <c r="HZL7" s="5"/>
      <c r="HZM7" s="5"/>
      <c r="HZN7" s="5"/>
      <c r="HZO7" s="5"/>
      <c r="HZP7" s="5"/>
      <c r="HZQ7" s="5"/>
      <c r="HZR7" s="5"/>
      <c r="HZS7" s="5"/>
      <c r="HZT7" s="5"/>
      <c r="HZU7" s="5"/>
      <c r="HZV7" s="5"/>
      <c r="HZW7" s="5"/>
      <c r="HZX7" s="5"/>
      <c r="HZY7" s="5"/>
      <c r="HZZ7" s="5"/>
      <c r="IAA7" s="5"/>
      <c r="IAB7" s="5"/>
      <c r="IAC7" s="5"/>
      <c r="IAD7" s="5"/>
      <c r="IAE7" s="5"/>
      <c r="IAF7" s="5"/>
      <c r="IAG7" s="5"/>
      <c r="IAH7" s="5"/>
      <c r="IAI7" s="5"/>
      <c r="IAJ7" s="5"/>
      <c r="IAK7" s="5"/>
      <c r="IAL7" s="5"/>
      <c r="IAM7" s="5"/>
      <c r="IAN7" s="5"/>
      <c r="IAO7" s="5"/>
      <c r="IAP7" s="5"/>
      <c r="IAQ7" s="5"/>
      <c r="IAR7" s="5"/>
      <c r="IAS7" s="5"/>
      <c r="IAT7" s="5"/>
      <c r="IAU7" s="5"/>
      <c r="IAV7" s="5"/>
      <c r="IAW7" s="5"/>
      <c r="IAX7" s="5"/>
      <c r="IAY7" s="5"/>
      <c r="IAZ7" s="5"/>
      <c r="IBA7" s="5"/>
      <c r="IBB7" s="5"/>
      <c r="IBC7" s="5"/>
      <c r="IBD7" s="5"/>
      <c r="IBE7" s="5"/>
      <c r="IBF7" s="5"/>
      <c r="IBG7" s="5"/>
      <c r="IBH7" s="5"/>
      <c r="IBI7" s="5"/>
      <c r="IBJ7" s="5"/>
      <c r="IBK7" s="5"/>
      <c r="IBL7" s="5"/>
      <c r="IBM7" s="5"/>
      <c r="IBN7" s="5"/>
      <c r="IBO7" s="5"/>
      <c r="IBP7" s="5"/>
      <c r="IBQ7" s="5"/>
      <c r="IBR7" s="5"/>
      <c r="IBS7" s="5"/>
      <c r="IBT7" s="5"/>
      <c r="IBU7" s="5"/>
      <c r="IBV7" s="5"/>
      <c r="IBW7" s="5"/>
      <c r="IBX7" s="5"/>
      <c r="IBY7" s="5"/>
      <c r="IBZ7" s="5"/>
      <c r="ICA7" s="5"/>
      <c r="ICB7" s="5"/>
      <c r="ICC7" s="5"/>
      <c r="ICD7" s="5"/>
      <c r="ICE7" s="5"/>
      <c r="ICF7" s="5"/>
      <c r="ICG7" s="5"/>
      <c r="ICH7" s="5"/>
      <c r="ICI7" s="5"/>
      <c r="ICJ7" s="5"/>
      <c r="ICK7" s="5"/>
      <c r="ICL7" s="5"/>
      <c r="ICM7" s="5"/>
      <c r="ICN7" s="5"/>
      <c r="ICO7" s="5"/>
      <c r="ICP7" s="5"/>
      <c r="ICQ7" s="5"/>
      <c r="ICR7" s="5"/>
      <c r="ICS7" s="5"/>
      <c r="ICT7" s="5"/>
      <c r="ICU7" s="5"/>
      <c r="ICV7" s="5"/>
      <c r="ICW7" s="5"/>
      <c r="ICX7" s="5"/>
      <c r="ICY7" s="5"/>
      <c r="ICZ7" s="5"/>
      <c r="IDA7" s="5"/>
      <c r="IDB7" s="5"/>
      <c r="IDC7" s="5"/>
      <c r="IDD7" s="5"/>
      <c r="IDE7" s="5"/>
      <c r="IDF7" s="5"/>
      <c r="IDG7" s="5"/>
      <c r="IDH7" s="5"/>
      <c r="IDI7" s="5"/>
      <c r="IDJ7" s="5"/>
      <c r="IDK7" s="5"/>
      <c r="IDL7" s="5"/>
      <c r="IDM7" s="5"/>
      <c r="IDN7" s="5"/>
      <c r="IDO7" s="5"/>
      <c r="IDP7" s="5"/>
      <c r="IDQ7" s="5"/>
      <c r="IDR7" s="5"/>
      <c r="IDS7" s="5"/>
      <c r="IDT7" s="5"/>
      <c r="IDU7" s="5"/>
      <c r="IDV7" s="5"/>
      <c r="IDW7" s="5"/>
      <c r="IDX7" s="5"/>
      <c r="IDY7" s="5"/>
      <c r="IDZ7" s="5"/>
      <c r="IEA7" s="5"/>
      <c r="IEB7" s="5"/>
      <c r="IEC7" s="5"/>
      <c r="IED7" s="5"/>
      <c r="IEE7" s="5"/>
      <c r="IEF7" s="5"/>
      <c r="IEG7" s="5"/>
      <c r="IEH7" s="5"/>
      <c r="IEI7" s="5"/>
      <c r="IEJ7" s="5"/>
      <c r="IEK7" s="5"/>
      <c r="IEL7" s="5"/>
      <c r="IEM7" s="5"/>
      <c r="IEN7" s="5"/>
      <c r="IEO7" s="5"/>
      <c r="IEP7" s="5"/>
      <c r="IEQ7" s="5"/>
      <c r="IER7" s="5"/>
      <c r="IES7" s="5"/>
      <c r="IET7" s="5"/>
      <c r="IEU7" s="5"/>
      <c r="IEV7" s="5"/>
      <c r="IEW7" s="5"/>
      <c r="IEX7" s="5"/>
      <c r="IEY7" s="5"/>
      <c r="IEZ7" s="5"/>
      <c r="IFA7" s="5"/>
      <c r="IFB7" s="5"/>
      <c r="IFC7" s="5"/>
      <c r="IFD7" s="5"/>
      <c r="IFE7" s="5"/>
      <c r="IFF7" s="5"/>
      <c r="IFG7" s="5"/>
      <c r="IFH7" s="5"/>
      <c r="IFI7" s="5"/>
      <c r="IFJ7" s="5"/>
      <c r="IFK7" s="5"/>
      <c r="IFL7" s="5"/>
      <c r="IFM7" s="5"/>
      <c r="IFN7" s="5"/>
      <c r="IFO7" s="5"/>
      <c r="IFP7" s="5"/>
      <c r="IFQ7" s="5"/>
      <c r="IFR7" s="5"/>
      <c r="IFS7" s="5"/>
      <c r="IFT7" s="5"/>
      <c r="IFU7" s="5"/>
      <c r="IFV7" s="5"/>
      <c r="IFW7" s="5"/>
      <c r="IFX7" s="5"/>
      <c r="IFY7" s="5"/>
      <c r="IFZ7" s="5"/>
      <c r="IGA7" s="5"/>
      <c r="IGB7" s="5"/>
      <c r="IGC7" s="5"/>
      <c r="IGD7" s="5"/>
      <c r="IGE7" s="5"/>
      <c r="IGF7" s="5"/>
      <c r="IGG7" s="5"/>
      <c r="IGH7" s="5"/>
      <c r="IGI7" s="5"/>
      <c r="IGJ7" s="5"/>
      <c r="IGK7" s="5"/>
      <c r="IGL7" s="5"/>
      <c r="IGM7" s="5"/>
      <c r="IGN7" s="5"/>
      <c r="IGO7" s="5"/>
      <c r="IGP7" s="5"/>
      <c r="IGQ7" s="5"/>
      <c r="IGR7" s="5"/>
      <c r="IGS7" s="5"/>
      <c r="IGT7" s="5"/>
      <c r="IGU7" s="5"/>
      <c r="IGV7" s="5"/>
      <c r="IGW7" s="5"/>
      <c r="IGX7" s="5"/>
      <c r="IGY7" s="5"/>
      <c r="IGZ7" s="5"/>
      <c r="IHA7" s="5"/>
      <c r="IHB7" s="5"/>
      <c r="IHC7" s="5"/>
      <c r="IHD7" s="5"/>
      <c r="IHE7" s="5"/>
      <c r="IHF7" s="5"/>
      <c r="IHG7" s="5"/>
      <c r="IHH7" s="5"/>
      <c r="IHI7" s="5"/>
      <c r="IHJ7" s="5"/>
      <c r="IHK7" s="5"/>
      <c r="IHL7" s="5"/>
      <c r="IHM7" s="5"/>
      <c r="IHN7" s="5"/>
      <c r="IHO7" s="5"/>
      <c r="IHP7" s="5"/>
      <c r="IHQ7" s="5"/>
      <c r="IHR7" s="5"/>
      <c r="IHS7" s="5"/>
      <c r="IHT7" s="5"/>
      <c r="IHU7" s="5"/>
      <c r="IHV7" s="5"/>
      <c r="IHW7" s="5"/>
      <c r="IHX7" s="5"/>
      <c r="IHY7" s="5"/>
      <c r="IHZ7" s="5"/>
      <c r="IIA7" s="5"/>
      <c r="IIB7" s="5"/>
      <c r="IIC7" s="5"/>
      <c r="IID7" s="5"/>
      <c r="IIE7" s="5"/>
      <c r="IIF7" s="5"/>
      <c r="IIG7" s="5"/>
      <c r="IIH7" s="5"/>
      <c r="III7" s="5"/>
      <c r="IIJ7" s="5"/>
      <c r="IIK7" s="5"/>
      <c r="IIL7" s="5"/>
      <c r="IIM7" s="5"/>
      <c r="IIN7" s="5"/>
      <c r="IIO7" s="5"/>
      <c r="IIP7" s="5"/>
      <c r="IIQ7" s="5"/>
      <c r="IIR7" s="5"/>
      <c r="IIS7" s="5"/>
      <c r="IIT7" s="5"/>
      <c r="IIU7" s="5"/>
      <c r="IIV7" s="5"/>
      <c r="IIW7" s="5"/>
      <c r="IIX7" s="5"/>
      <c r="IIY7" s="5"/>
      <c r="IIZ7" s="5"/>
      <c r="IJA7" s="5"/>
      <c r="IJB7" s="5"/>
      <c r="IJC7" s="5"/>
      <c r="IJD7" s="5"/>
      <c r="IJE7" s="5"/>
      <c r="IJF7" s="5"/>
      <c r="IJG7" s="5"/>
      <c r="IJH7" s="5"/>
      <c r="IJI7" s="5"/>
      <c r="IJJ7" s="5"/>
      <c r="IJK7" s="5"/>
      <c r="IJL7" s="5"/>
      <c r="IJM7" s="5"/>
      <c r="IJN7" s="5"/>
      <c r="IJO7" s="5"/>
      <c r="IJP7" s="5"/>
      <c r="IJQ7" s="5"/>
      <c r="IJR7" s="5"/>
      <c r="IJS7" s="5"/>
      <c r="IJT7" s="5"/>
      <c r="IJU7" s="5"/>
      <c r="IJV7" s="5"/>
      <c r="IJW7" s="5"/>
      <c r="IJX7" s="5"/>
      <c r="IJY7" s="5"/>
      <c r="IJZ7" s="5"/>
      <c r="IKA7" s="5"/>
      <c r="IKB7" s="5"/>
      <c r="IKC7" s="5"/>
      <c r="IKD7" s="5"/>
      <c r="IKE7" s="5"/>
      <c r="IKF7" s="5"/>
      <c r="IKG7" s="5"/>
      <c r="IKH7" s="5"/>
      <c r="IKI7" s="5"/>
      <c r="IKJ7" s="5"/>
      <c r="IKK7" s="5"/>
      <c r="IKL7" s="5"/>
      <c r="IKM7" s="5"/>
      <c r="IKN7" s="5"/>
      <c r="IKO7" s="5"/>
      <c r="IKP7" s="5"/>
      <c r="IKQ7" s="5"/>
      <c r="IKR7" s="5"/>
      <c r="IKS7" s="5"/>
      <c r="IKT7" s="5"/>
      <c r="IKU7" s="5"/>
      <c r="IKV7" s="5"/>
      <c r="IKW7" s="5"/>
      <c r="IKX7" s="5"/>
      <c r="IKY7" s="5"/>
      <c r="IKZ7" s="5"/>
      <c r="ILA7" s="5"/>
      <c r="ILB7" s="5"/>
      <c r="ILC7" s="5"/>
      <c r="ILD7" s="5"/>
      <c r="ILE7" s="5"/>
      <c r="ILF7" s="5"/>
      <c r="ILG7" s="5"/>
      <c r="ILH7" s="5"/>
      <c r="ILI7" s="5"/>
      <c r="ILJ7" s="5"/>
      <c r="ILK7" s="5"/>
      <c r="ILL7" s="5"/>
      <c r="ILM7" s="5"/>
      <c r="ILN7" s="5"/>
      <c r="ILO7" s="5"/>
      <c r="ILP7" s="5"/>
      <c r="ILQ7" s="5"/>
      <c r="ILR7" s="5"/>
      <c r="ILS7" s="5"/>
      <c r="ILT7" s="5"/>
      <c r="ILU7" s="5"/>
      <c r="ILV7" s="5"/>
      <c r="ILW7" s="5"/>
      <c r="ILX7" s="5"/>
      <c r="ILY7" s="5"/>
      <c r="ILZ7" s="5"/>
      <c r="IMA7" s="5"/>
      <c r="IMB7" s="5"/>
      <c r="IMC7" s="5"/>
      <c r="IMD7" s="5"/>
      <c r="IME7" s="5"/>
      <c r="IMF7" s="5"/>
      <c r="IMG7" s="5"/>
      <c r="IMH7" s="5"/>
      <c r="IMI7" s="5"/>
      <c r="IMJ7" s="5"/>
      <c r="IMK7" s="5"/>
      <c r="IML7" s="5"/>
      <c r="IMM7" s="5"/>
      <c r="IMN7" s="5"/>
      <c r="IMO7" s="5"/>
      <c r="IMP7" s="5"/>
      <c r="IMQ7" s="5"/>
      <c r="IMR7" s="5"/>
      <c r="IMS7" s="5"/>
      <c r="IMT7" s="5"/>
      <c r="IMU7" s="5"/>
      <c r="IMV7" s="5"/>
      <c r="IMW7" s="5"/>
      <c r="IMX7" s="5"/>
      <c r="IMY7" s="5"/>
      <c r="IMZ7" s="5"/>
      <c r="INA7" s="5"/>
      <c r="INB7" s="5"/>
      <c r="INC7" s="5"/>
      <c r="IND7" s="5"/>
      <c r="INE7" s="5"/>
      <c r="INF7" s="5"/>
      <c r="ING7" s="5"/>
      <c r="INH7" s="5"/>
      <c r="INI7" s="5"/>
      <c r="INJ7" s="5"/>
      <c r="INK7" s="5"/>
      <c r="INL7" s="5"/>
      <c r="INM7" s="5"/>
      <c r="INN7" s="5"/>
      <c r="INO7" s="5"/>
      <c r="INP7" s="5"/>
      <c r="INQ7" s="5"/>
      <c r="INR7" s="5"/>
      <c r="INS7" s="5"/>
      <c r="INT7" s="5"/>
      <c r="INU7" s="5"/>
      <c r="INV7" s="5"/>
      <c r="INW7" s="5"/>
      <c r="INX7" s="5"/>
      <c r="INY7" s="5"/>
      <c r="INZ7" s="5"/>
      <c r="IOA7" s="5"/>
      <c r="IOB7" s="5"/>
      <c r="IOC7" s="5"/>
      <c r="IOD7" s="5"/>
      <c r="IOE7" s="5"/>
      <c r="IOF7" s="5"/>
      <c r="IOG7" s="5"/>
      <c r="IOH7" s="5"/>
      <c r="IOI7" s="5"/>
      <c r="IOJ7" s="5"/>
      <c r="IOK7" s="5"/>
      <c r="IOL7" s="5"/>
      <c r="IOM7" s="5"/>
      <c r="ION7" s="5"/>
      <c r="IOO7" s="5"/>
      <c r="IOP7" s="5"/>
      <c r="IOQ7" s="5"/>
      <c r="IOR7" s="5"/>
      <c r="IOS7" s="5"/>
      <c r="IOT7" s="5"/>
      <c r="IOU7" s="5"/>
      <c r="IOV7" s="5"/>
      <c r="IOW7" s="5"/>
      <c r="IOX7" s="5"/>
      <c r="IOY7" s="5"/>
      <c r="IOZ7" s="5"/>
      <c r="IPA7" s="5"/>
      <c r="IPB7" s="5"/>
      <c r="IPC7" s="5"/>
      <c r="IPD7" s="5"/>
      <c r="IPE7" s="5"/>
      <c r="IPF7" s="5"/>
      <c r="IPG7" s="5"/>
      <c r="IPH7" s="5"/>
      <c r="IPI7" s="5"/>
      <c r="IPJ7" s="5"/>
      <c r="IPK7" s="5"/>
      <c r="IPL7" s="5"/>
      <c r="IPM7" s="5"/>
      <c r="IPN7" s="5"/>
      <c r="IPO7" s="5"/>
      <c r="IPP7" s="5"/>
      <c r="IPQ7" s="5"/>
      <c r="IPR7" s="5"/>
      <c r="IPS7" s="5"/>
      <c r="IPT7" s="5"/>
      <c r="IPU7" s="5"/>
      <c r="IPV7" s="5"/>
      <c r="IPW7" s="5"/>
      <c r="IPX7" s="5"/>
      <c r="IPY7" s="5"/>
      <c r="IPZ7" s="5"/>
      <c r="IQA7" s="5"/>
      <c r="IQB7" s="5"/>
      <c r="IQC7" s="5"/>
      <c r="IQD7" s="5"/>
      <c r="IQE7" s="5"/>
      <c r="IQF7" s="5"/>
      <c r="IQG7" s="5"/>
      <c r="IQH7" s="5"/>
      <c r="IQI7" s="5"/>
      <c r="IQJ7" s="5"/>
      <c r="IQK7" s="5"/>
      <c r="IQL7" s="5"/>
      <c r="IQM7" s="5"/>
      <c r="IQN7" s="5"/>
      <c r="IQO7" s="5"/>
      <c r="IQP7" s="5"/>
      <c r="IQQ7" s="5"/>
      <c r="IQR7" s="5"/>
      <c r="IQS7" s="5"/>
      <c r="IQT7" s="5"/>
      <c r="IQU7" s="5"/>
      <c r="IQV7" s="5"/>
      <c r="IQW7" s="5"/>
      <c r="IQX7" s="5"/>
      <c r="IQY7" s="5"/>
      <c r="IQZ7" s="5"/>
      <c r="IRA7" s="5"/>
      <c r="IRB7" s="5"/>
      <c r="IRC7" s="5"/>
      <c r="IRD7" s="5"/>
      <c r="IRE7" s="5"/>
      <c r="IRF7" s="5"/>
      <c r="IRG7" s="5"/>
      <c r="IRH7" s="5"/>
      <c r="IRI7" s="5"/>
      <c r="IRJ7" s="5"/>
      <c r="IRK7" s="5"/>
      <c r="IRL7" s="5"/>
      <c r="IRM7" s="5"/>
      <c r="IRN7" s="5"/>
      <c r="IRO7" s="5"/>
      <c r="IRP7" s="5"/>
      <c r="IRQ7" s="5"/>
      <c r="IRR7" s="5"/>
      <c r="IRS7" s="5"/>
      <c r="IRT7" s="5"/>
      <c r="IRU7" s="5"/>
      <c r="IRV7" s="5"/>
      <c r="IRW7" s="5"/>
      <c r="IRX7" s="5"/>
      <c r="IRY7" s="5"/>
      <c r="IRZ7" s="5"/>
      <c r="ISA7" s="5"/>
      <c r="ISB7" s="5"/>
      <c r="ISC7" s="5"/>
      <c r="ISD7" s="5"/>
      <c r="ISE7" s="5"/>
      <c r="ISF7" s="5"/>
      <c r="ISG7" s="5"/>
      <c r="ISH7" s="5"/>
      <c r="ISI7" s="5"/>
      <c r="ISJ7" s="5"/>
      <c r="ISK7" s="5"/>
      <c r="ISL7" s="5"/>
      <c r="ISM7" s="5"/>
      <c r="ISN7" s="5"/>
      <c r="ISO7" s="5"/>
      <c r="ISP7" s="5"/>
      <c r="ISQ7" s="5"/>
      <c r="ISR7" s="5"/>
      <c r="ISS7" s="5"/>
      <c r="IST7" s="5"/>
      <c r="ISU7" s="5"/>
      <c r="ISV7" s="5"/>
      <c r="ISW7" s="5"/>
      <c r="ISX7" s="5"/>
      <c r="ISY7" s="5"/>
      <c r="ISZ7" s="5"/>
      <c r="ITA7" s="5"/>
      <c r="ITB7" s="5"/>
      <c r="ITC7" s="5"/>
      <c r="ITD7" s="5"/>
      <c r="ITE7" s="5"/>
      <c r="ITF7" s="5"/>
      <c r="ITG7" s="5"/>
      <c r="ITH7" s="5"/>
      <c r="ITI7" s="5"/>
      <c r="ITJ7" s="5"/>
      <c r="ITK7" s="5"/>
      <c r="ITL7" s="5"/>
      <c r="ITM7" s="5"/>
      <c r="ITN7" s="5"/>
      <c r="ITO7" s="5"/>
      <c r="ITP7" s="5"/>
      <c r="ITQ7" s="5"/>
      <c r="ITR7" s="5"/>
      <c r="ITS7" s="5"/>
      <c r="ITT7" s="5"/>
      <c r="ITU7" s="5"/>
      <c r="ITV7" s="5"/>
      <c r="ITW7" s="5"/>
      <c r="ITX7" s="5"/>
      <c r="ITY7" s="5"/>
      <c r="ITZ7" s="5"/>
      <c r="IUA7" s="5"/>
      <c r="IUB7" s="5"/>
      <c r="IUC7" s="5"/>
      <c r="IUD7" s="5"/>
      <c r="IUE7" s="5"/>
      <c r="IUF7" s="5"/>
      <c r="IUG7" s="5"/>
      <c r="IUH7" s="5"/>
      <c r="IUI7" s="5"/>
      <c r="IUJ7" s="5"/>
      <c r="IUK7" s="5"/>
      <c r="IUL7" s="5"/>
      <c r="IUM7" s="5"/>
      <c r="IUN7" s="5"/>
      <c r="IUO7" s="5"/>
      <c r="IUP7" s="5"/>
      <c r="IUQ7" s="5"/>
      <c r="IUR7" s="5"/>
      <c r="IUS7" s="5"/>
      <c r="IUT7" s="5"/>
      <c r="IUU7" s="5"/>
      <c r="IUV7" s="5"/>
      <c r="IUW7" s="5"/>
      <c r="IUX7" s="5"/>
      <c r="IUY7" s="5"/>
      <c r="IUZ7" s="5"/>
      <c r="IVA7" s="5"/>
      <c r="IVB7" s="5"/>
      <c r="IVC7" s="5"/>
      <c r="IVD7" s="5"/>
      <c r="IVE7" s="5"/>
      <c r="IVF7" s="5"/>
      <c r="IVG7" s="5"/>
      <c r="IVH7" s="5"/>
      <c r="IVI7" s="5"/>
      <c r="IVJ7" s="5"/>
      <c r="IVK7" s="5"/>
      <c r="IVL7" s="5"/>
      <c r="IVM7" s="5"/>
      <c r="IVN7" s="5"/>
      <c r="IVO7" s="5"/>
      <c r="IVP7" s="5"/>
      <c r="IVQ7" s="5"/>
      <c r="IVR7" s="5"/>
      <c r="IVS7" s="5"/>
      <c r="IVT7" s="5"/>
      <c r="IVU7" s="5"/>
      <c r="IVV7" s="5"/>
      <c r="IVW7" s="5"/>
      <c r="IVX7" s="5"/>
      <c r="IVY7" s="5"/>
      <c r="IVZ7" s="5"/>
      <c r="IWA7" s="5"/>
      <c r="IWB7" s="5"/>
      <c r="IWC7" s="5"/>
      <c r="IWD7" s="5"/>
      <c r="IWE7" s="5"/>
      <c r="IWF7" s="5"/>
      <c r="IWG7" s="5"/>
      <c r="IWH7" s="5"/>
      <c r="IWI7" s="5"/>
      <c r="IWJ7" s="5"/>
      <c r="IWK7" s="5"/>
      <c r="IWL7" s="5"/>
      <c r="IWM7" s="5"/>
      <c r="IWN7" s="5"/>
      <c r="IWO7" s="5"/>
      <c r="IWP7" s="5"/>
      <c r="IWQ7" s="5"/>
      <c r="IWR7" s="5"/>
      <c r="IWS7" s="5"/>
      <c r="IWT7" s="5"/>
      <c r="IWU7" s="5"/>
      <c r="IWV7" s="5"/>
      <c r="IWW7" s="5"/>
      <c r="IWX7" s="5"/>
      <c r="IWY7" s="5"/>
      <c r="IWZ7" s="5"/>
      <c r="IXA7" s="5"/>
      <c r="IXB7" s="5"/>
      <c r="IXC7" s="5"/>
      <c r="IXD7" s="5"/>
      <c r="IXE7" s="5"/>
      <c r="IXF7" s="5"/>
      <c r="IXG7" s="5"/>
      <c r="IXH7" s="5"/>
      <c r="IXI7" s="5"/>
      <c r="IXJ7" s="5"/>
      <c r="IXK7" s="5"/>
      <c r="IXL7" s="5"/>
      <c r="IXM7" s="5"/>
      <c r="IXN7" s="5"/>
      <c r="IXO7" s="5"/>
      <c r="IXP7" s="5"/>
      <c r="IXQ7" s="5"/>
      <c r="IXR7" s="5"/>
      <c r="IXS7" s="5"/>
      <c r="IXT7" s="5"/>
      <c r="IXU7" s="5"/>
      <c r="IXV7" s="5"/>
      <c r="IXW7" s="5"/>
      <c r="IXX7" s="5"/>
      <c r="IXY7" s="5"/>
      <c r="IXZ7" s="5"/>
      <c r="IYA7" s="5"/>
      <c r="IYB7" s="5"/>
      <c r="IYC7" s="5"/>
      <c r="IYD7" s="5"/>
      <c r="IYE7" s="5"/>
      <c r="IYF7" s="5"/>
      <c r="IYG7" s="5"/>
      <c r="IYH7" s="5"/>
      <c r="IYI7" s="5"/>
      <c r="IYJ7" s="5"/>
      <c r="IYK7" s="5"/>
      <c r="IYL7" s="5"/>
      <c r="IYM7" s="5"/>
      <c r="IYN7" s="5"/>
      <c r="IYO7" s="5"/>
      <c r="IYP7" s="5"/>
      <c r="IYQ7" s="5"/>
      <c r="IYR7" s="5"/>
      <c r="IYS7" s="5"/>
      <c r="IYT7" s="5"/>
      <c r="IYU7" s="5"/>
      <c r="IYV7" s="5"/>
      <c r="IYW7" s="5"/>
      <c r="IYX7" s="5"/>
      <c r="IYY7" s="5"/>
      <c r="IYZ7" s="5"/>
      <c r="IZA7" s="5"/>
      <c r="IZB7" s="5"/>
      <c r="IZC7" s="5"/>
      <c r="IZD7" s="5"/>
      <c r="IZE7" s="5"/>
      <c r="IZF7" s="5"/>
      <c r="IZG7" s="5"/>
      <c r="IZH7" s="5"/>
      <c r="IZI7" s="5"/>
      <c r="IZJ7" s="5"/>
      <c r="IZK7" s="5"/>
      <c r="IZL7" s="5"/>
      <c r="IZM7" s="5"/>
      <c r="IZN7" s="5"/>
      <c r="IZO7" s="5"/>
      <c r="IZP7" s="5"/>
      <c r="IZQ7" s="5"/>
      <c r="IZR7" s="5"/>
      <c r="IZS7" s="5"/>
      <c r="IZT7" s="5"/>
      <c r="IZU7" s="5"/>
      <c r="IZV7" s="5"/>
      <c r="IZW7" s="5"/>
      <c r="IZX7" s="5"/>
      <c r="IZY7" s="5"/>
      <c r="IZZ7" s="5"/>
      <c r="JAA7" s="5"/>
      <c r="JAB7" s="5"/>
      <c r="JAC7" s="5"/>
      <c r="JAD7" s="5"/>
      <c r="JAE7" s="5"/>
      <c r="JAF7" s="5"/>
      <c r="JAG7" s="5"/>
      <c r="JAH7" s="5"/>
      <c r="JAI7" s="5"/>
      <c r="JAJ7" s="5"/>
      <c r="JAK7" s="5"/>
      <c r="JAL7" s="5"/>
      <c r="JAM7" s="5"/>
      <c r="JAN7" s="5"/>
      <c r="JAO7" s="5"/>
      <c r="JAP7" s="5"/>
      <c r="JAQ7" s="5"/>
      <c r="JAR7" s="5"/>
      <c r="JAS7" s="5"/>
      <c r="JAT7" s="5"/>
      <c r="JAU7" s="5"/>
      <c r="JAV7" s="5"/>
      <c r="JAW7" s="5"/>
      <c r="JAX7" s="5"/>
      <c r="JAY7" s="5"/>
      <c r="JAZ7" s="5"/>
      <c r="JBA7" s="5"/>
      <c r="JBB7" s="5"/>
      <c r="JBC7" s="5"/>
      <c r="JBD7" s="5"/>
      <c r="JBE7" s="5"/>
      <c r="JBF7" s="5"/>
      <c r="JBG7" s="5"/>
      <c r="JBH7" s="5"/>
      <c r="JBI7" s="5"/>
      <c r="JBJ7" s="5"/>
      <c r="JBK7" s="5"/>
      <c r="JBL7" s="5"/>
      <c r="JBM7" s="5"/>
      <c r="JBN7" s="5"/>
      <c r="JBO7" s="5"/>
      <c r="JBP7" s="5"/>
      <c r="JBQ7" s="5"/>
      <c r="JBR7" s="5"/>
      <c r="JBS7" s="5"/>
      <c r="JBT7" s="5"/>
      <c r="JBU7" s="5"/>
      <c r="JBV7" s="5"/>
      <c r="JBW7" s="5"/>
      <c r="JBX7" s="5"/>
      <c r="JBY7" s="5"/>
      <c r="JBZ7" s="5"/>
      <c r="JCA7" s="5"/>
      <c r="JCB7" s="5"/>
      <c r="JCC7" s="5"/>
      <c r="JCD7" s="5"/>
      <c r="JCE7" s="5"/>
      <c r="JCF7" s="5"/>
      <c r="JCG7" s="5"/>
      <c r="JCH7" s="5"/>
      <c r="JCI7" s="5"/>
      <c r="JCJ7" s="5"/>
      <c r="JCK7" s="5"/>
      <c r="JCL7" s="5"/>
      <c r="JCM7" s="5"/>
      <c r="JCN7" s="5"/>
      <c r="JCO7" s="5"/>
      <c r="JCP7" s="5"/>
      <c r="JCQ7" s="5"/>
      <c r="JCR7" s="5"/>
      <c r="JCS7" s="5"/>
      <c r="JCT7" s="5"/>
      <c r="JCU7" s="5"/>
      <c r="JCV7" s="5"/>
      <c r="JCW7" s="5"/>
      <c r="JCX7" s="5"/>
      <c r="JCY7" s="5"/>
      <c r="JCZ7" s="5"/>
      <c r="JDA7" s="5"/>
      <c r="JDB7" s="5"/>
      <c r="JDC7" s="5"/>
      <c r="JDD7" s="5"/>
      <c r="JDE7" s="5"/>
      <c r="JDF7" s="5"/>
      <c r="JDG7" s="5"/>
      <c r="JDH7" s="5"/>
      <c r="JDI7" s="5"/>
      <c r="JDJ7" s="5"/>
      <c r="JDK7" s="5"/>
      <c r="JDL7" s="5"/>
      <c r="JDM7" s="5"/>
      <c r="JDN7" s="5"/>
      <c r="JDO7" s="5"/>
      <c r="JDP7" s="5"/>
      <c r="JDQ7" s="5"/>
      <c r="JDR7" s="5"/>
      <c r="JDS7" s="5"/>
      <c r="JDT7" s="5"/>
      <c r="JDU7" s="5"/>
      <c r="JDV7" s="5"/>
      <c r="JDW7" s="5"/>
      <c r="JDX7" s="5"/>
      <c r="JDY7" s="5"/>
      <c r="JDZ7" s="5"/>
      <c r="JEA7" s="5"/>
      <c r="JEB7" s="5"/>
      <c r="JEC7" s="5"/>
      <c r="JED7" s="5"/>
      <c r="JEE7" s="5"/>
      <c r="JEF7" s="5"/>
      <c r="JEG7" s="5"/>
      <c r="JEH7" s="5"/>
      <c r="JEI7" s="5"/>
      <c r="JEJ7" s="5"/>
      <c r="JEK7" s="5"/>
      <c r="JEL7" s="5"/>
      <c r="JEM7" s="5"/>
      <c r="JEN7" s="5"/>
      <c r="JEO7" s="5"/>
      <c r="JEP7" s="5"/>
      <c r="JEQ7" s="5"/>
      <c r="JER7" s="5"/>
      <c r="JES7" s="5"/>
      <c r="JET7" s="5"/>
      <c r="JEU7" s="5"/>
      <c r="JEV7" s="5"/>
      <c r="JEW7" s="5"/>
      <c r="JEX7" s="5"/>
      <c r="JEY7" s="5"/>
      <c r="JEZ7" s="5"/>
      <c r="JFA7" s="5"/>
      <c r="JFB7" s="5"/>
      <c r="JFC7" s="5"/>
      <c r="JFD7" s="5"/>
      <c r="JFE7" s="5"/>
      <c r="JFF7" s="5"/>
      <c r="JFG7" s="5"/>
      <c r="JFH7" s="5"/>
      <c r="JFI7" s="5"/>
      <c r="JFJ7" s="5"/>
      <c r="JFK7" s="5"/>
      <c r="JFL7" s="5"/>
      <c r="JFM7" s="5"/>
      <c r="JFN7" s="5"/>
      <c r="JFO7" s="5"/>
      <c r="JFP7" s="5"/>
      <c r="JFQ7" s="5"/>
      <c r="JFR7" s="5"/>
      <c r="JFS7" s="5"/>
      <c r="JFT7" s="5"/>
      <c r="JFU7" s="5"/>
      <c r="JFV7" s="5"/>
      <c r="JFW7" s="5"/>
      <c r="JFX7" s="5"/>
      <c r="JFY7" s="5"/>
      <c r="JFZ7" s="5"/>
      <c r="JGA7" s="5"/>
      <c r="JGB7" s="5"/>
      <c r="JGC7" s="5"/>
      <c r="JGD7" s="5"/>
      <c r="JGE7" s="5"/>
      <c r="JGF7" s="5"/>
      <c r="JGG7" s="5"/>
      <c r="JGH7" s="5"/>
      <c r="JGI7" s="5"/>
      <c r="JGJ7" s="5"/>
      <c r="JGK7" s="5"/>
      <c r="JGL7" s="5"/>
      <c r="JGM7" s="5"/>
      <c r="JGN7" s="5"/>
      <c r="JGO7" s="5"/>
      <c r="JGP7" s="5"/>
      <c r="JGQ7" s="5"/>
      <c r="JGR7" s="5"/>
      <c r="JGS7" s="5"/>
      <c r="JGT7" s="5"/>
      <c r="JGU7" s="5"/>
      <c r="JGV7" s="5"/>
      <c r="JGW7" s="5"/>
      <c r="JGX7" s="5"/>
      <c r="JGY7" s="5"/>
      <c r="JGZ7" s="5"/>
      <c r="JHA7" s="5"/>
      <c r="JHB7" s="5"/>
      <c r="JHC7" s="5"/>
      <c r="JHD7" s="5"/>
      <c r="JHE7" s="5"/>
      <c r="JHF7" s="5"/>
      <c r="JHG7" s="5"/>
      <c r="JHH7" s="5"/>
      <c r="JHI7" s="5"/>
      <c r="JHJ7" s="5"/>
      <c r="JHK7" s="5"/>
      <c r="JHL7" s="5"/>
      <c r="JHM7" s="5"/>
      <c r="JHN7" s="5"/>
      <c r="JHO7" s="5"/>
      <c r="JHP7" s="5"/>
      <c r="JHQ7" s="5"/>
      <c r="JHR7" s="5"/>
      <c r="JHS7" s="5"/>
      <c r="JHT7" s="5"/>
      <c r="JHU7" s="5"/>
      <c r="JHV7" s="5"/>
      <c r="JHW7" s="5"/>
      <c r="JHX7" s="5"/>
      <c r="JHY7" s="5"/>
      <c r="JHZ7" s="5"/>
      <c r="JIA7" s="5"/>
      <c r="JIB7" s="5"/>
      <c r="JIC7" s="5"/>
      <c r="JID7" s="5"/>
      <c r="JIE7" s="5"/>
      <c r="JIF7" s="5"/>
      <c r="JIG7" s="5"/>
      <c r="JIH7" s="5"/>
      <c r="JII7" s="5"/>
      <c r="JIJ7" s="5"/>
      <c r="JIK7" s="5"/>
      <c r="JIL7" s="5"/>
      <c r="JIM7" s="5"/>
      <c r="JIN7" s="5"/>
      <c r="JIO7" s="5"/>
      <c r="JIP7" s="5"/>
      <c r="JIQ7" s="5"/>
      <c r="JIR7" s="5"/>
      <c r="JIS7" s="5"/>
      <c r="JIT7" s="5"/>
      <c r="JIU7" s="5"/>
      <c r="JIV7" s="5"/>
      <c r="JIW7" s="5"/>
      <c r="JIX7" s="5"/>
      <c r="JIY7" s="5"/>
      <c r="JIZ7" s="5"/>
      <c r="JJA7" s="5"/>
      <c r="JJB7" s="5"/>
      <c r="JJC7" s="5"/>
      <c r="JJD7" s="5"/>
      <c r="JJE7" s="5"/>
      <c r="JJF7" s="5"/>
      <c r="JJG7" s="5"/>
      <c r="JJH7" s="5"/>
      <c r="JJI7" s="5"/>
      <c r="JJJ7" s="5"/>
      <c r="JJK7" s="5"/>
      <c r="JJL7" s="5"/>
      <c r="JJM7" s="5"/>
      <c r="JJN7" s="5"/>
      <c r="JJO7" s="5"/>
      <c r="JJP7" s="5"/>
      <c r="JJQ7" s="5"/>
      <c r="JJR7" s="5"/>
      <c r="JJS7" s="5"/>
      <c r="JJT7" s="5"/>
      <c r="JJU7" s="5"/>
      <c r="JJV7" s="5"/>
      <c r="JJW7" s="5"/>
      <c r="JJX7" s="5"/>
      <c r="JJY7" s="5"/>
      <c r="JJZ7" s="5"/>
      <c r="JKA7" s="5"/>
      <c r="JKB7" s="5"/>
      <c r="JKC7" s="5"/>
      <c r="JKD7" s="5"/>
      <c r="JKE7" s="5"/>
      <c r="JKF7" s="5"/>
      <c r="JKG7" s="5"/>
      <c r="JKH7" s="5"/>
      <c r="JKI7" s="5"/>
      <c r="JKJ7" s="5"/>
      <c r="JKK7" s="5"/>
      <c r="JKL7" s="5"/>
      <c r="JKM7" s="5"/>
      <c r="JKN7" s="5"/>
      <c r="JKO7" s="5"/>
      <c r="JKP7" s="5"/>
      <c r="JKQ7" s="5"/>
      <c r="JKR7" s="5"/>
      <c r="JKS7" s="5"/>
      <c r="JKT7" s="5"/>
      <c r="JKU7" s="5"/>
      <c r="JKV7" s="5"/>
      <c r="JKW7" s="5"/>
      <c r="JKX7" s="5"/>
      <c r="JKY7" s="5"/>
      <c r="JKZ7" s="5"/>
      <c r="JLA7" s="5"/>
      <c r="JLB7" s="5"/>
      <c r="JLC7" s="5"/>
      <c r="JLD7" s="5"/>
      <c r="JLE7" s="5"/>
      <c r="JLF7" s="5"/>
      <c r="JLG7" s="5"/>
      <c r="JLH7" s="5"/>
      <c r="JLI7" s="5"/>
      <c r="JLJ7" s="5"/>
      <c r="JLK7" s="5"/>
      <c r="JLL7" s="5"/>
      <c r="JLM7" s="5"/>
      <c r="JLN7" s="5"/>
      <c r="JLO7" s="5"/>
      <c r="JLP7" s="5"/>
      <c r="JLQ7" s="5"/>
      <c r="JLR7" s="5"/>
      <c r="JLS7" s="5"/>
      <c r="JLT7" s="5"/>
      <c r="JLU7" s="5"/>
      <c r="JLV7" s="5"/>
      <c r="JLW7" s="5"/>
      <c r="JLX7" s="5"/>
      <c r="JLY7" s="5"/>
      <c r="JLZ7" s="5"/>
      <c r="JMA7" s="5"/>
      <c r="JMB7" s="5"/>
      <c r="JMC7" s="5"/>
      <c r="JMD7" s="5"/>
      <c r="JME7" s="5"/>
      <c r="JMF7" s="5"/>
      <c r="JMG7" s="5"/>
      <c r="JMH7" s="5"/>
      <c r="JMI7" s="5"/>
      <c r="JMJ7" s="5"/>
      <c r="JMK7" s="5"/>
      <c r="JML7" s="5"/>
      <c r="JMM7" s="5"/>
      <c r="JMN7" s="5"/>
      <c r="JMO7" s="5"/>
      <c r="JMP7" s="5"/>
      <c r="JMQ7" s="5"/>
      <c r="JMR7" s="5"/>
      <c r="JMS7" s="5"/>
      <c r="JMT7" s="5"/>
      <c r="JMU7" s="5"/>
      <c r="JMV7" s="5"/>
      <c r="JMW7" s="5"/>
      <c r="JMX7" s="5"/>
      <c r="JMY7" s="5"/>
      <c r="JMZ7" s="5"/>
      <c r="JNA7" s="5"/>
      <c r="JNB7" s="5"/>
      <c r="JNC7" s="5"/>
      <c r="JND7" s="5"/>
      <c r="JNE7" s="5"/>
      <c r="JNF7" s="5"/>
      <c r="JNG7" s="5"/>
      <c r="JNH7" s="5"/>
      <c r="JNI7" s="5"/>
      <c r="JNJ7" s="5"/>
      <c r="JNK7" s="5"/>
      <c r="JNL7" s="5"/>
      <c r="JNM7" s="5"/>
      <c r="JNN7" s="5"/>
      <c r="JNO7" s="5"/>
      <c r="JNP7" s="5"/>
      <c r="JNQ7" s="5"/>
      <c r="JNR7" s="5"/>
      <c r="JNS7" s="5"/>
      <c r="JNT7" s="5"/>
      <c r="JNU7" s="5"/>
      <c r="JNV7" s="5"/>
      <c r="JNW7" s="5"/>
      <c r="JNX7" s="5"/>
      <c r="JNY7" s="5"/>
      <c r="JNZ7" s="5"/>
      <c r="JOA7" s="5"/>
      <c r="JOB7" s="5"/>
      <c r="JOC7" s="5"/>
      <c r="JOD7" s="5"/>
      <c r="JOE7" s="5"/>
      <c r="JOF7" s="5"/>
      <c r="JOG7" s="5"/>
      <c r="JOH7" s="5"/>
      <c r="JOI7" s="5"/>
      <c r="JOJ7" s="5"/>
      <c r="JOK7" s="5"/>
      <c r="JOL7" s="5"/>
      <c r="JOM7" s="5"/>
      <c r="JON7" s="5"/>
      <c r="JOO7" s="5"/>
      <c r="JOP7" s="5"/>
      <c r="JOQ7" s="5"/>
      <c r="JOR7" s="5"/>
      <c r="JOS7" s="5"/>
      <c r="JOT7" s="5"/>
      <c r="JOU7" s="5"/>
      <c r="JOV7" s="5"/>
      <c r="JOW7" s="5"/>
      <c r="JOX7" s="5"/>
      <c r="JOY7" s="5"/>
      <c r="JOZ7" s="5"/>
      <c r="JPA7" s="5"/>
      <c r="JPB7" s="5"/>
      <c r="JPC7" s="5"/>
      <c r="JPD7" s="5"/>
      <c r="JPE7" s="5"/>
      <c r="JPF7" s="5"/>
      <c r="JPG7" s="5"/>
      <c r="JPH7" s="5"/>
      <c r="JPI7" s="5"/>
      <c r="JPJ7" s="5"/>
      <c r="JPK7" s="5"/>
      <c r="JPL7" s="5"/>
      <c r="JPM7" s="5"/>
      <c r="JPN7" s="5"/>
      <c r="JPO7" s="5"/>
      <c r="JPP7" s="5"/>
      <c r="JPQ7" s="5"/>
      <c r="JPR7" s="5"/>
      <c r="JPS7" s="5"/>
      <c r="JPT7" s="5"/>
      <c r="JPU7" s="5"/>
      <c r="JPV7" s="5"/>
      <c r="JPW7" s="5"/>
      <c r="JPX7" s="5"/>
      <c r="JPY7" s="5"/>
      <c r="JPZ7" s="5"/>
      <c r="JQA7" s="5"/>
      <c r="JQB7" s="5"/>
      <c r="JQC7" s="5"/>
      <c r="JQD7" s="5"/>
      <c r="JQE7" s="5"/>
      <c r="JQF7" s="5"/>
      <c r="JQG7" s="5"/>
      <c r="JQH7" s="5"/>
      <c r="JQI7" s="5"/>
      <c r="JQJ7" s="5"/>
      <c r="JQK7" s="5"/>
      <c r="JQL7" s="5"/>
      <c r="JQM7" s="5"/>
      <c r="JQN7" s="5"/>
      <c r="JQO7" s="5"/>
      <c r="JQP7" s="5"/>
      <c r="JQQ7" s="5"/>
      <c r="JQR7" s="5"/>
      <c r="JQS7" s="5"/>
      <c r="JQT7" s="5"/>
      <c r="JQU7" s="5"/>
      <c r="JQV7" s="5"/>
      <c r="JQW7" s="5"/>
      <c r="JQX7" s="5"/>
      <c r="JQY7" s="5"/>
      <c r="JQZ7" s="5"/>
      <c r="JRA7" s="5"/>
      <c r="JRB7" s="5"/>
      <c r="JRC7" s="5"/>
      <c r="JRD7" s="5"/>
      <c r="JRE7" s="5"/>
      <c r="JRF7" s="5"/>
      <c r="JRG7" s="5"/>
      <c r="JRH7" s="5"/>
      <c r="JRI7" s="5"/>
      <c r="JRJ7" s="5"/>
      <c r="JRK7" s="5"/>
      <c r="JRL7" s="5"/>
      <c r="JRM7" s="5"/>
      <c r="JRN7" s="5"/>
      <c r="JRO7" s="5"/>
      <c r="JRP7" s="5"/>
      <c r="JRQ7" s="5"/>
      <c r="JRR7" s="5"/>
      <c r="JRS7" s="5"/>
      <c r="JRT7" s="5"/>
      <c r="JRU7" s="5"/>
      <c r="JRV7" s="5"/>
      <c r="JRW7" s="5"/>
      <c r="JRX7" s="5"/>
      <c r="JRY7" s="5"/>
      <c r="JRZ7" s="5"/>
      <c r="JSA7" s="5"/>
      <c r="JSB7" s="5"/>
      <c r="JSC7" s="5"/>
      <c r="JSD7" s="5"/>
      <c r="JSE7" s="5"/>
      <c r="JSF7" s="5"/>
      <c r="JSG7" s="5"/>
      <c r="JSH7" s="5"/>
      <c r="JSI7" s="5"/>
      <c r="JSJ7" s="5"/>
      <c r="JSK7" s="5"/>
      <c r="JSL7" s="5"/>
      <c r="JSM7" s="5"/>
      <c r="JSN7" s="5"/>
      <c r="JSO7" s="5"/>
      <c r="JSP7" s="5"/>
      <c r="JSQ7" s="5"/>
      <c r="JSR7" s="5"/>
      <c r="JSS7" s="5"/>
      <c r="JST7" s="5"/>
      <c r="JSU7" s="5"/>
      <c r="JSV7" s="5"/>
      <c r="JSW7" s="5"/>
      <c r="JSX7" s="5"/>
      <c r="JSY7" s="5"/>
      <c r="JSZ7" s="5"/>
      <c r="JTA7" s="5"/>
      <c r="JTB7" s="5"/>
      <c r="JTC7" s="5"/>
      <c r="JTD7" s="5"/>
      <c r="JTE7" s="5"/>
      <c r="JTF7" s="5"/>
      <c r="JTG7" s="5"/>
      <c r="JTH7" s="5"/>
      <c r="JTI7" s="5"/>
      <c r="JTJ7" s="5"/>
      <c r="JTK7" s="5"/>
      <c r="JTL7" s="5"/>
      <c r="JTM7" s="5"/>
      <c r="JTN7" s="5"/>
      <c r="JTO7" s="5"/>
      <c r="JTP7" s="5"/>
      <c r="JTQ7" s="5"/>
      <c r="JTR7" s="5"/>
      <c r="JTS7" s="5"/>
      <c r="JTT7" s="5"/>
      <c r="JTU7" s="5"/>
      <c r="JTV7" s="5"/>
      <c r="JTW7" s="5"/>
      <c r="JTX7" s="5"/>
      <c r="JTY7" s="5"/>
      <c r="JTZ7" s="5"/>
      <c r="JUA7" s="5"/>
      <c r="JUB7" s="5"/>
      <c r="JUC7" s="5"/>
      <c r="JUD7" s="5"/>
      <c r="JUE7" s="5"/>
      <c r="JUF7" s="5"/>
      <c r="JUG7" s="5"/>
      <c r="JUH7" s="5"/>
      <c r="JUI7" s="5"/>
      <c r="JUJ7" s="5"/>
      <c r="JUK7" s="5"/>
      <c r="JUL7" s="5"/>
      <c r="JUM7" s="5"/>
      <c r="JUN7" s="5"/>
      <c r="JUO7" s="5"/>
      <c r="JUP7" s="5"/>
      <c r="JUQ7" s="5"/>
      <c r="JUR7" s="5"/>
      <c r="JUS7" s="5"/>
      <c r="JUT7" s="5"/>
      <c r="JUU7" s="5"/>
      <c r="JUV7" s="5"/>
      <c r="JUW7" s="5"/>
      <c r="JUX7" s="5"/>
      <c r="JUY7" s="5"/>
      <c r="JUZ7" s="5"/>
      <c r="JVA7" s="5"/>
      <c r="JVB7" s="5"/>
      <c r="JVC7" s="5"/>
      <c r="JVD7" s="5"/>
      <c r="JVE7" s="5"/>
      <c r="JVF7" s="5"/>
      <c r="JVG7" s="5"/>
      <c r="JVH7" s="5"/>
      <c r="JVI7" s="5"/>
      <c r="JVJ7" s="5"/>
      <c r="JVK7" s="5"/>
      <c r="JVL7" s="5"/>
      <c r="JVM7" s="5"/>
      <c r="JVN7" s="5"/>
      <c r="JVO7" s="5"/>
      <c r="JVP7" s="5"/>
      <c r="JVQ7" s="5"/>
      <c r="JVR7" s="5"/>
      <c r="JVS7" s="5"/>
      <c r="JVT7" s="5"/>
      <c r="JVU7" s="5"/>
      <c r="JVV7" s="5"/>
      <c r="JVW7" s="5"/>
      <c r="JVX7" s="5"/>
      <c r="JVY7" s="5"/>
      <c r="JVZ7" s="5"/>
      <c r="JWA7" s="5"/>
      <c r="JWB7" s="5"/>
      <c r="JWC7" s="5"/>
      <c r="JWD7" s="5"/>
      <c r="JWE7" s="5"/>
      <c r="JWF7" s="5"/>
      <c r="JWG7" s="5"/>
      <c r="JWH7" s="5"/>
      <c r="JWI7" s="5"/>
      <c r="JWJ7" s="5"/>
      <c r="JWK7" s="5"/>
      <c r="JWL7" s="5"/>
      <c r="JWM7" s="5"/>
      <c r="JWN7" s="5"/>
      <c r="JWO7" s="5"/>
      <c r="JWP7" s="5"/>
      <c r="JWQ7" s="5"/>
      <c r="JWR7" s="5"/>
      <c r="JWS7" s="5"/>
      <c r="JWT7" s="5"/>
      <c r="JWU7" s="5"/>
      <c r="JWV7" s="5"/>
      <c r="JWW7" s="5"/>
      <c r="JWX7" s="5"/>
      <c r="JWY7" s="5"/>
      <c r="JWZ7" s="5"/>
      <c r="JXA7" s="5"/>
      <c r="JXB7" s="5"/>
      <c r="JXC7" s="5"/>
      <c r="JXD7" s="5"/>
      <c r="JXE7" s="5"/>
      <c r="JXF7" s="5"/>
      <c r="JXG7" s="5"/>
      <c r="JXH7" s="5"/>
      <c r="JXI7" s="5"/>
      <c r="JXJ7" s="5"/>
      <c r="JXK7" s="5"/>
      <c r="JXL7" s="5"/>
      <c r="JXM7" s="5"/>
      <c r="JXN7" s="5"/>
      <c r="JXO7" s="5"/>
      <c r="JXP7" s="5"/>
      <c r="JXQ7" s="5"/>
      <c r="JXR7" s="5"/>
      <c r="JXS7" s="5"/>
      <c r="JXT7" s="5"/>
      <c r="JXU7" s="5"/>
      <c r="JXV7" s="5"/>
      <c r="JXW7" s="5"/>
      <c r="JXX7" s="5"/>
      <c r="JXY7" s="5"/>
      <c r="JXZ7" s="5"/>
      <c r="JYA7" s="5"/>
      <c r="JYB7" s="5"/>
      <c r="JYC7" s="5"/>
      <c r="JYD7" s="5"/>
      <c r="JYE7" s="5"/>
      <c r="JYF7" s="5"/>
      <c r="JYG7" s="5"/>
      <c r="JYH7" s="5"/>
      <c r="JYI7" s="5"/>
      <c r="JYJ7" s="5"/>
      <c r="JYK7" s="5"/>
      <c r="JYL7" s="5"/>
      <c r="JYM7" s="5"/>
      <c r="JYN7" s="5"/>
      <c r="JYO7" s="5"/>
      <c r="JYP7" s="5"/>
      <c r="JYQ7" s="5"/>
      <c r="JYR7" s="5"/>
      <c r="JYS7" s="5"/>
      <c r="JYT7" s="5"/>
      <c r="JYU7" s="5"/>
      <c r="JYV7" s="5"/>
      <c r="JYW7" s="5"/>
      <c r="JYX7" s="5"/>
      <c r="JYY7" s="5"/>
      <c r="JYZ7" s="5"/>
      <c r="JZA7" s="5"/>
      <c r="JZB7" s="5"/>
      <c r="JZC7" s="5"/>
      <c r="JZD7" s="5"/>
      <c r="JZE7" s="5"/>
      <c r="JZF7" s="5"/>
      <c r="JZG7" s="5"/>
      <c r="JZH7" s="5"/>
      <c r="JZI7" s="5"/>
      <c r="JZJ7" s="5"/>
      <c r="JZK7" s="5"/>
      <c r="JZL7" s="5"/>
      <c r="JZM7" s="5"/>
      <c r="JZN7" s="5"/>
      <c r="JZO7" s="5"/>
      <c r="JZP7" s="5"/>
      <c r="JZQ7" s="5"/>
      <c r="JZR7" s="5"/>
      <c r="JZS7" s="5"/>
      <c r="JZT7" s="5"/>
      <c r="JZU7" s="5"/>
      <c r="JZV7" s="5"/>
      <c r="JZW7" s="5"/>
      <c r="JZX7" s="5"/>
      <c r="JZY7" s="5"/>
      <c r="JZZ7" s="5"/>
      <c r="KAA7" s="5"/>
      <c r="KAB7" s="5"/>
      <c r="KAC7" s="5"/>
      <c r="KAD7" s="5"/>
      <c r="KAE7" s="5"/>
      <c r="KAF7" s="5"/>
      <c r="KAG7" s="5"/>
      <c r="KAH7" s="5"/>
      <c r="KAI7" s="5"/>
      <c r="KAJ7" s="5"/>
      <c r="KAK7" s="5"/>
      <c r="KAL7" s="5"/>
      <c r="KAM7" s="5"/>
      <c r="KAN7" s="5"/>
      <c r="KAO7" s="5"/>
      <c r="KAP7" s="5"/>
      <c r="KAQ7" s="5"/>
      <c r="KAR7" s="5"/>
      <c r="KAS7" s="5"/>
      <c r="KAT7" s="5"/>
      <c r="KAU7" s="5"/>
      <c r="KAV7" s="5"/>
      <c r="KAW7" s="5"/>
      <c r="KAX7" s="5"/>
      <c r="KAY7" s="5"/>
      <c r="KAZ7" s="5"/>
      <c r="KBA7" s="5"/>
      <c r="KBB7" s="5"/>
      <c r="KBC7" s="5"/>
      <c r="KBD7" s="5"/>
      <c r="KBE7" s="5"/>
      <c r="KBF7" s="5"/>
      <c r="KBG7" s="5"/>
      <c r="KBH7" s="5"/>
      <c r="KBI7" s="5"/>
      <c r="KBJ7" s="5"/>
      <c r="KBK7" s="5"/>
      <c r="KBL7" s="5"/>
      <c r="KBM7" s="5"/>
      <c r="KBN7" s="5"/>
      <c r="KBO7" s="5"/>
      <c r="KBP7" s="5"/>
      <c r="KBQ7" s="5"/>
      <c r="KBR7" s="5"/>
      <c r="KBS7" s="5"/>
      <c r="KBT7" s="5"/>
      <c r="KBU7" s="5"/>
      <c r="KBV7" s="5"/>
      <c r="KBW7" s="5"/>
      <c r="KBX7" s="5"/>
      <c r="KBY7" s="5"/>
      <c r="KBZ7" s="5"/>
      <c r="KCA7" s="5"/>
      <c r="KCB7" s="5"/>
      <c r="KCC7" s="5"/>
      <c r="KCD7" s="5"/>
      <c r="KCE7" s="5"/>
      <c r="KCF7" s="5"/>
      <c r="KCG7" s="5"/>
      <c r="KCH7" s="5"/>
      <c r="KCI7" s="5"/>
      <c r="KCJ7" s="5"/>
      <c r="KCK7" s="5"/>
      <c r="KCL7" s="5"/>
      <c r="KCM7" s="5"/>
      <c r="KCN7" s="5"/>
      <c r="KCO7" s="5"/>
      <c r="KCP7" s="5"/>
      <c r="KCQ7" s="5"/>
      <c r="KCR7" s="5"/>
      <c r="KCS7" s="5"/>
      <c r="KCT7" s="5"/>
      <c r="KCU7" s="5"/>
      <c r="KCV7" s="5"/>
      <c r="KCW7" s="5"/>
      <c r="KCX7" s="5"/>
      <c r="KCY7" s="5"/>
      <c r="KCZ7" s="5"/>
      <c r="KDA7" s="5"/>
      <c r="KDB7" s="5"/>
      <c r="KDC7" s="5"/>
      <c r="KDD7" s="5"/>
      <c r="KDE7" s="5"/>
      <c r="KDF7" s="5"/>
      <c r="KDG7" s="5"/>
      <c r="KDH7" s="5"/>
      <c r="KDI7" s="5"/>
      <c r="KDJ7" s="5"/>
      <c r="KDK7" s="5"/>
      <c r="KDL7" s="5"/>
      <c r="KDM7" s="5"/>
      <c r="KDN7" s="5"/>
      <c r="KDO7" s="5"/>
      <c r="KDP7" s="5"/>
      <c r="KDQ7" s="5"/>
      <c r="KDR7" s="5"/>
      <c r="KDS7" s="5"/>
      <c r="KDT7" s="5"/>
      <c r="KDU7" s="5"/>
      <c r="KDV7" s="5"/>
      <c r="KDW7" s="5"/>
      <c r="KDX7" s="5"/>
      <c r="KDY7" s="5"/>
      <c r="KDZ7" s="5"/>
      <c r="KEA7" s="5"/>
      <c r="KEB7" s="5"/>
      <c r="KEC7" s="5"/>
      <c r="KED7" s="5"/>
      <c r="KEE7" s="5"/>
      <c r="KEF7" s="5"/>
      <c r="KEG7" s="5"/>
      <c r="KEH7" s="5"/>
      <c r="KEI7" s="5"/>
      <c r="KEJ7" s="5"/>
      <c r="KEK7" s="5"/>
      <c r="KEL7" s="5"/>
      <c r="KEM7" s="5"/>
      <c r="KEN7" s="5"/>
      <c r="KEO7" s="5"/>
      <c r="KEP7" s="5"/>
      <c r="KEQ7" s="5"/>
      <c r="KER7" s="5"/>
      <c r="KES7" s="5"/>
      <c r="KET7" s="5"/>
      <c r="KEU7" s="5"/>
      <c r="KEV7" s="5"/>
      <c r="KEW7" s="5"/>
      <c r="KEX7" s="5"/>
      <c r="KEY7" s="5"/>
      <c r="KEZ7" s="5"/>
      <c r="KFA7" s="5"/>
      <c r="KFB7" s="5"/>
      <c r="KFC7" s="5"/>
      <c r="KFD7" s="5"/>
      <c r="KFE7" s="5"/>
      <c r="KFF7" s="5"/>
      <c r="KFG7" s="5"/>
      <c r="KFH7" s="5"/>
      <c r="KFI7" s="5"/>
      <c r="KFJ7" s="5"/>
      <c r="KFK7" s="5"/>
      <c r="KFL7" s="5"/>
      <c r="KFM7" s="5"/>
      <c r="KFN7" s="5"/>
      <c r="KFO7" s="5"/>
      <c r="KFP7" s="5"/>
      <c r="KFQ7" s="5"/>
      <c r="KFR7" s="5"/>
      <c r="KFS7" s="5"/>
      <c r="KFT7" s="5"/>
      <c r="KFU7" s="5"/>
      <c r="KFV7" s="5"/>
      <c r="KFW7" s="5"/>
      <c r="KFX7" s="5"/>
      <c r="KFY7" s="5"/>
      <c r="KFZ7" s="5"/>
      <c r="KGA7" s="5"/>
      <c r="KGB7" s="5"/>
      <c r="KGC7" s="5"/>
      <c r="KGD7" s="5"/>
      <c r="KGE7" s="5"/>
      <c r="KGF7" s="5"/>
      <c r="KGG7" s="5"/>
      <c r="KGH7" s="5"/>
      <c r="KGI7" s="5"/>
      <c r="KGJ7" s="5"/>
      <c r="KGK7" s="5"/>
      <c r="KGL7" s="5"/>
      <c r="KGM7" s="5"/>
      <c r="KGN7" s="5"/>
      <c r="KGO7" s="5"/>
      <c r="KGP7" s="5"/>
      <c r="KGQ7" s="5"/>
      <c r="KGR7" s="5"/>
      <c r="KGS7" s="5"/>
      <c r="KGT7" s="5"/>
      <c r="KGU7" s="5"/>
      <c r="KGV7" s="5"/>
      <c r="KGW7" s="5"/>
      <c r="KGX7" s="5"/>
      <c r="KGY7" s="5"/>
      <c r="KGZ7" s="5"/>
      <c r="KHA7" s="5"/>
      <c r="KHB7" s="5"/>
      <c r="KHC7" s="5"/>
      <c r="KHD7" s="5"/>
      <c r="KHE7" s="5"/>
      <c r="KHF7" s="5"/>
      <c r="KHG7" s="5"/>
      <c r="KHH7" s="5"/>
      <c r="KHI7" s="5"/>
      <c r="KHJ7" s="5"/>
      <c r="KHK7" s="5"/>
      <c r="KHL7" s="5"/>
      <c r="KHM7" s="5"/>
      <c r="KHN7" s="5"/>
      <c r="KHO7" s="5"/>
      <c r="KHP7" s="5"/>
      <c r="KHQ7" s="5"/>
      <c r="KHR7" s="5"/>
      <c r="KHS7" s="5"/>
      <c r="KHT7" s="5"/>
      <c r="KHU7" s="5"/>
      <c r="KHV7" s="5"/>
      <c r="KHW7" s="5"/>
      <c r="KHX7" s="5"/>
      <c r="KHY7" s="5"/>
      <c r="KHZ7" s="5"/>
      <c r="KIA7" s="5"/>
      <c r="KIB7" s="5"/>
      <c r="KIC7" s="5"/>
      <c r="KID7" s="5"/>
      <c r="KIE7" s="5"/>
      <c r="KIF7" s="5"/>
      <c r="KIG7" s="5"/>
      <c r="KIH7" s="5"/>
      <c r="KII7" s="5"/>
      <c r="KIJ7" s="5"/>
      <c r="KIK7" s="5"/>
      <c r="KIL7" s="5"/>
      <c r="KIM7" s="5"/>
      <c r="KIN7" s="5"/>
      <c r="KIO7" s="5"/>
      <c r="KIP7" s="5"/>
      <c r="KIQ7" s="5"/>
      <c r="KIR7" s="5"/>
      <c r="KIS7" s="5"/>
      <c r="KIT7" s="5"/>
      <c r="KIU7" s="5"/>
      <c r="KIV7" s="5"/>
      <c r="KIW7" s="5"/>
      <c r="KIX7" s="5"/>
      <c r="KIY7" s="5"/>
      <c r="KIZ7" s="5"/>
      <c r="KJA7" s="5"/>
      <c r="KJB7" s="5"/>
      <c r="KJC7" s="5"/>
      <c r="KJD7" s="5"/>
      <c r="KJE7" s="5"/>
      <c r="KJF7" s="5"/>
      <c r="KJG7" s="5"/>
      <c r="KJH7" s="5"/>
      <c r="KJI7" s="5"/>
      <c r="KJJ7" s="5"/>
      <c r="KJK7" s="5"/>
      <c r="KJL7" s="5"/>
      <c r="KJM7" s="5"/>
      <c r="KJN7" s="5"/>
      <c r="KJO7" s="5"/>
      <c r="KJP7" s="5"/>
      <c r="KJQ7" s="5"/>
      <c r="KJR7" s="5"/>
      <c r="KJS7" s="5"/>
      <c r="KJT7" s="5"/>
      <c r="KJU7" s="5"/>
      <c r="KJV7" s="5"/>
      <c r="KJW7" s="5"/>
      <c r="KJX7" s="5"/>
      <c r="KJY7" s="5"/>
      <c r="KJZ7" s="5"/>
      <c r="KKA7" s="5"/>
      <c r="KKB7" s="5"/>
      <c r="KKC7" s="5"/>
      <c r="KKD7" s="5"/>
      <c r="KKE7" s="5"/>
      <c r="KKF7" s="5"/>
      <c r="KKG7" s="5"/>
      <c r="KKH7" s="5"/>
      <c r="KKI7" s="5"/>
      <c r="KKJ7" s="5"/>
      <c r="KKK7" s="5"/>
      <c r="KKL7" s="5"/>
      <c r="KKM7" s="5"/>
      <c r="KKN7" s="5"/>
      <c r="KKO7" s="5"/>
      <c r="KKP7" s="5"/>
      <c r="KKQ7" s="5"/>
      <c r="KKR7" s="5"/>
      <c r="KKS7" s="5"/>
      <c r="KKT7" s="5"/>
      <c r="KKU7" s="5"/>
      <c r="KKV7" s="5"/>
      <c r="KKW7" s="5"/>
      <c r="KKX7" s="5"/>
      <c r="KKY7" s="5"/>
      <c r="KKZ7" s="5"/>
      <c r="KLA7" s="5"/>
      <c r="KLB7" s="5"/>
      <c r="KLC7" s="5"/>
      <c r="KLD7" s="5"/>
      <c r="KLE7" s="5"/>
      <c r="KLF7" s="5"/>
      <c r="KLG7" s="5"/>
      <c r="KLH7" s="5"/>
      <c r="KLI7" s="5"/>
      <c r="KLJ7" s="5"/>
      <c r="KLK7" s="5"/>
      <c r="KLL7" s="5"/>
      <c r="KLM7" s="5"/>
      <c r="KLN7" s="5"/>
      <c r="KLO7" s="5"/>
      <c r="KLP7" s="5"/>
      <c r="KLQ7" s="5"/>
      <c r="KLR7" s="5"/>
      <c r="KLS7" s="5"/>
      <c r="KLT7" s="5"/>
      <c r="KLU7" s="5"/>
      <c r="KLV7" s="5"/>
      <c r="KLW7" s="5"/>
      <c r="KLX7" s="5"/>
      <c r="KLY7" s="5"/>
      <c r="KLZ7" s="5"/>
      <c r="KMA7" s="5"/>
      <c r="KMB7" s="5"/>
      <c r="KMC7" s="5"/>
      <c r="KMD7" s="5"/>
      <c r="KME7" s="5"/>
      <c r="KMF7" s="5"/>
      <c r="KMG7" s="5"/>
      <c r="KMH7" s="5"/>
      <c r="KMI7" s="5"/>
      <c r="KMJ7" s="5"/>
      <c r="KMK7" s="5"/>
      <c r="KML7" s="5"/>
      <c r="KMM7" s="5"/>
      <c r="KMN7" s="5"/>
      <c r="KMO7" s="5"/>
      <c r="KMP7" s="5"/>
      <c r="KMQ7" s="5"/>
      <c r="KMR7" s="5"/>
      <c r="KMS7" s="5"/>
      <c r="KMT7" s="5"/>
      <c r="KMU7" s="5"/>
      <c r="KMV7" s="5"/>
      <c r="KMW7" s="5"/>
      <c r="KMX7" s="5"/>
      <c r="KMY7" s="5"/>
      <c r="KMZ7" s="5"/>
      <c r="KNA7" s="5"/>
      <c r="KNB7" s="5"/>
      <c r="KNC7" s="5"/>
      <c r="KND7" s="5"/>
      <c r="KNE7" s="5"/>
      <c r="KNF7" s="5"/>
      <c r="KNG7" s="5"/>
      <c r="KNH7" s="5"/>
      <c r="KNI7" s="5"/>
      <c r="KNJ7" s="5"/>
      <c r="KNK7" s="5"/>
      <c r="KNL7" s="5"/>
      <c r="KNM7" s="5"/>
      <c r="KNN7" s="5"/>
      <c r="KNO7" s="5"/>
      <c r="KNP7" s="5"/>
      <c r="KNQ7" s="5"/>
      <c r="KNR7" s="5"/>
      <c r="KNS7" s="5"/>
      <c r="KNT7" s="5"/>
      <c r="KNU7" s="5"/>
      <c r="KNV7" s="5"/>
      <c r="KNW7" s="5"/>
      <c r="KNX7" s="5"/>
      <c r="KNY7" s="5"/>
      <c r="KNZ7" s="5"/>
      <c r="KOA7" s="5"/>
      <c r="KOB7" s="5"/>
      <c r="KOC7" s="5"/>
      <c r="KOD7" s="5"/>
      <c r="KOE7" s="5"/>
      <c r="KOF7" s="5"/>
      <c r="KOG7" s="5"/>
      <c r="KOH7" s="5"/>
      <c r="KOI7" s="5"/>
      <c r="KOJ7" s="5"/>
      <c r="KOK7" s="5"/>
      <c r="KOL7" s="5"/>
      <c r="KOM7" s="5"/>
      <c r="KON7" s="5"/>
      <c r="KOO7" s="5"/>
      <c r="KOP7" s="5"/>
      <c r="KOQ7" s="5"/>
      <c r="KOR7" s="5"/>
      <c r="KOS7" s="5"/>
      <c r="KOT7" s="5"/>
      <c r="KOU7" s="5"/>
      <c r="KOV7" s="5"/>
      <c r="KOW7" s="5"/>
      <c r="KOX7" s="5"/>
      <c r="KOY7" s="5"/>
      <c r="KOZ7" s="5"/>
      <c r="KPA7" s="5"/>
      <c r="KPB7" s="5"/>
      <c r="KPC7" s="5"/>
      <c r="KPD7" s="5"/>
      <c r="KPE7" s="5"/>
      <c r="KPF7" s="5"/>
      <c r="KPG7" s="5"/>
      <c r="KPH7" s="5"/>
      <c r="KPI7" s="5"/>
      <c r="KPJ7" s="5"/>
      <c r="KPK7" s="5"/>
      <c r="KPL7" s="5"/>
      <c r="KPM7" s="5"/>
      <c r="KPN7" s="5"/>
      <c r="KPO7" s="5"/>
      <c r="KPP7" s="5"/>
      <c r="KPQ7" s="5"/>
      <c r="KPR7" s="5"/>
      <c r="KPS7" s="5"/>
      <c r="KPT7" s="5"/>
      <c r="KPU7" s="5"/>
      <c r="KPV7" s="5"/>
      <c r="KPW7" s="5"/>
      <c r="KPX7" s="5"/>
      <c r="KPY7" s="5"/>
      <c r="KPZ7" s="5"/>
      <c r="KQA7" s="5"/>
      <c r="KQB7" s="5"/>
      <c r="KQC7" s="5"/>
      <c r="KQD7" s="5"/>
      <c r="KQE7" s="5"/>
      <c r="KQF7" s="5"/>
      <c r="KQG7" s="5"/>
      <c r="KQH7" s="5"/>
      <c r="KQI7" s="5"/>
      <c r="KQJ7" s="5"/>
      <c r="KQK7" s="5"/>
      <c r="KQL7" s="5"/>
      <c r="KQM7" s="5"/>
      <c r="KQN7" s="5"/>
      <c r="KQO7" s="5"/>
      <c r="KQP7" s="5"/>
      <c r="KQQ7" s="5"/>
      <c r="KQR7" s="5"/>
      <c r="KQS7" s="5"/>
      <c r="KQT7" s="5"/>
      <c r="KQU7" s="5"/>
      <c r="KQV7" s="5"/>
      <c r="KQW7" s="5"/>
      <c r="KQX7" s="5"/>
      <c r="KQY7" s="5"/>
      <c r="KQZ7" s="5"/>
      <c r="KRA7" s="5"/>
      <c r="KRB7" s="5"/>
      <c r="KRC7" s="5"/>
      <c r="KRD7" s="5"/>
      <c r="KRE7" s="5"/>
      <c r="KRF7" s="5"/>
      <c r="KRG7" s="5"/>
      <c r="KRH7" s="5"/>
      <c r="KRI7" s="5"/>
      <c r="KRJ7" s="5"/>
      <c r="KRK7" s="5"/>
      <c r="KRL7" s="5"/>
      <c r="KRM7" s="5"/>
      <c r="KRN7" s="5"/>
      <c r="KRO7" s="5"/>
      <c r="KRP7" s="5"/>
      <c r="KRQ7" s="5"/>
      <c r="KRR7" s="5"/>
      <c r="KRS7" s="5"/>
      <c r="KRT7" s="5"/>
      <c r="KRU7" s="5"/>
      <c r="KRV7" s="5"/>
      <c r="KRW7" s="5"/>
      <c r="KRX7" s="5"/>
      <c r="KRY7" s="5"/>
      <c r="KRZ7" s="5"/>
      <c r="KSA7" s="5"/>
      <c r="KSB7" s="5"/>
      <c r="KSC7" s="5"/>
      <c r="KSD7" s="5"/>
      <c r="KSE7" s="5"/>
      <c r="KSF7" s="5"/>
      <c r="KSG7" s="5"/>
      <c r="KSH7" s="5"/>
      <c r="KSI7" s="5"/>
      <c r="KSJ7" s="5"/>
      <c r="KSK7" s="5"/>
      <c r="KSL7" s="5"/>
      <c r="KSM7" s="5"/>
      <c r="KSN7" s="5"/>
      <c r="KSO7" s="5"/>
      <c r="KSP7" s="5"/>
      <c r="KSQ7" s="5"/>
      <c r="KSR7" s="5"/>
      <c r="KSS7" s="5"/>
      <c r="KST7" s="5"/>
      <c r="KSU7" s="5"/>
      <c r="KSV7" s="5"/>
      <c r="KSW7" s="5"/>
      <c r="KSX7" s="5"/>
      <c r="KSY7" s="5"/>
      <c r="KSZ7" s="5"/>
      <c r="KTA7" s="5"/>
      <c r="KTB7" s="5"/>
      <c r="KTC7" s="5"/>
      <c r="KTD7" s="5"/>
      <c r="KTE7" s="5"/>
      <c r="KTF7" s="5"/>
      <c r="KTG7" s="5"/>
      <c r="KTH7" s="5"/>
      <c r="KTI7" s="5"/>
      <c r="KTJ7" s="5"/>
      <c r="KTK7" s="5"/>
      <c r="KTL7" s="5"/>
      <c r="KTM7" s="5"/>
      <c r="KTN7" s="5"/>
      <c r="KTO7" s="5"/>
      <c r="KTP7" s="5"/>
      <c r="KTQ7" s="5"/>
      <c r="KTR7" s="5"/>
      <c r="KTS7" s="5"/>
      <c r="KTT7" s="5"/>
      <c r="KTU7" s="5"/>
      <c r="KTV7" s="5"/>
      <c r="KTW7" s="5"/>
      <c r="KTX7" s="5"/>
      <c r="KTY7" s="5"/>
      <c r="KTZ7" s="5"/>
      <c r="KUA7" s="5"/>
      <c r="KUB7" s="5"/>
      <c r="KUC7" s="5"/>
      <c r="KUD7" s="5"/>
      <c r="KUE7" s="5"/>
      <c r="KUF7" s="5"/>
      <c r="KUG7" s="5"/>
      <c r="KUH7" s="5"/>
      <c r="KUI7" s="5"/>
      <c r="KUJ7" s="5"/>
      <c r="KUK7" s="5"/>
      <c r="KUL7" s="5"/>
      <c r="KUM7" s="5"/>
      <c r="KUN7" s="5"/>
      <c r="KUO7" s="5"/>
      <c r="KUP7" s="5"/>
      <c r="KUQ7" s="5"/>
      <c r="KUR7" s="5"/>
      <c r="KUS7" s="5"/>
      <c r="KUT7" s="5"/>
      <c r="KUU7" s="5"/>
      <c r="KUV7" s="5"/>
      <c r="KUW7" s="5"/>
      <c r="KUX7" s="5"/>
      <c r="KUY7" s="5"/>
      <c r="KUZ7" s="5"/>
      <c r="KVA7" s="5"/>
      <c r="KVB7" s="5"/>
      <c r="KVC7" s="5"/>
      <c r="KVD7" s="5"/>
      <c r="KVE7" s="5"/>
      <c r="KVF7" s="5"/>
      <c r="KVG7" s="5"/>
      <c r="KVH7" s="5"/>
      <c r="KVI7" s="5"/>
      <c r="KVJ7" s="5"/>
      <c r="KVK7" s="5"/>
      <c r="KVL7" s="5"/>
      <c r="KVM7" s="5"/>
      <c r="KVN7" s="5"/>
      <c r="KVO7" s="5"/>
      <c r="KVP7" s="5"/>
      <c r="KVQ7" s="5"/>
      <c r="KVR7" s="5"/>
      <c r="KVS7" s="5"/>
      <c r="KVT7" s="5"/>
      <c r="KVU7" s="5"/>
      <c r="KVV7" s="5"/>
      <c r="KVW7" s="5"/>
      <c r="KVX7" s="5"/>
      <c r="KVY7" s="5"/>
      <c r="KVZ7" s="5"/>
      <c r="KWA7" s="5"/>
      <c r="KWB7" s="5"/>
      <c r="KWC7" s="5"/>
      <c r="KWD7" s="5"/>
      <c r="KWE7" s="5"/>
      <c r="KWF7" s="5"/>
      <c r="KWG7" s="5"/>
      <c r="KWH7" s="5"/>
      <c r="KWI7" s="5"/>
      <c r="KWJ7" s="5"/>
      <c r="KWK7" s="5"/>
      <c r="KWL7" s="5"/>
      <c r="KWM7" s="5"/>
      <c r="KWN7" s="5"/>
      <c r="KWO7" s="5"/>
      <c r="KWP7" s="5"/>
      <c r="KWQ7" s="5"/>
      <c r="KWR7" s="5"/>
      <c r="KWS7" s="5"/>
      <c r="KWT7" s="5"/>
      <c r="KWU7" s="5"/>
      <c r="KWV7" s="5"/>
      <c r="KWW7" s="5"/>
      <c r="KWX7" s="5"/>
      <c r="KWY7" s="5"/>
      <c r="KWZ7" s="5"/>
      <c r="KXA7" s="5"/>
      <c r="KXB7" s="5"/>
      <c r="KXC7" s="5"/>
      <c r="KXD7" s="5"/>
      <c r="KXE7" s="5"/>
      <c r="KXF7" s="5"/>
      <c r="KXG7" s="5"/>
      <c r="KXH7" s="5"/>
      <c r="KXI7" s="5"/>
      <c r="KXJ7" s="5"/>
      <c r="KXK7" s="5"/>
      <c r="KXL7" s="5"/>
      <c r="KXM7" s="5"/>
      <c r="KXN7" s="5"/>
      <c r="KXO7" s="5"/>
      <c r="KXP7" s="5"/>
      <c r="KXQ7" s="5"/>
      <c r="KXR7" s="5"/>
      <c r="KXS7" s="5"/>
      <c r="KXT7" s="5"/>
      <c r="KXU7" s="5"/>
      <c r="KXV7" s="5"/>
      <c r="KXW7" s="5"/>
      <c r="KXX7" s="5"/>
      <c r="KXY7" s="5"/>
      <c r="KXZ7" s="5"/>
      <c r="KYA7" s="5"/>
      <c r="KYB7" s="5"/>
      <c r="KYC7" s="5"/>
      <c r="KYD7" s="5"/>
      <c r="KYE7" s="5"/>
      <c r="KYF7" s="5"/>
      <c r="KYG7" s="5"/>
      <c r="KYH7" s="5"/>
      <c r="KYI7" s="5"/>
      <c r="KYJ7" s="5"/>
      <c r="KYK7" s="5"/>
      <c r="KYL7" s="5"/>
      <c r="KYM7" s="5"/>
      <c r="KYN7" s="5"/>
      <c r="KYO7" s="5"/>
      <c r="KYP7" s="5"/>
      <c r="KYQ7" s="5"/>
      <c r="KYR7" s="5"/>
      <c r="KYS7" s="5"/>
      <c r="KYT7" s="5"/>
      <c r="KYU7" s="5"/>
      <c r="KYV7" s="5"/>
      <c r="KYW7" s="5"/>
      <c r="KYX7" s="5"/>
      <c r="KYY7" s="5"/>
      <c r="KYZ7" s="5"/>
      <c r="KZA7" s="5"/>
      <c r="KZB7" s="5"/>
      <c r="KZC7" s="5"/>
      <c r="KZD7" s="5"/>
      <c r="KZE7" s="5"/>
      <c r="KZF7" s="5"/>
      <c r="KZG7" s="5"/>
      <c r="KZH7" s="5"/>
      <c r="KZI7" s="5"/>
      <c r="KZJ7" s="5"/>
      <c r="KZK7" s="5"/>
      <c r="KZL7" s="5"/>
      <c r="KZM7" s="5"/>
      <c r="KZN7" s="5"/>
      <c r="KZO7" s="5"/>
      <c r="KZP7" s="5"/>
      <c r="KZQ7" s="5"/>
      <c r="KZR7" s="5"/>
      <c r="KZS7" s="5"/>
      <c r="KZT7" s="5"/>
      <c r="KZU7" s="5"/>
      <c r="KZV7" s="5"/>
      <c r="KZW7" s="5"/>
      <c r="KZX7" s="5"/>
      <c r="KZY7" s="5"/>
      <c r="KZZ7" s="5"/>
      <c r="LAA7" s="5"/>
      <c r="LAB7" s="5"/>
      <c r="LAC7" s="5"/>
      <c r="LAD7" s="5"/>
      <c r="LAE7" s="5"/>
      <c r="LAF7" s="5"/>
      <c r="LAG7" s="5"/>
      <c r="LAH7" s="5"/>
      <c r="LAI7" s="5"/>
      <c r="LAJ7" s="5"/>
      <c r="LAK7" s="5"/>
      <c r="LAL7" s="5"/>
      <c r="LAM7" s="5"/>
      <c r="LAN7" s="5"/>
      <c r="LAO7" s="5"/>
      <c r="LAP7" s="5"/>
      <c r="LAQ7" s="5"/>
      <c r="LAR7" s="5"/>
      <c r="LAS7" s="5"/>
      <c r="LAT7" s="5"/>
      <c r="LAU7" s="5"/>
      <c r="LAV7" s="5"/>
      <c r="LAW7" s="5"/>
      <c r="LAX7" s="5"/>
      <c r="LAY7" s="5"/>
      <c r="LAZ7" s="5"/>
      <c r="LBA7" s="5"/>
      <c r="LBB7" s="5"/>
      <c r="LBC7" s="5"/>
      <c r="LBD7" s="5"/>
      <c r="LBE7" s="5"/>
      <c r="LBF7" s="5"/>
      <c r="LBG7" s="5"/>
      <c r="LBH7" s="5"/>
      <c r="LBI7" s="5"/>
      <c r="LBJ7" s="5"/>
      <c r="LBK7" s="5"/>
      <c r="LBL7" s="5"/>
      <c r="LBM7" s="5"/>
      <c r="LBN7" s="5"/>
      <c r="LBO7" s="5"/>
      <c r="LBP7" s="5"/>
      <c r="LBQ7" s="5"/>
      <c r="LBR7" s="5"/>
      <c r="LBS7" s="5"/>
      <c r="LBT7" s="5"/>
      <c r="LBU7" s="5"/>
      <c r="LBV7" s="5"/>
      <c r="LBW7" s="5"/>
      <c r="LBX7" s="5"/>
      <c r="LBY7" s="5"/>
      <c r="LBZ7" s="5"/>
      <c r="LCA7" s="5"/>
      <c r="LCB7" s="5"/>
      <c r="LCC7" s="5"/>
      <c r="LCD7" s="5"/>
      <c r="LCE7" s="5"/>
      <c r="LCF7" s="5"/>
      <c r="LCG7" s="5"/>
      <c r="LCH7" s="5"/>
      <c r="LCI7" s="5"/>
      <c r="LCJ7" s="5"/>
      <c r="LCK7" s="5"/>
      <c r="LCL7" s="5"/>
      <c r="LCM7" s="5"/>
      <c r="LCN7" s="5"/>
      <c r="LCO7" s="5"/>
      <c r="LCP7" s="5"/>
      <c r="LCQ7" s="5"/>
      <c r="LCR7" s="5"/>
      <c r="LCS7" s="5"/>
      <c r="LCT7" s="5"/>
      <c r="LCU7" s="5"/>
      <c r="LCV7" s="5"/>
      <c r="LCW7" s="5"/>
      <c r="LCX7" s="5"/>
      <c r="LCY7" s="5"/>
      <c r="LCZ7" s="5"/>
      <c r="LDA7" s="5"/>
      <c r="LDB7" s="5"/>
      <c r="LDC7" s="5"/>
      <c r="LDD7" s="5"/>
      <c r="LDE7" s="5"/>
      <c r="LDF7" s="5"/>
      <c r="LDG7" s="5"/>
      <c r="LDH7" s="5"/>
      <c r="LDI7" s="5"/>
      <c r="LDJ7" s="5"/>
      <c r="LDK7" s="5"/>
      <c r="LDL7" s="5"/>
      <c r="LDM7" s="5"/>
      <c r="LDN7" s="5"/>
      <c r="LDO7" s="5"/>
      <c r="LDP7" s="5"/>
      <c r="LDQ7" s="5"/>
      <c r="LDR7" s="5"/>
      <c r="LDS7" s="5"/>
      <c r="LDT7" s="5"/>
      <c r="LDU7" s="5"/>
      <c r="LDV7" s="5"/>
      <c r="LDW7" s="5"/>
      <c r="LDX7" s="5"/>
      <c r="LDY7" s="5"/>
      <c r="LDZ7" s="5"/>
      <c r="LEA7" s="5"/>
      <c r="LEB7" s="5"/>
      <c r="LEC7" s="5"/>
      <c r="LED7" s="5"/>
      <c r="LEE7" s="5"/>
      <c r="LEF7" s="5"/>
      <c r="LEG7" s="5"/>
      <c r="LEH7" s="5"/>
      <c r="LEI7" s="5"/>
      <c r="LEJ7" s="5"/>
      <c r="LEK7" s="5"/>
      <c r="LEL7" s="5"/>
      <c r="LEM7" s="5"/>
      <c r="LEN7" s="5"/>
      <c r="LEO7" s="5"/>
      <c r="LEP7" s="5"/>
      <c r="LEQ7" s="5"/>
      <c r="LER7" s="5"/>
      <c r="LES7" s="5"/>
      <c r="LET7" s="5"/>
      <c r="LEU7" s="5"/>
      <c r="LEV7" s="5"/>
      <c r="LEW7" s="5"/>
      <c r="LEX7" s="5"/>
      <c r="LEY7" s="5"/>
      <c r="LEZ7" s="5"/>
      <c r="LFA7" s="5"/>
      <c r="LFB7" s="5"/>
      <c r="LFC7" s="5"/>
      <c r="LFD7" s="5"/>
      <c r="LFE7" s="5"/>
      <c r="LFF7" s="5"/>
      <c r="LFG7" s="5"/>
      <c r="LFH7" s="5"/>
      <c r="LFI7" s="5"/>
      <c r="LFJ7" s="5"/>
      <c r="LFK7" s="5"/>
      <c r="LFL7" s="5"/>
      <c r="LFM7" s="5"/>
      <c r="LFN7" s="5"/>
      <c r="LFO7" s="5"/>
      <c r="LFP7" s="5"/>
      <c r="LFQ7" s="5"/>
      <c r="LFR7" s="5"/>
      <c r="LFS7" s="5"/>
      <c r="LFT7" s="5"/>
      <c r="LFU7" s="5"/>
      <c r="LFV7" s="5"/>
      <c r="LFW7" s="5"/>
      <c r="LFX7" s="5"/>
      <c r="LFY7" s="5"/>
      <c r="LFZ7" s="5"/>
      <c r="LGA7" s="5"/>
      <c r="LGB7" s="5"/>
      <c r="LGC7" s="5"/>
      <c r="LGD7" s="5"/>
      <c r="LGE7" s="5"/>
      <c r="LGF7" s="5"/>
      <c r="LGG7" s="5"/>
      <c r="LGH7" s="5"/>
      <c r="LGI7" s="5"/>
      <c r="LGJ7" s="5"/>
      <c r="LGK7" s="5"/>
      <c r="LGL7" s="5"/>
      <c r="LGM7" s="5"/>
      <c r="LGN7" s="5"/>
      <c r="LGO7" s="5"/>
      <c r="LGP7" s="5"/>
      <c r="LGQ7" s="5"/>
      <c r="LGR7" s="5"/>
      <c r="LGS7" s="5"/>
      <c r="LGT7" s="5"/>
      <c r="LGU7" s="5"/>
      <c r="LGV7" s="5"/>
      <c r="LGW7" s="5"/>
      <c r="LGX7" s="5"/>
      <c r="LGY7" s="5"/>
      <c r="LGZ7" s="5"/>
      <c r="LHA7" s="5"/>
      <c r="LHB7" s="5"/>
      <c r="LHC7" s="5"/>
      <c r="LHD7" s="5"/>
      <c r="LHE7" s="5"/>
      <c r="LHF7" s="5"/>
      <c r="LHG7" s="5"/>
      <c r="LHH7" s="5"/>
      <c r="LHI7" s="5"/>
      <c r="LHJ7" s="5"/>
      <c r="LHK7" s="5"/>
      <c r="LHL7" s="5"/>
      <c r="LHM7" s="5"/>
      <c r="LHN7" s="5"/>
      <c r="LHO7" s="5"/>
      <c r="LHP7" s="5"/>
      <c r="LHQ7" s="5"/>
      <c r="LHR7" s="5"/>
      <c r="LHS7" s="5"/>
      <c r="LHT7" s="5"/>
      <c r="LHU7" s="5"/>
      <c r="LHV7" s="5"/>
      <c r="LHW7" s="5"/>
      <c r="LHX7" s="5"/>
      <c r="LHY7" s="5"/>
      <c r="LHZ7" s="5"/>
      <c r="LIA7" s="5"/>
      <c r="LIB7" s="5"/>
      <c r="LIC7" s="5"/>
      <c r="LID7" s="5"/>
      <c r="LIE7" s="5"/>
      <c r="LIF7" s="5"/>
      <c r="LIG7" s="5"/>
      <c r="LIH7" s="5"/>
      <c r="LII7" s="5"/>
      <c r="LIJ7" s="5"/>
      <c r="LIK7" s="5"/>
      <c r="LIL7" s="5"/>
      <c r="LIM7" s="5"/>
      <c r="LIN7" s="5"/>
      <c r="LIO7" s="5"/>
      <c r="LIP7" s="5"/>
      <c r="LIQ7" s="5"/>
      <c r="LIR7" s="5"/>
      <c r="LIS7" s="5"/>
      <c r="LIT7" s="5"/>
      <c r="LIU7" s="5"/>
      <c r="LIV7" s="5"/>
      <c r="LIW7" s="5"/>
      <c r="LIX7" s="5"/>
      <c r="LIY7" s="5"/>
      <c r="LIZ7" s="5"/>
      <c r="LJA7" s="5"/>
      <c r="LJB7" s="5"/>
      <c r="LJC7" s="5"/>
      <c r="LJD7" s="5"/>
      <c r="LJE7" s="5"/>
      <c r="LJF7" s="5"/>
      <c r="LJG7" s="5"/>
      <c r="LJH7" s="5"/>
      <c r="LJI7" s="5"/>
      <c r="LJJ7" s="5"/>
      <c r="LJK7" s="5"/>
      <c r="LJL7" s="5"/>
      <c r="LJM7" s="5"/>
      <c r="LJN7" s="5"/>
      <c r="LJO7" s="5"/>
      <c r="LJP7" s="5"/>
      <c r="LJQ7" s="5"/>
      <c r="LJR7" s="5"/>
      <c r="LJS7" s="5"/>
      <c r="LJT7" s="5"/>
      <c r="LJU7" s="5"/>
      <c r="LJV7" s="5"/>
      <c r="LJW7" s="5"/>
      <c r="LJX7" s="5"/>
      <c r="LJY7" s="5"/>
      <c r="LJZ7" s="5"/>
      <c r="LKA7" s="5"/>
      <c r="LKB7" s="5"/>
      <c r="LKC7" s="5"/>
      <c r="LKD7" s="5"/>
      <c r="LKE7" s="5"/>
      <c r="LKF7" s="5"/>
      <c r="LKG7" s="5"/>
      <c r="LKH7" s="5"/>
      <c r="LKI7" s="5"/>
      <c r="LKJ7" s="5"/>
      <c r="LKK7" s="5"/>
      <c r="LKL7" s="5"/>
      <c r="LKM7" s="5"/>
      <c r="LKN7" s="5"/>
      <c r="LKO7" s="5"/>
      <c r="LKP7" s="5"/>
      <c r="LKQ7" s="5"/>
      <c r="LKR7" s="5"/>
      <c r="LKS7" s="5"/>
      <c r="LKT7" s="5"/>
      <c r="LKU7" s="5"/>
      <c r="LKV7" s="5"/>
      <c r="LKW7" s="5"/>
      <c r="LKX7" s="5"/>
      <c r="LKY7" s="5"/>
      <c r="LKZ7" s="5"/>
      <c r="LLA7" s="5"/>
      <c r="LLB7" s="5"/>
      <c r="LLC7" s="5"/>
      <c r="LLD7" s="5"/>
      <c r="LLE7" s="5"/>
      <c r="LLF7" s="5"/>
      <c r="LLG7" s="5"/>
      <c r="LLH7" s="5"/>
      <c r="LLI7" s="5"/>
      <c r="LLJ7" s="5"/>
      <c r="LLK7" s="5"/>
      <c r="LLL7" s="5"/>
      <c r="LLM7" s="5"/>
      <c r="LLN7" s="5"/>
      <c r="LLO7" s="5"/>
      <c r="LLP7" s="5"/>
      <c r="LLQ7" s="5"/>
      <c r="LLR7" s="5"/>
      <c r="LLS7" s="5"/>
      <c r="LLT7" s="5"/>
      <c r="LLU7" s="5"/>
      <c r="LLV7" s="5"/>
      <c r="LLW7" s="5"/>
      <c r="LLX7" s="5"/>
      <c r="LLY7" s="5"/>
      <c r="LLZ7" s="5"/>
      <c r="LMA7" s="5"/>
      <c r="LMB7" s="5"/>
      <c r="LMC7" s="5"/>
      <c r="LMD7" s="5"/>
      <c r="LME7" s="5"/>
      <c r="LMF7" s="5"/>
      <c r="LMG7" s="5"/>
      <c r="LMH7" s="5"/>
      <c r="LMI7" s="5"/>
      <c r="LMJ7" s="5"/>
      <c r="LMK7" s="5"/>
      <c r="LML7" s="5"/>
      <c r="LMM7" s="5"/>
      <c r="LMN7" s="5"/>
      <c r="LMO7" s="5"/>
      <c r="LMP7" s="5"/>
      <c r="LMQ7" s="5"/>
      <c r="LMR7" s="5"/>
      <c r="LMS7" s="5"/>
      <c r="LMT7" s="5"/>
      <c r="LMU7" s="5"/>
      <c r="LMV7" s="5"/>
      <c r="LMW7" s="5"/>
      <c r="LMX7" s="5"/>
      <c r="LMY7" s="5"/>
      <c r="LMZ7" s="5"/>
      <c r="LNA7" s="5"/>
      <c r="LNB7" s="5"/>
      <c r="LNC7" s="5"/>
      <c r="LND7" s="5"/>
      <c r="LNE7" s="5"/>
      <c r="LNF7" s="5"/>
      <c r="LNG7" s="5"/>
      <c r="LNH7" s="5"/>
      <c r="LNI7" s="5"/>
      <c r="LNJ7" s="5"/>
      <c r="LNK7" s="5"/>
      <c r="LNL7" s="5"/>
      <c r="LNM7" s="5"/>
      <c r="LNN7" s="5"/>
      <c r="LNO7" s="5"/>
      <c r="LNP7" s="5"/>
      <c r="LNQ7" s="5"/>
      <c r="LNR7" s="5"/>
      <c r="LNS7" s="5"/>
      <c r="LNT7" s="5"/>
      <c r="LNU7" s="5"/>
      <c r="LNV7" s="5"/>
      <c r="LNW7" s="5"/>
      <c r="LNX7" s="5"/>
      <c r="LNY7" s="5"/>
      <c r="LNZ7" s="5"/>
      <c r="LOA7" s="5"/>
      <c r="LOB7" s="5"/>
      <c r="LOC7" s="5"/>
      <c r="LOD7" s="5"/>
      <c r="LOE7" s="5"/>
      <c r="LOF7" s="5"/>
      <c r="LOG7" s="5"/>
      <c r="LOH7" s="5"/>
      <c r="LOI7" s="5"/>
      <c r="LOJ7" s="5"/>
      <c r="LOK7" s="5"/>
      <c r="LOL7" s="5"/>
      <c r="LOM7" s="5"/>
      <c r="LON7" s="5"/>
      <c r="LOO7" s="5"/>
      <c r="LOP7" s="5"/>
      <c r="LOQ7" s="5"/>
      <c r="LOR7" s="5"/>
      <c r="LOS7" s="5"/>
      <c r="LOT7" s="5"/>
      <c r="LOU7" s="5"/>
      <c r="LOV7" s="5"/>
      <c r="LOW7" s="5"/>
      <c r="LOX7" s="5"/>
      <c r="LOY7" s="5"/>
      <c r="LOZ7" s="5"/>
      <c r="LPA7" s="5"/>
      <c r="LPB7" s="5"/>
      <c r="LPC7" s="5"/>
      <c r="LPD7" s="5"/>
      <c r="LPE7" s="5"/>
      <c r="LPF7" s="5"/>
      <c r="LPG7" s="5"/>
      <c r="LPH7" s="5"/>
      <c r="LPI7" s="5"/>
      <c r="LPJ7" s="5"/>
      <c r="LPK7" s="5"/>
      <c r="LPL7" s="5"/>
      <c r="LPM7" s="5"/>
      <c r="LPN7" s="5"/>
      <c r="LPO7" s="5"/>
      <c r="LPP7" s="5"/>
      <c r="LPQ7" s="5"/>
      <c r="LPR7" s="5"/>
      <c r="LPS7" s="5"/>
      <c r="LPT7" s="5"/>
      <c r="LPU7" s="5"/>
      <c r="LPV7" s="5"/>
      <c r="LPW7" s="5"/>
      <c r="LPX7" s="5"/>
      <c r="LPY7" s="5"/>
      <c r="LPZ7" s="5"/>
      <c r="LQA7" s="5"/>
      <c r="LQB7" s="5"/>
      <c r="LQC7" s="5"/>
      <c r="LQD7" s="5"/>
      <c r="LQE7" s="5"/>
      <c r="LQF7" s="5"/>
      <c r="LQG7" s="5"/>
      <c r="LQH7" s="5"/>
      <c r="LQI7" s="5"/>
      <c r="LQJ7" s="5"/>
      <c r="LQK7" s="5"/>
      <c r="LQL7" s="5"/>
      <c r="LQM7" s="5"/>
      <c r="LQN7" s="5"/>
      <c r="LQO7" s="5"/>
      <c r="LQP7" s="5"/>
      <c r="LQQ7" s="5"/>
      <c r="LQR7" s="5"/>
      <c r="LQS7" s="5"/>
      <c r="LQT7" s="5"/>
      <c r="LQU7" s="5"/>
      <c r="LQV7" s="5"/>
      <c r="LQW7" s="5"/>
      <c r="LQX7" s="5"/>
      <c r="LQY7" s="5"/>
      <c r="LQZ7" s="5"/>
      <c r="LRA7" s="5"/>
      <c r="LRB7" s="5"/>
      <c r="LRC7" s="5"/>
      <c r="LRD7" s="5"/>
      <c r="LRE7" s="5"/>
      <c r="LRF7" s="5"/>
      <c r="LRG7" s="5"/>
      <c r="LRH7" s="5"/>
      <c r="LRI7" s="5"/>
      <c r="LRJ7" s="5"/>
      <c r="LRK7" s="5"/>
      <c r="LRL7" s="5"/>
      <c r="LRM7" s="5"/>
      <c r="LRN7" s="5"/>
      <c r="LRO7" s="5"/>
      <c r="LRP7" s="5"/>
      <c r="LRQ7" s="5"/>
      <c r="LRR7" s="5"/>
      <c r="LRS7" s="5"/>
      <c r="LRT7" s="5"/>
      <c r="LRU7" s="5"/>
      <c r="LRV7" s="5"/>
      <c r="LRW7" s="5"/>
      <c r="LRX7" s="5"/>
      <c r="LRY7" s="5"/>
      <c r="LRZ7" s="5"/>
      <c r="LSA7" s="5"/>
      <c r="LSB7" s="5"/>
      <c r="LSC7" s="5"/>
      <c r="LSD7" s="5"/>
      <c r="LSE7" s="5"/>
      <c r="LSF7" s="5"/>
      <c r="LSG7" s="5"/>
      <c r="LSH7" s="5"/>
      <c r="LSI7" s="5"/>
      <c r="LSJ7" s="5"/>
      <c r="LSK7" s="5"/>
      <c r="LSL7" s="5"/>
      <c r="LSM7" s="5"/>
      <c r="LSN7" s="5"/>
      <c r="LSO7" s="5"/>
      <c r="LSP7" s="5"/>
      <c r="LSQ7" s="5"/>
      <c r="LSR7" s="5"/>
      <c r="LSS7" s="5"/>
      <c r="LST7" s="5"/>
      <c r="LSU7" s="5"/>
      <c r="LSV7" s="5"/>
      <c r="LSW7" s="5"/>
      <c r="LSX7" s="5"/>
      <c r="LSY7" s="5"/>
      <c r="LSZ7" s="5"/>
      <c r="LTA7" s="5"/>
      <c r="LTB7" s="5"/>
      <c r="LTC7" s="5"/>
      <c r="LTD7" s="5"/>
      <c r="LTE7" s="5"/>
      <c r="LTF7" s="5"/>
      <c r="LTG7" s="5"/>
      <c r="LTH7" s="5"/>
      <c r="LTI7" s="5"/>
      <c r="LTJ7" s="5"/>
      <c r="LTK7" s="5"/>
      <c r="LTL7" s="5"/>
      <c r="LTM7" s="5"/>
      <c r="LTN7" s="5"/>
      <c r="LTO7" s="5"/>
      <c r="LTP7" s="5"/>
      <c r="LTQ7" s="5"/>
      <c r="LTR7" s="5"/>
      <c r="LTS7" s="5"/>
      <c r="LTT7" s="5"/>
      <c r="LTU7" s="5"/>
      <c r="LTV7" s="5"/>
      <c r="LTW7" s="5"/>
      <c r="LTX7" s="5"/>
      <c r="LTY7" s="5"/>
      <c r="LTZ7" s="5"/>
      <c r="LUA7" s="5"/>
      <c r="LUB7" s="5"/>
      <c r="LUC7" s="5"/>
      <c r="LUD7" s="5"/>
      <c r="LUE7" s="5"/>
      <c r="LUF7" s="5"/>
      <c r="LUG7" s="5"/>
      <c r="LUH7" s="5"/>
      <c r="LUI7" s="5"/>
      <c r="LUJ7" s="5"/>
      <c r="LUK7" s="5"/>
      <c r="LUL7" s="5"/>
      <c r="LUM7" s="5"/>
      <c r="LUN7" s="5"/>
      <c r="LUO7" s="5"/>
      <c r="LUP7" s="5"/>
      <c r="LUQ7" s="5"/>
      <c r="LUR7" s="5"/>
      <c r="LUS7" s="5"/>
      <c r="LUT7" s="5"/>
      <c r="LUU7" s="5"/>
      <c r="LUV7" s="5"/>
      <c r="LUW7" s="5"/>
      <c r="LUX7" s="5"/>
      <c r="LUY7" s="5"/>
      <c r="LUZ7" s="5"/>
      <c r="LVA7" s="5"/>
      <c r="LVB7" s="5"/>
      <c r="LVC7" s="5"/>
      <c r="LVD7" s="5"/>
      <c r="LVE7" s="5"/>
      <c r="LVF7" s="5"/>
      <c r="LVG7" s="5"/>
      <c r="LVH7" s="5"/>
      <c r="LVI7" s="5"/>
      <c r="LVJ7" s="5"/>
      <c r="LVK7" s="5"/>
      <c r="LVL7" s="5"/>
      <c r="LVM7" s="5"/>
      <c r="LVN7" s="5"/>
      <c r="LVO7" s="5"/>
      <c r="LVP7" s="5"/>
      <c r="LVQ7" s="5"/>
      <c r="LVR7" s="5"/>
      <c r="LVS7" s="5"/>
      <c r="LVT7" s="5"/>
      <c r="LVU7" s="5"/>
      <c r="LVV7" s="5"/>
      <c r="LVW7" s="5"/>
      <c r="LVX7" s="5"/>
      <c r="LVY7" s="5"/>
      <c r="LVZ7" s="5"/>
      <c r="LWA7" s="5"/>
      <c r="LWB7" s="5"/>
      <c r="LWC7" s="5"/>
      <c r="LWD7" s="5"/>
      <c r="LWE7" s="5"/>
      <c r="LWF7" s="5"/>
      <c r="LWG7" s="5"/>
      <c r="LWH7" s="5"/>
      <c r="LWI7" s="5"/>
      <c r="LWJ7" s="5"/>
      <c r="LWK7" s="5"/>
      <c r="LWL7" s="5"/>
      <c r="LWM7" s="5"/>
      <c r="LWN7" s="5"/>
      <c r="LWO7" s="5"/>
      <c r="LWP7" s="5"/>
      <c r="LWQ7" s="5"/>
      <c r="LWR7" s="5"/>
      <c r="LWS7" s="5"/>
      <c r="LWT7" s="5"/>
      <c r="LWU7" s="5"/>
      <c r="LWV7" s="5"/>
      <c r="LWW7" s="5"/>
      <c r="LWX7" s="5"/>
      <c r="LWY7" s="5"/>
      <c r="LWZ7" s="5"/>
      <c r="LXA7" s="5"/>
      <c r="LXB7" s="5"/>
      <c r="LXC7" s="5"/>
      <c r="LXD7" s="5"/>
      <c r="LXE7" s="5"/>
      <c r="LXF7" s="5"/>
      <c r="LXG7" s="5"/>
      <c r="LXH7" s="5"/>
      <c r="LXI7" s="5"/>
      <c r="LXJ7" s="5"/>
      <c r="LXK7" s="5"/>
      <c r="LXL7" s="5"/>
      <c r="LXM7" s="5"/>
      <c r="LXN7" s="5"/>
      <c r="LXO7" s="5"/>
      <c r="LXP7" s="5"/>
      <c r="LXQ7" s="5"/>
      <c r="LXR7" s="5"/>
      <c r="LXS7" s="5"/>
      <c r="LXT7" s="5"/>
      <c r="LXU7" s="5"/>
      <c r="LXV7" s="5"/>
      <c r="LXW7" s="5"/>
      <c r="LXX7" s="5"/>
      <c r="LXY7" s="5"/>
      <c r="LXZ7" s="5"/>
      <c r="LYA7" s="5"/>
      <c r="LYB7" s="5"/>
      <c r="LYC7" s="5"/>
      <c r="LYD7" s="5"/>
      <c r="LYE7" s="5"/>
      <c r="LYF7" s="5"/>
      <c r="LYG7" s="5"/>
      <c r="LYH7" s="5"/>
      <c r="LYI7" s="5"/>
      <c r="LYJ7" s="5"/>
      <c r="LYK7" s="5"/>
      <c r="LYL7" s="5"/>
      <c r="LYM7" s="5"/>
      <c r="LYN7" s="5"/>
      <c r="LYO7" s="5"/>
      <c r="LYP7" s="5"/>
      <c r="LYQ7" s="5"/>
      <c r="LYR7" s="5"/>
      <c r="LYS7" s="5"/>
      <c r="LYT7" s="5"/>
      <c r="LYU7" s="5"/>
      <c r="LYV7" s="5"/>
      <c r="LYW7" s="5"/>
      <c r="LYX7" s="5"/>
      <c r="LYY7" s="5"/>
      <c r="LYZ7" s="5"/>
      <c r="LZA7" s="5"/>
      <c r="LZB7" s="5"/>
      <c r="LZC7" s="5"/>
      <c r="LZD7" s="5"/>
      <c r="LZE7" s="5"/>
      <c r="LZF7" s="5"/>
      <c r="LZG7" s="5"/>
      <c r="LZH7" s="5"/>
      <c r="LZI7" s="5"/>
      <c r="LZJ7" s="5"/>
      <c r="LZK7" s="5"/>
      <c r="LZL7" s="5"/>
      <c r="LZM7" s="5"/>
      <c r="LZN7" s="5"/>
      <c r="LZO7" s="5"/>
      <c r="LZP7" s="5"/>
      <c r="LZQ7" s="5"/>
      <c r="LZR7" s="5"/>
      <c r="LZS7" s="5"/>
      <c r="LZT7" s="5"/>
      <c r="LZU7" s="5"/>
      <c r="LZV7" s="5"/>
      <c r="LZW7" s="5"/>
      <c r="LZX7" s="5"/>
      <c r="LZY7" s="5"/>
      <c r="LZZ7" s="5"/>
      <c r="MAA7" s="5"/>
      <c r="MAB7" s="5"/>
      <c r="MAC7" s="5"/>
      <c r="MAD7" s="5"/>
      <c r="MAE7" s="5"/>
      <c r="MAF7" s="5"/>
      <c r="MAG7" s="5"/>
      <c r="MAH7" s="5"/>
      <c r="MAI7" s="5"/>
      <c r="MAJ7" s="5"/>
      <c r="MAK7" s="5"/>
      <c r="MAL7" s="5"/>
      <c r="MAM7" s="5"/>
      <c r="MAN7" s="5"/>
      <c r="MAO7" s="5"/>
      <c r="MAP7" s="5"/>
      <c r="MAQ7" s="5"/>
      <c r="MAR7" s="5"/>
      <c r="MAS7" s="5"/>
      <c r="MAT7" s="5"/>
      <c r="MAU7" s="5"/>
      <c r="MAV7" s="5"/>
      <c r="MAW7" s="5"/>
      <c r="MAX7" s="5"/>
      <c r="MAY7" s="5"/>
      <c r="MAZ7" s="5"/>
      <c r="MBA7" s="5"/>
      <c r="MBB7" s="5"/>
      <c r="MBC7" s="5"/>
      <c r="MBD7" s="5"/>
      <c r="MBE7" s="5"/>
      <c r="MBF7" s="5"/>
      <c r="MBG7" s="5"/>
      <c r="MBH7" s="5"/>
      <c r="MBI7" s="5"/>
      <c r="MBJ7" s="5"/>
      <c r="MBK7" s="5"/>
      <c r="MBL7" s="5"/>
      <c r="MBM7" s="5"/>
      <c r="MBN7" s="5"/>
      <c r="MBO7" s="5"/>
      <c r="MBP7" s="5"/>
      <c r="MBQ7" s="5"/>
      <c r="MBR7" s="5"/>
      <c r="MBS7" s="5"/>
      <c r="MBT7" s="5"/>
      <c r="MBU7" s="5"/>
      <c r="MBV7" s="5"/>
      <c r="MBW7" s="5"/>
      <c r="MBX7" s="5"/>
      <c r="MBY7" s="5"/>
      <c r="MBZ7" s="5"/>
      <c r="MCA7" s="5"/>
      <c r="MCB7" s="5"/>
      <c r="MCC7" s="5"/>
      <c r="MCD7" s="5"/>
      <c r="MCE7" s="5"/>
      <c r="MCF7" s="5"/>
      <c r="MCG7" s="5"/>
      <c r="MCH7" s="5"/>
      <c r="MCI7" s="5"/>
      <c r="MCJ7" s="5"/>
      <c r="MCK7" s="5"/>
      <c r="MCL7" s="5"/>
      <c r="MCM7" s="5"/>
      <c r="MCN7" s="5"/>
      <c r="MCO7" s="5"/>
      <c r="MCP7" s="5"/>
      <c r="MCQ7" s="5"/>
      <c r="MCR7" s="5"/>
      <c r="MCS7" s="5"/>
      <c r="MCT7" s="5"/>
      <c r="MCU7" s="5"/>
      <c r="MCV7" s="5"/>
      <c r="MCW7" s="5"/>
      <c r="MCX7" s="5"/>
      <c r="MCY7" s="5"/>
      <c r="MCZ7" s="5"/>
      <c r="MDA7" s="5"/>
      <c r="MDB7" s="5"/>
      <c r="MDC7" s="5"/>
      <c r="MDD7" s="5"/>
      <c r="MDE7" s="5"/>
      <c r="MDF7" s="5"/>
      <c r="MDG7" s="5"/>
      <c r="MDH7" s="5"/>
      <c r="MDI7" s="5"/>
      <c r="MDJ7" s="5"/>
      <c r="MDK7" s="5"/>
      <c r="MDL7" s="5"/>
      <c r="MDM7" s="5"/>
      <c r="MDN7" s="5"/>
      <c r="MDO7" s="5"/>
      <c r="MDP7" s="5"/>
      <c r="MDQ7" s="5"/>
      <c r="MDR7" s="5"/>
      <c r="MDS7" s="5"/>
      <c r="MDT7" s="5"/>
      <c r="MDU7" s="5"/>
      <c r="MDV7" s="5"/>
      <c r="MDW7" s="5"/>
      <c r="MDX7" s="5"/>
      <c r="MDY7" s="5"/>
      <c r="MDZ7" s="5"/>
      <c r="MEA7" s="5"/>
      <c r="MEB7" s="5"/>
      <c r="MEC7" s="5"/>
      <c r="MED7" s="5"/>
      <c r="MEE7" s="5"/>
      <c r="MEF7" s="5"/>
      <c r="MEG7" s="5"/>
      <c r="MEH7" s="5"/>
      <c r="MEI7" s="5"/>
      <c r="MEJ7" s="5"/>
      <c r="MEK7" s="5"/>
      <c r="MEL7" s="5"/>
      <c r="MEM7" s="5"/>
      <c r="MEN7" s="5"/>
      <c r="MEO7" s="5"/>
      <c r="MEP7" s="5"/>
      <c r="MEQ7" s="5"/>
      <c r="MER7" s="5"/>
      <c r="MES7" s="5"/>
      <c r="MET7" s="5"/>
      <c r="MEU7" s="5"/>
      <c r="MEV7" s="5"/>
      <c r="MEW7" s="5"/>
      <c r="MEX7" s="5"/>
      <c r="MEY7" s="5"/>
      <c r="MEZ7" s="5"/>
      <c r="MFA7" s="5"/>
      <c r="MFB7" s="5"/>
      <c r="MFC7" s="5"/>
      <c r="MFD7" s="5"/>
      <c r="MFE7" s="5"/>
      <c r="MFF7" s="5"/>
      <c r="MFG7" s="5"/>
      <c r="MFH7" s="5"/>
      <c r="MFI7" s="5"/>
      <c r="MFJ7" s="5"/>
      <c r="MFK7" s="5"/>
      <c r="MFL7" s="5"/>
      <c r="MFM7" s="5"/>
      <c r="MFN7" s="5"/>
      <c r="MFO7" s="5"/>
      <c r="MFP7" s="5"/>
      <c r="MFQ7" s="5"/>
      <c r="MFR7" s="5"/>
      <c r="MFS7" s="5"/>
      <c r="MFT7" s="5"/>
      <c r="MFU7" s="5"/>
      <c r="MFV7" s="5"/>
      <c r="MFW7" s="5"/>
      <c r="MFX7" s="5"/>
      <c r="MFY7" s="5"/>
      <c r="MFZ7" s="5"/>
      <c r="MGA7" s="5"/>
      <c r="MGB7" s="5"/>
      <c r="MGC7" s="5"/>
      <c r="MGD7" s="5"/>
      <c r="MGE7" s="5"/>
      <c r="MGF7" s="5"/>
      <c r="MGG7" s="5"/>
      <c r="MGH7" s="5"/>
      <c r="MGI7" s="5"/>
      <c r="MGJ7" s="5"/>
      <c r="MGK7" s="5"/>
      <c r="MGL7" s="5"/>
      <c r="MGM7" s="5"/>
      <c r="MGN7" s="5"/>
      <c r="MGO7" s="5"/>
      <c r="MGP7" s="5"/>
      <c r="MGQ7" s="5"/>
      <c r="MGR7" s="5"/>
      <c r="MGS7" s="5"/>
      <c r="MGT7" s="5"/>
      <c r="MGU7" s="5"/>
      <c r="MGV7" s="5"/>
      <c r="MGW7" s="5"/>
      <c r="MGX7" s="5"/>
      <c r="MGY7" s="5"/>
      <c r="MGZ7" s="5"/>
      <c r="MHA7" s="5"/>
      <c r="MHB7" s="5"/>
      <c r="MHC7" s="5"/>
      <c r="MHD7" s="5"/>
      <c r="MHE7" s="5"/>
      <c r="MHF7" s="5"/>
      <c r="MHG7" s="5"/>
      <c r="MHH7" s="5"/>
      <c r="MHI7" s="5"/>
      <c r="MHJ7" s="5"/>
      <c r="MHK7" s="5"/>
      <c r="MHL7" s="5"/>
      <c r="MHM7" s="5"/>
      <c r="MHN7" s="5"/>
      <c r="MHO7" s="5"/>
      <c r="MHP7" s="5"/>
      <c r="MHQ7" s="5"/>
      <c r="MHR7" s="5"/>
      <c r="MHS7" s="5"/>
      <c r="MHT7" s="5"/>
      <c r="MHU7" s="5"/>
      <c r="MHV7" s="5"/>
      <c r="MHW7" s="5"/>
      <c r="MHX7" s="5"/>
      <c r="MHY7" s="5"/>
      <c r="MHZ7" s="5"/>
      <c r="MIA7" s="5"/>
      <c r="MIB7" s="5"/>
      <c r="MIC7" s="5"/>
      <c r="MID7" s="5"/>
      <c r="MIE7" s="5"/>
      <c r="MIF7" s="5"/>
      <c r="MIG7" s="5"/>
      <c r="MIH7" s="5"/>
      <c r="MII7" s="5"/>
      <c r="MIJ7" s="5"/>
      <c r="MIK7" s="5"/>
      <c r="MIL7" s="5"/>
      <c r="MIM7" s="5"/>
      <c r="MIN7" s="5"/>
      <c r="MIO7" s="5"/>
      <c r="MIP7" s="5"/>
      <c r="MIQ7" s="5"/>
      <c r="MIR7" s="5"/>
      <c r="MIS7" s="5"/>
      <c r="MIT7" s="5"/>
      <c r="MIU7" s="5"/>
      <c r="MIV7" s="5"/>
      <c r="MIW7" s="5"/>
      <c r="MIX7" s="5"/>
      <c r="MIY7" s="5"/>
      <c r="MIZ7" s="5"/>
      <c r="MJA7" s="5"/>
      <c r="MJB7" s="5"/>
      <c r="MJC7" s="5"/>
      <c r="MJD7" s="5"/>
      <c r="MJE7" s="5"/>
      <c r="MJF7" s="5"/>
      <c r="MJG7" s="5"/>
      <c r="MJH7" s="5"/>
      <c r="MJI7" s="5"/>
      <c r="MJJ7" s="5"/>
      <c r="MJK7" s="5"/>
      <c r="MJL7" s="5"/>
      <c r="MJM7" s="5"/>
      <c r="MJN7" s="5"/>
      <c r="MJO7" s="5"/>
      <c r="MJP7" s="5"/>
      <c r="MJQ7" s="5"/>
      <c r="MJR7" s="5"/>
      <c r="MJS7" s="5"/>
      <c r="MJT7" s="5"/>
      <c r="MJU7" s="5"/>
      <c r="MJV7" s="5"/>
      <c r="MJW7" s="5"/>
      <c r="MJX7" s="5"/>
      <c r="MJY7" s="5"/>
      <c r="MJZ7" s="5"/>
      <c r="MKA7" s="5"/>
      <c r="MKB7" s="5"/>
      <c r="MKC7" s="5"/>
      <c r="MKD7" s="5"/>
      <c r="MKE7" s="5"/>
      <c r="MKF7" s="5"/>
      <c r="MKG7" s="5"/>
      <c r="MKH7" s="5"/>
      <c r="MKI7" s="5"/>
      <c r="MKJ7" s="5"/>
      <c r="MKK7" s="5"/>
      <c r="MKL7" s="5"/>
      <c r="MKM7" s="5"/>
      <c r="MKN7" s="5"/>
      <c r="MKO7" s="5"/>
      <c r="MKP7" s="5"/>
      <c r="MKQ7" s="5"/>
      <c r="MKR7" s="5"/>
      <c r="MKS7" s="5"/>
      <c r="MKT7" s="5"/>
      <c r="MKU7" s="5"/>
      <c r="MKV7" s="5"/>
      <c r="MKW7" s="5"/>
      <c r="MKX7" s="5"/>
      <c r="MKY7" s="5"/>
      <c r="MKZ7" s="5"/>
      <c r="MLA7" s="5"/>
      <c r="MLB7" s="5"/>
      <c r="MLC7" s="5"/>
      <c r="MLD7" s="5"/>
      <c r="MLE7" s="5"/>
      <c r="MLF7" s="5"/>
      <c r="MLG7" s="5"/>
      <c r="MLH7" s="5"/>
      <c r="MLI7" s="5"/>
      <c r="MLJ7" s="5"/>
      <c r="MLK7" s="5"/>
      <c r="MLL7" s="5"/>
      <c r="MLM7" s="5"/>
      <c r="MLN7" s="5"/>
      <c r="MLO7" s="5"/>
      <c r="MLP7" s="5"/>
      <c r="MLQ7" s="5"/>
      <c r="MLR7" s="5"/>
      <c r="MLS7" s="5"/>
      <c r="MLT7" s="5"/>
      <c r="MLU7" s="5"/>
      <c r="MLV7" s="5"/>
      <c r="MLW7" s="5"/>
      <c r="MLX7" s="5"/>
      <c r="MLY7" s="5"/>
      <c r="MLZ7" s="5"/>
      <c r="MMA7" s="5"/>
      <c r="MMB7" s="5"/>
      <c r="MMC7" s="5"/>
      <c r="MMD7" s="5"/>
      <c r="MME7" s="5"/>
      <c r="MMF7" s="5"/>
      <c r="MMG7" s="5"/>
      <c r="MMH7" s="5"/>
      <c r="MMI7" s="5"/>
      <c r="MMJ7" s="5"/>
      <c r="MMK7" s="5"/>
      <c r="MML7" s="5"/>
      <c r="MMM7" s="5"/>
      <c r="MMN7" s="5"/>
      <c r="MMO7" s="5"/>
      <c r="MMP7" s="5"/>
      <c r="MMQ7" s="5"/>
      <c r="MMR7" s="5"/>
      <c r="MMS7" s="5"/>
      <c r="MMT7" s="5"/>
      <c r="MMU7" s="5"/>
      <c r="MMV7" s="5"/>
      <c r="MMW7" s="5"/>
      <c r="MMX7" s="5"/>
      <c r="MMY7" s="5"/>
      <c r="MMZ7" s="5"/>
      <c r="MNA7" s="5"/>
      <c r="MNB7" s="5"/>
      <c r="MNC7" s="5"/>
      <c r="MND7" s="5"/>
      <c r="MNE7" s="5"/>
      <c r="MNF7" s="5"/>
      <c r="MNG7" s="5"/>
      <c r="MNH7" s="5"/>
      <c r="MNI7" s="5"/>
      <c r="MNJ7" s="5"/>
      <c r="MNK7" s="5"/>
      <c r="MNL7" s="5"/>
      <c r="MNM7" s="5"/>
      <c r="MNN7" s="5"/>
      <c r="MNO7" s="5"/>
      <c r="MNP7" s="5"/>
      <c r="MNQ7" s="5"/>
      <c r="MNR7" s="5"/>
      <c r="MNS7" s="5"/>
      <c r="MNT7" s="5"/>
      <c r="MNU7" s="5"/>
      <c r="MNV7" s="5"/>
      <c r="MNW7" s="5"/>
      <c r="MNX7" s="5"/>
      <c r="MNY7" s="5"/>
      <c r="MNZ7" s="5"/>
      <c r="MOA7" s="5"/>
      <c r="MOB7" s="5"/>
      <c r="MOC7" s="5"/>
      <c r="MOD7" s="5"/>
      <c r="MOE7" s="5"/>
      <c r="MOF7" s="5"/>
      <c r="MOG7" s="5"/>
      <c r="MOH7" s="5"/>
      <c r="MOI7" s="5"/>
      <c r="MOJ7" s="5"/>
      <c r="MOK7" s="5"/>
      <c r="MOL7" s="5"/>
      <c r="MOM7" s="5"/>
      <c r="MON7" s="5"/>
      <c r="MOO7" s="5"/>
      <c r="MOP7" s="5"/>
      <c r="MOQ7" s="5"/>
      <c r="MOR7" s="5"/>
      <c r="MOS7" s="5"/>
      <c r="MOT7" s="5"/>
      <c r="MOU7" s="5"/>
      <c r="MOV7" s="5"/>
      <c r="MOW7" s="5"/>
      <c r="MOX7" s="5"/>
      <c r="MOY7" s="5"/>
      <c r="MOZ7" s="5"/>
      <c r="MPA7" s="5"/>
      <c r="MPB7" s="5"/>
      <c r="MPC7" s="5"/>
      <c r="MPD7" s="5"/>
      <c r="MPE7" s="5"/>
      <c r="MPF7" s="5"/>
      <c r="MPG7" s="5"/>
      <c r="MPH7" s="5"/>
      <c r="MPI7" s="5"/>
      <c r="MPJ7" s="5"/>
      <c r="MPK7" s="5"/>
      <c r="MPL7" s="5"/>
      <c r="MPM7" s="5"/>
      <c r="MPN7" s="5"/>
      <c r="MPO7" s="5"/>
      <c r="MPP7" s="5"/>
      <c r="MPQ7" s="5"/>
      <c r="MPR7" s="5"/>
      <c r="MPS7" s="5"/>
      <c r="MPT7" s="5"/>
      <c r="MPU7" s="5"/>
      <c r="MPV7" s="5"/>
      <c r="MPW7" s="5"/>
      <c r="MPX7" s="5"/>
      <c r="MPY7" s="5"/>
      <c r="MPZ7" s="5"/>
      <c r="MQA7" s="5"/>
      <c r="MQB7" s="5"/>
      <c r="MQC7" s="5"/>
      <c r="MQD7" s="5"/>
      <c r="MQE7" s="5"/>
      <c r="MQF7" s="5"/>
      <c r="MQG7" s="5"/>
      <c r="MQH7" s="5"/>
      <c r="MQI7" s="5"/>
      <c r="MQJ7" s="5"/>
      <c r="MQK7" s="5"/>
      <c r="MQL7" s="5"/>
      <c r="MQM7" s="5"/>
      <c r="MQN7" s="5"/>
      <c r="MQO7" s="5"/>
      <c r="MQP7" s="5"/>
      <c r="MQQ7" s="5"/>
      <c r="MQR7" s="5"/>
      <c r="MQS7" s="5"/>
      <c r="MQT7" s="5"/>
      <c r="MQU7" s="5"/>
      <c r="MQV7" s="5"/>
      <c r="MQW7" s="5"/>
      <c r="MQX7" s="5"/>
      <c r="MQY7" s="5"/>
      <c r="MQZ7" s="5"/>
      <c r="MRA7" s="5"/>
      <c r="MRB7" s="5"/>
      <c r="MRC7" s="5"/>
      <c r="MRD7" s="5"/>
      <c r="MRE7" s="5"/>
      <c r="MRF7" s="5"/>
      <c r="MRG7" s="5"/>
      <c r="MRH7" s="5"/>
      <c r="MRI7" s="5"/>
      <c r="MRJ7" s="5"/>
      <c r="MRK7" s="5"/>
      <c r="MRL7" s="5"/>
      <c r="MRM7" s="5"/>
      <c r="MRN7" s="5"/>
      <c r="MRO7" s="5"/>
      <c r="MRP7" s="5"/>
      <c r="MRQ7" s="5"/>
      <c r="MRR7" s="5"/>
      <c r="MRS7" s="5"/>
      <c r="MRT7" s="5"/>
      <c r="MRU7" s="5"/>
      <c r="MRV7" s="5"/>
      <c r="MRW7" s="5"/>
      <c r="MRX7" s="5"/>
      <c r="MRY7" s="5"/>
      <c r="MRZ7" s="5"/>
      <c r="MSA7" s="5"/>
      <c r="MSB7" s="5"/>
      <c r="MSC7" s="5"/>
      <c r="MSD7" s="5"/>
      <c r="MSE7" s="5"/>
      <c r="MSF7" s="5"/>
      <c r="MSG7" s="5"/>
      <c r="MSH7" s="5"/>
      <c r="MSI7" s="5"/>
      <c r="MSJ7" s="5"/>
      <c r="MSK7" s="5"/>
      <c r="MSL7" s="5"/>
      <c r="MSM7" s="5"/>
      <c r="MSN7" s="5"/>
      <c r="MSO7" s="5"/>
      <c r="MSP7" s="5"/>
      <c r="MSQ7" s="5"/>
      <c r="MSR7" s="5"/>
      <c r="MSS7" s="5"/>
      <c r="MST7" s="5"/>
      <c r="MSU7" s="5"/>
      <c r="MSV7" s="5"/>
      <c r="MSW7" s="5"/>
      <c r="MSX7" s="5"/>
      <c r="MSY7" s="5"/>
      <c r="MSZ7" s="5"/>
      <c r="MTA7" s="5"/>
      <c r="MTB7" s="5"/>
      <c r="MTC7" s="5"/>
      <c r="MTD7" s="5"/>
      <c r="MTE7" s="5"/>
      <c r="MTF7" s="5"/>
      <c r="MTG7" s="5"/>
      <c r="MTH7" s="5"/>
      <c r="MTI7" s="5"/>
      <c r="MTJ7" s="5"/>
      <c r="MTK7" s="5"/>
      <c r="MTL7" s="5"/>
      <c r="MTM7" s="5"/>
      <c r="MTN7" s="5"/>
      <c r="MTO7" s="5"/>
      <c r="MTP7" s="5"/>
      <c r="MTQ7" s="5"/>
      <c r="MTR7" s="5"/>
      <c r="MTS7" s="5"/>
      <c r="MTT7" s="5"/>
      <c r="MTU7" s="5"/>
      <c r="MTV7" s="5"/>
      <c r="MTW7" s="5"/>
      <c r="MTX7" s="5"/>
      <c r="MTY7" s="5"/>
      <c r="MTZ7" s="5"/>
      <c r="MUA7" s="5"/>
      <c r="MUB7" s="5"/>
      <c r="MUC7" s="5"/>
      <c r="MUD7" s="5"/>
      <c r="MUE7" s="5"/>
      <c r="MUF7" s="5"/>
      <c r="MUG7" s="5"/>
      <c r="MUH7" s="5"/>
      <c r="MUI7" s="5"/>
      <c r="MUJ7" s="5"/>
      <c r="MUK7" s="5"/>
      <c r="MUL7" s="5"/>
      <c r="MUM7" s="5"/>
      <c r="MUN7" s="5"/>
      <c r="MUO7" s="5"/>
      <c r="MUP7" s="5"/>
      <c r="MUQ7" s="5"/>
      <c r="MUR7" s="5"/>
      <c r="MUS7" s="5"/>
      <c r="MUT7" s="5"/>
      <c r="MUU7" s="5"/>
      <c r="MUV7" s="5"/>
      <c r="MUW7" s="5"/>
      <c r="MUX7" s="5"/>
      <c r="MUY7" s="5"/>
      <c r="MUZ7" s="5"/>
      <c r="MVA7" s="5"/>
      <c r="MVB7" s="5"/>
      <c r="MVC7" s="5"/>
      <c r="MVD7" s="5"/>
      <c r="MVE7" s="5"/>
      <c r="MVF7" s="5"/>
      <c r="MVG7" s="5"/>
      <c r="MVH7" s="5"/>
      <c r="MVI7" s="5"/>
      <c r="MVJ7" s="5"/>
      <c r="MVK7" s="5"/>
      <c r="MVL7" s="5"/>
      <c r="MVM7" s="5"/>
      <c r="MVN7" s="5"/>
      <c r="MVO7" s="5"/>
      <c r="MVP7" s="5"/>
      <c r="MVQ7" s="5"/>
      <c r="MVR7" s="5"/>
      <c r="MVS7" s="5"/>
      <c r="MVT7" s="5"/>
      <c r="MVU7" s="5"/>
      <c r="MVV7" s="5"/>
      <c r="MVW7" s="5"/>
      <c r="MVX7" s="5"/>
      <c r="MVY7" s="5"/>
      <c r="MVZ7" s="5"/>
      <c r="MWA7" s="5"/>
      <c r="MWB7" s="5"/>
      <c r="MWC7" s="5"/>
      <c r="MWD7" s="5"/>
      <c r="MWE7" s="5"/>
      <c r="MWF7" s="5"/>
      <c r="MWG7" s="5"/>
      <c r="MWH7" s="5"/>
      <c r="MWI7" s="5"/>
      <c r="MWJ7" s="5"/>
      <c r="MWK7" s="5"/>
      <c r="MWL7" s="5"/>
      <c r="MWM7" s="5"/>
      <c r="MWN7" s="5"/>
      <c r="MWO7" s="5"/>
      <c r="MWP7" s="5"/>
      <c r="MWQ7" s="5"/>
      <c r="MWR7" s="5"/>
      <c r="MWS7" s="5"/>
      <c r="MWT7" s="5"/>
      <c r="MWU7" s="5"/>
      <c r="MWV7" s="5"/>
      <c r="MWW7" s="5"/>
      <c r="MWX7" s="5"/>
      <c r="MWY7" s="5"/>
      <c r="MWZ7" s="5"/>
      <c r="MXA7" s="5"/>
      <c r="MXB7" s="5"/>
      <c r="MXC7" s="5"/>
      <c r="MXD7" s="5"/>
      <c r="MXE7" s="5"/>
      <c r="MXF7" s="5"/>
      <c r="MXG7" s="5"/>
      <c r="MXH7" s="5"/>
      <c r="MXI7" s="5"/>
      <c r="MXJ7" s="5"/>
      <c r="MXK7" s="5"/>
      <c r="MXL7" s="5"/>
      <c r="MXM7" s="5"/>
      <c r="MXN7" s="5"/>
      <c r="MXO7" s="5"/>
      <c r="MXP7" s="5"/>
      <c r="MXQ7" s="5"/>
      <c r="MXR7" s="5"/>
      <c r="MXS7" s="5"/>
      <c r="MXT7" s="5"/>
      <c r="MXU7" s="5"/>
      <c r="MXV7" s="5"/>
      <c r="MXW7" s="5"/>
      <c r="MXX7" s="5"/>
      <c r="MXY7" s="5"/>
      <c r="MXZ7" s="5"/>
      <c r="MYA7" s="5"/>
      <c r="MYB7" s="5"/>
      <c r="MYC7" s="5"/>
      <c r="MYD7" s="5"/>
      <c r="MYE7" s="5"/>
      <c r="MYF7" s="5"/>
      <c r="MYG7" s="5"/>
      <c r="MYH7" s="5"/>
      <c r="MYI7" s="5"/>
      <c r="MYJ7" s="5"/>
      <c r="MYK7" s="5"/>
      <c r="MYL7" s="5"/>
      <c r="MYM7" s="5"/>
      <c r="MYN7" s="5"/>
      <c r="MYO7" s="5"/>
      <c r="MYP7" s="5"/>
      <c r="MYQ7" s="5"/>
      <c r="MYR7" s="5"/>
      <c r="MYS7" s="5"/>
      <c r="MYT7" s="5"/>
      <c r="MYU7" s="5"/>
      <c r="MYV7" s="5"/>
      <c r="MYW7" s="5"/>
      <c r="MYX7" s="5"/>
      <c r="MYY7" s="5"/>
      <c r="MYZ7" s="5"/>
      <c r="MZA7" s="5"/>
      <c r="MZB7" s="5"/>
      <c r="MZC7" s="5"/>
      <c r="MZD7" s="5"/>
      <c r="MZE7" s="5"/>
      <c r="MZF7" s="5"/>
      <c r="MZG7" s="5"/>
      <c r="MZH7" s="5"/>
      <c r="MZI7" s="5"/>
      <c r="MZJ7" s="5"/>
      <c r="MZK7" s="5"/>
      <c r="MZL7" s="5"/>
      <c r="MZM7" s="5"/>
      <c r="MZN7" s="5"/>
      <c r="MZO7" s="5"/>
      <c r="MZP7" s="5"/>
      <c r="MZQ7" s="5"/>
      <c r="MZR7" s="5"/>
      <c r="MZS7" s="5"/>
      <c r="MZT7" s="5"/>
      <c r="MZU7" s="5"/>
      <c r="MZV7" s="5"/>
      <c r="MZW7" s="5"/>
      <c r="MZX7" s="5"/>
      <c r="MZY7" s="5"/>
      <c r="MZZ7" s="5"/>
      <c r="NAA7" s="5"/>
      <c r="NAB7" s="5"/>
      <c r="NAC7" s="5"/>
      <c r="NAD7" s="5"/>
      <c r="NAE7" s="5"/>
      <c r="NAF7" s="5"/>
      <c r="NAG7" s="5"/>
      <c r="NAH7" s="5"/>
      <c r="NAI7" s="5"/>
      <c r="NAJ7" s="5"/>
      <c r="NAK7" s="5"/>
      <c r="NAL7" s="5"/>
      <c r="NAM7" s="5"/>
      <c r="NAN7" s="5"/>
      <c r="NAO7" s="5"/>
      <c r="NAP7" s="5"/>
      <c r="NAQ7" s="5"/>
      <c r="NAR7" s="5"/>
      <c r="NAS7" s="5"/>
      <c r="NAT7" s="5"/>
      <c r="NAU7" s="5"/>
      <c r="NAV7" s="5"/>
      <c r="NAW7" s="5"/>
      <c r="NAX7" s="5"/>
      <c r="NAY7" s="5"/>
      <c r="NAZ7" s="5"/>
      <c r="NBA7" s="5"/>
      <c r="NBB7" s="5"/>
      <c r="NBC7" s="5"/>
      <c r="NBD7" s="5"/>
      <c r="NBE7" s="5"/>
      <c r="NBF7" s="5"/>
      <c r="NBG7" s="5"/>
      <c r="NBH7" s="5"/>
      <c r="NBI7" s="5"/>
      <c r="NBJ7" s="5"/>
      <c r="NBK7" s="5"/>
      <c r="NBL7" s="5"/>
      <c r="NBM7" s="5"/>
      <c r="NBN7" s="5"/>
      <c r="NBO7" s="5"/>
      <c r="NBP7" s="5"/>
      <c r="NBQ7" s="5"/>
      <c r="NBR7" s="5"/>
      <c r="NBS7" s="5"/>
      <c r="NBT7" s="5"/>
      <c r="NBU7" s="5"/>
      <c r="NBV7" s="5"/>
      <c r="NBW7" s="5"/>
      <c r="NBX7" s="5"/>
      <c r="NBY7" s="5"/>
      <c r="NBZ7" s="5"/>
      <c r="NCA7" s="5"/>
      <c r="NCB7" s="5"/>
      <c r="NCC7" s="5"/>
      <c r="NCD7" s="5"/>
      <c r="NCE7" s="5"/>
      <c r="NCF7" s="5"/>
      <c r="NCG7" s="5"/>
      <c r="NCH7" s="5"/>
      <c r="NCI7" s="5"/>
      <c r="NCJ7" s="5"/>
      <c r="NCK7" s="5"/>
      <c r="NCL7" s="5"/>
      <c r="NCM7" s="5"/>
      <c r="NCN7" s="5"/>
      <c r="NCO7" s="5"/>
      <c r="NCP7" s="5"/>
      <c r="NCQ7" s="5"/>
      <c r="NCR7" s="5"/>
      <c r="NCS7" s="5"/>
      <c r="NCT7" s="5"/>
      <c r="NCU7" s="5"/>
      <c r="NCV7" s="5"/>
      <c r="NCW7" s="5"/>
      <c r="NCX7" s="5"/>
      <c r="NCY7" s="5"/>
      <c r="NCZ7" s="5"/>
      <c r="NDA7" s="5"/>
      <c r="NDB7" s="5"/>
      <c r="NDC7" s="5"/>
      <c r="NDD7" s="5"/>
      <c r="NDE7" s="5"/>
      <c r="NDF7" s="5"/>
      <c r="NDG7" s="5"/>
      <c r="NDH7" s="5"/>
      <c r="NDI7" s="5"/>
      <c r="NDJ7" s="5"/>
      <c r="NDK7" s="5"/>
      <c r="NDL7" s="5"/>
      <c r="NDM7" s="5"/>
      <c r="NDN7" s="5"/>
      <c r="NDO7" s="5"/>
      <c r="NDP7" s="5"/>
      <c r="NDQ7" s="5"/>
      <c r="NDR7" s="5"/>
      <c r="NDS7" s="5"/>
      <c r="NDT7" s="5"/>
      <c r="NDU7" s="5"/>
      <c r="NDV7" s="5"/>
      <c r="NDW7" s="5"/>
      <c r="NDX7" s="5"/>
      <c r="NDY7" s="5"/>
      <c r="NDZ7" s="5"/>
      <c r="NEA7" s="5"/>
      <c r="NEB7" s="5"/>
      <c r="NEC7" s="5"/>
      <c r="NED7" s="5"/>
      <c r="NEE7" s="5"/>
      <c r="NEF7" s="5"/>
      <c r="NEG7" s="5"/>
      <c r="NEH7" s="5"/>
      <c r="NEI7" s="5"/>
      <c r="NEJ7" s="5"/>
      <c r="NEK7" s="5"/>
      <c r="NEL7" s="5"/>
      <c r="NEM7" s="5"/>
      <c r="NEN7" s="5"/>
      <c r="NEO7" s="5"/>
      <c r="NEP7" s="5"/>
      <c r="NEQ7" s="5"/>
      <c r="NER7" s="5"/>
      <c r="NES7" s="5"/>
      <c r="NET7" s="5"/>
      <c r="NEU7" s="5"/>
      <c r="NEV7" s="5"/>
      <c r="NEW7" s="5"/>
      <c r="NEX7" s="5"/>
      <c r="NEY7" s="5"/>
      <c r="NEZ7" s="5"/>
      <c r="NFA7" s="5"/>
      <c r="NFB7" s="5"/>
      <c r="NFC7" s="5"/>
      <c r="NFD7" s="5"/>
      <c r="NFE7" s="5"/>
      <c r="NFF7" s="5"/>
      <c r="NFG7" s="5"/>
      <c r="NFH7" s="5"/>
      <c r="NFI7" s="5"/>
      <c r="NFJ7" s="5"/>
      <c r="NFK7" s="5"/>
      <c r="NFL7" s="5"/>
      <c r="NFM7" s="5"/>
      <c r="NFN7" s="5"/>
      <c r="NFO7" s="5"/>
      <c r="NFP7" s="5"/>
      <c r="NFQ7" s="5"/>
      <c r="NFR7" s="5"/>
      <c r="NFS7" s="5"/>
      <c r="NFT7" s="5"/>
      <c r="NFU7" s="5"/>
      <c r="NFV7" s="5"/>
      <c r="NFW7" s="5"/>
      <c r="NFX7" s="5"/>
      <c r="NFY7" s="5"/>
      <c r="NFZ7" s="5"/>
      <c r="NGA7" s="5"/>
      <c r="NGB7" s="5"/>
      <c r="NGC7" s="5"/>
      <c r="NGD7" s="5"/>
      <c r="NGE7" s="5"/>
      <c r="NGF7" s="5"/>
      <c r="NGG7" s="5"/>
      <c r="NGH7" s="5"/>
      <c r="NGI7" s="5"/>
      <c r="NGJ7" s="5"/>
      <c r="NGK7" s="5"/>
      <c r="NGL7" s="5"/>
      <c r="NGM7" s="5"/>
      <c r="NGN7" s="5"/>
      <c r="NGO7" s="5"/>
      <c r="NGP7" s="5"/>
      <c r="NGQ7" s="5"/>
      <c r="NGR7" s="5"/>
      <c r="NGS7" s="5"/>
      <c r="NGT7" s="5"/>
      <c r="NGU7" s="5"/>
      <c r="NGV7" s="5"/>
      <c r="NGW7" s="5"/>
      <c r="NGX7" s="5"/>
      <c r="NGY7" s="5"/>
      <c r="NGZ7" s="5"/>
      <c r="NHA7" s="5"/>
      <c r="NHB7" s="5"/>
      <c r="NHC7" s="5"/>
      <c r="NHD7" s="5"/>
      <c r="NHE7" s="5"/>
      <c r="NHF7" s="5"/>
      <c r="NHG7" s="5"/>
      <c r="NHH7" s="5"/>
      <c r="NHI7" s="5"/>
      <c r="NHJ7" s="5"/>
      <c r="NHK7" s="5"/>
      <c r="NHL7" s="5"/>
      <c r="NHM7" s="5"/>
      <c r="NHN7" s="5"/>
      <c r="NHO7" s="5"/>
      <c r="NHP7" s="5"/>
      <c r="NHQ7" s="5"/>
      <c r="NHR7" s="5"/>
      <c r="NHS7" s="5"/>
      <c r="NHT7" s="5"/>
      <c r="NHU7" s="5"/>
      <c r="NHV7" s="5"/>
      <c r="NHW7" s="5"/>
      <c r="NHX7" s="5"/>
      <c r="NHY7" s="5"/>
      <c r="NHZ7" s="5"/>
      <c r="NIA7" s="5"/>
      <c r="NIB7" s="5"/>
      <c r="NIC7" s="5"/>
      <c r="NID7" s="5"/>
      <c r="NIE7" s="5"/>
      <c r="NIF7" s="5"/>
      <c r="NIG7" s="5"/>
      <c r="NIH7" s="5"/>
      <c r="NII7" s="5"/>
      <c r="NIJ7" s="5"/>
      <c r="NIK7" s="5"/>
      <c r="NIL7" s="5"/>
      <c r="NIM7" s="5"/>
      <c r="NIN7" s="5"/>
      <c r="NIO7" s="5"/>
      <c r="NIP7" s="5"/>
      <c r="NIQ7" s="5"/>
      <c r="NIR7" s="5"/>
      <c r="NIS7" s="5"/>
      <c r="NIT7" s="5"/>
      <c r="NIU7" s="5"/>
      <c r="NIV7" s="5"/>
      <c r="NIW7" s="5"/>
      <c r="NIX7" s="5"/>
      <c r="NIY7" s="5"/>
      <c r="NIZ7" s="5"/>
      <c r="NJA7" s="5"/>
      <c r="NJB7" s="5"/>
      <c r="NJC7" s="5"/>
      <c r="NJD7" s="5"/>
      <c r="NJE7" s="5"/>
      <c r="NJF7" s="5"/>
      <c r="NJG7" s="5"/>
      <c r="NJH7" s="5"/>
      <c r="NJI7" s="5"/>
      <c r="NJJ7" s="5"/>
      <c r="NJK7" s="5"/>
      <c r="NJL7" s="5"/>
      <c r="NJM7" s="5"/>
      <c r="NJN7" s="5"/>
      <c r="NJO7" s="5"/>
      <c r="NJP7" s="5"/>
      <c r="NJQ7" s="5"/>
      <c r="NJR7" s="5"/>
      <c r="NJS7" s="5"/>
      <c r="NJT7" s="5"/>
      <c r="NJU7" s="5"/>
      <c r="NJV7" s="5"/>
      <c r="NJW7" s="5"/>
      <c r="NJX7" s="5"/>
      <c r="NJY7" s="5"/>
      <c r="NJZ7" s="5"/>
      <c r="NKA7" s="5"/>
      <c r="NKB7" s="5"/>
      <c r="NKC7" s="5"/>
      <c r="NKD7" s="5"/>
      <c r="NKE7" s="5"/>
      <c r="NKF7" s="5"/>
      <c r="NKG7" s="5"/>
      <c r="NKH7" s="5"/>
      <c r="NKI7" s="5"/>
      <c r="NKJ7" s="5"/>
      <c r="NKK7" s="5"/>
      <c r="NKL7" s="5"/>
      <c r="NKM7" s="5"/>
      <c r="NKN7" s="5"/>
      <c r="NKO7" s="5"/>
      <c r="NKP7" s="5"/>
      <c r="NKQ7" s="5"/>
      <c r="NKR7" s="5"/>
      <c r="NKS7" s="5"/>
      <c r="NKT7" s="5"/>
      <c r="NKU7" s="5"/>
      <c r="NKV7" s="5"/>
      <c r="NKW7" s="5"/>
      <c r="NKX7" s="5"/>
      <c r="NKY7" s="5"/>
      <c r="NKZ7" s="5"/>
      <c r="NLA7" s="5"/>
      <c r="NLB7" s="5"/>
      <c r="NLC7" s="5"/>
      <c r="NLD7" s="5"/>
      <c r="NLE7" s="5"/>
      <c r="NLF7" s="5"/>
      <c r="NLG7" s="5"/>
      <c r="NLH7" s="5"/>
      <c r="NLI7" s="5"/>
      <c r="NLJ7" s="5"/>
      <c r="NLK7" s="5"/>
      <c r="NLL7" s="5"/>
      <c r="NLM7" s="5"/>
      <c r="NLN7" s="5"/>
      <c r="NLO7" s="5"/>
      <c r="NLP7" s="5"/>
      <c r="NLQ7" s="5"/>
      <c r="NLR7" s="5"/>
      <c r="NLS7" s="5"/>
      <c r="NLT7" s="5"/>
      <c r="NLU7" s="5"/>
      <c r="NLV7" s="5"/>
      <c r="NLW7" s="5"/>
      <c r="NLX7" s="5"/>
      <c r="NLY7" s="5"/>
      <c r="NLZ7" s="5"/>
      <c r="NMA7" s="5"/>
      <c r="NMB7" s="5"/>
      <c r="NMC7" s="5"/>
      <c r="NMD7" s="5"/>
      <c r="NME7" s="5"/>
      <c r="NMF7" s="5"/>
      <c r="NMG7" s="5"/>
      <c r="NMH7" s="5"/>
      <c r="NMI7" s="5"/>
      <c r="NMJ7" s="5"/>
      <c r="NMK7" s="5"/>
      <c r="NML7" s="5"/>
      <c r="NMM7" s="5"/>
      <c r="NMN7" s="5"/>
      <c r="NMO7" s="5"/>
      <c r="NMP7" s="5"/>
      <c r="NMQ7" s="5"/>
      <c r="NMR7" s="5"/>
      <c r="NMS7" s="5"/>
      <c r="NMT7" s="5"/>
      <c r="NMU7" s="5"/>
      <c r="NMV7" s="5"/>
      <c r="NMW7" s="5"/>
      <c r="NMX7" s="5"/>
      <c r="NMY7" s="5"/>
      <c r="NMZ7" s="5"/>
      <c r="NNA7" s="5"/>
      <c r="NNB7" s="5"/>
      <c r="NNC7" s="5"/>
      <c r="NND7" s="5"/>
      <c r="NNE7" s="5"/>
      <c r="NNF7" s="5"/>
      <c r="NNG7" s="5"/>
      <c r="NNH7" s="5"/>
      <c r="NNI7" s="5"/>
      <c r="NNJ7" s="5"/>
      <c r="NNK7" s="5"/>
      <c r="NNL7" s="5"/>
      <c r="NNM7" s="5"/>
      <c r="NNN7" s="5"/>
      <c r="NNO7" s="5"/>
      <c r="NNP7" s="5"/>
      <c r="NNQ7" s="5"/>
      <c r="NNR7" s="5"/>
      <c r="NNS7" s="5"/>
      <c r="NNT7" s="5"/>
      <c r="NNU7" s="5"/>
      <c r="NNV7" s="5"/>
      <c r="NNW7" s="5"/>
      <c r="NNX7" s="5"/>
      <c r="NNY7" s="5"/>
      <c r="NNZ7" s="5"/>
      <c r="NOA7" s="5"/>
      <c r="NOB7" s="5"/>
      <c r="NOC7" s="5"/>
      <c r="NOD7" s="5"/>
      <c r="NOE7" s="5"/>
      <c r="NOF7" s="5"/>
      <c r="NOG7" s="5"/>
      <c r="NOH7" s="5"/>
      <c r="NOI7" s="5"/>
      <c r="NOJ7" s="5"/>
      <c r="NOK7" s="5"/>
      <c r="NOL7" s="5"/>
      <c r="NOM7" s="5"/>
      <c r="NON7" s="5"/>
      <c r="NOO7" s="5"/>
      <c r="NOP7" s="5"/>
      <c r="NOQ7" s="5"/>
      <c r="NOR7" s="5"/>
      <c r="NOS7" s="5"/>
      <c r="NOT7" s="5"/>
      <c r="NOU7" s="5"/>
      <c r="NOV7" s="5"/>
      <c r="NOW7" s="5"/>
      <c r="NOX7" s="5"/>
      <c r="NOY7" s="5"/>
      <c r="NOZ7" s="5"/>
      <c r="NPA7" s="5"/>
      <c r="NPB7" s="5"/>
      <c r="NPC7" s="5"/>
      <c r="NPD7" s="5"/>
      <c r="NPE7" s="5"/>
      <c r="NPF7" s="5"/>
      <c r="NPG7" s="5"/>
      <c r="NPH7" s="5"/>
      <c r="NPI7" s="5"/>
      <c r="NPJ7" s="5"/>
      <c r="NPK7" s="5"/>
      <c r="NPL7" s="5"/>
      <c r="NPM7" s="5"/>
      <c r="NPN7" s="5"/>
      <c r="NPO7" s="5"/>
      <c r="NPP7" s="5"/>
      <c r="NPQ7" s="5"/>
      <c r="NPR7" s="5"/>
      <c r="NPS7" s="5"/>
      <c r="NPT7" s="5"/>
      <c r="NPU7" s="5"/>
      <c r="NPV7" s="5"/>
      <c r="NPW7" s="5"/>
      <c r="NPX7" s="5"/>
      <c r="NPY7" s="5"/>
      <c r="NPZ7" s="5"/>
      <c r="NQA7" s="5"/>
      <c r="NQB7" s="5"/>
      <c r="NQC7" s="5"/>
      <c r="NQD7" s="5"/>
      <c r="NQE7" s="5"/>
      <c r="NQF7" s="5"/>
      <c r="NQG7" s="5"/>
      <c r="NQH7" s="5"/>
      <c r="NQI7" s="5"/>
      <c r="NQJ7" s="5"/>
      <c r="NQK7" s="5"/>
      <c r="NQL7" s="5"/>
      <c r="NQM7" s="5"/>
      <c r="NQN7" s="5"/>
      <c r="NQO7" s="5"/>
      <c r="NQP7" s="5"/>
      <c r="NQQ7" s="5"/>
      <c r="NQR7" s="5"/>
      <c r="NQS7" s="5"/>
      <c r="NQT7" s="5"/>
      <c r="NQU7" s="5"/>
      <c r="NQV7" s="5"/>
      <c r="NQW7" s="5"/>
      <c r="NQX7" s="5"/>
      <c r="NQY7" s="5"/>
      <c r="NQZ7" s="5"/>
      <c r="NRA7" s="5"/>
      <c r="NRB7" s="5"/>
      <c r="NRC7" s="5"/>
      <c r="NRD7" s="5"/>
      <c r="NRE7" s="5"/>
      <c r="NRF7" s="5"/>
      <c r="NRG7" s="5"/>
      <c r="NRH7" s="5"/>
      <c r="NRI7" s="5"/>
      <c r="NRJ7" s="5"/>
      <c r="NRK7" s="5"/>
      <c r="NRL7" s="5"/>
      <c r="NRM7" s="5"/>
      <c r="NRN7" s="5"/>
      <c r="NRO7" s="5"/>
      <c r="NRP7" s="5"/>
      <c r="NRQ7" s="5"/>
      <c r="NRR7" s="5"/>
      <c r="NRS7" s="5"/>
      <c r="NRT7" s="5"/>
      <c r="NRU7" s="5"/>
      <c r="NRV7" s="5"/>
      <c r="NRW7" s="5"/>
      <c r="NRX7" s="5"/>
      <c r="NRY7" s="5"/>
      <c r="NRZ7" s="5"/>
      <c r="NSA7" s="5"/>
      <c r="NSB7" s="5"/>
      <c r="NSC7" s="5"/>
      <c r="NSD7" s="5"/>
      <c r="NSE7" s="5"/>
      <c r="NSF7" s="5"/>
      <c r="NSG7" s="5"/>
      <c r="NSH7" s="5"/>
      <c r="NSI7" s="5"/>
      <c r="NSJ7" s="5"/>
      <c r="NSK7" s="5"/>
      <c r="NSL7" s="5"/>
      <c r="NSM7" s="5"/>
      <c r="NSN7" s="5"/>
      <c r="NSO7" s="5"/>
      <c r="NSP7" s="5"/>
      <c r="NSQ7" s="5"/>
      <c r="NSR7" s="5"/>
      <c r="NSS7" s="5"/>
      <c r="NST7" s="5"/>
      <c r="NSU7" s="5"/>
      <c r="NSV7" s="5"/>
      <c r="NSW7" s="5"/>
      <c r="NSX7" s="5"/>
      <c r="NSY7" s="5"/>
      <c r="NSZ7" s="5"/>
      <c r="NTA7" s="5"/>
      <c r="NTB7" s="5"/>
      <c r="NTC7" s="5"/>
      <c r="NTD7" s="5"/>
      <c r="NTE7" s="5"/>
      <c r="NTF7" s="5"/>
      <c r="NTG7" s="5"/>
      <c r="NTH7" s="5"/>
      <c r="NTI7" s="5"/>
      <c r="NTJ7" s="5"/>
      <c r="NTK7" s="5"/>
      <c r="NTL7" s="5"/>
      <c r="NTM7" s="5"/>
      <c r="NTN7" s="5"/>
      <c r="NTO7" s="5"/>
      <c r="NTP7" s="5"/>
      <c r="NTQ7" s="5"/>
      <c r="NTR7" s="5"/>
      <c r="NTS7" s="5"/>
      <c r="NTT7" s="5"/>
      <c r="NTU7" s="5"/>
      <c r="NTV7" s="5"/>
      <c r="NTW7" s="5"/>
      <c r="NTX7" s="5"/>
      <c r="NTY7" s="5"/>
      <c r="NTZ7" s="5"/>
      <c r="NUA7" s="5"/>
      <c r="NUB7" s="5"/>
      <c r="NUC7" s="5"/>
      <c r="NUD7" s="5"/>
      <c r="NUE7" s="5"/>
      <c r="NUF7" s="5"/>
      <c r="NUG7" s="5"/>
      <c r="NUH7" s="5"/>
      <c r="NUI7" s="5"/>
      <c r="NUJ7" s="5"/>
      <c r="NUK7" s="5"/>
      <c r="NUL7" s="5"/>
      <c r="NUM7" s="5"/>
      <c r="NUN7" s="5"/>
      <c r="NUO7" s="5"/>
      <c r="NUP7" s="5"/>
      <c r="NUQ7" s="5"/>
      <c r="NUR7" s="5"/>
      <c r="NUS7" s="5"/>
      <c r="NUT7" s="5"/>
      <c r="NUU7" s="5"/>
      <c r="NUV7" s="5"/>
      <c r="NUW7" s="5"/>
      <c r="NUX7" s="5"/>
      <c r="NUY7" s="5"/>
      <c r="NUZ7" s="5"/>
      <c r="NVA7" s="5"/>
      <c r="NVB7" s="5"/>
      <c r="NVC7" s="5"/>
      <c r="NVD7" s="5"/>
      <c r="NVE7" s="5"/>
      <c r="NVF7" s="5"/>
      <c r="NVG7" s="5"/>
      <c r="NVH7" s="5"/>
      <c r="NVI7" s="5"/>
      <c r="NVJ7" s="5"/>
      <c r="NVK7" s="5"/>
      <c r="NVL7" s="5"/>
      <c r="NVM7" s="5"/>
      <c r="NVN7" s="5"/>
      <c r="NVO7" s="5"/>
      <c r="NVP7" s="5"/>
      <c r="NVQ7" s="5"/>
      <c r="NVR7" s="5"/>
      <c r="NVS7" s="5"/>
      <c r="NVT7" s="5"/>
      <c r="NVU7" s="5"/>
      <c r="NVV7" s="5"/>
      <c r="NVW7" s="5"/>
      <c r="NVX7" s="5"/>
      <c r="NVY7" s="5"/>
      <c r="NVZ7" s="5"/>
      <c r="NWA7" s="5"/>
      <c r="NWB7" s="5"/>
      <c r="NWC7" s="5"/>
      <c r="NWD7" s="5"/>
      <c r="NWE7" s="5"/>
      <c r="NWF7" s="5"/>
      <c r="NWG7" s="5"/>
      <c r="NWH7" s="5"/>
      <c r="NWI7" s="5"/>
      <c r="NWJ7" s="5"/>
      <c r="NWK7" s="5"/>
      <c r="NWL7" s="5"/>
      <c r="NWM7" s="5"/>
      <c r="NWN7" s="5"/>
      <c r="NWO7" s="5"/>
      <c r="NWP7" s="5"/>
      <c r="NWQ7" s="5"/>
      <c r="NWR7" s="5"/>
      <c r="NWS7" s="5"/>
      <c r="NWT7" s="5"/>
      <c r="NWU7" s="5"/>
      <c r="NWV7" s="5"/>
      <c r="NWW7" s="5"/>
      <c r="NWX7" s="5"/>
      <c r="NWY7" s="5"/>
      <c r="NWZ7" s="5"/>
      <c r="NXA7" s="5"/>
      <c r="NXB7" s="5"/>
      <c r="NXC7" s="5"/>
      <c r="NXD7" s="5"/>
      <c r="NXE7" s="5"/>
      <c r="NXF7" s="5"/>
      <c r="NXG7" s="5"/>
      <c r="NXH7" s="5"/>
      <c r="NXI7" s="5"/>
      <c r="NXJ7" s="5"/>
      <c r="NXK7" s="5"/>
      <c r="NXL7" s="5"/>
      <c r="NXM7" s="5"/>
      <c r="NXN7" s="5"/>
      <c r="NXO7" s="5"/>
      <c r="NXP7" s="5"/>
      <c r="NXQ7" s="5"/>
      <c r="NXR7" s="5"/>
      <c r="NXS7" s="5"/>
      <c r="NXT7" s="5"/>
      <c r="NXU7" s="5"/>
      <c r="NXV7" s="5"/>
      <c r="NXW7" s="5"/>
      <c r="NXX7" s="5"/>
      <c r="NXY7" s="5"/>
      <c r="NXZ7" s="5"/>
      <c r="NYA7" s="5"/>
      <c r="NYB7" s="5"/>
      <c r="NYC7" s="5"/>
      <c r="NYD7" s="5"/>
      <c r="NYE7" s="5"/>
      <c r="NYF7" s="5"/>
      <c r="NYG7" s="5"/>
      <c r="NYH7" s="5"/>
      <c r="NYI7" s="5"/>
      <c r="NYJ7" s="5"/>
      <c r="NYK7" s="5"/>
      <c r="NYL7" s="5"/>
      <c r="NYM7" s="5"/>
      <c r="NYN7" s="5"/>
      <c r="NYO7" s="5"/>
      <c r="NYP7" s="5"/>
      <c r="NYQ7" s="5"/>
      <c r="NYR7" s="5"/>
      <c r="NYS7" s="5"/>
      <c r="NYT7" s="5"/>
      <c r="NYU7" s="5"/>
      <c r="NYV7" s="5"/>
      <c r="NYW7" s="5"/>
      <c r="NYX7" s="5"/>
      <c r="NYY7" s="5"/>
      <c r="NYZ7" s="5"/>
      <c r="NZA7" s="5"/>
      <c r="NZB7" s="5"/>
      <c r="NZC7" s="5"/>
      <c r="NZD7" s="5"/>
      <c r="NZE7" s="5"/>
      <c r="NZF7" s="5"/>
      <c r="NZG7" s="5"/>
      <c r="NZH7" s="5"/>
      <c r="NZI7" s="5"/>
      <c r="NZJ7" s="5"/>
      <c r="NZK7" s="5"/>
      <c r="NZL7" s="5"/>
      <c r="NZM7" s="5"/>
      <c r="NZN7" s="5"/>
      <c r="NZO7" s="5"/>
      <c r="NZP7" s="5"/>
      <c r="NZQ7" s="5"/>
      <c r="NZR7" s="5"/>
      <c r="NZS7" s="5"/>
      <c r="NZT7" s="5"/>
      <c r="NZU7" s="5"/>
      <c r="NZV7" s="5"/>
      <c r="NZW7" s="5"/>
      <c r="NZX7" s="5"/>
      <c r="NZY7" s="5"/>
      <c r="NZZ7" s="5"/>
      <c r="OAA7" s="5"/>
      <c r="OAB7" s="5"/>
      <c r="OAC7" s="5"/>
      <c r="OAD7" s="5"/>
      <c r="OAE7" s="5"/>
      <c r="OAF7" s="5"/>
      <c r="OAG7" s="5"/>
      <c r="OAH7" s="5"/>
      <c r="OAI7" s="5"/>
      <c r="OAJ7" s="5"/>
      <c r="OAK7" s="5"/>
      <c r="OAL7" s="5"/>
      <c r="OAM7" s="5"/>
      <c r="OAN7" s="5"/>
      <c r="OAO7" s="5"/>
      <c r="OAP7" s="5"/>
      <c r="OAQ7" s="5"/>
      <c r="OAR7" s="5"/>
      <c r="OAS7" s="5"/>
      <c r="OAT7" s="5"/>
      <c r="OAU7" s="5"/>
      <c r="OAV7" s="5"/>
      <c r="OAW7" s="5"/>
      <c r="OAX7" s="5"/>
      <c r="OAY7" s="5"/>
      <c r="OAZ7" s="5"/>
      <c r="OBA7" s="5"/>
      <c r="OBB7" s="5"/>
      <c r="OBC7" s="5"/>
      <c r="OBD7" s="5"/>
      <c r="OBE7" s="5"/>
      <c r="OBF7" s="5"/>
      <c r="OBG7" s="5"/>
      <c r="OBH7" s="5"/>
      <c r="OBI7" s="5"/>
      <c r="OBJ7" s="5"/>
      <c r="OBK7" s="5"/>
      <c r="OBL7" s="5"/>
      <c r="OBM7" s="5"/>
      <c r="OBN7" s="5"/>
      <c r="OBO7" s="5"/>
      <c r="OBP7" s="5"/>
      <c r="OBQ7" s="5"/>
      <c r="OBR7" s="5"/>
      <c r="OBS7" s="5"/>
      <c r="OBT7" s="5"/>
      <c r="OBU7" s="5"/>
      <c r="OBV7" s="5"/>
      <c r="OBW7" s="5"/>
      <c r="OBX7" s="5"/>
      <c r="OBY7" s="5"/>
      <c r="OBZ7" s="5"/>
      <c r="OCA7" s="5"/>
      <c r="OCB7" s="5"/>
      <c r="OCC7" s="5"/>
      <c r="OCD7" s="5"/>
      <c r="OCE7" s="5"/>
      <c r="OCF7" s="5"/>
      <c r="OCG7" s="5"/>
      <c r="OCH7" s="5"/>
      <c r="OCI7" s="5"/>
      <c r="OCJ7" s="5"/>
      <c r="OCK7" s="5"/>
      <c r="OCL7" s="5"/>
      <c r="OCM7" s="5"/>
      <c r="OCN7" s="5"/>
      <c r="OCO7" s="5"/>
      <c r="OCP7" s="5"/>
      <c r="OCQ7" s="5"/>
      <c r="OCR7" s="5"/>
      <c r="OCS7" s="5"/>
      <c r="OCT7" s="5"/>
      <c r="OCU7" s="5"/>
      <c r="OCV7" s="5"/>
      <c r="OCW7" s="5"/>
      <c r="OCX7" s="5"/>
      <c r="OCY7" s="5"/>
      <c r="OCZ7" s="5"/>
      <c r="ODA7" s="5"/>
      <c r="ODB7" s="5"/>
      <c r="ODC7" s="5"/>
      <c r="ODD7" s="5"/>
      <c r="ODE7" s="5"/>
      <c r="ODF7" s="5"/>
      <c r="ODG7" s="5"/>
      <c r="ODH7" s="5"/>
      <c r="ODI7" s="5"/>
      <c r="ODJ7" s="5"/>
      <c r="ODK7" s="5"/>
      <c r="ODL7" s="5"/>
      <c r="ODM7" s="5"/>
      <c r="ODN7" s="5"/>
      <c r="ODO7" s="5"/>
      <c r="ODP7" s="5"/>
      <c r="ODQ7" s="5"/>
      <c r="ODR7" s="5"/>
      <c r="ODS7" s="5"/>
      <c r="ODT7" s="5"/>
      <c r="ODU7" s="5"/>
      <c r="ODV7" s="5"/>
      <c r="ODW7" s="5"/>
      <c r="ODX7" s="5"/>
      <c r="ODY7" s="5"/>
      <c r="ODZ7" s="5"/>
      <c r="OEA7" s="5"/>
      <c r="OEB7" s="5"/>
      <c r="OEC7" s="5"/>
      <c r="OED7" s="5"/>
      <c r="OEE7" s="5"/>
      <c r="OEF7" s="5"/>
      <c r="OEG7" s="5"/>
      <c r="OEH7" s="5"/>
      <c r="OEI7" s="5"/>
      <c r="OEJ7" s="5"/>
      <c r="OEK7" s="5"/>
      <c r="OEL7" s="5"/>
      <c r="OEM7" s="5"/>
      <c r="OEN7" s="5"/>
      <c r="OEO7" s="5"/>
      <c r="OEP7" s="5"/>
      <c r="OEQ7" s="5"/>
      <c r="OER7" s="5"/>
      <c r="OES7" s="5"/>
      <c r="OET7" s="5"/>
      <c r="OEU7" s="5"/>
      <c r="OEV7" s="5"/>
      <c r="OEW7" s="5"/>
      <c r="OEX7" s="5"/>
      <c r="OEY7" s="5"/>
      <c r="OEZ7" s="5"/>
      <c r="OFA7" s="5"/>
      <c r="OFB7" s="5"/>
      <c r="OFC7" s="5"/>
      <c r="OFD7" s="5"/>
      <c r="OFE7" s="5"/>
      <c r="OFF7" s="5"/>
      <c r="OFG7" s="5"/>
      <c r="OFH7" s="5"/>
      <c r="OFI7" s="5"/>
      <c r="OFJ7" s="5"/>
      <c r="OFK7" s="5"/>
      <c r="OFL7" s="5"/>
      <c r="OFM7" s="5"/>
      <c r="OFN7" s="5"/>
      <c r="OFO7" s="5"/>
      <c r="OFP7" s="5"/>
      <c r="OFQ7" s="5"/>
      <c r="OFR7" s="5"/>
      <c r="OFS7" s="5"/>
      <c r="OFT7" s="5"/>
      <c r="OFU7" s="5"/>
      <c r="OFV7" s="5"/>
      <c r="OFW7" s="5"/>
      <c r="OFX7" s="5"/>
      <c r="OFY7" s="5"/>
      <c r="OFZ7" s="5"/>
      <c r="OGA7" s="5"/>
      <c r="OGB7" s="5"/>
      <c r="OGC7" s="5"/>
      <c r="OGD7" s="5"/>
      <c r="OGE7" s="5"/>
      <c r="OGF7" s="5"/>
      <c r="OGG7" s="5"/>
      <c r="OGH7" s="5"/>
      <c r="OGI7" s="5"/>
      <c r="OGJ7" s="5"/>
      <c r="OGK7" s="5"/>
      <c r="OGL7" s="5"/>
      <c r="OGM7" s="5"/>
      <c r="OGN7" s="5"/>
      <c r="OGO7" s="5"/>
      <c r="OGP7" s="5"/>
      <c r="OGQ7" s="5"/>
      <c r="OGR7" s="5"/>
      <c r="OGS7" s="5"/>
      <c r="OGT7" s="5"/>
      <c r="OGU7" s="5"/>
      <c r="OGV7" s="5"/>
      <c r="OGW7" s="5"/>
      <c r="OGX7" s="5"/>
      <c r="OGY7" s="5"/>
      <c r="OGZ7" s="5"/>
      <c r="OHA7" s="5"/>
      <c r="OHB7" s="5"/>
      <c r="OHC7" s="5"/>
      <c r="OHD7" s="5"/>
      <c r="OHE7" s="5"/>
      <c r="OHF7" s="5"/>
      <c r="OHG7" s="5"/>
      <c r="OHH7" s="5"/>
      <c r="OHI7" s="5"/>
      <c r="OHJ7" s="5"/>
      <c r="OHK7" s="5"/>
      <c r="OHL7" s="5"/>
      <c r="OHM7" s="5"/>
      <c r="OHN7" s="5"/>
      <c r="OHO7" s="5"/>
      <c r="OHP7" s="5"/>
      <c r="OHQ7" s="5"/>
      <c r="OHR7" s="5"/>
      <c r="OHS7" s="5"/>
      <c r="OHT7" s="5"/>
      <c r="OHU7" s="5"/>
      <c r="OHV7" s="5"/>
      <c r="OHW7" s="5"/>
      <c r="OHX7" s="5"/>
      <c r="OHY7" s="5"/>
      <c r="OHZ7" s="5"/>
      <c r="OIA7" s="5"/>
      <c r="OIB7" s="5"/>
      <c r="OIC7" s="5"/>
      <c r="OID7" s="5"/>
      <c r="OIE7" s="5"/>
      <c r="OIF7" s="5"/>
      <c r="OIG7" s="5"/>
      <c r="OIH7" s="5"/>
      <c r="OII7" s="5"/>
      <c r="OIJ7" s="5"/>
      <c r="OIK7" s="5"/>
      <c r="OIL7" s="5"/>
      <c r="OIM7" s="5"/>
      <c r="OIN7" s="5"/>
      <c r="OIO7" s="5"/>
      <c r="OIP7" s="5"/>
      <c r="OIQ7" s="5"/>
      <c r="OIR7" s="5"/>
      <c r="OIS7" s="5"/>
      <c r="OIT7" s="5"/>
      <c r="OIU7" s="5"/>
      <c r="OIV7" s="5"/>
      <c r="OIW7" s="5"/>
      <c r="OIX7" s="5"/>
      <c r="OIY7" s="5"/>
      <c r="OIZ7" s="5"/>
      <c r="OJA7" s="5"/>
      <c r="OJB7" s="5"/>
      <c r="OJC7" s="5"/>
      <c r="OJD7" s="5"/>
      <c r="OJE7" s="5"/>
      <c r="OJF7" s="5"/>
      <c r="OJG7" s="5"/>
      <c r="OJH7" s="5"/>
      <c r="OJI7" s="5"/>
      <c r="OJJ7" s="5"/>
      <c r="OJK7" s="5"/>
      <c r="OJL7" s="5"/>
      <c r="OJM7" s="5"/>
      <c r="OJN7" s="5"/>
      <c r="OJO7" s="5"/>
      <c r="OJP7" s="5"/>
      <c r="OJQ7" s="5"/>
      <c r="OJR7" s="5"/>
      <c r="OJS7" s="5"/>
      <c r="OJT7" s="5"/>
      <c r="OJU7" s="5"/>
      <c r="OJV7" s="5"/>
      <c r="OJW7" s="5"/>
      <c r="OJX7" s="5"/>
      <c r="OJY7" s="5"/>
      <c r="OJZ7" s="5"/>
      <c r="OKA7" s="5"/>
      <c r="OKB7" s="5"/>
      <c r="OKC7" s="5"/>
      <c r="OKD7" s="5"/>
      <c r="OKE7" s="5"/>
      <c r="OKF7" s="5"/>
      <c r="OKG7" s="5"/>
      <c r="OKH7" s="5"/>
      <c r="OKI7" s="5"/>
      <c r="OKJ7" s="5"/>
      <c r="OKK7" s="5"/>
      <c r="OKL7" s="5"/>
      <c r="OKM7" s="5"/>
      <c r="OKN7" s="5"/>
      <c r="OKO7" s="5"/>
      <c r="OKP7" s="5"/>
      <c r="OKQ7" s="5"/>
      <c r="OKR7" s="5"/>
      <c r="OKS7" s="5"/>
      <c r="OKT7" s="5"/>
      <c r="OKU7" s="5"/>
      <c r="OKV7" s="5"/>
      <c r="OKW7" s="5"/>
      <c r="OKX7" s="5"/>
      <c r="OKY7" s="5"/>
      <c r="OKZ7" s="5"/>
      <c r="OLA7" s="5"/>
      <c r="OLB7" s="5"/>
      <c r="OLC7" s="5"/>
      <c r="OLD7" s="5"/>
      <c r="OLE7" s="5"/>
      <c r="OLF7" s="5"/>
      <c r="OLG7" s="5"/>
      <c r="OLH7" s="5"/>
      <c r="OLI7" s="5"/>
      <c r="OLJ7" s="5"/>
      <c r="OLK7" s="5"/>
      <c r="OLL7" s="5"/>
      <c r="OLM7" s="5"/>
      <c r="OLN7" s="5"/>
      <c r="OLO7" s="5"/>
      <c r="OLP7" s="5"/>
      <c r="OLQ7" s="5"/>
      <c r="OLR7" s="5"/>
      <c r="OLS7" s="5"/>
      <c r="OLT7" s="5"/>
      <c r="OLU7" s="5"/>
      <c r="OLV7" s="5"/>
      <c r="OLW7" s="5"/>
      <c r="OLX7" s="5"/>
      <c r="OLY7" s="5"/>
      <c r="OLZ7" s="5"/>
      <c r="OMA7" s="5"/>
      <c r="OMB7" s="5"/>
      <c r="OMC7" s="5"/>
      <c r="OMD7" s="5"/>
      <c r="OME7" s="5"/>
      <c r="OMF7" s="5"/>
      <c r="OMG7" s="5"/>
      <c r="OMH7" s="5"/>
      <c r="OMI7" s="5"/>
      <c r="OMJ7" s="5"/>
      <c r="OMK7" s="5"/>
      <c r="OML7" s="5"/>
      <c r="OMM7" s="5"/>
      <c r="OMN7" s="5"/>
      <c r="OMO7" s="5"/>
      <c r="OMP7" s="5"/>
      <c r="OMQ7" s="5"/>
      <c r="OMR7" s="5"/>
      <c r="OMS7" s="5"/>
      <c r="OMT7" s="5"/>
      <c r="OMU7" s="5"/>
      <c r="OMV7" s="5"/>
      <c r="OMW7" s="5"/>
      <c r="OMX7" s="5"/>
      <c r="OMY7" s="5"/>
      <c r="OMZ7" s="5"/>
      <c r="ONA7" s="5"/>
      <c r="ONB7" s="5"/>
      <c r="ONC7" s="5"/>
      <c r="OND7" s="5"/>
      <c r="ONE7" s="5"/>
      <c r="ONF7" s="5"/>
      <c r="ONG7" s="5"/>
      <c r="ONH7" s="5"/>
      <c r="ONI7" s="5"/>
      <c r="ONJ7" s="5"/>
      <c r="ONK7" s="5"/>
      <c r="ONL7" s="5"/>
      <c r="ONM7" s="5"/>
      <c r="ONN7" s="5"/>
      <c r="ONO7" s="5"/>
      <c r="ONP7" s="5"/>
      <c r="ONQ7" s="5"/>
      <c r="ONR7" s="5"/>
      <c r="ONS7" s="5"/>
      <c r="ONT7" s="5"/>
      <c r="ONU7" s="5"/>
      <c r="ONV7" s="5"/>
      <c r="ONW7" s="5"/>
      <c r="ONX7" s="5"/>
      <c r="ONY7" s="5"/>
      <c r="ONZ7" s="5"/>
      <c r="OOA7" s="5"/>
      <c r="OOB7" s="5"/>
      <c r="OOC7" s="5"/>
      <c r="OOD7" s="5"/>
      <c r="OOE7" s="5"/>
      <c r="OOF7" s="5"/>
      <c r="OOG7" s="5"/>
      <c r="OOH7" s="5"/>
      <c r="OOI7" s="5"/>
      <c r="OOJ7" s="5"/>
      <c r="OOK7" s="5"/>
      <c r="OOL7" s="5"/>
      <c r="OOM7" s="5"/>
      <c r="OON7" s="5"/>
      <c r="OOO7" s="5"/>
      <c r="OOP7" s="5"/>
      <c r="OOQ7" s="5"/>
      <c r="OOR7" s="5"/>
      <c r="OOS7" s="5"/>
      <c r="OOT7" s="5"/>
      <c r="OOU7" s="5"/>
      <c r="OOV7" s="5"/>
      <c r="OOW7" s="5"/>
      <c r="OOX7" s="5"/>
      <c r="OOY7" s="5"/>
      <c r="OOZ7" s="5"/>
      <c r="OPA7" s="5"/>
      <c r="OPB7" s="5"/>
      <c r="OPC7" s="5"/>
      <c r="OPD7" s="5"/>
      <c r="OPE7" s="5"/>
      <c r="OPF7" s="5"/>
      <c r="OPG7" s="5"/>
      <c r="OPH7" s="5"/>
      <c r="OPI7" s="5"/>
      <c r="OPJ7" s="5"/>
      <c r="OPK7" s="5"/>
      <c r="OPL7" s="5"/>
      <c r="OPM7" s="5"/>
      <c r="OPN7" s="5"/>
      <c r="OPO7" s="5"/>
      <c r="OPP7" s="5"/>
      <c r="OPQ7" s="5"/>
      <c r="OPR7" s="5"/>
      <c r="OPS7" s="5"/>
      <c r="OPT7" s="5"/>
      <c r="OPU7" s="5"/>
      <c r="OPV7" s="5"/>
      <c r="OPW7" s="5"/>
      <c r="OPX7" s="5"/>
      <c r="OPY7" s="5"/>
      <c r="OPZ7" s="5"/>
      <c r="OQA7" s="5"/>
      <c r="OQB7" s="5"/>
      <c r="OQC7" s="5"/>
      <c r="OQD7" s="5"/>
      <c r="OQE7" s="5"/>
      <c r="OQF7" s="5"/>
      <c r="OQG7" s="5"/>
      <c r="OQH7" s="5"/>
      <c r="OQI7" s="5"/>
      <c r="OQJ7" s="5"/>
      <c r="OQK7" s="5"/>
      <c r="OQL7" s="5"/>
      <c r="OQM7" s="5"/>
      <c r="OQN7" s="5"/>
      <c r="OQO7" s="5"/>
      <c r="OQP7" s="5"/>
      <c r="OQQ7" s="5"/>
      <c r="OQR7" s="5"/>
      <c r="OQS7" s="5"/>
      <c r="OQT7" s="5"/>
      <c r="OQU7" s="5"/>
      <c r="OQV7" s="5"/>
      <c r="OQW7" s="5"/>
      <c r="OQX7" s="5"/>
      <c r="OQY7" s="5"/>
      <c r="OQZ7" s="5"/>
      <c r="ORA7" s="5"/>
      <c r="ORB7" s="5"/>
      <c r="ORC7" s="5"/>
      <c r="ORD7" s="5"/>
      <c r="ORE7" s="5"/>
      <c r="ORF7" s="5"/>
      <c r="ORG7" s="5"/>
      <c r="ORH7" s="5"/>
      <c r="ORI7" s="5"/>
      <c r="ORJ7" s="5"/>
      <c r="ORK7" s="5"/>
      <c r="ORL7" s="5"/>
      <c r="ORM7" s="5"/>
      <c r="ORN7" s="5"/>
      <c r="ORO7" s="5"/>
      <c r="ORP7" s="5"/>
      <c r="ORQ7" s="5"/>
      <c r="ORR7" s="5"/>
      <c r="ORS7" s="5"/>
      <c r="ORT7" s="5"/>
      <c r="ORU7" s="5"/>
      <c r="ORV7" s="5"/>
      <c r="ORW7" s="5"/>
      <c r="ORX7" s="5"/>
      <c r="ORY7" s="5"/>
      <c r="ORZ7" s="5"/>
      <c r="OSA7" s="5"/>
      <c r="OSB7" s="5"/>
      <c r="OSC7" s="5"/>
      <c r="OSD7" s="5"/>
      <c r="OSE7" s="5"/>
      <c r="OSF7" s="5"/>
      <c r="OSG7" s="5"/>
      <c r="OSH7" s="5"/>
      <c r="OSI7" s="5"/>
      <c r="OSJ7" s="5"/>
      <c r="OSK7" s="5"/>
      <c r="OSL7" s="5"/>
      <c r="OSM7" s="5"/>
      <c r="OSN7" s="5"/>
      <c r="OSO7" s="5"/>
      <c r="OSP7" s="5"/>
      <c r="OSQ7" s="5"/>
      <c r="OSR7" s="5"/>
      <c r="OSS7" s="5"/>
      <c r="OST7" s="5"/>
      <c r="OSU7" s="5"/>
      <c r="OSV7" s="5"/>
      <c r="OSW7" s="5"/>
      <c r="OSX7" s="5"/>
      <c r="OSY7" s="5"/>
      <c r="OSZ7" s="5"/>
      <c r="OTA7" s="5"/>
      <c r="OTB7" s="5"/>
      <c r="OTC7" s="5"/>
      <c r="OTD7" s="5"/>
      <c r="OTE7" s="5"/>
      <c r="OTF7" s="5"/>
      <c r="OTG7" s="5"/>
      <c r="OTH7" s="5"/>
      <c r="OTI7" s="5"/>
      <c r="OTJ7" s="5"/>
      <c r="OTK7" s="5"/>
      <c r="OTL7" s="5"/>
      <c r="OTM7" s="5"/>
      <c r="OTN7" s="5"/>
      <c r="OTO7" s="5"/>
      <c r="OTP7" s="5"/>
      <c r="OTQ7" s="5"/>
      <c r="OTR7" s="5"/>
      <c r="OTS7" s="5"/>
      <c r="OTT7" s="5"/>
      <c r="OTU7" s="5"/>
      <c r="OTV7" s="5"/>
      <c r="OTW7" s="5"/>
      <c r="OTX7" s="5"/>
      <c r="OTY7" s="5"/>
      <c r="OTZ7" s="5"/>
      <c r="OUA7" s="5"/>
      <c r="OUB7" s="5"/>
      <c r="OUC7" s="5"/>
      <c r="OUD7" s="5"/>
      <c r="OUE7" s="5"/>
      <c r="OUF7" s="5"/>
      <c r="OUG7" s="5"/>
      <c r="OUH7" s="5"/>
      <c r="OUI7" s="5"/>
      <c r="OUJ7" s="5"/>
      <c r="OUK7" s="5"/>
      <c r="OUL7" s="5"/>
      <c r="OUM7" s="5"/>
      <c r="OUN7" s="5"/>
      <c r="OUO7" s="5"/>
      <c r="OUP7" s="5"/>
      <c r="OUQ7" s="5"/>
      <c r="OUR7" s="5"/>
      <c r="OUS7" s="5"/>
      <c r="OUT7" s="5"/>
      <c r="OUU7" s="5"/>
      <c r="OUV7" s="5"/>
      <c r="OUW7" s="5"/>
      <c r="OUX7" s="5"/>
      <c r="OUY7" s="5"/>
      <c r="OUZ7" s="5"/>
      <c r="OVA7" s="5"/>
      <c r="OVB7" s="5"/>
      <c r="OVC7" s="5"/>
      <c r="OVD7" s="5"/>
      <c r="OVE7" s="5"/>
      <c r="OVF7" s="5"/>
      <c r="OVG7" s="5"/>
      <c r="OVH7" s="5"/>
      <c r="OVI7" s="5"/>
      <c r="OVJ7" s="5"/>
      <c r="OVK7" s="5"/>
      <c r="OVL7" s="5"/>
      <c r="OVM7" s="5"/>
      <c r="OVN7" s="5"/>
      <c r="OVO7" s="5"/>
      <c r="OVP7" s="5"/>
      <c r="OVQ7" s="5"/>
      <c r="OVR7" s="5"/>
      <c r="OVS7" s="5"/>
      <c r="OVT7" s="5"/>
      <c r="OVU7" s="5"/>
      <c r="OVV7" s="5"/>
      <c r="OVW7" s="5"/>
      <c r="OVX7" s="5"/>
      <c r="OVY7" s="5"/>
      <c r="OVZ7" s="5"/>
      <c r="OWA7" s="5"/>
      <c r="OWB7" s="5"/>
      <c r="OWC7" s="5"/>
      <c r="OWD7" s="5"/>
      <c r="OWE7" s="5"/>
      <c r="OWF7" s="5"/>
      <c r="OWG7" s="5"/>
      <c r="OWH7" s="5"/>
      <c r="OWI7" s="5"/>
      <c r="OWJ7" s="5"/>
      <c r="OWK7" s="5"/>
      <c r="OWL7" s="5"/>
      <c r="OWM7" s="5"/>
      <c r="OWN7" s="5"/>
      <c r="OWO7" s="5"/>
      <c r="OWP7" s="5"/>
      <c r="OWQ7" s="5"/>
      <c r="OWR7" s="5"/>
      <c r="OWS7" s="5"/>
      <c r="OWT7" s="5"/>
      <c r="OWU7" s="5"/>
      <c r="OWV7" s="5"/>
      <c r="OWW7" s="5"/>
      <c r="OWX7" s="5"/>
      <c r="OWY7" s="5"/>
      <c r="OWZ7" s="5"/>
      <c r="OXA7" s="5"/>
      <c r="OXB7" s="5"/>
      <c r="OXC7" s="5"/>
      <c r="OXD7" s="5"/>
      <c r="OXE7" s="5"/>
      <c r="OXF7" s="5"/>
      <c r="OXG7" s="5"/>
      <c r="OXH7" s="5"/>
      <c r="OXI7" s="5"/>
      <c r="OXJ7" s="5"/>
      <c r="OXK7" s="5"/>
      <c r="OXL7" s="5"/>
      <c r="OXM7" s="5"/>
      <c r="OXN7" s="5"/>
      <c r="OXO7" s="5"/>
      <c r="OXP7" s="5"/>
      <c r="OXQ7" s="5"/>
      <c r="OXR7" s="5"/>
      <c r="OXS7" s="5"/>
      <c r="OXT7" s="5"/>
      <c r="OXU7" s="5"/>
      <c r="OXV7" s="5"/>
      <c r="OXW7" s="5"/>
      <c r="OXX7" s="5"/>
      <c r="OXY7" s="5"/>
      <c r="OXZ7" s="5"/>
      <c r="OYA7" s="5"/>
      <c r="OYB7" s="5"/>
      <c r="OYC7" s="5"/>
      <c r="OYD7" s="5"/>
      <c r="OYE7" s="5"/>
      <c r="OYF7" s="5"/>
      <c r="OYG7" s="5"/>
      <c r="OYH7" s="5"/>
      <c r="OYI7" s="5"/>
      <c r="OYJ7" s="5"/>
      <c r="OYK7" s="5"/>
      <c r="OYL7" s="5"/>
      <c r="OYM7" s="5"/>
      <c r="OYN7" s="5"/>
      <c r="OYO7" s="5"/>
      <c r="OYP7" s="5"/>
      <c r="OYQ7" s="5"/>
      <c r="OYR7" s="5"/>
      <c r="OYS7" s="5"/>
      <c r="OYT7" s="5"/>
      <c r="OYU7" s="5"/>
      <c r="OYV7" s="5"/>
      <c r="OYW7" s="5"/>
      <c r="OYX7" s="5"/>
      <c r="OYY7" s="5"/>
      <c r="OYZ7" s="5"/>
      <c r="OZA7" s="5"/>
      <c r="OZB7" s="5"/>
      <c r="OZC7" s="5"/>
      <c r="OZD7" s="5"/>
      <c r="OZE7" s="5"/>
      <c r="OZF7" s="5"/>
      <c r="OZG7" s="5"/>
      <c r="OZH7" s="5"/>
      <c r="OZI7" s="5"/>
      <c r="OZJ7" s="5"/>
      <c r="OZK7" s="5"/>
      <c r="OZL7" s="5"/>
      <c r="OZM7" s="5"/>
      <c r="OZN7" s="5"/>
      <c r="OZO7" s="5"/>
      <c r="OZP7" s="5"/>
      <c r="OZQ7" s="5"/>
      <c r="OZR7" s="5"/>
      <c r="OZS7" s="5"/>
      <c r="OZT7" s="5"/>
      <c r="OZU7" s="5"/>
      <c r="OZV7" s="5"/>
      <c r="OZW7" s="5"/>
      <c r="OZX7" s="5"/>
      <c r="OZY7" s="5"/>
      <c r="OZZ7" s="5"/>
      <c r="PAA7" s="5"/>
      <c r="PAB7" s="5"/>
      <c r="PAC7" s="5"/>
      <c r="PAD7" s="5"/>
      <c r="PAE7" s="5"/>
      <c r="PAF7" s="5"/>
      <c r="PAG7" s="5"/>
      <c r="PAH7" s="5"/>
      <c r="PAI7" s="5"/>
      <c r="PAJ7" s="5"/>
      <c r="PAK7" s="5"/>
      <c r="PAL7" s="5"/>
      <c r="PAM7" s="5"/>
      <c r="PAN7" s="5"/>
      <c r="PAO7" s="5"/>
      <c r="PAP7" s="5"/>
      <c r="PAQ7" s="5"/>
      <c r="PAR7" s="5"/>
      <c r="PAS7" s="5"/>
      <c r="PAT7" s="5"/>
      <c r="PAU7" s="5"/>
      <c r="PAV7" s="5"/>
      <c r="PAW7" s="5"/>
      <c r="PAX7" s="5"/>
      <c r="PAY7" s="5"/>
      <c r="PAZ7" s="5"/>
      <c r="PBA7" s="5"/>
      <c r="PBB7" s="5"/>
      <c r="PBC7" s="5"/>
      <c r="PBD7" s="5"/>
      <c r="PBE7" s="5"/>
      <c r="PBF7" s="5"/>
      <c r="PBG7" s="5"/>
      <c r="PBH7" s="5"/>
      <c r="PBI7" s="5"/>
      <c r="PBJ7" s="5"/>
      <c r="PBK7" s="5"/>
      <c r="PBL7" s="5"/>
      <c r="PBM7" s="5"/>
      <c r="PBN7" s="5"/>
      <c r="PBO7" s="5"/>
      <c r="PBP7" s="5"/>
      <c r="PBQ7" s="5"/>
      <c r="PBR7" s="5"/>
      <c r="PBS7" s="5"/>
      <c r="PBT7" s="5"/>
      <c r="PBU7" s="5"/>
      <c r="PBV7" s="5"/>
      <c r="PBW7" s="5"/>
      <c r="PBX7" s="5"/>
      <c r="PBY7" s="5"/>
      <c r="PBZ7" s="5"/>
      <c r="PCA7" s="5"/>
      <c r="PCB7" s="5"/>
      <c r="PCC7" s="5"/>
      <c r="PCD7" s="5"/>
      <c r="PCE7" s="5"/>
      <c r="PCF7" s="5"/>
      <c r="PCG7" s="5"/>
      <c r="PCH7" s="5"/>
      <c r="PCI7" s="5"/>
      <c r="PCJ7" s="5"/>
      <c r="PCK7" s="5"/>
      <c r="PCL7" s="5"/>
      <c r="PCM7" s="5"/>
      <c r="PCN7" s="5"/>
      <c r="PCO7" s="5"/>
      <c r="PCP7" s="5"/>
      <c r="PCQ7" s="5"/>
      <c r="PCR7" s="5"/>
      <c r="PCS7" s="5"/>
      <c r="PCT7" s="5"/>
      <c r="PCU7" s="5"/>
      <c r="PCV7" s="5"/>
      <c r="PCW7" s="5"/>
      <c r="PCX7" s="5"/>
      <c r="PCY7" s="5"/>
      <c r="PCZ7" s="5"/>
      <c r="PDA7" s="5"/>
      <c r="PDB7" s="5"/>
      <c r="PDC7" s="5"/>
      <c r="PDD7" s="5"/>
      <c r="PDE7" s="5"/>
      <c r="PDF7" s="5"/>
      <c r="PDG7" s="5"/>
      <c r="PDH7" s="5"/>
      <c r="PDI7" s="5"/>
      <c r="PDJ7" s="5"/>
      <c r="PDK7" s="5"/>
      <c r="PDL7" s="5"/>
      <c r="PDM7" s="5"/>
      <c r="PDN7" s="5"/>
      <c r="PDO7" s="5"/>
      <c r="PDP7" s="5"/>
      <c r="PDQ7" s="5"/>
      <c r="PDR7" s="5"/>
      <c r="PDS7" s="5"/>
      <c r="PDT7" s="5"/>
      <c r="PDU7" s="5"/>
      <c r="PDV7" s="5"/>
      <c r="PDW7" s="5"/>
      <c r="PDX7" s="5"/>
      <c r="PDY7" s="5"/>
      <c r="PDZ7" s="5"/>
      <c r="PEA7" s="5"/>
      <c r="PEB7" s="5"/>
      <c r="PEC7" s="5"/>
      <c r="PED7" s="5"/>
      <c r="PEE7" s="5"/>
      <c r="PEF7" s="5"/>
      <c r="PEG7" s="5"/>
      <c r="PEH7" s="5"/>
      <c r="PEI7" s="5"/>
      <c r="PEJ7" s="5"/>
      <c r="PEK7" s="5"/>
      <c r="PEL7" s="5"/>
      <c r="PEM7" s="5"/>
      <c r="PEN7" s="5"/>
      <c r="PEO7" s="5"/>
      <c r="PEP7" s="5"/>
      <c r="PEQ7" s="5"/>
      <c r="PER7" s="5"/>
      <c r="PES7" s="5"/>
      <c r="PET7" s="5"/>
      <c r="PEU7" s="5"/>
      <c r="PEV7" s="5"/>
      <c r="PEW7" s="5"/>
      <c r="PEX7" s="5"/>
      <c r="PEY7" s="5"/>
      <c r="PEZ7" s="5"/>
      <c r="PFA7" s="5"/>
      <c r="PFB7" s="5"/>
      <c r="PFC7" s="5"/>
      <c r="PFD7" s="5"/>
      <c r="PFE7" s="5"/>
      <c r="PFF7" s="5"/>
      <c r="PFG7" s="5"/>
      <c r="PFH7" s="5"/>
      <c r="PFI7" s="5"/>
      <c r="PFJ7" s="5"/>
      <c r="PFK7" s="5"/>
      <c r="PFL7" s="5"/>
      <c r="PFM7" s="5"/>
      <c r="PFN7" s="5"/>
      <c r="PFO7" s="5"/>
      <c r="PFP7" s="5"/>
      <c r="PFQ7" s="5"/>
      <c r="PFR7" s="5"/>
      <c r="PFS7" s="5"/>
      <c r="PFT7" s="5"/>
      <c r="PFU7" s="5"/>
      <c r="PFV7" s="5"/>
      <c r="PFW7" s="5"/>
      <c r="PFX7" s="5"/>
      <c r="PFY7" s="5"/>
      <c r="PFZ7" s="5"/>
      <c r="PGA7" s="5"/>
      <c r="PGB7" s="5"/>
      <c r="PGC7" s="5"/>
      <c r="PGD7" s="5"/>
      <c r="PGE7" s="5"/>
      <c r="PGF7" s="5"/>
      <c r="PGG7" s="5"/>
      <c r="PGH7" s="5"/>
      <c r="PGI7" s="5"/>
      <c r="PGJ7" s="5"/>
      <c r="PGK7" s="5"/>
      <c r="PGL7" s="5"/>
      <c r="PGM7" s="5"/>
      <c r="PGN7" s="5"/>
      <c r="PGO7" s="5"/>
      <c r="PGP7" s="5"/>
      <c r="PGQ7" s="5"/>
      <c r="PGR7" s="5"/>
      <c r="PGS7" s="5"/>
      <c r="PGT7" s="5"/>
      <c r="PGU7" s="5"/>
      <c r="PGV7" s="5"/>
      <c r="PGW7" s="5"/>
      <c r="PGX7" s="5"/>
      <c r="PGY7" s="5"/>
      <c r="PGZ7" s="5"/>
      <c r="PHA7" s="5"/>
      <c r="PHB7" s="5"/>
      <c r="PHC7" s="5"/>
      <c r="PHD7" s="5"/>
      <c r="PHE7" s="5"/>
      <c r="PHF7" s="5"/>
      <c r="PHG7" s="5"/>
      <c r="PHH7" s="5"/>
      <c r="PHI7" s="5"/>
      <c r="PHJ7" s="5"/>
      <c r="PHK7" s="5"/>
      <c r="PHL7" s="5"/>
      <c r="PHM7" s="5"/>
      <c r="PHN7" s="5"/>
      <c r="PHO7" s="5"/>
      <c r="PHP7" s="5"/>
      <c r="PHQ7" s="5"/>
      <c r="PHR7" s="5"/>
      <c r="PHS7" s="5"/>
      <c r="PHT7" s="5"/>
      <c r="PHU7" s="5"/>
      <c r="PHV7" s="5"/>
      <c r="PHW7" s="5"/>
      <c r="PHX7" s="5"/>
      <c r="PHY7" s="5"/>
      <c r="PHZ7" s="5"/>
      <c r="PIA7" s="5"/>
      <c r="PIB7" s="5"/>
      <c r="PIC7" s="5"/>
      <c r="PID7" s="5"/>
      <c r="PIE7" s="5"/>
      <c r="PIF7" s="5"/>
      <c r="PIG7" s="5"/>
      <c r="PIH7" s="5"/>
      <c r="PII7" s="5"/>
      <c r="PIJ7" s="5"/>
      <c r="PIK7" s="5"/>
      <c r="PIL7" s="5"/>
      <c r="PIM7" s="5"/>
      <c r="PIN7" s="5"/>
      <c r="PIO7" s="5"/>
      <c r="PIP7" s="5"/>
      <c r="PIQ7" s="5"/>
      <c r="PIR7" s="5"/>
      <c r="PIS7" s="5"/>
      <c r="PIT7" s="5"/>
      <c r="PIU7" s="5"/>
      <c r="PIV7" s="5"/>
      <c r="PIW7" s="5"/>
      <c r="PIX7" s="5"/>
      <c r="PIY7" s="5"/>
      <c r="PIZ7" s="5"/>
      <c r="PJA7" s="5"/>
      <c r="PJB7" s="5"/>
      <c r="PJC7" s="5"/>
      <c r="PJD7" s="5"/>
      <c r="PJE7" s="5"/>
      <c r="PJF7" s="5"/>
      <c r="PJG7" s="5"/>
      <c r="PJH7" s="5"/>
      <c r="PJI7" s="5"/>
      <c r="PJJ7" s="5"/>
      <c r="PJK7" s="5"/>
      <c r="PJL7" s="5"/>
      <c r="PJM7" s="5"/>
      <c r="PJN7" s="5"/>
      <c r="PJO7" s="5"/>
      <c r="PJP7" s="5"/>
      <c r="PJQ7" s="5"/>
      <c r="PJR7" s="5"/>
      <c r="PJS7" s="5"/>
      <c r="PJT7" s="5"/>
      <c r="PJU7" s="5"/>
      <c r="PJV7" s="5"/>
      <c r="PJW7" s="5"/>
      <c r="PJX7" s="5"/>
      <c r="PJY7" s="5"/>
      <c r="PJZ7" s="5"/>
      <c r="PKA7" s="5"/>
      <c r="PKB7" s="5"/>
      <c r="PKC7" s="5"/>
      <c r="PKD7" s="5"/>
      <c r="PKE7" s="5"/>
      <c r="PKF7" s="5"/>
      <c r="PKG7" s="5"/>
      <c r="PKH7" s="5"/>
      <c r="PKI7" s="5"/>
      <c r="PKJ7" s="5"/>
      <c r="PKK7" s="5"/>
      <c r="PKL7" s="5"/>
      <c r="PKM7" s="5"/>
      <c r="PKN7" s="5"/>
      <c r="PKO7" s="5"/>
      <c r="PKP7" s="5"/>
      <c r="PKQ7" s="5"/>
      <c r="PKR7" s="5"/>
      <c r="PKS7" s="5"/>
      <c r="PKT7" s="5"/>
      <c r="PKU7" s="5"/>
      <c r="PKV7" s="5"/>
      <c r="PKW7" s="5"/>
      <c r="PKX7" s="5"/>
      <c r="PKY7" s="5"/>
      <c r="PKZ7" s="5"/>
      <c r="PLA7" s="5"/>
      <c r="PLB7" s="5"/>
      <c r="PLC7" s="5"/>
      <c r="PLD7" s="5"/>
      <c r="PLE7" s="5"/>
      <c r="PLF7" s="5"/>
      <c r="PLG7" s="5"/>
      <c r="PLH7" s="5"/>
      <c r="PLI7" s="5"/>
      <c r="PLJ7" s="5"/>
      <c r="PLK7" s="5"/>
      <c r="PLL7" s="5"/>
      <c r="PLM7" s="5"/>
      <c r="PLN7" s="5"/>
      <c r="PLO7" s="5"/>
      <c r="PLP7" s="5"/>
      <c r="PLQ7" s="5"/>
      <c r="PLR7" s="5"/>
      <c r="PLS7" s="5"/>
      <c r="PLT7" s="5"/>
      <c r="PLU7" s="5"/>
      <c r="PLV7" s="5"/>
      <c r="PLW7" s="5"/>
      <c r="PLX7" s="5"/>
      <c r="PLY7" s="5"/>
      <c r="PLZ7" s="5"/>
      <c r="PMA7" s="5"/>
      <c r="PMB7" s="5"/>
      <c r="PMC7" s="5"/>
      <c r="PMD7" s="5"/>
      <c r="PME7" s="5"/>
      <c r="PMF7" s="5"/>
      <c r="PMG7" s="5"/>
      <c r="PMH7" s="5"/>
      <c r="PMI7" s="5"/>
      <c r="PMJ7" s="5"/>
      <c r="PMK7" s="5"/>
      <c r="PML7" s="5"/>
      <c r="PMM7" s="5"/>
      <c r="PMN7" s="5"/>
      <c r="PMO7" s="5"/>
      <c r="PMP7" s="5"/>
      <c r="PMQ7" s="5"/>
      <c r="PMR7" s="5"/>
      <c r="PMS7" s="5"/>
      <c r="PMT7" s="5"/>
      <c r="PMU7" s="5"/>
      <c r="PMV7" s="5"/>
      <c r="PMW7" s="5"/>
      <c r="PMX7" s="5"/>
      <c r="PMY7" s="5"/>
      <c r="PMZ7" s="5"/>
      <c r="PNA7" s="5"/>
      <c r="PNB7" s="5"/>
      <c r="PNC7" s="5"/>
      <c r="PND7" s="5"/>
      <c r="PNE7" s="5"/>
      <c r="PNF7" s="5"/>
      <c r="PNG7" s="5"/>
      <c r="PNH7" s="5"/>
      <c r="PNI7" s="5"/>
      <c r="PNJ7" s="5"/>
      <c r="PNK7" s="5"/>
      <c r="PNL7" s="5"/>
      <c r="PNM7" s="5"/>
      <c r="PNN7" s="5"/>
      <c r="PNO7" s="5"/>
      <c r="PNP7" s="5"/>
      <c r="PNQ7" s="5"/>
      <c r="PNR7" s="5"/>
      <c r="PNS7" s="5"/>
      <c r="PNT7" s="5"/>
      <c r="PNU7" s="5"/>
      <c r="PNV7" s="5"/>
      <c r="PNW7" s="5"/>
      <c r="PNX7" s="5"/>
      <c r="PNY7" s="5"/>
      <c r="PNZ7" s="5"/>
      <c r="POA7" s="5"/>
      <c r="POB7" s="5"/>
      <c r="POC7" s="5"/>
      <c r="POD7" s="5"/>
      <c r="POE7" s="5"/>
      <c r="POF7" s="5"/>
      <c r="POG7" s="5"/>
      <c r="POH7" s="5"/>
      <c r="POI7" s="5"/>
      <c r="POJ7" s="5"/>
      <c r="POK7" s="5"/>
      <c r="POL7" s="5"/>
      <c r="POM7" s="5"/>
      <c r="PON7" s="5"/>
      <c r="POO7" s="5"/>
      <c r="POP7" s="5"/>
      <c r="POQ7" s="5"/>
      <c r="POR7" s="5"/>
      <c r="POS7" s="5"/>
      <c r="POT7" s="5"/>
      <c r="POU7" s="5"/>
      <c r="POV7" s="5"/>
      <c r="POW7" s="5"/>
      <c r="POX7" s="5"/>
      <c r="POY7" s="5"/>
      <c r="POZ7" s="5"/>
      <c r="PPA7" s="5"/>
      <c r="PPB7" s="5"/>
      <c r="PPC7" s="5"/>
      <c r="PPD7" s="5"/>
      <c r="PPE7" s="5"/>
      <c r="PPF7" s="5"/>
      <c r="PPG7" s="5"/>
      <c r="PPH7" s="5"/>
      <c r="PPI7" s="5"/>
      <c r="PPJ7" s="5"/>
      <c r="PPK7" s="5"/>
      <c r="PPL7" s="5"/>
      <c r="PPM7" s="5"/>
      <c r="PPN7" s="5"/>
      <c r="PPO7" s="5"/>
      <c r="PPP7" s="5"/>
      <c r="PPQ7" s="5"/>
      <c r="PPR7" s="5"/>
      <c r="PPS7" s="5"/>
      <c r="PPT7" s="5"/>
      <c r="PPU7" s="5"/>
      <c r="PPV7" s="5"/>
      <c r="PPW7" s="5"/>
      <c r="PPX7" s="5"/>
      <c r="PPY7" s="5"/>
      <c r="PPZ7" s="5"/>
      <c r="PQA7" s="5"/>
      <c r="PQB7" s="5"/>
      <c r="PQC7" s="5"/>
      <c r="PQD7" s="5"/>
      <c r="PQE7" s="5"/>
      <c r="PQF7" s="5"/>
      <c r="PQG7" s="5"/>
      <c r="PQH7" s="5"/>
      <c r="PQI7" s="5"/>
      <c r="PQJ7" s="5"/>
      <c r="PQK7" s="5"/>
      <c r="PQL7" s="5"/>
      <c r="PQM7" s="5"/>
      <c r="PQN7" s="5"/>
      <c r="PQO7" s="5"/>
      <c r="PQP7" s="5"/>
      <c r="PQQ7" s="5"/>
      <c r="PQR7" s="5"/>
      <c r="PQS7" s="5"/>
      <c r="PQT7" s="5"/>
      <c r="PQU7" s="5"/>
      <c r="PQV7" s="5"/>
      <c r="PQW7" s="5"/>
      <c r="PQX7" s="5"/>
      <c r="PQY7" s="5"/>
      <c r="PQZ7" s="5"/>
      <c r="PRA7" s="5"/>
      <c r="PRB7" s="5"/>
      <c r="PRC7" s="5"/>
      <c r="PRD7" s="5"/>
      <c r="PRE7" s="5"/>
      <c r="PRF7" s="5"/>
      <c r="PRG7" s="5"/>
      <c r="PRH7" s="5"/>
      <c r="PRI7" s="5"/>
      <c r="PRJ7" s="5"/>
      <c r="PRK7" s="5"/>
      <c r="PRL7" s="5"/>
      <c r="PRM7" s="5"/>
      <c r="PRN7" s="5"/>
      <c r="PRO7" s="5"/>
      <c r="PRP7" s="5"/>
      <c r="PRQ7" s="5"/>
      <c r="PRR7" s="5"/>
      <c r="PRS7" s="5"/>
      <c r="PRT7" s="5"/>
      <c r="PRU7" s="5"/>
      <c r="PRV7" s="5"/>
      <c r="PRW7" s="5"/>
      <c r="PRX7" s="5"/>
      <c r="PRY7" s="5"/>
      <c r="PRZ7" s="5"/>
      <c r="PSA7" s="5"/>
      <c r="PSB7" s="5"/>
      <c r="PSC7" s="5"/>
      <c r="PSD7" s="5"/>
      <c r="PSE7" s="5"/>
      <c r="PSF7" s="5"/>
      <c r="PSG7" s="5"/>
      <c r="PSH7" s="5"/>
      <c r="PSI7" s="5"/>
      <c r="PSJ7" s="5"/>
      <c r="PSK7" s="5"/>
      <c r="PSL7" s="5"/>
      <c r="PSM7" s="5"/>
      <c r="PSN7" s="5"/>
      <c r="PSO7" s="5"/>
      <c r="PSP7" s="5"/>
      <c r="PSQ7" s="5"/>
      <c r="PSR7" s="5"/>
      <c r="PSS7" s="5"/>
      <c r="PST7" s="5"/>
      <c r="PSU7" s="5"/>
      <c r="PSV7" s="5"/>
      <c r="PSW7" s="5"/>
      <c r="PSX7" s="5"/>
      <c r="PSY7" s="5"/>
      <c r="PSZ7" s="5"/>
      <c r="PTA7" s="5"/>
      <c r="PTB7" s="5"/>
      <c r="PTC7" s="5"/>
      <c r="PTD7" s="5"/>
      <c r="PTE7" s="5"/>
      <c r="PTF7" s="5"/>
      <c r="PTG7" s="5"/>
      <c r="PTH7" s="5"/>
      <c r="PTI7" s="5"/>
      <c r="PTJ7" s="5"/>
      <c r="PTK7" s="5"/>
      <c r="PTL7" s="5"/>
      <c r="PTM7" s="5"/>
      <c r="PTN7" s="5"/>
      <c r="PTO7" s="5"/>
      <c r="PTP7" s="5"/>
      <c r="PTQ7" s="5"/>
      <c r="PTR7" s="5"/>
      <c r="PTS7" s="5"/>
      <c r="PTT7" s="5"/>
      <c r="PTU7" s="5"/>
      <c r="PTV7" s="5"/>
      <c r="PTW7" s="5"/>
      <c r="PTX7" s="5"/>
      <c r="PTY7" s="5"/>
      <c r="PTZ7" s="5"/>
      <c r="PUA7" s="5"/>
      <c r="PUB7" s="5"/>
      <c r="PUC7" s="5"/>
      <c r="PUD7" s="5"/>
      <c r="PUE7" s="5"/>
      <c r="PUF7" s="5"/>
      <c r="PUG7" s="5"/>
      <c r="PUH7" s="5"/>
      <c r="PUI7" s="5"/>
      <c r="PUJ7" s="5"/>
      <c r="PUK7" s="5"/>
      <c r="PUL7" s="5"/>
      <c r="PUM7" s="5"/>
      <c r="PUN7" s="5"/>
      <c r="PUO7" s="5"/>
      <c r="PUP7" s="5"/>
      <c r="PUQ7" s="5"/>
      <c r="PUR7" s="5"/>
      <c r="PUS7" s="5"/>
      <c r="PUT7" s="5"/>
      <c r="PUU7" s="5"/>
      <c r="PUV7" s="5"/>
      <c r="PUW7" s="5"/>
      <c r="PUX7" s="5"/>
      <c r="PUY7" s="5"/>
      <c r="PUZ7" s="5"/>
      <c r="PVA7" s="5"/>
      <c r="PVB7" s="5"/>
      <c r="PVC7" s="5"/>
      <c r="PVD7" s="5"/>
      <c r="PVE7" s="5"/>
      <c r="PVF7" s="5"/>
      <c r="PVG7" s="5"/>
      <c r="PVH7" s="5"/>
      <c r="PVI7" s="5"/>
      <c r="PVJ7" s="5"/>
      <c r="PVK7" s="5"/>
      <c r="PVL7" s="5"/>
      <c r="PVM7" s="5"/>
      <c r="PVN7" s="5"/>
      <c r="PVO7" s="5"/>
      <c r="PVP7" s="5"/>
      <c r="PVQ7" s="5"/>
      <c r="PVR7" s="5"/>
      <c r="PVS7" s="5"/>
      <c r="PVT7" s="5"/>
      <c r="PVU7" s="5"/>
      <c r="PVV7" s="5"/>
      <c r="PVW7" s="5"/>
      <c r="PVX7" s="5"/>
      <c r="PVY7" s="5"/>
      <c r="PVZ7" s="5"/>
      <c r="PWA7" s="5"/>
      <c r="PWB7" s="5"/>
      <c r="PWC7" s="5"/>
      <c r="PWD7" s="5"/>
      <c r="PWE7" s="5"/>
      <c r="PWF7" s="5"/>
      <c r="PWG7" s="5"/>
      <c r="PWH7" s="5"/>
      <c r="PWI7" s="5"/>
      <c r="PWJ7" s="5"/>
      <c r="PWK7" s="5"/>
      <c r="PWL7" s="5"/>
      <c r="PWM7" s="5"/>
      <c r="PWN7" s="5"/>
      <c r="PWO7" s="5"/>
      <c r="PWP7" s="5"/>
      <c r="PWQ7" s="5"/>
      <c r="PWR7" s="5"/>
      <c r="PWS7" s="5"/>
      <c r="PWT7" s="5"/>
      <c r="PWU7" s="5"/>
      <c r="PWV7" s="5"/>
      <c r="PWW7" s="5"/>
      <c r="PWX7" s="5"/>
      <c r="PWY7" s="5"/>
      <c r="PWZ7" s="5"/>
      <c r="PXA7" s="5"/>
      <c r="PXB7" s="5"/>
      <c r="PXC7" s="5"/>
      <c r="PXD7" s="5"/>
      <c r="PXE7" s="5"/>
      <c r="PXF7" s="5"/>
      <c r="PXG7" s="5"/>
      <c r="PXH7" s="5"/>
      <c r="PXI7" s="5"/>
      <c r="PXJ7" s="5"/>
      <c r="PXK7" s="5"/>
      <c r="PXL7" s="5"/>
      <c r="PXM7" s="5"/>
      <c r="PXN7" s="5"/>
      <c r="PXO7" s="5"/>
      <c r="PXP7" s="5"/>
      <c r="PXQ7" s="5"/>
      <c r="PXR7" s="5"/>
      <c r="PXS7" s="5"/>
      <c r="PXT7" s="5"/>
      <c r="PXU7" s="5"/>
      <c r="PXV7" s="5"/>
      <c r="PXW7" s="5"/>
      <c r="PXX7" s="5"/>
      <c r="PXY7" s="5"/>
      <c r="PXZ7" s="5"/>
      <c r="PYA7" s="5"/>
      <c r="PYB7" s="5"/>
      <c r="PYC7" s="5"/>
      <c r="PYD7" s="5"/>
      <c r="PYE7" s="5"/>
      <c r="PYF7" s="5"/>
      <c r="PYG7" s="5"/>
      <c r="PYH7" s="5"/>
      <c r="PYI7" s="5"/>
      <c r="PYJ7" s="5"/>
      <c r="PYK7" s="5"/>
      <c r="PYL7" s="5"/>
      <c r="PYM7" s="5"/>
      <c r="PYN7" s="5"/>
      <c r="PYO7" s="5"/>
      <c r="PYP7" s="5"/>
      <c r="PYQ7" s="5"/>
      <c r="PYR7" s="5"/>
      <c r="PYS7" s="5"/>
      <c r="PYT7" s="5"/>
      <c r="PYU7" s="5"/>
      <c r="PYV7" s="5"/>
      <c r="PYW7" s="5"/>
      <c r="PYX7" s="5"/>
      <c r="PYY7" s="5"/>
      <c r="PYZ7" s="5"/>
      <c r="PZA7" s="5"/>
      <c r="PZB7" s="5"/>
      <c r="PZC7" s="5"/>
      <c r="PZD7" s="5"/>
      <c r="PZE7" s="5"/>
      <c r="PZF7" s="5"/>
      <c r="PZG7" s="5"/>
      <c r="PZH7" s="5"/>
      <c r="PZI7" s="5"/>
      <c r="PZJ7" s="5"/>
      <c r="PZK7" s="5"/>
      <c r="PZL7" s="5"/>
      <c r="PZM7" s="5"/>
      <c r="PZN7" s="5"/>
      <c r="PZO7" s="5"/>
      <c r="PZP7" s="5"/>
      <c r="PZQ7" s="5"/>
      <c r="PZR7" s="5"/>
      <c r="PZS7" s="5"/>
      <c r="PZT7" s="5"/>
      <c r="PZU7" s="5"/>
      <c r="PZV7" s="5"/>
      <c r="PZW7" s="5"/>
      <c r="PZX7" s="5"/>
      <c r="PZY7" s="5"/>
      <c r="PZZ7" s="5"/>
      <c r="QAA7" s="5"/>
      <c r="QAB7" s="5"/>
      <c r="QAC7" s="5"/>
      <c r="QAD7" s="5"/>
      <c r="QAE7" s="5"/>
      <c r="QAF7" s="5"/>
      <c r="QAG7" s="5"/>
      <c r="QAH7" s="5"/>
      <c r="QAI7" s="5"/>
      <c r="QAJ7" s="5"/>
      <c r="QAK7" s="5"/>
      <c r="QAL7" s="5"/>
      <c r="QAM7" s="5"/>
      <c r="QAN7" s="5"/>
      <c r="QAO7" s="5"/>
      <c r="QAP7" s="5"/>
      <c r="QAQ7" s="5"/>
      <c r="QAR7" s="5"/>
      <c r="QAS7" s="5"/>
      <c r="QAT7" s="5"/>
      <c r="QAU7" s="5"/>
      <c r="QAV7" s="5"/>
      <c r="QAW7" s="5"/>
      <c r="QAX7" s="5"/>
      <c r="QAY7" s="5"/>
      <c r="QAZ7" s="5"/>
      <c r="QBA7" s="5"/>
      <c r="QBB7" s="5"/>
      <c r="QBC7" s="5"/>
      <c r="QBD7" s="5"/>
      <c r="QBE7" s="5"/>
      <c r="QBF7" s="5"/>
      <c r="QBG7" s="5"/>
      <c r="QBH7" s="5"/>
      <c r="QBI7" s="5"/>
      <c r="QBJ7" s="5"/>
      <c r="QBK7" s="5"/>
      <c r="QBL7" s="5"/>
      <c r="QBM7" s="5"/>
      <c r="QBN7" s="5"/>
      <c r="QBO7" s="5"/>
      <c r="QBP7" s="5"/>
      <c r="QBQ7" s="5"/>
      <c r="QBR7" s="5"/>
      <c r="QBS7" s="5"/>
      <c r="QBT7" s="5"/>
      <c r="QBU7" s="5"/>
      <c r="QBV7" s="5"/>
      <c r="QBW7" s="5"/>
      <c r="QBX7" s="5"/>
      <c r="QBY7" s="5"/>
      <c r="QBZ7" s="5"/>
      <c r="QCA7" s="5"/>
      <c r="QCB7" s="5"/>
      <c r="QCC7" s="5"/>
      <c r="QCD7" s="5"/>
      <c r="QCE7" s="5"/>
      <c r="QCF7" s="5"/>
      <c r="QCG7" s="5"/>
      <c r="QCH7" s="5"/>
      <c r="QCI7" s="5"/>
      <c r="QCJ7" s="5"/>
      <c r="QCK7" s="5"/>
      <c r="QCL7" s="5"/>
      <c r="QCM7" s="5"/>
      <c r="QCN7" s="5"/>
      <c r="QCO7" s="5"/>
      <c r="QCP7" s="5"/>
      <c r="QCQ7" s="5"/>
      <c r="QCR7" s="5"/>
      <c r="QCS7" s="5"/>
      <c r="QCT7" s="5"/>
      <c r="QCU7" s="5"/>
      <c r="QCV7" s="5"/>
      <c r="QCW7" s="5"/>
      <c r="QCX7" s="5"/>
      <c r="QCY7" s="5"/>
      <c r="QCZ7" s="5"/>
      <c r="QDA7" s="5"/>
      <c r="QDB7" s="5"/>
      <c r="QDC7" s="5"/>
      <c r="QDD7" s="5"/>
      <c r="QDE7" s="5"/>
      <c r="QDF7" s="5"/>
      <c r="QDG7" s="5"/>
      <c r="QDH7" s="5"/>
      <c r="QDI7" s="5"/>
      <c r="QDJ7" s="5"/>
      <c r="QDK7" s="5"/>
      <c r="QDL7" s="5"/>
      <c r="QDM7" s="5"/>
      <c r="QDN7" s="5"/>
      <c r="QDO7" s="5"/>
      <c r="QDP7" s="5"/>
      <c r="QDQ7" s="5"/>
      <c r="QDR7" s="5"/>
      <c r="QDS7" s="5"/>
      <c r="QDT7" s="5"/>
      <c r="QDU7" s="5"/>
      <c r="QDV7" s="5"/>
      <c r="QDW7" s="5"/>
      <c r="QDX7" s="5"/>
      <c r="QDY7" s="5"/>
      <c r="QDZ7" s="5"/>
      <c r="QEA7" s="5"/>
      <c r="QEB7" s="5"/>
      <c r="QEC7" s="5"/>
      <c r="QED7" s="5"/>
      <c r="QEE7" s="5"/>
      <c r="QEF7" s="5"/>
      <c r="QEG7" s="5"/>
      <c r="QEH7" s="5"/>
      <c r="QEI7" s="5"/>
      <c r="QEJ7" s="5"/>
      <c r="QEK7" s="5"/>
      <c r="QEL7" s="5"/>
      <c r="QEM7" s="5"/>
      <c r="QEN7" s="5"/>
      <c r="QEO7" s="5"/>
      <c r="QEP7" s="5"/>
      <c r="QEQ7" s="5"/>
      <c r="QER7" s="5"/>
      <c r="QES7" s="5"/>
      <c r="QET7" s="5"/>
      <c r="QEU7" s="5"/>
      <c r="QEV7" s="5"/>
      <c r="QEW7" s="5"/>
      <c r="QEX7" s="5"/>
      <c r="QEY7" s="5"/>
      <c r="QEZ7" s="5"/>
      <c r="QFA7" s="5"/>
      <c r="QFB7" s="5"/>
      <c r="QFC7" s="5"/>
      <c r="QFD7" s="5"/>
      <c r="QFE7" s="5"/>
      <c r="QFF7" s="5"/>
      <c r="QFG7" s="5"/>
      <c r="QFH7" s="5"/>
      <c r="QFI7" s="5"/>
      <c r="QFJ7" s="5"/>
      <c r="QFK7" s="5"/>
      <c r="QFL7" s="5"/>
      <c r="QFM7" s="5"/>
      <c r="QFN7" s="5"/>
      <c r="QFO7" s="5"/>
      <c r="QFP7" s="5"/>
      <c r="QFQ7" s="5"/>
      <c r="QFR7" s="5"/>
      <c r="QFS7" s="5"/>
      <c r="QFT7" s="5"/>
      <c r="QFU7" s="5"/>
      <c r="QFV7" s="5"/>
      <c r="QFW7" s="5"/>
      <c r="QFX7" s="5"/>
      <c r="QFY7" s="5"/>
      <c r="QFZ7" s="5"/>
      <c r="QGA7" s="5"/>
      <c r="QGB7" s="5"/>
      <c r="QGC7" s="5"/>
      <c r="QGD7" s="5"/>
      <c r="QGE7" s="5"/>
      <c r="QGF7" s="5"/>
      <c r="QGG7" s="5"/>
      <c r="QGH7" s="5"/>
      <c r="QGI7" s="5"/>
      <c r="QGJ7" s="5"/>
      <c r="QGK7" s="5"/>
      <c r="QGL7" s="5"/>
      <c r="QGM7" s="5"/>
      <c r="QGN7" s="5"/>
      <c r="QGO7" s="5"/>
      <c r="QGP7" s="5"/>
      <c r="QGQ7" s="5"/>
      <c r="QGR7" s="5"/>
      <c r="QGS7" s="5"/>
      <c r="QGT7" s="5"/>
      <c r="QGU7" s="5"/>
      <c r="QGV7" s="5"/>
      <c r="QGW7" s="5"/>
      <c r="QGX7" s="5"/>
      <c r="QGY7" s="5"/>
      <c r="QGZ7" s="5"/>
      <c r="QHA7" s="5"/>
      <c r="QHB7" s="5"/>
      <c r="QHC7" s="5"/>
      <c r="QHD7" s="5"/>
      <c r="QHE7" s="5"/>
      <c r="QHF7" s="5"/>
      <c r="QHG7" s="5"/>
      <c r="QHH7" s="5"/>
      <c r="QHI7" s="5"/>
      <c r="QHJ7" s="5"/>
      <c r="QHK7" s="5"/>
      <c r="QHL7" s="5"/>
      <c r="QHM7" s="5"/>
      <c r="QHN7" s="5"/>
      <c r="QHO7" s="5"/>
      <c r="QHP7" s="5"/>
      <c r="QHQ7" s="5"/>
      <c r="QHR7" s="5"/>
      <c r="QHS7" s="5"/>
      <c r="QHT7" s="5"/>
      <c r="QHU7" s="5"/>
      <c r="QHV7" s="5"/>
      <c r="QHW7" s="5"/>
      <c r="QHX7" s="5"/>
      <c r="QHY7" s="5"/>
      <c r="QHZ7" s="5"/>
      <c r="QIA7" s="5"/>
      <c r="QIB7" s="5"/>
      <c r="QIC7" s="5"/>
      <c r="QID7" s="5"/>
      <c r="QIE7" s="5"/>
      <c r="QIF7" s="5"/>
      <c r="QIG7" s="5"/>
      <c r="QIH7" s="5"/>
      <c r="QII7" s="5"/>
      <c r="QIJ7" s="5"/>
      <c r="QIK7" s="5"/>
      <c r="QIL7" s="5"/>
      <c r="QIM7" s="5"/>
      <c r="QIN7" s="5"/>
      <c r="QIO7" s="5"/>
      <c r="QIP7" s="5"/>
      <c r="QIQ7" s="5"/>
      <c r="QIR7" s="5"/>
      <c r="QIS7" s="5"/>
      <c r="QIT7" s="5"/>
      <c r="QIU7" s="5"/>
      <c r="QIV7" s="5"/>
      <c r="QIW7" s="5"/>
      <c r="QIX7" s="5"/>
      <c r="QIY7" s="5"/>
      <c r="QIZ7" s="5"/>
      <c r="QJA7" s="5"/>
      <c r="QJB7" s="5"/>
      <c r="QJC7" s="5"/>
      <c r="QJD7" s="5"/>
      <c r="QJE7" s="5"/>
      <c r="QJF7" s="5"/>
      <c r="QJG7" s="5"/>
      <c r="QJH7" s="5"/>
      <c r="QJI7" s="5"/>
      <c r="QJJ7" s="5"/>
      <c r="QJK7" s="5"/>
      <c r="QJL7" s="5"/>
      <c r="QJM7" s="5"/>
      <c r="QJN7" s="5"/>
      <c r="QJO7" s="5"/>
      <c r="QJP7" s="5"/>
      <c r="QJQ7" s="5"/>
      <c r="QJR7" s="5"/>
      <c r="QJS7" s="5"/>
      <c r="QJT7" s="5"/>
      <c r="QJU7" s="5"/>
      <c r="QJV7" s="5"/>
      <c r="QJW7" s="5"/>
      <c r="QJX7" s="5"/>
      <c r="QJY7" s="5"/>
      <c r="QJZ7" s="5"/>
      <c r="QKA7" s="5"/>
      <c r="QKB7" s="5"/>
      <c r="QKC7" s="5"/>
      <c r="QKD7" s="5"/>
      <c r="QKE7" s="5"/>
      <c r="QKF7" s="5"/>
      <c r="QKG7" s="5"/>
      <c r="QKH7" s="5"/>
      <c r="QKI7" s="5"/>
      <c r="QKJ7" s="5"/>
      <c r="QKK7" s="5"/>
      <c r="QKL7" s="5"/>
      <c r="QKM7" s="5"/>
      <c r="QKN7" s="5"/>
      <c r="QKO7" s="5"/>
      <c r="QKP7" s="5"/>
      <c r="QKQ7" s="5"/>
      <c r="QKR7" s="5"/>
      <c r="QKS7" s="5"/>
      <c r="QKT7" s="5"/>
      <c r="QKU7" s="5"/>
      <c r="QKV7" s="5"/>
      <c r="QKW7" s="5"/>
      <c r="QKX7" s="5"/>
      <c r="QKY7" s="5"/>
      <c r="QKZ7" s="5"/>
      <c r="QLA7" s="5"/>
      <c r="QLB7" s="5"/>
      <c r="QLC7" s="5"/>
      <c r="QLD7" s="5"/>
      <c r="QLE7" s="5"/>
      <c r="QLF7" s="5"/>
      <c r="QLG7" s="5"/>
      <c r="QLH7" s="5"/>
      <c r="QLI7" s="5"/>
      <c r="QLJ7" s="5"/>
      <c r="QLK7" s="5"/>
      <c r="QLL7" s="5"/>
      <c r="QLM7" s="5"/>
      <c r="QLN7" s="5"/>
      <c r="QLO7" s="5"/>
      <c r="QLP7" s="5"/>
      <c r="QLQ7" s="5"/>
      <c r="QLR7" s="5"/>
      <c r="QLS7" s="5"/>
      <c r="QLT7" s="5"/>
      <c r="QLU7" s="5"/>
      <c r="QLV7" s="5"/>
      <c r="QLW7" s="5"/>
      <c r="QLX7" s="5"/>
      <c r="QLY7" s="5"/>
      <c r="QLZ7" s="5"/>
      <c r="QMA7" s="5"/>
      <c r="QMB7" s="5"/>
      <c r="QMC7" s="5"/>
      <c r="QMD7" s="5"/>
      <c r="QME7" s="5"/>
      <c r="QMF7" s="5"/>
      <c r="QMG7" s="5"/>
      <c r="QMH7" s="5"/>
      <c r="QMI7" s="5"/>
      <c r="QMJ7" s="5"/>
      <c r="QMK7" s="5"/>
      <c r="QML7" s="5"/>
      <c r="QMM7" s="5"/>
      <c r="QMN7" s="5"/>
      <c r="QMO7" s="5"/>
      <c r="QMP7" s="5"/>
      <c r="QMQ7" s="5"/>
      <c r="QMR7" s="5"/>
      <c r="QMS7" s="5"/>
      <c r="QMT7" s="5"/>
      <c r="QMU7" s="5"/>
      <c r="QMV7" s="5"/>
      <c r="QMW7" s="5"/>
      <c r="QMX7" s="5"/>
      <c r="QMY7" s="5"/>
      <c r="QMZ7" s="5"/>
      <c r="QNA7" s="5"/>
      <c r="QNB7" s="5"/>
      <c r="QNC7" s="5"/>
      <c r="QND7" s="5"/>
      <c r="QNE7" s="5"/>
      <c r="QNF7" s="5"/>
      <c r="QNG7" s="5"/>
      <c r="QNH7" s="5"/>
      <c r="QNI7" s="5"/>
      <c r="QNJ7" s="5"/>
      <c r="QNK7" s="5"/>
      <c r="QNL7" s="5"/>
      <c r="QNM7" s="5"/>
      <c r="QNN7" s="5"/>
      <c r="QNO7" s="5"/>
      <c r="QNP7" s="5"/>
      <c r="QNQ7" s="5"/>
      <c r="QNR7" s="5"/>
      <c r="QNS7" s="5"/>
      <c r="QNT7" s="5"/>
      <c r="QNU7" s="5"/>
      <c r="QNV7" s="5"/>
      <c r="QNW7" s="5"/>
      <c r="QNX7" s="5"/>
      <c r="QNY7" s="5"/>
      <c r="QNZ7" s="5"/>
      <c r="QOA7" s="5"/>
      <c r="QOB7" s="5"/>
      <c r="QOC7" s="5"/>
      <c r="QOD7" s="5"/>
      <c r="QOE7" s="5"/>
      <c r="QOF7" s="5"/>
      <c r="QOG7" s="5"/>
      <c r="QOH7" s="5"/>
      <c r="QOI7" s="5"/>
      <c r="QOJ7" s="5"/>
      <c r="QOK7" s="5"/>
      <c r="QOL7" s="5"/>
      <c r="QOM7" s="5"/>
      <c r="QON7" s="5"/>
      <c r="QOO7" s="5"/>
      <c r="QOP7" s="5"/>
      <c r="QOQ7" s="5"/>
      <c r="QOR7" s="5"/>
      <c r="QOS7" s="5"/>
      <c r="QOT7" s="5"/>
      <c r="QOU7" s="5"/>
      <c r="QOV7" s="5"/>
      <c r="QOW7" s="5"/>
      <c r="QOX7" s="5"/>
      <c r="QOY7" s="5"/>
      <c r="QOZ7" s="5"/>
      <c r="QPA7" s="5"/>
      <c r="QPB7" s="5"/>
      <c r="QPC7" s="5"/>
      <c r="QPD7" s="5"/>
      <c r="QPE7" s="5"/>
      <c r="QPF7" s="5"/>
      <c r="QPG7" s="5"/>
      <c r="QPH7" s="5"/>
      <c r="QPI7" s="5"/>
      <c r="QPJ7" s="5"/>
      <c r="QPK7" s="5"/>
      <c r="QPL7" s="5"/>
      <c r="QPM7" s="5"/>
      <c r="QPN7" s="5"/>
      <c r="QPO7" s="5"/>
      <c r="QPP7" s="5"/>
      <c r="QPQ7" s="5"/>
      <c r="QPR7" s="5"/>
      <c r="QPS7" s="5"/>
      <c r="QPT7" s="5"/>
      <c r="QPU7" s="5"/>
      <c r="QPV7" s="5"/>
      <c r="QPW7" s="5"/>
      <c r="QPX7" s="5"/>
      <c r="QPY7" s="5"/>
      <c r="QPZ7" s="5"/>
      <c r="QQA7" s="5"/>
      <c r="QQB7" s="5"/>
      <c r="QQC7" s="5"/>
      <c r="QQD7" s="5"/>
      <c r="QQE7" s="5"/>
      <c r="QQF7" s="5"/>
      <c r="QQG7" s="5"/>
      <c r="QQH7" s="5"/>
      <c r="QQI7" s="5"/>
      <c r="QQJ7" s="5"/>
      <c r="QQK7" s="5"/>
      <c r="QQL7" s="5"/>
      <c r="QQM7" s="5"/>
      <c r="QQN7" s="5"/>
      <c r="QQO7" s="5"/>
      <c r="QQP7" s="5"/>
      <c r="QQQ7" s="5"/>
      <c r="QQR7" s="5"/>
      <c r="QQS7" s="5"/>
      <c r="QQT7" s="5"/>
      <c r="QQU7" s="5"/>
      <c r="QQV7" s="5"/>
      <c r="QQW7" s="5"/>
      <c r="QQX7" s="5"/>
      <c r="QQY7" s="5"/>
      <c r="QQZ7" s="5"/>
      <c r="QRA7" s="5"/>
      <c r="QRB7" s="5"/>
      <c r="QRC7" s="5"/>
      <c r="QRD7" s="5"/>
      <c r="QRE7" s="5"/>
      <c r="QRF7" s="5"/>
      <c r="QRG7" s="5"/>
      <c r="QRH7" s="5"/>
      <c r="QRI7" s="5"/>
      <c r="QRJ7" s="5"/>
      <c r="QRK7" s="5"/>
      <c r="QRL7" s="5"/>
      <c r="QRM7" s="5"/>
      <c r="QRN7" s="5"/>
      <c r="QRO7" s="5"/>
      <c r="QRP7" s="5"/>
      <c r="QRQ7" s="5"/>
      <c r="QRR7" s="5"/>
      <c r="QRS7" s="5"/>
      <c r="QRT7" s="5"/>
      <c r="QRU7" s="5"/>
      <c r="QRV7" s="5"/>
      <c r="QRW7" s="5"/>
      <c r="QRX7" s="5"/>
      <c r="QRY7" s="5"/>
      <c r="QRZ7" s="5"/>
      <c r="QSA7" s="5"/>
      <c r="QSB7" s="5"/>
      <c r="QSC7" s="5"/>
      <c r="QSD7" s="5"/>
      <c r="QSE7" s="5"/>
      <c r="QSF7" s="5"/>
      <c r="QSG7" s="5"/>
      <c r="QSH7" s="5"/>
      <c r="QSI7" s="5"/>
      <c r="QSJ7" s="5"/>
      <c r="QSK7" s="5"/>
      <c r="QSL7" s="5"/>
      <c r="QSM7" s="5"/>
      <c r="QSN7" s="5"/>
      <c r="QSO7" s="5"/>
      <c r="QSP7" s="5"/>
      <c r="QSQ7" s="5"/>
      <c r="QSR7" s="5"/>
      <c r="QSS7" s="5"/>
      <c r="QST7" s="5"/>
      <c r="QSU7" s="5"/>
      <c r="QSV7" s="5"/>
      <c r="QSW7" s="5"/>
      <c r="QSX7" s="5"/>
      <c r="QSY7" s="5"/>
      <c r="QSZ7" s="5"/>
      <c r="QTA7" s="5"/>
      <c r="QTB7" s="5"/>
      <c r="QTC7" s="5"/>
      <c r="QTD7" s="5"/>
      <c r="QTE7" s="5"/>
      <c r="QTF7" s="5"/>
      <c r="QTG7" s="5"/>
      <c r="QTH7" s="5"/>
      <c r="QTI7" s="5"/>
      <c r="QTJ7" s="5"/>
      <c r="QTK7" s="5"/>
      <c r="QTL7" s="5"/>
      <c r="QTM7" s="5"/>
      <c r="QTN7" s="5"/>
      <c r="QTO7" s="5"/>
      <c r="QTP7" s="5"/>
      <c r="QTQ7" s="5"/>
      <c r="QTR7" s="5"/>
      <c r="QTS7" s="5"/>
      <c r="QTT7" s="5"/>
      <c r="QTU7" s="5"/>
      <c r="QTV7" s="5"/>
      <c r="QTW7" s="5"/>
      <c r="QTX7" s="5"/>
      <c r="QTY7" s="5"/>
      <c r="QTZ7" s="5"/>
      <c r="QUA7" s="5"/>
      <c r="QUB7" s="5"/>
      <c r="QUC7" s="5"/>
      <c r="QUD7" s="5"/>
      <c r="QUE7" s="5"/>
      <c r="QUF7" s="5"/>
      <c r="QUG7" s="5"/>
      <c r="QUH7" s="5"/>
      <c r="QUI7" s="5"/>
      <c r="QUJ7" s="5"/>
      <c r="QUK7" s="5"/>
      <c r="QUL7" s="5"/>
      <c r="QUM7" s="5"/>
      <c r="QUN7" s="5"/>
      <c r="QUO7" s="5"/>
      <c r="QUP7" s="5"/>
      <c r="QUQ7" s="5"/>
      <c r="QUR7" s="5"/>
      <c r="QUS7" s="5"/>
      <c r="QUT7" s="5"/>
      <c r="QUU7" s="5"/>
      <c r="QUV7" s="5"/>
      <c r="QUW7" s="5"/>
      <c r="QUX7" s="5"/>
      <c r="QUY7" s="5"/>
      <c r="QUZ7" s="5"/>
      <c r="QVA7" s="5"/>
      <c r="QVB7" s="5"/>
      <c r="QVC7" s="5"/>
      <c r="QVD7" s="5"/>
      <c r="QVE7" s="5"/>
      <c r="QVF7" s="5"/>
      <c r="QVG7" s="5"/>
      <c r="QVH7" s="5"/>
      <c r="QVI7" s="5"/>
      <c r="QVJ7" s="5"/>
      <c r="QVK7" s="5"/>
      <c r="QVL7" s="5"/>
      <c r="QVM7" s="5"/>
      <c r="QVN7" s="5"/>
      <c r="QVO7" s="5"/>
      <c r="QVP7" s="5"/>
      <c r="QVQ7" s="5"/>
      <c r="QVR7" s="5"/>
      <c r="QVS7" s="5"/>
      <c r="QVT7" s="5"/>
      <c r="QVU7" s="5"/>
      <c r="QVV7" s="5"/>
      <c r="QVW7" s="5"/>
      <c r="QVX7" s="5"/>
      <c r="QVY7" s="5"/>
      <c r="QVZ7" s="5"/>
      <c r="QWA7" s="5"/>
      <c r="QWB7" s="5"/>
      <c r="QWC7" s="5"/>
      <c r="QWD7" s="5"/>
      <c r="QWE7" s="5"/>
      <c r="QWF7" s="5"/>
      <c r="QWG7" s="5"/>
      <c r="QWH7" s="5"/>
      <c r="QWI7" s="5"/>
      <c r="QWJ7" s="5"/>
      <c r="QWK7" s="5"/>
      <c r="QWL7" s="5"/>
      <c r="QWM7" s="5"/>
      <c r="QWN7" s="5"/>
      <c r="QWO7" s="5"/>
      <c r="QWP7" s="5"/>
      <c r="QWQ7" s="5"/>
      <c r="QWR7" s="5"/>
      <c r="QWS7" s="5"/>
      <c r="QWT7" s="5"/>
      <c r="QWU7" s="5"/>
      <c r="QWV7" s="5"/>
      <c r="QWW7" s="5"/>
      <c r="QWX7" s="5"/>
      <c r="QWY7" s="5"/>
      <c r="QWZ7" s="5"/>
      <c r="QXA7" s="5"/>
      <c r="QXB7" s="5"/>
      <c r="QXC7" s="5"/>
      <c r="QXD7" s="5"/>
      <c r="QXE7" s="5"/>
      <c r="QXF7" s="5"/>
      <c r="QXG7" s="5"/>
      <c r="QXH7" s="5"/>
      <c r="QXI7" s="5"/>
      <c r="QXJ7" s="5"/>
      <c r="QXK7" s="5"/>
      <c r="QXL7" s="5"/>
      <c r="QXM7" s="5"/>
      <c r="QXN7" s="5"/>
      <c r="QXO7" s="5"/>
      <c r="QXP7" s="5"/>
      <c r="QXQ7" s="5"/>
      <c r="QXR7" s="5"/>
      <c r="QXS7" s="5"/>
      <c r="QXT7" s="5"/>
      <c r="QXU7" s="5"/>
      <c r="QXV7" s="5"/>
      <c r="QXW7" s="5"/>
      <c r="QXX7" s="5"/>
      <c r="QXY7" s="5"/>
      <c r="QXZ7" s="5"/>
      <c r="QYA7" s="5"/>
      <c r="QYB7" s="5"/>
      <c r="QYC7" s="5"/>
      <c r="QYD7" s="5"/>
      <c r="QYE7" s="5"/>
      <c r="QYF7" s="5"/>
      <c r="QYG7" s="5"/>
      <c r="QYH7" s="5"/>
      <c r="QYI7" s="5"/>
      <c r="QYJ7" s="5"/>
      <c r="QYK7" s="5"/>
      <c r="QYL7" s="5"/>
      <c r="QYM7" s="5"/>
      <c r="QYN7" s="5"/>
      <c r="QYO7" s="5"/>
      <c r="QYP7" s="5"/>
      <c r="QYQ7" s="5"/>
      <c r="QYR7" s="5"/>
      <c r="QYS7" s="5"/>
      <c r="QYT7" s="5"/>
      <c r="QYU7" s="5"/>
      <c r="QYV7" s="5"/>
      <c r="QYW7" s="5"/>
      <c r="QYX7" s="5"/>
      <c r="QYY7" s="5"/>
      <c r="QYZ7" s="5"/>
      <c r="QZA7" s="5"/>
      <c r="QZB7" s="5"/>
      <c r="QZC7" s="5"/>
      <c r="QZD7" s="5"/>
      <c r="QZE7" s="5"/>
      <c r="QZF7" s="5"/>
      <c r="QZG7" s="5"/>
      <c r="QZH7" s="5"/>
      <c r="QZI7" s="5"/>
      <c r="QZJ7" s="5"/>
      <c r="QZK7" s="5"/>
      <c r="QZL7" s="5"/>
      <c r="QZM7" s="5"/>
      <c r="QZN7" s="5"/>
      <c r="QZO7" s="5"/>
      <c r="QZP7" s="5"/>
      <c r="QZQ7" s="5"/>
      <c r="QZR7" s="5"/>
      <c r="QZS7" s="5"/>
      <c r="QZT7" s="5"/>
      <c r="QZU7" s="5"/>
      <c r="QZV7" s="5"/>
      <c r="QZW7" s="5"/>
      <c r="QZX7" s="5"/>
      <c r="QZY7" s="5"/>
      <c r="QZZ7" s="5"/>
      <c r="RAA7" s="5"/>
      <c r="RAB7" s="5"/>
      <c r="RAC7" s="5"/>
      <c r="RAD7" s="5"/>
      <c r="RAE7" s="5"/>
      <c r="RAF7" s="5"/>
      <c r="RAG7" s="5"/>
      <c r="RAH7" s="5"/>
      <c r="RAI7" s="5"/>
      <c r="RAJ7" s="5"/>
      <c r="RAK7" s="5"/>
      <c r="RAL7" s="5"/>
      <c r="RAM7" s="5"/>
      <c r="RAN7" s="5"/>
      <c r="RAO7" s="5"/>
      <c r="RAP7" s="5"/>
      <c r="RAQ7" s="5"/>
      <c r="RAR7" s="5"/>
      <c r="RAS7" s="5"/>
      <c r="RAT7" s="5"/>
      <c r="RAU7" s="5"/>
      <c r="RAV7" s="5"/>
      <c r="RAW7" s="5"/>
      <c r="RAX7" s="5"/>
      <c r="RAY7" s="5"/>
      <c r="RAZ7" s="5"/>
      <c r="RBA7" s="5"/>
      <c r="RBB7" s="5"/>
      <c r="RBC7" s="5"/>
      <c r="RBD7" s="5"/>
      <c r="RBE7" s="5"/>
      <c r="RBF7" s="5"/>
      <c r="RBG7" s="5"/>
      <c r="RBH7" s="5"/>
      <c r="RBI7" s="5"/>
      <c r="RBJ7" s="5"/>
      <c r="RBK7" s="5"/>
      <c r="RBL7" s="5"/>
      <c r="RBM7" s="5"/>
      <c r="RBN7" s="5"/>
      <c r="RBO7" s="5"/>
      <c r="RBP7" s="5"/>
      <c r="RBQ7" s="5"/>
      <c r="RBR7" s="5"/>
      <c r="RBS7" s="5"/>
      <c r="RBT7" s="5"/>
      <c r="RBU7" s="5"/>
      <c r="RBV7" s="5"/>
      <c r="RBW7" s="5"/>
      <c r="RBX7" s="5"/>
      <c r="RBY7" s="5"/>
      <c r="RBZ7" s="5"/>
      <c r="RCA7" s="5"/>
      <c r="RCB7" s="5"/>
      <c r="RCC7" s="5"/>
      <c r="RCD7" s="5"/>
      <c r="RCE7" s="5"/>
      <c r="RCF7" s="5"/>
      <c r="RCG7" s="5"/>
      <c r="RCH7" s="5"/>
      <c r="RCI7" s="5"/>
      <c r="RCJ7" s="5"/>
      <c r="RCK7" s="5"/>
      <c r="RCL7" s="5"/>
      <c r="RCM7" s="5"/>
      <c r="RCN7" s="5"/>
      <c r="RCO7" s="5"/>
      <c r="RCP7" s="5"/>
      <c r="RCQ7" s="5"/>
      <c r="RCR7" s="5"/>
      <c r="RCS7" s="5"/>
      <c r="RCT7" s="5"/>
      <c r="RCU7" s="5"/>
      <c r="RCV7" s="5"/>
      <c r="RCW7" s="5"/>
      <c r="RCX7" s="5"/>
      <c r="RCY7" s="5"/>
      <c r="RCZ7" s="5"/>
      <c r="RDA7" s="5"/>
      <c r="RDB7" s="5"/>
      <c r="RDC7" s="5"/>
      <c r="RDD7" s="5"/>
      <c r="RDE7" s="5"/>
      <c r="RDF7" s="5"/>
      <c r="RDG7" s="5"/>
      <c r="RDH7" s="5"/>
      <c r="RDI7" s="5"/>
      <c r="RDJ7" s="5"/>
      <c r="RDK7" s="5"/>
      <c r="RDL7" s="5"/>
      <c r="RDM7" s="5"/>
      <c r="RDN7" s="5"/>
      <c r="RDO7" s="5"/>
      <c r="RDP7" s="5"/>
      <c r="RDQ7" s="5"/>
      <c r="RDR7" s="5"/>
      <c r="RDS7" s="5"/>
      <c r="RDT7" s="5"/>
      <c r="RDU7" s="5"/>
      <c r="RDV7" s="5"/>
      <c r="RDW7" s="5"/>
      <c r="RDX7" s="5"/>
      <c r="RDY7" s="5"/>
      <c r="RDZ7" s="5"/>
      <c r="REA7" s="5"/>
      <c r="REB7" s="5"/>
      <c r="REC7" s="5"/>
      <c r="RED7" s="5"/>
      <c r="REE7" s="5"/>
      <c r="REF7" s="5"/>
      <c r="REG7" s="5"/>
      <c r="REH7" s="5"/>
      <c r="REI7" s="5"/>
      <c r="REJ7" s="5"/>
      <c r="REK7" s="5"/>
      <c r="REL7" s="5"/>
      <c r="REM7" s="5"/>
      <c r="REN7" s="5"/>
      <c r="REO7" s="5"/>
      <c r="REP7" s="5"/>
      <c r="REQ7" s="5"/>
      <c r="RER7" s="5"/>
      <c r="RES7" s="5"/>
      <c r="RET7" s="5"/>
      <c r="REU7" s="5"/>
      <c r="REV7" s="5"/>
      <c r="REW7" s="5"/>
      <c r="REX7" s="5"/>
      <c r="REY7" s="5"/>
      <c r="REZ7" s="5"/>
      <c r="RFA7" s="5"/>
      <c r="RFB7" s="5"/>
      <c r="RFC7" s="5"/>
      <c r="RFD7" s="5"/>
      <c r="RFE7" s="5"/>
      <c r="RFF7" s="5"/>
      <c r="RFG7" s="5"/>
      <c r="RFH7" s="5"/>
      <c r="RFI7" s="5"/>
      <c r="RFJ7" s="5"/>
      <c r="RFK7" s="5"/>
      <c r="RFL7" s="5"/>
      <c r="RFM7" s="5"/>
      <c r="RFN7" s="5"/>
      <c r="RFO7" s="5"/>
      <c r="RFP7" s="5"/>
      <c r="RFQ7" s="5"/>
      <c r="RFR7" s="5"/>
      <c r="RFS7" s="5"/>
      <c r="RFT7" s="5"/>
      <c r="RFU7" s="5"/>
      <c r="RFV7" s="5"/>
      <c r="RFW7" s="5"/>
      <c r="RFX7" s="5"/>
      <c r="RFY7" s="5"/>
      <c r="RFZ7" s="5"/>
      <c r="RGA7" s="5"/>
      <c r="RGB7" s="5"/>
      <c r="RGC7" s="5"/>
      <c r="RGD7" s="5"/>
      <c r="RGE7" s="5"/>
      <c r="RGF7" s="5"/>
      <c r="RGG7" s="5"/>
      <c r="RGH7" s="5"/>
      <c r="RGI7" s="5"/>
      <c r="RGJ7" s="5"/>
      <c r="RGK7" s="5"/>
      <c r="RGL7" s="5"/>
      <c r="RGM7" s="5"/>
      <c r="RGN7" s="5"/>
      <c r="RGO7" s="5"/>
      <c r="RGP7" s="5"/>
      <c r="RGQ7" s="5"/>
      <c r="RGR7" s="5"/>
      <c r="RGS7" s="5"/>
      <c r="RGT7" s="5"/>
      <c r="RGU7" s="5"/>
      <c r="RGV7" s="5"/>
      <c r="RGW7" s="5"/>
      <c r="RGX7" s="5"/>
      <c r="RGY7" s="5"/>
      <c r="RGZ7" s="5"/>
      <c r="RHA7" s="5"/>
      <c r="RHB7" s="5"/>
      <c r="RHC7" s="5"/>
      <c r="RHD7" s="5"/>
      <c r="RHE7" s="5"/>
      <c r="RHF7" s="5"/>
      <c r="RHG7" s="5"/>
      <c r="RHH7" s="5"/>
      <c r="RHI7" s="5"/>
      <c r="RHJ7" s="5"/>
      <c r="RHK7" s="5"/>
      <c r="RHL7" s="5"/>
      <c r="RHM7" s="5"/>
      <c r="RHN7" s="5"/>
      <c r="RHO7" s="5"/>
      <c r="RHP7" s="5"/>
      <c r="RHQ7" s="5"/>
      <c r="RHR7" s="5"/>
      <c r="RHS7" s="5"/>
      <c r="RHT7" s="5"/>
      <c r="RHU7" s="5"/>
      <c r="RHV7" s="5"/>
      <c r="RHW7" s="5"/>
      <c r="RHX7" s="5"/>
      <c r="RHY7" s="5"/>
      <c r="RHZ7" s="5"/>
      <c r="RIA7" s="5"/>
      <c r="RIB7" s="5"/>
      <c r="RIC7" s="5"/>
      <c r="RID7" s="5"/>
      <c r="RIE7" s="5"/>
      <c r="RIF7" s="5"/>
      <c r="RIG7" s="5"/>
      <c r="RIH7" s="5"/>
      <c r="RII7" s="5"/>
      <c r="RIJ7" s="5"/>
      <c r="RIK7" s="5"/>
      <c r="RIL7" s="5"/>
      <c r="RIM7" s="5"/>
      <c r="RIN7" s="5"/>
      <c r="RIO7" s="5"/>
      <c r="RIP7" s="5"/>
      <c r="RIQ7" s="5"/>
      <c r="RIR7" s="5"/>
      <c r="RIS7" s="5"/>
      <c r="RIT7" s="5"/>
      <c r="RIU7" s="5"/>
      <c r="RIV7" s="5"/>
      <c r="RIW7" s="5"/>
      <c r="RIX7" s="5"/>
      <c r="RIY7" s="5"/>
      <c r="RIZ7" s="5"/>
      <c r="RJA7" s="5"/>
      <c r="RJB7" s="5"/>
      <c r="RJC7" s="5"/>
      <c r="RJD7" s="5"/>
      <c r="RJE7" s="5"/>
      <c r="RJF7" s="5"/>
      <c r="RJG7" s="5"/>
      <c r="RJH7" s="5"/>
      <c r="RJI7" s="5"/>
      <c r="RJJ7" s="5"/>
      <c r="RJK7" s="5"/>
      <c r="RJL7" s="5"/>
      <c r="RJM7" s="5"/>
      <c r="RJN7" s="5"/>
      <c r="RJO7" s="5"/>
      <c r="RJP7" s="5"/>
      <c r="RJQ7" s="5"/>
      <c r="RJR7" s="5"/>
      <c r="RJS7" s="5"/>
      <c r="RJT7" s="5"/>
      <c r="RJU7" s="5"/>
      <c r="RJV7" s="5"/>
      <c r="RJW7" s="5"/>
      <c r="RJX7" s="5"/>
      <c r="RJY7" s="5"/>
      <c r="RJZ7" s="5"/>
      <c r="RKA7" s="5"/>
      <c r="RKB7" s="5"/>
      <c r="RKC7" s="5"/>
      <c r="RKD7" s="5"/>
      <c r="RKE7" s="5"/>
      <c r="RKF7" s="5"/>
      <c r="RKG7" s="5"/>
      <c r="RKH7" s="5"/>
      <c r="RKI7" s="5"/>
      <c r="RKJ7" s="5"/>
      <c r="RKK7" s="5"/>
      <c r="RKL7" s="5"/>
      <c r="RKM7" s="5"/>
      <c r="RKN7" s="5"/>
      <c r="RKO7" s="5"/>
      <c r="RKP7" s="5"/>
      <c r="RKQ7" s="5"/>
      <c r="RKR7" s="5"/>
      <c r="RKS7" s="5"/>
      <c r="RKT7" s="5"/>
      <c r="RKU7" s="5"/>
      <c r="RKV7" s="5"/>
      <c r="RKW7" s="5"/>
      <c r="RKX7" s="5"/>
      <c r="RKY7" s="5"/>
      <c r="RKZ7" s="5"/>
      <c r="RLA7" s="5"/>
      <c r="RLB7" s="5"/>
      <c r="RLC7" s="5"/>
      <c r="RLD7" s="5"/>
      <c r="RLE7" s="5"/>
      <c r="RLF7" s="5"/>
      <c r="RLG7" s="5"/>
      <c r="RLH7" s="5"/>
      <c r="RLI7" s="5"/>
      <c r="RLJ7" s="5"/>
      <c r="RLK7" s="5"/>
      <c r="RLL7" s="5"/>
      <c r="RLM7" s="5"/>
      <c r="RLN7" s="5"/>
      <c r="RLO7" s="5"/>
      <c r="RLP7" s="5"/>
      <c r="RLQ7" s="5"/>
      <c r="RLR7" s="5"/>
      <c r="RLS7" s="5"/>
      <c r="RLT7" s="5"/>
      <c r="RLU7" s="5"/>
      <c r="RLV7" s="5"/>
      <c r="RLW7" s="5"/>
      <c r="RLX7" s="5"/>
      <c r="RLY7" s="5"/>
      <c r="RLZ7" s="5"/>
      <c r="RMA7" s="5"/>
      <c r="RMB7" s="5"/>
      <c r="RMC7" s="5"/>
      <c r="RMD7" s="5"/>
      <c r="RME7" s="5"/>
      <c r="RMF7" s="5"/>
      <c r="RMG7" s="5"/>
      <c r="RMH7" s="5"/>
      <c r="RMI7" s="5"/>
      <c r="RMJ7" s="5"/>
      <c r="RMK7" s="5"/>
      <c r="RML7" s="5"/>
      <c r="RMM7" s="5"/>
      <c r="RMN7" s="5"/>
      <c r="RMO7" s="5"/>
      <c r="RMP7" s="5"/>
      <c r="RMQ7" s="5"/>
      <c r="RMR7" s="5"/>
      <c r="RMS7" s="5"/>
      <c r="RMT7" s="5"/>
      <c r="RMU7" s="5"/>
      <c r="RMV7" s="5"/>
      <c r="RMW7" s="5"/>
      <c r="RMX7" s="5"/>
      <c r="RMY7" s="5"/>
      <c r="RMZ7" s="5"/>
      <c r="RNA7" s="5"/>
      <c r="RNB7" s="5"/>
      <c r="RNC7" s="5"/>
      <c r="RND7" s="5"/>
      <c r="RNE7" s="5"/>
      <c r="RNF7" s="5"/>
      <c r="RNG7" s="5"/>
      <c r="RNH7" s="5"/>
      <c r="RNI7" s="5"/>
      <c r="RNJ7" s="5"/>
      <c r="RNK7" s="5"/>
      <c r="RNL7" s="5"/>
      <c r="RNM7" s="5"/>
      <c r="RNN7" s="5"/>
      <c r="RNO7" s="5"/>
      <c r="RNP7" s="5"/>
      <c r="RNQ7" s="5"/>
      <c r="RNR7" s="5"/>
      <c r="RNS7" s="5"/>
      <c r="RNT7" s="5"/>
      <c r="RNU7" s="5"/>
      <c r="RNV7" s="5"/>
      <c r="RNW7" s="5"/>
      <c r="RNX7" s="5"/>
      <c r="RNY7" s="5"/>
      <c r="RNZ7" s="5"/>
      <c r="ROA7" s="5"/>
      <c r="ROB7" s="5"/>
      <c r="ROC7" s="5"/>
      <c r="ROD7" s="5"/>
      <c r="ROE7" s="5"/>
      <c r="ROF7" s="5"/>
      <c r="ROG7" s="5"/>
      <c r="ROH7" s="5"/>
      <c r="ROI7" s="5"/>
      <c r="ROJ7" s="5"/>
      <c r="ROK7" s="5"/>
      <c r="ROL7" s="5"/>
      <c r="ROM7" s="5"/>
      <c r="RON7" s="5"/>
      <c r="ROO7" s="5"/>
      <c r="ROP7" s="5"/>
      <c r="ROQ7" s="5"/>
      <c r="ROR7" s="5"/>
      <c r="ROS7" s="5"/>
      <c r="ROT7" s="5"/>
      <c r="ROU7" s="5"/>
      <c r="ROV7" s="5"/>
      <c r="ROW7" s="5"/>
      <c r="ROX7" s="5"/>
      <c r="ROY7" s="5"/>
      <c r="ROZ7" s="5"/>
      <c r="RPA7" s="5"/>
      <c r="RPB7" s="5"/>
      <c r="RPC7" s="5"/>
      <c r="RPD7" s="5"/>
      <c r="RPE7" s="5"/>
      <c r="RPF7" s="5"/>
      <c r="RPG7" s="5"/>
      <c r="RPH7" s="5"/>
      <c r="RPI7" s="5"/>
      <c r="RPJ7" s="5"/>
      <c r="RPK7" s="5"/>
      <c r="RPL7" s="5"/>
      <c r="RPM7" s="5"/>
      <c r="RPN7" s="5"/>
      <c r="RPO7" s="5"/>
      <c r="RPP7" s="5"/>
      <c r="RPQ7" s="5"/>
      <c r="RPR7" s="5"/>
      <c r="RPS7" s="5"/>
      <c r="RPT7" s="5"/>
      <c r="RPU7" s="5"/>
      <c r="RPV7" s="5"/>
      <c r="RPW7" s="5"/>
      <c r="RPX7" s="5"/>
      <c r="RPY7" s="5"/>
      <c r="RPZ7" s="5"/>
      <c r="RQA7" s="5"/>
      <c r="RQB7" s="5"/>
      <c r="RQC7" s="5"/>
      <c r="RQD7" s="5"/>
      <c r="RQE7" s="5"/>
      <c r="RQF7" s="5"/>
      <c r="RQG7" s="5"/>
      <c r="RQH7" s="5"/>
      <c r="RQI7" s="5"/>
      <c r="RQJ7" s="5"/>
      <c r="RQK7" s="5"/>
      <c r="RQL7" s="5"/>
      <c r="RQM7" s="5"/>
      <c r="RQN7" s="5"/>
      <c r="RQO7" s="5"/>
      <c r="RQP7" s="5"/>
      <c r="RQQ7" s="5"/>
      <c r="RQR7" s="5"/>
      <c r="RQS7" s="5"/>
      <c r="RQT7" s="5"/>
      <c r="RQU7" s="5"/>
      <c r="RQV7" s="5"/>
      <c r="RQW7" s="5"/>
      <c r="RQX7" s="5"/>
      <c r="RQY7" s="5"/>
      <c r="RQZ7" s="5"/>
      <c r="RRA7" s="5"/>
      <c r="RRB7" s="5"/>
      <c r="RRC7" s="5"/>
      <c r="RRD7" s="5"/>
      <c r="RRE7" s="5"/>
      <c r="RRF7" s="5"/>
      <c r="RRG7" s="5"/>
      <c r="RRH7" s="5"/>
      <c r="RRI7" s="5"/>
      <c r="RRJ7" s="5"/>
      <c r="RRK7" s="5"/>
      <c r="RRL7" s="5"/>
      <c r="RRM7" s="5"/>
      <c r="RRN7" s="5"/>
      <c r="RRO7" s="5"/>
      <c r="RRP7" s="5"/>
      <c r="RRQ7" s="5"/>
      <c r="RRR7" s="5"/>
      <c r="RRS7" s="5"/>
      <c r="RRT7" s="5"/>
      <c r="RRU7" s="5"/>
      <c r="RRV7" s="5"/>
      <c r="RRW7" s="5"/>
      <c r="RRX7" s="5"/>
      <c r="RRY7" s="5"/>
      <c r="RRZ7" s="5"/>
      <c r="RSA7" s="5"/>
      <c r="RSB7" s="5"/>
      <c r="RSC7" s="5"/>
      <c r="RSD7" s="5"/>
      <c r="RSE7" s="5"/>
      <c r="RSF7" s="5"/>
      <c r="RSG7" s="5"/>
      <c r="RSH7" s="5"/>
      <c r="RSI7" s="5"/>
      <c r="RSJ7" s="5"/>
      <c r="RSK7" s="5"/>
      <c r="RSL7" s="5"/>
      <c r="RSM7" s="5"/>
      <c r="RSN7" s="5"/>
      <c r="RSO7" s="5"/>
      <c r="RSP7" s="5"/>
      <c r="RSQ7" s="5"/>
      <c r="RSR7" s="5"/>
      <c r="RSS7" s="5"/>
      <c r="RST7" s="5"/>
      <c r="RSU7" s="5"/>
      <c r="RSV7" s="5"/>
      <c r="RSW7" s="5"/>
      <c r="RSX7" s="5"/>
      <c r="RSY7" s="5"/>
      <c r="RSZ7" s="5"/>
      <c r="RTA7" s="5"/>
      <c r="RTB7" s="5"/>
      <c r="RTC7" s="5"/>
      <c r="RTD7" s="5"/>
      <c r="RTE7" s="5"/>
      <c r="RTF7" s="5"/>
      <c r="RTG7" s="5"/>
      <c r="RTH7" s="5"/>
      <c r="RTI7" s="5"/>
      <c r="RTJ7" s="5"/>
      <c r="RTK7" s="5"/>
      <c r="RTL7" s="5"/>
      <c r="RTM7" s="5"/>
      <c r="RTN7" s="5"/>
      <c r="RTO7" s="5"/>
      <c r="RTP7" s="5"/>
      <c r="RTQ7" s="5"/>
      <c r="RTR7" s="5"/>
      <c r="RTS7" s="5"/>
      <c r="RTT7" s="5"/>
      <c r="RTU7" s="5"/>
      <c r="RTV7" s="5"/>
      <c r="RTW7" s="5"/>
      <c r="RTX7" s="5"/>
      <c r="RTY7" s="5"/>
      <c r="RTZ7" s="5"/>
      <c r="RUA7" s="5"/>
      <c r="RUB7" s="5"/>
      <c r="RUC7" s="5"/>
      <c r="RUD7" s="5"/>
      <c r="RUE7" s="5"/>
      <c r="RUF7" s="5"/>
      <c r="RUG7" s="5"/>
      <c r="RUH7" s="5"/>
      <c r="RUI7" s="5"/>
      <c r="RUJ7" s="5"/>
      <c r="RUK7" s="5"/>
      <c r="RUL7" s="5"/>
      <c r="RUM7" s="5"/>
      <c r="RUN7" s="5"/>
      <c r="RUO7" s="5"/>
      <c r="RUP7" s="5"/>
      <c r="RUQ7" s="5"/>
      <c r="RUR7" s="5"/>
      <c r="RUS7" s="5"/>
      <c r="RUT7" s="5"/>
      <c r="RUU7" s="5"/>
      <c r="RUV7" s="5"/>
      <c r="RUW7" s="5"/>
      <c r="RUX7" s="5"/>
      <c r="RUY7" s="5"/>
      <c r="RUZ7" s="5"/>
      <c r="RVA7" s="5"/>
      <c r="RVB7" s="5"/>
      <c r="RVC7" s="5"/>
      <c r="RVD7" s="5"/>
      <c r="RVE7" s="5"/>
      <c r="RVF7" s="5"/>
      <c r="RVG7" s="5"/>
      <c r="RVH7" s="5"/>
      <c r="RVI7" s="5"/>
      <c r="RVJ7" s="5"/>
      <c r="RVK7" s="5"/>
      <c r="RVL7" s="5"/>
      <c r="RVM7" s="5"/>
      <c r="RVN7" s="5"/>
      <c r="RVO7" s="5"/>
      <c r="RVP7" s="5"/>
      <c r="RVQ7" s="5"/>
      <c r="RVR7" s="5"/>
      <c r="RVS7" s="5"/>
      <c r="RVT7" s="5"/>
      <c r="RVU7" s="5"/>
      <c r="RVV7" s="5"/>
      <c r="RVW7" s="5"/>
      <c r="RVX7" s="5"/>
      <c r="RVY7" s="5"/>
      <c r="RVZ7" s="5"/>
      <c r="RWA7" s="5"/>
      <c r="RWB7" s="5"/>
      <c r="RWC7" s="5"/>
      <c r="RWD7" s="5"/>
      <c r="RWE7" s="5"/>
      <c r="RWF7" s="5"/>
      <c r="RWG7" s="5"/>
      <c r="RWH7" s="5"/>
      <c r="RWI7" s="5"/>
      <c r="RWJ7" s="5"/>
      <c r="RWK7" s="5"/>
      <c r="RWL7" s="5"/>
      <c r="RWM7" s="5"/>
      <c r="RWN7" s="5"/>
      <c r="RWO7" s="5"/>
      <c r="RWP7" s="5"/>
      <c r="RWQ7" s="5"/>
      <c r="RWR7" s="5"/>
      <c r="RWS7" s="5"/>
      <c r="RWT7" s="5"/>
      <c r="RWU7" s="5"/>
      <c r="RWV7" s="5"/>
      <c r="RWW7" s="5"/>
      <c r="RWX7" s="5"/>
      <c r="RWY7" s="5"/>
      <c r="RWZ7" s="5"/>
      <c r="RXA7" s="5"/>
      <c r="RXB7" s="5"/>
      <c r="RXC7" s="5"/>
      <c r="RXD7" s="5"/>
      <c r="RXE7" s="5"/>
      <c r="RXF7" s="5"/>
      <c r="RXG7" s="5"/>
      <c r="RXH7" s="5"/>
      <c r="RXI7" s="5"/>
      <c r="RXJ7" s="5"/>
      <c r="RXK7" s="5"/>
      <c r="RXL7" s="5"/>
      <c r="RXM7" s="5"/>
      <c r="RXN7" s="5"/>
      <c r="RXO7" s="5"/>
      <c r="RXP7" s="5"/>
      <c r="RXQ7" s="5"/>
      <c r="RXR7" s="5"/>
      <c r="RXS7" s="5"/>
      <c r="RXT7" s="5"/>
      <c r="RXU7" s="5"/>
      <c r="RXV7" s="5"/>
      <c r="RXW7" s="5"/>
      <c r="RXX7" s="5"/>
      <c r="RXY7" s="5"/>
      <c r="RXZ7" s="5"/>
      <c r="RYA7" s="5"/>
      <c r="RYB7" s="5"/>
      <c r="RYC7" s="5"/>
      <c r="RYD7" s="5"/>
      <c r="RYE7" s="5"/>
      <c r="RYF7" s="5"/>
      <c r="RYG7" s="5"/>
      <c r="RYH7" s="5"/>
      <c r="RYI7" s="5"/>
      <c r="RYJ7" s="5"/>
      <c r="RYK7" s="5"/>
      <c r="RYL7" s="5"/>
      <c r="RYM7" s="5"/>
      <c r="RYN7" s="5"/>
      <c r="RYO7" s="5"/>
      <c r="RYP7" s="5"/>
      <c r="RYQ7" s="5"/>
      <c r="RYR7" s="5"/>
      <c r="RYS7" s="5"/>
      <c r="RYT7" s="5"/>
      <c r="RYU7" s="5"/>
      <c r="RYV7" s="5"/>
      <c r="RYW7" s="5"/>
      <c r="RYX7" s="5"/>
      <c r="RYY7" s="5"/>
      <c r="RYZ7" s="5"/>
      <c r="RZA7" s="5"/>
      <c r="RZB7" s="5"/>
      <c r="RZC7" s="5"/>
      <c r="RZD7" s="5"/>
      <c r="RZE7" s="5"/>
      <c r="RZF7" s="5"/>
      <c r="RZG7" s="5"/>
      <c r="RZH7" s="5"/>
      <c r="RZI7" s="5"/>
      <c r="RZJ7" s="5"/>
      <c r="RZK7" s="5"/>
      <c r="RZL7" s="5"/>
      <c r="RZM7" s="5"/>
      <c r="RZN7" s="5"/>
      <c r="RZO7" s="5"/>
      <c r="RZP7" s="5"/>
      <c r="RZQ7" s="5"/>
      <c r="RZR7" s="5"/>
      <c r="RZS7" s="5"/>
      <c r="RZT7" s="5"/>
      <c r="RZU7" s="5"/>
      <c r="RZV7" s="5"/>
      <c r="RZW7" s="5"/>
      <c r="RZX7" s="5"/>
      <c r="RZY7" s="5"/>
      <c r="RZZ7" s="5"/>
      <c r="SAA7" s="5"/>
      <c r="SAB7" s="5"/>
      <c r="SAC7" s="5"/>
      <c r="SAD7" s="5"/>
      <c r="SAE7" s="5"/>
      <c r="SAF7" s="5"/>
      <c r="SAG7" s="5"/>
      <c r="SAH7" s="5"/>
      <c r="SAI7" s="5"/>
      <c r="SAJ7" s="5"/>
      <c r="SAK7" s="5"/>
      <c r="SAL7" s="5"/>
      <c r="SAM7" s="5"/>
      <c r="SAN7" s="5"/>
      <c r="SAO7" s="5"/>
      <c r="SAP7" s="5"/>
      <c r="SAQ7" s="5"/>
      <c r="SAR7" s="5"/>
      <c r="SAS7" s="5"/>
      <c r="SAT7" s="5"/>
      <c r="SAU7" s="5"/>
      <c r="SAV7" s="5"/>
      <c r="SAW7" s="5"/>
      <c r="SAX7" s="5"/>
      <c r="SAY7" s="5"/>
      <c r="SAZ7" s="5"/>
      <c r="SBA7" s="5"/>
      <c r="SBB7" s="5"/>
      <c r="SBC7" s="5"/>
      <c r="SBD7" s="5"/>
      <c r="SBE7" s="5"/>
      <c r="SBF7" s="5"/>
      <c r="SBG7" s="5"/>
      <c r="SBH7" s="5"/>
      <c r="SBI7" s="5"/>
      <c r="SBJ7" s="5"/>
      <c r="SBK7" s="5"/>
      <c r="SBL7" s="5"/>
      <c r="SBM7" s="5"/>
      <c r="SBN7" s="5"/>
      <c r="SBO7" s="5"/>
      <c r="SBP7" s="5"/>
      <c r="SBQ7" s="5"/>
      <c r="SBR7" s="5"/>
      <c r="SBS7" s="5"/>
      <c r="SBT7" s="5"/>
      <c r="SBU7" s="5"/>
      <c r="SBV7" s="5"/>
      <c r="SBW7" s="5"/>
      <c r="SBX7" s="5"/>
      <c r="SBY7" s="5"/>
      <c r="SBZ7" s="5"/>
      <c r="SCA7" s="5"/>
      <c r="SCB7" s="5"/>
      <c r="SCC7" s="5"/>
      <c r="SCD7" s="5"/>
      <c r="SCE7" s="5"/>
      <c r="SCF7" s="5"/>
      <c r="SCG7" s="5"/>
      <c r="SCH7" s="5"/>
      <c r="SCI7" s="5"/>
      <c r="SCJ7" s="5"/>
      <c r="SCK7" s="5"/>
      <c r="SCL7" s="5"/>
      <c r="SCM7" s="5"/>
      <c r="SCN7" s="5"/>
      <c r="SCO7" s="5"/>
      <c r="SCP7" s="5"/>
      <c r="SCQ7" s="5"/>
      <c r="SCR7" s="5"/>
      <c r="SCS7" s="5"/>
      <c r="SCT7" s="5"/>
      <c r="SCU7" s="5"/>
      <c r="SCV7" s="5"/>
      <c r="SCW7" s="5"/>
      <c r="SCX7" s="5"/>
      <c r="SCY7" s="5"/>
      <c r="SCZ7" s="5"/>
      <c r="SDA7" s="5"/>
      <c r="SDB7" s="5"/>
      <c r="SDC7" s="5"/>
      <c r="SDD7" s="5"/>
      <c r="SDE7" s="5"/>
      <c r="SDF7" s="5"/>
      <c r="SDG7" s="5"/>
      <c r="SDH7" s="5"/>
      <c r="SDI7" s="5"/>
      <c r="SDJ7" s="5"/>
      <c r="SDK7" s="5"/>
      <c r="SDL7" s="5"/>
      <c r="SDM7" s="5"/>
      <c r="SDN7" s="5"/>
      <c r="SDO7" s="5"/>
      <c r="SDP7" s="5"/>
      <c r="SDQ7" s="5"/>
      <c r="SDR7" s="5"/>
      <c r="SDS7" s="5"/>
      <c r="SDT7" s="5"/>
      <c r="SDU7" s="5"/>
      <c r="SDV7" s="5"/>
      <c r="SDW7" s="5"/>
      <c r="SDX7" s="5"/>
      <c r="SDY7" s="5"/>
      <c r="SDZ7" s="5"/>
      <c r="SEA7" s="5"/>
      <c r="SEB7" s="5"/>
      <c r="SEC7" s="5"/>
      <c r="SED7" s="5"/>
      <c r="SEE7" s="5"/>
      <c r="SEF7" s="5"/>
      <c r="SEG7" s="5"/>
      <c r="SEH7" s="5"/>
      <c r="SEI7" s="5"/>
      <c r="SEJ7" s="5"/>
      <c r="SEK7" s="5"/>
      <c r="SEL7" s="5"/>
      <c r="SEM7" s="5"/>
      <c r="SEN7" s="5"/>
      <c r="SEO7" s="5"/>
      <c r="SEP7" s="5"/>
      <c r="SEQ7" s="5"/>
      <c r="SER7" s="5"/>
      <c r="SES7" s="5"/>
      <c r="SET7" s="5"/>
      <c r="SEU7" s="5"/>
      <c r="SEV7" s="5"/>
      <c r="SEW7" s="5"/>
      <c r="SEX7" s="5"/>
      <c r="SEY7" s="5"/>
      <c r="SEZ7" s="5"/>
      <c r="SFA7" s="5"/>
      <c r="SFB7" s="5"/>
      <c r="SFC7" s="5"/>
      <c r="SFD7" s="5"/>
      <c r="SFE7" s="5"/>
      <c r="SFF7" s="5"/>
      <c r="SFG7" s="5"/>
      <c r="SFH7" s="5"/>
      <c r="SFI7" s="5"/>
      <c r="SFJ7" s="5"/>
      <c r="SFK7" s="5"/>
      <c r="SFL7" s="5"/>
      <c r="SFM7" s="5"/>
      <c r="SFN7" s="5"/>
      <c r="SFO7" s="5"/>
      <c r="SFP7" s="5"/>
      <c r="SFQ7" s="5"/>
      <c r="SFR7" s="5"/>
      <c r="SFS7" s="5"/>
      <c r="SFT7" s="5"/>
      <c r="SFU7" s="5"/>
      <c r="SFV7" s="5"/>
      <c r="SFW7" s="5"/>
      <c r="SFX7" s="5"/>
      <c r="SFY7" s="5"/>
      <c r="SFZ7" s="5"/>
      <c r="SGA7" s="5"/>
      <c r="SGB7" s="5"/>
      <c r="SGC7" s="5"/>
      <c r="SGD7" s="5"/>
      <c r="SGE7" s="5"/>
      <c r="SGF7" s="5"/>
      <c r="SGG7" s="5"/>
      <c r="SGH7" s="5"/>
      <c r="SGI7" s="5"/>
      <c r="SGJ7" s="5"/>
      <c r="SGK7" s="5"/>
      <c r="SGL7" s="5"/>
      <c r="SGM7" s="5"/>
      <c r="SGN7" s="5"/>
      <c r="SGO7" s="5"/>
      <c r="SGP7" s="5"/>
      <c r="SGQ7" s="5"/>
      <c r="SGR7" s="5"/>
      <c r="SGS7" s="5"/>
      <c r="SGT7" s="5"/>
      <c r="SGU7" s="5"/>
      <c r="SGV7" s="5"/>
      <c r="SGW7" s="5"/>
      <c r="SGX7" s="5"/>
      <c r="SGY7" s="5"/>
      <c r="SGZ7" s="5"/>
      <c r="SHA7" s="5"/>
      <c r="SHB7" s="5"/>
      <c r="SHC7" s="5"/>
      <c r="SHD7" s="5"/>
      <c r="SHE7" s="5"/>
      <c r="SHF7" s="5"/>
      <c r="SHG7" s="5"/>
      <c r="SHH7" s="5"/>
      <c r="SHI7" s="5"/>
      <c r="SHJ7" s="5"/>
      <c r="SHK7" s="5"/>
      <c r="SHL7" s="5"/>
      <c r="SHM7" s="5"/>
      <c r="SHN7" s="5"/>
      <c r="SHO7" s="5"/>
      <c r="SHP7" s="5"/>
      <c r="SHQ7" s="5"/>
      <c r="SHR7" s="5"/>
      <c r="SHS7" s="5"/>
      <c r="SHT7" s="5"/>
      <c r="SHU7" s="5"/>
      <c r="SHV7" s="5"/>
      <c r="SHW7" s="5"/>
      <c r="SHX7" s="5"/>
      <c r="SHY7" s="5"/>
      <c r="SHZ7" s="5"/>
      <c r="SIA7" s="5"/>
      <c r="SIB7" s="5"/>
      <c r="SIC7" s="5"/>
      <c r="SID7" s="5"/>
      <c r="SIE7" s="5"/>
      <c r="SIF7" s="5"/>
      <c r="SIG7" s="5"/>
      <c r="SIH7" s="5"/>
      <c r="SII7" s="5"/>
      <c r="SIJ7" s="5"/>
      <c r="SIK7" s="5"/>
      <c r="SIL7" s="5"/>
      <c r="SIM7" s="5"/>
      <c r="SIN7" s="5"/>
      <c r="SIO7" s="5"/>
      <c r="SIP7" s="5"/>
      <c r="SIQ7" s="5"/>
      <c r="SIR7" s="5"/>
      <c r="SIS7" s="5"/>
      <c r="SIT7" s="5"/>
      <c r="SIU7" s="5"/>
      <c r="SIV7" s="5"/>
      <c r="SIW7" s="5"/>
      <c r="SIX7" s="5"/>
      <c r="SIY7" s="5"/>
      <c r="SIZ7" s="5"/>
      <c r="SJA7" s="5"/>
      <c r="SJB7" s="5"/>
      <c r="SJC7" s="5"/>
      <c r="SJD7" s="5"/>
      <c r="SJE7" s="5"/>
      <c r="SJF7" s="5"/>
      <c r="SJG7" s="5"/>
      <c r="SJH7" s="5"/>
      <c r="SJI7" s="5"/>
      <c r="SJJ7" s="5"/>
      <c r="SJK7" s="5"/>
      <c r="SJL7" s="5"/>
      <c r="SJM7" s="5"/>
      <c r="SJN7" s="5"/>
      <c r="SJO7" s="5"/>
      <c r="SJP7" s="5"/>
      <c r="SJQ7" s="5"/>
      <c r="SJR7" s="5"/>
      <c r="SJS7" s="5"/>
      <c r="SJT7" s="5"/>
      <c r="SJU7" s="5"/>
      <c r="SJV7" s="5"/>
      <c r="SJW7" s="5"/>
      <c r="SJX7" s="5"/>
      <c r="SJY7" s="5"/>
      <c r="SJZ7" s="5"/>
      <c r="SKA7" s="5"/>
      <c r="SKB7" s="5"/>
      <c r="SKC7" s="5"/>
      <c r="SKD7" s="5"/>
      <c r="SKE7" s="5"/>
      <c r="SKF7" s="5"/>
      <c r="SKG7" s="5"/>
      <c r="SKH7" s="5"/>
      <c r="SKI7" s="5"/>
      <c r="SKJ7" s="5"/>
      <c r="SKK7" s="5"/>
      <c r="SKL7" s="5"/>
      <c r="SKM7" s="5"/>
      <c r="SKN7" s="5"/>
      <c r="SKO7" s="5"/>
      <c r="SKP7" s="5"/>
      <c r="SKQ7" s="5"/>
      <c r="SKR7" s="5"/>
      <c r="SKS7" s="5"/>
      <c r="SKT7" s="5"/>
      <c r="SKU7" s="5"/>
      <c r="SKV7" s="5"/>
      <c r="SKW7" s="5"/>
      <c r="SKX7" s="5"/>
      <c r="SKY7" s="5"/>
      <c r="SKZ7" s="5"/>
      <c r="SLA7" s="5"/>
      <c r="SLB7" s="5"/>
      <c r="SLC7" s="5"/>
      <c r="SLD7" s="5"/>
      <c r="SLE7" s="5"/>
      <c r="SLF7" s="5"/>
      <c r="SLG7" s="5"/>
      <c r="SLH7" s="5"/>
      <c r="SLI7" s="5"/>
      <c r="SLJ7" s="5"/>
      <c r="SLK7" s="5"/>
      <c r="SLL7" s="5"/>
      <c r="SLM7" s="5"/>
      <c r="SLN7" s="5"/>
      <c r="SLO7" s="5"/>
      <c r="SLP7" s="5"/>
      <c r="SLQ7" s="5"/>
      <c r="SLR7" s="5"/>
      <c r="SLS7" s="5"/>
      <c r="SLT7" s="5"/>
      <c r="SLU7" s="5"/>
      <c r="SLV7" s="5"/>
      <c r="SLW7" s="5"/>
      <c r="SLX7" s="5"/>
      <c r="SLY7" s="5"/>
      <c r="SLZ7" s="5"/>
      <c r="SMA7" s="5"/>
      <c r="SMB7" s="5"/>
      <c r="SMC7" s="5"/>
      <c r="SMD7" s="5"/>
      <c r="SME7" s="5"/>
      <c r="SMF7" s="5"/>
      <c r="SMG7" s="5"/>
      <c r="SMH7" s="5"/>
      <c r="SMI7" s="5"/>
      <c r="SMJ7" s="5"/>
      <c r="SMK7" s="5"/>
      <c r="SML7" s="5"/>
      <c r="SMM7" s="5"/>
      <c r="SMN7" s="5"/>
      <c r="SMO7" s="5"/>
      <c r="SMP7" s="5"/>
      <c r="SMQ7" s="5"/>
      <c r="SMR7" s="5"/>
      <c r="SMS7" s="5"/>
      <c r="SMT7" s="5"/>
      <c r="SMU7" s="5"/>
      <c r="SMV7" s="5"/>
      <c r="SMW7" s="5"/>
      <c r="SMX7" s="5"/>
      <c r="SMY7" s="5"/>
      <c r="SMZ7" s="5"/>
      <c r="SNA7" s="5"/>
      <c r="SNB7" s="5"/>
      <c r="SNC7" s="5"/>
      <c r="SND7" s="5"/>
      <c r="SNE7" s="5"/>
      <c r="SNF7" s="5"/>
      <c r="SNG7" s="5"/>
      <c r="SNH7" s="5"/>
      <c r="SNI7" s="5"/>
      <c r="SNJ7" s="5"/>
      <c r="SNK7" s="5"/>
      <c r="SNL7" s="5"/>
      <c r="SNM7" s="5"/>
      <c r="SNN7" s="5"/>
      <c r="SNO7" s="5"/>
      <c r="SNP7" s="5"/>
      <c r="SNQ7" s="5"/>
      <c r="SNR7" s="5"/>
      <c r="SNS7" s="5"/>
      <c r="SNT7" s="5"/>
      <c r="SNU7" s="5"/>
      <c r="SNV7" s="5"/>
      <c r="SNW7" s="5"/>
      <c r="SNX7" s="5"/>
      <c r="SNY7" s="5"/>
      <c r="SNZ7" s="5"/>
      <c r="SOA7" s="5"/>
      <c r="SOB7" s="5"/>
      <c r="SOC7" s="5"/>
      <c r="SOD7" s="5"/>
      <c r="SOE7" s="5"/>
      <c r="SOF7" s="5"/>
      <c r="SOG7" s="5"/>
      <c r="SOH7" s="5"/>
      <c r="SOI7" s="5"/>
      <c r="SOJ7" s="5"/>
      <c r="SOK7" s="5"/>
      <c r="SOL7" s="5"/>
      <c r="SOM7" s="5"/>
      <c r="SON7" s="5"/>
      <c r="SOO7" s="5"/>
      <c r="SOP7" s="5"/>
      <c r="SOQ7" s="5"/>
      <c r="SOR7" s="5"/>
      <c r="SOS7" s="5"/>
      <c r="SOT7" s="5"/>
      <c r="SOU7" s="5"/>
      <c r="SOV7" s="5"/>
      <c r="SOW7" s="5"/>
      <c r="SOX7" s="5"/>
      <c r="SOY7" s="5"/>
      <c r="SOZ7" s="5"/>
      <c r="SPA7" s="5"/>
      <c r="SPB7" s="5"/>
      <c r="SPC7" s="5"/>
      <c r="SPD7" s="5"/>
      <c r="SPE7" s="5"/>
      <c r="SPF7" s="5"/>
      <c r="SPG7" s="5"/>
      <c r="SPH7" s="5"/>
      <c r="SPI7" s="5"/>
      <c r="SPJ7" s="5"/>
      <c r="SPK7" s="5"/>
      <c r="SPL7" s="5"/>
      <c r="SPM7" s="5"/>
      <c r="SPN7" s="5"/>
      <c r="SPO7" s="5"/>
      <c r="SPP7" s="5"/>
      <c r="SPQ7" s="5"/>
      <c r="SPR7" s="5"/>
      <c r="SPS7" s="5"/>
      <c r="SPT7" s="5"/>
      <c r="SPU7" s="5"/>
      <c r="SPV7" s="5"/>
      <c r="SPW7" s="5"/>
      <c r="SPX7" s="5"/>
      <c r="SPY7" s="5"/>
      <c r="SPZ7" s="5"/>
      <c r="SQA7" s="5"/>
      <c r="SQB7" s="5"/>
      <c r="SQC7" s="5"/>
      <c r="SQD7" s="5"/>
      <c r="SQE7" s="5"/>
      <c r="SQF7" s="5"/>
      <c r="SQG7" s="5"/>
      <c r="SQH7" s="5"/>
      <c r="SQI7" s="5"/>
      <c r="SQJ7" s="5"/>
      <c r="SQK7" s="5"/>
      <c r="SQL7" s="5"/>
      <c r="SQM7" s="5"/>
      <c r="SQN7" s="5"/>
      <c r="SQO7" s="5"/>
      <c r="SQP7" s="5"/>
      <c r="SQQ7" s="5"/>
      <c r="SQR7" s="5"/>
      <c r="SQS7" s="5"/>
      <c r="SQT7" s="5"/>
      <c r="SQU7" s="5"/>
      <c r="SQV7" s="5"/>
      <c r="SQW7" s="5"/>
      <c r="SQX7" s="5"/>
      <c r="SQY7" s="5"/>
      <c r="SQZ7" s="5"/>
      <c r="SRA7" s="5"/>
      <c r="SRB7" s="5"/>
      <c r="SRC7" s="5"/>
      <c r="SRD7" s="5"/>
      <c r="SRE7" s="5"/>
      <c r="SRF7" s="5"/>
      <c r="SRG7" s="5"/>
      <c r="SRH7" s="5"/>
      <c r="SRI7" s="5"/>
      <c r="SRJ7" s="5"/>
      <c r="SRK7" s="5"/>
      <c r="SRL7" s="5"/>
      <c r="SRM7" s="5"/>
      <c r="SRN7" s="5"/>
      <c r="SRO7" s="5"/>
      <c r="SRP7" s="5"/>
      <c r="SRQ7" s="5"/>
      <c r="SRR7" s="5"/>
      <c r="SRS7" s="5"/>
      <c r="SRT7" s="5"/>
      <c r="SRU7" s="5"/>
      <c r="SRV7" s="5"/>
      <c r="SRW7" s="5"/>
      <c r="SRX7" s="5"/>
      <c r="SRY7" s="5"/>
      <c r="SRZ7" s="5"/>
      <c r="SSA7" s="5"/>
      <c r="SSB7" s="5"/>
      <c r="SSC7" s="5"/>
      <c r="SSD7" s="5"/>
      <c r="SSE7" s="5"/>
      <c r="SSF7" s="5"/>
      <c r="SSG7" s="5"/>
      <c r="SSH7" s="5"/>
      <c r="SSI7" s="5"/>
      <c r="SSJ7" s="5"/>
      <c r="SSK7" s="5"/>
      <c r="SSL7" s="5"/>
      <c r="SSM7" s="5"/>
      <c r="SSN7" s="5"/>
      <c r="SSO7" s="5"/>
      <c r="SSP7" s="5"/>
      <c r="SSQ7" s="5"/>
      <c r="SSR7" s="5"/>
      <c r="SSS7" s="5"/>
      <c r="SST7" s="5"/>
      <c r="SSU7" s="5"/>
      <c r="SSV7" s="5"/>
      <c r="SSW7" s="5"/>
      <c r="SSX7" s="5"/>
      <c r="SSY7" s="5"/>
      <c r="SSZ7" s="5"/>
      <c r="STA7" s="5"/>
      <c r="STB7" s="5"/>
      <c r="STC7" s="5"/>
      <c r="STD7" s="5"/>
      <c r="STE7" s="5"/>
      <c r="STF7" s="5"/>
      <c r="STG7" s="5"/>
      <c r="STH7" s="5"/>
      <c r="STI7" s="5"/>
      <c r="STJ7" s="5"/>
      <c r="STK7" s="5"/>
      <c r="STL7" s="5"/>
      <c r="STM7" s="5"/>
      <c r="STN7" s="5"/>
      <c r="STO7" s="5"/>
      <c r="STP7" s="5"/>
      <c r="STQ7" s="5"/>
      <c r="STR7" s="5"/>
      <c r="STS7" s="5"/>
      <c r="STT7" s="5"/>
      <c r="STU7" s="5"/>
      <c r="STV7" s="5"/>
      <c r="STW7" s="5"/>
      <c r="STX7" s="5"/>
      <c r="STY7" s="5"/>
      <c r="STZ7" s="5"/>
      <c r="SUA7" s="5"/>
      <c r="SUB7" s="5"/>
      <c r="SUC7" s="5"/>
      <c r="SUD7" s="5"/>
      <c r="SUE7" s="5"/>
      <c r="SUF7" s="5"/>
      <c r="SUG7" s="5"/>
      <c r="SUH7" s="5"/>
      <c r="SUI7" s="5"/>
      <c r="SUJ7" s="5"/>
      <c r="SUK7" s="5"/>
      <c r="SUL7" s="5"/>
      <c r="SUM7" s="5"/>
      <c r="SUN7" s="5"/>
      <c r="SUO7" s="5"/>
      <c r="SUP7" s="5"/>
      <c r="SUQ7" s="5"/>
      <c r="SUR7" s="5"/>
      <c r="SUS7" s="5"/>
      <c r="SUT7" s="5"/>
      <c r="SUU7" s="5"/>
      <c r="SUV7" s="5"/>
      <c r="SUW7" s="5"/>
      <c r="SUX7" s="5"/>
      <c r="SUY7" s="5"/>
      <c r="SUZ7" s="5"/>
      <c r="SVA7" s="5"/>
      <c r="SVB7" s="5"/>
      <c r="SVC7" s="5"/>
      <c r="SVD7" s="5"/>
      <c r="SVE7" s="5"/>
      <c r="SVF7" s="5"/>
      <c r="SVG7" s="5"/>
      <c r="SVH7" s="5"/>
      <c r="SVI7" s="5"/>
      <c r="SVJ7" s="5"/>
      <c r="SVK7" s="5"/>
      <c r="SVL7" s="5"/>
      <c r="SVM7" s="5"/>
      <c r="SVN7" s="5"/>
      <c r="SVO7" s="5"/>
      <c r="SVP7" s="5"/>
      <c r="SVQ7" s="5"/>
      <c r="SVR7" s="5"/>
      <c r="SVS7" s="5"/>
      <c r="SVT7" s="5"/>
      <c r="SVU7" s="5"/>
      <c r="SVV7" s="5"/>
      <c r="SVW7" s="5"/>
      <c r="SVX7" s="5"/>
      <c r="SVY7" s="5"/>
      <c r="SVZ7" s="5"/>
      <c r="SWA7" s="5"/>
      <c r="SWB7" s="5"/>
      <c r="SWC7" s="5"/>
      <c r="SWD7" s="5"/>
      <c r="SWE7" s="5"/>
      <c r="SWF7" s="5"/>
      <c r="SWG7" s="5"/>
      <c r="SWH7" s="5"/>
      <c r="SWI7" s="5"/>
      <c r="SWJ7" s="5"/>
      <c r="SWK7" s="5"/>
      <c r="SWL7" s="5"/>
      <c r="SWM7" s="5"/>
      <c r="SWN7" s="5"/>
      <c r="SWO7" s="5"/>
      <c r="SWP7" s="5"/>
      <c r="SWQ7" s="5"/>
      <c r="SWR7" s="5"/>
      <c r="SWS7" s="5"/>
      <c r="SWT7" s="5"/>
      <c r="SWU7" s="5"/>
      <c r="SWV7" s="5"/>
      <c r="SWW7" s="5"/>
      <c r="SWX7" s="5"/>
      <c r="SWY7" s="5"/>
      <c r="SWZ7" s="5"/>
      <c r="SXA7" s="5"/>
      <c r="SXB7" s="5"/>
      <c r="SXC7" s="5"/>
      <c r="SXD7" s="5"/>
      <c r="SXE7" s="5"/>
      <c r="SXF7" s="5"/>
      <c r="SXG7" s="5"/>
      <c r="SXH7" s="5"/>
      <c r="SXI7" s="5"/>
      <c r="SXJ7" s="5"/>
      <c r="SXK7" s="5"/>
      <c r="SXL7" s="5"/>
      <c r="SXM7" s="5"/>
      <c r="SXN7" s="5"/>
      <c r="SXO7" s="5"/>
      <c r="SXP7" s="5"/>
      <c r="SXQ7" s="5"/>
      <c r="SXR7" s="5"/>
      <c r="SXS7" s="5"/>
      <c r="SXT7" s="5"/>
      <c r="SXU7" s="5"/>
      <c r="SXV7" s="5"/>
      <c r="SXW7" s="5"/>
      <c r="SXX7" s="5"/>
      <c r="SXY7" s="5"/>
      <c r="SXZ7" s="5"/>
      <c r="SYA7" s="5"/>
      <c r="SYB7" s="5"/>
      <c r="SYC7" s="5"/>
      <c r="SYD7" s="5"/>
      <c r="SYE7" s="5"/>
      <c r="SYF7" s="5"/>
      <c r="SYG7" s="5"/>
      <c r="SYH7" s="5"/>
      <c r="SYI7" s="5"/>
      <c r="SYJ7" s="5"/>
      <c r="SYK7" s="5"/>
      <c r="SYL7" s="5"/>
      <c r="SYM7" s="5"/>
      <c r="SYN7" s="5"/>
      <c r="SYO7" s="5"/>
      <c r="SYP7" s="5"/>
      <c r="SYQ7" s="5"/>
      <c r="SYR7" s="5"/>
      <c r="SYS7" s="5"/>
      <c r="SYT7" s="5"/>
      <c r="SYU7" s="5"/>
      <c r="SYV7" s="5"/>
      <c r="SYW7" s="5"/>
      <c r="SYX7" s="5"/>
      <c r="SYY7" s="5"/>
      <c r="SYZ7" s="5"/>
      <c r="SZA7" s="5"/>
      <c r="SZB7" s="5"/>
      <c r="SZC7" s="5"/>
      <c r="SZD7" s="5"/>
      <c r="SZE7" s="5"/>
      <c r="SZF7" s="5"/>
      <c r="SZG7" s="5"/>
      <c r="SZH7" s="5"/>
      <c r="SZI7" s="5"/>
      <c r="SZJ7" s="5"/>
      <c r="SZK7" s="5"/>
      <c r="SZL7" s="5"/>
      <c r="SZM7" s="5"/>
      <c r="SZN7" s="5"/>
      <c r="SZO7" s="5"/>
      <c r="SZP7" s="5"/>
      <c r="SZQ7" s="5"/>
      <c r="SZR7" s="5"/>
      <c r="SZS7" s="5"/>
      <c r="SZT7" s="5"/>
      <c r="SZU7" s="5"/>
      <c r="SZV7" s="5"/>
      <c r="SZW7" s="5"/>
      <c r="SZX7" s="5"/>
      <c r="SZY7" s="5"/>
      <c r="SZZ7" s="5"/>
      <c r="TAA7" s="5"/>
      <c r="TAB7" s="5"/>
      <c r="TAC7" s="5"/>
      <c r="TAD7" s="5"/>
      <c r="TAE7" s="5"/>
      <c r="TAF7" s="5"/>
      <c r="TAG7" s="5"/>
      <c r="TAH7" s="5"/>
      <c r="TAI7" s="5"/>
      <c r="TAJ7" s="5"/>
      <c r="TAK7" s="5"/>
      <c r="TAL7" s="5"/>
      <c r="TAM7" s="5"/>
      <c r="TAN7" s="5"/>
      <c r="TAO7" s="5"/>
      <c r="TAP7" s="5"/>
      <c r="TAQ7" s="5"/>
      <c r="TAR7" s="5"/>
      <c r="TAS7" s="5"/>
      <c r="TAT7" s="5"/>
      <c r="TAU7" s="5"/>
      <c r="TAV7" s="5"/>
      <c r="TAW7" s="5"/>
      <c r="TAX7" s="5"/>
      <c r="TAY7" s="5"/>
      <c r="TAZ7" s="5"/>
      <c r="TBA7" s="5"/>
      <c r="TBB7" s="5"/>
      <c r="TBC7" s="5"/>
      <c r="TBD7" s="5"/>
      <c r="TBE7" s="5"/>
      <c r="TBF7" s="5"/>
      <c r="TBG7" s="5"/>
      <c r="TBH7" s="5"/>
      <c r="TBI7" s="5"/>
      <c r="TBJ7" s="5"/>
      <c r="TBK7" s="5"/>
      <c r="TBL7" s="5"/>
      <c r="TBM7" s="5"/>
      <c r="TBN7" s="5"/>
      <c r="TBO7" s="5"/>
      <c r="TBP7" s="5"/>
      <c r="TBQ7" s="5"/>
      <c r="TBR7" s="5"/>
      <c r="TBS7" s="5"/>
      <c r="TBT7" s="5"/>
      <c r="TBU7" s="5"/>
      <c r="TBV7" s="5"/>
      <c r="TBW7" s="5"/>
      <c r="TBX7" s="5"/>
      <c r="TBY7" s="5"/>
      <c r="TBZ7" s="5"/>
      <c r="TCA7" s="5"/>
      <c r="TCB7" s="5"/>
      <c r="TCC7" s="5"/>
      <c r="TCD7" s="5"/>
      <c r="TCE7" s="5"/>
      <c r="TCF7" s="5"/>
      <c r="TCG7" s="5"/>
      <c r="TCH7" s="5"/>
      <c r="TCI7" s="5"/>
      <c r="TCJ7" s="5"/>
      <c r="TCK7" s="5"/>
      <c r="TCL7" s="5"/>
      <c r="TCM7" s="5"/>
      <c r="TCN7" s="5"/>
      <c r="TCO7" s="5"/>
      <c r="TCP7" s="5"/>
      <c r="TCQ7" s="5"/>
      <c r="TCR7" s="5"/>
      <c r="TCS7" s="5"/>
      <c r="TCT7" s="5"/>
      <c r="TCU7" s="5"/>
      <c r="TCV7" s="5"/>
      <c r="TCW7" s="5"/>
      <c r="TCX7" s="5"/>
      <c r="TCY7" s="5"/>
      <c r="TCZ7" s="5"/>
      <c r="TDA7" s="5"/>
      <c r="TDB7" s="5"/>
      <c r="TDC7" s="5"/>
      <c r="TDD7" s="5"/>
      <c r="TDE7" s="5"/>
      <c r="TDF7" s="5"/>
      <c r="TDG7" s="5"/>
      <c r="TDH7" s="5"/>
      <c r="TDI7" s="5"/>
      <c r="TDJ7" s="5"/>
      <c r="TDK7" s="5"/>
      <c r="TDL7" s="5"/>
      <c r="TDM7" s="5"/>
      <c r="TDN7" s="5"/>
      <c r="TDO7" s="5"/>
      <c r="TDP7" s="5"/>
      <c r="TDQ7" s="5"/>
      <c r="TDR7" s="5"/>
      <c r="TDS7" s="5"/>
      <c r="TDT7" s="5"/>
      <c r="TDU7" s="5"/>
      <c r="TDV7" s="5"/>
      <c r="TDW7" s="5"/>
      <c r="TDX7" s="5"/>
      <c r="TDY7" s="5"/>
      <c r="TDZ7" s="5"/>
      <c r="TEA7" s="5"/>
      <c r="TEB7" s="5"/>
      <c r="TEC7" s="5"/>
      <c r="TED7" s="5"/>
      <c r="TEE7" s="5"/>
      <c r="TEF7" s="5"/>
      <c r="TEG7" s="5"/>
      <c r="TEH7" s="5"/>
      <c r="TEI7" s="5"/>
      <c r="TEJ7" s="5"/>
      <c r="TEK7" s="5"/>
      <c r="TEL7" s="5"/>
      <c r="TEM7" s="5"/>
      <c r="TEN7" s="5"/>
      <c r="TEO7" s="5"/>
      <c r="TEP7" s="5"/>
      <c r="TEQ7" s="5"/>
      <c r="TER7" s="5"/>
      <c r="TES7" s="5"/>
      <c r="TET7" s="5"/>
      <c r="TEU7" s="5"/>
      <c r="TEV7" s="5"/>
      <c r="TEW7" s="5"/>
      <c r="TEX7" s="5"/>
      <c r="TEY7" s="5"/>
      <c r="TEZ7" s="5"/>
      <c r="TFA7" s="5"/>
      <c r="TFB7" s="5"/>
      <c r="TFC7" s="5"/>
      <c r="TFD7" s="5"/>
      <c r="TFE7" s="5"/>
      <c r="TFF7" s="5"/>
      <c r="TFG7" s="5"/>
      <c r="TFH7" s="5"/>
      <c r="TFI7" s="5"/>
      <c r="TFJ7" s="5"/>
      <c r="TFK7" s="5"/>
      <c r="TFL7" s="5"/>
      <c r="TFM7" s="5"/>
      <c r="TFN7" s="5"/>
      <c r="TFO7" s="5"/>
      <c r="TFP7" s="5"/>
      <c r="TFQ7" s="5"/>
      <c r="TFR7" s="5"/>
      <c r="TFS7" s="5"/>
      <c r="TFT7" s="5"/>
      <c r="TFU7" s="5"/>
      <c r="TFV7" s="5"/>
      <c r="TFW7" s="5"/>
      <c r="TFX7" s="5"/>
      <c r="TFY7" s="5"/>
      <c r="TFZ7" s="5"/>
      <c r="TGA7" s="5"/>
      <c r="TGB7" s="5"/>
      <c r="TGC7" s="5"/>
      <c r="TGD7" s="5"/>
      <c r="TGE7" s="5"/>
      <c r="TGF7" s="5"/>
      <c r="TGG7" s="5"/>
      <c r="TGH7" s="5"/>
      <c r="TGI7" s="5"/>
      <c r="TGJ7" s="5"/>
      <c r="TGK7" s="5"/>
      <c r="TGL7" s="5"/>
      <c r="TGM7" s="5"/>
      <c r="TGN7" s="5"/>
      <c r="TGO7" s="5"/>
      <c r="TGP7" s="5"/>
      <c r="TGQ7" s="5"/>
      <c r="TGR7" s="5"/>
      <c r="TGS7" s="5"/>
      <c r="TGT7" s="5"/>
      <c r="TGU7" s="5"/>
      <c r="TGV7" s="5"/>
      <c r="TGW7" s="5"/>
      <c r="TGX7" s="5"/>
      <c r="TGY7" s="5"/>
      <c r="TGZ7" s="5"/>
      <c r="THA7" s="5"/>
      <c r="THB7" s="5"/>
      <c r="THC7" s="5"/>
      <c r="THD7" s="5"/>
      <c r="THE7" s="5"/>
      <c r="THF7" s="5"/>
      <c r="THG7" s="5"/>
      <c r="THH7" s="5"/>
      <c r="THI7" s="5"/>
      <c r="THJ7" s="5"/>
      <c r="THK7" s="5"/>
      <c r="THL7" s="5"/>
      <c r="THM7" s="5"/>
      <c r="THN7" s="5"/>
      <c r="THO7" s="5"/>
      <c r="THP7" s="5"/>
      <c r="THQ7" s="5"/>
      <c r="THR7" s="5"/>
      <c r="THS7" s="5"/>
      <c r="THT7" s="5"/>
      <c r="THU7" s="5"/>
      <c r="THV7" s="5"/>
      <c r="THW7" s="5"/>
      <c r="THX7" s="5"/>
      <c r="THY7" s="5"/>
      <c r="THZ7" s="5"/>
      <c r="TIA7" s="5"/>
      <c r="TIB7" s="5"/>
      <c r="TIC7" s="5"/>
      <c r="TID7" s="5"/>
      <c r="TIE7" s="5"/>
      <c r="TIF7" s="5"/>
      <c r="TIG7" s="5"/>
      <c r="TIH7" s="5"/>
      <c r="TII7" s="5"/>
      <c r="TIJ7" s="5"/>
      <c r="TIK7" s="5"/>
      <c r="TIL7" s="5"/>
      <c r="TIM7" s="5"/>
      <c r="TIN7" s="5"/>
      <c r="TIO7" s="5"/>
      <c r="TIP7" s="5"/>
      <c r="TIQ7" s="5"/>
      <c r="TIR7" s="5"/>
      <c r="TIS7" s="5"/>
      <c r="TIT7" s="5"/>
      <c r="TIU7" s="5"/>
      <c r="TIV7" s="5"/>
      <c r="TIW7" s="5"/>
      <c r="TIX7" s="5"/>
      <c r="TIY7" s="5"/>
      <c r="TIZ7" s="5"/>
      <c r="TJA7" s="5"/>
      <c r="TJB7" s="5"/>
      <c r="TJC7" s="5"/>
      <c r="TJD7" s="5"/>
      <c r="TJE7" s="5"/>
      <c r="TJF7" s="5"/>
      <c r="TJG7" s="5"/>
      <c r="TJH7" s="5"/>
      <c r="TJI7" s="5"/>
      <c r="TJJ7" s="5"/>
      <c r="TJK7" s="5"/>
      <c r="TJL7" s="5"/>
      <c r="TJM7" s="5"/>
      <c r="TJN7" s="5"/>
      <c r="TJO7" s="5"/>
      <c r="TJP7" s="5"/>
      <c r="TJQ7" s="5"/>
      <c r="TJR7" s="5"/>
      <c r="TJS7" s="5"/>
      <c r="TJT7" s="5"/>
      <c r="TJU7" s="5"/>
      <c r="TJV7" s="5"/>
      <c r="TJW7" s="5"/>
      <c r="TJX7" s="5"/>
      <c r="TJY7" s="5"/>
      <c r="TJZ7" s="5"/>
      <c r="TKA7" s="5"/>
      <c r="TKB7" s="5"/>
      <c r="TKC7" s="5"/>
      <c r="TKD7" s="5"/>
      <c r="TKE7" s="5"/>
      <c r="TKF7" s="5"/>
      <c r="TKG7" s="5"/>
      <c r="TKH7" s="5"/>
      <c r="TKI7" s="5"/>
      <c r="TKJ7" s="5"/>
      <c r="TKK7" s="5"/>
      <c r="TKL7" s="5"/>
      <c r="TKM7" s="5"/>
      <c r="TKN7" s="5"/>
      <c r="TKO7" s="5"/>
      <c r="TKP7" s="5"/>
      <c r="TKQ7" s="5"/>
      <c r="TKR7" s="5"/>
      <c r="TKS7" s="5"/>
      <c r="TKT7" s="5"/>
      <c r="TKU7" s="5"/>
      <c r="TKV7" s="5"/>
      <c r="TKW7" s="5"/>
      <c r="TKX7" s="5"/>
      <c r="TKY7" s="5"/>
      <c r="TKZ7" s="5"/>
      <c r="TLA7" s="5"/>
      <c r="TLB7" s="5"/>
      <c r="TLC7" s="5"/>
      <c r="TLD7" s="5"/>
      <c r="TLE7" s="5"/>
      <c r="TLF7" s="5"/>
      <c r="TLG7" s="5"/>
      <c r="TLH7" s="5"/>
      <c r="TLI7" s="5"/>
      <c r="TLJ7" s="5"/>
      <c r="TLK7" s="5"/>
      <c r="TLL7" s="5"/>
      <c r="TLM7" s="5"/>
      <c r="TLN7" s="5"/>
      <c r="TLO7" s="5"/>
      <c r="TLP7" s="5"/>
      <c r="TLQ7" s="5"/>
      <c r="TLR7" s="5"/>
      <c r="TLS7" s="5"/>
      <c r="TLT7" s="5"/>
      <c r="TLU7" s="5"/>
      <c r="TLV7" s="5"/>
      <c r="TLW7" s="5"/>
      <c r="TLX7" s="5"/>
      <c r="TLY7" s="5"/>
      <c r="TLZ7" s="5"/>
      <c r="TMA7" s="5"/>
      <c r="TMB7" s="5"/>
      <c r="TMC7" s="5"/>
      <c r="TMD7" s="5"/>
      <c r="TME7" s="5"/>
      <c r="TMF7" s="5"/>
      <c r="TMG7" s="5"/>
      <c r="TMH7" s="5"/>
      <c r="TMI7" s="5"/>
      <c r="TMJ7" s="5"/>
      <c r="TMK7" s="5"/>
      <c r="TML7" s="5"/>
      <c r="TMM7" s="5"/>
      <c r="TMN7" s="5"/>
      <c r="TMO7" s="5"/>
      <c r="TMP7" s="5"/>
      <c r="TMQ7" s="5"/>
      <c r="TMR7" s="5"/>
      <c r="TMS7" s="5"/>
      <c r="TMT7" s="5"/>
      <c r="TMU7" s="5"/>
      <c r="TMV7" s="5"/>
      <c r="TMW7" s="5"/>
      <c r="TMX7" s="5"/>
      <c r="TMY7" s="5"/>
      <c r="TMZ7" s="5"/>
      <c r="TNA7" s="5"/>
      <c r="TNB7" s="5"/>
      <c r="TNC7" s="5"/>
      <c r="TND7" s="5"/>
      <c r="TNE7" s="5"/>
      <c r="TNF7" s="5"/>
      <c r="TNG7" s="5"/>
      <c r="TNH7" s="5"/>
      <c r="TNI7" s="5"/>
      <c r="TNJ7" s="5"/>
      <c r="TNK7" s="5"/>
      <c r="TNL7" s="5"/>
      <c r="TNM7" s="5"/>
      <c r="TNN7" s="5"/>
      <c r="TNO7" s="5"/>
      <c r="TNP7" s="5"/>
      <c r="TNQ7" s="5"/>
      <c r="TNR7" s="5"/>
      <c r="TNS7" s="5"/>
      <c r="TNT7" s="5"/>
      <c r="TNU7" s="5"/>
      <c r="TNV7" s="5"/>
      <c r="TNW7" s="5"/>
      <c r="TNX7" s="5"/>
      <c r="TNY7" s="5"/>
      <c r="TNZ7" s="5"/>
      <c r="TOA7" s="5"/>
      <c r="TOB7" s="5"/>
      <c r="TOC7" s="5"/>
      <c r="TOD7" s="5"/>
      <c r="TOE7" s="5"/>
      <c r="TOF7" s="5"/>
      <c r="TOG7" s="5"/>
      <c r="TOH7" s="5"/>
      <c r="TOI7" s="5"/>
      <c r="TOJ7" s="5"/>
      <c r="TOK7" s="5"/>
      <c r="TOL7" s="5"/>
      <c r="TOM7" s="5"/>
      <c r="TON7" s="5"/>
      <c r="TOO7" s="5"/>
      <c r="TOP7" s="5"/>
      <c r="TOQ7" s="5"/>
      <c r="TOR7" s="5"/>
      <c r="TOS7" s="5"/>
      <c r="TOT7" s="5"/>
      <c r="TOU7" s="5"/>
      <c r="TOV7" s="5"/>
      <c r="TOW7" s="5"/>
      <c r="TOX7" s="5"/>
      <c r="TOY7" s="5"/>
      <c r="TOZ7" s="5"/>
      <c r="TPA7" s="5"/>
      <c r="TPB7" s="5"/>
      <c r="TPC7" s="5"/>
      <c r="TPD7" s="5"/>
      <c r="TPE7" s="5"/>
      <c r="TPF7" s="5"/>
      <c r="TPG7" s="5"/>
      <c r="TPH7" s="5"/>
      <c r="TPI7" s="5"/>
      <c r="TPJ7" s="5"/>
      <c r="TPK7" s="5"/>
      <c r="TPL7" s="5"/>
      <c r="TPM7" s="5"/>
      <c r="TPN7" s="5"/>
      <c r="TPO7" s="5"/>
      <c r="TPP7" s="5"/>
      <c r="TPQ7" s="5"/>
      <c r="TPR7" s="5"/>
      <c r="TPS7" s="5"/>
      <c r="TPT7" s="5"/>
      <c r="TPU7" s="5"/>
      <c r="TPV7" s="5"/>
      <c r="TPW7" s="5"/>
      <c r="TPX7" s="5"/>
      <c r="TPY7" s="5"/>
      <c r="TPZ7" s="5"/>
      <c r="TQA7" s="5"/>
      <c r="TQB7" s="5"/>
      <c r="TQC7" s="5"/>
      <c r="TQD7" s="5"/>
      <c r="TQE7" s="5"/>
      <c r="TQF7" s="5"/>
      <c r="TQG7" s="5"/>
      <c r="TQH7" s="5"/>
      <c r="TQI7" s="5"/>
      <c r="TQJ7" s="5"/>
      <c r="TQK7" s="5"/>
      <c r="TQL7" s="5"/>
      <c r="TQM7" s="5"/>
      <c r="TQN7" s="5"/>
      <c r="TQO7" s="5"/>
      <c r="TQP7" s="5"/>
      <c r="TQQ7" s="5"/>
      <c r="TQR7" s="5"/>
      <c r="TQS7" s="5"/>
      <c r="TQT7" s="5"/>
      <c r="TQU7" s="5"/>
      <c r="TQV7" s="5"/>
      <c r="TQW7" s="5"/>
      <c r="TQX7" s="5"/>
      <c r="TQY7" s="5"/>
      <c r="TQZ7" s="5"/>
      <c r="TRA7" s="5"/>
      <c r="TRB7" s="5"/>
      <c r="TRC7" s="5"/>
      <c r="TRD7" s="5"/>
      <c r="TRE7" s="5"/>
      <c r="TRF7" s="5"/>
      <c r="TRG7" s="5"/>
      <c r="TRH7" s="5"/>
      <c r="TRI7" s="5"/>
      <c r="TRJ7" s="5"/>
      <c r="TRK7" s="5"/>
      <c r="TRL7" s="5"/>
      <c r="TRM7" s="5"/>
      <c r="TRN7" s="5"/>
      <c r="TRO7" s="5"/>
      <c r="TRP7" s="5"/>
      <c r="TRQ7" s="5"/>
      <c r="TRR7" s="5"/>
      <c r="TRS7" s="5"/>
      <c r="TRT7" s="5"/>
      <c r="TRU7" s="5"/>
      <c r="TRV7" s="5"/>
      <c r="TRW7" s="5"/>
      <c r="TRX7" s="5"/>
      <c r="TRY7" s="5"/>
      <c r="TRZ7" s="5"/>
      <c r="TSA7" s="5"/>
      <c r="TSB7" s="5"/>
      <c r="TSC7" s="5"/>
      <c r="TSD7" s="5"/>
      <c r="TSE7" s="5"/>
      <c r="TSF7" s="5"/>
      <c r="TSG7" s="5"/>
      <c r="TSH7" s="5"/>
      <c r="TSI7" s="5"/>
      <c r="TSJ7" s="5"/>
      <c r="TSK7" s="5"/>
      <c r="TSL7" s="5"/>
      <c r="TSM7" s="5"/>
      <c r="TSN7" s="5"/>
      <c r="TSO7" s="5"/>
      <c r="TSP7" s="5"/>
      <c r="TSQ7" s="5"/>
      <c r="TSR7" s="5"/>
      <c r="TSS7" s="5"/>
      <c r="TST7" s="5"/>
      <c r="TSU7" s="5"/>
      <c r="TSV7" s="5"/>
      <c r="TSW7" s="5"/>
      <c r="TSX7" s="5"/>
      <c r="TSY7" s="5"/>
      <c r="TSZ7" s="5"/>
      <c r="TTA7" s="5"/>
      <c r="TTB7" s="5"/>
      <c r="TTC7" s="5"/>
      <c r="TTD7" s="5"/>
      <c r="TTE7" s="5"/>
      <c r="TTF7" s="5"/>
      <c r="TTG7" s="5"/>
      <c r="TTH7" s="5"/>
      <c r="TTI7" s="5"/>
      <c r="TTJ7" s="5"/>
      <c r="TTK7" s="5"/>
      <c r="TTL7" s="5"/>
      <c r="TTM7" s="5"/>
      <c r="TTN7" s="5"/>
      <c r="TTO7" s="5"/>
      <c r="TTP7" s="5"/>
      <c r="TTQ7" s="5"/>
      <c r="TTR7" s="5"/>
      <c r="TTS7" s="5"/>
      <c r="TTT7" s="5"/>
      <c r="TTU7" s="5"/>
      <c r="TTV7" s="5"/>
      <c r="TTW7" s="5"/>
      <c r="TTX7" s="5"/>
      <c r="TTY7" s="5"/>
      <c r="TTZ7" s="5"/>
      <c r="TUA7" s="5"/>
      <c r="TUB7" s="5"/>
      <c r="TUC7" s="5"/>
      <c r="TUD7" s="5"/>
      <c r="TUE7" s="5"/>
      <c r="TUF7" s="5"/>
      <c r="TUG7" s="5"/>
      <c r="TUH7" s="5"/>
      <c r="TUI7" s="5"/>
      <c r="TUJ7" s="5"/>
      <c r="TUK7" s="5"/>
      <c r="TUL7" s="5"/>
      <c r="TUM7" s="5"/>
      <c r="TUN7" s="5"/>
      <c r="TUO7" s="5"/>
      <c r="TUP7" s="5"/>
      <c r="TUQ7" s="5"/>
      <c r="TUR7" s="5"/>
      <c r="TUS7" s="5"/>
      <c r="TUT7" s="5"/>
      <c r="TUU7" s="5"/>
      <c r="TUV7" s="5"/>
      <c r="TUW7" s="5"/>
      <c r="TUX7" s="5"/>
      <c r="TUY7" s="5"/>
      <c r="TUZ7" s="5"/>
      <c r="TVA7" s="5"/>
      <c r="TVB7" s="5"/>
      <c r="TVC7" s="5"/>
      <c r="TVD7" s="5"/>
      <c r="TVE7" s="5"/>
      <c r="TVF7" s="5"/>
      <c r="TVG7" s="5"/>
      <c r="TVH7" s="5"/>
      <c r="TVI7" s="5"/>
      <c r="TVJ7" s="5"/>
      <c r="TVK7" s="5"/>
      <c r="TVL7" s="5"/>
      <c r="TVM7" s="5"/>
      <c r="TVN7" s="5"/>
      <c r="TVO7" s="5"/>
      <c r="TVP7" s="5"/>
      <c r="TVQ7" s="5"/>
      <c r="TVR7" s="5"/>
      <c r="TVS7" s="5"/>
      <c r="TVT7" s="5"/>
      <c r="TVU7" s="5"/>
      <c r="TVV7" s="5"/>
      <c r="TVW7" s="5"/>
      <c r="TVX7" s="5"/>
      <c r="TVY7" s="5"/>
      <c r="TVZ7" s="5"/>
      <c r="TWA7" s="5"/>
      <c r="TWB7" s="5"/>
      <c r="TWC7" s="5"/>
      <c r="TWD7" s="5"/>
      <c r="TWE7" s="5"/>
      <c r="TWF7" s="5"/>
      <c r="TWG7" s="5"/>
      <c r="TWH7" s="5"/>
      <c r="TWI7" s="5"/>
      <c r="TWJ7" s="5"/>
      <c r="TWK7" s="5"/>
      <c r="TWL7" s="5"/>
      <c r="TWM7" s="5"/>
      <c r="TWN7" s="5"/>
      <c r="TWO7" s="5"/>
      <c r="TWP7" s="5"/>
      <c r="TWQ7" s="5"/>
      <c r="TWR7" s="5"/>
      <c r="TWS7" s="5"/>
      <c r="TWT7" s="5"/>
      <c r="TWU7" s="5"/>
      <c r="TWV7" s="5"/>
      <c r="TWW7" s="5"/>
      <c r="TWX7" s="5"/>
      <c r="TWY7" s="5"/>
      <c r="TWZ7" s="5"/>
      <c r="TXA7" s="5"/>
      <c r="TXB7" s="5"/>
      <c r="TXC7" s="5"/>
      <c r="TXD7" s="5"/>
      <c r="TXE7" s="5"/>
      <c r="TXF7" s="5"/>
      <c r="TXG7" s="5"/>
      <c r="TXH7" s="5"/>
      <c r="TXI7" s="5"/>
      <c r="TXJ7" s="5"/>
      <c r="TXK7" s="5"/>
      <c r="TXL7" s="5"/>
      <c r="TXM7" s="5"/>
      <c r="TXN7" s="5"/>
      <c r="TXO7" s="5"/>
      <c r="TXP7" s="5"/>
      <c r="TXQ7" s="5"/>
      <c r="TXR7" s="5"/>
      <c r="TXS7" s="5"/>
      <c r="TXT7" s="5"/>
      <c r="TXU7" s="5"/>
      <c r="TXV7" s="5"/>
      <c r="TXW7" s="5"/>
      <c r="TXX7" s="5"/>
      <c r="TXY7" s="5"/>
      <c r="TXZ7" s="5"/>
      <c r="TYA7" s="5"/>
      <c r="TYB7" s="5"/>
      <c r="TYC7" s="5"/>
      <c r="TYD7" s="5"/>
      <c r="TYE7" s="5"/>
      <c r="TYF7" s="5"/>
      <c r="TYG7" s="5"/>
      <c r="TYH7" s="5"/>
      <c r="TYI7" s="5"/>
      <c r="TYJ7" s="5"/>
      <c r="TYK7" s="5"/>
      <c r="TYL7" s="5"/>
      <c r="TYM7" s="5"/>
      <c r="TYN7" s="5"/>
      <c r="TYO7" s="5"/>
      <c r="TYP7" s="5"/>
      <c r="TYQ7" s="5"/>
      <c r="TYR7" s="5"/>
      <c r="TYS7" s="5"/>
      <c r="TYT7" s="5"/>
      <c r="TYU7" s="5"/>
      <c r="TYV7" s="5"/>
      <c r="TYW7" s="5"/>
      <c r="TYX7" s="5"/>
      <c r="TYY7" s="5"/>
      <c r="TYZ7" s="5"/>
      <c r="TZA7" s="5"/>
      <c r="TZB7" s="5"/>
      <c r="TZC7" s="5"/>
      <c r="TZD7" s="5"/>
      <c r="TZE7" s="5"/>
      <c r="TZF7" s="5"/>
      <c r="TZG7" s="5"/>
      <c r="TZH7" s="5"/>
      <c r="TZI7" s="5"/>
      <c r="TZJ7" s="5"/>
      <c r="TZK7" s="5"/>
      <c r="TZL7" s="5"/>
      <c r="TZM7" s="5"/>
      <c r="TZN7" s="5"/>
      <c r="TZO7" s="5"/>
      <c r="TZP7" s="5"/>
      <c r="TZQ7" s="5"/>
      <c r="TZR7" s="5"/>
      <c r="TZS7" s="5"/>
      <c r="TZT7" s="5"/>
      <c r="TZU7" s="5"/>
      <c r="TZV7" s="5"/>
      <c r="TZW7" s="5"/>
      <c r="TZX7" s="5"/>
      <c r="TZY7" s="5"/>
      <c r="TZZ7" s="5"/>
      <c r="UAA7" s="5"/>
      <c r="UAB7" s="5"/>
      <c r="UAC7" s="5"/>
      <c r="UAD7" s="5"/>
      <c r="UAE7" s="5"/>
      <c r="UAF7" s="5"/>
      <c r="UAG7" s="5"/>
      <c r="UAH7" s="5"/>
      <c r="UAI7" s="5"/>
      <c r="UAJ7" s="5"/>
      <c r="UAK7" s="5"/>
      <c r="UAL7" s="5"/>
      <c r="UAM7" s="5"/>
      <c r="UAN7" s="5"/>
      <c r="UAO7" s="5"/>
      <c r="UAP7" s="5"/>
      <c r="UAQ7" s="5"/>
      <c r="UAR7" s="5"/>
      <c r="UAS7" s="5"/>
      <c r="UAT7" s="5"/>
      <c r="UAU7" s="5"/>
      <c r="UAV7" s="5"/>
      <c r="UAW7" s="5"/>
      <c r="UAX7" s="5"/>
      <c r="UAY7" s="5"/>
      <c r="UAZ7" s="5"/>
      <c r="UBA7" s="5"/>
      <c r="UBB7" s="5"/>
      <c r="UBC7" s="5"/>
      <c r="UBD7" s="5"/>
      <c r="UBE7" s="5"/>
      <c r="UBF7" s="5"/>
      <c r="UBG7" s="5"/>
      <c r="UBH7" s="5"/>
      <c r="UBI7" s="5"/>
      <c r="UBJ7" s="5"/>
      <c r="UBK7" s="5"/>
      <c r="UBL7" s="5"/>
      <c r="UBM7" s="5"/>
      <c r="UBN7" s="5"/>
      <c r="UBO7" s="5"/>
      <c r="UBP7" s="5"/>
      <c r="UBQ7" s="5"/>
      <c r="UBR7" s="5"/>
      <c r="UBS7" s="5"/>
      <c r="UBT7" s="5"/>
      <c r="UBU7" s="5"/>
      <c r="UBV7" s="5"/>
      <c r="UBW7" s="5"/>
      <c r="UBX7" s="5"/>
      <c r="UBY7" s="5"/>
      <c r="UBZ7" s="5"/>
      <c r="UCA7" s="5"/>
      <c r="UCB7" s="5"/>
      <c r="UCC7" s="5"/>
      <c r="UCD7" s="5"/>
      <c r="UCE7" s="5"/>
      <c r="UCF7" s="5"/>
      <c r="UCG7" s="5"/>
      <c r="UCH7" s="5"/>
      <c r="UCI7" s="5"/>
      <c r="UCJ7" s="5"/>
      <c r="UCK7" s="5"/>
      <c r="UCL7" s="5"/>
      <c r="UCM7" s="5"/>
      <c r="UCN7" s="5"/>
      <c r="UCO7" s="5"/>
      <c r="UCP7" s="5"/>
      <c r="UCQ7" s="5"/>
      <c r="UCR7" s="5"/>
      <c r="UCS7" s="5"/>
      <c r="UCT7" s="5"/>
      <c r="UCU7" s="5"/>
      <c r="UCV7" s="5"/>
      <c r="UCW7" s="5"/>
      <c r="UCX7" s="5"/>
      <c r="UCY7" s="5"/>
      <c r="UCZ7" s="5"/>
      <c r="UDA7" s="5"/>
      <c r="UDB7" s="5"/>
      <c r="UDC7" s="5"/>
      <c r="UDD7" s="5"/>
      <c r="UDE7" s="5"/>
      <c r="UDF7" s="5"/>
      <c r="UDG7" s="5"/>
      <c r="UDH7" s="5"/>
      <c r="UDI7" s="5"/>
      <c r="UDJ7" s="5"/>
      <c r="UDK7" s="5"/>
      <c r="UDL7" s="5"/>
      <c r="UDM7" s="5"/>
      <c r="UDN7" s="5"/>
      <c r="UDO7" s="5"/>
      <c r="UDP7" s="5"/>
      <c r="UDQ7" s="5"/>
      <c r="UDR7" s="5"/>
      <c r="UDS7" s="5"/>
      <c r="UDT7" s="5"/>
      <c r="UDU7" s="5"/>
      <c r="UDV7" s="5"/>
      <c r="UDW7" s="5"/>
      <c r="UDX7" s="5"/>
      <c r="UDY7" s="5"/>
      <c r="UDZ7" s="5"/>
      <c r="UEA7" s="5"/>
      <c r="UEB7" s="5"/>
      <c r="UEC7" s="5"/>
      <c r="UED7" s="5"/>
      <c r="UEE7" s="5"/>
      <c r="UEF7" s="5"/>
      <c r="UEG7" s="5"/>
      <c r="UEH7" s="5"/>
      <c r="UEI7" s="5"/>
      <c r="UEJ7" s="5"/>
      <c r="UEK7" s="5"/>
      <c r="UEL7" s="5"/>
      <c r="UEM7" s="5"/>
      <c r="UEN7" s="5"/>
      <c r="UEO7" s="5"/>
      <c r="UEP7" s="5"/>
      <c r="UEQ7" s="5"/>
      <c r="UER7" s="5"/>
      <c r="UES7" s="5"/>
      <c r="UET7" s="5"/>
      <c r="UEU7" s="5"/>
      <c r="UEV7" s="5"/>
      <c r="UEW7" s="5"/>
      <c r="UEX7" s="5"/>
      <c r="UEY7" s="5"/>
      <c r="UEZ7" s="5"/>
      <c r="UFA7" s="5"/>
      <c r="UFB7" s="5"/>
      <c r="UFC7" s="5"/>
      <c r="UFD7" s="5"/>
      <c r="UFE7" s="5"/>
      <c r="UFF7" s="5"/>
      <c r="UFG7" s="5"/>
      <c r="UFH7" s="5"/>
      <c r="UFI7" s="5"/>
      <c r="UFJ7" s="5"/>
      <c r="UFK7" s="5"/>
      <c r="UFL7" s="5"/>
      <c r="UFM7" s="5"/>
      <c r="UFN7" s="5"/>
      <c r="UFO7" s="5"/>
      <c r="UFP7" s="5"/>
      <c r="UFQ7" s="5"/>
      <c r="UFR7" s="5"/>
      <c r="UFS7" s="5"/>
      <c r="UFT7" s="5"/>
      <c r="UFU7" s="5"/>
      <c r="UFV7" s="5"/>
      <c r="UFW7" s="5"/>
      <c r="UFX7" s="5"/>
      <c r="UFY7" s="5"/>
      <c r="UFZ7" s="5"/>
      <c r="UGA7" s="5"/>
      <c r="UGB7" s="5"/>
      <c r="UGC7" s="5"/>
      <c r="UGD7" s="5"/>
      <c r="UGE7" s="5"/>
      <c r="UGF7" s="5"/>
      <c r="UGG7" s="5"/>
      <c r="UGH7" s="5"/>
      <c r="UGI7" s="5"/>
      <c r="UGJ7" s="5"/>
      <c r="UGK7" s="5"/>
      <c r="UGL7" s="5"/>
      <c r="UGM7" s="5"/>
      <c r="UGN7" s="5"/>
      <c r="UGO7" s="5"/>
      <c r="UGP7" s="5"/>
      <c r="UGQ7" s="5"/>
      <c r="UGR7" s="5"/>
      <c r="UGS7" s="5"/>
      <c r="UGT7" s="5"/>
      <c r="UGU7" s="5"/>
      <c r="UGV7" s="5"/>
      <c r="UGW7" s="5"/>
      <c r="UGX7" s="5"/>
      <c r="UGY7" s="5"/>
      <c r="UGZ7" s="5"/>
      <c r="UHA7" s="5"/>
      <c r="UHB7" s="5"/>
      <c r="UHC7" s="5"/>
      <c r="UHD7" s="5"/>
      <c r="UHE7" s="5"/>
      <c r="UHF7" s="5"/>
      <c r="UHG7" s="5"/>
      <c r="UHH7" s="5"/>
      <c r="UHI7" s="5"/>
      <c r="UHJ7" s="5"/>
      <c r="UHK7" s="5"/>
      <c r="UHL7" s="5"/>
      <c r="UHM7" s="5"/>
      <c r="UHN7" s="5"/>
      <c r="UHO7" s="5"/>
      <c r="UHP7" s="5"/>
      <c r="UHQ7" s="5"/>
      <c r="UHR7" s="5"/>
      <c r="UHS7" s="5"/>
      <c r="UHT7" s="5"/>
      <c r="UHU7" s="5"/>
      <c r="UHV7" s="5"/>
      <c r="UHW7" s="5"/>
      <c r="UHX7" s="5"/>
      <c r="UHY7" s="5"/>
      <c r="UHZ7" s="5"/>
      <c r="UIA7" s="5"/>
      <c r="UIB7" s="5"/>
      <c r="UIC7" s="5"/>
      <c r="UID7" s="5"/>
      <c r="UIE7" s="5"/>
      <c r="UIF7" s="5"/>
      <c r="UIG7" s="5"/>
      <c r="UIH7" s="5"/>
      <c r="UII7" s="5"/>
      <c r="UIJ7" s="5"/>
      <c r="UIK7" s="5"/>
      <c r="UIL7" s="5"/>
      <c r="UIM7" s="5"/>
      <c r="UIN7" s="5"/>
      <c r="UIO7" s="5"/>
      <c r="UIP7" s="5"/>
      <c r="UIQ7" s="5"/>
      <c r="UIR7" s="5"/>
      <c r="UIS7" s="5"/>
      <c r="UIT7" s="5"/>
      <c r="UIU7" s="5"/>
      <c r="UIV7" s="5"/>
      <c r="UIW7" s="5"/>
      <c r="UIX7" s="5"/>
      <c r="UIY7" s="5"/>
      <c r="UIZ7" s="5"/>
      <c r="UJA7" s="5"/>
      <c r="UJB7" s="5"/>
      <c r="UJC7" s="5"/>
      <c r="UJD7" s="5"/>
      <c r="UJE7" s="5"/>
      <c r="UJF7" s="5"/>
      <c r="UJG7" s="5"/>
      <c r="UJH7" s="5"/>
      <c r="UJI7" s="5"/>
      <c r="UJJ7" s="5"/>
      <c r="UJK7" s="5"/>
      <c r="UJL7" s="5"/>
      <c r="UJM7" s="5"/>
      <c r="UJN7" s="5"/>
      <c r="UJO7" s="5"/>
      <c r="UJP7" s="5"/>
      <c r="UJQ7" s="5"/>
      <c r="UJR7" s="5"/>
      <c r="UJS7" s="5"/>
      <c r="UJT7" s="5"/>
      <c r="UJU7" s="5"/>
      <c r="UJV7" s="5"/>
      <c r="UJW7" s="5"/>
      <c r="UJX7" s="5"/>
      <c r="UJY7" s="5"/>
      <c r="UJZ7" s="5"/>
      <c r="UKA7" s="5"/>
      <c r="UKB7" s="5"/>
      <c r="UKC7" s="5"/>
      <c r="UKD7" s="5"/>
      <c r="UKE7" s="5"/>
      <c r="UKF7" s="5"/>
      <c r="UKG7" s="5"/>
      <c r="UKH7" s="5"/>
      <c r="UKI7" s="5"/>
      <c r="UKJ7" s="5"/>
      <c r="UKK7" s="5"/>
      <c r="UKL7" s="5"/>
      <c r="UKM7" s="5"/>
      <c r="UKN7" s="5"/>
      <c r="UKO7" s="5"/>
      <c r="UKP7" s="5"/>
      <c r="UKQ7" s="5"/>
      <c r="UKR7" s="5"/>
      <c r="UKS7" s="5"/>
      <c r="UKT7" s="5"/>
      <c r="UKU7" s="5"/>
      <c r="UKV7" s="5"/>
      <c r="UKW7" s="5"/>
      <c r="UKX7" s="5"/>
      <c r="UKY7" s="5"/>
      <c r="UKZ7" s="5"/>
      <c r="ULA7" s="5"/>
      <c r="ULB7" s="5"/>
      <c r="ULC7" s="5"/>
      <c r="ULD7" s="5"/>
      <c r="ULE7" s="5"/>
      <c r="ULF7" s="5"/>
      <c r="ULG7" s="5"/>
      <c r="ULH7" s="5"/>
      <c r="ULI7" s="5"/>
      <c r="ULJ7" s="5"/>
      <c r="ULK7" s="5"/>
      <c r="ULL7" s="5"/>
      <c r="ULM7" s="5"/>
      <c r="ULN7" s="5"/>
      <c r="ULO7" s="5"/>
      <c r="ULP7" s="5"/>
      <c r="ULQ7" s="5"/>
      <c r="ULR7" s="5"/>
      <c r="ULS7" s="5"/>
      <c r="ULT7" s="5"/>
      <c r="ULU7" s="5"/>
      <c r="ULV7" s="5"/>
      <c r="ULW7" s="5"/>
      <c r="ULX7" s="5"/>
      <c r="ULY7" s="5"/>
      <c r="ULZ7" s="5"/>
      <c r="UMA7" s="5"/>
      <c r="UMB7" s="5"/>
      <c r="UMC7" s="5"/>
      <c r="UMD7" s="5"/>
      <c r="UME7" s="5"/>
      <c r="UMF7" s="5"/>
      <c r="UMG7" s="5"/>
      <c r="UMH7" s="5"/>
      <c r="UMI7" s="5"/>
      <c r="UMJ7" s="5"/>
      <c r="UMK7" s="5"/>
      <c r="UML7" s="5"/>
      <c r="UMM7" s="5"/>
      <c r="UMN7" s="5"/>
      <c r="UMO7" s="5"/>
      <c r="UMP7" s="5"/>
      <c r="UMQ7" s="5"/>
      <c r="UMR7" s="5"/>
      <c r="UMS7" s="5"/>
      <c r="UMT7" s="5"/>
      <c r="UMU7" s="5"/>
      <c r="UMV7" s="5"/>
      <c r="UMW7" s="5"/>
      <c r="UMX7" s="5"/>
      <c r="UMY7" s="5"/>
      <c r="UMZ7" s="5"/>
      <c r="UNA7" s="5"/>
      <c r="UNB7" s="5"/>
      <c r="UNC7" s="5"/>
      <c r="UND7" s="5"/>
      <c r="UNE7" s="5"/>
      <c r="UNF7" s="5"/>
      <c r="UNG7" s="5"/>
      <c r="UNH7" s="5"/>
      <c r="UNI7" s="5"/>
      <c r="UNJ7" s="5"/>
      <c r="UNK7" s="5"/>
      <c r="UNL7" s="5"/>
      <c r="UNM7" s="5"/>
      <c r="UNN7" s="5"/>
      <c r="UNO7" s="5"/>
      <c r="UNP7" s="5"/>
      <c r="UNQ7" s="5"/>
      <c r="UNR7" s="5"/>
      <c r="UNS7" s="5"/>
      <c r="UNT7" s="5"/>
      <c r="UNU7" s="5"/>
      <c r="UNV7" s="5"/>
      <c r="UNW7" s="5"/>
      <c r="UNX7" s="5"/>
      <c r="UNY7" s="5"/>
      <c r="UNZ7" s="5"/>
      <c r="UOA7" s="5"/>
      <c r="UOB7" s="5"/>
      <c r="UOC7" s="5"/>
      <c r="UOD7" s="5"/>
      <c r="UOE7" s="5"/>
      <c r="UOF7" s="5"/>
      <c r="UOG7" s="5"/>
      <c r="UOH7" s="5"/>
      <c r="UOI7" s="5"/>
      <c r="UOJ7" s="5"/>
      <c r="UOK7" s="5"/>
      <c r="UOL7" s="5"/>
      <c r="UOM7" s="5"/>
      <c r="UON7" s="5"/>
      <c r="UOO7" s="5"/>
      <c r="UOP7" s="5"/>
      <c r="UOQ7" s="5"/>
      <c r="UOR7" s="5"/>
      <c r="UOS7" s="5"/>
      <c r="UOT7" s="5"/>
      <c r="UOU7" s="5"/>
      <c r="UOV7" s="5"/>
      <c r="UOW7" s="5"/>
      <c r="UOX7" s="5"/>
      <c r="UOY7" s="5"/>
      <c r="UOZ7" s="5"/>
      <c r="UPA7" s="5"/>
      <c r="UPB7" s="5"/>
      <c r="UPC7" s="5"/>
      <c r="UPD7" s="5"/>
      <c r="UPE7" s="5"/>
      <c r="UPF7" s="5"/>
      <c r="UPG7" s="5"/>
      <c r="UPH7" s="5"/>
      <c r="UPI7" s="5"/>
      <c r="UPJ7" s="5"/>
      <c r="UPK7" s="5"/>
      <c r="UPL7" s="5"/>
      <c r="UPM7" s="5"/>
      <c r="UPN7" s="5"/>
      <c r="UPO7" s="5"/>
      <c r="UPP7" s="5"/>
      <c r="UPQ7" s="5"/>
      <c r="UPR7" s="5"/>
      <c r="UPS7" s="5"/>
      <c r="UPT7" s="5"/>
      <c r="UPU7" s="5"/>
      <c r="UPV7" s="5"/>
      <c r="UPW7" s="5"/>
      <c r="UPX7" s="5"/>
      <c r="UPY7" s="5"/>
      <c r="UPZ7" s="5"/>
      <c r="UQA7" s="5"/>
      <c r="UQB7" s="5"/>
      <c r="UQC7" s="5"/>
      <c r="UQD7" s="5"/>
      <c r="UQE7" s="5"/>
      <c r="UQF7" s="5"/>
      <c r="UQG7" s="5"/>
      <c r="UQH7" s="5"/>
      <c r="UQI7" s="5"/>
      <c r="UQJ7" s="5"/>
      <c r="UQK7" s="5"/>
      <c r="UQL7" s="5"/>
      <c r="UQM7" s="5"/>
      <c r="UQN7" s="5"/>
      <c r="UQO7" s="5"/>
      <c r="UQP7" s="5"/>
      <c r="UQQ7" s="5"/>
      <c r="UQR7" s="5"/>
      <c r="UQS7" s="5"/>
      <c r="UQT7" s="5"/>
      <c r="UQU7" s="5"/>
      <c r="UQV7" s="5"/>
      <c r="UQW7" s="5"/>
      <c r="UQX7" s="5"/>
      <c r="UQY7" s="5"/>
      <c r="UQZ7" s="5"/>
      <c r="URA7" s="5"/>
      <c r="URB7" s="5"/>
      <c r="URC7" s="5"/>
      <c r="URD7" s="5"/>
      <c r="URE7" s="5"/>
      <c r="URF7" s="5"/>
      <c r="URG7" s="5"/>
      <c r="URH7" s="5"/>
      <c r="URI7" s="5"/>
      <c r="URJ7" s="5"/>
      <c r="URK7" s="5"/>
      <c r="URL7" s="5"/>
      <c r="URM7" s="5"/>
      <c r="URN7" s="5"/>
      <c r="URO7" s="5"/>
      <c r="URP7" s="5"/>
      <c r="URQ7" s="5"/>
      <c r="URR7" s="5"/>
      <c r="URS7" s="5"/>
      <c r="URT7" s="5"/>
      <c r="URU7" s="5"/>
      <c r="URV7" s="5"/>
      <c r="URW7" s="5"/>
      <c r="URX7" s="5"/>
      <c r="URY7" s="5"/>
      <c r="URZ7" s="5"/>
      <c r="USA7" s="5"/>
      <c r="USB7" s="5"/>
      <c r="USC7" s="5"/>
      <c r="USD7" s="5"/>
      <c r="USE7" s="5"/>
      <c r="USF7" s="5"/>
      <c r="USG7" s="5"/>
      <c r="USH7" s="5"/>
      <c r="USI7" s="5"/>
      <c r="USJ7" s="5"/>
      <c r="USK7" s="5"/>
      <c r="USL7" s="5"/>
      <c r="USM7" s="5"/>
      <c r="USN7" s="5"/>
      <c r="USO7" s="5"/>
      <c r="USP7" s="5"/>
      <c r="USQ7" s="5"/>
      <c r="USR7" s="5"/>
      <c r="USS7" s="5"/>
      <c r="UST7" s="5"/>
      <c r="USU7" s="5"/>
      <c r="USV7" s="5"/>
      <c r="USW7" s="5"/>
      <c r="USX7" s="5"/>
      <c r="USY7" s="5"/>
      <c r="USZ7" s="5"/>
      <c r="UTA7" s="5"/>
      <c r="UTB7" s="5"/>
      <c r="UTC7" s="5"/>
      <c r="UTD7" s="5"/>
      <c r="UTE7" s="5"/>
      <c r="UTF7" s="5"/>
      <c r="UTG7" s="5"/>
      <c r="UTH7" s="5"/>
      <c r="UTI7" s="5"/>
      <c r="UTJ7" s="5"/>
      <c r="UTK7" s="5"/>
      <c r="UTL7" s="5"/>
      <c r="UTM7" s="5"/>
      <c r="UTN7" s="5"/>
      <c r="UTO7" s="5"/>
      <c r="UTP7" s="5"/>
      <c r="UTQ7" s="5"/>
      <c r="UTR7" s="5"/>
      <c r="UTS7" s="5"/>
      <c r="UTT7" s="5"/>
      <c r="UTU7" s="5"/>
      <c r="UTV7" s="5"/>
      <c r="UTW7" s="5"/>
      <c r="UTX7" s="5"/>
      <c r="UTY7" s="5"/>
      <c r="UTZ7" s="5"/>
      <c r="UUA7" s="5"/>
      <c r="UUB7" s="5"/>
      <c r="UUC7" s="5"/>
      <c r="UUD7" s="5"/>
      <c r="UUE7" s="5"/>
      <c r="UUF7" s="5"/>
      <c r="UUG7" s="5"/>
      <c r="UUH7" s="5"/>
      <c r="UUI7" s="5"/>
      <c r="UUJ7" s="5"/>
      <c r="UUK7" s="5"/>
      <c r="UUL7" s="5"/>
      <c r="UUM7" s="5"/>
      <c r="UUN7" s="5"/>
      <c r="UUO7" s="5"/>
      <c r="UUP7" s="5"/>
      <c r="UUQ7" s="5"/>
      <c r="UUR7" s="5"/>
      <c r="UUS7" s="5"/>
      <c r="UUT7" s="5"/>
      <c r="UUU7" s="5"/>
      <c r="UUV7" s="5"/>
      <c r="UUW7" s="5"/>
      <c r="UUX7" s="5"/>
      <c r="UUY7" s="5"/>
      <c r="UUZ7" s="5"/>
      <c r="UVA7" s="5"/>
      <c r="UVB7" s="5"/>
      <c r="UVC7" s="5"/>
      <c r="UVD7" s="5"/>
      <c r="UVE7" s="5"/>
      <c r="UVF7" s="5"/>
      <c r="UVG7" s="5"/>
      <c r="UVH7" s="5"/>
      <c r="UVI7" s="5"/>
      <c r="UVJ7" s="5"/>
      <c r="UVK7" s="5"/>
      <c r="UVL7" s="5"/>
      <c r="UVM7" s="5"/>
      <c r="UVN7" s="5"/>
      <c r="UVO7" s="5"/>
      <c r="UVP7" s="5"/>
      <c r="UVQ7" s="5"/>
      <c r="UVR7" s="5"/>
      <c r="UVS7" s="5"/>
      <c r="UVT7" s="5"/>
      <c r="UVU7" s="5"/>
      <c r="UVV7" s="5"/>
      <c r="UVW7" s="5"/>
      <c r="UVX7" s="5"/>
      <c r="UVY7" s="5"/>
      <c r="UVZ7" s="5"/>
      <c r="UWA7" s="5"/>
      <c r="UWB7" s="5"/>
      <c r="UWC7" s="5"/>
      <c r="UWD7" s="5"/>
      <c r="UWE7" s="5"/>
      <c r="UWF7" s="5"/>
      <c r="UWG7" s="5"/>
      <c r="UWH7" s="5"/>
      <c r="UWI7" s="5"/>
      <c r="UWJ7" s="5"/>
      <c r="UWK7" s="5"/>
      <c r="UWL7" s="5"/>
      <c r="UWM7" s="5"/>
      <c r="UWN7" s="5"/>
      <c r="UWO7" s="5"/>
      <c r="UWP7" s="5"/>
      <c r="UWQ7" s="5"/>
      <c r="UWR7" s="5"/>
      <c r="UWS7" s="5"/>
      <c r="UWT7" s="5"/>
      <c r="UWU7" s="5"/>
      <c r="UWV7" s="5"/>
      <c r="UWW7" s="5"/>
      <c r="UWX7" s="5"/>
      <c r="UWY7" s="5"/>
      <c r="UWZ7" s="5"/>
      <c r="UXA7" s="5"/>
      <c r="UXB7" s="5"/>
      <c r="UXC7" s="5"/>
      <c r="UXD7" s="5"/>
      <c r="UXE7" s="5"/>
      <c r="UXF7" s="5"/>
      <c r="UXG7" s="5"/>
      <c r="UXH7" s="5"/>
      <c r="UXI7" s="5"/>
      <c r="UXJ7" s="5"/>
      <c r="UXK7" s="5"/>
      <c r="UXL7" s="5"/>
      <c r="UXM7" s="5"/>
      <c r="UXN7" s="5"/>
      <c r="UXO7" s="5"/>
      <c r="UXP7" s="5"/>
      <c r="UXQ7" s="5"/>
      <c r="UXR7" s="5"/>
      <c r="UXS7" s="5"/>
      <c r="UXT7" s="5"/>
      <c r="UXU7" s="5"/>
      <c r="UXV7" s="5"/>
      <c r="UXW7" s="5"/>
      <c r="UXX7" s="5"/>
      <c r="UXY7" s="5"/>
      <c r="UXZ7" s="5"/>
      <c r="UYA7" s="5"/>
      <c r="UYB7" s="5"/>
      <c r="UYC7" s="5"/>
      <c r="UYD7" s="5"/>
      <c r="UYE7" s="5"/>
      <c r="UYF7" s="5"/>
      <c r="UYG7" s="5"/>
      <c r="UYH7" s="5"/>
      <c r="UYI7" s="5"/>
      <c r="UYJ7" s="5"/>
      <c r="UYK7" s="5"/>
      <c r="UYL7" s="5"/>
      <c r="UYM7" s="5"/>
      <c r="UYN7" s="5"/>
      <c r="UYO7" s="5"/>
      <c r="UYP7" s="5"/>
      <c r="UYQ7" s="5"/>
      <c r="UYR7" s="5"/>
      <c r="UYS7" s="5"/>
      <c r="UYT7" s="5"/>
      <c r="UYU7" s="5"/>
      <c r="UYV7" s="5"/>
      <c r="UYW7" s="5"/>
      <c r="UYX7" s="5"/>
      <c r="UYY7" s="5"/>
      <c r="UYZ7" s="5"/>
      <c r="UZA7" s="5"/>
      <c r="UZB7" s="5"/>
      <c r="UZC7" s="5"/>
      <c r="UZD7" s="5"/>
      <c r="UZE7" s="5"/>
      <c r="UZF7" s="5"/>
      <c r="UZG7" s="5"/>
      <c r="UZH7" s="5"/>
      <c r="UZI7" s="5"/>
      <c r="UZJ7" s="5"/>
      <c r="UZK7" s="5"/>
      <c r="UZL7" s="5"/>
      <c r="UZM7" s="5"/>
      <c r="UZN7" s="5"/>
      <c r="UZO7" s="5"/>
      <c r="UZP7" s="5"/>
      <c r="UZQ7" s="5"/>
      <c r="UZR7" s="5"/>
      <c r="UZS7" s="5"/>
      <c r="UZT7" s="5"/>
      <c r="UZU7" s="5"/>
      <c r="UZV7" s="5"/>
      <c r="UZW7" s="5"/>
      <c r="UZX7" s="5"/>
      <c r="UZY7" s="5"/>
      <c r="UZZ7" s="5"/>
      <c r="VAA7" s="5"/>
      <c r="VAB7" s="5"/>
      <c r="VAC7" s="5"/>
      <c r="VAD7" s="5"/>
      <c r="VAE7" s="5"/>
      <c r="VAF7" s="5"/>
      <c r="VAG7" s="5"/>
      <c r="VAH7" s="5"/>
      <c r="VAI7" s="5"/>
      <c r="VAJ7" s="5"/>
      <c r="VAK7" s="5"/>
      <c r="VAL7" s="5"/>
      <c r="VAM7" s="5"/>
      <c r="VAN7" s="5"/>
      <c r="VAO7" s="5"/>
      <c r="VAP7" s="5"/>
      <c r="VAQ7" s="5"/>
      <c r="VAR7" s="5"/>
      <c r="VAS7" s="5"/>
      <c r="VAT7" s="5"/>
      <c r="VAU7" s="5"/>
      <c r="VAV7" s="5"/>
      <c r="VAW7" s="5"/>
      <c r="VAX7" s="5"/>
      <c r="VAY7" s="5"/>
      <c r="VAZ7" s="5"/>
      <c r="VBA7" s="5"/>
      <c r="VBB7" s="5"/>
      <c r="VBC7" s="5"/>
      <c r="VBD7" s="5"/>
      <c r="VBE7" s="5"/>
      <c r="VBF7" s="5"/>
      <c r="VBG7" s="5"/>
      <c r="VBH7" s="5"/>
      <c r="VBI7" s="5"/>
      <c r="VBJ7" s="5"/>
      <c r="VBK7" s="5"/>
      <c r="VBL7" s="5"/>
      <c r="VBM7" s="5"/>
      <c r="VBN7" s="5"/>
      <c r="VBO7" s="5"/>
      <c r="VBP7" s="5"/>
      <c r="VBQ7" s="5"/>
      <c r="VBR7" s="5"/>
      <c r="VBS7" s="5"/>
      <c r="VBT7" s="5"/>
      <c r="VBU7" s="5"/>
      <c r="VBV7" s="5"/>
      <c r="VBW7" s="5"/>
      <c r="VBX7" s="5"/>
      <c r="VBY7" s="5"/>
      <c r="VBZ7" s="5"/>
      <c r="VCA7" s="5"/>
      <c r="VCB7" s="5"/>
      <c r="VCC7" s="5"/>
      <c r="VCD7" s="5"/>
      <c r="VCE7" s="5"/>
      <c r="VCF7" s="5"/>
      <c r="VCG7" s="5"/>
      <c r="VCH7" s="5"/>
      <c r="VCI7" s="5"/>
      <c r="VCJ7" s="5"/>
      <c r="VCK7" s="5"/>
      <c r="VCL7" s="5"/>
      <c r="VCM7" s="5"/>
      <c r="VCN7" s="5"/>
      <c r="VCO7" s="5"/>
      <c r="VCP7" s="5"/>
      <c r="VCQ7" s="5"/>
      <c r="VCR7" s="5"/>
      <c r="VCS7" s="5"/>
      <c r="VCT7" s="5"/>
      <c r="VCU7" s="5"/>
      <c r="VCV7" s="5"/>
      <c r="VCW7" s="5"/>
      <c r="VCX7" s="5"/>
      <c r="VCY7" s="5"/>
      <c r="VCZ7" s="5"/>
      <c r="VDA7" s="5"/>
      <c r="VDB7" s="5"/>
      <c r="VDC7" s="5"/>
      <c r="VDD7" s="5"/>
      <c r="VDE7" s="5"/>
      <c r="VDF7" s="5"/>
      <c r="VDG7" s="5"/>
      <c r="VDH7" s="5"/>
      <c r="VDI7" s="5"/>
      <c r="VDJ7" s="5"/>
      <c r="VDK7" s="5"/>
      <c r="VDL7" s="5"/>
      <c r="VDM7" s="5"/>
      <c r="VDN7" s="5"/>
      <c r="VDO7" s="5"/>
      <c r="VDP7" s="5"/>
      <c r="VDQ7" s="5"/>
      <c r="VDR7" s="5"/>
      <c r="VDS7" s="5"/>
      <c r="VDT7" s="5"/>
      <c r="VDU7" s="5"/>
      <c r="VDV7" s="5"/>
      <c r="VDW7" s="5"/>
      <c r="VDX7" s="5"/>
      <c r="VDY7" s="5"/>
      <c r="VDZ7" s="5"/>
      <c r="VEA7" s="5"/>
      <c r="VEB7" s="5"/>
      <c r="VEC7" s="5"/>
      <c r="VED7" s="5"/>
      <c r="VEE7" s="5"/>
      <c r="VEF7" s="5"/>
      <c r="VEG7" s="5"/>
      <c r="VEH7" s="5"/>
      <c r="VEI7" s="5"/>
      <c r="VEJ7" s="5"/>
      <c r="VEK7" s="5"/>
      <c r="VEL7" s="5"/>
      <c r="VEM7" s="5"/>
      <c r="VEN7" s="5"/>
      <c r="VEO7" s="5"/>
      <c r="VEP7" s="5"/>
      <c r="VEQ7" s="5"/>
      <c r="VER7" s="5"/>
      <c r="VES7" s="5"/>
      <c r="VET7" s="5"/>
      <c r="VEU7" s="5"/>
      <c r="VEV7" s="5"/>
      <c r="VEW7" s="5"/>
      <c r="VEX7" s="5"/>
      <c r="VEY7" s="5"/>
      <c r="VEZ7" s="5"/>
      <c r="VFA7" s="5"/>
      <c r="VFB7" s="5"/>
      <c r="VFC7" s="5"/>
      <c r="VFD7" s="5"/>
      <c r="VFE7" s="5"/>
      <c r="VFF7" s="5"/>
      <c r="VFG7" s="5"/>
      <c r="VFH7" s="5"/>
      <c r="VFI7" s="5"/>
      <c r="VFJ7" s="5"/>
      <c r="VFK7" s="5"/>
      <c r="VFL7" s="5"/>
      <c r="VFM7" s="5"/>
      <c r="VFN7" s="5"/>
      <c r="VFO7" s="5"/>
      <c r="VFP7" s="5"/>
      <c r="VFQ7" s="5"/>
      <c r="VFR7" s="5"/>
      <c r="VFS7" s="5"/>
      <c r="VFT7" s="5"/>
      <c r="VFU7" s="5"/>
      <c r="VFV7" s="5"/>
      <c r="VFW7" s="5"/>
      <c r="VFX7" s="5"/>
      <c r="VFY7" s="5"/>
      <c r="VFZ7" s="5"/>
      <c r="VGA7" s="5"/>
      <c r="VGB7" s="5"/>
      <c r="VGC7" s="5"/>
      <c r="VGD7" s="5"/>
      <c r="VGE7" s="5"/>
      <c r="VGF7" s="5"/>
      <c r="VGG7" s="5"/>
      <c r="VGH7" s="5"/>
      <c r="VGI7" s="5"/>
      <c r="VGJ7" s="5"/>
      <c r="VGK7" s="5"/>
      <c r="VGL7" s="5"/>
      <c r="VGM7" s="5"/>
      <c r="VGN7" s="5"/>
      <c r="VGO7" s="5"/>
      <c r="VGP7" s="5"/>
      <c r="VGQ7" s="5"/>
      <c r="VGR7" s="5"/>
      <c r="VGS7" s="5"/>
      <c r="VGT7" s="5"/>
      <c r="VGU7" s="5"/>
      <c r="VGV7" s="5"/>
      <c r="VGW7" s="5"/>
      <c r="VGX7" s="5"/>
      <c r="VGY7" s="5"/>
      <c r="VGZ7" s="5"/>
      <c r="VHA7" s="5"/>
      <c r="VHB7" s="5"/>
      <c r="VHC7" s="5"/>
      <c r="VHD7" s="5"/>
      <c r="VHE7" s="5"/>
      <c r="VHF7" s="5"/>
      <c r="VHG7" s="5"/>
      <c r="VHH7" s="5"/>
      <c r="VHI7" s="5"/>
      <c r="VHJ7" s="5"/>
      <c r="VHK7" s="5"/>
      <c r="VHL7" s="5"/>
      <c r="VHM7" s="5"/>
      <c r="VHN7" s="5"/>
      <c r="VHO7" s="5"/>
      <c r="VHP7" s="5"/>
      <c r="VHQ7" s="5"/>
      <c r="VHR7" s="5"/>
      <c r="VHS7" s="5"/>
      <c r="VHT7" s="5"/>
      <c r="VHU7" s="5"/>
      <c r="VHV7" s="5"/>
      <c r="VHW7" s="5"/>
      <c r="VHX7" s="5"/>
      <c r="VHY7" s="5"/>
      <c r="VHZ7" s="5"/>
      <c r="VIA7" s="5"/>
      <c r="VIB7" s="5"/>
      <c r="VIC7" s="5"/>
      <c r="VID7" s="5"/>
      <c r="VIE7" s="5"/>
      <c r="VIF7" s="5"/>
      <c r="VIG7" s="5"/>
      <c r="VIH7" s="5"/>
      <c r="VII7" s="5"/>
      <c r="VIJ7" s="5"/>
      <c r="VIK7" s="5"/>
      <c r="VIL7" s="5"/>
      <c r="VIM7" s="5"/>
      <c r="VIN7" s="5"/>
      <c r="VIO7" s="5"/>
      <c r="VIP7" s="5"/>
      <c r="VIQ7" s="5"/>
      <c r="VIR7" s="5"/>
      <c r="VIS7" s="5"/>
      <c r="VIT7" s="5"/>
      <c r="VIU7" s="5"/>
      <c r="VIV7" s="5"/>
      <c r="VIW7" s="5"/>
      <c r="VIX7" s="5"/>
      <c r="VIY7" s="5"/>
      <c r="VIZ7" s="5"/>
      <c r="VJA7" s="5"/>
      <c r="VJB7" s="5"/>
      <c r="VJC7" s="5"/>
      <c r="VJD7" s="5"/>
      <c r="VJE7" s="5"/>
      <c r="VJF7" s="5"/>
      <c r="VJG7" s="5"/>
      <c r="VJH7" s="5"/>
      <c r="VJI7" s="5"/>
      <c r="VJJ7" s="5"/>
      <c r="VJK7" s="5"/>
      <c r="VJL7" s="5"/>
      <c r="VJM7" s="5"/>
      <c r="VJN7" s="5"/>
      <c r="VJO7" s="5"/>
      <c r="VJP7" s="5"/>
      <c r="VJQ7" s="5"/>
      <c r="VJR7" s="5"/>
      <c r="VJS7" s="5"/>
      <c r="VJT7" s="5"/>
      <c r="VJU7" s="5"/>
      <c r="VJV7" s="5"/>
      <c r="VJW7" s="5"/>
      <c r="VJX7" s="5"/>
      <c r="VJY7" s="5"/>
      <c r="VJZ7" s="5"/>
      <c r="VKA7" s="5"/>
      <c r="VKB7" s="5"/>
      <c r="VKC7" s="5"/>
      <c r="VKD7" s="5"/>
      <c r="VKE7" s="5"/>
      <c r="VKF7" s="5"/>
      <c r="VKG7" s="5"/>
      <c r="VKH7" s="5"/>
      <c r="VKI7" s="5"/>
      <c r="VKJ7" s="5"/>
      <c r="VKK7" s="5"/>
      <c r="VKL7" s="5"/>
      <c r="VKM7" s="5"/>
      <c r="VKN7" s="5"/>
      <c r="VKO7" s="5"/>
      <c r="VKP7" s="5"/>
      <c r="VKQ7" s="5"/>
      <c r="VKR7" s="5"/>
      <c r="VKS7" s="5"/>
      <c r="VKT7" s="5"/>
      <c r="VKU7" s="5"/>
      <c r="VKV7" s="5"/>
      <c r="VKW7" s="5"/>
      <c r="VKX7" s="5"/>
      <c r="VKY7" s="5"/>
      <c r="VKZ7" s="5"/>
      <c r="VLA7" s="5"/>
      <c r="VLB7" s="5"/>
      <c r="VLC7" s="5"/>
      <c r="VLD7" s="5"/>
      <c r="VLE7" s="5"/>
      <c r="VLF7" s="5"/>
      <c r="VLG7" s="5"/>
      <c r="VLH7" s="5"/>
      <c r="VLI7" s="5"/>
      <c r="VLJ7" s="5"/>
      <c r="VLK7" s="5"/>
      <c r="VLL7" s="5"/>
      <c r="VLM7" s="5"/>
      <c r="VLN7" s="5"/>
      <c r="VLO7" s="5"/>
      <c r="VLP7" s="5"/>
      <c r="VLQ7" s="5"/>
      <c r="VLR7" s="5"/>
      <c r="VLS7" s="5"/>
      <c r="VLT7" s="5"/>
      <c r="VLU7" s="5"/>
      <c r="VLV7" s="5"/>
      <c r="VLW7" s="5"/>
      <c r="VLX7" s="5"/>
      <c r="VLY7" s="5"/>
      <c r="VLZ7" s="5"/>
      <c r="VMA7" s="5"/>
      <c r="VMB7" s="5"/>
      <c r="VMC7" s="5"/>
      <c r="VMD7" s="5"/>
      <c r="VME7" s="5"/>
      <c r="VMF7" s="5"/>
      <c r="VMG7" s="5"/>
      <c r="VMH7" s="5"/>
      <c r="VMI7" s="5"/>
      <c r="VMJ7" s="5"/>
      <c r="VMK7" s="5"/>
      <c r="VML7" s="5"/>
      <c r="VMM7" s="5"/>
      <c r="VMN7" s="5"/>
      <c r="VMO7" s="5"/>
      <c r="VMP7" s="5"/>
      <c r="VMQ7" s="5"/>
      <c r="VMR7" s="5"/>
      <c r="VMS7" s="5"/>
      <c r="VMT7" s="5"/>
      <c r="VMU7" s="5"/>
      <c r="VMV7" s="5"/>
      <c r="VMW7" s="5"/>
      <c r="VMX7" s="5"/>
      <c r="VMY7" s="5"/>
      <c r="VMZ7" s="5"/>
      <c r="VNA7" s="5"/>
      <c r="VNB7" s="5"/>
      <c r="VNC7" s="5"/>
      <c r="VND7" s="5"/>
      <c r="VNE7" s="5"/>
      <c r="VNF7" s="5"/>
      <c r="VNG7" s="5"/>
      <c r="VNH7" s="5"/>
      <c r="VNI7" s="5"/>
      <c r="VNJ7" s="5"/>
      <c r="VNK7" s="5"/>
      <c r="VNL7" s="5"/>
      <c r="VNM7" s="5"/>
      <c r="VNN7" s="5"/>
      <c r="VNO7" s="5"/>
      <c r="VNP7" s="5"/>
      <c r="VNQ7" s="5"/>
      <c r="VNR7" s="5"/>
      <c r="VNS7" s="5"/>
      <c r="VNT7" s="5"/>
      <c r="VNU7" s="5"/>
      <c r="VNV7" s="5"/>
      <c r="VNW7" s="5"/>
      <c r="VNX7" s="5"/>
      <c r="VNY7" s="5"/>
      <c r="VNZ7" s="5"/>
      <c r="VOA7" s="5"/>
      <c r="VOB7" s="5"/>
      <c r="VOC7" s="5"/>
      <c r="VOD7" s="5"/>
      <c r="VOE7" s="5"/>
      <c r="VOF7" s="5"/>
      <c r="VOG7" s="5"/>
      <c r="VOH7" s="5"/>
      <c r="VOI7" s="5"/>
      <c r="VOJ7" s="5"/>
      <c r="VOK7" s="5"/>
      <c r="VOL7" s="5"/>
      <c r="VOM7" s="5"/>
      <c r="VON7" s="5"/>
      <c r="VOO7" s="5"/>
      <c r="VOP7" s="5"/>
      <c r="VOQ7" s="5"/>
      <c r="VOR7" s="5"/>
      <c r="VOS7" s="5"/>
      <c r="VOT7" s="5"/>
      <c r="VOU7" s="5"/>
      <c r="VOV7" s="5"/>
      <c r="VOW7" s="5"/>
      <c r="VOX7" s="5"/>
      <c r="VOY7" s="5"/>
      <c r="VOZ7" s="5"/>
      <c r="VPA7" s="5"/>
      <c r="VPB7" s="5"/>
      <c r="VPC7" s="5"/>
      <c r="VPD7" s="5"/>
      <c r="VPE7" s="5"/>
      <c r="VPF7" s="5"/>
      <c r="VPG7" s="5"/>
      <c r="VPH7" s="5"/>
      <c r="VPI7" s="5"/>
      <c r="VPJ7" s="5"/>
      <c r="VPK7" s="5"/>
      <c r="VPL7" s="5"/>
      <c r="VPM7" s="5"/>
      <c r="VPN7" s="5"/>
      <c r="VPO7" s="5"/>
      <c r="VPP7" s="5"/>
      <c r="VPQ7" s="5"/>
      <c r="VPR7" s="5"/>
      <c r="VPS7" s="5"/>
      <c r="VPT7" s="5"/>
      <c r="VPU7" s="5"/>
      <c r="VPV7" s="5"/>
      <c r="VPW7" s="5"/>
      <c r="VPX7" s="5"/>
      <c r="VPY7" s="5"/>
      <c r="VPZ7" s="5"/>
      <c r="VQA7" s="5"/>
      <c r="VQB7" s="5"/>
      <c r="VQC7" s="5"/>
      <c r="VQD7" s="5"/>
      <c r="VQE7" s="5"/>
      <c r="VQF7" s="5"/>
      <c r="VQG7" s="5"/>
      <c r="VQH7" s="5"/>
      <c r="VQI7" s="5"/>
      <c r="VQJ7" s="5"/>
      <c r="VQK7" s="5"/>
      <c r="VQL7" s="5"/>
      <c r="VQM7" s="5"/>
      <c r="VQN7" s="5"/>
      <c r="VQO7" s="5"/>
      <c r="VQP7" s="5"/>
      <c r="VQQ7" s="5"/>
      <c r="VQR7" s="5"/>
      <c r="VQS7" s="5"/>
      <c r="VQT7" s="5"/>
      <c r="VQU7" s="5"/>
      <c r="VQV7" s="5"/>
      <c r="VQW7" s="5"/>
      <c r="VQX7" s="5"/>
      <c r="VQY7" s="5"/>
      <c r="VQZ7" s="5"/>
      <c r="VRA7" s="5"/>
      <c r="VRB7" s="5"/>
      <c r="VRC7" s="5"/>
      <c r="VRD7" s="5"/>
      <c r="VRE7" s="5"/>
      <c r="VRF7" s="5"/>
      <c r="VRG7" s="5"/>
      <c r="VRH7" s="5"/>
      <c r="VRI7" s="5"/>
      <c r="VRJ7" s="5"/>
      <c r="VRK7" s="5"/>
      <c r="VRL7" s="5"/>
      <c r="VRM7" s="5"/>
      <c r="VRN7" s="5"/>
      <c r="VRO7" s="5"/>
      <c r="VRP7" s="5"/>
      <c r="VRQ7" s="5"/>
      <c r="VRR7" s="5"/>
      <c r="VRS7" s="5"/>
      <c r="VRT7" s="5"/>
      <c r="VRU7" s="5"/>
      <c r="VRV7" s="5"/>
      <c r="VRW7" s="5"/>
      <c r="VRX7" s="5"/>
      <c r="VRY7" s="5"/>
      <c r="VRZ7" s="5"/>
      <c r="VSA7" s="5"/>
      <c r="VSB7" s="5"/>
      <c r="VSC7" s="5"/>
      <c r="VSD7" s="5"/>
      <c r="VSE7" s="5"/>
      <c r="VSF7" s="5"/>
      <c r="VSG7" s="5"/>
      <c r="VSH7" s="5"/>
      <c r="VSI7" s="5"/>
      <c r="VSJ7" s="5"/>
      <c r="VSK7" s="5"/>
      <c r="VSL7" s="5"/>
      <c r="VSM7" s="5"/>
      <c r="VSN7" s="5"/>
      <c r="VSO7" s="5"/>
      <c r="VSP7" s="5"/>
      <c r="VSQ7" s="5"/>
      <c r="VSR7" s="5"/>
      <c r="VSS7" s="5"/>
      <c r="VST7" s="5"/>
      <c r="VSU7" s="5"/>
      <c r="VSV7" s="5"/>
      <c r="VSW7" s="5"/>
      <c r="VSX7" s="5"/>
      <c r="VSY7" s="5"/>
      <c r="VSZ7" s="5"/>
      <c r="VTA7" s="5"/>
      <c r="VTB7" s="5"/>
      <c r="VTC7" s="5"/>
      <c r="VTD7" s="5"/>
      <c r="VTE7" s="5"/>
      <c r="VTF7" s="5"/>
      <c r="VTG7" s="5"/>
      <c r="VTH7" s="5"/>
      <c r="VTI7" s="5"/>
      <c r="VTJ7" s="5"/>
      <c r="VTK7" s="5"/>
      <c r="VTL7" s="5"/>
      <c r="VTM7" s="5"/>
      <c r="VTN7" s="5"/>
      <c r="VTO7" s="5"/>
      <c r="VTP7" s="5"/>
      <c r="VTQ7" s="5"/>
      <c r="VTR7" s="5"/>
      <c r="VTS7" s="5"/>
      <c r="VTT7" s="5"/>
      <c r="VTU7" s="5"/>
      <c r="VTV7" s="5"/>
      <c r="VTW7" s="5"/>
      <c r="VTX7" s="5"/>
      <c r="VTY7" s="5"/>
      <c r="VTZ7" s="5"/>
      <c r="VUA7" s="5"/>
      <c r="VUB7" s="5"/>
      <c r="VUC7" s="5"/>
      <c r="VUD7" s="5"/>
      <c r="VUE7" s="5"/>
      <c r="VUF7" s="5"/>
      <c r="VUG7" s="5"/>
      <c r="VUH7" s="5"/>
      <c r="VUI7" s="5"/>
      <c r="VUJ7" s="5"/>
      <c r="VUK7" s="5"/>
      <c r="VUL7" s="5"/>
      <c r="VUM7" s="5"/>
      <c r="VUN7" s="5"/>
      <c r="VUO7" s="5"/>
      <c r="VUP7" s="5"/>
      <c r="VUQ7" s="5"/>
      <c r="VUR7" s="5"/>
      <c r="VUS7" s="5"/>
      <c r="VUT7" s="5"/>
      <c r="VUU7" s="5"/>
      <c r="VUV7" s="5"/>
      <c r="VUW7" s="5"/>
      <c r="VUX7" s="5"/>
      <c r="VUY7" s="5"/>
      <c r="VUZ7" s="5"/>
      <c r="VVA7" s="5"/>
      <c r="VVB7" s="5"/>
      <c r="VVC7" s="5"/>
      <c r="VVD7" s="5"/>
      <c r="VVE7" s="5"/>
      <c r="VVF7" s="5"/>
      <c r="VVG7" s="5"/>
      <c r="VVH7" s="5"/>
      <c r="VVI7" s="5"/>
      <c r="VVJ7" s="5"/>
      <c r="VVK7" s="5"/>
      <c r="VVL7" s="5"/>
      <c r="VVM7" s="5"/>
      <c r="VVN7" s="5"/>
      <c r="VVO7" s="5"/>
      <c r="VVP7" s="5"/>
      <c r="VVQ7" s="5"/>
      <c r="VVR7" s="5"/>
      <c r="VVS7" s="5"/>
      <c r="VVT7" s="5"/>
      <c r="VVU7" s="5"/>
      <c r="VVV7" s="5"/>
      <c r="VVW7" s="5"/>
      <c r="VVX7" s="5"/>
      <c r="VVY7" s="5"/>
      <c r="VVZ7" s="5"/>
      <c r="VWA7" s="5"/>
      <c r="VWB7" s="5"/>
      <c r="VWC7" s="5"/>
      <c r="VWD7" s="5"/>
      <c r="VWE7" s="5"/>
      <c r="VWF7" s="5"/>
      <c r="VWG7" s="5"/>
      <c r="VWH7" s="5"/>
      <c r="VWI7" s="5"/>
      <c r="VWJ7" s="5"/>
      <c r="VWK7" s="5"/>
      <c r="VWL7" s="5"/>
      <c r="VWM7" s="5"/>
      <c r="VWN7" s="5"/>
      <c r="VWO7" s="5"/>
      <c r="VWP7" s="5"/>
      <c r="VWQ7" s="5"/>
      <c r="VWR7" s="5"/>
      <c r="VWS7" s="5"/>
      <c r="VWT7" s="5"/>
      <c r="VWU7" s="5"/>
      <c r="VWV7" s="5"/>
      <c r="VWW7" s="5"/>
      <c r="VWX7" s="5"/>
      <c r="VWY7" s="5"/>
      <c r="VWZ7" s="5"/>
      <c r="VXA7" s="5"/>
      <c r="VXB7" s="5"/>
      <c r="VXC7" s="5"/>
      <c r="VXD7" s="5"/>
      <c r="VXE7" s="5"/>
      <c r="VXF7" s="5"/>
      <c r="VXG7" s="5"/>
      <c r="VXH7" s="5"/>
      <c r="VXI7" s="5"/>
      <c r="VXJ7" s="5"/>
      <c r="VXK7" s="5"/>
      <c r="VXL7" s="5"/>
      <c r="VXM7" s="5"/>
      <c r="VXN7" s="5"/>
      <c r="VXO7" s="5"/>
      <c r="VXP7" s="5"/>
      <c r="VXQ7" s="5"/>
      <c r="VXR7" s="5"/>
      <c r="VXS7" s="5"/>
      <c r="VXT7" s="5"/>
      <c r="VXU7" s="5"/>
      <c r="VXV7" s="5"/>
      <c r="VXW7" s="5"/>
      <c r="VXX7" s="5"/>
      <c r="VXY7" s="5"/>
      <c r="VXZ7" s="5"/>
      <c r="VYA7" s="5"/>
      <c r="VYB7" s="5"/>
      <c r="VYC7" s="5"/>
      <c r="VYD7" s="5"/>
      <c r="VYE7" s="5"/>
      <c r="VYF7" s="5"/>
      <c r="VYG7" s="5"/>
      <c r="VYH7" s="5"/>
      <c r="VYI7" s="5"/>
      <c r="VYJ7" s="5"/>
      <c r="VYK7" s="5"/>
      <c r="VYL7" s="5"/>
      <c r="VYM7" s="5"/>
      <c r="VYN7" s="5"/>
      <c r="VYO7" s="5"/>
      <c r="VYP7" s="5"/>
      <c r="VYQ7" s="5"/>
      <c r="VYR7" s="5"/>
      <c r="VYS7" s="5"/>
      <c r="VYT7" s="5"/>
      <c r="VYU7" s="5"/>
      <c r="VYV7" s="5"/>
      <c r="VYW7" s="5"/>
      <c r="VYX7" s="5"/>
      <c r="VYY7" s="5"/>
      <c r="VYZ7" s="5"/>
      <c r="VZA7" s="5"/>
      <c r="VZB7" s="5"/>
      <c r="VZC7" s="5"/>
      <c r="VZD7" s="5"/>
      <c r="VZE7" s="5"/>
      <c r="VZF7" s="5"/>
      <c r="VZG7" s="5"/>
      <c r="VZH7" s="5"/>
      <c r="VZI7" s="5"/>
      <c r="VZJ7" s="5"/>
      <c r="VZK7" s="5"/>
      <c r="VZL7" s="5"/>
      <c r="VZM7" s="5"/>
      <c r="VZN7" s="5"/>
      <c r="VZO7" s="5"/>
      <c r="VZP7" s="5"/>
      <c r="VZQ7" s="5"/>
      <c r="VZR7" s="5"/>
      <c r="VZS7" s="5"/>
      <c r="VZT7" s="5"/>
      <c r="VZU7" s="5"/>
      <c r="VZV7" s="5"/>
      <c r="VZW7" s="5"/>
      <c r="VZX7" s="5"/>
      <c r="VZY7" s="5"/>
      <c r="VZZ7" s="5"/>
      <c r="WAA7" s="5"/>
      <c r="WAB7" s="5"/>
      <c r="WAC7" s="5"/>
      <c r="WAD7" s="5"/>
      <c r="WAE7" s="5"/>
      <c r="WAF7" s="5"/>
      <c r="WAG7" s="5"/>
      <c r="WAH7" s="5"/>
      <c r="WAI7" s="5"/>
      <c r="WAJ7" s="5"/>
      <c r="WAK7" s="5"/>
      <c r="WAL7" s="5"/>
      <c r="WAM7" s="5"/>
      <c r="WAN7" s="5"/>
      <c r="WAO7" s="5"/>
      <c r="WAP7" s="5"/>
      <c r="WAQ7" s="5"/>
      <c r="WAR7" s="5"/>
      <c r="WAS7" s="5"/>
      <c r="WAT7" s="5"/>
      <c r="WAU7" s="5"/>
      <c r="WAV7" s="5"/>
      <c r="WAW7" s="5"/>
      <c r="WAX7" s="5"/>
      <c r="WAY7" s="5"/>
      <c r="WAZ7" s="5"/>
      <c r="WBA7" s="5"/>
      <c r="WBB7" s="5"/>
      <c r="WBC7" s="5"/>
      <c r="WBD7" s="5"/>
      <c r="WBE7" s="5"/>
      <c r="WBF7" s="5"/>
      <c r="WBG7" s="5"/>
      <c r="WBH7" s="5"/>
      <c r="WBI7" s="5"/>
      <c r="WBJ7" s="5"/>
      <c r="WBK7" s="5"/>
      <c r="WBL7" s="5"/>
      <c r="WBM7" s="5"/>
      <c r="WBN7" s="5"/>
      <c r="WBO7" s="5"/>
      <c r="WBP7" s="5"/>
      <c r="WBQ7" s="5"/>
      <c r="WBR7" s="5"/>
      <c r="WBS7" s="5"/>
      <c r="WBT7" s="5"/>
      <c r="WBU7" s="5"/>
      <c r="WBV7" s="5"/>
      <c r="WBW7" s="5"/>
      <c r="WBX7" s="5"/>
      <c r="WBY7" s="5"/>
      <c r="WBZ7" s="5"/>
      <c r="WCA7" s="5"/>
      <c r="WCB7" s="5"/>
      <c r="WCC7" s="5"/>
      <c r="WCD7" s="5"/>
      <c r="WCE7" s="5"/>
      <c r="WCF7" s="5"/>
      <c r="WCG7" s="5"/>
      <c r="WCH7" s="5"/>
      <c r="WCI7" s="5"/>
      <c r="WCJ7" s="5"/>
      <c r="WCK7" s="5"/>
      <c r="WCL7" s="5"/>
      <c r="WCM7" s="5"/>
      <c r="WCN7" s="5"/>
      <c r="WCO7" s="5"/>
      <c r="WCP7" s="5"/>
      <c r="WCQ7" s="5"/>
      <c r="WCR7" s="5"/>
      <c r="WCS7" s="5"/>
      <c r="WCT7" s="5"/>
      <c r="WCU7" s="5"/>
      <c r="WCV7" s="5"/>
      <c r="WCW7" s="5"/>
      <c r="WCX7" s="5"/>
      <c r="WCY7" s="5"/>
      <c r="WCZ7" s="5"/>
      <c r="WDA7" s="5"/>
      <c r="WDB7" s="5"/>
      <c r="WDC7" s="5"/>
      <c r="WDD7" s="5"/>
      <c r="WDE7" s="5"/>
      <c r="WDF7" s="5"/>
      <c r="WDG7" s="5"/>
      <c r="WDH7" s="5"/>
      <c r="WDI7" s="5"/>
      <c r="WDJ7" s="5"/>
      <c r="WDK7" s="5"/>
      <c r="WDL7" s="5"/>
      <c r="WDM7" s="5"/>
      <c r="WDN7" s="5"/>
      <c r="WDO7" s="5"/>
      <c r="WDP7" s="5"/>
      <c r="WDQ7" s="5"/>
      <c r="WDR7" s="5"/>
      <c r="WDS7" s="5"/>
      <c r="WDT7" s="5"/>
      <c r="WDU7" s="5"/>
      <c r="WDV7" s="5"/>
      <c r="WDW7" s="5"/>
      <c r="WDX7" s="5"/>
      <c r="WDY7" s="5"/>
      <c r="WDZ7" s="5"/>
      <c r="WEA7" s="5"/>
      <c r="WEB7" s="5"/>
      <c r="WEC7" s="5"/>
      <c r="WED7" s="5"/>
      <c r="WEE7" s="5"/>
      <c r="WEF7" s="5"/>
      <c r="WEG7" s="5"/>
      <c r="WEH7" s="5"/>
      <c r="WEI7" s="5"/>
      <c r="WEJ7" s="5"/>
      <c r="WEK7" s="5"/>
      <c r="WEL7" s="5"/>
      <c r="WEM7" s="5"/>
      <c r="WEN7" s="5"/>
      <c r="WEO7" s="5"/>
      <c r="WEP7" s="5"/>
      <c r="WEQ7" s="5"/>
      <c r="WER7" s="5"/>
      <c r="WES7" s="5"/>
      <c r="WET7" s="5"/>
      <c r="WEU7" s="5"/>
      <c r="WEV7" s="5"/>
      <c r="WEW7" s="5"/>
      <c r="WEX7" s="5"/>
      <c r="WEY7" s="5"/>
      <c r="WEZ7" s="5"/>
      <c r="WFA7" s="5"/>
      <c r="WFB7" s="5"/>
      <c r="WFC7" s="5"/>
      <c r="WFD7" s="5"/>
      <c r="WFE7" s="5"/>
      <c r="WFF7" s="5"/>
      <c r="WFG7" s="5"/>
      <c r="WFH7" s="5"/>
      <c r="WFI7" s="5"/>
      <c r="WFJ7" s="5"/>
      <c r="WFK7" s="5"/>
      <c r="WFL7" s="5"/>
      <c r="WFM7" s="5"/>
      <c r="WFN7" s="5"/>
      <c r="WFO7" s="5"/>
      <c r="WFP7" s="5"/>
      <c r="WFQ7" s="5"/>
      <c r="WFR7" s="5"/>
      <c r="WFS7" s="5"/>
      <c r="WFT7" s="5"/>
      <c r="WFU7" s="5"/>
      <c r="WFV7" s="5"/>
      <c r="WFW7" s="5"/>
      <c r="WFX7" s="5"/>
      <c r="WFY7" s="5"/>
      <c r="WFZ7" s="5"/>
      <c r="WGA7" s="5"/>
      <c r="WGB7" s="5"/>
      <c r="WGC7" s="5"/>
      <c r="WGD7" s="5"/>
      <c r="WGE7" s="5"/>
      <c r="WGF7" s="5"/>
      <c r="WGG7" s="5"/>
      <c r="WGH7" s="5"/>
      <c r="WGI7" s="5"/>
      <c r="WGJ7" s="5"/>
      <c r="WGK7" s="5"/>
      <c r="WGL7" s="5"/>
      <c r="WGM7" s="5"/>
      <c r="WGN7" s="5"/>
      <c r="WGO7" s="5"/>
      <c r="WGP7" s="5"/>
      <c r="WGQ7" s="5"/>
      <c r="WGR7" s="5"/>
      <c r="WGS7" s="5"/>
      <c r="WGT7" s="5"/>
      <c r="WGU7" s="5"/>
      <c r="WGV7" s="5"/>
      <c r="WGW7" s="5"/>
      <c r="WGX7" s="5"/>
      <c r="WGY7" s="5"/>
      <c r="WGZ7" s="5"/>
      <c r="WHA7" s="5"/>
      <c r="WHB7" s="5"/>
      <c r="WHC7" s="5"/>
      <c r="WHD7" s="5"/>
      <c r="WHE7" s="5"/>
      <c r="WHF7" s="5"/>
      <c r="WHG7" s="5"/>
      <c r="WHH7" s="5"/>
      <c r="WHI7" s="5"/>
      <c r="WHJ7" s="5"/>
      <c r="WHK7" s="5"/>
      <c r="WHL7" s="5"/>
      <c r="WHM7" s="5"/>
      <c r="WHN7" s="5"/>
      <c r="WHO7" s="5"/>
      <c r="WHP7" s="5"/>
      <c r="WHQ7" s="5"/>
      <c r="WHR7" s="5"/>
      <c r="WHS7" s="5"/>
      <c r="WHT7" s="5"/>
      <c r="WHU7" s="5"/>
      <c r="WHV7" s="5"/>
      <c r="WHW7" s="5"/>
      <c r="WHX7" s="5"/>
      <c r="WHY7" s="5"/>
      <c r="WHZ7" s="5"/>
      <c r="WIA7" s="5"/>
      <c r="WIB7" s="5"/>
      <c r="WIC7" s="5"/>
      <c r="WID7" s="5"/>
      <c r="WIE7" s="5"/>
      <c r="WIF7" s="5"/>
      <c r="WIG7" s="5"/>
      <c r="WIH7" s="5"/>
      <c r="WII7" s="5"/>
      <c r="WIJ7" s="5"/>
      <c r="WIK7" s="5"/>
      <c r="WIL7" s="5"/>
      <c r="WIM7" s="5"/>
      <c r="WIN7" s="5"/>
      <c r="WIO7" s="5"/>
      <c r="WIP7" s="5"/>
      <c r="WIQ7" s="5"/>
      <c r="WIR7" s="5"/>
      <c r="WIS7" s="5"/>
      <c r="WIT7" s="5"/>
      <c r="WIU7" s="5"/>
      <c r="WIV7" s="5"/>
      <c r="WIW7" s="5"/>
      <c r="WIX7" s="5"/>
      <c r="WIY7" s="5"/>
      <c r="WIZ7" s="5"/>
      <c r="WJA7" s="5"/>
      <c r="WJB7" s="5"/>
      <c r="WJC7" s="5"/>
      <c r="WJD7" s="5"/>
      <c r="WJE7" s="5"/>
      <c r="WJF7" s="5"/>
      <c r="WJG7" s="5"/>
      <c r="WJH7" s="5"/>
      <c r="WJI7" s="5"/>
      <c r="WJJ7" s="5"/>
      <c r="WJK7" s="5"/>
      <c r="WJL7" s="5"/>
      <c r="WJM7" s="5"/>
      <c r="WJN7" s="5"/>
      <c r="WJO7" s="5"/>
      <c r="WJP7" s="5"/>
      <c r="WJQ7" s="5"/>
      <c r="WJR7" s="5"/>
      <c r="WJS7" s="5"/>
      <c r="WJT7" s="5"/>
      <c r="WJU7" s="5"/>
      <c r="WJV7" s="5"/>
      <c r="WJW7" s="5"/>
      <c r="WJX7" s="5"/>
      <c r="WJY7" s="5"/>
      <c r="WJZ7" s="5"/>
      <c r="WKA7" s="5"/>
      <c r="WKB7" s="5"/>
      <c r="WKC7" s="5"/>
      <c r="WKD7" s="5"/>
      <c r="WKE7" s="5"/>
      <c r="WKF7" s="5"/>
      <c r="WKG7" s="5"/>
      <c r="WKH7" s="5"/>
      <c r="WKI7" s="5"/>
      <c r="WKJ7" s="5"/>
      <c r="WKK7" s="5"/>
      <c r="WKL7" s="5"/>
      <c r="WKM7" s="5"/>
      <c r="WKN7" s="5"/>
      <c r="WKO7" s="5"/>
      <c r="WKP7" s="5"/>
      <c r="WKQ7" s="5"/>
      <c r="WKR7" s="5"/>
      <c r="WKS7" s="5"/>
      <c r="WKT7" s="5"/>
      <c r="WKU7" s="5"/>
      <c r="WKV7" s="5"/>
      <c r="WKW7" s="5"/>
      <c r="WKX7" s="5"/>
      <c r="WKY7" s="5"/>
      <c r="WKZ7" s="5"/>
      <c r="WLA7" s="5"/>
      <c r="WLB7" s="5"/>
      <c r="WLC7" s="5"/>
      <c r="WLD7" s="5"/>
      <c r="WLE7" s="5"/>
      <c r="WLF7" s="5"/>
      <c r="WLG7" s="5"/>
      <c r="WLH7" s="5"/>
      <c r="WLI7" s="5"/>
      <c r="WLJ7" s="5"/>
      <c r="WLK7" s="5"/>
      <c r="WLL7" s="5"/>
      <c r="WLM7" s="5"/>
      <c r="WLN7" s="5"/>
      <c r="WLO7" s="5"/>
      <c r="WLP7" s="5"/>
      <c r="WLQ7" s="5"/>
      <c r="WLR7" s="5"/>
      <c r="WLS7" s="5"/>
      <c r="WLT7" s="5"/>
      <c r="WLU7" s="5"/>
      <c r="WLV7" s="5"/>
      <c r="WLW7" s="5"/>
      <c r="WLX7" s="5"/>
      <c r="WLY7" s="5"/>
      <c r="WLZ7" s="5"/>
      <c r="WMA7" s="5"/>
      <c r="WMB7" s="5"/>
      <c r="WMC7" s="5"/>
      <c r="WMD7" s="5"/>
      <c r="WME7" s="5"/>
      <c r="WMF7" s="5"/>
      <c r="WMG7" s="5"/>
      <c r="WMH7" s="5"/>
      <c r="WMI7" s="5"/>
      <c r="WMJ7" s="5"/>
      <c r="WMK7" s="5"/>
      <c r="WML7" s="5"/>
      <c r="WMM7" s="5"/>
      <c r="WMN7" s="5"/>
      <c r="WMO7" s="5"/>
      <c r="WMP7" s="5"/>
      <c r="WMQ7" s="5"/>
      <c r="WMR7" s="5"/>
      <c r="WMS7" s="5"/>
      <c r="WMT7" s="5"/>
      <c r="WMU7" s="5"/>
      <c r="WMV7" s="5"/>
      <c r="WMW7" s="5"/>
      <c r="WMX7" s="5"/>
      <c r="WMY7" s="5"/>
      <c r="WMZ7" s="5"/>
      <c r="WNA7" s="5"/>
      <c r="WNB7" s="5"/>
      <c r="WNC7" s="5"/>
      <c r="WND7" s="5"/>
      <c r="WNE7" s="5"/>
      <c r="WNF7" s="5"/>
      <c r="WNG7" s="5"/>
      <c r="WNH7" s="5"/>
      <c r="WNI7" s="5"/>
      <c r="WNJ7" s="5"/>
      <c r="WNK7" s="5"/>
      <c r="WNL7" s="5"/>
      <c r="WNM7" s="5"/>
      <c r="WNN7" s="5"/>
      <c r="WNO7" s="5"/>
      <c r="WNP7" s="5"/>
      <c r="WNQ7" s="5"/>
      <c r="WNR7" s="5"/>
      <c r="WNS7" s="5"/>
      <c r="WNT7" s="5"/>
      <c r="WNU7" s="5"/>
      <c r="WNV7" s="5"/>
      <c r="WNW7" s="5"/>
      <c r="WNX7" s="5"/>
      <c r="WNY7" s="5"/>
      <c r="WNZ7" s="5"/>
      <c r="WOA7" s="5"/>
      <c r="WOB7" s="5"/>
      <c r="WOC7" s="5"/>
      <c r="WOD7" s="5"/>
      <c r="WOE7" s="5"/>
      <c r="WOF7" s="5"/>
      <c r="WOG7" s="5"/>
      <c r="WOH7" s="5"/>
      <c r="WOI7" s="5"/>
      <c r="WOJ7" s="5"/>
      <c r="WOK7" s="5"/>
      <c r="WOL7" s="5"/>
      <c r="WOM7" s="5"/>
      <c r="WON7" s="5"/>
      <c r="WOO7" s="5"/>
      <c r="WOP7" s="5"/>
      <c r="WOQ7" s="5"/>
      <c r="WOR7" s="5"/>
      <c r="WOS7" s="5"/>
      <c r="WOT7" s="5"/>
      <c r="WOU7" s="5"/>
      <c r="WOV7" s="5"/>
      <c r="WOW7" s="5"/>
      <c r="WOX7" s="5"/>
      <c r="WOY7" s="5"/>
      <c r="WOZ7" s="5"/>
      <c r="WPA7" s="5"/>
      <c r="WPB7" s="5"/>
      <c r="WPC7" s="5"/>
      <c r="WPD7" s="5"/>
      <c r="WPE7" s="5"/>
      <c r="WPF7" s="5"/>
      <c r="WPG7" s="5"/>
      <c r="WPH7" s="5"/>
      <c r="WPI7" s="5"/>
      <c r="WPJ7" s="5"/>
      <c r="WPK7" s="5"/>
      <c r="WPL7" s="5"/>
      <c r="WPM7" s="5"/>
      <c r="WPN7" s="5"/>
      <c r="WPO7" s="5"/>
      <c r="WPP7" s="5"/>
      <c r="WPQ7" s="5"/>
      <c r="WPR7" s="5"/>
      <c r="WPS7" s="5"/>
      <c r="WPT7" s="5"/>
      <c r="WPU7" s="5"/>
      <c r="WPV7" s="5"/>
      <c r="WPW7" s="5"/>
      <c r="WPX7" s="5"/>
      <c r="WPY7" s="5"/>
      <c r="WPZ7" s="5"/>
      <c r="WQA7" s="5"/>
      <c r="WQB7" s="5"/>
      <c r="WQC7" s="5"/>
      <c r="WQD7" s="5"/>
      <c r="WQE7" s="5"/>
      <c r="WQF7" s="5"/>
      <c r="WQG7" s="5"/>
      <c r="WQH7" s="5"/>
      <c r="WQI7" s="5"/>
      <c r="WQJ7" s="5"/>
      <c r="WQK7" s="5"/>
      <c r="WQL7" s="5"/>
      <c r="WQM7" s="5"/>
      <c r="WQN7" s="5"/>
      <c r="WQO7" s="5"/>
      <c r="WQP7" s="5"/>
      <c r="WQQ7" s="5"/>
      <c r="WQR7" s="5"/>
      <c r="WQS7" s="5"/>
      <c r="WQT7" s="5"/>
      <c r="WQU7" s="5"/>
      <c r="WQV7" s="5"/>
      <c r="WQW7" s="5"/>
      <c r="WQX7" s="5"/>
      <c r="WQY7" s="5"/>
      <c r="WQZ7" s="5"/>
      <c r="WRA7" s="5"/>
      <c r="WRB7" s="5"/>
      <c r="WRC7" s="5"/>
      <c r="WRD7" s="5"/>
      <c r="WRE7" s="5"/>
      <c r="WRF7" s="5"/>
      <c r="WRG7" s="5"/>
      <c r="WRH7" s="5"/>
      <c r="WRI7" s="5"/>
      <c r="WRJ7" s="5"/>
      <c r="WRK7" s="5"/>
      <c r="WRL7" s="5"/>
      <c r="WRM7" s="5"/>
      <c r="WRN7" s="5"/>
      <c r="WRO7" s="5"/>
      <c r="WRP7" s="5"/>
      <c r="WRQ7" s="5"/>
      <c r="WRR7" s="5"/>
      <c r="WRS7" s="5"/>
      <c r="WRT7" s="5"/>
      <c r="WRU7" s="5"/>
      <c r="WRV7" s="5"/>
      <c r="WRW7" s="5"/>
      <c r="WRX7" s="5"/>
      <c r="WRY7" s="5"/>
      <c r="WRZ7" s="5"/>
      <c r="WSA7" s="5"/>
      <c r="WSB7" s="5"/>
      <c r="WSC7" s="5"/>
      <c r="WSD7" s="5"/>
      <c r="WSE7" s="5"/>
      <c r="WSF7" s="5"/>
      <c r="WSG7" s="5"/>
      <c r="WSH7" s="5"/>
      <c r="WSI7" s="5"/>
      <c r="WSJ7" s="5"/>
      <c r="WSK7" s="5"/>
      <c r="WSL7" s="5"/>
      <c r="WSM7" s="5"/>
      <c r="WSN7" s="5"/>
      <c r="WSO7" s="5"/>
      <c r="WSP7" s="5"/>
      <c r="WSQ7" s="5"/>
      <c r="WSR7" s="5"/>
      <c r="WSS7" s="5"/>
      <c r="WST7" s="5"/>
      <c r="WSU7" s="5"/>
      <c r="WSV7" s="5"/>
      <c r="WSW7" s="5"/>
      <c r="WSX7" s="5"/>
      <c r="WSY7" s="5"/>
      <c r="WSZ7" s="5"/>
      <c r="WTA7" s="5"/>
      <c r="WTB7" s="5"/>
      <c r="WTC7" s="5"/>
      <c r="WTD7" s="5"/>
      <c r="WTE7" s="5"/>
      <c r="WTF7" s="5"/>
      <c r="WTG7" s="5"/>
      <c r="WTH7" s="5"/>
      <c r="WTI7" s="5"/>
      <c r="WTJ7" s="5"/>
      <c r="WTK7" s="5"/>
      <c r="WTL7" s="5"/>
      <c r="WTM7" s="5"/>
      <c r="WTN7" s="5"/>
      <c r="WTO7" s="5"/>
      <c r="WTP7" s="5"/>
      <c r="WTQ7" s="5"/>
      <c r="WTR7" s="5"/>
      <c r="WTS7" s="5"/>
      <c r="WTT7" s="5"/>
      <c r="WTU7" s="5"/>
      <c r="WTV7" s="5"/>
      <c r="WTW7" s="5"/>
      <c r="WTX7" s="5"/>
      <c r="WTY7" s="5"/>
      <c r="WTZ7" s="5"/>
      <c r="WUA7" s="5"/>
      <c r="WUB7" s="5"/>
      <c r="WUC7" s="5"/>
      <c r="WUD7" s="5"/>
      <c r="WUE7" s="5"/>
      <c r="WUF7" s="5"/>
      <c r="WUG7" s="5"/>
      <c r="WUH7" s="5"/>
      <c r="WUI7" s="5"/>
      <c r="WUJ7" s="5"/>
      <c r="WUK7" s="5"/>
      <c r="WUL7" s="5"/>
      <c r="WUM7" s="5"/>
      <c r="WUN7" s="5"/>
      <c r="WUO7" s="5"/>
      <c r="WUP7" s="5"/>
      <c r="WUQ7" s="5"/>
      <c r="WUR7" s="5"/>
      <c r="WUS7" s="5"/>
      <c r="WUT7" s="5"/>
      <c r="WUU7" s="5"/>
      <c r="WUV7" s="5"/>
      <c r="WUW7" s="5"/>
      <c r="WUX7" s="5"/>
      <c r="WUY7" s="5"/>
      <c r="WUZ7" s="5"/>
      <c r="WVA7" s="5"/>
      <c r="WVB7" s="5"/>
      <c r="WVC7" s="5"/>
      <c r="WVD7" s="5"/>
      <c r="WVE7" s="5"/>
      <c r="WVF7" s="5"/>
      <c r="WVG7" s="5"/>
      <c r="WVH7" s="5"/>
      <c r="WVI7" s="5"/>
      <c r="WVJ7" s="5"/>
      <c r="WVK7" s="5"/>
      <c r="WVL7" s="5"/>
      <c r="WVM7" s="5"/>
      <c r="WVN7" s="5"/>
      <c r="WVO7" s="5"/>
      <c r="WVP7" s="5"/>
      <c r="WVQ7" s="5"/>
      <c r="WVR7" s="5"/>
      <c r="WVS7" s="5"/>
      <c r="WVT7" s="5"/>
      <c r="WVU7" s="5"/>
      <c r="WVV7" s="5"/>
      <c r="WVW7" s="5"/>
      <c r="WVX7" s="5"/>
      <c r="WVY7" s="5"/>
      <c r="WVZ7" s="5"/>
      <c r="WWA7" s="5"/>
      <c r="WWB7" s="5"/>
      <c r="WWC7" s="5"/>
      <c r="WWD7" s="5"/>
      <c r="WWE7" s="5"/>
      <c r="WWF7" s="5"/>
      <c r="WWG7" s="5"/>
      <c r="WWH7" s="5"/>
      <c r="WWI7" s="5"/>
      <c r="WWJ7" s="5"/>
      <c r="WWK7" s="5"/>
      <c r="WWL7" s="5"/>
      <c r="WWM7" s="5"/>
      <c r="WWN7" s="5"/>
      <c r="WWO7" s="5"/>
      <c r="WWP7" s="5"/>
      <c r="WWQ7" s="5"/>
      <c r="WWR7" s="5"/>
      <c r="WWS7" s="5"/>
      <c r="WWT7" s="5"/>
      <c r="WWU7" s="5"/>
      <c r="WWV7" s="5"/>
      <c r="WWW7" s="5"/>
      <c r="WWX7" s="5"/>
      <c r="WWY7" s="5"/>
      <c r="WWZ7" s="5"/>
      <c r="WXA7" s="5"/>
      <c r="WXB7" s="5"/>
      <c r="WXC7" s="5"/>
      <c r="WXD7" s="5"/>
      <c r="WXE7" s="5"/>
      <c r="WXF7" s="5"/>
      <c r="WXG7" s="5"/>
      <c r="WXH7" s="5"/>
      <c r="WXI7" s="5"/>
      <c r="WXJ7" s="5"/>
      <c r="WXK7" s="5"/>
      <c r="WXL7" s="5"/>
      <c r="WXM7" s="5"/>
      <c r="WXN7" s="5"/>
      <c r="WXO7" s="5"/>
      <c r="WXP7" s="5"/>
      <c r="WXQ7" s="5"/>
      <c r="WXR7" s="5"/>
      <c r="WXS7" s="5"/>
      <c r="WXT7" s="5"/>
      <c r="WXU7" s="5"/>
      <c r="WXV7" s="5"/>
      <c r="WXW7" s="5"/>
      <c r="WXX7" s="5"/>
      <c r="WXY7" s="5"/>
      <c r="WXZ7" s="5"/>
      <c r="WYA7" s="5"/>
      <c r="WYB7" s="5"/>
      <c r="WYC7" s="5"/>
      <c r="WYD7" s="5"/>
      <c r="WYE7" s="5"/>
      <c r="WYF7" s="5"/>
      <c r="WYG7" s="5"/>
      <c r="WYH7" s="5"/>
      <c r="WYI7" s="5"/>
      <c r="WYJ7" s="5"/>
      <c r="WYK7" s="5"/>
      <c r="WYL7" s="5"/>
      <c r="WYM7" s="5"/>
      <c r="WYN7" s="5"/>
      <c r="WYO7" s="5"/>
      <c r="WYP7" s="5"/>
      <c r="WYQ7" s="5"/>
      <c r="WYR7" s="5"/>
      <c r="WYS7" s="5"/>
      <c r="WYT7" s="5"/>
      <c r="WYU7" s="5"/>
      <c r="WYV7" s="5"/>
      <c r="WYW7" s="5"/>
      <c r="WYX7" s="5"/>
      <c r="WYY7" s="5"/>
      <c r="WYZ7" s="5"/>
      <c r="WZA7" s="5"/>
      <c r="WZB7" s="5"/>
      <c r="WZC7" s="5"/>
      <c r="WZD7" s="5"/>
      <c r="WZE7" s="5"/>
      <c r="WZF7" s="5"/>
      <c r="WZG7" s="5"/>
      <c r="WZH7" s="5"/>
      <c r="WZI7" s="5"/>
      <c r="WZJ7" s="5"/>
      <c r="WZK7" s="5"/>
      <c r="WZL7" s="5"/>
      <c r="WZM7" s="5"/>
      <c r="WZN7" s="5"/>
      <c r="WZO7" s="5"/>
      <c r="WZP7" s="5"/>
      <c r="WZQ7" s="5"/>
      <c r="WZR7" s="5"/>
      <c r="WZS7" s="5"/>
      <c r="WZT7" s="5"/>
      <c r="WZU7" s="5"/>
      <c r="WZV7" s="5"/>
      <c r="WZW7" s="5"/>
      <c r="WZX7" s="5"/>
      <c r="WZY7" s="5"/>
      <c r="WZZ7" s="5"/>
      <c r="XAA7" s="5"/>
      <c r="XAB7" s="5"/>
      <c r="XAC7" s="5"/>
      <c r="XAD7" s="5"/>
      <c r="XAE7" s="5"/>
      <c r="XAF7" s="5"/>
      <c r="XAG7" s="5"/>
      <c r="XAH7" s="5"/>
      <c r="XAI7" s="5"/>
      <c r="XAJ7" s="5"/>
      <c r="XAK7" s="5"/>
      <c r="XAL7" s="5"/>
      <c r="XAM7" s="5"/>
      <c r="XAN7" s="5"/>
      <c r="XAO7" s="5"/>
      <c r="XAP7" s="5"/>
      <c r="XAQ7" s="5"/>
      <c r="XAR7" s="5"/>
      <c r="XAS7" s="5"/>
      <c r="XAT7" s="5"/>
      <c r="XAU7" s="5"/>
      <c r="XAV7" s="5"/>
      <c r="XAW7" s="5"/>
      <c r="XAX7" s="5"/>
      <c r="XAY7" s="5"/>
      <c r="XAZ7" s="5"/>
      <c r="XBA7" s="5"/>
      <c r="XBB7" s="5"/>
      <c r="XBC7" s="5"/>
      <c r="XBD7" s="5"/>
      <c r="XBE7" s="5"/>
      <c r="XBF7" s="5"/>
      <c r="XBG7" s="5"/>
      <c r="XBH7" s="5"/>
      <c r="XBI7" s="5"/>
      <c r="XBJ7" s="5"/>
      <c r="XBK7" s="5"/>
      <c r="XBL7" s="5"/>
      <c r="XBM7" s="5"/>
      <c r="XBN7" s="5"/>
      <c r="XBO7" s="5"/>
      <c r="XBP7" s="5"/>
      <c r="XBQ7" s="5"/>
      <c r="XBR7" s="5"/>
      <c r="XBS7" s="5"/>
      <c r="XBT7" s="5"/>
      <c r="XBU7" s="5"/>
      <c r="XBV7" s="5"/>
      <c r="XBW7" s="5"/>
      <c r="XBX7" s="5"/>
      <c r="XBY7" s="5"/>
      <c r="XBZ7" s="5"/>
      <c r="XCA7" s="5"/>
      <c r="XCB7" s="5"/>
      <c r="XCC7" s="5"/>
      <c r="XCD7" s="5"/>
      <c r="XCE7" s="5"/>
      <c r="XCF7" s="5"/>
      <c r="XCG7" s="5"/>
      <c r="XCH7" s="5"/>
      <c r="XCI7" s="5"/>
      <c r="XCJ7" s="5"/>
      <c r="XCK7" s="5"/>
      <c r="XCL7" s="5"/>
      <c r="XCM7" s="5"/>
      <c r="XCN7" s="5"/>
      <c r="XCO7" s="5"/>
      <c r="XCP7" s="5"/>
      <c r="XCQ7" s="5"/>
      <c r="XCR7" s="5"/>
      <c r="XCS7" s="5"/>
      <c r="XCT7" s="5"/>
      <c r="XCU7" s="5"/>
      <c r="XCV7" s="5"/>
      <c r="XCW7" s="5"/>
      <c r="XCX7" s="5"/>
      <c r="XCY7" s="5"/>
      <c r="XCZ7" s="5"/>
      <c r="XDA7" s="5"/>
      <c r="XDB7" s="5"/>
      <c r="XDC7" s="5"/>
      <c r="XDD7" s="5"/>
      <c r="XDE7" s="5"/>
      <c r="XDF7" s="5"/>
      <c r="XDG7" s="5"/>
      <c r="XDH7" s="5"/>
      <c r="XDI7" s="5"/>
      <c r="XDJ7" s="5"/>
      <c r="XDK7" s="5"/>
      <c r="XDL7" s="5"/>
      <c r="XDM7" s="5"/>
      <c r="XDN7" s="5"/>
      <c r="XDO7" s="5"/>
      <c r="XDP7" s="5"/>
      <c r="XDQ7" s="5"/>
      <c r="XDR7" s="5"/>
      <c r="XDS7" s="5"/>
      <c r="XDT7" s="5"/>
      <c r="XDU7" s="5"/>
      <c r="XDV7" s="5"/>
      <c r="XDW7" s="5"/>
      <c r="XDX7" s="5"/>
      <c r="XDY7" s="5"/>
      <c r="XDZ7" s="5"/>
      <c r="XEA7" s="5"/>
      <c r="XEB7" s="5"/>
      <c r="XEC7" s="5"/>
      <c r="XED7" s="5"/>
      <c r="XEE7" s="5"/>
      <c r="XEF7" s="5"/>
      <c r="XEG7" s="5"/>
      <c r="XEH7" s="5"/>
      <c r="XEI7" s="5"/>
      <c r="XEJ7" s="5"/>
      <c r="XEK7" s="5"/>
      <c r="XEL7" s="5"/>
      <c r="XEM7" s="5"/>
      <c r="XEN7" s="5"/>
      <c r="XEO7" s="5"/>
      <c r="XEP7" s="5"/>
      <c r="XEQ7" s="5"/>
      <c r="XER7" s="5"/>
      <c r="XES7" s="5"/>
      <c r="XET7" s="5"/>
      <c r="XEU7" s="5"/>
      <c r="XEV7" s="5"/>
      <c r="XEW7" s="5"/>
      <c r="XEX7" s="5"/>
      <c r="XEY7" s="5"/>
      <c r="XEZ7" s="5"/>
    </row>
    <row r="8" spans="2:16380">
      <c r="B8" s="15" t="s">
        <v>778</v>
      </c>
      <c r="C8" s="15" t="s">
        <v>779</v>
      </c>
      <c r="D8" s="15" t="s">
        <v>779</v>
      </c>
      <c r="E8" s="16">
        <v>42451</v>
      </c>
      <c r="F8" s="19">
        <v>42449</v>
      </c>
      <c r="G8" s="18"/>
      <c r="H8" s="16">
        <v>42633</v>
      </c>
      <c r="I8" s="16">
        <v>44094</v>
      </c>
      <c r="J8" s="17">
        <v>1E-3</v>
      </c>
      <c r="K8" s="16">
        <v>44275</v>
      </c>
      <c r="L8" s="20" t="str">
        <f ca="1">_xll.meLWOBondCreateFromGeneratorLVB(C8,$L$4,_xll.meUtilityLVBFromKeysValues($C$6:$K$6,C8:K8))</f>
        <v>JP1051271G37:1</v>
      </c>
      <c r="M8" s="92">
        <f ca="1">_xll.BDP($B8,$M$5)</f>
        <v>-0.12399999999999525</v>
      </c>
      <c r="N8" s="37">
        <f ca="1">_xll.meLWOBondCleanPrice($L8,$C$4,$M8%)</f>
        <v>100.54352635033288</v>
      </c>
      <c r="O8" s="37">
        <f ca="1">_xll.meLWOBondDirtyPrice($L8,$C$4,$M8%)</f>
        <v>100.25</v>
      </c>
      <c r="P8" s="87">
        <f ca="1">_xll.meLWOBondYield($L8,$C$4,N8)</f>
        <v>-1.2400000000004174E-3</v>
      </c>
      <c r="Q8" s="89">
        <f ca="1">_xll.meLWOBondModifiedDuration($L8,$C$4,$M8%)</f>
        <v>2.4166843166057461</v>
      </c>
      <c r="R8" s="23">
        <f ca="1">_xll.meLWOBondDV01($L8,$C$4,$M8%)</f>
        <v>242.27260273972607</v>
      </c>
      <c r="S8" s="85">
        <f t="shared" ref="S8:S71" ca="1" si="6">M8</f>
        <v>-0.12399999999999525</v>
      </c>
      <c r="T8" s="22" t="str">
        <f ca="1">_xll.BDP($B8,T$6, "YAS_BOND_SPL_YLD="&amp;S8,"YAS_YLD_CONV=2")</f>
        <v>#N/A Requesting Data...</v>
      </c>
      <c r="U8" s="23">
        <f t="shared" ref="U8:U71" ca="1" si="7">N8</f>
        <v>100.54352635033288</v>
      </c>
      <c r="V8" s="23">
        <f t="shared" ca="1" si="0"/>
        <v>100.54300000000001</v>
      </c>
      <c r="W8" s="24" t="e">
        <f t="shared" ca="1" si="1"/>
        <v>#VALUE!</v>
      </c>
      <c r="X8" s="23">
        <f ca="1">_xll.meLWOBondDV01($L8,$C$4,$S8%)</f>
        <v>242.27260273972607</v>
      </c>
      <c r="Y8" s="22" t="e">
        <f ca="1">_xll.BDP($B8,Y$6, "YLD_YTM_ASK="&amp;$S8,"YAS_YLD_CONV=3")*$Y$3*0.0001</f>
        <v>#VALUE!</v>
      </c>
      <c r="Z8" s="24" t="e">
        <f t="shared" ref="Z8:Z70" ca="1" si="8">ABS(Y8-X8)</f>
        <v>#VALUE!</v>
      </c>
      <c r="AA8" s="23">
        <f ca="1">_xll.meLWOBondModifiedDuration($L8,$C$4,$S8%)</f>
        <v>2.4166843166057461</v>
      </c>
      <c r="AB8" s="22" t="str">
        <f ca="1">_xll.BDP($B8,AB$6, "YLD_YTM_ASK="&amp;$S8,"YAS_YLD_CONV=3")</f>
        <v>#N/A Requesting Data...</v>
      </c>
      <c r="AC8" s="24" t="e">
        <f t="shared" ca="1" si="2"/>
        <v>#VALUE!</v>
      </c>
      <c r="AD8" s="23">
        <f ca="1">_xll.meLWOBondDV01Numerical($L8,$C$4,$S8%, 0.5, "CENTRAL")</f>
        <v>243.96453897850282</v>
      </c>
      <c r="AE8" s="63" t="str">
        <f ca="1">_xll.BDP($B8,AE$6, "YAS_BOND_PX="&amp;T8)</f>
        <v>#N/A Invalid Override</v>
      </c>
      <c r="AF8" s="64" t="e">
        <f ca="1">_xll.meLWOBondCompoundYield(L8,$C$4,T8)*100</f>
        <v>#VALUE!</v>
      </c>
      <c r="AG8" s="65" t="e">
        <f t="shared" ca="1" si="3"/>
        <v>#VALUE!</v>
      </c>
      <c r="AH8" s="35" t="e">
        <f t="shared" ca="1" si="4"/>
        <v>#VALUE!</v>
      </c>
      <c r="AI8" s="63" t="str">
        <f ca="1">_xll.BDP($B8,AI$6, "PX_ASK="&amp;T8)</f>
        <v>#N/A Invalid Override</v>
      </c>
      <c r="AJ8" s="35" t="e">
        <f t="shared" ca="1" si="5"/>
        <v>#VALUE!</v>
      </c>
    </row>
    <row r="9" spans="2:16380">
      <c r="B9" s="15" t="s">
        <v>780</v>
      </c>
      <c r="C9" s="15" t="s">
        <v>781</v>
      </c>
      <c r="D9" s="15" t="s">
        <v>781</v>
      </c>
      <c r="E9" s="16">
        <v>40624</v>
      </c>
      <c r="F9" s="19">
        <v>40622</v>
      </c>
      <c r="G9" s="18"/>
      <c r="H9" s="16">
        <v>40806</v>
      </c>
      <c r="I9" s="16">
        <v>44094</v>
      </c>
      <c r="J9" s="17">
        <v>1.3000000000000001E-2</v>
      </c>
      <c r="K9" s="16">
        <v>44275</v>
      </c>
      <c r="L9" s="20" t="str">
        <f ca="1">_xll.meLWOBondCreateFromGeneratorLVB(C9,$L$4,_xll.meUtilityLVBFromKeysValues($C$6:$K$6,C9:K9))</f>
        <v>JP1103131B31:1</v>
      </c>
      <c r="M9" s="92">
        <f ca="1">_xll.BDP($B9,$M$5)</f>
        <v>-0.1199999999999999</v>
      </c>
      <c r="N9" s="37">
        <f ca="1">_xll.meLWOBondCleanPrice($L9,$C$4,$M9%)</f>
        <v>103.44523443948515</v>
      </c>
      <c r="O9" s="37">
        <f ca="1">_xll.meLWOBondDirtyPrice($L9,$C$4,$M9%)</f>
        <v>103.25</v>
      </c>
      <c r="P9" s="87">
        <f ca="1">_xll.meLWOBondYield($L9,$C$4,N9)</f>
        <v>-1.1999999999994378E-3</v>
      </c>
      <c r="Q9" s="89">
        <f ca="1">_xll.meLWOBondModifiedDuration($L9,$C$4,$M9%)</f>
        <v>2.3877010846130884</v>
      </c>
      <c r="R9" s="23">
        <f ca="1">_xll.meLWOBondDV01($L9,$C$4,$M9%)</f>
        <v>246.53013698630139</v>
      </c>
      <c r="S9" s="85">
        <f t="shared" ca="1" si="6"/>
        <v>-0.1199999999999999</v>
      </c>
      <c r="T9" s="22" t="str">
        <f ca="1">_xll.BDP($B9,T$6, "YAS_BOND_SPL_YLD="&amp;S9,"YAS_YLD_CONV=2")</f>
        <v>#N/A Requesting Data...</v>
      </c>
      <c r="U9" s="23">
        <f t="shared" ca="1" si="7"/>
        <v>103.44523443948515</v>
      </c>
      <c r="V9" s="23">
        <f t="shared" ca="1" si="0"/>
        <v>103.44499999999999</v>
      </c>
      <c r="W9" s="24" t="e">
        <f t="shared" ca="1" si="1"/>
        <v>#VALUE!</v>
      </c>
      <c r="X9" s="23">
        <f ca="1">_xll.meLWOBondDV01($L9,$C$4,$S9%)</f>
        <v>246.53013698630139</v>
      </c>
      <c r="Y9" s="22" t="e">
        <f ca="1">_xll.BDP($B9,Y$6, "YLD_YTM_ASK="&amp;$S9,"YAS_YLD_CONV=3")*$Y$3*0.0001</f>
        <v>#VALUE!</v>
      </c>
      <c r="Z9" s="24" t="e">
        <f t="shared" ca="1" si="8"/>
        <v>#VALUE!</v>
      </c>
      <c r="AA9" s="23">
        <f ca="1">_xll.meLWOBondModifiedDuration($L9,$C$4,$S9%)</f>
        <v>2.3877010846130884</v>
      </c>
      <c r="AB9" s="22" t="str">
        <f ca="1">_xll.BDP($B9,AB$6, "YLD_YTM_ASK="&amp;$S9,"YAS_YLD_CONV=3")</f>
        <v>#N/A Requesting Data...</v>
      </c>
      <c r="AC9" s="24" t="e">
        <f t="shared" ca="1" si="2"/>
        <v>#VALUE!</v>
      </c>
      <c r="AD9" s="23">
        <f ca="1">_xll.meLWOBondDV01Numerical($L9,$C$4,$S9%, 0.5, "CENTRAL")</f>
        <v>250.98104896926546</v>
      </c>
      <c r="AE9" s="63" t="str">
        <f ca="1">_xll.BDP($B9,AE$6, "YAS_BOND_PX="&amp;T9)</f>
        <v>#N/A Invalid Override</v>
      </c>
      <c r="AF9" s="64" t="e">
        <f ca="1">_xll.meLWOBondCompoundYield(L9,$C$4,T9)*100</f>
        <v>#VALUE!</v>
      </c>
      <c r="AG9" s="65" t="e">
        <f t="shared" ca="1" si="3"/>
        <v>#VALUE!</v>
      </c>
      <c r="AH9" s="35" t="e">
        <f t="shared" ca="1" si="4"/>
        <v>#VALUE!</v>
      </c>
      <c r="AI9" s="63" t="str">
        <f ca="1">_xll.BDP($B9,AI$6, "PX_ASK="&amp;T9)</f>
        <v>#N/A Invalid Override</v>
      </c>
      <c r="AJ9" s="35" t="e">
        <f t="shared" ca="1" si="5"/>
        <v>#VALUE!</v>
      </c>
    </row>
    <row r="10" spans="2:16380">
      <c r="B10" s="15" t="s">
        <v>782</v>
      </c>
      <c r="C10" s="15" t="s">
        <v>783</v>
      </c>
      <c r="D10" s="15" t="s">
        <v>783</v>
      </c>
      <c r="E10" s="16">
        <v>37001</v>
      </c>
      <c r="F10" s="19">
        <v>36970</v>
      </c>
      <c r="G10" s="18"/>
      <c r="H10" s="16">
        <v>37154</v>
      </c>
      <c r="I10" s="16">
        <v>44094</v>
      </c>
      <c r="J10" s="17">
        <v>1.9E-2</v>
      </c>
      <c r="K10" s="16">
        <v>44277</v>
      </c>
      <c r="L10" s="20" t="str">
        <f ca="1">_xll.meLWOBondCreateFromGeneratorLVB(C10,$L$4,_xll.meUtilityLVBFromKeysValues($C$6:$K$6,C10:K10))</f>
        <v>JP1200501144:1</v>
      </c>
      <c r="M10" s="92">
        <f ca="1">_xll.BDP($B10,$M$5)</f>
        <v>-0.11899999999999999</v>
      </c>
      <c r="N10" s="37">
        <f ca="1">_xll.meLWOBondCleanPrice($L10,$C$4,$M10%)</f>
        <v>104.90954929270579</v>
      </c>
      <c r="O10" s="37">
        <f ca="1">_xll.meLWOBondDirtyPrice($L10,$C$4,$M10%)</f>
        <v>104.76041095890412</v>
      </c>
      <c r="P10" s="87">
        <f ca="1">_xll.meLWOBondYield($L10,$C$4,N10)</f>
        <v>-1.1900000000008412E-3</v>
      </c>
      <c r="Q10" s="89">
        <f ca="1">_xll.meLWOBondModifiedDuration($L10,$C$4,$M10%)</f>
        <v>2.3738365265743315</v>
      </c>
      <c r="R10" s="23">
        <f ca="1">_xll.meLWOBondDV01($L10,$C$4,$M10%)</f>
        <v>248.68409007318451</v>
      </c>
      <c r="S10" s="85">
        <f t="shared" ca="1" si="6"/>
        <v>-0.11899999999999999</v>
      </c>
      <c r="T10" s="22" t="str">
        <f ca="1">_xll.BDP($B10,T$6, "YAS_BOND_SPL_YLD="&amp;S10,"YAS_YLD_CONV=2")</f>
        <v>#N/A Requesting Data...</v>
      </c>
      <c r="U10" s="23">
        <f t="shared" ca="1" si="7"/>
        <v>104.90954929270579</v>
      </c>
      <c r="V10" s="23">
        <f t="shared" ca="1" si="0"/>
        <v>104.90900000000001</v>
      </c>
      <c r="W10" s="24" t="e">
        <f t="shared" ca="1" si="1"/>
        <v>#VALUE!</v>
      </c>
      <c r="X10" s="23">
        <f ca="1">_xll.meLWOBondDV01($L10,$C$4,$S10%)</f>
        <v>248.68409007318451</v>
      </c>
      <c r="Y10" s="22" t="e">
        <f ca="1">_xll.BDP($B10,Y$6, "YLD_YTM_ASK="&amp;$S10,"YAS_YLD_CONV=3")*$Y$3*0.0001</f>
        <v>#VALUE!</v>
      </c>
      <c r="Z10" s="24" t="e">
        <f t="shared" ca="1" si="8"/>
        <v>#VALUE!</v>
      </c>
      <c r="AA10" s="23">
        <f ca="1">_xll.meLWOBondModifiedDuration($L10,$C$4,$S10%)</f>
        <v>2.3738365265743315</v>
      </c>
      <c r="AB10" s="22" t="str">
        <f ca="1">_xll.BDP($B10,AB$6, "YLD_YTM_ASK="&amp;$S10,"YAS_YLD_CONV=3")</f>
        <v>#N/A Requesting Data...</v>
      </c>
      <c r="AC10" s="24" t="e">
        <f t="shared" ca="1" si="2"/>
        <v>#VALUE!</v>
      </c>
      <c r="AD10" s="23">
        <f ca="1">_xll.meLWOBondDV01Numerical($L10,$C$4,$S10%, 0.5, "CENTRAL")</f>
        <v>255.10580046656631</v>
      </c>
      <c r="AE10" s="63" t="str">
        <f ca="1">_xll.BDP($B10,AE$6, "YAS_BOND_PX="&amp;T10)</f>
        <v>#N/A Invalid Override</v>
      </c>
      <c r="AF10" s="64" t="e">
        <f ca="1">_xll.meLWOBondCompoundYield(L10,$C$4,T10)*100</f>
        <v>#VALUE!</v>
      </c>
      <c r="AG10" s="65" t="e">
        <f t="shared" ca="1" si="3"/>
        <v>#VALUE!</v>
      </c>
      <c r="AH10" s="35" t="e">
        <f t="shared" ca="1" si="4"/>
        <v>#VALUE!</v>
      </c>
      <c r="AI10" s="63" t="str">
        <f ca="1">_xll.BDP($B10,AI$6, "PX_ASK="&amp;T10)</f>
        <v>#N/A Invalid Override</v>
      </c>
      <c r="AJ10" s="35" t="e">
        <f t="shared" ca="1" si="5"/>
        <v>#VALUE!</v>
      </c>
    </row>
    <row r="11" spans="2:16380">
      <c r="B11" s="15" t="s">
        <v>784</v>
      </c>
      <c r="C11" s="15" t="s">
        <v>785</v>
      </c>
      <c r="D11" s="15" t="s">
        <v>785</v>
      </c>
      <c r="E11" s="16">
        <v>36916</v>
      </c>
      <c r="F11" s="19">
        <v>36916</v>
      </c>
      <c r="G11" s="18"/>
      <c r="H11" s="16">
        <v>37154</v>
      </c>
      <c r="I11" s="16">
        <v>44094</v>
      </c>
      <c r="J11" s="17">
        <v>2.1000000000000001E-2</v>
      </c>
      <c r="K11" s="16">
        <v>44277</v>
      </c>
      <c r="L11" s="20" t="str">
        <f ca="1">_xll.meLWOBondCreateFromGeneratorLVB(C11,$L$4,_xll.meUtilityLVBFromKeysValues($C$6:$K$6,C11:K11))</f>
        <v>JP1200491106:1</v>
      </c>
      <c r="M11" s="92">
        <f ca="1">_xll.BDP($B11,$M$5)</f>
        <v>-0.12</v>
      </c>
      <c r="N11" s="37">
        <f ca="1">_xll.meLWOBondCleanPrice($L11,$C$4,$M11%)</f>
        <v>105.39844698822327</v>
      </c>
      <c r="O11" s="37">
        <f ca="1">_xll.meLWOBondDirtyPrice($L11,$C$4,$M11%)</f>
        <v>105.26150684931505</v>
      </c>
      <c r="P11" s="87">
        <f ca="1">_xll.meLWOBondYield($L11,$C$4,N11)</f>
        <v>-1.1999999999989506E-3</v>
      </c>
      <c r="Q11" s="89">
        <f ca="1">_xll.meLWOBondModifiedDuration($L11,$C$4,$M11%)</f>
        <v>2.3693022998935525</v>
      </c>
      <c r="R11" s="23">
        <f ca="1">_xll.meLWOBondDV01($L11,$C$4,$M11%)</f>
        <v>249.39633026834309</v>
      </c>
      <c r="S11" s="85">
        <f t="shared" ca="1" si="6"/>
        <v>-0.12</v>
      </c>
      <c r="T11" s="22" t="str">
        <f ca="1">_xll.BDP($B11,T$6, "YAS_BOND_SPL_YLD="&amp;S11,"YAS_YLD_CONV=2")</f>
        <v>#N/A Requesting Data...</v>
      </c>
      <c r="U11" s="23">
        <f t="shared" ca="1" si="7"/>
        <v>105.39844698822327</v>
      </c>
      <c r="V11" s="23">
        <f t="shared" ca="1" si="0"/>
        <v>105.398</v>
      </c>
      <c r="W11" s="24" t="e">
        <f t="shared" ca="1" si="1"/>
        <v>#VALUE!</v>
      </c>
      <c r="X11" s="23">
        <f ca="1">_xll.meLWOBondDV01($L11,$C$4,$S11%)</f>
        <v>249.39633026834309</v>
      </c>
      <c r="Y11" s="22" t="e">
        <f ca="1">_xll.BDP($B11,Y$6, "YLD_YTM_ASK="&amp;$S11,"YAS_YLD_CONV=3")*$Y$3*0.0001</f>
        <v>#VALUE!</v>
      </c>
      <c r="Z11" s="24" t="e">
        <f t="shared" ca="1" si="8"/>
        <v>#VALUE!</v>
      </c>
      <c r="AA11" s="23">
        <f ca="1">_xll.meLWOBondModifiedDuration($L11,$C$4,$S11%)</f>
        <v>2.3693022998935525</v>
      </c>
      <c r="AB11" s="22" t="str">
        <f ca="1">_xll.BDP($B11,AB$6, "YLD_YTM_ASK="&amp;$S11,"YAS_YLD_CONV=3")</f>
        <v>#N/A Requesting Data...</v>
      </c>
      <c r="AC11" s="24" t="e">
        <f t="shared" ca="1" si="2"/>
        <v>#VALUE!</v>
      </c>
      <c r="AD11" s="23">
        <f ca="1">_xll.meLWOBondDV01Numerical($L11,$C$4,$S11%, 0.5, "CENTRAL")</f>
        <v>256.30087257596301</v>
      </c>
      <c r="AE11" s="63" t="str">
        <f ca="1">_xll.BDP($B11,AE$6, "YAS_BOND_PX="&amp;T11)</f>
        <v>#N/A Invalid Override</v>
      </c>
      <c r="AF11" s="64" t="e">
        <f ca="1">_xll.meLWOBondCompoundYield(L11,$C$4,T11)*100</f>
        <v>#VALUE!</v>
      </c>
      <c r="AG11" s="65" t="e">
        <f t="shared" ca="1" si="3"/>
        <v>#VALUE!</v>
      </c>
      <c r="AH11" s="35" t="e">
        <f t="shared" ca="1" si="4"/>
        <v>#VALUE!</v>
      </c>
      <c r="AI11" s="63" t="str">
        <f ca="1">_xll.BDP($B11,AI$6, "PX_ASK="&amp;T11)</f>
        <v>#N/A Invalid Override</v>
      </c>
      <c r="AJ11" s="35" t="e">
        <f t="shared" ca="1" si="5"/>
        <v>#VALUE!</v>
      </c>
    </row>
    <row r="12" spans="2:16380">
      <c r="B12" s="15" t="s">
        <v>786</v>
      </c>
      <c r="C12" s="15" t="s">
        <v>787</v>
      </c>
      <c r="D12" s="15" t="s">
        <v>787</v>
      </c>
      <c r="E12" s="16">
        <v>42541</v>
      </c>
      <c r="F12" s="19">
        <v>42541</v>
      </c>
      <c r="G12" s="18"/>
      <c r="H12" s="16">
        <v>42724</v>
      </c>
      <c r="I12" s="16">
        <v>44185</v>
      </c>
      <c r="J12" s="17">
        <v>1E-3</v>
      </c>
      <c r="K12" s="16">
        <v>44367</v>
      </c>
      <c r="L12" s="20" t="str">
        <f ca="1">_xll.meLWOBondCreateFromGeneratorLVB(C12,$L$4,_xll.meUtilityLVBFromKeysValues($C$6:$K$6,C12:K12))</f>
        <v>JP1051281G68:1</v>
      </c>
      <c r="M12" s="92">
        <f ca="1">_xll.BDP($B12,$M$5)</f>
        <v>-0.11799999999999948</v>
      </c>
      <c r="N12" s="37">
        <f ca="1">_xll.meLWOBondCleanPrice($L12,$C$4,$M12%)</f>
        <v>100.58417010329821</v>
      </c>
      <c r="O12" s="37">
        <f ca="1">_xll.meLWOBondDirtyPrice($L12,$C$4,$M12%)</f>
        <v>100.29999999999998</v>
      </c>
      <c r="P12" s="87">
        <f ca="1">_xll.meLWOBondYield($L12,$C$4,N12)</f>
        <v>-1.1799999999992674E-3</v>
      </c>
      <c r="Q12" s="89">
        <f ca="1">_xll.meLWOBondModifiedDuration($L12,$C$4,$M12%)</f>
        <v>2.6688639560769754</v>
      </c>
      <c r="R12" s="23">
        <f ca="1">_xll.meLWOBondDV01($L12,$C$4,$M12%)</f>
        <v>267.68705479452058</v>
      </c>
      <c r="S12" s="85">
        <f t="shared" ca="1" si="6"/>
        <v>-0.11799999999999948</v>
      </c>
      <c r="T12" s="22" t="str">
        <f ca="1">_xll.BDP($B12,T$6, "YAS_BOND_SPL_YLD="&amp;S12,"YAS_YLD_CONV=2")</f>
        <v>#N/A Requesting Data...</v>
      </c>
      <c r="U12" s="23">
        <f t="shared" ca="1" si="7"/>
        <v>100.58417010329821</v>
      </c>
      <c r="V12" s="23">
        <f t="shared" ca="1" si="0"/>
        <v>100.584</v>
      </c>
      <c r="W12" s="24" t="e">
        <f t="shared" ca="1" si="1"/>
        <v>#VALUE!</v>
      </c>
      <c r="X12" s="23">
        <f ca="1">_xll.meLWOBondDV01($L12,$C$4,$S12%)</f>
        <v>267.68705479452058</v>
      </c>
      <c r="Y12" s="22" t="e">
        <f ca="1">_xll.BDP($B12,Y$6, "YLD_YTM_ASK="&amp;$S12,"YAS_YLD_CONV=3")*$Y$3*0.0001</f>
        <v>#VALUE!</v>
      </c>
      <c r="Z12" s="24" t="e">
        <f t="shared" ca="1" si="8"/>
        <v>#VALUE!</v>
      </c>
      <c r="AA12" s="23">
        <f ca="1">_xll.meLWOBondModifiedDuration($L12,$C$4,$S12%)</f>
        <v>2.6688639560769754</v>
      </c>
      <c r="AB12" s="22" t="str">
        <f ca="1">_xll.BDP($B12,AB$6, "YLD_YTM_ASK="&amp;$S12,"YAS_YLD_CONV=3")</f>
        <v>#N/A Requesting Data...</v>
      </c>
      <c r="AC12" s="24" t="e">
        <f t="shared" ca="1" si="2"/>
        <v>#VALUE!</v>
      </c>
      <c r="AD12" s="23">
        <f ca="1">_xll.meLWOBondDV01Numerical($L12,$C$4,$S12%, 0.5, "CENTRAL")</f>
        <v>269.53333070750324</v>
      </c>
      <c r="AE12" s="63" t="str">
        <f ca="1">_xll.BDP($B12,AE$6, "YAS_BOND_PX="&amp;T12)</f>
        <v>#N/A Invalid Override</v>
      </c>
      <c r="AF12" s="64" t="e">
        <f ca="1">_xll.meLWOBondCompoundYield(L12,$C$4,T12)*100</f>
        <v>#VALUE!</v>
      </c>
      <c r="AG12" s="65" t="e">
        <f t="shared" ca="1" si="3"/>
        <v>#VALUE!</v>
      </c>
      <c r="AH12" s="35" t="e">
        <f t="shared" ca="1" si="4"/>
        <v>#VALUE!</v>
      </c>
      <c r="AI12" s="63" t="str">
        <f ca="1">_xll.BDP($B12,AI$6, "PX_ASK="&amp;T12)</f>
        <v>#N/A Invalid Override</v>
      </c>
      <c r="AJ12" s="35" t="e">
        <f t="shared" ca="1" si="5"/>
        <v>#VALUE!</v>
      </c>
    </row>
    <row r="13" spans="2:16380">
      <c r="B13" s="15" t="s">
        <v>788</v>
      </c>
      <c r="C13" s="15" t="s">
        <v>789</v>
      </c>
      <c r="D13" s="15" t="s">
        <v>789</v>
      </c>
      <c r="E13" s="16">
        <v>40714</v>
      </c>
      <c r="F13" s="19">
        <v>40714</v>
      </c>
      <c r="G13" s="18"/>
      <c r="H13" s="16">
        <v>40897</v>
      </c>
      <c r="I13" s="16">
        <v>44185</v>
      </c>
      <c r="J13" s="17">
        <v>1.2E-2</v>
      </c>
      <c r="K13" s="16">
        <v>44367</v>
      </c>
      <c r="L13" s="20" t="str">
        <f ca="1">_xll.meLWOBondCreateFromGeneratorLVB(C13,$L$4,_xll.meUtilityLVBFromKeysValues($C$6:$K$6,C13:K13))</f>
        <v>JP1103151B69:1</v>
      </c>
      <c r="M13" s="92">
        <f ca="1">_xll.BDP($B13,$M$5)</f>
        <v>-0.11399999999999832</v>
      </c>
      <c r="N13" s="37">
        <f ca="1">_xll.meLWOBondCleanPrice($L13,$C$4,$M13%)</f>
        <v>103.52072131985483</v>
      </c>
      <c r="O13" s="37">
        <f ca="1">_xll.meLWOBondDirtyPrice($L13,$C$4,$M13%)</f>
        <v>103.60000000000001</v>
      </c>
      <c r="P13" s="87">
        <f ca="1">_xll.meLWOBondYield($L13,$C$4,N13)</f>
        <v>-1.1400000000005548E-3</v>
      </c>
      <c r="Q13" s="89">
        <f ca="1">_xll.meLWOBondModifiedDuration($L13,$C$4,$M13%)</f>
        <v>2.6291664462897337</v>
      </c>
      <c r="R13" s="23">
        <f ca="1">_xll.meLWOBondDV01($L13,$C$4,$M13%)</f>
        <v>272.38164383561644</v>
      </c>
      <c r="S13" s="85">
        <f t="shared" ca="1" si="6"/>
        <v>-0.11399999999999832</v>
      </c>
      <c r="T13" s="22" t="str">
        <f ca="1">_xll.BDP($B13,T$6, "YAS_BOND_SPL_YLD="&amp;S13,"YAS_YLD_CONV=2")</f>
        <v>#N/A Requesting Data...</v>
      </c>
      <c r="U13" s="23">
        <f t="shared" ca="1" si="7"/>
        <v>103.52072131985483</v>
      </c>
      <c r="V13" s="23">
        <f t="shared" ca="1" si="0"/>
        <v>103.52</v>
      </c>
      <c r="W13" s="24" t="e">
        <f t="shared" ca="1" si="1"/>
        <v>#VALUE!</v>
      </c>
      <c r="X13" s="23">
        <f ca="1">_xll.meLWOBondDV01($L13,$C$4,$S13%)</f>
        <v>272.38164383561644</v>
      </c>
      <c r="Y13" s="22" t="e">
        <f ca="1">_xll.BDP($B13,Y$6, "YLD_YTM_ASK="&amp;$S13,"YAS_YLD_CONV=3")*$Y$3*0.0001</f>
        <v>#VALUE!</v>
      </c>
      <c r="Z13" s="24" t="e">
        <f t="shared" ca="1" si="8"/>
        <v>#VALUE!</v>
      </c>
      <c r="AA13" s="23">
        <f ca="1">_xll.meLWOBondModifiedDuration($L13,$C$4,$S13%)</f>
        <v>2.6291664462897337</v>
      </c>
      <c r="AB13" s="22" t="str">
        <f ca="1">_xll.BDP($B13,AB$6, "YLD_YTM_ASK="&amp;$S13,"YAS_YLD_CONV=3")</f>
        <v>#N/A Requesting Data...</v>
      </c>
      <c r="AC13" s="24" t="e">
        <f t="shared" ca="1" si="2"/>
        <v>#VALUE!</v>
      </c>
      <c r="AD13" s="23">
        <f ca="1">_xll.meLWOBondDV01Numerical($L13,$C$4,$S13%, 0.5, "CENTRAL")</f>
        <v>277.37261578309358</v>
      </c>
      <c r="AE13" s="63" t="str">
        <f ca="1">_xll.BDP($B13,AE$6, "YAS_BOND_PX="&amp;T13)</f>
        <v>#N/A Invalid Override</v>
      </c>
      <c r="AF13" s="64" t="e">
        <f ca="1">_xll.meLWOBondCompoundYield(L13,$C$4,T13)*100</f>
        <v>#VALUE!</v>
      </c>
      <c r="AG13" s="65" t="e">
        <f t="shared" ca="1" si="3"/>
        <v>#VALUE!</v>
      </c>
      <c r="AH13" s="35" t="e">
        <f t="shared" ca="1" si="4"/>
        <v>#VALUE!</v>
      </c>
      <c r="AI13" s="63" t="str">
        <f ca="1">_xll.BDP($B13,AI$6, "PX_ASK="&amp;T13)</f>
        <v>#N/A Invalid Override</v>
      </c>
      <c r="AJ13" s="35" t="e">
        <f t="shared" ca="1" si="5"/>
        <v>#VALUE!</v>
      </c>
    </row>
    <row r="14" spans="2:16380">
      <c r="B14" s="15" t="s">
        <v>790</v>
      </c>
      <c r="C14" s="15" t="s">
        <v>791</v>
      </c>
      <c r="D14" s="15" t="s">
        <v>791</v>
      </c>
      <c r="E14" s="16">
        <v>40760</v>
      </c>
      <c r="F14" s="19">
        <v>40714</v>
      </c>
      <c r="G14" s="18"/>
      <c r="H14" s="16">
        <v>40897</v>
      </c>
      <c r="I14" s="16">
        <v>44185</v>
      </c>
      <c r="J14" s="17">
        <v>1.1000000000000001E-2</v>
      </c>
      <c r="K14" s="16">
        <v>44367</v>
      </c>
      <c r="L14" s="20" t="str">
        <f ca="1">_xll.meLWOBondCreateFromGeneratorLVB(C14,$L$4,_xll.meUtilityLVBFromKeysValues($C$6:$K$6,C14:K14))</f>
        <v>JP1103161B83:1</v>
      </c>
      <c r="M14" s="92">
        <f ca="1">_xll.BDP($B14,$M$5)</f>
        <v>-0.11500000000000124</v>
      </c>
      <c r="N14" s="37">
        <f ca="1">_xll.meLWOBondCleanPrice($L14,$C$4,$M14%)</f>
        <v>103.25554872330413</v>
      </c>
      <c r="O14" s="37">
        <f ca="1">_xll.meLWOBondDirtyPrice($L14,$C$4,$M14%)</f>
        <v>103.3</v>
      </c>
      <c r="P14" s="87">
        <f ca="1">_xll.meLWOBondYield($L14,$C$4,N14)</f>
        <v>-1.1499999999995674E-3</v>
      </c>
      <c r="Q14" s="89">
        <f ca="1">_xll.meLWOBondModifiedDuration($L14,$C$4,$M14%)</f>
        <v>2.6326705035207998</v>
      </c>
      <c r="R14" s="23">
        <f ca="1">_xll.meLWOBondDV01($L14,$C$4,$M14%)</f>
        <v>271.95486301369863</v>
      </c>
      <c r="S14" s="85">
        <f t="shared" ca="1" si="6"/>
        <v>-0.11500000000000124</v>
      </c>
      <c r="T14" s="22" t="str">
        <f ca="1">_xll.BDP($B14,T$6, "YAS_BOND_SPL_YLD="&amp;S14,"YAS_YLD_CONV=2")</f>
        <v>#N/A Requesting Data...</v>
      </c>
      <c r="U14" s="23">
        <f t="shared" ca="1" si="7"/>
        <v>103.25554872330413</v>
      </c>
      <c r="V14" s="23">
        <f t="shared" ca="1" si="0"/>
        <v>103.255</v>
      </c>
      <c r="W14" s="24" t="e">
        <f t="shared" ca="1" si="1"/>
        <v>#VALUE!</v>
      </c>
      <c r="X14" s="23">
        <f ca="1">_xll.meLWOBondDV01($L14,$C$4,$S14%)</f>
        <v>271.95486301369863</v>
      </c>
      <c r="Y14" s="22" t="e">
        <f ca="1">_xll.BDP($B14,Y$6, "YLD_YTM_ASK="&amp;$S14,"YAS_YLD_CONV=3")*$Y$3*0.0001</f>
        <v>#VALUE!</v>
      </c>
      <c r="Z14" s="24" t="e">
        <f t="shared" ca="1" si="8"/>
        <v>#VALUE!</v>
      </c>
      <c r="AA14" s="23">
        <f ca="1">_xll.meLWOBondModifiedDuration($L14,$C$4,$S14%)</f>
        <v>2.6326705035207998</v>
      </c>
      <c r="AB14" s="22" t="str">
        <f ca="1">_xll.BDP($B14,AB$6, "YLD_YTM_ASK="&amp;$S14,"YAS_YLD_CONV=3")</f>
        <v>#N/A Requesting Data...</v>
      </c>
      <c r="AC14" s="24" t="e">
        <f t="shared" ca="1" si="2"/>
        <v>#VALUE!</v>
      </c>
      <c r="AD14" s="23">
        <f ca="1">_xll.meLWOBondDV01Numerical($L14,$C$4,$S14%, 0.5, "CENTRAL")</f>
        <v>276.66952745178719</v>
      </c>
      <c r="AE14" s="63" t="str">
        <f ca="1">_xll.BDP($B14,AE$6, "YAS_BOND_PX="&amp;T14)</f>
        <v>#N/A Invalid Override</v>
      </c>
      <c r="AF14" s="64" t="e">
        <f ca="1">_xll.meLWOBondCompoundYield(L14,$C$4,T14)*100</f>
        <v>#VALUE!</v>
      </c>
      <c r="AG14" s="65" t="e">
        <f t="shared" ca="1" si="3"/>
        <v>#VALUE!</v>
      </c>
      <c r="AH14" s="35" t="e">
        <f t="shared" ca="1" si="4"/>
        <v>#VALUE!</v>
      </c>
      <c r="AI14" s="63" t="str">
        <f ca="1">_xll.BDP($B14,AI$6, "PX_ASK="&amp;T14)</f>
        <v>#N/A Invalid Override</v>
      </c>
      <c r="AJ14" s="35" t="e">
        <f t="shared" ca="1" si="5"/>
        <v>#VALUE!</v>
      </c>
    </row>
    <row r="15" spans="2:16380">
      <c r="B15" s="15" t="s">
        <v>792</v>
      </c>
      <c r="C15" s="15" t="s">
        <v>793</v>
      </c>
      <c r="D15" s="15" t="s">
        <v>793</v>
      </c>
      <c r="E15" s="16">
        <v>37123</v>
      </c>
      <c r="F15" s="19">
        <v>37062</v>
      </c>
      <c r="G15" s="18"/>
      <c r="H15" s="16">
        <v>37245</v>
      </c>
      <c r="I15" s="16">
        <v>44185</v>
      </c>
      <c r="J15" s="17">
        <v>0.02</v>
      </c>
      <c r="K15" s="16">
        <v>44368</v>
      </c>
      <c r="L15" s="20" t="str">
        <f ca="1">_xll.meLWOBondCreateFromGeneratorLVB(C15,$L$4,_xll.meUtilityLVBFromKeysValues($C$6:$K$6,C15:K15))</f>
        <v>JP1200511184:1</v>
      </c>
      <c r="M15" s="92">
        <f ca="1">_xll.BDP($B15,$M$5)</f>
        <v>-0.12</v>
      </c>
      <c r="N15" s="37">
        <f ca="1">_xll.meLWOBondCleanPrice($L15,$C$4,$M15%)</f>
        <v>105.68707040234307</v>
      </c>
      <c r="O15" s="37">
        <f ca="1">_xll.meLWOBondDirtyPrice($L15,$C$4,$M15%)</f>
        <v>106.0054794520548</v>
      </c>
      <c r="P15" s="87">
        <f ca="1">_xll.meLWOBondYield($L15,$C$4,N15)</f>
        <v>-1.1999999999997026E-3</v>
      </c>
      <c r="Q15" s="89">
        <f ca="1">_xll.meLWOBondModifiedDuration($L15,$C$4,$M15%)</f>
        <v>2.6018516800754536</v>
      </c>
      <c r="R15" s="23">
        <f ca="1">_xll.meLWOBondDV01($L15,$C$4,$M15%)</f>
        <v>275.81053480953278</v>
      </c>
      <c r="S15" s="85">
        <f t="shared" ca="1" si="6"/>
        <v>-0.12</v>
      </c>
      <c r="T15" s="22" t="str">
        <f ca="1">_xll.BDP($B15,T$6, "YAS_BOND_SPL_YLD="&amp;S15,"YAS_YLD_CONV=2")</f>
        <v>#N/A Requesting Data...</v>
      </c>
      <c r="U15" s="23">
        <f t="shared" ca="1" si="7"/>
        <v>105.68707040234307</v>
      </c>
      <c r="V15" s="23">
        <f t="shared" ca="1" si="0"/>
        <v>105.687</v>
      </c>
      <c r="W15" s="24" t="e">
        <f t="shared" ca="1" si="1"/>
        <v>#VALUE!</v>
      </c>
      <c r="X15" s="23">
        <f ca="1">_xll.meLWOBondDV01($L15,$C$4,$S15%)</f>
        <v>275.81053480953278</v>
      </c>
      <c r="Y15" s="22" t="e">
        <f ca="1">_xll.BDP($B15,Y$6, "YLD_YTM_ASK="&amp;$S15,"YAS_YLD_CONV=3")*$Y$3*0.0001</f>
        <v>#VALUE!</v>
      </c>
      <c r="Z15" s="24" t="e">
        <f t="shared" ca="1" si="8"/>
        <v>#VALUE!</v>
      </c>
      <c r="AA15" s="23">
        <f ca="1">_xll.meLWOBondModifiedDuration($L15,$C$4,$S15%)</f>
        <v>2.6018516800754536</v>
      </c>
      <c r="AB15" s="22" t="str">
        <f ca="1">_xll.BDP($B15,AB$6, "YLD_YTM_ASK="&amp;$S15,"YAS_YLD_CONV=3")</f>
        <v>#N/A Requesting Data...</v>
      </c>
      <c r="AC15" s="24" t="e">
        <f t="shared" ca="1" si="2"/>
        <v>#VALUE!</v>
      </c>
      <c r="AD15" s="23">
        <f ca="1">_xll.meLWOBondDV01Numerical($L15,$C$4,$S15%, 0.5, "CENTRAL")</f>
        <v>283.51406641931482</v>
      </c>
      <c r="AE15" s="63" t="str">
        <f ca="1">_xll.BDP($B15,AE$6, "YAS_BOND_PX="&amp;T15)</f>
        <v>#N/A Invalid Override</v>
      </c>
      <c r="AF15" s="64" t="e">
        <f ca="1">_xll.meLWOBondCompoundYield(L15,$C$4,T15)*100</f>
        <v>#VALUE!</v>
      </c>
      <c r="AG15" s="65" t="e">
        <f t="shared" ca="1" si="3"/>
        <v>#VALUE!</v>
      </c>
      <c r="AH15" s="35" t="e">
        <f t="shared" ca="1" si="4"/>
        <v>#VALUE!</v>
      </c>
      <c r="AI15" s="63" t="str">
        <f ca="1">_xll.BDP($B15,AI$6, "PX_ASK="&amp;T15)</f>
        <v>#N/A Invalid Override</v>
      </c>
      <c r="AJ15" s="35" t="e">
        <f t="shared" ca="1" si="5"/>
        <v>#VALUE!</v>
      </c>
    </row>
    <row r="16" spans="2:16380">
      <c r="B16" s="15" t="s">
        <v>794</v>
      </c>
      <c r="C16" s="15" t="s">
        <v>795</v>
      </c>
      <c r="D16" s="15" t="s">
        <v>795</v>
      </c>
      <c r="E16" s="16">
        <v>42633</v>
      </c>
      <c r="F16" s="19">
        <v>42633</v>
      </c>
      <c r="G16" s="18"/>
      <c r="H16" s="16">
        <v>42814</v>
      </c>
      <c r="I16" s="16">
        <v>44275</v>
      </c>
      <c r="J16" s="17">
        <v>1E-3</v>
      </c>
      <c r="K16" s="16">
        <v>44459</v>
      </c>
      <c r="L16" s="20" t="str">
        <f ca="1">_xll.meLWOBondCreateFromGeneratorLVB(C16,$L$4,_xll.meUtilityLVBFromKeysValues($C$6:$K$6,C16:K16))</f>
        <v>JP1051291G90:1</v>
      </c>
      <c r="M16" s="92">
        <f ca="1">_xll.BDP($B16,$M$5)</f>
        <v>-0.11399999999999547</v>
      </c>
      <c r="N16" s="37">
        <f ca="1">_xll.meLWOBondCleanPrice($L16,$C$4,$M16%)</f>
        <v>100.62767531974089</v>
      </c>
      <c r="O16" s="37">
        <f ca="1">_xll.meLWOBondDirtyPrice($L16,$C$4,$M16%)</f>
        <v>100.29999999999998</v>
      </c>
      <c r="P16" s="87">
        <f ca="1">_xll.meLWOBondYield($L16,$C$4,N16)</f>
        <v>-1.1400000000003636E-3</v>
      </c>
      <c r="Q16" s="89">
        <f ca="1">_xll.meLWOBondModifiedDuration($L16,$C$4,$M16%)</f>
        <v>2.9154392985427284</v>
      </c>
      <c r="R16" s="23">
        <f ca="1">_xll.meLWOBondDV01($L16,$C$4,$M16%)</f>
        <v>292.41856164383563</v>
      </c>
      <c r="S16" s="85">
        <f t="shared" ca="1" si="6"/>
        <v>-0.11399999999999547</v>
      </c>
      <c r="T16" s="22" t="str">
        <f ca="1">_xll.BDP($B16,T$6, "YAS_BOND_SPL_YLD="&amp;S16,"YAS_YLD_CONV=2")</f>
        <v>#N/A Requesting Data...</v>
      </c>
      <c r="U16" s="23">
        <f t="shared" ca="1" si="7"/>
        <v>100.62767531974089</v>
      </c>
      <c r="V16" s="23">
        <f t="shared" ca="1" si="0"/>
        <v>100.627</v>
      </c>
      <c r="W16" s="24" t="e">
        <f t="shared" ca="1" si="1"/>
        <v>#VALUE!</v>
      </c>
      <c r="X16" s="23">
        <f ca="1">_xll.meLWOBondDV01($L16,$C$4,$S16%)</f>
        <v>292.41856164383563</v>
      </c>
      <c r="Y16" s="22" t="e">
        <f ca="1">_xll.BDP($B16,Y$6, "YLD_YTM_ASK="&amp;$S16,"YAS_YLD_CONV=3")*$Y$3*0.0001</f>
        <v>#VALUE!</v>
      </c>
      <c r="Z16" s="24" t="e">
        <f t="shared" ca="1" si="8"/>
        <v>#VALUE!</v>
      </c>
      <c r="AA16" s="23">
        <f ca="1">_xll.meLWOBondModifiedDuration($L16,$C$4,$S16%)</f>
        <v>2.9154392985427284</v>
      </c>
      <c r="AB16" s="22" t="str">
        <f ca="1">_xll.BDP($B16,AB$6, "YLD_YTM_ASK="&amp;$S16,"YAS_YLD_CONV=3")</f>
        <v>#N/A Requesting Data...</v>
      </c>
      <c r="AC16" s="24" t="e">
        <f t="shared" ca="1" si="2"/>
        <v>#VALUE!</v>
      </c>
      <c r="AD16" s="23">
        <f ca="1">_xll.meLWOBondDV01Numerical($L16,$C$4,$S16%, 0.5, "CENTRAL")</f>
        <v>295.14724130621067</v>
      </c>
      <c r="AE16" s="63" t="str">
        <f ca="1">_xll.BDP($B16,AE$6, "YAS_BOND_PX="&amp;T16)</f>
        <v>#N/A Invalid Override</v>
      </c>
      <c r="AF16" s="64" t="e">
        <f ca="1">_xll.meLWOBondCompoundYield(L16,$C$4,T16)*100</f>
        <v>#VALUE!</v>
      </c>
      <c r="AG16" s="65" t="e">
        <f t="shared" ca="1" si="3"/>
        <v>#VALUE!</v>
      </c>
      <c r="AH16" s="35" t="e">
        <f t="shared" ca="1" si="4"/>
        <v>#VALUE!</v>
      </c>
      <c r="AI16" s="63" t="str">
        <f ca="1">_xll.BDP($B16,AI$6, "PX_ASK="&amp;T16)</f>
        <v>#N/A Invalid Override</v>
      </c>
      <c r="AJ16" s="35" t="e">
        <f t="shared" ca="1" si="5"/>
        <v>#VALUE!</v>
      </c>
    </row>
    <row r="17" spans="2:36">
      <c r="B17" s="15" t="s">
        <v>796</v>
      </c>
      <c r="C17" s="15" t="s">
        <v>797</v>
      </c>
      <c r="D17" s="15" t="s">
        <v>797</v>
      </c>
      <c r="E17" s="16">
        <v>40823</v>
      </c>
      <c r="F17" s="19">
        <v>40806</v>
      </c>
      <c r="G17" s="18"/>
      <c r="H17" s="16">
        <v>40988</v>
      </c>
      <c r="I17" s="16">
        <v>44275</v>
      </c>
      <c r="J17" s="17">
        <v>0.01</v>
      </c>
      <c r="K17" s="16">
        <v>44459</v>
      </c>
      <c r="L17" s="20" t="str">
        <f ca="1">_xll.meLWOBondCreateFromGeneratorLVB(C17,$L$4,_xll.meUtilityLVBFromKeysValues($C$6:$K$6,C17:K17))</f>
        <v>JP1103181BA8:1</v>
      </c>
      <c r="M17" s="92">
        <f ca="1">_xll.BDP($B17,$M$5)</f>
        <v>-0.1089999999999971</v>
      </c>
      <c r="N17" s="37">
        <f ca="1">_xll.meLWOBondCleanPrice($L17,$C$4,$M17%)</f>
        <v>103.25228906782067</v>
      </c>
      <c r="O17" s="37">
        <f ca="1">_xll.meLWOBondDirtyPrice($L17,$C$4,$M17%)</f>
        <v>103</v>
      </c>
      <c r="P17" s="87">
        <f ca="1">_xll.meLWOBondYield($L17,$C$4,N17)</f>
        <v>-1.0900000000010506E-3</v>
      </c>
      <c r="Q17" s="89">
        <f ca="1">_xll.meLWOBondModifiedDuration($L17,$C$4,$M17%)</f>
        <v>2.8827703152014896</v>
      </c>
      <c r="R17" s="23">
        <f ca="1">_xll.meLWOBondDV01($L17,$C$4,$M17%)</f>
        <v>296.92534246575343</v>
      </c>
      <c r="S17" s="85">
        <f t="shared" ca="1" si="6"/>
        <v>-0.1089999999999971</v>
      </c>
      <c r="T17" s="22" t="str">
        <f ca="1">_xll.BDP($B17,T$6, "YAS_BOND_SPL_YLD="&amp;S17,"YAS_YLD_CONV=2")</f>
        <v>#N/A Requesting Data...</v>
      </c>
      <c r="U17" s="23">
        <f t="shared" ca="1" si="7"/>
        <v>103.25228906782067</v>
      </c>
      <c r="V17" s="23">
        <f t="shared" ca="1" si="0"/>
        <v>103.252</v>
      </c>
      <c r="W17" s="24" t="e">
        <f t="shared" ca="1" si="1"/>
        <v>#VALUE!</v>
      </c>
      <c r="X17" s="23">
        <f ca="1">_xll.meLWOBondDV01($L17,$C$4,$S17%)</f>
        <v>296.92534246575343</v>
      </c>
      <c r="Y17" s="22" t="e">
        <f ca="1">_xll.BDP($B17,Y$6, "YLD_YTM_ASK="&amp;$S17,"YAS_YLD_CONV=3")*$Y$3*0.0001</f>
        <v>#VALUE!</v>
      </c>
      <c r="Z17" s="24" t="e">
        <f t="shared" ca="1" si="8"/>
        <v>#VALUE!</v>
      </c>
      <c r="AA17" s="23">
        <f ca="1">_xll.meLWOBondModifiedDuration($L17,$C$4,$S17%)</f>
        <v>2.8827703152014896</v>
      </c>
      <c r="AB17" s="22" t="str">
        <f ca="1">_xll.BDP($B17,AB$6, "YLD_YTM_ASK="&amp;$S17,"YAS_YLD_CONV=3")</f>
        <v>#N/A Requesting Data...</v>
      </c>
      <c r="AC17" s="24" t="e">
        <f t="shared" ca="1" si="2"/>
        <v>#VALUE!</v>
      </c>
      <c r="AD17" s="23">
        <f ca="1">_xll.meLWOBondDV01Numerical($L17,$C$4,$S17%, 0.5, "CENTRAL")</f>
        <v>302.80099024608381</v>
      </c>
      <c r="AE17" s="63" t="str">
        <f ca="1">_xll.BDP($B17,AE$6, "YAS_BOND_PX="&amp;T17)</f>
        <v>#N/A Invalid Override</v>
      </c>
      <c r="AF17" s="64" t="e">
        <f ca="1">_xll.meLWOBondCompoundYield(L17,$C$4,T17)*100</f>
        <v>#VALUE!</v>
      </c>
      <c r="AG17" s="65" t="e">
        <f t="shared" ca="1" si="3"/>
        <v>#VALUE!</v>
      </c>
      <c r="AH17" s="35" t="e">
        <f t="shared" ca="1" si="4"/>
        <v>#VALUE!</v>
      </c>
      <c r="AI17" s="63" t="str">
        <f ca="1">_xll.BDP($B17,AI$6, "PX_ASK="&amp;T17)</f>
        <v>#N/A Invalid Override</v>
      </c>
      <c r="AJ17" s="35" t="e">
        <f t="shared" ca="1" si="5"/>
        <v>#VALUE!</v>
      </c>
    </row>
    <row r="18" spans="2:36">
      <c r="B18" s="15" t="s">
        <v>798</v>
      </c>
      <c r="C18" s="15" t="s">
        <v>799</v>
      </c>
      <c r="D18" s="15" t="s">
        <v>799</v>
      </c>
      <c r="E18" s="16">
        <v>40806</v>
      </c>
      <c r="F18" s="19">
        <v>40806</v>
      </c>
      <c r="G18" s="18"/>
      <c r="H18" s="16">
        <v>40988</v>
      </c>
      <c r="I18" s="16">
        <v>44275</v>
      </c>
      <c r="J18" s="17">
        <v>1.1000000000000001E-2</v>
      </c>
      <c r="K18" s="16">
        <v>44459</v>
      </c>
      <c r="L18" s="20" t="str">
        <f ca="1">_xll.meLWOBondCreateFromGeneratorLVB(C18,$L$4,_xll.meUtilityLVBFromKeysValues($C$6:$K$6,C18:K18))</f>
        <v>JP1103171B99:1</v>
      </c>
      <c r="M18" s="92">
        <f ca="1">_xll.BDP($B18,$M$5)</f>
        <v>-0.10900000000000079</v>
      </c>
      <c r="N18" s="37">
        <f ca="1">_xll.meLWOBondCleanPrice($L18,$C$4,$M18%)</f>
        <v>103.54555228403535</v>
      </c>
      <c r="O18" s="37">
        <f ca="1">_xll.meLWOBondDirtyPrice($L18,$C$4,$M18%)</f>
        <v>103.3</v>
      </c>
      <c r="P18" s="87">
        <f ca="1">_xll.meLWOBondYield($L18,$C$4,N18)</f>
        <v>-1.0899999999988508E-3</v>
      </c>
      <c r="Q18" s="89">
        <f ca="1">_xll.meLWOBondModifiedDuration($L18,$C$4,$M18%)</f>
        <v>2.8792458459865538</v>
      </c>
      <c r="R18" s="23">
        <f ca="1">_xll.meLWOBondDV01($L18,$C$4,$M18%)</f>
        <v>297.42609589041098</v>
      </c>
      <c r="S18" s="85">
        <f t="shared" ca="1" si="6"/>
        <v>-0.10900000000000079</v>
      </c>
      <c r="T18" s="22" t="str">
        <f ca="1">_xll.BDP($B18,T$6, "YAS_BOND_SPL_YLD="&amp;S18,"YAS_YLD_CONV=2")</f>
        <v>#N/A Requesting Data...</v>
      </c>
      <c r="U18" s="23">
        <f t="shared" ca="1" si="7"/>
        <v>103.54555228403535</v>
      </c>
      <c r="V18" s="23">
        <f t="shared" ca="1" si="0"/>
        <v>103.545</v>
      </c>
      <c r="W18" s="24" t="e">
        <f t="shared" ca="1" si="1"/>
        <v>#VALUE!</v>
      </c>
      <c r="X18" s="23">
        <f ca="1">_xll.meLWOBondDV01($L18,$C$4,$S18%)</f>
        <v>297.42609589041098</v>
      </c>
      <c r="Y18" s="22" t="e">
        <f ca="1">_xll.BDP($B18,Y$6, "YLD_YTM_ASK="&amp;$S18,"YAS_YLD_CONV=3")*$Y$3*0.0001</f>
        <v>#VALUE!</v>
      </c>
      <c r="Z18" s="24" t="e">
        <f t="shared" ca="1" si="8"/>
        <v>#VALUE!</v>
      </c>
      <c r="AA18" s="23">
        <f ca="1">_xll.meLWOBondModifiedDuration($L18,$C$4,$S18%)</f>
        <v>2.8792458459865538</v>
      </c>
      <c r="AB18" s="22" t="str">
        <f ca="1">_xll.BDP($B18,AB$6, "YLD_YTM_ASK="&amp;$S18,"YAS_YLD_CONV=3")</f>
        <v>#N/A Requesting Data...</v>
      </c>
      <c r="AC18" s="24" t="e">
        <f t="shared" ca="1" si="2"/>
        <v>#VALUE!</v>
      </c>
      <c r="AD18" s="23">
        <f ca="1">_xll.meLWOBondDV01Numerical($L18,$C$4,$S18%, 0.5, "CENTRAL")</f>
        <v>303.66102340451562</v>
      </c>
      <c r="AE18" s="63" t="str">
        <f ca="1">_xll.BDP($B18,AE$6, "YAS_BOND_PX="&amp;T18)</f>
        <v>#N/A Invalid Override</v>
      </c>
      <c r="AF18" s="64" t="e">
        <f ca="1">_xll.meLWOBondCompoundYield(L18,$C$4,T18)*100</f>
        <v>#VALUE!</v>
      </c>
      <c r="AG18" s="65" t="e">
        <f t="shared" ca="1" si="3"/>
        <v>#VALUE!</v>
      </c>
      <c r="AH18" s="35" t="e">
        <f t="shared" ca="1" si="4"/>
        <v>#VALUE!</v>
      </c>
      <c r="AI18" s="63" t="str">
        <f ca="1">_xll.BDP($B18,AI$6, "PX_ASK="&amp;T18)</f>
        <v>#N/A Invalid Override</v>
      </c>
      <c r="AJ18" s="35" t="e">
        <f t="shared" ca="1" si="5"/>
        <v>#VALUE!</v>
      </c>
    </row>
    <row r="19" spans="2:36">
      <c r="B19" s="15" t="s">
        <v>800</v>
      </c>
      <c r="C19" s="15" t="s">
        <v>801</v>
      </c>
      <c r="D19" s="15" t="s">
        <v>801</v>
      </c>
      <c r="E19" s="16">
        <v>37186</v>
      </c>
      <c r="F19" s="19">
        <v>37154</v>
      </c>
      <c r="G19" s="18"/>
      <c r="H19" s="16">
        <v>37335</v>
      </c>
      <c r="I19" s="16">
        <v>44275</v>
      </c>
      <c r="J19" s="17">
        <v>2.1000000000000001E-2</v>
      </c>
      <c r="K19" s="16">
        <v>44460</v>
      </c>
      <c r="L19" s="20" t="str">
        <f ca="1">_xll.meLWOBondCreateFromGeneratorLVB(C19,$L$4,_xll.meUtilityLVBFromKeysValues($C$6:$K$6,C19:K19))</f>
        <v>JP12005211A9:1</v>
      </c>
      <c r="M19" s="92">
        <f ca="1">_xll.BDP($B19,$M$5)</f>
        <v>-0.115</v>
      </c>
      <c r="N19" s="37">
        <f ca="1">_xll.meLWOBondCleanPrice($L19,$C$4,$M19%)</f>
        <v>106.5030329453795</v>
      </c>
      <c r="O19" s="37">
        <f ca="1">_xll.meLWOBondDirtyPrice($L19,$C$4,$M19%)</f>
        <v>106.30575342465754</v>
      </c>
      <c r="P19" s="87">
        <f ca="1">_xll.meLWOBondYield($L19,$C$4,N19)</f>
        <v>-1.1500000000016154E-3</v>
      </c>
      <c r="Q19" s="89">
        <f ca="1">_xll.meLWOBondModifiedDuration($L19,$C$4,$M19%)</f>
        <v>2.8450993070897233</v>
      </c>
      <c r="R19" s="23">
        <f ca="1">_xll.meLWOBondDV01($L19,$C$4,$M19%)</f>
        <v>302.45042540814416</v>
      </c>
      <c r="S19" s="85">
        <f t="shared" ca="1" si="6"/>
        <v>-0.115</v>
      </c>
      <c r="T19" s="22" t="str">
        <f ca="1">_xll.BDP($B19,T$6, "YAS_BOND_SPL_YLD="&amp;S19,"YAS_YLD_CONV=2")</f>
        <v>#N/A Requesting Data...</v>
      </c>
      <c r="U19" s="23">
        <f t="shared" ca="1" si="7"/>
        <v>106.5030329453795</v>
      </c>
      <c r="V19" s="23">
        <f t="shared" ca="1" si="0"/>
        <v>106.503</v>
      </c>
      <c r="W19" s="24" t="e">
        <f t="shared" ca="1" si="1"/>
        <v>#VALUE!</v>
      </c>
      <c r="X19" s="23">
        <f ca="1">_xll.meLWOBondDV01($L19,$C$4,$S19%)</f>
        <v>302.45042540814416</v>
      </c>
      <c r="Y19" s="22" t="e">
        <f ca="1">_xll.BDP($B19,Y$6, "YLD_YTM_ASK="&amp;$S19,"YAS_YLD_CONV=3")*$Y$3*0.0001</f>
        <v>#VALUE!</v>
      </c>
      <c r="Z19" s="24" t="e">
        <f t="shared" ca="1" si="8"/>
        <v>#VALUE!</v>
      </c>
      <c r="AA19" s="23">
        <f ca="1">_xll.meLWOBondModifiedDuration($L19,$C$4,$S19%)</f>
        <v>2.8450993070897233</v>
      </c>
      <c r="AB19" s="22" t="str">
        <f ca="1">_xll.BDP($B19,AB$6, "YLD_YTM_ASK="&amp;$S19,"YAS_YLD_CONV=3")</f>
        <v>#N/A Requesting Data...</v>
      </c>
      <c r="AC19" s="24" t="e">
        <f t="shared" ca="1" si="2"/>
        <v>#VALUE!</v>
      </c>
      <c r="AD19" s="23">
        <f ca="1">_xll.meLWOBondDV01Numerical($L19,$C$4,$S19%, 0.5, "CENTRAL")</f>
        <v>312.68295573411825</v>
      </c>
      <c r="AE19" s="63" t="str">
        <f ca="1">_xll.BDP($B19,AE$6, "YAS_BOND_PX="&amp;T19)</f>
        <v>#N/A Invalid Override</v>
      </c>
      <c r="AF19" s="64" t="e">
        <f ca="1">_xll.meLWOBondCompoundYield(L19,$C$4,T19)*100</f>
        <v>#VALUE!</v>
      </c>
      <c r="AG19" s="65" t="e">
        <f t="shared" ca="1" si="3"/>
        <v>#VALUE!</v>
      </c>
      <c r="AH19" s="35" t="e">
        <f t="shared" ca="1" si="4"/>
        <v>#VALUE!</v>
      </c>
      <c r="AI19" s="63" t="str">
        <f ca="1">_xll.BDP($B19,AI$6, "PX_ASK="&amp;T19)</f>
        <v>#N/A Invalid Override</v>
      </c>
      <c r="AJ19" s="35" t="e">
        <f t="shared" ca="1" si="5"/>
        <v>#VALUE!</v>
      </c>
    </row>
    <row r="20" spans="2:36">
      <c r="B20" s="15" t="s">
        <v>802</v>
      </c>
      <c r="C20" s="15" t="s">
        <v>803</v>
      </c>
      <c r="D20" s="15" t="s">
        <v>803</v>
      </c>
      <c r="E20" s="16">
        <v>42724</v>
      </c>
      <c r="F20" s="19">
        <v>42724</v>
      </c>
      <c r="G20" s="18"/>
      <c r="H20" s="16">
        <v>42906</v>
      </c>
      <c r="I20" s="16">
        <v>44367</v>
      </c>
      <c r="J20" s="17">
        <v>1E-3</v>
      </c>
      <c r="K20" s="16">
        <v>44550</v>
      </c>
      <c r="L20" s="20" t="str">
        <f ca="1">_xll.meLWOBondCreateFromGeneratorLVB(C20,$L$4,_xll.meUtilityLVBFromKeysValues($C$6:$K$6,C20:K20))</f>
        <v>JP1051301GC9:1</v>
      </c>
      <c r="M20" s="92">
        <f ca="1">_xll.BDP($B20,$M$5)</f>
        <v>-0.10800000000000196</v>
      </c>
      <c r="N20" s="37">
        <f ca="1">_xll.meLWOBondCleanPrice($L20,$C$4,$M20%)</f>
        <v>100.66217023722049</v>
      </c>
      <c r="O20" s="37">
        <f ca="1">_xll.meLWOBondDirtyPrice($L20,$C$4,$M20%)</f>
        <v>100.35000000000001</v>
      </c>
      <c r="P20" s="87">
        <f ca="1">_xll.meLWOBondYield($L20,$C$4,N20)</f>
        <v>-1.0799999999984713E-3</v>
      </c>
      <c r="Q20" s="89">
        <f ca="1">_xll.meLWOBondModifiedDuration($L20,$C$4,$M20%)</f>
        <v>3.1673710506378359</v>
      </c>
      <c r="R20" s="23">
        <f ca="1">_xll.meLWOBondDV01($L20,$C$4,$M20%)</f>
        <v>317.84568493150687</v>
      </c>
      <c r="S20" s="85">
        <f t="shared" ca="1" si="6"/>
        <v>-0.10800000000000196</v>
      </c>
      <c r="T20" s="22" t="str">
        <f ca="1">_xll.BDP($B20,T$6, "YAS_BOND_SPL_YLD="&amp;S20,"YAS_YLD_CONV=2")</f>
        <v>#N/A Requesting Data...</v>
      </c>
      <c r="U20" s="23">
        <f t="shared" ca="1" si="7"/>
        <v>100.66217023722049</v>
      </c>
      <c r="V20" s="23">
        <f t="shared" ca="1" si="0"/>
        <v>100.66200000000001</v>
      </c>
      <c r="W20" s="24" t="e">
        <f t="shared" ca="1" si="1"/>
        <v>#VALUE!</v>
      </c>
      <c r="X20" s="23">
        <f ca="1">_xll.meLWOBondDV01($L20,$C$4,$S20%)</f>
        <v>317.84568493150687</v>
      </c>
      <c r="Y20" s="22" t="e">
        <f ca="1">_xll.BDP($B20,Y$6, "YLD_YTM_ASK="&amp;$S20,"YAS_YLD_CONV=3")*$Y$3*0.0001</f>
        <v>#VALUE!</v>
      </c>
      <c r="Z20" s="24" t="e">
        <f t="shared" ca="1" si="8"/>
        <v>#VALUE!</v>
      </c>
      <c r="AA20" s="23">
        <f ca="1">_xll.meLWOBondModifiedDuration($L20,$C$4,$S20%)</f>
        <v>3.1673710506378359</v>
      </c>
      <c r="AB20" s="22" t="str">
        <f ca="1">_xll.BDP($B20,AB$6, "YLD_YTM_ASK="&amp;$S20,"YAS_YLD_CONV=3")</f>
        <v>#N/A Requesting Data...</v>
      </c>
      <c r="AC20" s="24" t="e">
        <f t="shared" ca="1" si="2"/>
        <v>#VALUE!</v>
      </c>
      <c r="AD20" s="23">
        <f ca="1">_xll.meLWOBondDV01Numerical($L20,$C$4,$S20%, 0.5, "CENTRAL")</f>
        <v>320.45910977856806</v>
      </c>
      <c r="AE20" s="63" t="str">
        <f ca="1">_xll.BDP($B20,AE$6, "YAS_BOND_PX="&amp;T20)</f>
        <v>#N/A Invalid Override</v>
      </c>
      <c r="AF20" s="64" t="e">
        <f ca="1">_xll.meLWOBondCompoundYield(L20,$C$4,T20)*100</f>
        <v>#VALUE!</v>
      </c>
      <c r="AG20" s="65" t="e">
        <f t="shared" ca="1" si="3"/>
        <v>#VALUE!</v>
      </c>
      <c r="AH20" s="35" t="e">
        <f t="shared" ca="1" si="4"/>
        <v>#VALUE!</v>
      </c>
      <c r="AI20" s="63" t="str">
        <f ca="1">_xll.BDP($B20,AI$6, "PX_ASK="&amp;T20)</f>
        <v>#N/A Invalid Override</v>
      </c>
      <c r="AJ20" s="35" t="e">
        <f t="shared" ca="1" si="5"/>
        <v>#VALUE!</v>
      </c>
    </row>
    <row r="21" spans="2:36">
      <c r="B21" s="15" t="s">
        <v>804</v>
      </c>
      <c r="C21" s="15" t="s">
        <v>805</v>
      </c>
      <c r="D21" s="15" t="s">
        <v>805</v>
      </c>
      <c r="E21" s="16">
        <v>40925</v>
      </c>
      <c r="F21" s="19">
        <v>40897</v>
      </c>
      <c r="G21" s="18"/>
      <c r="H21" s="16">
        <v>41080</v>
      </c>
      <c r="I21" s="16">
        <v>44367</v>
      </c>
      <c r="J21" s="17">
        <v>0.01</v>
      </c>
      <c r="K21" s="16">
        <v>44550</v>
      </c>
      <c r="L21" s="20" t="str">
        <f ca="1">_xll.meLWOBondCreateFromGeneratorLVB(C21,$L$4,_xll.meUtilityLVBFromKeysValues($C$6:$K$6,C21:K21))</f>
        <v>JP1103201C19:1</v>
      </c>
      <c r="M21" s="92">
        <f ca="1">_xll.BDP($B21,$M$5)</f>
        <v>-0.10399999999999994</v>
      </c>
      <c r="N21" s="37">
        <f ca="1">_xll.meLWOBondCleanPrice($L21,$C$4,$M21%)</f>
        <v>103.51414838131117</v>
      </c>
      <c r="O21" s="37">
        <f ca="1">_xll.meLWOBondDirtyPrice($L21,$C$4,$M21%)</f>
        <v>103.49999999999999</v>
      </c>
      <c r="P21" s="87">
        <f ca="1">_xll.meLWOBondYield($L21,$C$4,N21)</f>
        <v>-1.039999999999463E-3</v>
      </c>
      <c r="Q21" s="89">
        <f ca="1">_xll.meLWOBondModifiedDuration($L21,$C$4,$M21%)</f>
        <v>3.1218781020448683</v>
      </c>
      <c r="R21" s="23">
        <f ca="1">_xll.meLWOBondDV01($L21,$C$4,$M21%)</f>
        <v>323.11438356164382</v>
      </c>
      <c r="S21" s="85">
        <f t="shared" ca="1" si="6"/>
        <v>-0.10399999999999994</v>
      </c>
      <c r="T21" s="22" t="str">
        <f ca="1">_xll.BDP($B21,T$6, "YAS_BOND_SPL_YLD="&amp;S21,"YAS_YLD_CONV=2")</f>
        <v>#N/A Requesting Data...</v>
      </c>
      <c r="U21" s="23">
        <f t="shared" ca="1" si="7"/>
        <v>103.51414838131117</v>
      </c>
      <c r="V21" s="23">
        <f t="shared" ca="1" si="0"/>
        <v>103.514</v>
      </c>
      <c r="W21" s="24" t="e">
        <f t="shared" ca="1" si="1"/>
        <v>#VALUE!</v>
      </c>
      <c r="X21" s="23">
        <f ca="1">_xll.meLWOBondDV01($L21,$C$4,$S21%)</f>
        <v>323.11438356164382</v>
      </c>
      <c r="Y21" s="22" t="e">
        <f ca="1">_xll.BDP($B21,Y$6, "YLD_YTM_ASK="&amp;$S21,"YAS_YLD_CONV=3")*$Y$3*0.0001</f>
        <v>#VALUE!</v>
      </c>
      <c r="Z21" s="24" t="e">
        <f t="shared" ca="1" si="8"/>
        <v>#VALUE!</v>
      </c>
      <c r="AA21" s="23">
        <f ca="1">_xll.meLWOBondModifiedDuration($L21,$C$4,$S21%)</f>
        <v>3.1218781020448683</v>
      </c>
      <c r="AB21" s="22" t="str">
        <f ca="1">_xll.BDP($B21,AB$6, "YLD_YTM_ASK="&amp;$S21,"YAS_YLD_CONV=3")</f>
        <v>#N/A Requesting Data...</v>
      </c>
      <c r="AC21" s="24" t="e">
        <f t="shared" ca="1" si="2"/>
        <v>#VALUE!</v>
      </c>
      <c r="AD21" s="23">
        <f ca="1">_xll.meLWOBondDV01Numerical($L21,$C$4,$S21%, 0.5, "CENTRAL")</f>
        <v>329.49645488329799</v>
      </c>
      <c r="AE21" s="63" t="str">
        <f ca="1">_xll.BDP($B21,AE$6, "YAS_BOND_PX="&amp;T21)</f>
        <v>#N/A Invalid Override</v>
      </c>
      <c r="AF21" s="64" t="e">
        <f ca="1">_xll.meLWOBondCompoundYield(L21,$C$4,T21)*100</f>
        <v>#VALUE!</v>
      </c>
      <c r="AG21" s="65" t="e">
        <f t="shared" ca="1" si="3"/>
        <v>#VALUE!</v>
      </c>
      <c r="AH21" s="35" t="e">
        <f t="shared" ca="1" si="4"/>
        <v>#VALUE!</v>
      </c>
      <c r="AI21" s="63" t="str">
        <f ca="1">_xll.BDP($B21,AI$6, "PX_ASK="&amp;T21)</f>
        <v>#N/A Invalid Override</v>
      </c>
      <c r="AJ21" s="35" t="e">
        <f t="shared" ca="1" si="5"/>
        <v>#VALUE!</v>
      </c>
    </row>
    <row r="22" spans="2:36">
      <c r="B22" s="15" t="s">
        <v>806</v>
      </c>
      <c r="C22" s="15" t="s">
        <v>807</v>
      </c>
      <c r="D22" s="15" t="s">
        <v>807</v>
      </c>
      <c r="E22" s="16">
        <v>40897</v>
      </c>
      <c r="F22" s="19">
        <v>40897</v>
      </c>
      <c r="G22" s="18"/>
      <c r="H22" s="16">
        <v>41080</v>
      </c>
      <c r="I22" s="16">
        <v>44367</v>
      </c>
      <c r="J22" s="17">
        <v>1.1000000000000001E-2</v>
      </c>
      <c r="K22" s="16">
        <v>44550</v>
      </c>
      <c r="L22" s="20" t="str">
        <f ca="1">_xll.meLWOBondCreateFromGeneratorLVB(C22,$L$4,_xll.meUtilityLVBFromKeysValues($C$6:$K$6,C22:K22))</f>
        <v>JP1103191BC3:1</v>
      </c>
      <c r="M22" s="92">
        <f ca="1">_xll.BDP($B22,$M$5)</f>
        <v>-0.10400000000000008</v>
      </c>
      <c r="N22" s="37">
        <f ca="1">_xll.meLWOBondCleanPrice($L22,$C$4,$M22%)</f>
        <v>103.8324589230966</v>
      </c>
      <c r="O22" s="37">
        <f ca="1">_xll.meLWOBondDirtyPrice($L22,$C$4,$M22%)</f>
        <v>103.85</v>
      </c>
      <c r="P22" s="87">
        <f ca="1">_xll.meLWOBondYield($L22,$C$4,N22)</f>
        <v>-1.0400000000011531E-3</v>
      </c>
      <c r="Q22" s="89">
        <f ca="1">_xll.meLWOBondModifiedDuration($L22,$C$4,$M22%)</f>
        <v>3.1169936882094174</v>
      </c>
      <c r="R22" s="23">
        <f ca="1">_xll.meLWOBondDV01($L22,$C$4,$M22%)</f>
        <v>323.69979452054798</v>
      </c>
      <c r="S22" s="85">
        <f t="shared" ca="1" si="6"/>
        <v>-0.10400000000000008</v>
      </c>
      <c r="T22" s="22" t="str">
        <f ca="1">_xll.BDP($B22,T$6, "YAS_BOND_SPL_YLD="&amp;S22,"YAS_YLD_CONV=2")</f>
        <v>#N/A Requesting Data...</v>
      </c>
      <c r="U22" s="23">
        <f t="shared" ca="1" si="7"/>
        <v>103.8324589230966</v>
      </c>
      <c r="V22" s="23">
        <f t="shared" ca="1" si="0"/>
        <v>103.83199999999999</v>
      </c>
      <c r="W22" s="24" t="e">
        <f t="shared" ca="1" si="1"/>
        <v>#VALUE!</v>
      </c>
      <c r="X22" s="23">
        <f ca="1">_xll.meLWOBondDV01($L22,$C$4,$S22%)</f>
        <v>323.69979452054798</v>
      </c>
      <c r="Y22" s="22" t="e">
        <f ca="1">_xll.BDP($B22,Y$6, "YLD_YTM_ASK="&amp;$S22,"YAS_YLD_CONV=3")*$Y$3*0.0001</f>
        <v>#VALUE!</v>
      </c>
      <c r="Z22" s="24" t="e">
        <f t="shared" ca="1" si="8"/>
        <v>#VALUE!</v>
      </c>
      <c r="AA22" s="23">
        <f ca="1">_xll.meLWOBondModifiedDuration($L22,$C$4,$S22%)</f>
        <v>3.1169936882094174</v>
      </c>
      <c r="AB22" s="22" t="str">
        <f ca="1">_xll.BDP($B22,AB$6, "YLD_YTM_ASK="&amp;$S22,"YAS_YLD_CONV=3")</f>
        <v>#N/A Requesting Data...</v>
      </c>
      <c r="AC22" s="24" t="e">
        <f t="shared" ca="1" si="2"/>
        <v>#VALUE!</v>
      </c>
      <c r="AD22" s="23">
        <f ca="1">_xll.meLWOBondDV01Numerical($L22,$C$4,$S22%, 0.5, "CENTRAL")</f>
        <v>330.50967091924122</v>
      </c>
      <c r="AE22" s="63" t="str">
        <f ca="1">_xll.BDP($B22,AE$6, "YAS_BOND_PX="&amp;T22)</f>
        <v>#N/A Invalid Override</v>
      </c>
      <c r="AF22" s="64" t="e">
        <f ca="1">_xll.meLWOBondCompoundYield(L22,$C$4,T22)*100</f>
        <v>#VALUE!</v>
      </c>
      <c r="AG22" s="65" t="e">
        <f t="shared" ca="1" si="3"/>
        <v>#VALUE!</v>
      </c>
      <c r="AH22" s="35" t="e">
        <f t="shared" ca="1" si="4"/>
        <v>#VALUE!</v>
      </c>
      <c r="AI22" s="63" t="str">
        <f ca="1">_xll.BDP($B22,AI$6, "PX_ASK="&amp;T22)</f>
        <v>#N/A Invalid Override</v>
      </c>
      <c r="AJ22" s="35" t="e">
        <f t="shared" ca="1" si="5"/>
        <v>#VALUE!</v>
      </c>
    </row>
    <row r="23" spans="2:36">
      <c r="B23" s="15" t="s">
        <v>808</v>
      </c>
      <c r="C23" s="15" t="s">
        <v>809</v>
      </c>
      <c r="D23" s="15" t="s">
        <v>809</v>
      </c>
      <c r="E23" s="16">
        <v>37307</v>
      </c>
      <c r="F23" s="19">
        <v>37245</v>
      </c>
      <c r="G23" s="18"/>
      <c r="H23" s="16">
        <v>37427</v>
      </c>
      <c r="I23" s="16">
        <v>44367</v>
      </c>
      <c r="J23" s="17">
        <v>2.2000000000000002E-2</v>
      </c>
      <c r="K23" s="16">
        <v>44550</v>
      </c>
      <c r="L23" s="20" t="str">
        <f ca="1">_xll.meLWOBondCreateFromGeneratorLVB(C23,$L$4,_xll.meUtilityLVBFromKeysValues($C$6:$K$6,C23:K23))</f>
        <v>JP1200541223:1</v>
      </c>
      <c r="M23" s="92">
        <f ca="1">_xll.BDP($B23,$M$5)</f>
        <v>-0.11099999999999836</v>
      </c>
      <c r="N23" s="37">
        <f ca="1">_xll.meLWOBondCleanPrice($L23,$C$4,$M23%)</f>
        <v>107.35779606549771</v>
      </c>
      <c r="O23" s="37">
        <f ca="1">_xll.meLWOBondDirtyPrice($L23,$C$4,$M23%)</f>
        <v>107.69999999999999</v>
      </c>
      <c r="P23" s="87">
        <f ca="1">_xll.meLWOBondYield($L23,$C$4,N23)</f>
        <v>-1.1100000000007883E-3</v>
      </c>
      <c r="Q23" s="89">
        <f ca="1">_xll.meLWOBondModifiedDuration($L23,$C$4,$M23%)</f>
        <v>3.0653603998931591</v>
      </c>
      <c r="R23" s="23">
        <f ca="1">_xll.meLWOBondDV01($L23,$C$4,$M23%)</f>
        <v>330.1393150684932</v>
      </c>
      <c r="S23" s="85">
        <f t="shared" ca="1" si="6"/>
        <v>-0.11099999999999836</v>
      </c>
      <c r="T23" s="22" t="str">
        <f ca="1">_xll.BDP($B23,T$6, "YAS_BOND_SPL_YLD="&amp;S23,"YAS_YLD_CONV=2")</f>
        <v>#N/A Requesting Data...</v>
      </c>
      <c r="U23" s="23">
        <f t="shared" ca="1" si="7"/>
        <v>107.35779606549771</v>
      </c>
      <c r="V23" s="23">
        <f t="shared" ca="1" si="0"/>
        <v>107.357</v>
      </c>
      <c r="W23" s="24" t="e">
        <f t="shared" ca="1" si="1"/>
        <v>#VALUE!</v>
      </c>
      <c r="X23" s="23">
        <f ca="1">_xll.meLWOBondDV01($L23,$C$4,$S23%)</f>
        <v>330.1393150684932</v>
      </c>
      <c r="Y23" s="22" t="e">
        <f ca="1">_xll.BDP($B23,Y$6, "YLD_YTM_ASK="&amp;$S23,"YAS_YLD_CONV=3")*$Y$3*0.0001</f>
        <v>#VALUE!</v>
      </c>
      <c r="Z23" s="24" t="e">
        <f t="shared" ca="1" si="8"/>
        <v>#VALUE!</v>
      </c>
      <c r="AA23" s="23">
        <f ca="1">_xll.meLWOBondModifiedDuration($L23,$C$4,$S23%)</f>
        <v>3.0653603998931591</v>
      </c>
      <c r="AB23" s="22" t="str">
        <f ca="1">_xll.BDP($B23,AB$6, "YLD_YTM_ASK="&amp;$S23,"YAS_YLD_CONV=3")</f>
        <v>#N/A Requesting Data...</v>
      </c>
      <c r="AC23" s="24" t="e">
        <f t="shared" ca="1" si="2"/>
        <v>#VALUE!</v>
      </c>
      <c r="AD23" s="23">
        <f ca="1">_xll.meLWOBondDV01Numerical($L23,$C$4,$S23%, 0.5, "CENTRAL")</f>
        <v>341.80735158329867</v>
      </c>
      <c r="AE23" s="63" t="str">
        <f ca="1">_xll.BDP($B23,AE$6, "YAS_BOND_PX="&amp;T23)</f>
        <v>#N/A Invalid Override</v>
      </c>
      <c r="AF23" s="64" t="e">
        <f ca="1">_xll.meLWOBondCompoundYield(L23,$C$4,T23)*100</f>
        <v>#VALUE!</v>
      </c>
      <c r="AG23" s="65" t="e">
        <f t="shared" ca="1" si="3"/>
        <v>#VALUE!</v>
      </c>
      <c r="AH23" s="35" t="e">
        <f t="shared" ca="1" si="4"/>
        <v>#VALUE!</v>
      </c>
      <c r="AI23" s="63" t="str">
        <f ca="1">_xll.BDP($B23,AI$6, "PX_ASK="&amp;T23)</f>
        <v>#N/A Invalid Override</v>
      </c>
      <c r="AJ23" s="35" t="e">
        <f t="shared" ca="1" si="5"/>
        <v>#VALUE!</v>
      </c>
    </row>
    <row r="24" spans="2:36">
      <c r="B24" s="15" t="s">
        <v>810</v>
      </c>
      <c r="C24" s="15" t="s">
        <v>811</v>
      </c>
      <c r="D24" s="15" t="s">
        <v>811</v>
      </c>
      <c r="E24" s="16">
        <v>37245</v>
      </c>
      <c r="F24" s="19">
        <v>37245</v>
      </c>
      <c r="G24" s="18"/>
      <c r="H24" s="16">
        <v>37427</v>
      </c>
      <c r="I24" s="16">
        <v>44367</v>
      </c>
      <c r="J24" s="17">
        <v>2.1000000000000001E-2</v>
      </c>
      <c r="K24" s="16">
        <v>44550</v>
      </c>
      <c r="L24" s="20" t="str">
        <f ca="1">_xll.meLWOBondCreateFromGeneratorLVB(C24,$L$4,_xll.meUtilityLVBFromKeysValues($C$6:$K$6,C24:K24))</f>
        <v>JP12005311C3:1</v>
      </c>
      <c r="M24" s="92">
        <f ca="1">_xll.BDP($B24,$M$5)</f>
        <v>-0.11000000000000355</v>
      </c>
      <c r="N24" s="37">
        <f ca="1">_xll.meLWOBondCleanPrice($L24,$C$4,$M24%)</f>
        <v>107.03600675453131</v>
      </c>
      <c r="O24" s="37">
        <f ca="1">_xll.meLWOBondDirtyPrice($L24,$C$4,$M24%)</f>
        <v>107.35</v>
      </c>
      <c r="P24" s="87">
        <f ca="1">_xll.meLWOBondYield($L24,$C$4,N24)</f>
        <v>-1.0999999999991435E-3</v>
      </c>
      <c r="Q24" s="89">
        <f ca="1">_xll.meLWOBondModifiedDuration($L24,$C$4,$M24%)</f>
        <v>3.0699012958508534</v>
      </c>
      <c r="R24" s="23">
        <f ca="1">_xll.meLWOBondDV01($L24,$C$4,$M24%)</f>
        <v>329.5539041095891</v>
      </c>
      <c r="S24" s="85">
        <f t="shared" ca="1" si="6"/>
        <v>-0.11000000000000355</v>
      </c>
      <c r="T24" s="22" t="str">
        <f ca="1">_xll.BDP($B24,T$6, "YAS_BOND_SPL_YLD="&amp;S24,"YAS_YLD_CONV=2")</f>
        <v>#N/A Requesting Data...</v>
      </c>
      <c r="U24" s="23">
        <f t="shared" ca="1" si="7"/>
        <v>107.03600675453131</v>
      </c>
      <c r="V24" s="23">
        <f t="shared" ca="1" si="0"/>
        <v>107.036</v>
      </c>
      <c r="W24" s="24" t="e">
        <f t="shared" ca="1" si="1"/>
        <v>#VALUE!</v>
      </c>
      <c r="X24" s="23">
        <f ca="1">_xll.meLWOBondDV01($L24,$C$4,$S24%)</f>
        <v>329.5539041095891</v>
      </c>
      <c r="Y24" s="22" t="e">
        <f ca="1">_xll.BDP($B24,Y$6, "YLD_YTM_ASK="&amp;$S24,"YAS_YLD_CONV=3")*$Y$3*0.0001</f>
        <v>#VALUE!</v>
      </c>
      <c r="Z24" s="24" t="e">
        <f t="shared" ca="1" si="8"/>
        <v>#VALUE!</v>
      </c>
      <c r="AA24" s="23">
        <f ca="1">_xll.meLWOBondModifiedDuration($L24,$C$4,$S24%)</f>
        <v>3.0699012958508534</v>
      </c>
      <c r="AB24" s="22" t="str">
        <f ca="1">_xll.BDP($B24,AB$6, "YLD_YTM_ASK="&amp;$S24,"YAS_YLD_CONV=3")</f>
        <v>#N/A Requesting Data...</v>
      </c>
      <c r="AC24" s="24" t="e">
        <f t="shared" ca="1" si="2"/>
        <v>#VALUE!</v>
      </c>
      <c r="AD24" s="23">
        <f ca="1">_xll.meLWOBondDV01Numerical($L24,$C$4,$S24%, 0.5, "CENTRAL")</f>
        <v>340.77198442830081</v>
      </c>
      <c r="AE24" s="63" t="str">
        <f ca="1">_xll.BDP($B24,AE$6, "YAS_BOND_PX="&amp;T24)</f>
        <v>#N/A Invalid Override</v>
      </c>
      <c r="AF24" s="64" t="e">
        <f ca="1">_xll.meLWOBondCompoundYield(L24,$C$4,T24)*100</f>
        <v>#VALUE!</v>
      </c>
      <c r="AG24" s="65" t="e">
        <f t="shared" ca="1" si="3"/>
        <v>#VALUE!</v>
      </c>
      <c r="AH24" s="35" t="e">
        <f ca="1">ABS(AG24-AE24)*10000</f>
        <v>#VALUE!</v>
      </c>
      <c r="AI24" s="63" t="str">
        <f ca="1">_xll.BDP($B24,AI$6, "PX_ASK="&amp;T24)</f>
        <v>#N/A Invalid Override</v>
      </c>
      <c r="AJ24" s="35" t="e">
        <f t="shared" ca="1" si="5"/>
        <v>#VALUE!</v>
      </c>
    </row>
    <row r="25" spans="2:36">
      <c r="B25" s="15" t="s">
        <v>812</v>
      </c>
      <c r="C25" s="15" t="s">
        <v>813</v>
      </c>
      <c r="D25" s="15" t="s">
        <v>813</v>
      </c>
      <c r="E25" s="16">
        <v>42815</v>
      </c>
      <c r="F25" s="19">
        <v>42814</v>
      </c>
      <c r="G25" s="18"/>
      <c r="H25" s="16">
        <v>42998</v>
      </c>
      <c r="I25" s="16">
        <v>44459</v>
      </c>
      <c r="J25" s="17">
        <v>1E-3</v>
      </c>
      <c r="K25" s="16">
        <v>44640</v>
      </c>
      <c r="L25" s="20" t="str">
        <f ca="1">_xll.meLWOBondCreateFromGeneratorLVB(C25,$L$4,_xll.meUtilityLVBFromKeysValues($C$6:$K$6,C25:K25))</f>
        <v>JP1051311H38:1</v>
      </c>
      <c r="M25" s="92">
        <f ca="1">_xll.BDP($B25,$M$5)</f>
        <v>-0.10599999999999875</v>
      </c>
      <c r="N25" s="37">
        <f ca="1">_xll.meLWOBondCleanPrice($L25,$C$4,$M25%)</f>
        <v>100.70691276921683</v>
      </c>
      <c r="O25" s="37">
        <f ca="1">_xll.meLWOBondDirtyPrice($L25,$C$4,$M25%)</f>
        <v>100.35000000000001</v>
      </c>
      <c r="P25" s="87">
        <f ca="1">_xll.meLWOBondYield($L25,$C$4,N25)</f>
        <v>-1.0600000000004985E-3</v>
      </c>
      <c r="Q25" s="89">
        <f ca="1">_xll.meLWOBondModifiedDuration($L25,$C$4,$M25%)</f>
        <v>3.4139463931035898</v>
      </c>
      <c r="R25" s="23">
        <f ca="1">_xll.meLWOBondDV01($L25,$C$4,$M25%)</f>
        <v>342.58952054794526</v>
      </c>
      <c r="S25" s="85">
        <f t="shared" ca="1" si="6"/>
        <v>-0.10599999999999875</v>
      </c>
      <c r="T25" s="22" t="str">
        <f ca="1">_xll.BDP($B25,T$6, "YAS_BOND_SPL_YLD="&amp;S25,"YAS_YLD_CONV=2")</f>
        <v>#N/A Requesting Data...</v>
      </c>
      <c r="U25" s="23">
        <f t="shared" ca="1" si="7"/>
        <v>100.70691276921683</v>
      </c>
      <c r="V25" s="23">
        <f t="shared" ca="1" si="0"/>
        <v>100.706</v>
      </c>
      <c r="W25" s="24" t="e">
        <f t="shared" ca="1" si="1"/>
        <v>#VALUE!</v>
      </c>
      <c r="X25" s="23">
        <f ca="1">_xll.meLWOBondDV01($L25,$C$4,$S25%)</f>
        <v>342.58952054794526</v>
      </c>
      <c r="Y25" s="22" t="e">
        <f ca="1">_xll.BDP($B25,Y$6, "YLD_YTM_ASK="&amp;$S25,"YAS_YLD_CONV=3")*$Y$3*0.0001</f>
        <v>#VALUE!</v>
      </c>
      <c r="Z25" s="24" t="e">
        <f t="shared" ca="1" si="8"/>
        <v>#VALUE!</v>
      </c>
      <c r="AA25" s="23">
        <f ca="1">_xll.meLWOBondModifiedDuration($L25,$C$4,$S25%)</f>
        <v>3.4139463931035898</v>
      </c>
      <c r="AB25" s="22" t="str">
        <f ca="1">_xll.BDP($B25,AB$6, "YLD_YTM_ASK="&amp;$S25,"YAS_YLD_CONV=3")</f>
        <v>#N/A Requesting Data...</v>
      </c>
      <c r="AC25" s="24" t="e">
        <f t="shared" ca="1" si="2"/>
        <v>#VALUE!</v>
      </c>
      <c r="AD25" s="23">
        <f ca="1">_xll.meLWOBondDV01Numerical($L25,$C$4,$S25%, 0.5, "CENTRAL")</f>
        <v>345.58740136318988</v>
      </c>
      <c r="AE25" s="63" t="str">
        <f ca="1">_xll.BDP($B25,AE$6, "YAS_BOND_PX="&amp;T25)</f>
        <v>#N/A Invalid Override</v>
      </c>
      <c r="AF25" s="64" t="e">
        <f ca="1">_xll.meLWOBondCompoundYield(L25,$C$4,T25)*100</f>
        <v>#VALUE!</v>
      </c>
      <c r="AG25" s="65" t="e">
        <f t="shared" ca="1" si="3"/>
        <v>#VALUE!</v>
      </c>
      <c r="AH25" s="35" t="e">
        <f t="shared" ca="1" si="4"/>
        <v>#VALUE!</v>
      </c>
      <c r="AI25" s="63" t="str">
        <f ca="1">_xll.BDP($B25,AI$6, "PX_ASK="&amp;T25)</f>
        <v>#N/A Invalid Override</v>
      </c>
      <c r="AJ25" s="35" t="e">
        <f t="shared" ca="1" si="5"/>
        <v>#VALUE!</v>
      </c>
    </row>
    <row r="26" spans="2:36">
      <c r="B26" s="15" t="s">
        <v>814</v>
      </c>
      <c r="C26" s="15" t="s">
        <v>815</v>
      </c>
      <c r="D26" s="15" t="s">
        <v>815</v>
      </c>
      <c r="E26" s="16">
        <v>40989</v>
      </c>
      <c r="F26" s="19">
        <v>40988</v>
      </c>
      <c r="G26" s="18"/>
      <c r="H26" s="16">
        <v>41172</v>
      </c>
      <c r="I26" s="16">
        <v>44459</v>
      </c>
      <c r="J26" s="17">
        <v>0.01</v>
      </c>
      <c r="K26" s="16">
        <v>44640</v>
      </c>
      <c r="L26" s="20" t="str">
        <f ca="1">_xll.meLWOBondCreateFromGeneratorLVB(C26,$L$4,_xll.meUtilityLVBFromKeysValues($C$6:$K$6,C26:K26))</f>
        <v>JP1103211C33:1</v>
      </c>
      <c r="M26" s="92">
        <f ca="1">_xll.BDP($B26,$M$5)</f>
        <v>-0.10200000000000017</v>
      </c>
      <c r="N26" s="37">
        <f ca="1">_xll.meLWOBondCleanPrice($L26,$C$4,$M26%)</f>
        <v>103.78112113963262</v>
      </c>
      <c r="O26" s="37">
        <f ca="1">_xll.meLWOBondDirtyPrice($L26,$C$4,$M26%)</f>
        <v>103.49999999999999</v>
      </c>
      <c r="P26" s="87">
        <f ca="1">_xll.meLWOBondYield($L26,$C$4,N26)</f>
        <v>-1.0200000000010648E-3</v>
      </c>
      <c r="Q26" s="89">
        <f ca="1">_xll.meLWOBondModifiedDuration($L26,$C$4,$M26%)</f>
        <v>3.3684534445106222</v>
      </c>
      <c r="R26" s="23">
        <f ca="1">_xll.meLWOBondDV01($L26,$C$4,$M26%)</f>
        <v>348.63493150684934</v>
      </c>
      <c r="S26" s="85">
        <f t="shared" ca="1" si="6"/>
        <v>-0.10200000000000017</v>
      </c>
      <c r="T26" s="22" t="str">
        <f ca="1">_xll.BDP($B26,T$6, "YAS_BOND_SPL_YLD="&amp;S26,"YAS_YLD_CONV=2")</f>
        <v>#N/A Requesting Data...</v>
      </c>
      <c r="U26" s="23">
        <f t="shared" ca="1" si="7"/>
        <v>103.78112113963262</v>
      </c>
      <c r="V26" s="23">
        <f t="shared" ca="1" si="0"/>
        <v>103.78100000000001</v>
      </c>
      <c r="W26" s="24" t="e">
        <f t="shared" ca="1" si="1"/>
        <v>#VALUE!</v>
      </c>
      <c r="X26" s="23">
        <f ca="1">_xll.meLWOBondDV01($L26,$C$4,$S26%)</f>
        <v>348.63493150684934</v>
      </c>
      <c r="Y26" s="22" t="e">
        <f ca="1">_xll.BDP($B26,Y$6, "YLD_YTM_ASK="&amp;$S26,"YAS_YLD_CONV=3")*$Y$3*0.0001</f>
        <v>#VALUE!</v>
      </c>
      <c r="Z26" s="24" t="e">
        <f t="shared" ca="1" si="8"/>
        <v>#VALUE!</v>
      </c>
      <c r="AA26" s="23">
        <f ca="1">_xll.meLWOBondModifiedDuration($L26,$C$4,$S26%)</f>
        <v>3.3684534445106222</v>
      </c>
      <c r="AB26" s="22" t="str">
        <f ca="1">_xll.BDP($B26,AB$6, "YLD_YTM_ASK="&amp;$S26,"YAS_YLD_CONV=3")</f>
        <v>#N/A Requesting Data...</v>
      </c>
      <c r="AC26" s="24" t="e">
        <f t="shared" ca="1" si="2"/>
        <v>#VALUE!</v>
      </c>
      <c r="AD26" s="23">
        <f ca="1">_xll.meLWOBondDV01Numerical($L26,$C$4,$S26%, 0.5, "CENTRAL")</f>
        <v>356.08802412454565</v>
      </c>
      <c r="AE26" s="63" t="str">
        <f ca="1">_xll.BDP($B26,AE$6, "YAS_BOND_PX="&amp;T26)</f>
        <v>#N/A Invalid Override</v>
      </c>
      <c r="AF26" s="64" t="e">
        <f ca="1">_xll.meLWOBondCompoundYield(L26,$C$4,T26)*100</f>
        <v>#VALUE!</v>
      </c>
      <c r="AG26" s="65" t="e">
        <f t="shared" ca="1" si="3"/>
        <v>#VALUE!</v>
      </c>
      <c r="AH26" s="35" t="e">
        <f t="shared" ca="1" si="4"/>
        <v>#VALUE!</v>
      </c>
      <c r="AI26" s="63" t="str">
        <f ca="1">_xll.BDP($B26,AI$6, "PX_ASK="&amp;T26)</f>
        <v>#N/A Invalid Override</v>
      </c>
      <c r="AJ26" s="35" t="e">
        <f t="shared" ca="1" si="5"/>
        <v>#VALUE!</v>
      </c>
    </row>
    <row r="27" spans="2:36">
      <c r="B27" s="15" t="s">
        <v>816</v>
      </c>
      <c r="C27" s="15" t="s">
        <v>817</v>
      </c>
      <c r="D27" s="15" t="s">
        <v>817</v>
      </c>
      <c r="E27" s="16">
        <v>41039</v>
      </c>
      <c r="F27" s="19">
        <v>40988</v>
      </c>
      <c r="G27" s="18"/>
      <c r="H27" s="16">
        <v>41172</v>
      </c>
      <c r="I27" s="16">
        <v>44459</v>
      </c>
      <c r="J27" s="17">
        <v>9.0000000000000011E-3</v>
      </c>
      <c r="K27" s="16">
        <v>44640</v>
      </c>
      <c r="L27" s="20" t="str">
        <f ca="1">_xll.meLWOBondCreateFromGeneratorLVB(C27,$L$4,_xll.meUtilityLVBFromKeysValues($C$6:$K$6,C27:K27))</f>
        <v>JP1103221C56:1</v>
      </c>
      <c r="M27" s="92">
        <f ca="1">_xll.BDP($B27,$M$5)</f>
        <v>-0.10199999999999729</v>
      </c>
      <c r="N27" s="37">
        <f ca="1">_xll.meLWOBondCleanPrice($L27,$C$4,$M27%)</f>
        <v>103.43800669864962</v>
      </c>
      <c r="O27" s="37">
        <f ca="1">_xll.meLWOBondDirtyPrice($L27,$C$4,$M27%)</f>
        <v>103.15</v>
      </c>
      <c r="P27" s="87">
        <f ca="1">_xll.meLWOBondYield($L27,$C$4,N27)</f>
        <v>-1.0200000000010567E-3</v>
      </c>
      <c r="Q27" s="89">
        <f ca="1">_xll.meLWOBondModifiedDuration($L27,$C$4,$M27%)</f>
        <v>3.373371005119556</v>
      </c>
      <c r="R27" s="23">
        <f ca="1">_xll.meLWOBondDV01($L27,$C$4,$M27%)</f>
        <v>347.96321917808223</v>
      </c>
      <c r="S27" s="85">
        <f t="shared" ca="1" si="6"/>
        <v>-0.10199999999999729</v>
      </c>
      <c r="T27" s="22" t="str">
        <f ca="1">_xll.BDP($B27,T$6, "YAS_BOND_SPL_YLD="&amp;S27,"YAS_YLD_CONV=2")</f>
        <v>#N/A Requesting Data...</v>
      </c>
      <c r="U27" s="23">
        <f t="shared" ca="1" si="7"/>
        <v>103.43800669864962</v>
      </c>
      <c r="V27" s="23">
        <f t="shared" ca="1" si="0"/>
        <v>103.438</v>
      </c>
      <c r="W27" s="24" t="e">
        <f t="shared" ca="1" si="1"/>
        <v>#VALUE!</v>
      </c>
      <c r="X27" s="23">
        <f ca="1">_xll.meLWOBondDV01($L27,$C$4,$S27%)</f>
        <v>347.96321917808223</v>
      </c>
      <c r="Y27" s="22" t="e">
        <f ca="1">_xll.BDP($B27,Y$6, "YLD_YTM_ASK="&amp;$S27,"YAS_YLD_CONV=3")*$Y$3*0.0001</f>
        <v>#VALUE!</v>
      </c>
      <c r="Z27" s="24" t="e">
        <f t="shared" ca="1" si="8"/>
        <v>#VALUE!</v>
      </c>
      <c r="AA27" s="23">
        <f ca="1">_xll.meLWOBondModifiedDuration($L27,$C$4,$S27%)</f>
        <v>3.373371005119556</v>
      </c>
      <c r="AB27" s="22" t="str">
        <f ca="1">_xll.BDP($B27,AB$6, "YLD_YTM_ASK="&amp;$S27,"YAS_YLD_CONV=3")</f>
        <v>#N/A Requesting Data...</v>
      </c>
      <c r="AC27" s="24" t="e">
        <f t="shared" ca="1" si="2"/>
        <v>#VALUE!</v>
      </c>
      <c r="AD27" s="23">
        <f ca="1">_xll.meLWOBondDV01Numerical($L27,$C$4,$S27%, 0.5, "CENTRAL")</f>
        <v>354.91074889378638</v>
      </c>
      <c r="AE27" s="63" t="str">
        <f ca="1">_xll.BDP($B27,AE$6, "YAS_BOND_PX="&amp;T27)</f>
        <v>#N/A Invalid Override</v>
      </c>
      <c r="AF27" s="64" t="e">
        <f ca="1">_xll.meLWOBondCompoundYield(L27,$C$4,T27)*100</f>
        <v>#VALUE!</v>
      </c>
      <c r="AG27" s="65" t="e">
        <f t="shared" ca="1" si="3"/>
        <v>#VALUE!</v>
      </c>
      <c r="AH27" s="35" t="e">
        <f t="shared" ca="1" si="4"/>
        <v>#VALUE!</v>
      </c>
      <c r="AI27" s="63" t="str">
        <f ca="1">_xll.BDP($B27,AI$6, "PX_ASK="&amp;T27)</f>
        <v>#N/A Invalid Override</v>
      </c>
      <c r="AJ27" s="35" t="e">
        <f t="shared" ca="1" si="5"/>
        <v>#VALUE!</v>
      </c>
    </row>
    <row r="28" spans="2:36">
      <c r="B28" s="15" t="s">
        <v>818</v>
      </c>
      <c r="C28" s="15" t="s">
        <v>819</v>
      </c>
      <c r="D28" s="15" t="s">
        <v>819</v>
      </c>
      <c r="E28" s="16">
        <v>37368</v>
      </c>
      <c r="F28" s="19">
        <v>37335</v>
      </c>
      <c r="G28" s="18"/>
      <c r="H28" s="16">
        <v>37519</v>
      </c>
      <c r="I28" s="16">
        <v>44459</v>
      </c>
      <c r="J28" s="17">
        <v>0.02</v>
      </c>
      <c r="K28" s="16">
        <v>44641</v>
      </c>
      <c r="L28" s="20" t="str">
        <f ca="1">_xll.meLWOBondCreateFromGeneratorLVB(C28,$L$4,_xll.meUtilityLVBFromKeysValues($C$6:$K$6,C28:K28))</f>
        <v>JP1200551248:1</v>
      </c>
      <c r="M28" s="92">
        <f ca="1">_xll.BDP($B28,$M$5)</f>
        <v>-0.109</v>
      </c>
      <c r="N28" s="37">
        <f ca="1">_xll.meLWOBondCleanPrice($L28,$C$4,$M28%)</f>
        <v>107.24384339956879</v>
      </c>
      <c r="O28" s="37">
        <f ca="1">_xll.meLWOBondDirtyPrice($L28,$C$4,$M28%)</f>
        <v>107.00547945205481</v>
      </c>
      <c r="P28" s="87">
        <f ca="1">_xll.meLWOBondYield($L28,$C$4,N28)</f>
        <v>-1.0900000000005883E-3</v>
      </c>
      <c r="Q28" s="89">
        <f ca="1">_xll.meLWOBondModifiedDuration($L28,$C$4,$M28%)</f>
        <v>3.3210522660768715</v>
      </c>
      <c r="R28" s="23">
        <f ca="1">_xll.meLWOBondDV01($L28,$C$4,$M28%)</f>
        <v>355.37079001688875</v>
      </c>
      <c r="S28" s="85">
        <f t="shared" ca="1" si="6"/>
        <v>-0.109</v>
      </c>
      <c r="T28" s="22" t="str">
        <f ca="1">_xll.BDP($B28,T$6, "YAS_BOND_SPL_YLD="&amp;S28,"YAS_YLD_CONV=2")</f>
        <v>#N/A Requesting Data...</v>
      </c>
      <c r="U28" s="23">
        <f t="shared" ca="1" si="7"/>
        <v>107.24384339956879</v>
      </c>
      <c r="V28" s="23">
        <f t="shared" ca="1" si="0"/>
        <v>107.24299999999999</v>
      </c>
      <c r="W28" s="24" t="e">
        <f t="shared" ca="1" si="1"/>
        <v>#VALUE!</v>
      </c>
      <c r="X28" s="23">
        <f ca="1">_xll.meLWOBondDV01($L28,$C$4,$S28%)</f>
        <v>355.37079001688875</v>
      </c>
      <c r="Y28" s="22" t="e">
        <f ca="1">_xll.BDP($B28,Y$6, "YLD_YTM_ASK="&amp;$S28,"YAS_YLD_CONV=3")*$Y$3*0.0001</f>
        <v>#VALUE!</v>
      </c>
      <c r="Z28" s="24" t="e">
        <f t="shared" ca="1" si="8"/>
        <v>#VALUE!</v>
      </c>
      <c r="AA28" s="23">
        <f ca="1">_xll.meLWOBondModifiedDuration($L28,$C$4,$S28%)</f>
        <v>3.3210522660768715</v>
      </c>
      <c r="AB28" s="22" t="str">
        <f ca="1">_xll.BDP($B28,AB$6, "YLD_YTM_ASK="&amp;$S28,"YAS_YLD_CONV=3")</f>
        <v>#N/A Requesting Data...</v>
      </c>
      <c r="AC28" s="24" t="e">
        <f t="shared" ca="1" si="2"/>
        <v>#VALUE!</v>
      </c>
      <c r="AD28" s="23">
        <f ca="1">_xll.meLWOBondDV01Numerical($L28,$C$4,$S28%, 0.5, "CENTRAL")</f>
        <v>368.35354673598886</v>
      </c>
      <c r="AE28" s="63" t="str">
        <f ca="1">_xll.BDP($B28,AE$6, "YAS_BOND_PX="&amp;T28)</f>
        <v>#N/A Invalid Override</v>
      </c>
      <c r="AF28" s="64" t="e">
        <f ca="1">_xll.meLWOBondCompoundYield(L28,$C$4,T28)*100</f>
        <v>#VALUE!</v>
      </c>
      <c r="AG28" s="65" t="e">
        <f t="shared" ca="1" si="3"/>
        <v>#VALUE!</v>
      </c>
      <c r="AH28" s="35" t="e">
        <f t="shared" ca="1" si="4"/>
        <v>#VALUE!</v>
      </c>
      <c r="AI28" s="63" t="str">
        <f ca="1">_xll.BDP($B28,AI$6, "PX_ASK="&amp;T28)</f>
        <v>#N/A Invalid Override</v>
      </c>
      <c r="AJ28" s="35" t="e">
        <f t="shared" ca="1" si="5"/>
        <v>#VALUE!</v>
      </c>
    </row>
    <row r="29" spans="2:36">
      <c r="B29" s="15" t="s">
        <v>820</v>
      </c>
      <c r="C29" s="15" t="s">
        <v>821</v>
      </c>
      <c r="D29" s="15" t="s">
        <v>821</v>
      </c>
      <c r="E29" s="16">
        <v>41095</v>
      </c>
      <c r="F29" s="19">
        <v>41080</v>
      </c>
      <c r="G29" s="18"/>
      <c r="H29" s="16">
        <v>41263</v>
      </c>
      <c r="I29" s="16">
        <v>44550</v>
      </c>
      <c r="J29" s="17">
        <v>8.0000000000000002E-3</v>
      </c>
      <c r="K29" s="16">
        <v>44732</v>
      </c>
      <c r="L29" s="20" t="str">
        <f ca="1">_xll.meLWOBondCreateFromGeneratorLVB(C29,$L$4,_xll.meUtilityLVBFromKeysValues($C$6:$K$6,C29:K29))</f>
        <v>JP1103241C78:1</v>
      </c>
      <c r="M29" s="92">
        <f ca="1">_xll.BDP($B29,$M$5)</f>
        <v>-9.9000000000000768E-2</v>
      </c>
      <c r="N29" s="37">
        <f ca="1">_xll.meLWOBondCleanPrice($L29,$C$4,$M29%)</f>
        <v>103.31247762415398</v>
      </c>
      <c r="O29" s="37">
        <f ca="1">_xll.meLWOBondDirtyPrice($L29,$C$4,$M29%)</f>
        <v>103.2</v>
      </c>
      <c r="P29" s="87">
        <f ca="1">_xll.meLWOBondYield($L29,$C$4,N29)</f>
        <v>-9.9000000000004943E-4</v>
      </c>
      <c r="Q29" s="89">
        <f ca="1">_xll.meLWOBondModifiedDuration($L29,$C$4,$M29%)</f>
        <v>3.6183391738345549</v>
      </c>
      <c r="R29" s="23">
        <f ca="1">_xll.meLWOBondDV01($L29,$C$4,$M29%)</f>
        <v>373.41260273972608</v>
      </c>
      <c r="S29" s="85">
        <f t="shared" ca="1" si="6"/>
        <v>-9.9000000000000768E-2</v>
      </c>
      <c r="T29" s="22" t="str">
        <f ca="1">_xll.BDP($B29,T$6, "YAS_BOND_SPL_YLD="&amp;S29,"YAS_YLD_CONV=2")</f>
        <v>#N/A Requesting Data...</v>
      </c>
      <c r="U29" s="23">
        <f t="shared" ca="1" si="7"/>
        <v>103.31247762415398</v>
      </c>
      <c r="V29" s="23">
        <f t="shared" ca="1" si="0"/>
        <v>103.312</v>
      </c>
      <c r="W29" s="24" t="e">
        <f t="shared" ca="1" si="1"/>
        <v>#VALUE!</v>
      </c>
      <c r="X29" s="23">
        <f ca="1">_xll.meLWOBondDV01($L29,$C$4,$S29%)</f>
        <v>373.41260273972608</v>
      </c>
      <c r="Y29" s="22" t="e">
        <f ca="1">_xll.BDP($B29,Y$6, "YLD_YTM_ASK="&amp;$S29,"YAS_YLD_CONV=3")*$Y$3*0.0001</f>
        <v>#VALUE!</v>
      </c>
      <c r="Z29" s="24" t="e">
        <f t="shared" ca="1" si="8"/>
        <v>#VALUE!</v>
      </c>
      <c r="AA29" s="23">
        <f ca="1">_xll.meLWOBondModifiedDuration($L29,$C$4,$S29%)</f>
        <v>3.6183391738345549</v>
      </c>
      <c r="AB29" s="22" t="str">
        <f ca="1">_xll.BDP($B29,AB$6, "YLD_YTM_ASK="&amp;$S29,"YAS_YLD_CONV=3")</f>
        <v>#N/A Requesting Data...</v>
      </c>
      <c r="AC29" s="24" t="e">
        <f t="shared" ca="1" si="2"/>
        <v>#VALUE!</v>
      </c>
      <c r="AD29" s="23">
        <f ca="1">_xll.meLWOBondDV01Numerical($L29,$C$4,$S29%, 0.5, "CENTRAL")</f>
        <v>380.66772195904264</v>
      </c>
      <c r="AE29" s="63" t="str">
        <f ca="1">_xll.BDP($B29,AE$6, "YAS_BOND_PX="&amp;T29)</f>
        <v>#N/A Invalid Override</v>
      </c>
      <c r="AF29" s="64" t="e">
        <f ca="1">_xll.meLWOBondCompoundYield(L29,$C$4,T29)*100</f>
        <v>#VALUE!</v>
      </c>
      <c r="AG29" s="65" t="e">
        <f t="shared" ca="1" si="3"/>
        <v>#VALUE!</v>
      </c>
      <c r="AH29" s="35" t="e">
        <f t="shared" ca="1" si="4"/>
        <v>#VALUE!</v>
      </c>
      <c r="AI29" s="63" t="str">
        <f ca="1">_xll.BDP($B29,AI$6, "PX_ASK="&amp;T29)</f>
        <v>#N/A Invalid Override</v>
      </c>
      <c r="AJ29" s="35" t="e">
        <f t="shared" ca="1" si="5"/>
        <v>#VALUE!</v>
      </c>
    </row>
    <row r="30" spans="2:36">
      <c r="B30" s="15" t="s">
        <v>822</v>
      </c>
      <c r="C30" s="15" t="s">
        <v>823</v>
      </c>
      <c r="D30" s="15" t="s">
        <v>823</v>
      </c>
      <c r="E30" s="16">
        <v>41080</v>
      </c>
      <c r="F30" s="19">
        <v>41080</v>
      </c>
      <c r="G30" s="18"/>
      <c r="H30" s="16">
        <v>41263</v>
      </c>
      <c r="I30" s="16">
        <v>44550</v>
      </c>
      <c r="J30" s="17">
        <v>9.0000000000000011E-3</v>
      </c>
      <c r="K30" s="16">
        <v>44732</v>
      </c>
      <c r="L30" s="20" t="str">
        <f ca="1">_xll.meLWOBondCreateFromGeneratorLVB(C30,$L$4,_xll.meUtilityLVBFromKeysValues($C$6:$K$6,C30:K30))</f>
        <v>JP1103231C62:1</v>
      </c>
      <c r="M30" s="92">
        <f ca="1">_xll.BDP($B30,$M$5)</f>
        <v>-9.9000000000000823E-2</v>
      </c>
      <c r="N30" s="37">
        <f ca="1">_xll.meLWOBondCleanPrice($L30,$C$4,$M30%)</f>
        <v>103.68094009625119</v>
      </c>
      <c r="O30" s="37">
        <f ca="1">_xll.meLWOBondDirtyPrice($L30,$C$4,$M30%)</f>
        <v>103.60000000000001</v>
      </c>
      <c r="P30" s="87">
        <f ca="1">_xll.meLWOBondYield($L30,$C$4,N30)</f>
        <v>-9.8999999999950365E-4</v>
      </c>
      <c r="Q30" s="89">
        <f ca="1">_xll.meLWOBondModifiedDuration($L30,$C$4,$M30%)</f>
        <v>3.6117919289152165</v>
      </c>
      <c r="R30" s="23">
        <f ca="1">_xll.meLWOBondDV01($L30,$C$4,$M30%)</f>
        <v>374.18164383561646</v>
      </c>
      <c r="S30" s="85">
        <f t="shared" ca="1" si="6"/>
        <v>-9.9000000000000823E-2</v>
      </c>
      <c r="T30" s="22" t="str">
        <f ca="1">_xll.BDP($B30,T$6, "YAS_BOND_SPL_YLD="&amp;S30,"YAS_YLD_CONV=2")</f>
        <v>#N/A Requesting Data...</v>
      </c>
      <c r="U30" s="23">
        <f t="shared" ca="1" si="7"/>
        <v>103.68094009625119</v>
      </c>
      <c r="V30" s="23">
        <f t="shared" ca="1" si="0"/>
        <v>103.68</v>
      </c>
      <c r="W30" s="24" t="e">
        <f t="shared" ca="1" si="1"/>
        <v>#VALUE!</v>
      </c>
      <c r="X30" s="23">
        <f ca="1">_xll.meLWOBondDV01($L30,$C$4,$S30%)</f>
        <v>374.18164383561646</v>
      </c>
      <c r="Y30" s="22" t="e">
        <f ca="1">_xll.BDP($B30,Y$6, "YLD_YTM_ASK="&amp;$S30,"YAS_YLD_CONV=3")*$Y$3*0.0001</f>
        <v>#VALUE!</v>
      </c>
      <c r="Z30" s="24" t="e">
        <f t="shared" ca="1" si="8"/>
        <v>#VALUE!</v>
      </c>
      <c r="AA30" s="23">
        <f ca="1">_xll.meLWOBondModifiedDuration($L30,$C$4,$S30%)</f>
        <v>3.6117919289152165</v>
      </c>
      <c r="AB30" s="22" t="str">
        <f ca="1">_xll.BDP($B30,AB$6, "YLD_YTM_ASK="&amp;$S30,"YAS_YLD_CONV=3")</f>
        <v>#N/A Requesting Data...</v>
      </c>
      <c r="AC30" s="24" t="e">
        <f t="shared" ca="1" si="2"/>
        <v>#VALUE!</v>
      </c>
      <c r="AD30" s="23">
        <f ca="1">_xll.meLWOBondDV01Numerical($L30,$C$4,$S30%, 0.5, "CENTRAL")</f>
        <v>382.02536793860986</v>
      </c>
      <c r="AE30" s="63" t="str">
        <f ca="1">_xll.BDP($B30,AE$6, "YAS_BOND_PX="&amp;T30)</f>
        <v>#N/A Invalid Override</v>
      </c>
      <c r="AF30" s="64" t="e">
        <f ca="1">_xll.meLWOBondCompoundYield(L30,$C$4,T30)*100</f>
        <v>#VALUE!</v>
      </c>
      <c r="AG30" s="65" t="e">
        <f t="shared" ca="1" si="3"/>
        <v>#VALUE!</v>
      </c>
      <c r="AH30" s="35" t="e">
        <f t="shared" ca="1" si="4"/>
        <v>#VALUE!</v>
      </c>
      <c r="AI30" s="63" t="str">
        <f ca="1">_xll.BDP($B30,AI$6, "PX_ASK="&amp;T30)</f>
        <v>#N/A Invalid Override</v>
      </c>
      <c r="AJ30" s="35" t="e">
        <f t="shared" ca="1" si="5"/>
        <v>#VALUE!</v>
      </c>
    </row>
    <row r="31" spans="2:36">
      <c r="B31" s="15" t="s">
        <v>824</v>
      </c>
      <c r="C31" s="15" t="s">
        <v>825</v>
      </c>
      <c r="D31" s="15" t="s">
        <v>825</v>
      </c>
      <c r="E31" s="16">
        <v>37488</v>
      </c>
      <c r="F31" s="19">
        <v>37427</v>
      </c>
      <c r="G31" s="18"/>
      <c r="H31" s="16">
        <v>37610</v>
      </c>
      <c r="I31" s="16">
        <v>44550</v>
      </c>
      <c r="J31" s="17">
        <v>1.9E-2</v>
      </c>
      <c r="K31" s="16">
        <v>44732</v>
      </c>
      <c r="L31" s="20" t="str">
        <f ca="1">_xll.meLWOBondCreateFromGeneratorLVB(C31,$L$4,_xll.meUtilityLVBFromKeysValues($C$6:$K$6,C31:K31))</f>
        <v>JP1200571287:1</v>
      </c>
      <c r="M31" s="92">
        <f ca="1">_xll.BDP($B31,$M$5)</f>
        <v>-0.10299999999999802</v>
      </c>
      <c r="N31" s="37">
        <f ca="1">_xll.meLWOBondCleanPrice($L31,$C$4,$M31%)</f>
        <v>107.38139122237017</v>
      </c>
      <c r="O31" s="37">
        <f ca="1">_xll.meLWOBondDirtyPrice($L31,$C$4,$M31%)</f>
        <v>107.60000000000001</v>
      </c>
      <c r="P31" s="87">
        <f ca="1">_xll.meLWOBondYield($L31,$C$4,N31)</f>
        <v>-1.0299999999995437E-3</v>
      </c>
      <c r="Q31" s="89">
        <f ca="1">_xll.meLWOBondModifiedDuration($L31,$C$4,$M31%)</f>
        <v>3.5489967917706369</v>
      </c>
      <c r="R31" s="23">
        <f ca="1">_xll.meLWOBondDV01($L31,$C$4,$M31%)</f>
        <v>381.87205479452058</v>
      </c>
      <c r="S31" s="85">
        <f t="shared" ca="1" si="6"/>
        <v>-0.10299999999999802</v>
      </c>
      <c r="T31" s="22" t="str">
        <f ca="1">_xll.BDP($B31,T$6, "YAS_BOND_SPL_YLD="&amp;S31,"YAS_YLD_CONV=2")</f>
        <v>#N/A Requesting Data...</v>
      </c>
      <c r="U31" s="23">
        <f t="shared" ca="1" si="7"/>
        <v>107.38139122237017</v>
      </c>
      <c r="V31" s="23">
        <f t="shared" ca="1" si="0"/>
        <v>107.381</v>
      </c>
      <c r="W31" s="24" t="e">
        <f t="shared" ca="1" si="1"/>
        <v>#VALUE!</v>
      </c>
      <c r="X31" s="23">
        <f ca="1">_xll.meLWOBondDV01($L31,$C$4,$S31%)</f>
        <v>381.87205479452058</v>
      </c>
      <c r="Y31" s="22" t="e">
        <f ca="1">_xll.BDP($B31,Y$6, "YLD_YTM_ASK="&amp;$S31,"YAS_YLD_CONV=3")*$Y$3*0.0001</f>
        <v>#VALUE!</v>
      </c>
      <c r="Z31" s="24" t="e">
        <f t="shared" ca="1" si="8"/>
        <v>#VALUE!</v>
      </c>
      <c r="AA31" s="23">
        <f ca="1">_xll.meLWOBondModifiedDuration($L31,$C$4,$S31%)</f>
        <v>3.5489967917706369</v>
      </c>
      <c r="AB31" s="22" t="str">
        <f ca="1">_xll.BDP($B31,AB$6, "YLD_YTM_ASK="&amp;$S31,"YAS_YLD_CONV=3")</f>
        <v>#N/A Requesting Data...</v>
      </c>
      <c r="AC31" s="24" t="e">
        <f t="shared" ca="1" si="2"/>
        <v>#VALUE!</v>
      </c>
      <c r="AD31" s="23">
        <f ca="1">_xll.meLWOBondDV01Numerical($L31,$C$4,$S31%, 0.5, "CENTRAL")</f>
        <v>395.71846506504477</v>
      </c>
      <c r="AE31" s="63" t="str">
        <f ca="1">_xll.BDP($B31,AE$6, "YAS_BOND_PX="&amp;T31)</f>
        <v>#N/A Invalid Override</v>
      </c>
      <c r="AF31" s="64" t="e">
        <f ca="1">_xll.meLWOBondCompoundYield(L31,$C$4,T31)*100</f>
        <v>#VALUE!</v>
      </c>
      <c r="AG31" s="65" t="e">
        <f t="shared" ca="1" si="3"/>
        <v>#VALUE!</v>
      </c>
      <c r="AH31" s="35" t="e">
        <f t="shared" ca="1" si="4"/>
        <v>#VALUE!</v>
      </c>
      <c r="AI31" s="63" t="str">
        <f ca="1">_xll.BDP($B31,AI$6, "PX_ASK="&amp;T31)</f>
        <v>#N/A Invalid Override</v>
      </c>
      <c r="AJ31" s="35" t="e">
        <f t="shared" ca="1" si="5"/>
        <v>#VALUE!</v>
      </c>
    </row>
    <row r="32" spans="2:36">
      <c r="B32" s="15" t="s">
        <v>826</v>
      </c>
      <c r="C32" s="15" t="s">
        <v>827</v>
      </c>
      <c r="D32" s="15" t="s">
        <v>827</v>
      </c>
      <c r="E32" s="16">
        <v>37427</v>
      </c>
      <c r="F32" s="19">
        <v>37427</v>
      </c>
      <c r="G32" s="18"/>
      <c r="H32" s="16">
        <v>37610</v>
      </c>
      <c r="I32" s="16">
        <v>44550</v>
      </c>
      <c r="J32" s="17">
        <v>0.02</v>
      </c>
      <c r="K32" s="16">
        <v>44732</v>
      </c>
      <c r="L32" s="20" t="str">
        <f ca="1">_xll.meLWOBondCreateFromGeneratorLVB(C32,$L$4,_xll.meUtilityLVBFromKeysValues($C$6:$K$6,C32:K32))</f>
        <v>JP1200561262:1</v>
      </c>
      <c r="M32" s="92">
        <f ca="1">_xll.BDP($B32,$M$5)</f>
        <v>-0.10299999999999834</v>
      </c>
      <c r="N32" s="37">
        <f ca="1">_xll.meLWOBondCleanPrice($L32,$C$4,$M32%)</f>
        <v>107.74990800830977</v>
      </c>
      <c r="O32" s="37">
        <f ca="1">_xll.meLWOBondDirtyPrice($L32,$C$4,$M32%)</f>
        <v>108</v>
      </c>
      <c r="P32" s="87">
        <f ca="1">_xll.meLWOBondYield($L32,$C$4,N32)</f>
        <v>-1.0300000000005626E-3</v>
      </c>
      <c r="Q32" s="89">
        <f ca="1">_xll.meLWOBondModifiedDuration($L32,$C$4,$M32%)</f>
        <v>3.5429731100963977</v>
      </c>
      <c r="R32" s="23">
        <f ca="1">_xll.meLWOBondDV01($L32,$C$4,$M32%)</f>
        <v>382.64109589041095</v>
      </c>
      <c r="S32" s="85">
        <f t="shared" ca="1" si="6"/>
        <v>-0.10299999999999834</v>
      </c>
      <c r="T32" s="22" t="str">
        <f ca="1">_xll.BDP($B32,T$6, "YAS_BOND_SPL_YLD="&amp;S32,"YAS_YLD_CONV=2")</f>
        <v>#N/A Requesting Data...</v>
      </c>
      <c r="U32" s="23">
        <f t="shared" ca="1" si="7"/>
        <v>107.74990800830977</v>
      </c>
      <c r="V32" s="23">
        <f t="shared" ca="1" si="0"/>
        <v>107.749</v>
      </c>
      <c r="W32" s="24" t="e">
        <f t="shared" ca="1" si="1"/>
        <v>#VALUE!</v>
      </c>
      <c r="X32" s="23">
        <f ca="1">_xll.meLWOBondDV01($L32,$C$4,$S32%)</f>
        <v>382.64109589041095</v>
      </c>
      <c r="Y32" s="22" t="e">
        <f ca="1">_xll.BDP($B32,Y$6, "YLD_YTM_ASK="&amp;$S32,"YAS_YLD_CONV=3")*$Y$3*0.0001</f>
        <v>#VALUE!</v>
      </c>
      <c r="Z32" s="24" t="e">
        <f t="shared" ca="1" si="8"/>
        <v>#VALUE!</v>
      </c>
      <c r="AA32" s="23">
        <f ca="1">_xll.meLWOBondModifiedDuration($L32,$C$4,$S32%)</f>
        <v>3.5429731100963977</v>
      </c>
      <c r="AB32" s="22" t="str">
        <f ca="1">_xll.BDP($B32,AB$6, "YLD_YTM_ASK="&amp;$S32,"YAS_YLD_CONV=3")</f>
        <v>#N/A Requesting Data...</v>
      </c>
      <c r="AC32" s="24" t="e">
        <f t="shared" ca="1" si="2"/>
        <v>#VALUE!</v>
      </c>
      <c r="AD32" s="23">
        <f ca="1">_xll.meLWOBondDV01Numerical($L32,$C$4,$S32%, 0.5, "CENTRAL")</f>
        <v>397.07651132630417</v>
      </c>
      <c r="AE32" s="63" t="str">
        <f ca="1">_xll.BDP($B32,AE$6, "YAS_BOND_PX="&amp;T32)</f>
        <v>#N/A Invalid Override</v>
      </c>
      <c r="AF32" s="64" t="e">
        <f ca="1">_xll.meLWOBondCompoundYield(L32,$C$4,T32)*100</f>
        <v>#VALUE!</v>
      </c>
      <c r="AG32" s="65" t="e">
        <f t="shared" ca="1" si="3"/>
        <v>#VALUE!</v>
      </c>
      <c r="AH32" s="35" t="e">
        <f t="shared" ca="1" si="4"/>
        <v>#VALUE!</v>
      </c>
      <c r="AI32" s="63" t="str">
        <f ca="1">_xll.BDP($B32,AI$6, "PX_ASK="&amp;T32)</f>
        <v>#N/A Invalid Override</v>
      </c>
      <c r="AJ32" s="35" t="e">
        <f t="shared" ca="1" si="5"/>
        <v>#VALUE!</v>
      </c>
    </row>
    <row r="33" spans="2:36">
      <c r="B33" s="15" t="s">
        <v>828</v>
      </c>
      <c r="C33" s="15" t="s">
        <v>829</v>
      </c>
      <c r="D33" s="15" t="s">
        <v>829</v>
      </c>
      <c r="E33" s="16">
        <v>41172</v>
      </c>
      <c r="F33" s="19">
        <v>41172</v>
      </c>
      <c r="G33" s="18"/>
      <c r="H33" s="16">
        <v>41353</v>
      </c>
      <c r="I33" s="16">
        <v>44640</v>
      </c>
      <c r="J33" s="17">
        <v>8.0000000000000002E-3</v>
      </c>
      <c r="K33" s="16">
        <v>44824</v>
      </c>
      <c r="L33" s="20" t="str">
        <f ca="1">_xll.meLWOBondCreateFromGeneratorLVB(C33,$L$4,_xll.meUtilityLVBFromKeysValues($C$6:$K$6,C33:K33))</f>
        <v>JP1103251C91:1</v>
      </c>
      <c r="M33" s="92">
        <f ca="1">_xll.BDP($B33,$M$5)</f>
        <v>-9.3000000000003566E-2</v>
      </c>
      <c r="N33" s="37">
        <f ca="1">_xll.meLWOBondCleanPrice($L33,$C$4,$M33%)</f>
        <v>103.51632575888399</v>
      </c>
      <c r="O33" s="37">
        <f ca="1">_xll.meLWOBondDirtyPrice($L33,$C$4,$M33%)</f>
        <v>103.2</v>
      </c>
      <c r="P33" s="87">
        <f ca="1">_xll.meLWOBondYield($L33,$C$4,N33)</f>
        <v>-9.3000000000004342E-4</v>
      </c>
      <c r="Q33" s="89">
        <f ca="1">_xll.meLWOBondModifiedDuration($L33,$C$4,$M33%)</f>
        <v>3.864914516300308</v>
      </c>
      <c r="R33" s="23">
        <f ca="1">_xll.meLWOBondDV01($L33,$C$4,$M33%)</f>
        <v>398.85917808219182</v>
      </c>
      <c r="S33" s="85">
        <f t="shared" ca="1" si="6"/>
        <v>-9.3000000000003566E-2</v>
      </c>
      <c r="T33" s="22" t="str">
        <f ca="1">_xll.BDP($B33,T$6, "YAS_BOND_SPL_YLD="&amp;S33,"YAS_YLD_CONV=2")</f>
        <v>#N/A Requesting Data...</v>
      </c>
      <c r="U33" s="23">
        <f t="shared" ca="1" si="7"/>
        <v>103.51632575888399</v>
      </c>
      <c r="V33" s="23">
        <f t="shared" ca="1" si="0"/>
        <v>103.51600000000001</v>
      </c>
      <c r="W33" s="24" t="e">
        <f t="shared" ca="1" si="1"/>
        <v>#VALUE!</v>
      </c>
      <c r="X33" s="23">
        <f ca="1">_xll.meLWOBondDV01($L33,$C$4,$S33%)</f>
        <v>398.85917808219182</v>
      </c>
      <c r="Y33" s="22" t="e">
        <f ca="1">_xll.BDP($B33,Y$6, "YLD_YTM_ASK="&amp;$S33,"YAS_YLD_CONV=3")*$Y$3*0.0001</f>
        <v>#VALUE!</v>
      </c>
      <c r="Z33" s="24" t="e">
        <f t="shared" ca="1" si="8"/>
        <v>#VALUE!</v>
      </c>
      <c r="AA33" s="23">
        <f ca="1">_xll.meLWOBondModifiedDuration($L33,$C$4,$S33%)</f>
        <v>3.864914516300308</v>
      </c>
      <c r="AB33" s="22" t="str">
        <f ca="1">_xll.BDP($B33,AB$6, "YLD_YTM_ASK="&amp;$S33,"YAS_YLD_CONV=3")</f>
        <v>#N/A Requesting Data...</v>
      </c>
      <c r="AC33" s="24" t="e">
        <f t="shared" ca="1" si="2"/>
        <v>#VALUE!</v>
      </c>
      <c r="AD33" s="23">
        <f ca="1">_xll.meLWOBondDV01Numerical($L33,$C$4,$S33%, 0.5, "CENTRAL")</f>
        <v>407.61157540927684</v>
      </c>
      <c r="AE33" s="63" t="str">
        <f ca="1">_xll.BDP($B33,AE$6, "YAS_BOND_PX="&amp;T33)</f>
        <v>#N/A Invalid Override</v>
      </c>
      <c r="AF33" s="64" t="e">
        <f ca="1">_xll.meLWOBondCompoundYield(L33,$C$4,T33)*100</f>
        <v>#VALUE!</v>
      </c>
      <c r="AG33" s="65" t="e">
        <f t="shared" ca="1" si="3"/>
        <v>#VALUE!</v>
      </c>
      <c r="AH33" s="35" t="e">
        <f t="shared" ca="1" si="4"/>
        <v>#VALUE!</v>
      </c>
      <c r="AI33" s="63" t="str">
        <f ca="1">_xll.BDP($B33,AI$6, "PX_ASK="&amp;T33)</f>
        <v>#N/A Invalid Override</v>
      </c>
      <c r="AJ33" s="35" t="e">
        <f t="shared" ca="1" si="5"/>
        <v>#VALUE!</v>
      </c>
    </row>
    <row r="34" spans="2:36">
      <c r="B34" s="15" t="s">
        <v>830</v>
      </c>
      <c r="C34" s="15" t="s">
        <v>831</v>
      </c>
      <c r="D34" s="15" t="s">
        <v>831</v>
      </c>
      <c r="E34" s="16">
        <v>37550</v>
      </c>
      <c r="F34" s="19">
        <v>37519</v>
      </c>
      <c r="G34" s="18"/>
      <c r="H34" s="16">
        <v>37700</v>
      </c>
      <c r="I34" s="16">
        <v>44640</v>
      </c>
      <c r="J34" s="17">
        <v>1.9E-2</v>
      </c>
      <c r="K34" s="16">
        <v>44824</v>
      </c>
      <c r="L34" s="20" t="str">
        <f ca="1">_xll.meLWOBondCreateFromGeneratorLVB(C34,$L$4,_xll.meUtilityLVBFromKeysValues($C$6:$K$6,C34:K34))</f>
        <v>JP12005812A4:1</v>
      </c>
      <c r="M34" s="92">
        <f ca="1">_xll.BDP($B34,$M$5)</f>
        <v>-9.9000000000001254E-2</v>
      </c>
      <c r="N34" s="37">
        <f ca="1">_xll.meLWOBondCleanPrice($L34,$C$4,$M34%)</f>
        <v>107.87323211975765</v>
      </c>
      <c r="O34" s="37">
        <f ca="1">_xll.meLWOBondDirtyPrice($L34,$C$4,$M34%)</f>
        <v>107.60000000000001</v>
      </c>
      <c r="P34" s="87">
        <f ca="1">_xll.meLWOBondYield($L34,$C$4,N34)</f>
        <v>-9.900000000008537E-4</v>
      </c>
      <c r="Q34" s="89">
        <f ca="1">_xll.meLWOBondModifiedDuration($L34,$C$4,$M34%)</f>
        <v>3.7955721342363904</v>
      </c>
      <c r="R34" s="23">
        <f ca="1">_xll.meLWOBondDV01($L34,$C$4,$M34%)</f>
        <v>408.40356164383564</v>
      </c>
      <c r="S34" s="85">
        <f t="shared" ca="1" si="6"/>
        <v>-9.9000000000001254E-2</v>
      </c>
      <c r="T34" s="22" t="str">
        <f ca="1">_xll.BDP($B34,T$6, "YAS_BOND_SPL_YLD="&amp;S34,"YAS_YLD_CONV=2")</f>
        <v>#N/A Requesting Data...</v>
      </c>
      <c r="U34" s="23">
        <f t="shared" ca="1" si="7"/>
        <v>107.87323211975765</v>
      </c>
      <c r="V34" s="23">
        <f t="shared" ca="1" si="0"/>
        <v>107.873</v>
      </c>
      <c r="W34" s="24" t="e">
        <f t="shared" ca="1" si="1"/>
        <v>#VALUE!</v>
      </c>
      <c r="X34" s="23">
        <f ca="1">_xll.meLWOBondDV01($L34,$C$4,$S34%)</f>
        <v>408.40356164383564</v>
      </c>
      <c r="Y34" s="22" t="e">
        <f ca="1">_xll.BDP($B34,Y$6, "YLD_YTM_ASK="&amp;$S34,"YAS_YLD_CONV=3")*$Y$3*0.0001</f>
        <v>#VALUE!</v>
      </c>
      <c r="Z34" s="24" t="e">
        <f t="shared" ca="1" si="8"/>
        <v>#VALUE!</v>
      </c>
      <c r="AA34" s="23">
        <f ca="1">_xll.meLWOBondModifiedDuration($L34,$C$4,$S34%)</f>
        <v>3.7955721342363904</v>
      </c>
      <c r="AB34" s="22" t="str">
        <f ca="1">_xll.BDP($B34,AB$6, "YLD_YTM_ASK="&amp;$S34,"YAS_YLD_CONV=3")</f>
        <v>#N/A Requesting Data...</v>
      </c>
      <c r="AC34" s="24" t="e">
        <f t="shared" ca="1" si="2"/>
        <v>#VALUE!</v>
      </c>
      <c r="AD34" s="23">
        <f ca="1">_xll.meLWOBondDV01Numerical($L34,$C$4,$S34%, 0.5, "CENTRAL")</f>
        <v>424.86794843654252</v>
      </c>
      <c r="AE34" s="63" t="str">
        <f ca="1">_xll.BDP($B34,AE$6, "YAS_BOND_PX="&amp;T34)</f>
        <v>#N/A Invalid Override</v>
      </c>
      <c r="AF34" s="64" t="e">
        <f ca="1">_xll.meLWOBondCompoundYield(L34,$C$4,T34)*100</f>
        <v>#VALUE!</v>
      </c>
      <c r="AG34" s="65" t="e">
        <f t="shared" ca="1" si="3"/>
        <v>#VALUE!</v>
      </c>
      <c r="AH34" s="35" t="e">
        <f t="shared" ca="1" si="4"/>
        <v>#VALUE!</v>
      </c>
      <c r="AI34" s="63" t="str">
        <f ca="1">_xll.BDP($B34,AI$6, "PX_ASK="&amp;T34)</f>
        <v>#N/A Invalid Override</v>
      </c>
      <c r="AJ34" s="35" t="e">
        <f t="shared" ca="1" si="5"/>
        <v>#VALUE!</v>
      </c>
    </row>
    <row r="35" spans="2:36">
      <c r="B35" s="15" t="s">
        <v>832</v>
      </c>
      <c r="C35" s="15" t="s">
        <v>833</v>
      </c>
      <c r="D35" s="15" t="s">
        <v>833</v>
      </c>
      <c r="E35" s="16">
        <v>41284</v>
      </c>
      <c r="F35" s="19">
        <v>41263</v>
      </c>
      <c r="G35" s="18"/>
      <c r="H35" s="16">
        <v>41445</v>
      </c>
      <c r="I35" s="16">
        <v>44732</v>
      </c>
      <c r="J35" s="17">
        <v>8.0000000000000002E-3</v>
      </c>
      <c r="K35" s="16">
        <v>44915</v>
      </c>
      <c r="L35" s="20" t="str">
        <f ca="1">_xll.meLWOBondCreateFromGeneratorLVB(C35,$L$4,_xll.meUtilityLVBFromKeysValues($C$6:$K$6,C35:K35))</f>
        <v>JP1103271D13:1</v>
      </c>
      <c r="M35" s="92">
        <f ca="1">_xll.BDP($B35,$M$5)</f>
        <v>-8.7000000000001743E-2</v>
      </c>
      <c r="N35" s="37">
        <f ca="1">_xll.meLWOBondCleanPrice($L35,$C$4,$M35%)</f>
        <v>103.71458317768841</v>
      </c>
      <c r="O35" s="37">
        <f ca="1">_xll.meLWOBondDirtyPrice($L35,$C$4,$M35%)</f>
        <v>103.60000000000001</v>
      </c>
      <c r="P35" s="87">
        <f ca="1">_xll.meLWOBondYield($L35,$C$4,N35)</f>
        <v>-8.6999999999905664E-4</v>
      </c>
      <c r="Q35" s="89">
        <f ca="1">_xll.meLWOBondModifiedDuration($L35,$C$4,$M35%)</f>
        <v>4.1031046702279577</v>
      </c>
      <c r="R35" s="23">
        <f ca="1">_xll.meLWOBondDV01($L35,$C$4,$M35%)</f>
        <v>425.08164383561649</v>
      </c>
      <c r="S35" s="85">
        <f t="shared" ca="1" si="6"/>
        <v>-8.7000000000001743E-2</v>
      </c>
      <c r="T35" s="22" t="str">
        <f ca="1">_xll.BDP($B35,T$6, "YAS_BOND_SPL_YLD="&amp;S35,"YAS_YLD_CONV=2")</f>
        <v>#N/A Requesting Data...</v>
      </c>
      <c r="U35" s="23">
        <f t="shared" ca="1" si="7"/>
        <v>103.71458317768841</v>
      </c>
      <c r="V35" s="23">
        <f t="shared" ca="1" si="0"/>
        <v>103.714</v>
      </c>
      <c r="W35" s="24" t="e">
        <f t="shared" ca="1" si="1"/>
        <v>#VALUE!</v>
      </c>
      <c r="X35" s="23">
        <f ca="1">_xll.meLWOBondDV01($L35,$C$4,$S35%)</f>
        <v>425.08164383561649</v>
      </c>
      <c r="Y35" s="22" t="e">
        <f ca="1">_xll.BDP($B35,Y$6, "YLD_YTM_ASK="&amp;$S35,"YAS_YLD_CONV=3")*$Y$3*0.0001</f>
        <v>#VALUE!</v>
      </c>
      <c r="Z35" s="24" t="e">
        <f t="shared" ca="1" si="8"/>
        <v>#VALUE!</v>
      </c>
      <c r="AA35" s="23">
        <f ca="1">_xll.meLWOBondModifiedDuration($L35,$C$4,$S35%)</f>
        <v>4.1031046702279577</v>
      </c>
      <c r="AB35" s="22" t="str">
        <f ca="1">_xll.BDP($B35,AB$6, "YLD_YTM_ASK="&amp;$S35,"YAS_YLD_CONV=3")</f>
        <v>#N/A Requesting Data...</v>
      </c>
      <c r="AC35" s="24" t="e">
        <f t="shared" ca="1" si="2"/>
        <v>#VALUE!</v>
      </c>
      <c r="AD35" s="23">
        <f ca="1">_xll.meLWOBondDV01Numerical($L35,$C$4,$S35%, 0.5, "CENTRAL")</f>
        <v>434.33648573170558</v>
      </c>
      <c r="AE35" s="63" t="str">
        <f ca="1">_xll.BDP($B35,AE$6, "YAS_BOND_PX="&amp;T35)</f>
        <v>#N/A Invalid Override</v>
      </c>
      <c r="AF35" s="64" t="e">
        <f ca="1">_xll.meLWOBondCompoundYield(L35,$C$4,T35)*100</f>
        <v>#VALUE!</v>
      </c>
      <c r="AG35" s="65" t="e">
        <f t="shared" ca="1" si="3"/>
        <v>#VALUE!</v>
      </c>
      <c r="AH35" s="35" t="e">
        <f t="shared" ca="1" si="4"/>
        <v>#VALUE!</v>
      </c>
      <c r="AI35" s="63" t="str">
        <f ca="1">_xll.BDP($B35,AI$6, "PX_ASK="&amp;T35)</f>
        <v>#N/A Invalid Override</v>
      </c>
      <c r="AJ35" s="35" t="e">
        <f t="shared" ca="1" si="5"/>
        <v>#VALUE!</v>
      </c>
    </row>
    <row r="36" spans="2:36">
      <c r="B36" s="15" t="s">
        <v>834</v>
      </c>
      <c r="C36" s="15" t="s">
        <v>835</v>
      </c>
      <c r="D36" s="15" t="s">
        <v>835</v>
      </c>
      <c r="E36" s="16">
        <v>41263</v>
      </c>
      <c r="F36" s="19">
        <v>41263</v>
      </c>
      <c r="G36" s="18"/>
      <c r="H36" s="16">
        <v>41445</v>
      </c>
      <c r="I36" s="16">
        <v>44732</v>
      </c>
      <c r="J36" s="17">
        <v>6.9999999999999993E-3</v>
      </c>
      <c r="K36" s="16">
        <v>44915</v>
      </c>
      <c r="L36" s="20" t="str">
        <f ca="1">_xll.meLWOBondCreateFromGeneratorLVB(C36,$L$4,_xll.meUtilityLVBFromKeysValues($C$6:$K$6,C36:K36))</f>
        <v>JP1103261CC2:1</v>
      </c>
      <c r="M36" s="92">
        <f ca="1">_xll.BDP($B36,$M$5)</f>
        <v>-8.7000000000002506E-2</v>
      </c>
      <c r="N36" s="37">
        <f ca="1">_xll.meLWOBondCleanPrice($L36,$C$4,$M36%)</f>
        <v>103.2958026616018</v>
      </c>
      <c r="O36" s="37">
        <f ca="1">_xll.meLWOBondDirtyPrice($L36,$C$4,$M36%)</f>
        <v>103.15</v>
      </c>
      <c r="P36" s="87">
        <f ca="1">_xll.meLWOBondYield($L36,$C$4,N36)</f>
        <v>-8.7000000000050405E-4</v>
      </c>
      <c r="Q36" s="89">
        <f ca="1">_xll.meLWOBondModifiedDuration($L36,$C$4,$M36%)</f>
        <v>4.1115266369630605</v>
      </c>
      <c r="R36" s="23">
        <f ca="1">_xll.meLWOBondDV01($L36,$C$4,$M36%)</f>
        <v>424.10397260273976</v>
      </c>
      <c r="S36" s="85">
        <f t="shared" ca="1" si="6"/>
        <v>-8.7000000000002506E-2</v>
      </c>
      <c r="T36" s="22" t="str">
        <f ca="1">_xll.BDP($B36,T$6, "YAS_BOND_SPL_YLD="&amp;S36,"YAS_YLD_CONV=2")</f>
        <v>#N/A Requesting Data...</v>
      </c>
      <c r="U36" s="23">
        <f t="shared" ca="1" si="7"/>
        <v>103.2958026616018</v>
      </c>
      <c r="V36" s="23">
        <f t="shared" ca="1" si="0"/>
        <v>103.295</v>
      </c>
      <c r="W36" s="24" t="e">
        <f t="shared" ca="1" si="1"/>
        <v>#VALUE!</v>
      </c>
      <c r="X36" s="23">
        <f ca="1">_xll.meLWOBondDV01($L36,$C$4,$S36%)</f>
        <v>424.10397260273976</v>
      </c>
      <c r="Y36" s="22" t="e">
        <f ca="1">_xll.BDP($B36,Y$6, "YLD_YTM_ASK="&amp;$S36,"YAS_YLD_CONV=3")*$Y$3*0.0001</f>
        <v>#VALUE!</v>
      </c>
      <c r="Z36" s="24" t="e">
        <f t="shared" ca="1" si="8"/>
        <v>#VALUE!</v>
      </c>
      <c r="AA36" s="23">
        <f ca="1">_xll.meLWOBondModifiedDuration($L36,$C$4,$S36%)</f>
        <v>4.1115266369630605</v>
      </c>
      <c r="AB36" s="22" t="str">
        <f ca="1">_xll.BDP($B36,AB$6, "YLD_YTM_ASK="&amp;$S36,"YAS_YLD_CONV=3")</f>
        <v>#N/A Requesting Data...</v>
      </c>
      <c r="AC36" s="24" t="e">
        <f t="shared" ca="1" si="2"/>
        <v>#VALUE!</v>
      </c>
      <c r="AD36" s="23">
        <f ca="1">_xll.meLWOBondDV01Numerical($L36,$C$4,$S36%, 0.5, "CENTRAL")</f>
        <v>432.58271444841512</v>
      </c>
      <c r="AE36" s="63" t="str">
        <f ca="1">_xll.BDP($B36,AE$6, "YAS_BOND_PX="&amp;T36)</f>
        <v>#N/A Invalid Override</v>
      </c>
      <c r="AF36" s="64" t="e">
        <f ca="1">_xll.meLWOBondCompoundYield(L36,$C$4,T36)*100</f>
        <v>#VALUE!</v>
      </c>
      <c r="AG36" s="65" t="e">
        <f t="shared" ca="1" si="3"/>
        <v>#VALUE!</v>
      </c>
      <c r="AH36" s="35" t="e">
        <f t="shared" ca="1" si="4"/>
        <v>#VALUE!</v>
      </c>
      <c r="AI36" s="63" t="str">
        <f ca="1">_xll.BDP($B36,AI$6, "PX_ASK="&amp;T36)</f>
        <v>#N/A Invalid Override</v>
      </c>
      <c r="AJ36" s="35" t="e">
        <f t="shared" ca="1" si="5"/>
        <v>#VALUE!</v>
      </c>
    </row>
    <row r="37" spans="2:36">
      <c r="B37" s="15" t="s">
        <v>836</v>
      </c>
      <c r="C37" s="15" t="s">
        <v>837</v>
      </c>
      <c r="D37" s="15" t="s">
        <v>837</v>
      </c>
      <c r="E37" s="16">
        <v>37610</v>
      </c>
      <c r="F37" s="19">
        <v>37610</v>
      </c>
      <c r="G37" s="18"/>
      <c r="H37" s="16">
        <v>37792</v>
      </c>
      <c r="I37" s="16">
        <v>44732</v>
      </c>
      <c r="J37" s="17">
        <v>1.7000000000000001E-2</v>
      </c>
      <c r="K37" s="16">
        <v>44915</v>
      </c>
      <c r="L37" s="20" t="str">
        <f ca="1">_xll.meLWOBondCreateFromGeneratorLVB(C37,$L$4,_xll.meUtilityLVBFromKeysValues($C$6:$K$6,C37:K37))</f>
        <v>JP12005912C8:1</v>
      </c>
      <c r="M37" s="92">
        <f ca="1">_xll.BDP($B37,$M$5)</f>
        <v>-9.3999999999999709E-2</v>
      </c>
      <c r="N37" s="37">
        <f ca="1">_xll.meLWOBondCleanPrice($L37,$C$4,$M37%)</f>
        <v>107.51512549028604</v>
      </c>
      <c r="O37" s="37">
        <f ca="1">_xll.meLWOBondDirtyPrice($L37,$C$4,$M37%)</f>
        <v>107.65</v>
      </c>
      <c r="P37" s="87">
        <f ca="1">_xll.meLWOBondYield($L37,$C$4,N37)</f>
        <v>-9.3999999999990814E-4</v>
      </c>
      <c r="Q37" s="89">
        <f ca="1">_xll.meLWOBondModifiedDuration($L37,$C$4,$M37%)</f>
        <v>4.0304754754436312</v>
      </c>
      <c r="R37" s="23">
        <f ca="1">_xll.meLWOBondDV01($L37,$C$4,$M37%)</f>
        <v>433.88068493150689</v>
      </c>
      <c r="S37" s="85">
        <f t="shared" ca="1" si="6"/>
        <v>-9.3999999999999709E-2</v>
      </c>
      <c r="T37" s="22" t="str">
        <f ca="1">_xll.BDP($B37,T$6, "YAS_BOND_SPL_YLD="&amp;S37,"YAS_YLD_CONV=2")</f>
        <v>#N/A Requesting Data...</v>
      </c>
      <c r="U37" s="23">
        <f t="shared" ca="1" si="7"/>
        <v>107.51512549028604</v>
      </c>
      <c r="V37" s="23">
        <f t="shared" ca="1" si="0"/>
        <v>107.515</v>
      </c>
      <c r="W37" s="24" t="e">
        <f t="shared" ca="1" si="1"/>
        <v>#VALUE!</v>
      </c>
      <c r="X37" s="23">
        <f ca="1">_xll.meLWOBondDV01($L37,$C$4,$S37%)</f>
        <v>433.88068493150689</v>
      </c>
      <c r="Y37" s="22" t="e">
        <f ca="1">_xll.BDP($B37,Y$6, "YLD_YTM_ASK="&amp;$S37,"YAS_YLD_CONV=3")*$Y$3*0.0001</f>
        <v>#VALUE!</v>
      </c>
      <c r="Z37" s="24" t="e">
        <f t="shared" ca="1" si="8"/>
        <v>#VALUE!</v>
      </c>
      <c r="AA37" s="23">
        <f ca="1">_xll.meLWOBondModifiedDuration($L37,$C$4,$S37%)</f>
        <v>4.0304754754436312</v>
      </c>
      <c r="AB37" s="22" t="str">
        <f ca="1">_xll.BDP($B37,AB$6, "YLD_YTM_ASK="&amp;$S37,"YAS_YLD_CONV=3")</f>
        <v>#N/A Requesting Data...</v>
      </c>
      <c r="AC37" s="24" t="e">
        <f t="shared" ca="1" si="2"/>
        <v>#VALUE!</v>
      </c>
      <c r="AD37" s="23">
        <f ca="1">_xll.meLWOBondDV01Numerical($L37,$C$4,$S37%, 0.5, "CENTRAL")</f>
        <v>450.38444571346764</v>
      </c>
      <c r="AE37" s="63" t="str">
        <f ca="1">_xll.BDP($B37,AE$6, "YAS_BOND_PX="&amp;T37)</f>
        <v>#N/A Invalid Override</v>
      </c>
      <c r="AF37" s="64" t="e">
        <f ca="1">_xll.meLWOBondCompoundYield(L37,$C$4,T37)*100</f>
        <v>#VALUE!</v>
      </c>
      <c r="AG37" s="65" t="e">
        <f t="shared" ca="1" si="3"/>
        <v>#VALUE!</v>
      </c>
      <c r="AH37" s="35" t="e">
        <f t="shared" ca="1" si="4"/>
        <v>#VALUE!</v>
      </c>
      <c r="AI37" s="63" t="str">
        <f ca="1">_xll.BDP($B37,AI$6, "PX_ASK="&amp;T37)</f>
        <v>#N/A Invalid Override</v>
      </c>
      <c r="AJ37" s="35" t="e">
        <f t="shared" ca="1" si="5"/>
        <v>#VALUE!</v>
      </c>
    </row>
    <row r="38" spans="2:36">
      <c r="B38" s="15" t="s">
        <v>838</v>
      </c>
      <c r="C38" s="15" t="s">
        <v>839</v>
      </c>
      <c r="D38" s="15" t="s">
        <v>839</v>
      </c>
      <c r="E38" s="16">
        <v>37677</v>
      </c>
      <c r="F38" s="19">
        <v>37610</v>
      </c>
      <c r="G38" s="18"/>
      <c r="H38" s="16">
        <v>37792</v>
      </c>
      <c r="I38" s="16">
        <v>44732</v>
      </c>
      <c r="J38" s="17">
        <v>1.3999999999999999E-2</v>
      </c>
      <c r="K38" s="16">
        <v>44915</v>
      </c>
      <c r="L38" s="20" t="str">
        <f ca="1">_xll.meLWOBondCreateFromGeneratorLVB(C38,$L$4,_xll.meUtilityLVBFromKeysValues($C$6:$K$6,C38:K38))</f>
        <v>JP1200601324:1</v>
      </c>
      <c r="M38" s="92">
        <f ca="1">_xll.BDP($B38,$M$5)</f>
        <v>-8.9999999999998553E-2</v>
      </c>
      <c r="N38" s="37">
        <f ca="1">_xll.meLWOBondCleanPrice($L38,$C$4,$M38%)</f>
        <v>106.24061372392158</v>
      </c>
      <c r="O38" s="37">
        <f ca="1">_xll.meLWOBondDirtyPrice($L38,$C$4,$M38%)</f>
        <v>106.3</v>
      </c>
      <c r="P38" s="87">
        <f ca="1">_xll.meLWOBondYield($L38,$C$4,N38)</f>
        <v>-9.0000000000091732E-4</v>
      </c>
      <c r="Q38" s="89">
        <f ca="1">_xll.meLWOBondModifiedDuration($L38,$C$4,$M38%)</f>
        <v>4.0540702844108818</v>
      </c>
      <c r="R38" s="23">
        <f ca="1">_xll.meLWOBondDV01($L38,$C$4,$M38%)</f>
        <v>430.94767123287676</v>
      </c>
      <c r="S38" s="85">
        <f t="shared" ca="1" si="6"/>
        <v>-8.9999999999998553E-2</v>
      </c>
      <c r="T38" s="22" t="str">
        <f ca="1">_xll.BDP($B38,T$6, "YAS_BOND_SPL_YLD="&amp;S38,"YAS_YLD_CONV=2")</f>
        <v>#N/A Requesting Data...</v>
      </c>
      <c r="U38" s="23">
        <f t="shared" ca="1" si="7"/>
        <v>106.24061372392158</v>
      </c>
      <c r="V38" s="23">
        <f t="shared" ca="1" si="0"/>
        <v>106.24</v>
      </c>
      <c r="W38" s="24" t="e">
        <f t="shared" ca="1" si="1"/>
        <v>#VALUE!</v>
      </c>
      <c r="X38" s="23">
        <f ca="1">_xll.meLWOBondDV01($L38,$C$4,$S38%)</f>
        <v>430.94767123287676</v>
      </c>
      <c r="Y38" s="22" t="e">
        <f ca="1">_xll.BDP($B38,Y$6, "YLD_YTM_ASK="&amp;$S38,"YAS_YLD_CONV=3")*$Y$3*0.0001</f>
        <v>#VALUE!</v>
      </c>
      <c r="Z38" s="24" t="e">
        <f t="shared" ca="1" si="8"/>
        <v>#VALUE!</v>
      </c>
      <c r="AA38" s="23">
        <f ca="1">_xll.meLWOBondModifiedDuration($L38,$C$4,$S38%)</f>
        <v>4.0540702844108818</v>
      </c>
      <c r="AB38" s="22" t="str">
        <f ca="1">_xll.BDP($B38,AB$6, "YLD_YTM_ASK="&amp;$S38,"YAS_YLD_CONV=3")</f>
        <v>#N/A Requesting Data...</v>
      </c>
      <c r="AC38" s="24" t="e">
        <f t="shared" ca="1" si="2"/>
        <v>#VALUE!</v>
      </c>
      <c r="AD38" s="23">
        <f ca="1">_xll.meLWOBondDV01Numerical($L38,$C$4,$S38%, 0.5, "CENTRAL")</f>
        <v>444.97091350308438</v>
      </c>
      <c r="AE38" s="63" t="str">
        <f ca="1">_xll.BDP($B38,AE$6, "YAS_BOND_PX="&amp;T38)</f>
        <v>#N/A Invalid Override</v>
      </c>
      <c r="AF38" s="64" t="e">
        <f ca="1">_xll.meLWOBondCompoundYield(L38,$C$4,T38)*100</f>
        <v>#VALUE!</v>
      </c>
      <c r="AG38" s="65" t="e">
        <f t="shared" ca="1" si="3"/>
        <v>#VALUE!</v>
      </c>
      <c r="AH38" s="35" t="e">
        <f t="shared" ca="1" si="4"/>
        <v>#VALUE!</v>
      </c>
      <c r="AI38" s="63" t="str">
        <f ca="1">_xll.BDP($B38,AI$6, "PX_ASK="&amp;T38)</f>
        <v>#N/A Invalid Override</v>
      </c>
      <c r="AJ38" s="35" t="e">
        <f t="shared" ca="1" si="5"/>
        <v>#VALUE!</v>
      </c>
    </row>
    <row r="39" spans="2:36">
      <c r="B39" s="15" t="s">
        <v>840</v>
      </c>
      <c r="C39" s="15" t="s">
        <v>841</v>
      </c>
      <c r="D39" s="15" t="s">
        <v>841</v>
      </c>
      <c r="E39" s="16">
        <v>41354</v>
      </c>
      <c r="F39" s="19">
        <v>41353</v>
      </c>
      <c r="G39" s="18"/>
      <c r="H39" s="16">
        <v>41537</v>
      </c>
      <c r="I39" s="16">
        <v>44824</v>
      </c>
      <c r="J39" s="17">
        <v>6.0000000000000001E-3</v>
      </c>
      <c r="K39" s="16">
        <v>45005</v>
      </c>
      <c r="L39" s="20" t="str">
        <f ca="1">_xll.meLWOBondCreateFromGeneratorLVB(C39,$L$4,_xll.meUtilityLVBFromKeysValues($C$6:$K$6,C39:K39))</f>
        <v>JP1103281D37:1</v>
      </c>
      <c r="M39" s="92">
        <f ca="1">_xll.BDP($B39,$M$5)</f>
        <v>-8.0999999999998518E-2</v>
      </c>
      <c r="N39" s="37">
        <f ca="1">_xll.meLWOBondCleanPrice($L39,$C$4,$M39%)</f>
        <v>103.02027143902254</v>
      </c>
      <c r="O39" s="37">
        <f ca="1">_xll.meLWOBondDirtyPrice($L39,$C$4,$M39%)</f>
        <v>102.69999999999999</v>
      </c>
      <c r="P39" s="87">
        <f ca="1">_xll.meLWOBondYield($L39,$C$4,N39)</f>
        <v>-8.1000000000102496E-4</v>
      </c>
      <c r="Q39" s="89">
        <f ca="1">_xll.meLWOBondModifiedDuration($L39,$C$4,$M39%)</f>
        <v>4.3665977511304375</v>
      </c>
      <c r="R39" s="23">
        <f ca="1">_xll.meLWOBondDV01($L39,$C$4,$M39%)</f>
        <v>448.44958904109592</v>
      </c>
      <c r="S39" s="85">
        <f t="shared" ca="1" si="6"/>
        <v>-8.0999999999998518E-2</v>
      </c>
      <c r="T39" s="22" t="str">
        <f ca="1">_xll.BDP($B39,T$6, "YAS_BOND_SPL_YLD="&amp;S39,"YAS_YLD_CONV=2")</f>
        <v>#N/A Requesting Data...</v>
      </c>
      <c r="U39" s="23">
        <f t="shared" ca="1" si="7"/>
        <v>103.02027143902254</v>
      </c>
      <c r="V39" s="23">
        <f t="shared" ca="1" si="0"/>
        <v>103.02</v>
      </c>
      <c r="W39" s="24" t="e">
        <f t="shared" ca="1" si="1"/>
        <v>#VALUE!</v>
      </c>
      <c r="X39" s="23">
        <f ca="1">_xll.meLWOBondDV01($L39,$C$4,$S39%)</f>
        <v>448.44958904109592</v>
      </c>
      <c r="Y39" s="22" t="e">
        <f ca="1">_xll.BDP($B39,Y$6, "YLD_YTM_ASK="&amp;$S39,"YAS_YLD_CONV=3")*$Y$3*0.0001</f>
        <v>#VALUE!</v>
      </c>
      <c r="Z39" s="24" t="e">
        <f t="shared" ca="1" si="8"/>
        <v>#VALUE!</v>
      </c>
      <c r="AA39" s="23">
        <f ca="1">_xll.meLWOBondModifiedDuration($L39,$C$4,$S39%)</f>
        <v>4.3665977511304375</v>
      </c>
      <c r="AB39" s="22" t="str">
        <f ca="1">_xll.BDP($B39,AB$6, "YLD_YTM_ASK="&amp;$S39,"YAS_YLD_CONV=3")</f>
        <v>#N/A Requesting Data...</v>
      </c>
      <c r="AC39" s="24" t="e">
        <f t="shared" ca="1" si="2"/>
        <v>#VALUE!</v>
      </c>
      <c r="AD39" s="23">
        <f ca="1">_xll.meLWOBondDV01Numerical($L39,$C$4,$S39%, 0.5, "CENTRAL")</f>
        <v>456.90043871971397</v>
      </c>
      <c r="AE39" s="63" t="str">
        <f ca="1">_xll.BDP($B39,AE$6, "YAS_BOND_PX="&amp;T39)</f>
        <v>#N/A Invalid Override</v>
      </c>
      <c r="AF39" s="64" t="e">
        <f ca="1">_xll.meLWOBondCompoundYield(L39,$C$4,T39)*100</f>
        <v>#VALUE!</v>
      </c>
      <c r="AG39" s="65" t="e">
        <f t="shared" ca="1" si="3"/>
        <v>#VALUE!</v>
      </c>
      <c r="AH39" s="35" t="e">
        <f t="shared" ca="1" si="4"/>
        <v>#VALUE!</v>
      </c>
      <c r="AI39" s="63" t="str">
        <f ca="1">_xll.BDP($B39,AI$6, "PX_ASK="&amp;T39)</f>
        <v>#N/A Invalid Override</v>
      </c>
      <c r="AJ39" s="35" t="e">
        <f t="shared" ca="1" si="5"/>
        <v>#VALUE!</v>
      </c>
    </row>
    <row r="40" spans="2:36">
      <c r="B40" s="15" t="s">
        <v>842</v>
      </c>
      <c r="C40" s="15" t="s">
        <v>843</v>
      </c>
      <c r="D40" s="15" t="s">
        <v>843</v>
      </c>
      <c r="E40" s="16">
        <v>37736</v>
      </c>
      <c r="F40" s="19">
        <v>37700</v>
      </c>
      <c r="G40" s="18"/>
      <c r="H40" s="16">
        <v>37884</v>
      </c>
      <c r="I40" s="16">
        <v>44824</v>
      </c>
      <c r="J40" s="17">
        <v>0.01</v>
      </c>
      <c r="K40" s="16">
        <v>45005</v>
      </c>
      <c r="L40" s="20" t="str">
        <f ca="1">_xll.meLWOBondCreateFromGeneratorLVB(C40,$L$4,_xll.meUtilityLVBFromKeysValues($C$6:$K$6,C40:K40))</f>
        <v>JP1200611349:1</v>
      </c>
      <c r="M40" s="92">
        <f ca="1">_xll.BDP($B40,$M$5)</f>
        <v>-8.5999999999999591E-2</v>
      </c>
      <c r="N40" s="37">
        <f ca="1">_xll.meLWOBondCleanPrice($L40,$C$4,$M40%)</f>
        <v>104.81753641139494</v>
      </c>
      <c r="O40" s="37">
        <f ca="1">_xll.meLWOBondDirtyPrice($L40,$C$4,$M40%)</f>
        <v>104.5</v>
      </c>
      <c r="P40" s="87">
        <f ca="1">_xll.meLWOBondYield($L40,$C$4,N40)</f>
        <v>-8.6000000000008769E-4</v>
      </c>
      <c r="Q40" s="89">
        <f ca="1">_xll.meLWOBondModifiedDuration($L40,$C$4,$M40%)</f>
        <v>4.3330536802779056</v>
      </c>
      <c r="R40" s="23">
        <f ca="1">_xll.meLWOBondDV01($L40,$C$4,$M40%)</f>
        <v>452.80410958904116</v>
      </c>
      <c r="S40" s="85">
        <f t="shared" ca="1" si="6"/>
        <v>-8.5999999999999591E-2</v>
      </c>
      <c r="T40" s="22" t="str">
        <f ca="1">_xll.BDP($B40,T$6, "YAS_BOND_SPL_YLD="&amp;S40,"YAS_YLD_CONV=2")</f>
        <v>#N/A Requesting Data...</v>
      </c>
      <c r="U40" s="23">
        <f t="shared" ca="1" si="7"/>
        <v>104.81753641139494</v>
      </c>
      <c r="V40" s="23">
        <f t="shared" ca="1" si="0"/>
        <v>104.81699999999999</v>
      </c>
      <c r="W40" s="24" t="e">
        <f t="shared" ca="1" si="1"/>
        <v>#VALUE!</v>
      </c>
      <c r="X40" s="23">
        <f ca="1">_xll.meLWOBondDV01($L40,$C$4,$S40%)</f>
        <v>452.80410958904116</v>
      </c>
      <c r="Y40" s="22" t="e">
        <f ca="1">_xll.BDP($B40,Y$6, "YLD_YTM_ASK="&amp;$S40,"YAS_YLD_CONV=3")*$Y$3*0.0001</f>
        <v>#VALUE!</v>
      </c>
      <c r="Z40" s="24" t="e">
        <f t="shared" ca="1" si="8"/>
        <v>#VALUE!</v>
      </c>
      <c r="AA40" s="23">
        <f ca="1">_xll.meLWOBondModifiedDuration($L40,$C$4,$S40%)</f>
        <v>4.3330536802779056</v>
      </c>
      <c r="AB40" s="22" t="str">
        <f ca="1">_xll.BDP($B40,AB$6, "YLD_YTM_ASK="&amp;$S40,"YAS_YLD_CONV=3")</f>
        <v>#N/A Requesting Data...</v>
      </c>
      <c r="AC40" s="24" t="e">
        <f t="shared" ca="1" si="2"/>
        <v>#VALUE!</v>
      </c>
      <c r="AD40" s="23">
        <f ca="1">_xll.meLWOBondDV01Numerical($L40,$C$4,$S40%, 0.5, "CENTRAL")</f>
        <v>464.97451478529689</v>
      </c>
      <c r="AE40" s="63" t="str">
        <f ca="1">_xll.BDP($B40,AE$6, "YAS_BOND_PX="&amp;T40)</f>
        <v>#N/A Invalid Override</v>
      </c>
      <c r="AF40" s="64" t="e">
        <f ca="1">_xll.meLWOBondCompoundYield(L40,$C$4,T40)*100</f>
        <v>#VALUE!</v>
      </c>
      <c r="AG40" s="65" t="e">
        <f t="shared" ca="1" si="3"/>
        <v>#VALUE!</v>
      </c>
      <c r="AH40" s="35" t="e">
        <f t="shared" ca="1" si="4"/>
        <v>#VALUE!</v>
      </c>
      <c r="AI40" s="63" t="str">
        <f ca="1">_xll.BDP($B40,AI$6, "PX_ASK="&amp;T40)</f>
        <v>#N/A Invalid Override</v>
      </c>
      <c r="AJ40" s="35" t="e">
        <f t="shared" ca="1" si="5"/>
        <v>#VALUE!</v>
      </c>
    </row>
    <row r="41" spans="2:36">
      <c r="B41" s="15" t="s">
        <v>844</v>
      </c>
      <c r="C41" s="15" t="s">
        <v>845</v>
      </c>
      <c r="D41" s="15" t="s">
        <v>845</v>
      </c>
      <c r="E41" s="16">
        <v>41445</v>
      </c>
      <c r="F41" s="19">
        <v>41445</v>
      </c>
      <c r="G41" s="18"/>
      <c r="H41" s="16">
        <v>41628</v>
      </c>
      <c r="I41" s="16">
        <v>44915</v>
      </c>
      <c r="J41" s="17">
        <v>8.0000000000000002E-3</v>
      </c>
      <c r="K41" s="16">
        <v>45097</v>
      </c>
      <c r="L41" s="20" t="str">
        <f ca="1">_xll.meLWOBondCreateFromGeneratorLVB(C41,$L$4,_xll.meUtilityLVBFromKeysValues($C$6:$K$6,C41:K41))</f>
        <v>JP1103291D68:1</v>
      </c>
      <c r="M41" s="92">
        <f ca="1">_xll.BDP($B41,$M$5)</f>
        <v>-7.6999999999999361E-2</v>
      </c>
      <c r="N41" s="37">
        <f ca="1">_xll.meLWOBondCleanPrice($L41,$C$4,$M41%)</f>
        <v>104.11145953328293</v>
      </c>
      <c r="O41" s="37">
        <f ca="1">_xll.meLWOBondDirtyPrice($L41,$C$4,$M41%)</f>
        <v>104</v>
      </c>
      <c r="P41" s="87">
        <f ca="1">_xll.meLWOBondYield($L41,$C$4,N41)</f>
        <v>-7.7000000000013082E-4</v>
      </c>
      <c r="Q41" s="89">
        <f ca="1">_xll.meLWOBondModifiedDuration($L41,$C$4,$M41%)</f>
        <v>4.5860642781875658</v>
      </c>
      <c r="R41" s="23">
        <f ca="1">_xll.meLWOBondDV01($L41,$C$4,$M41%)</f>
        <v>476.95068493150688</v>
      </c>
      <c r="S41" s="85">
        <f t="shared" ca="1" si="6"/>
        <v>-7.6999999999999361E-2</v>
      </c>
      <c r="T41" s="22" t="str">
        <f ca="1">_xll.BDP($B41,T$6, "YAS_BOND_SPL_YLD="&amp;S41,"YAS_YLD_CONV=2")</f>
        <v>#N/A Requesting Data...</v>
      </c>
      <c r="U41" s="23">
        <f t="shared" ca="1" si="7"/>
        <v>104.11145953328293</v>
      </c>
      <c r="V41" s="23">
        <f t="shared" ca="1" si="0"/>
        <v>104.111</v>
      </c>
      <c r="W41" s="24" t="e">
        <f t="shared" ca="1" si="1"/>
        <v>#VALUE!</v>
      </c>
      <c r="X41" s="23">
        <f ca="1">_xll.meLWOBondDV01($L41,$C$4,$S41%)</f>
        <v>476.95068493150688</v>
      </c>
      <c r="Y41" s="22" t="e">
        <f ca="1">_xll.BDP($B41,Y$6, "YLD_YTM_ASK="&amp;$S41,"YAS_YLD_CONV=3")*$Y$3*0.0001</f>
        <v>#VALUE!</v>
      </c>
      <c r="Z41" s="24" t="e">
        <f t="shared" ca="1" si="8"/>
        <v>#VALUE!</v>
      </c>
      <c r="AA41" s="23">
        <f ca="1">_xll.meLWOBondModifiedDuration($L41,$C$4,$S41%)</f>
        <v>4.5860642781875658</v>
      </c>
      <c r="AB41" s="22" t="str">
        <f ca="1">_xll.BDP($B41,AB$6, "YLD_YTM_ASK="&amp;$S41,"YAS_YLD_CONV=3")</f>
        <v>#N/A Requesting Data...</v>
      </c>
      <c r="AC41" s="24" t="e">
        <f t="shared" ca="1" si="2"/>
        <v>#VALUE!</v>
      </c>
      <c r="AD41" s="23">
        <f ca="1">_xll.meLWOBondDV01Numerical($L41,$C$4,$S41%, 0.5, "CENTRAL")</f>
        <v>488.08446561181995</v>
      </c>
      <c r="AE41" s="63" t="str">
        <f ca="1">_xll.BDP($B41,AE$6, "YAS_BOND_PX="&amp;T41)</f>
        <v>#N/A Invalid Override</v>
      </c>
      <c r="AF41" s="64" t="e">
        <f ca="1">_xll.meLWOBondCompoundYield(L41,$C$4,T41)*100</f>
        <v>#VALUE!</v>
      </c>
      <c r="AG41" s="65" t="e">
        <f t="shared" ca="1" si="3"/>
        <v>#VALUE!</v>
      </c>
      <c r="AH41" s="35" t="e">
        <f t="shared" ca="1" si="4"/>
        <v>#VALUE!</v>
      </c>
      <c r="AI41" s="63" t="str">
        <f ca="1">_xll.BDP($B41,AI$6, "PX_ASK="&amp;T41)</f>
        <v>#N/A Invalid Override</v>
      </c>
      <c r="AJ41" s="35" t="e">
        <f t="shared" ca="1" si="5"/>
        <v>#VALUE!</v>
      </c>
    </row>
    <row r="42" spans="2:36">
      <c r="B42" s="15" t="s">
        <v>846</v>
      </c>
      <c r="C42" s="15" t="s">
        <v>847</v>
      </c>
      <c r="D42" s="15" t="s">
        <v>847</v>
      </c>
      <c r="E42" s="16">
        <v>37792</v>
      </c>
      <c r="F42" s="19">
        <v>37792</v>
      </c>
      <c r="G42" s="18"/>
      <c r="H42" s="16">
        <v>37975</v>
      </c>
      <c r="I42" s="16">
        <v>44915</v>
      </c>
      <c r="J42" s="17">
        <v>8.0000000000000002E-3</v>
      </c>
      <c r="K42" s="16">
        <v>45097</v>
      </c>
      <c r="L42" s="20" t="str">
        <f ca="1">_xll.meLWOBondCreateFromGeneratorLVB(C42,$L$4,_xll.meUtilityLVBFromKeysValues($C$6:$K$6,C42:K42))</f>
        <v>JP1200621363:1</v>
      </c>
      <c r="M42" s="92">
        <f ca="1">_xll.BDP($B42,$M$5)</f>
        <v>-8.1000000000000127E-2</v>
      </c>
      <c r="N42" s="37">
        <f ca="1">_xll.meLWOBondCleanPrice($L42,$C$4,$M42%)</f>
        <v>104.13098657261949</v>
      </c>
      <c r="O42" s="37">
        <f ca="1">_xll.meLWOBondDirtyPrice($L42,$C$4,$M42%)</f>
        <v>104</v>
      </c>
      <c r="P42" s="87">
        <f ca="1">_xll.meLWOBondYield($L42,$C$4,N42)</f>
        <v>-8.0999999999897137E-4</v>
      </c>
      <c r="Q42" s="89">
        <f ca="1">_xll.meLWOBondModifiedDuration($L42,$C$4,$M42%)</f>
        <v>4.5860642781875658</v>
      </c>
      <c r="R42" s="23">
        <f ca="1">_xll.meLWOBondDV01($L42,$C$4,$M42%)</f>
        <v>476.95068493150688</v>
      </c>
      <c r="S42" s="85">
        <f t="shared" ca="1" si="6"/>
        <v>-8.1000000000000127E-2</v>
      </c>
      <c r="T42" s="22" t="str">
        <f ca="1">_xll.BDP($B42,T$6, "YAS_BOND_SPL_YLD="&amp;S42,"YAS_YLD_CONV=2")</f>
        <v>#N/A Requesting Data...</v>
      </c>
      <c r="U42" s="23">
        <f t="shared" ca="1" si="7"/>
        <v>104.13098657261949</v>
      </c>
      <c r="V42" s="23">
        <f t="shared" ca="1" si="0"/>
        <v>104.13</v>
      </c>
      <c r="W42" s="24" t="e">
        <f t="shared" ca="1" si="1"/>
        <v>#VALUE!</v>
      </c>
      <c r="X42" s="23">
        <f ca="1">_xll.meLWOBondDV01($L42,$C$4,$S42%)</f>
        <v>476.95068493150688</v>
      </c>
      <c r="Y42" s="22" t="e">
        <f ca="1">_xll.BDP($B42,Y$6, "YLD_YTM_ASK="&amp;$S42,"YAS_YLD_CONV=3")*$Y$3*0.0001</f>
        <v>#VALUE!</v>
      </c>
      <c r="Z42" s="24" t="e">
        <f t="shared" ca="1" si="8"/>
        <v>#VALUE!</v>
      </c>
      <c r="AA42" s="23">
        <f ca="1">_xll.meLWOBondModifiedDuration($L42,$C$4,$S42%)</f>
        <v>4.5860642781875658</v>
      </c>
      <c r="AB42" s="22" t="str">
        <f ca="1">_xll.BDP($B42,AB$6, "YLD_YTM_ASK="&amp;$S42,"YAS_YLD_CONV=3")</f>
        <v>#N/A Requesting Data...</v>
      </c>
      <c r="AC42" s="24" t="e">
        <f t="shared" ca="1" si="2"/>
        <v>#VALUE!</v>
      </c>
      <c r="AD42" s="23">
        <f ca="1">_xll.meLWOBondDV01Numerical($L42,$C$4,$S42%, 0.5, "CENTRAL")</f>
        <v>488.26757204267329</v>
      </c>
      <c r="AE42" s="63" t="str">
        <f ca="1">_xll.BDP($B42,AE$6, "YAS_BOND_PX="&amp;T42)</f>
        <v>#N/A Invalid Override</v>
      </c>
      <c r="AF42" s="64" t="e">
        <f ca="1">_xll.meLWOBondCompoundYield(L42,$C$4,T42)*100</f>
        <v>#VALUE!</v>
      </c>
      <c r="AG42" s="65" t="e">
        <f t="shared" ca="1" si="3"/>
        <v>#VALUE!</v>
      </c>
      <c r="AH42" s="35" t="e">
        <f t="shared" ca="1" si="4"/>
        <v>#VALUE!</v>
      </c>
      <c r="AI42" s="63" t="str">
        <f ca="1">_xll.BDP($B42,AI$6, "PX_ASK="&amp;T42)</f>
        <v>#N/A Invalid Override</v>
      </c>
      <c r="AJ42" s="35" t="e">
        <f t="shared" ca="1" si="5"/>
        <v>#VALUE!</v>
      </c>
    </row>
    <row r="43" spans="2:36">
      <c r="B43" s="15" t="s">
        <v>848</v>
      </c>
      <c r="C43" s="15" t="s">
        <v>849</v>
      </c>
      <c r="D43" s="15" t="s">
        <v>849</v>
      </c>
      <c r="E43" s="16">
        <v>37858</v>
      </c>
      <c r="F43" s="19">
        <v>37792</v>
      </c>
      <c r="G43" s="18"/>
      <c r="H43" s="16">
        <v>37975</v>
      </c>
      <c r="I43" s="16">
        <v>44915</v>
      </c>
      <c r="J43" s="17">
        <v>1.8000000000000002E-2</v>
      </c>
      <c r="K43" s="16">
        <v>45097</v>
      </c>
      <c r="L43" s="20" t="str">
        <f ca="1">_xll.meLWOBondCreateFromGeneratorLVB(C43,$L$4,_xll.meUtilityLVBFromKeysValues($C$6:$K$6,C43:K43))</f>
        <v>JP1200631388:1</v>
      </c>
      <c r="M43" s="92">
        <f ca="1">_xll.BDP($B43,$M$5)</f>
        <v>-8.1000000000000683E-2</v>
      </c>
      <c r="N43" s="37">
        <f ca="1">_xll.meLWOBondCleanPrice($L43,$C$4,$M43%)</f>
        <v>108.81996111588795</v>
      </c>
      <c r="O43" s="37">
        <f ca="1">_xll.meLWOBondDirtyPrice($L43,$C$4,$M43%)</f>
        <v>109.00000000000001</v>
      </c>
      <c r="P43" s="87">
        <f ca="1">_xll.meLWOBondYield($L43,$C$4,N43)</f>
        <v>-8.1000000000013895E-4</v>
      </c>
      <c r="Q43" s="89">
        <f ca="1">_xll.meLWOBondModifiedDuration($L43,$C$4,$M43%)</f>
        <v>4.4868229232122658</v>
      </c>
      <c r="R43" s="23">
        <f ca="1">_xll.meLWOBondDV01($L43,$C$4,$M43%)</f>
        <v>489.06369863013703</v>
      </c>
      <c r="S43" s="85">
        <f t="shared" ca="1" si="6"/>
        <v>-8.1000000000000683E-2</v>
      </c>
      <c r="T43" s="22" t="str">
        <f ca="1">_xll.BDP($B43,T$6, "YAS_BOND_SPL_YLD="&amp;S43,"YAS_YLD_CONV=2")</f>
        <v>#N/A Requesting Data...</v>
      </c>
      <c r="U43" s="23">
        <f t="shared" ca="1" si="7"/>
        <v>108.81996111588795</v>
      </c>
      <c r="V43" s="23">
        <f t="shared" ca="1" si="0"/>
        <v>108.819</v>
      </c>
      <c r="W43" s="24" t="e">
        <f t="shared" ca="1" si="1"/>
        <v>#VALUE!</v>
      </c>
      <c r="X43" s="23">
        <f ca="1">_xll.meLWOBondDV01($L43,$C$4,$S43%)</f>
        <v>489.06369863013703</v>
      </c>
      <c r="Y43" s="22" t="e">
        <f ca="1">_xll.BDP($B43,Y$6, "YLD_YTM_ASK="&amp;$S43,"YAS_YLD_CONV=3")*$Y$3*0.0001</f>
        <v>#VALUE!</v>
      </c>
      <c r="Z43" s="24" t="e">
        <f t="shared" ca="1" si="8"/>
        <v>#VALUE!</v>
      </c>
      <c r="AA43" s="23">
        <f ca="1">_xll.meLWOBondModifiedDuration($L43,$C$4,$S43%)</f>
        <v>4.4868229232122658</v>
      </c>
      <c r="AB43" s="22" t="str">
        <f ca="1">_xll.BDP($B43,AB$6, "YLD_YTM_ASK="&amp;$S43,"YAS_YLD_CONV=3")</f>
        <v>#N/A Requesting Data...</v>
      </c>
      <c r="AC43" s="24" t="e">
        <f t="shared" ca="1" si="2"/>
        <v>#VALUE!</v>
      </c>
      <c r="AD43" s="23">
        <f ca="1">_xll.meLWOBondDV01Numerical($L43,$C$4,$S43%, 0.5, "CENTRAL")</f>
        <v>510.25405551868636</v>
      </c>
      <c r="AE43" s="63" t="str">
        <f ca="1">_xll.BDP($B43,AE$6, "YAS_BOND_PX="&amp;T43)</f>
        <v>#N/A Invalid Override</v>
      </c>
      <c r="AF43" s="64" t="e">
        <f ca="1">_xll.meLWOBondCompoundYield(L43,$C$4,T43)*100</f>
        <v>#VALUE!</v>
      </c>
      <c r="AG43" s="65" t="e">
        <f t="shared" ca="1" si="3"/>
        <v>#VALUE!</v>
      </c>
      <c r="AH43" s="35" t="e">
        <f t="shared" ca="1" si="4"/>
        <v>#VALUE!</v>
      </c>
      <c r="AI43" s="63" t="str">
        <f ca="1">_xll.BDP($B43,AI$6, "PX_ASK="&amp;T43)</f>
        <v>#N/A Invalid Override</v>
      </c>
      <c r="AJ43" s="35" t="e">
        <f t="shared" ca="1" si="5"/>
        <v>#VALUE!</v>
      </c>
    </row>
    <row r="44" spans="2:36">
      <c r="B44" s="15" t="s">
        <v>850</v>
      </c>
      <c r="C44" s="15" t="s">
        <v>851</v>
      </c>
      <c r="D44" s="15" t="s">
        <v>851</v>
      </c>
      <c r="E44" s="16">
        <v>41537</v>
      </c>
      <c r="F44" s="19">
        <v>41537</v>
      </c>
      <c r="G44" s="18"/>
      <c r="H44" s="16">
        <v>41718</v>
      </c>
      <c r="I44" s="16">
        <v>45005</v>
      </c>
      <c r="J44" s="17">
        <v>8.0000000000000002E-3</v>
      </c>
      <c r="K44" s="16">
        <v>45189</v>
      </c>
      <c r="L44" s="20" t="str">
        <f ca="1">_xll.meLWOBondCreateFromGeneratorLVB(C44,$L$4,_xll.meUtilityLVBFromKeysValues($C$6:$K$6,C44:K44))</f>
        <v>JP1103301D90:1</v>
      </c>
      <c r="M44" s="92">
        <f ca="1">_xll.BDP($B44,$M$5)</f>
        <v>-6.9000000000000547E-2</v>
      </c>
      <c r="N44" s="37">
        <f ca="1">_xll.meLWOBondCleanPrice($L44,$C$4,$M44%)</f>
        <v>104.2929203307004</v>
      </c>
      <c r="O44" s="37">
        <f ca="1">_xll.meLWOBondDirtyPrice($L44,$C$4,$M44%)</f>
        <v>104</v>
      </c>
      <c r="P44" s="87">
        <f ca="1">_xll.meLWOBondYield($L44,$C$4,N44)</f>
        <v>-6.8999999999922574E-4</v>
      </c>
      <c r="Q44" s="89">
        <f ca="1">_xll.meLWOBondModifiedDuration($L44,$C$4,$M44%)</f>
        <v>4.8326396206533193</v>
      </c>
      <c r="R44" s="23">
        <f ca="1">_xll.meLWOBondDV01($L44,$C$4,$M44%)</f>
        <v>502.59452054794525</v>
      </c>
      <c r="S44" s="85">
        <f t="shared" ca="1" si="6"/>
        <v>-6.9000000000000547E-2</v>
      </c>
      <c r="T44" s="22" t="str">
        <f ca="1">_xll.BDP($B44,T$6, "YAS_BOND_SPL_YLD="&amp;S44,"YAS_YLD_CONV=2")</f>
        <v>#N/A Requesting Data...</v>
      </c>
      <c r="U44" s="23">
        <f t="shared" ca="1" si="7"/>
        <v>104.2929203307004</v>
      </c>
      <c r="V44" s="23">
        <f t="shared" ca="1" si="0"/>
        <v>104.292</v>
      </c>
      <c r="W44" s="24" t="e">
        <f t="shared" ca="1" si="1"/>
        <v>#VALUE!</v>
      </c>
      <c r="X44" s="23">
        <f ca="1">_xll.meLWOBondDV01($L44,$C$4,$S44%)</f>
        <v>502.59452054794525</v>
      </c>
      <c r="Y44" s="22" t="e">
        <f ca="1">_xll.BDP($B44,Y$6, "YLD_YTM_ASK="&amp;$S44,"YAS_YLD_CONV=3")*$Y$3*0.0001</f>
        <v>#VALUE!</v>
      </c>
      <c r="Z44" s="24" t="e">
        <f t="shared" ca="1" si="8"/>
        <v>#VALUE!</v>
      </c>
      <c r="AA44" s="23">
        <f ca="1">_xll.meLWOBondModifiedDuration($L44,$C$4,$S44%)</f>
        <v>4.8326396206533193</v>
      </c>
      <c r="AB44" s="22" t="str">
        <f ca="1">_xll.BDP($B44,AB$6, "YLD_YTM_ASK="&amp;$S44,"YAS_YLD_CONV=3")</f>
        <v>#N/A Requesting Data...</v>
      </c>
      <c r="AC44" s="24" t="e">
        <f t="shared" ca="1" si="2"/>
        <v>#VALUE!</v>
      </c>
      <c r="AD44" s="23">
        <f ca="1">_xll.meLWOBondDV01Numerical($L44,$C$4,$S44%, 0.5, "CENTRAL")</f>
        <v>515.21429844825661</v>
      </c>
      <c r="AE44" s="63" t="str">
        <f ca="1">_xll.BDP($B44,AE$6, "YAS_BOND_PX="&amp;T44)</f>
        <v>#N/A Invalid Override</v>
      </c>
      <c r="AF44" s="64" t="e">
        <f ca="1">_xll.meLWOBondCompoundYield(L44,$C$4,T44)*100</f>
        <v>#VALUE!</v>
      </c>
      <c r="AG44" s="65" t="e">
        <f t="shared" ca="1" si="3"/>
        <v>#VALUE!</v>
      </c>
      <c r="AH44" s="35" t="e">
        <f t="shared" ca="1" si="4"/>
        <v>#VALUE!</v>
      </c>
      <c r="AI44" s="63" t="str">
        <f ca="1">_xll.BDP($B44,AI$6, "PX_ASK="&amp;T44)</f>
        <v>#N/A Invalid Override</v>
      </c>
      <c r="AJ44" s="35" t="e">
        <f t="shared" ca="1" si="5"/>
        <v>#VALUE!</v>
      </c>
    </row>
    <row r="45" spans="2:36">
      <c r="B45" s="15" t="s">
        <v>852</v>
      </c>
      <c r="C45" s="15" t="s">
        <v>853</v>
      </c>
      <c r="D45" s="15" t="s">
        <v>853</v>
      </c>
      <c r="E45" s="16">
        <v>41586</v>
      </c>
      <c r="F45" s="19">
        <v>41537</v>
      </c>
      <c r="G45" s="18"/>
      <c r="H45" s="16">
        <v>41718</v>
      </c>
      <c r="I45" s="16">
        <v>45005</v>
      </c>
      <c r="J45" s="17">
        <v>6.0000000000000001E-3</v>
      </c>
      <c r="K45" s="16">
        <v>45189</v>
      </c>
      <c r="L45" s="20" t="str">
        <f ca="1">_xll.meLWOBondCreateFromGeneratorLVB(C45,$L$4,_xll.meUtilityLVBFromKeysValues($C$6:$K$6,C45:K45))</f>
        <v>JP1103311DB5:1</v>
      </c>
      <c r="M45" s="92">
        <f ca="1">_xll.BDP($B45,$M$5)</f>
        <v>-6.7999999999999783E-2</v>
      </c>
      <c r="N45" s="37">
        <f ca="1">_xll.meLWOBondCleanPrice($L45,$C$4,$M45%)</f>
        <v>103.2998033636115</v>
      </c>
      <c r="O45" s="37">
        <f ca="1">_xll.meLWOBondDirtyPrice($L45,$C$4,$M45%)</f>
        <v>103</v>
      </c>
      <c r="P45" s="87">
        <f ca="1">_xll.meLWOBondYield($L45,$C$4,N45)</f>
        <v>-6.8000000000097312E-4</v>
      </c>
      <c r="Q45" s="89">
        <f ca="1">_xll.meLWOBondModifiedDuration($L45,$C$4,$M45%)</f>
        <v>4.8536441016092562</v>
      </c>
      <c r="R45" s="23">
        <f ca="1">_xll.meLWOBondDV01($L45,$C$4,$M45%)</f>
        <v>499.92534246575343</v>
      </c>
      <c r="S45" s="85">
        <f t="shared" ca="1" si="6"/>
        <v>-6.7999999999999783E-2</v>
      </c>
      <c r="T45" s="22" t="str">
        <f ca="1">_xll.BDP($B45,T$6, "YAS_BOND_SPL_YLD="&amp;S45,"YAS_YLD_CONV=2")</f>
        <v>#N/A Requesting Data...</v>
      </c>
      <c r="U45" s="23">
        <f t="shared" ca="1" si="7"/>
        <v>103.2998033636115</v>
      </c>
      <c r="V45" s="23">
        <f t="shared" ca="1" si="0"/>
        <v>103.29900000000001</v>
      </c>
      <c r="W45" s="24" t="e">
        <f t="shared" ca="1" si="1"/>
        <v>#VALUE!</v>
      </c>
      <c r="X45" s="23">
        <f ca="1">_xll.meLWOBondDV01($L45,$C$4,$S45%)</f>
        <v>499.92534246575343</v>
      </c>
      <c r="Y45" s="22" t="e">
        <f ca="1">_xll.BDP($B45,Y$6, "YLD_YTM_ASK="&amp;$S45,"YAS_YLD_CONV=3")*$Y$3*0.0001</f>
        <v>#VALUE!</v>
      </c>
      <c r="Z45" s="24" t="e">
        <f t="shared" ca="1" si="8"/>
        <v>#VALUE!</v>
      </c>
      <c r="AA45" s="23">
        <f ca="1">_xll.meLWOBondModifiedDuration($L45,$C$4,$S45%)</f>
        <v>4.8536441016092562</v>
      </c>
      <c r="AB45" s="22" t="str">
        <f ca="1">_xll.BDP($B45,AB$6, "YLD_YTM_ASK="&amp;$S45,"YAS_YLD_CONV=3")</f>
        <v>#N/A Requesting Data...</v>
      </c>
      <c r="AC45" s="24" t="e">
        <f t="shared" ca="1" si="2"/>
        <v>#VALUE!</v>
      </c>
      <c r="AD45" s="23">
        <f ca="1">_xll.meLWOBondDV01Numerical($L45,$C$4,$S45%, 0.5, "CENTRAL")</f>
        <v>510.28302304530371</v>
      </c>
      <c r="AE45" s="63" t="str">
        <f ca="1">_xll.BDP($B45,AE$6, "YAS_BOND_PX="&amp;T45)</f>
        <v>#N/A Invalid Override</v>
      </c>
      <c r="AF45" s="64" t="e">
        <f ca="1">_xll.meLWOBondCompoundYield(L45,$C$4,T45)*100</f>
        <v>#VALUE!</v>
      </c>
      <c r="AG45" s="65" t="e">
        <f t="shared" ca="1" si="3"/>
        <v>#VALUE!</v>
      </c>
      <c r="AH45" s="35" t="e">
        <f t="shared" ca="1" si="4"/>
        <v>#VALUE!</v>
      </c>
      <c r="AI45" s="63" t="str">
        <f ca="1">_xll.BDP($B45,AI$6, "PX_ASK="&amp;T45)</f>
        <v>#N/A Invalid Override</v>
      </c>
      <c r="AJ45" s="35" t="e">
        <f t="shared" ca="1" si="5"/>
        <v>#VALUE!</v>
      </c>
    </row>
    <row r="46" spans="2:36">
      <c r="B46" s="15" t="s">
        <v>854</v>
      </c>
      <c r="C46" s="15" t="s">
        <v>855</v>
      </c>
      <c r="D46" s="15" t="s">
        <v>855</v>
      </c>
      <c r="E46" s="16">
        <v>37921</v>
      </c>
      <c r="F46" s="19">
        <v>37884</v>
      </c>
      <c r="G46" s="18"/>
      <c r="H46" s="16">
        <v>38066</v>
      </c>
      <c r="I46" s="16">
        <v>45005</v>
      </c>
      <c r="J46" s="17">
        <v>1.9E-2</v>
      </c>
      <c r="K46" s="16">
        <v>45189</v>
      </c>
      <c r="L46" s="20" t="str">
        <f ca="1">_xll.meLWOBondCreateFromGeneratorLVB(C46,$L$4,_xll.meUtilityLVBFromKeysValues($C$6:$K$6,C46:K46))</f>
        <v>JP12006413A0:1</v>
      </c>
      <c r="M46" s="92">
        <f ca="1">_xll.BDP($B46,$M$5)</f>
        <v>-6.9999999999999729E-2</v>
      </c>
      <c r="N46" s="37">
        <f ca="1">_xll.meLWOBondCleanPrice($L46,$C$4,$M46%)</f>
        <v>109.73241755628507</v>
      </c>
      <c r="O46" s="37">
        <f ca="1">_xll.meLWOBondDirtyPrice($L46,$C$4,$M46%)</f>
        <v>109.5</v>
      </c>
      <c r="P46" s="87">
        <f ca="1">_xll.meLWOBondYield($L46,$C$4,N46)</f>
        <v>-6.9999999999987021E-4</v>
      </c>
      <c r="Q46" s="89">
        <f ca="1">_xll.meLWOBondModifiedDuration($L46,$C$4,$M46%)</f>
        <v>4.7239726027397255</v>
      </c>
      <c r="R46" s="23">
        <f ca="1">_xll.meLWOBondDV01($L46,$C$4,$M46%)</f>
        <v>517.27499999999998</v>
      </c>
      <c r="S46" s="85">
        <f t="shared" ca="1" si="6"/>
        <v>-6.9999999999999729E-2</v>
      </c>
      <c r="T46" s="22" t="str">
        <f ca="1">_xll.BDP($B46,T$6, "YAS_BOND_SPL_YLD="&amp;S46,"YAS_YLD_CONV=2")</f>
        <v>#N/A Requesting Data...</v>
      </c>
      <c r="U46" s="23">
        <f t="shared" ca="1" si="7"/>
        <v>109.73241755628507</v>
      </c>
      <c r="V46" s="23">
        <f t="shared" ca="1" si="0"/>
        <v>109.732</v>
      </c>
      <c r="W46" s="24" t="e">
        <f t="shared" ca="1" si="1"/>
        <v>#VALUE!</v>
      </c>
      <c r="X46" s="23">
        <f ca="1">_xll.meLWOBondDV01($L46,$C$4,$S46%)</f>
        <v>517.27499999999998</v>
      </c>
      <c r="Y46" s="22" t="e">
        <f ca="1">_xll.BDP($B46,Y$6, "YLD_YTM_ASK="&amp;$S46,"YAS_YLD_CONV=3")*$Y$3*0.0001</f>
        <v>#VALUE!</v>
      </c>
      <c r="Z46" s="24" t="e">
        <f t="shared" ca="1" si="8"/>
        <v>#VALUE!</v>
      </c>
      <c r="AA46" s="23">
        <f ca="1">_xll.meLWOBondModifiedDuration($L46,$C$4,$S46%)</f>
        <v>4.7239726027397255</v>
      </c>
      <c r="AB46" s="22" t="str">
        <f ca="1">_xll.BDP($B46,AB$6, "YLD_YTM_ASK="&amp;$S46,"YAS_YLD_CONV=3")</f>
        <v>#N/A Requesting Data...</v>
      </c>
      <c r="AC46" s="24" t="e">
        <f t="shared" ca="1" si="2"/>
        <v>#VALUE!</v>
      </c>
      <c r="AD46" s="23">
        <f ca="1">_xll.meLWOBondDV01Numerical($L46,$C$4,$S46%, 0.5, "CENTRAL")</f>
        <v>542.11257476239894</v>
      </c>
      <c r="AE46" s="63" t="str">
        <f ca="1">_xll.BDP($B46,AE$6, "YAS_BOND_PX="&amp;T46)</f>
        <v>#N/A Invalid Override</v>
      </c>
      <c r="AF46" s="64" t="e">
        <f ca="1">_xll.meLWOBondCompoundYield(L46,$C$4,T46)*100</f>
        <v>#VALUE!</v>
      </c>
      <c r="AG46" s="65" t="e">
        <f t="shared" ca="1" si="3"/>
        <v>#VALUE!</v>
      </c>
      <c r="AH46" s="35" t="e">
        <f t="shared" ca="1" si="4"/>
        <v>#VALUE!</v>
      </c>
      <c r="AI46" s="63" t="str">
        <f ca="1">_xll.BDP($B46,AI$6, "PX_ASK="&amp;T46)</f>
        <v>#N/A Invalid Override</v>
      </c>
      <c r="AJ46" s="35" t="e">
        <f t="shared" ca="1" si="5"/>
        <v>#VALUE!</v>
      </c>
    </row>
    <row r="47" spans="2:36">
      <c r="B47" s="15" t="s">
        <v>856</v>
      </c>
      <c r="C47" s="15" t="s">
        <v>857</v>
      </c>
      <c r="D47" s="15" t="s">
        <v>857</v>
      </c>
      <c r="E47" s="16">
        <v>41628</v>
      </c>
      <c r="F47" s="19">
        <v>41628</v>
      </c>
      <c r="G47" s="18"/>
      <c r="H47" s="16">
        <v>41810</v>
      </c>
      <c r="I47" s="16">
        <v>45097</v>
      </c>
      <c r="J47" s="17">
        <v>6.0000000000000001E-3</v>
      </c>
      <c r="K47" s="16">
        <v>45280</v>
      </c>
      <c r="L47" s="20" t="str">
        <f ca="1">_xll.meLWOBondCreateFromGeneratorLVB(C47,$L$4,_xll.meUtilityLVBFromKeysValues($C$6:$K$6,C47:K47))</f>
        <v>JP1103321DC2:1</v>
      </c>
      <c r="M47" s="92">
        <f ca="1">_xll.BDP($B47,$M$5)</f>
        <v>-5.5999999999999502E-2</v>
      </c>
      <c r="N47" s="37">
        <f ca="1">_xll.meLWOBondCleanPrice($L47,$C$4,$M47%)</f>
        <v>103.40308496897534</v>
      </c>
      <c r="O47" s="37">
        <f ca="1">_xll.meLWOBondDirtyPrice($L47,$C$4,$M47%)</f>
        <v>103.3</v>
      </c>
      <c r="P47" s="87">
        <f ca="1">_xll.meLWOBondYield($L47,$C$4,N47)</f>
        <v>-5.5999999999936027E-4</v>
      </c>
      <c r="Q47" s="89">
        <f ca="1">_xll.meLWOBondModifiedDuration($L47,$C$4,$M47%)</f>
        <v>5.0927382673155721</v>
      </c>
      <c r="R47" s="23">
        <f ca="1">_xll.meLWOBondDV01($L47,$C$4,$M47%)</f>
        <v>526.07986301369863</v>
      </c>
      <c r="S47" s="85">
        <f t="shared" ca="1" si="6"/>
        <v>-5.5999999999999502E-2</v>
      </c>
      <c r="T47" s="22" t="str">
        <f ca="1">_xll.BDP($B47,T$6, "YAS_BOND_SPL_YLD="&amp;S47,"YAS_YLD_CONV=2")</f>
        <v>#N/A Requesting Data...</v>
      </c>
      <c r="U47" s="23">
        <f t="shared" ca="1" si="7"/>
        <v>103.40308496897534</v>
      </c>
      <c r="V47" s="23">
        <f t="shared" ca="1" si="0"/>
        <v>103.40300000000001</v>
      </c>
      <c r="W47" s="24" t="e">
        <f t="shared" ca="1" si="1"/>
        <v>#VALUE!</v>
      </c>
      <c r="X47" s="23">
        <f ca="1">_xll.meLWOBondDV01($L47,$C$4,$S47%)</f>
        <v>526.07986301369863</v>
      </c>
      <c r="Y47" s="22" t="e">
        <f ca="1">_xll.BDP($B47,Y$6, "YLD_YTM_ASK="&amp;$S47,"YAS_YLD_CONV=3")*$Y$3*0.0001</f>
        <v>#VALUE!</v>
      </c>
      <c r="Z47" s="24" t="e">
        <f t="shared" ca="1" si="8"/>
        <v>#VALUE!</v>
      </c>
      <c r="AA47" s="23">
        <f ca="1">_xll.meLWOBondModifiedDuration($L47,$C$4,$S47%)</f>
        <v>5.0927382673155721</v>
      </c>
      <c r="AB47" s="22" t="str">
        <f ca="1">_xll.BDP($B47,AB$6, "YLD_YTM_ASK="&amp;$S47,"YAS_YLD_CONV=3")</f>
        <v>#N/A Requesting Data...</v>
      </c>
      <c r="AC47" s="24" t="e">
        <f t="shared" ca="1" si="2"/>
        <v>#VALUE!</v>
      </c>
      <c r="AD47" s="23">
        <f ca="1">_xll.meLWOBondDV01Numerical($L47,$C$4,$S47%, 0.5, "CENTRAL")</f>
        <v>536.41693274130375</v>
      </c>
      <c r="AE47" s="63" t="str">
        <f ca="1">_xll.BDP($B47,AE$6, "YAS_BOND_PX="&amp;T47)</f>
        <v>#N/A Invalid Override</v>
      </c>
      <c r="AF47" s="64" t="e">
        <f ca="1">_xll.meLWOBondCompoundYield(L47,$C$4,T47)*100</f>
        <v>#VALUE!</v>
      </c>
      <c r="AG47" s="65" t="e">
        <f t="shared" ca="1" si="3"/>
        <v>#VALUE!</v>
      </c>
      <c r="AH47" s="35" t="e">
        <f t="shared" ca="1" si="4"/>
        <v>#VALUE!</v>
      </c>
      <c r="AI47" s="63" t="str">
        <f ca="1">_xll.BDP($B47,AI$6, "PX_ASK="&amp;T47)</f>
        <v>#N/A Invalid Override</v>
      </c>
      <c r="AJ47" s="35" t="e">
        <f t="shared" ca="1" si="5"/>
        <v>#VALUE!</v>
      </c>
    </row>
    <row r="48" spans="2:36">
      <c r="B48" s="15" t="s">
        <v>858</v>
      </c>
      <c r="C48" s="15" t="s">
        <v>859</v>
      </c>
      <c r="D48" s="15" t="s">
        <v>859</v>
      </c>
      <c r="E48" s="16">
        <v>38042</v>
      </c>
      <c r="F48" s="19">
        <v>37975</v>
      </c>
      <c r="G48" s="18"/>
      <c r="H48" s="16">
        <v>38158</v>
      </c>
      <c r="I48" s="16">
        <v>45097</v>
      </c>
      <c r="J48" s="17">
        <v>1.8000000000000002E-2</v>
      </c>
      <c r="K48" s="16">
        <v>45280</v>
      </c>
      <c r="L48" s="20" t="str">
        <f ca="1">_xll.meLWOBondCreateFromGeneratorLVB(C48,$L$4,_xll.meUtilityLVBFromKeysValues($C$6:$K$6,C48:K48))</f>
        <v>JP1200661427:1</v>
      </c>
      <c r="M48" s="92">
        <f ca="1">_xll.BDP($B48,$M$5)</f>
        <v>-6.0999999999998562E-2</v>
      </c>
      <c r="N48" s="37">
        <f ca="1">_xll.meLWOBondCleanPrice($L48,$C$4,$M48%)</f>
        <v>109.65668331243084</v>
      </c>
      <c r="O48" s="37">
        <f ca="1">_xll.meLWOBondDirtyPrice($L48,$C$4,$M48%)</f>
        <v>109.89999999999999</v>
      </c>
      <c r="P48" s="87">
        <f ca="1">_xll.meLWOBondYield($L48,$C$4,N48)</f>
        <v>-6.1000000000026376E-4</v>
      </c>
      <c r="Q48" s="89">
        <f ca="1">_xll.meLWOBondModifiedDuration($L48,$C$4,$M48%)</f>
        <v>4.9473980081518691</v>
      </c>
      <c r="R48" s="23">
        <f ca="1">_xll.meLWOBondDV01($L48,$C$4,$M48%)</f>
        <v>543.71904109589036</v>
      </c>
      <c r="S48" s="85">
        <f t="shared" ca="1" si="6"/>
        <v>-6.0999999999998562E-2</v>
      </c>
      <c r="T48" s="22" t="str">
        <f ca="1">_xll.BDP($B48,T$6, "YAS_BOND_SPL_YLD="&amp;S48,"YAS_YLD_CONV=2")</f>
        <v>#N/A Requesting Data...</v>
      </c>
      <c r="U48" s="23">
        <f t="shared" ca="1" si="7"/>
        <v>109.65668331243084</v>
      </c>
      <c r="V48" s="23">
        <f t="shared" ca="1" si="0"/>
        <v>109.65600000000001</v>
      </c>
      <c r="W48" s="24" t="e">
        <f t="shared" ca="1" si="1"/>
        <v>#VALUE!</v>
      </c>
      <c r="X48" s="23">
        <f ca="1">_xll.meLWOBondDV01($L48,$C$4,$S48%)</f>
        <v>543.71904109589036</v>
      </c>
      <c r="Y48" s="22" t="e">
        <f ca="1">_xll.BDP($B48,Y$6, "YLD_YTM_ASK="&amp;$S48,"YAS_YLD_CONV=3")*$Y$3*0.0001</f>
        <v>#VALUE!</v>
      </c>
      <c r="Z48" s="24" t="e">
        <f t="shared" ca="1" si="8"/>
        <v>#VALUE!</v>
      </c>
      <c r="AA48" s="23">
        <f ca="1">_xll.meLWOBondModifiedDuration($L48,$C$4,$S48%)</f>
        <v>4.9473980081518691</v>
      </c>
      <c r="AB48" s="22" t="str">
        <f ca="1">_xll.BDP($B48,AB$6, "YLD_YTM_ASK="&amp;$S48,"YAS_YLD_CONV=3")</f>
        <v>#N/A Requesting Data...</v>
      </c>
      <c r="AC48" s="24" t="e">
        <f t="shared" ca="1" si="2"/>
        <v>#VALUE!</v>
      </c>
      <c r="AD48" s="23">
        <f ca="1">_xll.meLWOBondDV01Numerical($L48,$C$4,$S48%, 0.5, "CENTRAL")</f>
        <v>569.00587593744945</v>
      </c>
      <c r="AE48" s="63" t="str">
        <f ca="1">_xll.BDP($B48,AE$6, "YAS_BOND_PX="&amp;T48)</f>
        <v>#N/A Invalid Override</v>
      </c>
      <c r="AF48" s="64" t="e">
        <f ca="1">_xll.meLWOBondCompoundYield(L48,$C$4,T48)*100</f>
        <v>#VALUE!</v>
      </c>
      <c r="AG48" s="65" t="e">
        <f t="shared" ca="1" si="3"/>
        <v>#VALUE!</v>
      </c>
      <c r="AH48" s="35" t="e">
        <f t="shared" ca="1" si="4"/>
        <v>#VALUE!</v>
      </c>
      <c r="AI48" s="63" t="str">
        <f ca="1">_xll.BDP($B48,AI$6, "PX_ASK="&amp;T48)</f>
        <v>#N/A Invalid Override</v>
      </c>
      <c r="AJ48" s="35" t="e">
        <f t="shared" ca="1" si="5"/>
        <v>#VALUE!</v>
      </c>
    </row>
    <row r="49" spans="2:36">
      <c r="B49" s="15" t="s">
        <v>860</v>
      </c>
      <c r="C49" s="15" t="s">
        <v>861</v>
      </c>
      <c r="D49" s="15" t="s">
        <v>861</v>
      </c>
      <c r="E49" s="16">
        <v>37980</v>
      </c>
      <c r="F49" s="19">
        <v>37975</v>
      </c>
      <c r="G49" s="18"/>
      <c r="H49" s="16">
        <v>38158</v>
      </c>
      <c r="I49" s="16">
        <v>45097</v>
      </c>
      <c r="J49" s="17">
        <v>1.9E-2</v>
      </c>
      <c r="K49" s="16">
        <v>45280</v>
      </c>
      <c r="L49" s="20" t="str">
        <f ca="1">_xll.meLWOBondCreateFromGeneratorLVB(C49,$L$4,_xll.meUtilityLVBFromKeysValues($C$6:$K$6,C49:K49))</f>
        <v>JP12006513C3:1</v>
      </c>
      <c r="M49" s="92">
        <f ca="1">_xll.BDP($B49,$M$5)</f>
        <v>-6.1000000000001151E-2</v>
      </c>
      <c r="N49" s="37">
        <f ca="1">_xll.meLWOBondCleanPrice($L49,$C$4,$M49%)</f>
        <v>110.17558085742984</v>
      </c>
      <c r="O49" s="37">
        <f ca="1">_xll.meLWOBondDirtyPrice($L49,$C$4,$M49%)</f>
        <v>110.45</v>
      </c>
      <c r="P49" s="87">
        <f ca="1">_xll.meLWOBondYield($L49,$C$4,N49)</f>
        <v>-6.1000000000032382E-4</v>
      </c>
      <c r="Q49" s="89">
        <f ca="1">_xll.meLWOBondModifiedDuration($L49,$C$4,$M49%)</f>
        <v>4.9360703721388841</v>
      </c>
      <c r="R49" s="23">
        <f ca="1">_xll.meLWOBondDV01($L49,$C$4,$M49%)</f>
        <v>545.1889726027398</v>
      </c>
      <c r="S49" s="85">
        <f t="shared" ca="1" si="6"/>
        <v>-6.1000000000001151E-2</v>
      </c>
      <c r="T49" s="22" t="str">
        <f ca="1">_xll.BDP($B49,T$6, "YAS_BOND_SPL_YLD="&amp;S49,"YAS_YLD_CONV=2")</f>
        <v>#N/A Requesting Data...</v>
      </c>
      <c r="U49" s="23">
        <f t="shared" ca="1" si="7"/>
        <v>110.17558085742984</v>
      </c>
      <c r="V49" s="23">
        <f t="shared" ca="1" si="0"/>
        <v>110.175</v>
      </c>
      <c r="W49" s="24" t="e">
        <f t="shared" ca="1" si="1"/>
        <v>#VALUE!</v>
      </c>
      <c r="X49" s="23">
        <f ca="1">_xll.meLWOBondDV01($L49,$C$4,$S49%)</f>
        <v>545.1889726027398</v>
      </c>
      <c r="Y49" s="22" t="e">
        <f ca="1">_xll.BDP($B49,Y$6, "YLD_YTM_ASK="&amp;$S49,"YAS_YLD_CONV=3")*$Y$3*0.0001</f>
        <v>#VALUE!</v>
      </c>
      <c r="Z49" s="24" t="e">
        <f t="shared" ca="1" si="8"/>
        <v>#VALUE!</v>
      </c>
      <c r="AA49" s="23">
        <f ca="1">_xll.meLWOBondModifiedDuration($L49,$C$4,$S49%)</f>
        <v>4.9360703721388841</v>
      </c>
      <c r="AB49" s="22" t="str">
        <f ca="1">_xll.BDP($B49,AB$6, "YLD_YTM_ASK="&amp;$S49,"YAS_YLD_CONV=3")</f>
        <v>#N/A Requesting Data...</v>
      </c>
      <c r="AC49" s="24" t="e">
        <f t="shared" ca="1" si="2"/>
        <v>#VALUE!</v>
      </c>
      <c r="AD49" s="23">
        <f ca="1">_xll.meLWOBondDV01Numerical($L49,$C$4,$S49%, 0.5, "CENTRAL")</f>
        <v>571.69842274063853</v>
      </c>
      <c r="AE49" s="63" t="str">
        <f ca="1">_xll.BDP($B49,AE$6, "YAS_BOND_PX="&amp;T49)</f>
        <v>#N/A Invalid Override</v>
      </c>
      <c r="AF49" s="64" t="e">
        <f ca="1">_xll.meLWOBondCompoundYield(L49,$C$4,T49)*100</f>
        <v>#VALUE!</v>
      </c>
      <c r="AG49" s="65" t="e">
        <f t="shared" ca="1" si="3"/>
        <v>#VALUE!</v>
      </c>
      <c r="AH49" s="35" t="e">
        <f t="shared" ca="1" si="4"/>
        <v>#VALUE!</v>
      </c>
      <c r="AI49" s="63" t="str">
        <f ca="1">_xll.BDP($B49,AI$6, "PX_ASK="&amp;T49)</f>
        <v>#N/A Invalid Override</v>
      </c>
      <c r="AJ49" s="35" t="e">
        <f t="shared" ca="1" si="5"/>
        <v>#VALUE!</v>
      </c>
    </row>
    <row r="50" spans="2:36">
      <c r="B50" s="15" t="s">
        <v>862</v>
      </c>
      <c r="C50" s="15" t="s">
        <v>863</v>
      </c>
      <c r="D50" s="15" t="s">
        <v>863</v>
      </c>
      <c r="E50" s="16">
        <v>41718</v>
      </c>
      <c r="F50" s="19">
        <v>41718</v>
      </c>
      <c r="G50" s="18"/>
      <c r="H50" s="16">
        <v>41902</v>
      </c>
      <c r="I50" s="16">
        <v>45189</v>
      </c>
      <c r="J50" s="17">
        <v>6.0000000000000001E-3</v>
      </c>
      <c r="K50" s="16">
        <v>45371</v>
      </c>
      <c r="L50" s="20" t="str">
        <f ca="1">_xll.meLWOBondCreateFromGeneratorLVB(C50,$L$4,_xll.meUtilityLVBFromKeysValues($C$6:$K$6,C50:K50))</f>
        <v>JP1103331E36:1</v>
      </c>
      <c r="M50" s="92">
        <f ca="1">_xll.BDP($B50,$M$5)</f>
        <v>-4.7000000000001152E-2</v>
      </c>
      <c r="N50" s="37">
        <f ca="1">_xll.meLWOBondCleanPrice($L50,$C$4,$M50%)</f>
        <v>103.51516138337443</v>
      </c>
      <c r="O50" s="37">
        <f ca="1">_xll.meLWOBondDirtyPrice($L50,$C$4,$M50%)</f>
        <v>103.3</v>
      </c>
      <c r="P50" s="87">
        <f ca="1">_xll.meLWOBondYield($L50,$C$4,N50)</f>
        <v>-4.6999999999921898E-4</v>
      </c>
      <c r="Q50" s="89">
        <f ca="1">_xll.meLWOBondModifiedDuration($L50,$C$4,$M50%)</f>
        <v>5.3393136097813265</v>
      </c>
      <c r="R50" s="23">
        <f ca="1">_xll.meLWOBondDV01($L50,$C$4,$M50%)</f>
        <v>551.55109589041103</v>
      </c>
      <c r="S50" s="85">
        <f t="shared" ca="1" si="6"/>
        <v>-4.7000000000001152E-2</v>
      </c>
      <c r="T50" s="22" t="str">
        <f ca="1">_xll.BDP($B50,T$6, "YAS_BOND_SPL_YLD="&amp;S50,"YAS_YLD_CONV=2")</f>
        <v>#N/A Requesting Data...</v>
      </c>
      <c r="U50" s="23">
        <f t="shared" ca="1" si="7"/>
        <v>103.51516138337443</v>
      </c>
      <c r="V50" s="23">
        <f t="shared" ca="1" si="0"/>
        <v>103.515</v>
      </c>
      <c r="W50" s="24" t="e">
        <f t="shared" ca="1" si="1"/>
        <v>#VALUE!</v>
      </c>
      <c r="X50" s="23">
        <f ca="1">_xll.meLWOBondDV01($L50,$C$4,$S50%)</f>
        <v>551.55109589041103</v>
      </c>
      <c r="Y50" s="22" t="e">
        <f ca="1">_xll.BDP($B50,Y$6, "YLD_YTM_ASK="&amp;$S50,"YAS_YLD_CONV=3")*$Y$3*0.0001</f>
        <v>#VALUE!</v>
      </c>
      <c r="Z50" s="24" t="e">
        <f t="shared" ca="1" si="8"/>
        <v>#VALUE!</v>
      </c>
      <c r="AA50" s="23">
        <f ca="1">_xll.meLWOBondModifiedDuration($L50,$C$4,$S50%)</f>
        <v>5.3393136097813265</v>
      </c>
      <c r="AB50" s="22" t="str">
        <f ca="1">_xll.BDP($B50,AB$6, "YLD_YTM_ASK="&amp;$S50,"YAS_YLD_CONV=3")</f>
        <v>#N/A Requesting Data...</v>
      </c>
      <c r="AC50" s="24" t="e">
        <f t="shared" ca="1" si="2"/>
        <v>#VALUE!</v>
      </c>
      <c r="AD50" s="23">
        <f ca="1">_xll.meLWOBondDV01Numerical($L50,$C$4,$S50%, 0.5, "CENTRAL")</f>
        <v>562.399574559862</v>
      </c>
      <c r="AE50" s="63" t="str">
        <f ca="1">_xll.BDP($B50,AE$6, "YAS_BOND_PX="&amp;T50)</f>
        <v>#N/A Invalid Override</v>
      </c>
      <c r="AF50" s="64" t="e">
        <f ca="1">_xll.meLWOBondCompoundYield(L50,$C$4,T50)*100</f>
        <v>#VALUE!</v>
      </c>
      <c r="AG50" s="65" t="e">
        <f t="shared" ca="1" si="3"/>
        <v>#VALUE!</v>
      </c>
      <c r="AH50" s="35" t="e">
        <f t="shared" ca="1" si="4"/>
        <v>#VALUE!</v>
      </c>
      <c r="AI50" s="63" t="str">
        <f ca="1">_xll.BDP($B50,AI$6, "PX_ASK="&amp;T50)</f>
        <v>#N/A Invalid Override</v>
      </c>
      <c r="AJ50" s="35" t="e">
        <f t="shared" ca="1" si="5"/>
        <v>#VALUE!</v>
      </c>
    </row>
    <row r="51" spans="2:36">
      <c r="B51" s="15" t="s">
        <v>864</v>
      </c>
      <c r="C51" s="15" t="s">
        <v>865</v>
      </c>
      <c r="D51" s="15" t="s">
        <v>865</v>
      </c>
      <c r="E51" s="16">
        <v>38138</v>
      </c>
      <c r="F51" s="19">
        <v>38066</v>
      </c>
      <c r="G51" s="18"/>
      <c r="H51" s="16">
        <v>38250</v>
      </c>
      <c r="I51" s="16">
        <v>45189</v>
      </c>
      <c r="J51" s="17">
        <v>2.1000000000000001E-2</v>
      </c>
      <c r="K51" s="16">
        <v>45371</v>
      </c>
      <c r="L51" s="20" t="str">
        <f ca="1">_xll.meLWOBondCreateFromGeneratorLVB(C51,$L$4,_xll.meUtilityLVBFromKeysValues($C$6:$K$6,C51:K51))</f>
        <v>JP1200691457:1</v>
      </c>
      <c r="M51" s="92">
        <f ca="1">_xll.BDP($B51,$M$5)</f>
        <v>-5.0000000000000919E-2</v>
      </c>
      <c r="N51" s="37">
        <f ca="1">_xll.meLWOBondCleanPrice($L51,$C$4,$M51%)</f>
        <v>111.68288870391279</v>
      </c>
      <c r="O51" s="37">
        <f ca="1">_xll.meLWOBondDirtyPrice($L51,$C$4,$M51%)</f>
        <v>111.55</v>
      </c>
      <c r="P51" s="87">
        <f ca="1">_xll.meLWOBondYield($L51,$C$4,N51)</f>
        <v>-5.000000000003269E-4</v>
      </c>
      <c r="Q51" s="89">
        <f ca="1">_xll.meLWOBondModifiedDuration($L51,$C$4,$M51%)</f>
        <v>5.1603255496951439</v>
      </c>
      <c r="R51" s="23">
        <f ca="1">_xll.meLWOBondDV01($L51,$C$4,$M51%)</f>
        <v>575.63431506849327</v>
      </c>
      <c r="S51" s="85">
        <f t="shared" ca="1" si="6"/>
        <v>-5.0000000000000919E-2</v>
      </c>
      <c r="T51" s="22" t="str">
        <f ca="1">_xll.BDP($B51,T$6, "YAS_BOND_SPL_YLD="&amp;S51,"YAS_YLD_CONV=2")</f>
        <v>#N/A Requesting Data...</v>
      </c>
      <c r="U51" s="23">
        <f t="shared" ca="1" si="7"/>
        <v>111.68288870391279</v>
      </c>
      <c r="V51" s="23">
        <f t="shared" ca="1" si="0"/>
        <v>111.682</v>
      </c>
      <c r="W51" s="24" t="e">
        <f t="shared" ca="1" si="1"/>
        <v>#VALUE!</v>
      </c>
      <c r="X51" s="23">
        <f ca="1">_xll.meLWOBondDV01($L51,$C$4,$S51%)</f>
        <v>575.63431506849327</v>
      </c>
      <c r="Y51" s="22" t="e">
        <f ca="1">_xll.BDP($B51,Y$6, "YLD_YTM_ASK="&amp;$S51,"YAS_YLD_CONV=3")*$Y$3*0.0001</f>
        <v>#VALUE!</v>
      </c>
      <c r="Z51" s="24" t="e">
        <f t="shared" ca="1" si="8"/>
        <v>#VALUE!</v>
      </c>
      <c r="AA51" s="23">
        <f ca="1">_xll.meLWOBondModifiedDuration($L51,$C$4,$S51%)</f>
        <v>5.1603255496951439</v>
      </c>
      <c r="AB51" s="22" t="str">
        <f ca="1">_xll.BDP($B51,AB$6, "YLD_YTM_ASK="&amp;$S51,"YAS_YLD_CONV=3")</f>
        <v>#N/A Requesting Data...</v>
      </c>
      <c r="AC51" s="24" t="e">
        <f t="shared" ca="1" si="2"/>
        <v>#VALUE!</v>
      </c>
      <c r="AD51" s="23">
        <f ca="1">_xll.meLWOBondDV01Numerical($L51,$C$4,$S51%, 0.5, "CENTRAL")</f>
        <v>606.8738861283407</v>
      </c>
      <c r="AE51" s="63" t="str">
        <f ca="1">_xll.BDP($B51,AE$6, "YAS_BOND_PX="&amp;T51)</f>
        <v>#N/A Invalid Override</v>
      </c>
      <c r="AF51" s="64" t="e">
        <f ca="1">_xll.meLWOBondCompoundYield(L51,$C$4,T51)*100</f>
        <v>#VALUE!</v>
      </c>
      <c r="AG51" s="65" t="e">
        <f t="shared" ca="1" si="3"/>
        <v>#VALUE!</v>
      </c>
      <c r="AH51" s="35" t="e">
        <f t="shared" ca="1" si="4"/>
        <v>#VALUE!</v>
      </c>
      <c r="AI51" s="63" t="str">
        <f ca="1">_xll.BDP($B51,AI$6, "PX_ASK="&amp;T51)</f>
        <v>#N/A Invalid Override</v>
      </c>
      <c r="AJ51" s="35" t="e">
        <f t="shared" ca="1" si="5"/>
        <v>#VALUE!</v>
      </c>
    </row>
    <row r="52" spans="2:36">
      <c r="B52" s="15" t="s">
        <v>866</v>
      </c>
      <c r="C52" s="15" t="s">
        <v>867</v>
      </c>
      <c r="D52" s="15" t="s">
        <v>867</v>
      </c>
      <c r="E52" s="16">
        <v>38107</v>
      </c>
      <c r="F52" s="19">
        <v>38066</v>
      </c>
      <c r="G52" s="18"/>
      <c r="H52" s="16">
        <v>38250</v>
      </c>
      <c r="I52" s="16">
        <v>45189</v>
      </c>
      <c r="J52" s="17">
        <v>2.2000000000000002E-2</v>
      </c>
      <c r="K52" s="16">
        <v>45371</v>
      </c>
      <c r="L52" s="20" t="str">
        <f ca="1">_xll.meLWOBondCreateFromGeneratorLVB(C52,$L$4,_xll.meUtilityLVBFromKeysValues($C$6:$K$6,C52:K52))</f>
        <v>JP1200681441:1</v>
      </c>
      <c r="M52" s="92">
        <f ca="1">_xll.BDP($B52,$M$5)</f>
        <v>-5.100000000000017E-2</v>
      </c>
      <c r="N52" s="37">
        <f ca="1">_xll.meLWOBondCleanPrice($L52,$C$4,$M52%)</f>
        <v>112.23237747328082</v>
      </c>
      <c r="O52" s="37">
        <f ca="1">_xll.meLWOBondDirtyPrice($L52,$C$4,$M52%)</f>
        <v>112.1</v>
      </c>
      <c r="P52" s="87">
        <f ca="1">_xll.meLWOBondYield($L52,$C$4,N52)</f>
        <v>-5.1000000000031988E-4</v>
      </c>
      <c r="Q52" s="89">
        <f ca="1">_xll.meLWOBondModifiedDuration($L52,$C$4,$M52%)</f>
        <v>5.1493297325040031</v>
      </c>
      <c r="R52" s="23">
        <f ca="1">_xll.meLWOBondDV01($L52,$C$4,$M52%)</f>
        <v>577.23986301369871</v>
      </c>
      <c r="S52" s="85">
        <f t="shared" ca="1" si="6"/>
        <v>-5.100000000000017E-2</v>
      </c>
      <c r="T52" s="22" t="str">
        <f ca="1">_xll.BDP($B52,T$6, "YAS_BOND_SPL_YLD="&amp;S52,"YAS_YLD_CONV=2")</f>
        <v>#N/A Requesting Data...</v>
      </c>
      <c r="U52" s="23">
        <f t="shared" ca="1" si="7"/>
        <v>112.23237747328082</v>
      </c>
      <c r="V52" s="23">
        <f t="shared" ca="1" si="0"/>
        <v>112.232</v>
      </c>
      <c r="W52" s="24" t="e">
        <f t="shared" ca="1" si="1"/>
        <v>#VALUE!</v>
      </c>
      <c r="X52" s="23">
        <f ca="1">_xll.meLWOBondDV01($L52,$C$4,$S52%)</f>
        <v>577.23986301369871</v>
      </c>
      <c r="Y52" s="22" t="e">
        <f ca="1">_xll.BDP($B52,Y$6, "YLD_YTM_ASK="&amp;$S52,"YAS_YLD_CONV=3")*$Y$3*0.0001</f>
        <v>#VALUE!</v>
      </c>
      <c r="Z52" s="24" t="e">
        <f t="shared" ca="1" si="8"/>
        <v>#VALUE!</v>
      </c>
      <c r="AA52" s="23">
        <f ca="1">_xll.meLWOBondModifiedDuration($L52,$C$4,$S52%)</f>
        <v>5.1493297325040031</v>
      </c>
      <c r="AB52" s="22" t="str">
        <f ca="1">_xll.BDP($B52,AB$6, "YLD_YTM_ASK="&amp;$S52,"YAS_YLD_CONV=3")</f>
        <v>#N/A Requesting Data...</v>
      </c>
      <c r="AC52" s="24" t="e">
        <f t="shared" ca="1" si="2"/>
        <v>#VALUE!</v>
      </c>
      <c r="AD52" s="23">
        <f ca="1">_xll.meLWOBondDV01Numerical($L52,$C$4,$S52%, 0.5, "CENTRAL")</f>
        <v>609.89289530468227</v>
      </c>
      <c r="AE52" s="63" t="str">
        <f ca="1">_xll.BDP($B52,AE$6, "YAS_BOND_PX="&amp;T52)</f>
        <v>#N/A Invalid Override</v>
      </c>
      <c r="AF52" s="64" t="e">
        <f ca="1">_xll.meLWOBondCompoundYield(L52,$C$4,T52)*100</f>
        <v>#VALUE!</v>
      </c>
      <c r="AG52" s="65" t="e">
        <f t="shared" ca="1" si="3"/>
        <v>#VALUE!</v>
      </c>
      <c r="AH52" s="35" t="e">
        <f t="shared" ca="1" si="4"/>
        <v>#VALUE!</v>
      </c>
      <c r="AI52" s="63" t="str">
        <f ca="1">_xll.BDP($B52,AI$6, "PX_ASK="&amp;T52)</f>
        <v>#N/A Invalid Override</v>
      </c>
      <c r="AJ52" s="35" t="e">
        <f t="shared" ca="1" si="5"/>
        <v>#VALUE!</v>
      </c>
    </row>
    <row r="53" spans="2:36">
      <c r="B53" s="15" t="s">
        <v>868</v>
      </c>
      <c r="C53" s="15" t="s">
        <v>869</v>
      </c>
      <c r="D53" s="15" t="s">
        <v>869</v>
      </c>
      <c r="E53" s="16">
        <v>38071</v>
      </c>
      <c r="F53" s="19">
        <v>38066</v>
      </c>
      <c r="G53" s="18"/>
      <c r="H53" s="16">
        <v>38250</v>
      </c>
      <c r="I53" s="16">
        <v>45189</v>
      </c>
      <c r="J53" s="17">
        <v>1.9E-2</v>
      </c>
      <c r="K53" s="16">
        <v>45371</v>
      </c>
      <c r="L53" s="20" t="str">
        <f ca="1">_xll.meLWOBondCreateFromGeneratorLVB(C53,$L$4,_xll.meUtilityLVBFromKeysValues($C$6:$K$6,C53:K53))</f>
        <v>JP1200671434:1</v>
      </c>
      <c r="M53" s="92">
        <f ca="1">_xll.BDP($B53,$M$5)</f>
        <v>-5.0999999999998831E-2</v>
      </c>
      <c r="N53" s="37">
        <f ca="1">_xll.meLWOBondCleanPrice($L53,$C$4,$M53%)</f>
        <v>110.60211836977825</v>
      </c>
      <c r="O53" s="37">
        <f ca="1">_xll.meLWOBondDirtyPrice($L53,$C$4,$M53%)</f>
        <v>110.45</v>
      </c>
      <c r="P53" s="87">
        <f ca="1">_xll.meLWOBondYield($L53,$C$4,N53)</f>
        <v>-5.099999999995643E-4</v>
      </c>
      <c r="Q53" s="89">
        <f ca="1">_xll.meLWOBondModifiedDuration($L53,$C$4,$M53%)</f>
        <v>5.1826457146046367</v>
      </c>
      <c r="R53" s="23">
        <f ca="1">_xll.meLWOBondDV01($L53,$C$4,$M53%)</f>
        <v>572.42321917808215</v>
      </c>
      <c r="S53" s="85">
        <f t="shared" ca="1" si="6"/>
        <v>-5.0999999999998831E-2</v>
      </c>
      <c r="T53" s="22" t="str">
        <f ca="1">_xll.BDP($B53,T$6, "YAS_BOND_SPL_YLD="&amp;S53,"YAS_YLD_CONV=2")</f>
        <v>#N/A Requesting Data...</v>
      </c>
      <c r="U53" s="23">
        <f t="shared" ca="1" si="7"/>
        <v>110.60211836977825</v>
      </c>
      <c r="V53" s="23">
        <f t="shared" ca="1" si="0"/>
        <v>110.602</v>
      </c>
      <c r="W53" s="24" t="e">
        <f t="shared" ca="1" si="1"/>
        <v>#VALUE!</v>
      </c>
      <c r="X53" s="23">
        <f ca="1">_xll.meLWOBondDV01($L53,$C$4,$S53%)</f>
        <v>572.42321917808215</v>
      </c>
      <c r="Y53" s="22" t="e">
        <f ca="1">_xll.BDP($B53,Y$6, "YLD_YTM_ASK="&amp;$S53,"YAS_YLD_CONV=3")*$Y$3*0.0001</f>
        <v>#VALUE!</v>
      </c>
      <c r="Z53" s="24" t="e">
        <f t="shared" ca="1" si="8"/>
        <v>#VALUE!</v>
      </c>
      <c r="AA53" s="23">
        <f ca="1">_xll.meLWOBondModifiedDuration($L53,$C$4,$S53%)</f>
        <v>5.1826457146046367</v>
      </c>
      <c r="AB53" s="22" t="str">
        <f ca="1">_xll.BDP($B53,AB$6, "YLD_YTM_ASK="&amp;$S53,"YAS_YLD_CONV=3")</f>
        <v>#N/A Requesting Data...</v>
      </c>
      <c r="AC53" s="24" t="e">
        <f t="shared" ca="1" si="2"/>
        <v>#VALUE!</v>
      </c>
      <c r="AD53" s="23">
        <f ca="1">_xll.meLWOBondDV01Numerical($L53,$C$4,$S53%, 0.5, "CENTRAL")</f>
        <v>601.0337455019511</v>
      </c>
      <c r="AE53" s="63" t="str">
        <f ca="1">_xll.BDP($B53,AE$6, "YAS_BOND_PX="&amp;T53)</f>
        <v>#N/A Invalid Override</v>
      </c>
      <c r="AF53" s="64" t="e">
        <f ca="1">_xll.meLWOBondCompoundYield(L53,$C$4,T53)*100</f>
        <v>#VALUE!</v>
      </c>
      <c r="AG53" s="65" t="e">
        <f t="shared" ca="1" si="3"/>
        <v>#VALUE!</v>
      </c>
      <c r="AH53" s="35" t="e">
        <f t="shared" ca="1" si="4"/>
        <v>#VALUE!</v>
      </c>
      <c r="AI53" s="63" t="str">
        <f ca="1">_xll.BDP($B53,AI$6, "PX_ASK="&amp;T53)</f>
        <v>#N/A Invalid Override</v>
      </c>
      <c r="AJ53" s="35" t="e">
        <f t="shared" ca="1" si="5"/>
        <v>#VALUE!</v>
      </c>
    </row>
    <row r="54" spans="2:36">
      <c r="B54" s="15" t="s">
        <v>870</v>
      </c>
      <c r="C54" s="15" t="s">
        <v>871</v>
      </c>
      <c r="D54" s="15" t="s">
        <v>871</v>
      </c>
      <c r="E54" s="16">
        <v>41810</v>
      </c>
      <c r="F54" s="19">
        <v>41810</v>
      </c>
      <c r="G54" s="18"/>
      <c r="H54" s="16">
        <v>41993</v>
      </c>
      <c r="I54" s="16">
        <v>45280</v>
      </c>
      <c r="J54" s="17">
        <v>6.0000000000000001E-3</v>
      </c>
      <c r="K54" s="16">
        <v>45463</v>
      </c>
      <c r="L54" s="20" t="str">
        <f ca="1">_xll.meLWOBondCreateFromGeneratorLVB(C54,$L$4,_xll.meUtilityLVBFromKeysValues($C$6:$K$6,C54:K54))</f>
        <v>JP1103341E67:1</v>
      </c>
      <c r="M54" s="92">
        <f ca="1">_xll.BDP($B54,$M$5)</f>
        <v>-3.7000000000002448E-2</v>
      </c>
      <c r="N54" s="37">
        <f ca="1">_xll.meLWOBondCleanPrice($L54,$C$4,$M54%)</f>
        <v>103.62017175217807</v>
      </c>
      <c r="O54" s="37">
        <f ca="1">_xll.meLWOBondDirtyPrice($L54,$C$4,$M54%)</f>
        <v>103.60000000000001</v>
      </c>
      <c r="P54" s="87">
        <f ca="1">_xll.meLWOBondYield($L54,$C$4,N54)</f>
        <v>-3.6999999999988545E-4</v>
      </c>
      <c r="Q54" s="89">
        <f ca="1">_xll.meLWOBondModifiedDuration($L54,$C$4,$M54%)</f>
        <v>5.5770428941661807</v>
      </c>
      <c r="R54" s="23">
        <f ca="1">_xll.meLWOBondDV01($L54,$C$4,$M54%)</f>
        <v>577.78164383561636</v>
      </c>
      <c r="S54" s="85">
        <f t="shared" ca="1" si="6"/>
        <v>-3.7000000000002448E-2</v>
      </c>
      <c r="T54" s="22" t="str">
        <f ca="1">_xll.BDP($B54,T$6, "YAS_BOND_SPL_YLD="&amp;S54,"YAS_YLD_CONV=2")</f>
        <v>#N/A Requesting Data...</v>
      </c>
      <c r="U54" s="23">
        <f t="shared" ca="1" si="7"/>
        <v>103.62017175217807</v>
      </c>
      <c r="V54" s="23">
        <f t="shared" ca="1" si="0"/>
        <v>103.62</v>
      </c>
      <c r="W54" s="24" t="e">
        <f t="shared" ca="1" si="1"/>
        <v>#VALUE!</v>
      </c>
      <c r="X54" s="23">
        <f ca="1">_xll.meLWOBondDV01($L54,$C$4,$S54%)</f>
        <v>577.78164383561636</v>
      </c>
      <c r="Y54" s="22" t="e">
        <f ca="1">_xll.BDP($B54,Y$6, "YLD_YTM_ASK="&amp;$S54,"YAS_YLD_CONV=3")*$Y$3*0.0001</f>
        <v>#VALUE!</v>
      </c>
      <c r="Z54" s="24" t="e">
        <f t="shared" ca="1" si="8"/>
        <v>#VALUE!</v>
      </c>
      <c r="AA54" s="23">
        <f ca="1">_xll.meLWOBondModifiedDuration($L54,$C$4,$S54%)</f>
        <v>5.5770428941661807</v>
      </c>
      <c r="AB54" s="22" t="str">
        <f ca="1">_xll.BDP($B54,AB$6, "YLD_YTM_ASK="&amp;$S54,"YAS_YLD_CONV=3")</f>
        <v>#N/A Requesting Data...</v>
      </c>
      <c r="AC54" s="24" t="e">
        <f t="shared" ca="1" si="2"/>
        <v>#VALUE!</v>
      </c>
      <c r="AD54" s="23">
        <f ca="1">_xll.meLWOBondDV01Numerical($L54,$C$4,$S54%, 0.5, "CENTRAL")</f>
        <v>588.88987287687667</v>
      </c>
      <c r="AE54" s="63" t="str">
        <f ca="1">_xll.BDP($B54,AE$6, "YAS_BOND_PX="&amp;T54)</f>
        <v>#N/A Invalid Override</v>
      </c>
      <c r="AF54" s="64" t="e">
        <f ca="1">_xll.meLWOBondCompoundYield(L54,$C$4,T54)*100</f>
        <v>#VALUE!</v>
      </c>
      <c r="AG54" s="65" t="e">
        <f t="shared" ca="1" si="3"/>
        <v>#VALUE!</v>
      </c>
      <c r="AH54" s="35" t="e">
        <f t="shared" ca="1" si="4"/>
        <v>#VALUE!</v>
      </c>
      <c r="AI54" s="63" t="str">
        <f ca="1">_xll.BDP($B54,AI$6, "PX_ASK="&amp;T54)</f>
        <v>#N/A Invalid Override</v>
      </c>
      <c r="AJ54" s="35" t="e">
        <f t="shared" ca="1" si="5"/>
        <v>#VALUE!</v>
      </c>
    </row>
    <row r="55" spans="2:36">
      <c r="B55" s="15" t="s">
        <v>872</v>
      </c>
      <c r="C55" s="15" t="s">
        <v>873</v>
      </c>
      <c r="D55" s="15" t="s">
        <v>873</v>
      </c>
      <c r="E55" s="16">
        <v>38163</v>
      </c>
      <c r="F55" s="19">
        <v>38158</v>
      </c>
      <c r="G55" s="18"/>
      <c r="H55" s="16">
        <v>38341</v>
      </c>
      <c r="I55" s="16">
        <v>45280</v>
      </c>
      <c r="J55" s="17">
        <v>2.4E-2</v>
      </c>
      <c r="K55" s="16">
        <v>45463</v>
      </c>
      <c r="L55" s="20" t="str">
        <f ca="1">_xll.meLWOBondCreateFromGeneratorLVB(C55,$L$4,_xll.meUtilityLVBFromKeysValues($C$6:$K$6,C55:K55))</f>
        <v>JP1200701462:1</v>
      </c>
      <c r="M55" s="92">
        <f ca="1">_xll.BDP($B55,$M$5)</f>
        <v>-3.7000000000000817E-2</v>
      </c>
      <c r="N55" s="37">
        <f ca="1">_xll.meLWOBondCleanPrice($L55,$C$4,$M55%)</f>
        <v>113.84985645221028</v>
      </c>
      <c r="O55" s="37">
        <f ca="1">_xll.meLWOBondDirtyPrice($L55,$C$4,$M55%)</f>
        <v>114.39999999999999</v>
      </c>
      <c r="P55" s="87">
        <f ca="1">_xll.meLWOBondYield($L55,$C$4,N55)</f>
        <v>-3.6999999999959776E-4</v>
      </c>
      <c r="Q55" s="89">
        <f ca="1">_xll.meLWOBondModifiedDuration($L55,$C$4,$M55%)</f>
        <v>5.3264488935721817</v>
      </c>
      <c r="R55" s="23">
        <f ca="1">_xll.meLWOBondDV01($L55,$C$4,$M55%)</f>
        <v>609.34575342465757</v>
      </c>
      <c r="S55" s="85">
        <f t="shared" ca="1" si="6"/>
        <v>-3.7000000000000817E-2</v>
      </c>
      <c r="T55" s="22" t="str">
        <f ca="1">_xll.BDP($B55,T$6, "YAS_BOND_SPL_YLD="&amp;S55,"YAS_YLD_CONV=2")</f>
        <v>#N/A Requesting Data...</v>
      </c>
      <c r="U55" s="23">
        <f t="shared" ca="1" si="7"/>
        <v>113.84985645221028</v>
      </c>
      <c r="V55" s="23">
        <f t="shared" ca="1" si="0"/>
        <v>113.849</v>
      </c>
      <c r="W55" s="24" t="e">
        <f t="shared" ca="1" si="1"/>
        <v>#VALUE!</v>
      </c>
      <c r="X55" s="23">
        <f ca="1">_xll.meLWOBondDV01($L55,$C$4,$S55%)</f>
        <v>609.34575342465757</v>
      </c>
      <c r="Y55" s="22" t="e">
        <f ca="1">_xll.BDP($B55,Y$6, "YLD_YTM_ASK="&amp;$S55,"YAS_YLD_CONV=3")*$Y$3*0.0001</f>
        <v>#VALUE!</v>
      </c>
      <c r="Z55" s="24" t="e">
        <f t="shared" ca="1" si="8"/>
        <v>#VALUE!</v>
      </c>
      <c r="AA55" s="23">
        <f ca="1">_xll.meLWOBondModifiedDuration($L55,$C$4,$S55%)</f>
        <v>5.3264488935721817</v>
      </c>
      <c r="AB55" s="22" t="str">
        <f ca="1">_xll.BDP($B55,AB$6, "YLD_YTM_ASK="&amp;$S55,"YAS_YLD_CONV=3")</f>
        <v>#N/A Requesting Data...</v>
      </c>
      <c r="AC55" s="24" t="e">
        <f t="shared" ca="1" si="2"/>
        <v>#VALUE!</v>
      </c>
      <c r="AD55" s="23">
        <f ca="1">_xll.meLWOBondDV01Numerical($L55,$C$4,$S55%, 0.5, "CENTRAL")</f>
        <v>647.02679371677618</v>
      </c>
      <c r="AE55" s="63" t="str">
        <f ca="1">_xll.BDP($B55,AE$6, "YAS_BOND_PX="&amp;T55)</f>
        <v>#N/A Invalid Override</v>
      </c>
      <c r="AF55" s="64" t="e">
        <f ca="1">_xll.meLWOBondCompoundYield(L55,$C$4,T55)*100</f>
        <v>#VALUE!</v>
      </c>
      <c r="AG55" s="65" t="e">
        <f t="shared" ca="1" si="3"/>
        <v>#VALUE!</v>
      </c>
      <c r="AH55" s="35" t="e">
        <f t="shared" ca="1" si="4"/>
        <v>#VALUE!</v>
      </c>
      <c r="AI55" s="63" t="str">
        <f ca="1">_xll.BDP($B55,AI$6, "PX_ASK="&amp;T55)</f>
        <v>#N/A Invalid Override</v>
      </c>
      <c r="AJ55" s="35" t="e">
        <f t="shared" ca="1" si="5"/>
        <v>#VALUE!</v>
      </c>
    </row>
    <row r="56" spans="2:36">
      <c r="B56" s="15" t="s">
        <v>874</v>
      </c>
      <c r="C56" s="15" t="s">
        <v>875</v>
      </c>
      <c r="D56" s="15" t="s">
        <v>875</v>
      </c>
      <c r="E56" s="16">
        <v>38229</v>
      </c>
      <c r="F56" s="19">
        <v>38158</v>
      </c>
      <c r="G56" s="18"/>
      <c r="H56" s="16">
        <v>38341</v>
      </c>
      <c r="I56" s="16">
        <v>45280</v>
      </c>
      <c r="J56" s="17">
        <v>2.2000000000000002E-2</v>
      </c>
      <c r="K56" s="16">
        <v>45463</v>
      </c>
      <c r="L56" s="20" t="str">
        <f ca="1">_xll.meLWOBondCreateFromGeneratorLVB(C56,$L$4,_xll.meUtilityLVBFromKeysValues($C$6:$K$6,C56:K56))</f>
        <v>JP1200711487:1</v>
      </c>
      <c r="M56" s="92">
        <f ca="1">_xll.BDP($B56,$M$5)</f>
        <v>-3.8000000000000207E-2</v>
      </c>
      <c r="N56" s="37">
        <f ca="1">_xll.meLWOBondCleanPrice($L56,$C$4,$M56%)</f>
        <v>112.71963085377968</v>
      </c>
      <c r="O56" s="37">
        <f ca="1">_xll.meLWOBondDirtyPrice($L56,$C$4,$M56%)</f>
        <v>113.19999999999999</v>
      </c>
      <c r="P56" s="87">
        <f ca="1">_xll.meLWOBondYield($L56,$C$4,N56)</f>
        <v>-3.8000000000051035E-4</v>
      </c>
      <c r="Q56" s="89">
        <f ca="1">_xll.meLWOBondModifiedDuration($L56,$C$4,$M56%)</f>
        <v>5.3519313616341542</v>
      </c>
      <c r="R56" s="23">
        <f ca="1">_xll.meLWOBondDV01($L56,$C$4,$M56%)</f>
        <v>605.83863013698624</v>
      </c>
      <c r="S56" s="85">
        <f t="shared" ca="1" si="6"/>
        <v>-3.8000000000000207E-2</v>
      </c>
      <c r="T56" s="22" t="str">
        <f ca="1">_xll.BDP($B56,T$6, "YAS_BOND_SPL_YLD="&amp;S56,"YAS_YLD_CONV=2")</f>
        <v>#N/A Requesting Data...</v>
      </c>
      <c r="U56" s="23">
        <f t="shared" ca="1" si="7"/>
        <v>112.71963085377968</v>
      </c>
      <c r="V56" s="23">
        <f t="shared" ca="1" si="0"/>
        <v>112.71899999999999</v>
      </c>
      <c r="W56" s="24" t="e">
        <f t="shared" ca="1" si="1"/>
        <v>#VALUE!</v>
      </c>
      <c r="X56" s="23">
        <f ca="1">_xll.meLWOBondDV01($L56,$C$4,$S56%)</f>
        <v>605.83863013698624</v>
      </c>
      <c r="Y56" s="22" t="e">
        <f ca="1">_xll.BDP($B56,Y$6, "YLD_YTM_ASK="&amp;$S56,"YAS_YLD_CONV=3")*$Y$3*0.0001</f>
        <v>#VALUE!</v>
      </c>
      <c r="Z56" s="24" t="e">
        <f t="shared" ca="1" si="8"/>
        <v>#VALUE!</v>
      </c>
      <c r="AA56" s="23">
        <f ca="1">_xll.meLWOBondModifiedDuration($L56,$C$4,$S56%)</f>
        <v>5.3519313616341542</v>
      </c>
      <c r="AB56" s="22" t="str">
        <f ca="1">_xll.BDP($B56,AB$6, "YLD_YTM_ASK="&amp;$S56,"YAS_YLD_CONV=3")</f>
        <v>#N/A Requesting Data...</v>
      </c>
      <c r="AC56" s="24" t="e">
        <f t="shared" ca="1" si="2"/>
        <v>#VALUE!</v>
      </c>
      <c r="AD56" s="23">
        <f ca="1">_xll.meLWOBondDV01Numerical($L56,$C$4,$S56%, 0.5, "CENTRAL")</f>
        <v>640.63995094599602</v>
      </c>
      <c r="AE56" s="63" t="str">
        <f ca="1">_xll.BDP($B56,AE$6, "YAS_BOND_PX="&amp;T56)</f>
        <v>#N/A Invalid Override</v>
      </c>
      <c r="AF56" s="64" t="e">
        <f ca="1">_xll.meLWOBondCompoundYield(L56,$C$4,T56)*100</f>
        <v>#VALUE!</v>
      </c>
      <c r="AG56" s="65" t="e">
        <f t="shared" ca="1" si="3"/>
        <v>#VALUE!</v>
      </c>
      <c r="AH56" s="35" t="e">
        <f t="shared" ca="1" si="4"/>
        <v>#VALUE!</v>
      </c>
      <c r="AI56" s="63" t="str">
        <f ca="1">_xll.BDP($B56,AI$6, "PX_ASK="&amp;T56)</f>
        <v>#N/A Invalid Override</v>
      </c>
      <c r="AJ56" s="35" t="e">
        <f t="shared" ca="1" si="5"/>
        <v>#VALUE!</v>
      </c>
    </row>
    <row r="57" spans="2:36">
      <c r="B57" s="15" t="s">
        <v>876</v>
      </c>
      <c r="C57" s="15" t="s">
        <v>877</v>
      </c>
      <c r="D57" s="15" t="s">
        <v>877</v>
      </c>
      <c r="E57" s="16">
        <v>41904</v>
      </c>
      <c r="F57" s="19">
        <v>41902</v>
      </c>
      <c r="G57" s="18"/>
      <c r="H57" s="16">
        <v>42083</v>
      </c>
      <c r="I57" s="16">
        <v>45371</v>
      </c>
      <c r="J57" s="17">
        <v>5.0000000000000001E-3</v>
      </c>
      <c r="K57" s="16">
        <v>45555</v>
      </c>
      <c r="L57" s="20" t="str">
        <f ca="1">_xll.meLWOBondCreateFromGeneratorLVB(C57,$L$4,_xll.meUtilityLVBFromKeysValues($C$6:$K$6,C57:K57))</f>
        <v>JP1103351E98:1</v>
      </c>
      <c r="M57" s="92">
        <f ca="1">_xll.BDP($B57,$M$5)</f>
        <v>-3.0999999999999642E-2</v>
      </c>
      <c r="N57" s="37">
        <f ca="1">_xll.meLWOBondCleanPrice($L57,$C$4,$M57%)</f>
        <v>103.15105177512528</v>
      </c>
      <c r="O57" s="37">
        <f ca="1">_xll.meLWOBondDirtyPrice($L57,$C$4,$M57%)</f>
        <v>103</v>
      </c>
      <c r="P57" s="87">
        <f ca="1">_xll.meLWOBondYield($L57,$C$4,N57)</f>
        <v>-3.0999999999955103E-4</v>
      </c>
      <c r="Q57" s="89">
        <f ca="1">_xll.meLWOBondModifiedDuration($L57,$C$4,$M57%)</f>
        <v>5.8390809948131395</v>
      </c>
      <c r="R57" s="23">
        <f ca="1">_xll.meLWOBondDV01($L57,$C$4,$M57%)</f>
        <v>601.42534246575337</v>
      </c>
      <c r="S57" s="85">
        <f t="shared" ca="1" si="6"/>
        <v>-3.0999999999999642E-2</v>
      </c>
      <c r="T57" s="22" t="str">
        <f ca="1">_xll.BDP($B57,T$6, "YAS_BOND_SPL_YLD="&amp;S57,"YAS_YLD_CONV=2")</f>
        <v>#N/A Requesting Data...</v>
      </c>
      <c r="U57" s="23">
        <f t="shared" ca="1" si="7"/>
        <v>103.15105177512528</v>
      </c>
      <c r="V57" s="23">
        <f t="shared" ca="1" si="0"/>
        <v>103.151</v>
      </c>
      <c r="W57" s="24" t="e">
        <f t="shared" ca="1" si="1"/>
        <v>#VALUE!</v>
      </c>
      <c r="X57" s="23">
        <f ca="1">_xll.meLWOBondDV01($L57,$C$4,$S57%)</f>
        <v>601.42534246575337</v>
      </c>
      <c r="Y57" s="22" t="e">
        <f ca="1">_xll.BDP($B57,Y$6, "YLD_YTM_ASK="&amp;$S57,"YAS_YLD_CONV=3")*$Y$3*0.0001</f>
        <v>#VALUE!</v>
      </c>
      <c r="Z57" s="24" t="e">
        <f t="shared" ca="1" si="8"/>
        <v>#VALUE!</v>
      </c>
      <c r="AA57" s="23">
        <f ca="1">_xll.meLWOBondModifiedDuration($L57,$C$4,$S57%)</f>
        <v>5.8390809948131395</v>
      </c>
      <c r="AB57" s="22" t="str">
        <f ca="1">_xll.BDP($B57,AB$6, "YLD_YTM_ASK="&amp;$S57,"YAS_YLD_CONV=3")</f>
        <v>#N/A Requesting Data...</v>
      </c>
      <c r="AC57" s="24" t="e">
        <f t="shared" ca="1" si="2"/>
        <v>#VALUE!</v>
      </c>
      <c r="AD57" s="23">
        <f ca="1">_xll.meLWOBondDV01Numerical($L57,$C$4,$S57%, 0.5, "CENTRAL")</f>
        <v>612.11738873225841</v>
      </c>
      <c r="AE57" s="63" t="str">
        <f ca="1">_xll.BDP($B57,AE$6, "YAS_BOND_PX="&amp;T57)</f>
        <v>#N/A Invalid Override</v>
      </c>
      <c r="AF57" s="64" t="e">
        <f ca="1">_xll.meLWOBondCompoundYield(L57,$C$4,T57)*100</f>
        <v>#VALUE!</v>
      </c>
      <c r="AG57" s="65" t="e">
        <f t="shared" ca="1" si="3"/>
        <v>#VALUE!</v>
      </c>
      <c r="AH57" s="35" t="e">
        <f t="shared" ca="1" si="4"/>
        <v>#VALUE!</v>
      </c>
      <c r="AI57" s="63" t="str">
        <f ca="1">_xll.BDP($B57,AI$6, "PX_ASK="&amp;T57)</f>
        <v>#N/A Invalid Override</v>
      </c>
      <c r="AJ57" s="35" t="e">
        <f t="shared" ca="1" si="5"/>
        <v>#VALUE!</v>
      </c>
    </row>
    <row r="58" spans="2:36">
      <c r="B58" s="15" t="s">
        <v>878</v>
      </c>
      <c r="C58" s="15" t="s">
        <v>879</v>
      </c>
      <c r="D58" s="15" t="s">
        <v>879</v>
      </c>
      <c r="E58" s="16">
        <v>38257</v>
      </c>
      <c r="F58" s="19">
        <v>38250</v>
      </c>
      <c r="G58" s="18"/>
      <c r="H58" s="16">
        <v>38431</v>
      </c>
      <c r="I58" s="16">
        <v>45371</v>
      </c>
      <c r="J58" s="17">
        <v>2.1000000000000001E-2</v>
      </c>
      <c r="K58" s="16">
        <v>45555</v>
      </c>
      <c r="L58" s="20" t="str">
        <f ca="1">_xll.meLWOBondCreateFromGeneratorLVB(C58,$L$4,_xll.meUtilityLVBFromKeysValues($C$6:$K$6,C58:K58))</f>
        <v>JP1200721494:1</v>
      </c>
      <c r="M58" s="92">
        <f ca="1">_xll.BDP($B58,$M$5)</f>
        <v>-3.4999999999999261E-2</v>
      </c>
      <c r="N58" s="37">
        <f ca="1">_xll.meLWOBondCleanPrice($L58,$C$4,$M58%)</f>
        <v>112.67249116181409</v>
      </c>
      <c r="O58" s="37">
        <f ca="1">_xll.meLWOBondDirtyPrice($L58,$C$4,$M58%)</f>
        <v>112.6</v>
      </c>
      <c r="P58" s="87">
        <f ca="1">_xll.meLWOBondYield($L58,$C$4,N58)</f>
        <v>-3.4999999999985059E-4</v>
      </c>
      <c r="Q58" s="89">
        <f ca="1">_xll.meLWOBondModifiedDuration($L58,$C$4,$M58%)</f>
        <v>5.6114516168276607</v>
      </c>
      <c r="R58" s="23">
        <f ca="1">_xll.meLWOBondDV01($L58,$C$4,$M58%)</f>
        <v>631.8494520547946</v>
      </c>
      <c r="S58" s="85">
        <f t="shared" ca="1" si="6"/>
        <v>-3.4999999999999261E-2</v>
      </c>
      <c r="T58" s="22" t="str">
        <f ca="1">_xll.BDP($B58,T$6, "YAS_BOND_SPL_YLD="&amp;S58,"YAS_YLD_CONV=2")</f>
        <v>#N/A Requesting Data...</v>
      </c>
      <c r="U58" s="23">
        <f t="shared" ca="1" si="7"/>
        <v>112.67249116181409</v>
      </c>
      <c r="V58" s="23">
        <f t="shared" ca="1" si="0"/>
        <v>112.672</v>
      </c>
      <c r="W58" s="24" t="e">
        <f t="shared" ca="1" si="1"/>
        <v>#VALUE!</v>
      </c>
      <c r="X58" s="23">
        <f ca="1">_xll.meLWOBondDV01($L58,$C$4,$S58%)</f>
        <v>631.8494520547946</v>
      </c>
      <c r="Y58" s="22" t="e">
        <f ca="1">_xll.BDP($B58,Y$6, "YLD_YTM_ASK="&amp;$S58,"YAS_YLD_CONV=3")*$Y$3*0.0001</f>
        <v>#VALUE!</v>
      </c>
      <c r="Z58" s="24" t="e">
        <f t="shared" ca="1" si="8"/>
        <v>#VALUE!</v>
      </c>
      <c r="AA58" s="23">
        <f ca="1">_xll.meLWOBondModifiedDuration($L58,$C$4,$S58%)</f>
        <v>5.6114516168276607</v>
      </c>
      <c r="AB58" s="22" t="str">
        <f ca="1">_xll.BDP($B58,AB$6, "YLD_YTM_ASK="&amp;$S58,"YAS_YLD_CONV=3")</f>
        <v>#N/A Requesting Data...</v>
      </c>
      <c r="AC58" s="24" t="e">
        <f t="shared" ca="1" si="2"/>
        <v>#VALUE!</v>
      </c>
      <c r="AD58" s="23">
        <f ca="1">_xll.meLWOBondDV01Numerical($L58,$C$4,$S58%, 0.5, "CENTRAL")</f>
        <v>668.77811437450418</v>
      </c>
      <c r="AE58" s="63" t="str">
        <f ca="1">_xll.BDP($B58,AE$6, "YAS_BOND_PX="&amp;T58)</f>
        <v>#N/A Invalid Override</v>
      </c>
      <c r="AF58" s="64" t="e">
        <f ca="1">_xll.meLWOBondCompoundYield(L58,$C$4,T58)*100</f>
        <v>#VALUE!</v>
      </c>
      <c r="AG58" s="65" t="e">
        <f t="shared" ca="1" si="3"/>
        <v>#VALUE!</v>
      </c>
      <c r="AH58" s="35" t="e">
        <f t="shared" ca="1" si="4"/>
        <v>#VALUE!</v>
      </c>
      <c r="AI58" s="63" t="str">
        <f ca="1">_xll.BDP($B58,AI$6, "PX_ASK="&amp;T58)</f>
        <v>#N/A Invalid Override</v>
      </c>
      <c r="AJ58" s="35" t="e">
        <f t="shared" ca="1" si="5"/>
        <v>#VALUE!</v>
      </c>
    </row>
    <row r="59" spans="2:36">
      <c r="B59" s="15" t="s">
        <v>880</v>
      </c>
      <c r="C59" s="15" t="s">
        <v>881</v>
      </c>
      <c r="D59" s="15" t="s">
        <v>881</v>
      </c>
      <c r="E59" s="16">
        <v>42012</v>
      </c>
      <c r="F59" s="19">
        <v>41993</v>
      </c>
      <c r="G59" s="18"/>
      <c r="H59" s="16">
        <v>42175</v>
      </c>
      <c r="I59" s="16">
        <v>45463</v>
      </c>
      <c r="J59" s="17">
        <v>3.0000000000000001E-3</v>
      </c>
      <c r="K59" s="16">
        <v>45646</v>
      </c>
      <c r="L59" s="20" t="str">
        <f ca="1">_xll.meLWOBondCreateFromGeneratorLVB(C59,$L$4,_xll.meUtilityLVBFromKeysValues($C$6:$K$6,C59:K59))</f>
        <v>JP1103371F10:1</v>
      </c>
      <c r="M59" s="92">
        <f ca="1">_xll.BDP($B59,$M$5)</f>
        <v>-2.1999999999998503E-2</v>
      </c>
      <c r="N59" s="37">
        <f ca="1">_xll.meLWOBondCleanPrice($L59,$C$4,$M59%)</f>
        <v>101.99028082902936</v>
      </c>
      <c r="O59" s="37">
        <f ca="1">_xll.meLWOBondDirtyPrice($L59,$C$4,$M59%)</f>
        <v>101.95</v>
      </c>
      <c r="P59" s="87">
        <f ca="1">_xll.meLWOBondYield($L59,$C$4,N59)</f>
        <v>-2.1999999999943395E-4</v>
      </c>
      <c r="Q59" s="89">
        <f ca="1">_xll.meLWOBondModifiedDuration($L59,$C$4,$M59%)</f>
        <v>6.1152216705744831</v>
      </c>
      <c r="R59" s="23">
        <f ca="1">_xll.meLWOBondDV01($L59,$C$4,$M59%)</f>
        <v>623.44684931506856</v>
      </c>
      <c r="S59" s="85">
        <f t="shared" ca="1" si="6"/>
        <v>-2.1999999999998503E-2</v>
      </c>
      <c r="T59" s="22" t="str">
        <f ca="1">_xll.BDP($B59,T$6, "YAS_BOND_SPL_YLD="&amp;S59,"YAS_YLD_CONV=2")</f>
        <v>#N/A Requesting Data...</v>
      </c>
      <c r="U59" s="23">
        <f t="shared" ca="1" si="7"/>
        <v>101.99028082902936</v>
      </c>
      <c r="V59" s="23">
        <f t="shared" ca="1" si="0"/>
        <v>101.99</v>
      </c>
      <c r="W59" s="24" t="e">
        <f t="shared" ca="1" si="1"/>
        <v>#VALUE!</v>
      </c>
      <c r="X59" s="23">
        <f ca="1">_xll.meLWOBondDV01($L59,$C$4,$S59%)</f>
        <v>623.44684931506856</v>
      </c>
      <c r="Y59" s="22" t="e">
        <f ca="1">_xll.BDP($B59,Y$6, "YLD_YTM_ASK="&amp;$S59,"YAS_YLD_CONV=3")*$Y$3*0.0001</f>
        <v>#VALUE!</v>
      </c>
      <c r="Z59" s="24" t="e">
        <f t="shared" ca="1" si="8"/>
        <v>#VALUE!</v>
      </c>
      <c r="AA59" s="23">
        <f ca="1">_xll.meLWOBondModifiedDuration($L59,$C$4,$S59%)</f>
        <v>6.1152216705744831</v>
      </c>
      <c r="AB59" s="22" t="str">
        <f ca="1">_xll.BDP($B59,AB$6, "YLD_YTM_ASK="&amp;$S59,"YAS_YLD_CONV=3")</f>
        <v>#N/A Requesting Data...</v>
      </c>
      <c r="AC59" s="24" t="e">
        <f t="shared" ca="1" si="2"/>
        <v>#VALUE!</v>
      </c>
      <c r="AD59" s="23">
        <f ca="1">_xll.meLWOBondDV01Numerical($L59,$C$4,$S59%, 0.5, "CENTRAL")</f>
        <v>630.40161512191173</v>
      </c>
      <c r="AE59" s="63" t="str">
        <f ca="1">_xll.BDP($B59,AE$6, "YAS_BOND_PX="&amp;T59)</f>
        <v>#N/A Invalid Override</v>
      </c>
      <c r="AF59" s="64" t="e">
        <f ca="1">_xll.meLWOBondCompoundYield(L59,$C$4,T59)*100</f>
        <v>#VALUE!</v>
      </c>
      <c r="AG59" s="65" t="e">
        <f t="shared" ca="1" si="3"/>
        <v>#VALUE!</v>
      </c>
      <c r="AH59" s="35" t="e">
        <f t="shared" ca="1" si="4"/>
        <v>#VALUE!</v>
      </c>
      <c r="AI59" s="63" t="str">
        <f ca="1">_xll.BDP($B59,AI$6, "PX_ASK="&amp;T59)</f>
        <v>#N/A Invalid Override</v>
      </c>
      <c r="AJ59" s="35" t="e">
        <f t="shared" ca="1" si="5"/>
        <v>#VALUE!</v>
      </c>
    </row>
    <row r="60" spans="2:36">
      <c r="B60" s="15" t="s">
        <v>882</v>
      </c>
      <c r="C60" s="15" t="s">
        <v>883</v>
      </c>
      <c r="D60" s="15" t="s">
        <v>883</v>
      </c>
      <c r="E60" s="16">
        <v>41995</v>
      </c>
      <c r="F60" s="19">
        <v>41993</v>
      </c>
      <c r="G60" s="18"/>
      <c r="H60" s="16">
        <v>42175</v>
      </c>
      <c r="I60" s="16">
        <v>45463</v>
      </c>
      <c r="J60" s="17">
        <v>5.0000000000000001E-3</v>
      </c>
      <c r="K60" s="16">
        <v>45646</v>
      </c>
      <c r="L60" s="20" t="str">
        <f ca="1">_xll.meLWOBondCreateFromGeneratorLVB(C60,$L$4,_xll.meUtilityLVBFromKeysValues($C$6:$K$6,C60:K60))</f>
        <v>JP1103361EC6:1</v>
      </c>
      <c r="M60" s="92">
        <f ca="1">_xll.BDP($B60,$M$5)</f>
        <v>-2.0999999999999446E-2</v>
      </c>
      <c r="N60" s="37">
        <f ca="1">_xll.meLWOBondCleanPrice($L60,$C$4,$M60%)</f>
        <v>103.22010007108666</v>
      </c>
      <c r="O60" s="37">
        <f ca="1">_xll.meLWOBondDirtyPrice($L60,$C$4,$M60%)</f>
        <v>103.25</v>
      </c>
      <c r="P60" s="87">
        <f ca="1">_xll.meLWOBondYield($L60,$C$4,N60)</f>
        <v>-2.1000000000052818E-4</v>
      </c>
      <c r="Q60" s="89">
        <f ca="1">_xll.meLWOBondModifiedDuration($L60,$C$4,$M60%)</f>
        <v>6.078171746989951</v>
      </c>
      <c r="R60" s="23">
        <f ca="1">_xll.meLWOBondDV01($L60,$C$4,$M60%)</f>
        <v>627.57123287671243</v>
      </c>
      <c r="S60" s="85">
        <f t="shared" ca="1" si="6"/>
        <v>-2.0999999999999446E-2</v>
      </c>
      <c r="T60" s="22" t="str">
        <f ca="1">_xll.BDP($B60,T$6, "YAS_BOND_SPL_YLD="&amp;S60,"YAS_YLD_CONV=2")</f>
        <v>#N/A Requesting Data...</v>
      </c>
      <c r="U60" s="23">
        <f t="shared" ca="1" si="7"/>
        <v>103.22010007108666</v>
      </c>
      <c r="V60" s="23">
        <f t="shared" ca="1" si="0"/>
        <v>103.22</v>
      </c>
      <c r="W60" s="24" t="e">
        <f t="shared" ca="1" si="1"/>
        <v>#VALUE!</v>
      </c>
      <c r="X60" s="23">
        <f ca="1">_xll.meLWOBondDV01($L60,$C$4,$S60%)</f>
        <v>627.57123287671243</v>
      </c>
      <c r="Y60" s="22" t="e">
        <f ca="1">_xll.BDP($B60,Y$6, "YLD_YTM_ASK="&amp;$S60,"YAS_YLD_CONV=3")*$Y$3*0.0001</f>
        <v>#VALUE!</v>
      </c>
      <c r="Z60" s="24" t="e">
        <f t="shared" ca="1" si="8"/>
        <v>#VALUE!</v>
      </c>
      <c r="AA60" s="23">
        <f ca="1">_xll.meLWOBondModifiedDuration($L60,$C$4,$S60%)</f>
        <v>6.078171746989951</v>
      </c>
      <c r="AB60" s="22" t="str">
        <f ca="1">_xll.BDP($B60,AB$6, "YLD_YTM_ASK="&amp;$S60,"YAS_YLD_CONV=3")</f>
        <v>#N/A Requesting Data...</v>
      </c>
      <c r="AC60" s="24" t="e">
        <f t="shared" ca="1" si="2"/>
        <v>#VALUE!</v>
      </c>
      <c r="AD60" s="23">
        <f ca="1">_xll.meLWOBondDV01Numerical($L60,$C$4,$S60%, 0.5, "CENTRAL")</f>
        <v>637.9636915906417</v>
      </c>
      <c r="AE60" s="63" t="str">
        <f ca="1">_xll.BDP($B60,AE$6, "YAS_BOND_PX="&amp;T60)</f>
        <v>#N/A Invalid Override</v>
      </c>
      <c r="AF60" s="64" t="e">
        <f ca="1">_xll.meLWOBondCompoundYield(L60,$C$4,T60)*100</f>
        <v>#VALUE!</v>
      </c>
      <c r="AG60" s="65" t="e">
        <f t="shared" ca="1" si="3"/>
        <v>#VALUE!</v>
      </c>
      <c r="AH60" s="35" t="e">
        <f t="shared" ca="1" si="4"/>
        <v>#VALUE!</v>
      </c>
      <c r="AI60" s="63" t="str">
        <f ca="1">_xll.BDP($B60,AI$6, "PX_ASK="&amp;T60)</f>
        <v>#N/A Invalid Override</v>
      </c>
      <c r="AJ60" s="35" t="e">
        <f t="shared" ca="1" si="5"/>
        <v>#VALUE!</v>
      </c>
    </row>
    <row r="61" spans="2:36">
      <c r="B61" s="15" t="s">
        <v>884</v>
      </c>
      <c r="C61" s="15" t="s">
        <v>885</v>
      </c>
      <c r="D61" s="15" t="s">
        <v>885</v>
      </c>
      <c r="E61" s="16">
        <v>38411</v>
      </c>
      <c r="F61" s="19">
        <v>38341</v>
      </c>
      <c r="G61" s="18"/>
      <c r="H61" s="16">
        <v>38523</v>
      </c>
      <c r="I61" s="16">
        <v>45463</v>
      </c>
      <c r="J61" s="17">
        <v>2.1000000000000001E-2</v>
      </c>
      <c r="K61" s="16">
        <v>45646</v>
      </c>
      <c r="L61" s="20" t="str">
        <f ca="1">_xll.meLWOBondCreateFromGeneratorLVB(C61,$L$4,_xll.meUtilityLVBFromKeysValues($C$6:$K$6,C61:K61))</f>
        <v>JP1200741526:1</v>
      </c>
      <c r="M61" s="92">
        <f ca="1">_xll.BDP($B61,$M$5)</f>
        <v>-1.7999999999999523E-2</v>
      </c>
      <c r="N61" s="37">
        <f ca="1">_xll.meLWOBondCleanPrice($L61,$C$4,$M61%)</f>
        <v>113.08811439427795</v>
      </c>
      <c r="O61" s="37">
        <f ca="1">_xll.meLWOBondDirtyPrice($L61,$C$4,$M61%)</f>
        <v>113.65</v>
      </c>
      <c r="P61" s="87">
        <f ca="1">_xll.meLWOBondYield($L61,$C$4,N61)</f>
        <v>-1.8000000000004628E-4</v>
      </c>
      <c r="Q61" s="89">
        <f ca="1">_xll.meLWOBondModifiedDuration($L61,$C$4,$M61%)</f>
        <v>5.8122859777374671</v>
      </c>
      <c r="R61" s="23">
        <f ca="1">_xll.meLWOBondDV01($L61,$C$4,$M61%)</f>
        <v>660.56630136986314</v>
      </c>
      <c r="S61" s="85">
        <f t="shared" ca="1" si="6"/>
        <v>-1.7999999999999523E-2</v>
      </c>
      <c r="T61" s="22" t="str">
        <f ca="1">_xll.BDP($B61,T$6, "YAS_BOND_SPL_YLD="&amp;S61,"YAS_YLD_CONV=2")</f>
        <v>#N/A Requesting Data...</v>
      </c>
      <c r="U61" s="23">
        <f t="shared" ca="1" si="7"/>
        <v>113.08811439427795</v>
      </c>
      <c r="V61" s="23">
        <f t="shared" ca="1" si="0"/>
        <v>113.08799999999999</v>
      </c>
      <c r="W61" s="24" t="e">
        <f t="shared" ca="1" si="1"/>
        <v>#VALUE!</v>
      </c>
      <c r="X61" s="23">
        <f ca="1">_xll.meLWOBondDV01($L61,$C$4,$S61%)</f>
        <v>660.56630136986314</v>
      </c>
      <c r="Y61" s="22" t="e">
        <f ca="1">_xll.BDP($B61,Y$6, "YLD_YTM_ASK="&amp;$S61,"YAS_YLD_CONV=3")*$Y$3*0.0001</f>
        <v>#VALUE!</v>
      </c>
      <c r="Z61" s="24" t="e">
        <f t="shared" ca="1" si="8"/>
        <v>#VALUE!</v>
      </c>
      <c r="AA61" s="23">
        <f ca="1">_xll.meLWOBondModifiedDuration($L61,$C$4,$S61%)</f>
        <v>5.8122859777374671</v>
      </c>
      <c r="AB61" s="22" t="str">
        <f ca="1">_xll.BDP($B61,AB$6, "YLD_YTM_ASK="&amp;$S61,"YAS_YLD_CONV=3")</f>
        <v>#N/A Requesting Data...</v>
      </c>
      <c r="AC61" s="24" t="e">
        <f t="shared" ca="1" si="2"/>
        <v>#VALUE!</v>
      </c>
      <c r="AD61" s="23">
        <f ca="1">_xll.meLWOBondDV01Numerical($L61,$C$4,$S61%, 0.5, "CENTRAL")</f>
        <v>698.82451327828232</v>
      </c>
      <c r="AE61" s="63" t="str">
        <f ca="1">_xll.BDP($B61,AE$6, "YAS_BOND_PX="&amp;T61)</f>
        <v>#N/A Invalid Override</v>
      </c>
      <c r="AF61" s="64" t="e">
        <f ca="1">_xll.meLWOBondCompoundYield(L61,$C$4,T61)*100</f>
        <v>#VALUE!</v>
      </c>
      <c r="AG61" s="65" t="e">
        <f t="shared" ca="1" si="3"/>
        <v>#VALUE!</v>
      </c>
      <c r="AH61" s="35" t="e">
        <f t="shared" ca="1" si="4"/>
        <v>#VALUE!</v>
      </c>
      <c r="AI61" s="63" t="str">
        <f ca="1">_xll.BDP($B61,AI$6, "PX_ASK="&amp;T61)</f>
        <v>#N/A Invalid Override</v>
      </c>
      <c r="AJ61" s="35" t="e">
        <f t="shared" ca="1" si="5"/>
        <v>#VALUE!</v>
      </c>
    </row>
    <row r="62" spans="2:36">
      <c r="B62" s="15" t="s">
        <v>886</v>
      </c>
      <c r="C62" s="15" t="s">
        <v>887</v>
      </c>
      <c r="D62" s="15" t="s">
        <v>887</v>
      </c>
      <c r="E62" s="16">
        <v>38341</v>
      </c>
      <c r="F62" s="19">
        <v>38341</v>
      </c>
      <c r="G62" s="18"/>
      <c r="H62" s="16">
        <v>38523</v>
      </c>
      <c r="I62" s="16">
        <v>45463</v>
      </c>
      <c r="J62" s="17">
        <v>0.02</v>
      </c>
      <c r="K62" s="16">
        <v>45646</v>
      </c>
      <c r="L62" s="20" t="str">
        <f ca="1">_xll.meLWOBondCreateFromGeneratorLVB(C62,$L$4,_xll.meUtilityLVBFromKeysValues($C$6:$K$6,C62:K62))</f>
        <v>JP12007314C5:1</v>
      </c>
      <c r="M62" s="92">
        <f ca="1">_xll.BDP($B62,$M$5)</f>
        <v>-1.800000000000072E-2</v>
      </c>
      <c r="N62" s="37">
        <f ca="1">_xll.meLWOBondCleanPrice($L62,$C$4,$M62%)</f>
        <v>112.47016753902405</v>
      </c>
      <c r="O62" s="37">
        <f ca="1">_xll.meLWOBondDirtyPrice($L62,$C$4,$M62%)</f>
        <v>112.99999999999999</v>
      </c>
      <c r="P62" s="87">
        <f ca="1">_xll.meLWOBondYield($L62,$C$4,N62)</f>
        <v>-1.7999999999994428E-4</v>
      </c>
      <c r="Q62" s="89">
        <f ca="1">_xll.meLWOBondModifiedDuration($L62,$C$4,$M62%)</f>
        <v>5.8274699963631971</v>
      </c>
      <c r="R62" s="23">
        <f ca="1">_xll.meLWOBondDV01($L62,$C$4,$M62%)</f>
        <v>658.50410958904115</v>
      </c>
      <c r="S62" s="85">
        <f t="shared" ca="1" si="6"/>
        <v>-1.800000000000072E-2</v>
      </c>
      <c r="T62" s="22" t="str">
        <f ca="1">_xll.BDP($B62,T$6, "YAS_BOND_SPL_YLD="&amp;S62,"YAS_YLD_CONV=2")</f>
        <v>#N/A Requesting Data...</v>
      </c>
      <c r="U62" s="23">
        <f t="shared" ca="1" si="7"/>
        <v>112.47016753902405</v>
      </c>
      <c r="V62" s="23">
        <f t="shared" ca="1" si="0"/>
        <v>112.47</v>
      </c>
      <c r="W62" s="24" t="e">
        <f t="shared" ca="1" si="1"/>
        <v>#VALUE!</v>
      </c>
      <c r="X62" s="23">
        <f ca="1">_xll.meLWOBondDV01($L62,$C$4,$S62%)</f>
        <v>658.50410958904115</v>
      </c>
      <c r="Y62" s="22" t="e">
        <f ca="1">_xll.BDP($B62,Y$6, "YLD_YTM_ASK="&amp;$S62,"YAS_YLD_CONV=3")*$Y$3*0.0001</f>
        <v>#VALUE!</v>
      </c>
      <c r="Z62" s="24" t="e">
        <f t="shared" ca="1" si="8"/>
        <v>#VALUE!</v>
      </c>
      <c r="AA62" s="23">
        <f ca="1">_xll.meLWOBondModifiedDuration($L62,$C$4,$S62%)</f>
        <v>5.8274699963631971</v>
      </c>
      <c r="AB62" s="22" t="str">
        <f ca="1">_xll.BDP($B62,AB$6, "YLD_YTM_ASK="&amp;$S62,"YAS_YLD_CONV=3")</f>
        <v>#N/A Requesting Data...</v>
      </c>
      <c r="AC62" s="24" t="e">
        <f t="shared" ca="1" si="2"/>
        <v>#VALUE!</v>
      </c>
      <c r="AD62" s="23">
        <f ca="1">_xll.meLWOBondDV01Numerical($L62,$C$4,$S62%, 0.5, "CENTRAL")</f>
        <v>695.00592975458642</v>
      </c>
      <c r="AE62" s="63" t="str">
        <f ca="1">_xll.BDP($B62,AE$6, "YAS_BOND_PX="&amp;T62)</f>
        <v>#N/A Invalid Override</v>
      </c>
      <c r="AF62" s="64" t="e">
        <f ca="1">_xll.meLWOBondCompoundYield(L62,$C$4,T62)*100</f>
        <v>#VALUE!</v>
      </c>
      <c r="AG62" s="65" t="e">
        <f t="shared" ca="1" si="3"/>
        <v>#VALUE!</v>
      </c>
      <c r="AH62" s="35" t="e">
        <f t="shared" ca="1" si="4"/>
        <v>#VALUE!</v>
      </c>
      <c r="AI62" s="63" t="str">
        <f ca="1">_xll.BDP($B62,AI$6, "PX_ASK="&amp;T62)</f>
        <v>#N/A Invalid Override</v>
      </c>
      <c r="AJ62" s="35" t="e">
        <f t="shared" ca="1" si="5"/>
        <v>#VALUE!</v>
      </c>
    </row>
    <row r="63" spans="2:36">
      <c r="B63" s="15" t="s">
        <v>888</v>
      </c>
      <c r="C63" s="15" t="s">
        <v>889</v>
      </c>
      <c r="D63" s="15" t="s">
        <v>889</v>
      </c>
      <c r="E63" s="16">
        <v>42083</v>
      </c>
      <c r="F63" s="19">
        <v>42083</v>
      </c>
      <c r="G63" s="18"/>
      <c r="H63" s="16">
        <v>42267</v>
      </c>
      <c r="I63" s="16">
        <v>45555</v>
      </c>
      <c r="J63" s="17">
        <v>4.0000000000000001E-3</v>
      </c>
      <c r="K63" s="16">
        <v>45736</v>
      </c>
      <c r="L63" s="20" t="str">
        <f ca="1">_xll.meLWOBondCreateFromGeneratorLVB(C63,$L$4,_xll.meUtilityLVBFromKeysValues($C$6:$K$6,C63:K63))</f>
        <v>JP1103381F34:1</v>
      </c>
      <c r="M63" s="92">
        <f ca="1">_xll.BDP($B63,$M$5)</f>
        <v>-1.700000000000091E-2</v>
      </c>
      <c r="N63" s="37">
        <f ca="1">_xll.meLWOBondCleanPrice($L63,$C$4,$M63%)</f>
        <v>102.67972153392925</v>
      </c>
      <c r="O63" s="37">
        <f ca="1">_xll.meLWOBondDirtyPrice($L63,$C$4,$M63%)</f>
        <v>102.60000000000001</v>
      </c>
      <c r="P63" s="87">
        <f ca="1">_xll.meLWOBondYield($L63,$C$4,N63)</f>
        <v>-1.6999999999960422E-4</v>
      </c>
      <c r="Q63" s="89">
        <f ca="1">_xll.meLWOBondModifiedDuration($L63,$C$4,$M63%)</f>
        <v>6.343154690378916</v>
      </c>
      <c r="R63" s="23">
        <f ca="1">_xll.meLWOBondDV01($L63,$C$4,$M63%)</f>
        <v>650.80767123287683</v>
      </c>
      <c r="S63" s="85">
        <f t="shared" ca="1" si="6"/>
        <v>-1.700000000000091E-2</v>
      </c>
      <c r="T63" s="22" t="str">
        <f ca="1">_xll.BDP($B63,T$6, "YAS_BOND_SPL_YLD="&amp;S63,"YAS_YLD_CONV=2")</f>
        <v>#N/A Requesting Data...</v>
      </c>
      <c r="U63" s="23">
        <f t="shared" ca="1" si="7"/>
        <v>102.67972153392925</v>
      </c>
      <c r="V63" s="23">
        <f t="shared" ca="1" si="0"/>
        <v>102.679</v>
      </c>
      <c r="W63" s="24" t="e">
        <f t="shared" ca="1" si="1"/>
        <v>#VALUE!</v>
      </c>
      <c r="X63" s="23">
        <f ca="1">_xll.meLWOBondDV01($L63,$C$4,$S63%)</f>
        <v>650.80767123287683</v>
      </c>
      <c r="Y63" s="22" t="e">
        <f ca="1">_xll.BDP($B63,Y$6, "YLD_YTM_ASK="&amp;$S63,"YAS_YLD_CONV=3")*$Y$3*0.0001</f>
        <v>#VALUE!</v>
      </c>
      <c r="Z63" s="24" t="e">
        <f t="shared" ca="1" si="8"/>
        <v>#VALUE!</v>
      </c>
      <c r="AA63" s="23">
        <f ca="1">_xll.meLWOBondModifiedDuration($L63,$C$4,$S63%)</f>
        <v>6.343154690378916</v>
      </c>
      <c r="AB63" s="22" t="str">
        <f ca="1">_xll.BDP($B63,AB$6, "YLD_YTM_ASK="&amp;$S63,"YAS_YLD_CONV=3")</f>
        <v>#N/A Requesting Data...</v>
      </c>
      <c r="AC63" s="24" t="e">
        <f t="shared" ca="1" si="2"/>
        <v>#VALUE!</v>
      </c>
      <c r="AD63" s="23">
        <f ca="1">_xll.meLWOBondDV01Numerical($L63,$C$4,$S63%, 0.5, "CENTRAL")</f>
        <v>659.83954268347145</v>
      </c>
      <c r="AE63" s="63" t="str">
        <f ca="1">_xll.BDP($B63,AE$6, "YAS_BOND_PX="&amp;T63)</f>
        <v>#N/A Invalid Override</v>
      </c>
      <c r="AF63" s="64" t="e">
        <f ca="1">_xll.meLWOBondCompoundYield(L63,$C$4,T63)*100</f>
        <v>#VALUE!</v>
      </c>
      <c r="AG63" s="65" t="e">
        <f t="shared" ca="1" si="3"/>
        <v>#VALUE!</v>
      </c>
      <c r="AH63" s="35" t="e">
        <f t="shared" ca="1" si="4"/>
        <v>#VALUE!</v>
      </c>
      <c r="AI63" s="63" t="str">
        <f ca="1">_xll.BDP($B63,AI$6, "PX_ASK="&amp;T63)</f>
        <v>#N/A Invalid Override</v>
      </c>
      <c r="AJ63" s="35" t="e">
        <f t="shared" ca="1" si="5"/>
        <v>#VALUE!</v>
      </c>
    </row>
    <row r="64" spans="2:36">
      <c r="B64" s="15" t="s">
        <v>890</v>
      </c>
      <c r="C64" s="15" t="s">
        <v>891</v>
      </c>
      <c r="D64" s="15" t="s">
        <v>891</v>
      </c>
      <c r="E64" s="16">
        <v>38436</v>
      </c>
      <c r="F64" s="19">
        <v>38431</v>
      </c>
      <c r="G64" s="18"/>
      <c r="H64" s="16">
        <v>38615</v>
      </c>
      <c r="I64" s="16">
        <v>45555</v>
      </c>
      <c r="J64" s="17">
        <v>2.1000000000000001E-2</v>
      </c>
      <c r="K64" s="16">
        <v>45736</v>
      </c>
      <c r="L64" s="20" t="str">
        <f ca="1">_xll.meLWOBondCreateFromGeneratorLVB(C64,$L$4,_xll.meUtilityLVBFromKeysValues($C$6:$K$6,C64:K64))</f>
        <v>JP1200751533:1</v>
      </c>
      <c r="M64" s="92">
        <f ca="1">_xll.BDP($B64,$M$5)</f>
        <v>-1.2999999999998827E-2</v>
      </c>
      <c r="N64" s="37">
        <f ca="1">_xll.meLWOBondCleanPrice($L64,$C$4,$M64%)</f>
        <v>113.57505157523096</v>
      </c>
      <c r="O64" s="37">
        <f ca="1">_xll.meLWOBondDirtyPrice($L64,$C$4,$M64%)</f>
        <v>113.65</v>
      </c>
      <c r="P64" s="87">
        <f ca="1">_xll.meLWOBondYield($L64,$C$4,N64)</f>
        <v>-1.3000000000005596E-4</v>
      </c>
      <c r="Q64" s="89">
        <f ca="1">_xll.meLWOBondModifiedDuration($L64,$C$4,$M64%)</f>
        <v>6.0588613202032207</v>
      </c>
      <c r="R64" s="23">
        <f ca="1">_xll.meLWOBondDV01($L64,$C$4,$M64%)</f>
        <v>688.58958904109602</v>
      </c>
      <c r="S64" s="85">
        <f t="shared" ca="1" si="6"/>
        <v>-1.2999999999998827E-2</v>
      </c>
      <c r="T64" s="22" t="str">
        <f ca="1">_xll.BDP($B64,T$6, "YAS_BOND_SPL_YLD="&amp;S64,"YAS_YLD_CONV=2")</f>
        <v>#N/A Requesting Data...</v>
      </c>
      <c r="U64" s="23">
        <f t="shared" ca="1" si="7"/>
        <v>113.57505157523096</v>
      </c>
      <c r="V64" s="23">
        <f t="shared" ca="1" si="0"/>
        <v>113.575</v>
      </c>
      <c r="W64" s="24" t="e">
        <f t="shared" ca="1" si="1"/>
        <v>#VALUE!</v>
      </c>
      <c r="X64" s="23">
        <f ca="1">_xll.meLWOBondDV01($L64,$C$4,$S64%)</f>
        <v>688.58958904109602</v>
      </c>
      <c r="Y64" s="22" t="e">
        <f ca="1">_xll.BDP($B64,Y$6, "YLD_YTM_ASK="&amp;$S64,"YAS_YLD_CONV=3")*$Y$3*0.0001</f>
        <v>#VALUE!</v>
      </c>
      <c r="Z64" s="24" t="e">
        <f t="shared" ca="1" si="8"/>
        <v>#VALUE!</v>
      </c>
      <c r="AA64" s="23">
        <f ca="1">_xll.meLWOBondModifiedDuration($L64,$C$4,$S64%)</f>
        <v>6.0588613202032207</v>
      </c>
      <c r="AB64" s="22" t="str">
        <f ca="1">_xll.BDP($B64,AB$6, "YLD_YTM_ASK="&amp;$S64,"YAS_YLD_CONV=3")</f>
        <v>#N/A Requesting Data...</v>
      </c>
      <c r="AC64" s="24" t="e">
        <f t="shared" ca="1" si="2"/>
        <v>#VALUE!</v>
      </c>
      <c r="AD64" s="23">
        <f ca="1">_xll.meLWOBondDV01Numerical($L64,$C$4,$S64%, 0.5, "CENTRAL")</f>
        <v>729.6674594819309</v>
      </c>
      <c r="AE64" s="63" t="str">
        <f ca="1">_xll.BDP($B64,AE$6, "YAS_BOND_PX="&amp;T64)</f>
        <v>#N/A Invalid Override</v>
      </c>
      <c r="AF64" s="64" t="e">
        <f ca="1">_xll.meLWOBondCompoundYield(L64,$C$4,T64)*100</f>
        <v>#VALUE!</v>
      </c>
      <c r="AG64" s="65" t="e">
        <f t="shared" ca="1" si="3"/>
        <v>#VALUE!</v>
      </c>
      <c r="AH64" s="35" t="e">
        <f t="shared" ca="1" si="4"/>
        <v>#VALUE!</v>
      </c>
      <c r="AI64" s="63" t="str">
        <f ca="1">_xll.BDP($B64,AI$6, "PX_ASK="&amp;T64)</f>
        <v>#N/A Invalid Override</v>
      </c>
      <c r="AJ64" s="35" t="e">
        <f t="shared" ca="1" si="5"/>
        <v>#VALUE!</v>
      </c>
    </row>
    <row r="65" spans="2:36">
      <c r="B65" s="15" t="s">
        <v>892</v>
      </c>
      <c r="C65" s="15" t="s">
        <v>893</v>
      </c>
      <c r="D65" s="15" t="s">
        <v>893</v>
      </c>
      <c r="E65" s="16">
        <v>38470</v>
      </c>
      <c r="F65" s="19">
        <v>38431</v>
      </c>
      <c r="G65" s="18"/>
      <c r="H65" s="16">
        <v>38615</v>
      </c>
      <c r="I65" s="16">
        <v>45555</v>
      </c>
      <c r="J65" s="17">
        <v>1.9E-2</v>
      </c>
      <c r="K65" s="16">
        <v>45736</v>
      </c>
      <c r="L65" s="20" t="str">
        <f ca="1">_xll.meLWOBondCreateFromGeneratorLVB(C65,$L$4,_xll.meUtilityLVBFromKeysValues($C$6:$K$6,C65:K65))</f>
        <v>JP1200761540:1</v>
      </c>
      <c r="M65" s="92">
        <f ca="1">_xll.BDP($B65,$M$5)</f>
        <v>-1.3000000000000247E-2</v>
      </c>
      <c r="N65" s="37">
        <f ca="1">_xll.meLWOBondCleanPrice($L65,$C$4,$M65%)</f>
        <v>112.29014371198146</v>
      </c>
      <c r="O65" s="37">
        <f ca="1">_xll.meLWOBondDirtyPrice($L65,$C$4,$M65%)</f>
        <v>112.35</v>
      </c>
      <c r="P65" s="87">
        <f ca="1">_xll.meLWOBondYield($L65,$C$4,N65)</f>
        <v>-1.2999999999936836E-4</v>
      </c>
      <c r="Q65" s="89">
        <f ca="1">_xll.meLWOBondModifiedDuration($L65,$C$4,$M65%)</f>
        <v>6.0894050514841709</v>
      </c>
      <c r="R65" s="23">
        <f ca="1">_xll.meLWOBondDV01($L65,$C$4,$M65%)</f>
        <v>684.14465753424656</v>
      </c>
      <c r="S65" s="85">
        <f t="shared" ca="1" si="6"/>
        <v>-1.3000000000000247E-2</v>
      </c>
      <c r="T65" s="22" t="str">
        <f ca="1">_xll.BDP($B65,T$6, "YAS_BOND_SPL_YLD="&amp;S65,"YAS_YLD_CONV=2")</f>
        <v>#N/A Requesting Data...</v>
      </c>
      <c r="U65" s="23">
        <f t="shared" ca="1" si="7"/>
        <v>112.29014371198146</v>
      </c>
      <c r="V65" s="23">
        <f t="shared" ca="1" si="0"/>
        <v>112.29</v>
      </c>
      <c r="W65" s="24" t="e">
        <f t="shared" ca="1" si="1"/>
        <v>#VALUE!</v>
      </c>
      <c r="X65" s="23">
        <f ca="1">_xll.meLWOBondDV01($L65,$C$4,$S65%)</f>
        <v>684.14465753424656</v>
      </c>
      <c r="Y65" s="22" t="e">
        <f ca="1">_xll.BDP($B65,Y$6, "YLD_YTM_ASK="&amp;$S65,"YAS_YLD_CONV=3")*$Y$3*0.0001</f>
        <v>#VALUE!</v>
      </c>
      <c r="Z65" s="24" t="e">
        <f t="shared" ca="1" si="8"/>
        <v>#VALUE!</v>
      </c>
      <c r="AA65" s="23">
        <f ca="1">_xll.meLWOBondModifiedDuration($L65,$C$4,$S65%)</f>
        <v>6.0894050514841709</v>
      </c>
      <c r="AB65" s="22" t="str">
        <f ca="1">_xll.BDP($B65,AB$6, "YLD_YTM_ASK="&amp;$S65,"YAS_YLD_CONV=3")</f>
        <v>#N/A Requesting Data...</v>
      </c>
      <c r="AC65" s="24" t="e">
        <f t="shared" ca="1" si="2"/>
        <v>#VALUE!</v>
      </c>
      <c r="AD65" s="23">
        <f ca="1">_xll.meLWOBondDV01Numerical($L65,$C$4,$S65%, 0.5, "CENTRAL")</f>
        <v>721.41251754473512</v>
      </c>
      <c r="AE65" s="63" t="str">
        <f ca="1">_xll.BDP($B65,AE$6, "YAS_BOND_PX="&amp;T65)</f>
        <v>#N/A Invalid Override</v>
      </c>
      <c r="AF65" s="64" t="e">
        <f ca="1">_xll.meLWOBondCompoundYield(L65,$C$4,T65)*100</f>
        <v>#VALUE!</v>
      </c>
      <c r="AG65" s="65" t="e">
        <f t="shared" ca="1" si="3"/>
        <v>#VALUE!</v>
      </c>
      <c r="AH65" s="35" t="e">
        <f t="shared" ca="1" si="4"/>
        <v>#VALUE!</v>
      </c>
      <c r="AI65" s="63" t="str">
        <f ca="1">_xll.BDP($B65,AI$6, "PX_ASK="&amp;T65)</f>
        <v>#N/A Invalid Override</v>
      </c>
      <c r="AJ65" s="35" t="e">
        <f t="shared" ca="1" si="5"/>
        <v>#VALUE!</v>
      </c>
    </row>
    <row r="66" spans="2:36">
      <c r="B66" s="15" t="s">
        <v>894</v>
      </c>
      <c r="C66" s="15" t="s">
        <v>895</v>
      </c>
      <c r="D66" s="15" t="s">
        <v>895</v>
      </c>
      <c r="E66" s="16">
        <v>38502</v>
      </c>
      <c r="F66" s="19">
        <v>38431</v>
      </c>
      <c r="G66" s="18"/>
      <c r="H66" s="16">
        <v>38615</v>
      </c>
      <c r="I66" s="16">
        <v>45555</v>
      </c>
      <c r="J66" s="17">
        <v>0.02</v>
      </c>
      <c r="K66" s="16">
        <v>45736</v>
      </c>
      <c r="L66" s="20" t="str">
        <f ca="1">_xll.meLWOBondCreateFromGeneratorLVB(C66,$L$4,_xll.meUtilityLVBFromKeysValues($C$6:$K$6,C66:K66))</f>
        <v>JP1200771556:1</v>
      </c>
      <c r="M66" s="92">
        <f ca="1">_xll.BDP($B66,$M$5)</f>
        <v>-1.3000000000000613E-2</v>
      </c>
      <c r="N66" s="37">
        <f ca="1">_xll.meLWOBondCleanPrice($L66,$C$4,$M66%)</f>
        <v>112.9325976436062</v>
      </c>
      <c r="O66" s="37">
        <f ca="1">_xll.meLWOBondDirtyPrice($L66,$C$4,$M66%)</f>
        <v>112.99999999999999</v>
      </c>
      <c r="P66" s="87">
        <f ca="1">_xll.meLWOBondYield($L66,$C$4,N66)</f>
        <v>-1.2999999999971609E-4</v>
      </c>
      <c r="Q66" s="89">
        <f ca="1">_xll.meLWOBondModifiedDuration($L66,$C$4,$M66%)</f>
        <v>6.0740453388289497</v>
      </c>
      <c r="R66" s="23">
        <f ca="1">_xll.meLWOBondDV01($L66,$C$4,$M66%)</f>
        <v>686.36712328767123</v>
      </c>
      <c r="S66" s="85">
        <f t="shared" ca="1" si="6"/>
        <v>-1.3000000000000613E-2</v>
      </c>
      <c r="T66" s="22" t="str">
        <f ca="1">_xll.BDP($B66,T$6, "YAS_BOND_SPL_YLD="&amp;S66,"YAS_YLD_CONV=2")</f>
        <v>#N/A Requesting Data...</v>
      </c>
      <c r="U66" s="23">
        <f t="shared" ca="1" si="7"/>
        <v>112.9325976436062</v>
      </c>
      <c r="V66" s="23">
        <f t="shared" ca="1" si="0"/>
        <v>112.932</v>
      </c>
      <c r="W66" s="24" t="e">
        <f t="shared" ca="1" si="1"/>
        <v>#VALUE!</v>
      </c>
      <c r="X66" s="23">
        <f ca="1">_xll.meLWOBondDV01($L66,$C$4,$S66%)</f>
        <v>686.36712328767123</v>
      </c>
      <c r="Y66" s="22" t="e">
        <f ca="1">_xll.BDP($B66,Y$6, "YLD_YTM_ASK="&amp;$S66,"YAS_YLD_CONV=3")*$Y$3*0.0001</f>
        <v>#VALUE!</v>
      </c>
      <c r="Z66" s="24" t="e">
        <f t="shared" ca="1" si="8"/>
        <v>#VALUE!</v>
      </c>
      <c r="AA66" s="23">
        <f ca="1">_xll.meLWOBondModifiedDuration($L66,$C$4,$S66%)</f>
        <v>6.0740453388289497</v>
      </c>
      <c r="AB66" s="22" t="str">
        <f ca="1">_xll.BDP($B66,AB$6, "YLD_YTM_ASK="&amp;$S66,"YAS_YLD_CONV=3")</f>
        <v>#N/A Requesting Data...</v>
      </c>
      <c r="AC66" s="24" t="e">
        <f t="shared" ca="1" si="2"/>
        <v>#VALUE!</v>
      </c>
      <c r="AD66" s="23">
        <f ca="1">_xll.meLWOBondDV01Numerical($L66,$C$4,$S66%, 0.5, "CENTRAL")</f>
        <v>725.5399885133329</v>
      </c>
      <c r="AE66" s="63" t="str">
        <f ca="1">_xll.BDP($B66,AE$6, "YAS_BOND_PX="&amp;T66)</f>
        <v>#N/A Invalid Override</v>
      </c>
      <c r="AF66" s="64" t="e">
        <f ca="1">_xll.meLWOBondCompoundYield(L66,$C$4,T66)*100</f>
        <v>#VALUE!</v>
      </c>
      <c r="AG66" s="65" t="e">
        <f t="shared" ca="1" si="3"/>
        <v>#VALUE!</v>
      </c>
      <c r="AH66" s="35" t="e">
        <f t="shared" ca="1" si="4"/>
        <v>#VALUE!</v>
      </c>
      <c r="AI66" s="63" t="str">
        <f ca="1">_xll.BDP($B66,AI$6, "PX_ASK="&amp;T66)</f>
        <v>#N/A Invalid Override</v>
      </c>
      <c r="AJ66" s="35" t="e">
        <f t="shared" ca="1" si="5"/>
        <v>#VALUE!</v>
      </c>
    </row>
    <row r="67" spans="2:36">
      <c r="B67" s="15" t="s">
        <v>896</v>
      </c>
      <c r="C67" s="15" t="s">
        <v>897</v>
      </c>
      <c r="D67" s="15" t="s">
        <v>897</v>
      </c>
      <c r="E67" s="16">
        <v>42177</v>
      </c>
      <c r="F67" s="19">
        <v>42175</v>
      </c>
      <c r="G67" s="18"/>
      <c r="H67" s="16">
        <v>42358</v>
      </c>
      <c r="I67" s="16">
        <v>45646</v>
      </c>
      <c r="J67" s="17">
        <v>4.0000000000000001E-3</v>
      </c>
      <c r="K67" s="16">
        <v>45828</v>
      </c>
      <c r="L67" s="20" t="str">
        <f ca="1">_xll.meLWOBondCreateFromGeneratorLVB(C67,$L$4,_xll.meUtilityLVBFromKeysValues($C$6:$K$6,C67:K67))</f>
        <v>JP1103391F65:1</v>
      </c>
      <c r="M67" s="92">
        <f ca="1">_xll.BDP($B67,$M$5)</f>
        <v>-6.999999999999445E-3</v>
      </c>
      <c r="N67" s="37">
        <f ca="1">_xll.meLWOBondCleanPrice($L67,$C$4,$M67%)</f>
        <v>102.71646033058452</v>
      </c>
      <c r="O67" s="37">
        <f ca="1">_xll.meLWOBondDirtyPrice($L67,$C$4,$M67%)</f>
        <v>102.8</v>
      </c>
      <c r="P67" s="87">
        <f ca="1">_xll.meLWOBondYield($L67,$C$4,N67)</f>
        <v>-7.0000000000697759E-5</v>
      </c>
      <c r="Q67" s="89">
        <f ca="1">_xll.meLWOBondModifiedDuration($L67,$C$4,$M67%)</f>
        <v>6.5840813389478177</v>
      </c>
      <c r="R67" s="23">
        <f ca="1">_xll.meLWOBondDV01($L67,$C$4,$M67%)</f>
        <v>676.84356164383564</v>
      </c>
      <c r="S67" s="85">
        <f t="shared" ca="1" si="6"/>
        <v>-6.999999999999445E-3</v>
      </c>
      <c r="T67" s="22" t="str">
        <f ca="1">_xll.BDP($B67,T$6, "YAS_BOND_SPL_YLD="&amp;S67,"YAS_YLD_CONV=2")</f>
        <v>#N/A Requesting Data...</v>
      </c>
      <c r="U67" s="23">
        <f t="shared" ca="1" si="7"/>
        <v>102.71646033058452</v>
      </c>
      <c r="V67" s="23">
        <f t="shared" ca="1" si="0"/>
        <v>102.71599999999999</v>
      </c>
      <c r="W67" s="24" t="e">
        <f t="shared" ca="1" si="1"/>
        <v>#VALUE!</v>
      </c>
      <c r="X67" s="23">
        <f ca="1">_xll.meLWOBondDV01($L67,$C$4,$S67%)</f>
        <v>676.84356164383564</v>
      </c>
      <c r="Y67" s="22" t="e">
        <f ca="1">_xll.BDP($B67,Y$6, "YLD_YTM_ASK="&amp;$S67,"YAS_YLD_CONV=3")*$Y$3*0.0001</f>
        <v>#VALUE!</v>
      </c>
      <c r="Z67" s="24" t="e">
        <f t="shared" ca="1" si="8"/>
        <v>#VALUE!</v>
      </c>
      <c r="AA67" s="23">
        <f ca="1">_xll.meLWOBondModifiedDuration($L67,$C$4,$S67%)</f>
        <v>6.5840813389478177</v>
      </c>
      <c r="AB67" s="22" t="str">
        <f ca="1">_xll.BDP($B67,AB$6, "YLD_YTM_ASK="&amp;$S67,"YAS_YLD_CONV=3")</f>
        <v>#N/A Requesting Data...</v>
      </c>
      <c r="AC67" s="24" t="e">
        <f t="shared" ca="1" si="2"/>
        <v>#VALUE!</v>
      </c>
      <c r="AD67" s="23">
        <f ca="1">_xll.meLWOBondDV01Numerical($L67,$C$4,$S67%, 0.5, "CENTRAL")</f>
        <v>685.56565321969742</v>
      </c>
      <c r="AE67" s="63" t="str">
        <f ca="1">_xll.BDP($B67,AE$6, "YAS_BOND_PX="&amp;T67)</f>
        <v>#N/A Invalid Override</v>
      </c>
      <c r="AF67" s="64" t="e">
        <f ca="1">_xll.meLWOBondCompoundYield(L67,$C$4,T67)*100</f>
        <v>#VALUE!</v>
      </c>
      <c r="AG67" s="65" t="e">
        <f t="shared" ca="1" si="3"/>
        <v>#VALUE!</v>
      </c>
      <c r="AH67" s="35" t="e">
        <f t="shared" ca="1" si="4"/>
        <v>#VALUE!</v>
      </c>
      <c r="AI67" s="63" t="str">
        <f ca="1">_xll.BDP($B67,AI$6, "PX_ASK="&amp;T67)</f>
        <v>#N/A Invalid Override</v>
      </c>
      <c r="AJ67" s="35" t="e">
        <f t="shared" ca="1" si="5"/>
        <v>#VALUE!</v>
      </c>
    </row>
    <row r="68" spans="2:36">
      <c r="B68" s="15" t="s">
        <v>898</v>
      </c>
      <c r="C68" s="15" t="s">
        <v>899</v>
      </c>
      <c r="D68" s="15" t="s">
        <v>899</v>
      </c>
      <c r="E68" s="16">
        <v>38594</v>
      </c>
      <c r="F68" s="19">
        <v>38523</v>
      </c>
      <c r="G68" s="18"/>
      <c r="H68" s="16">
        <v>38706</v>
      </c>
      <c r="I68" s="16">
        <v>45646</v>
      </c>
      <c r="J68" s="17">
        <v>2.1000000000000001E-2</v>
      </c>
      <c r="K68" s="16">
        <v>45828</v>
      </c>
      <c r="L68" s="20" t="str">
        <f ca="1">_xll.meLWOBondCreateFromGeneratorLVB(C68,$L$4,_xll.meUtilityLVBFromKeysValues($C$6:$K$6,C68:K68))</f>
        <v>JP1200801585:1</v>
      </c>
      <c r="M68" s="92">
        <f ca="1">_xll.BDP($B68,$M$5)</f>
        <v>-1.9999999999992576E-3</v>
      </c>
      <c r="N68" s="37">
        <f ca="1">_xll.meLWOBondCleanPrice($L68,$C$4,$M68%)</f>
        <v>114.02480276135474</v>
      </c>
      <c r="O68" s="37">
        <f ca="1">_xll.meLWOBondDirtyPrice($L68,$C$4,$M68%)</f>
        <v>114.7</v>
      </c>
      <c r="P68" s="87">
        <f ca="1">_xll.meLWOBondYield($L68,$C$4,N68)</f>
        <v>-2.0000000000357036E-5</v>
      </c>
      <c r="Q68" s="89">
        <f ca="1">_xll.meLWOBondModifiedDuration($L68,$C$4,$M68%)</f>
        <v>6.2560813796562806</v>
      </c>
      <c r="R68" s="23">
        <f ca="1">_xll.meLWOBondDV01($L68,$C$4,$M68%)</f>
        <v>717.5725342465754</v>
      </c>
      <c r="S68" s="85">
        <f t="shared" ca="1" si="6"/>
        <v>-1.9999999999992576E-3</v>
      </c>
      <c r="T68" s="22" t="str">
        <f ca="1">_xll.BDP($B68,T$6, "YAS_BOND_SPL_YLD="&amp;S68,"YAS_YLD_CONV=2")</f>
        <v>#N/A Requesting Data...</v>
      </c>
      <c r="U68" s="23">
        <f t="shared" ca="1" si="7"/>
        <v>114.02480276135474</v>
      </c>
      <c r="V68" s="23">
        <f t="shared" ca="1" si="0"/>
        <v>114.024</v>
      </c>
      <c r="W68" s="24" t="e">
        <f t="shared" ca="1" si="1"/>
        <v>#VALUE!</v>
      </c>
      <c r="X68" s="23">
        <f ca="1">_xll.meLWOBondDV01($L68,$C$4,$S68%)</f>
        <v>717.5725342465754</v>
      </c>
      <c r="Y68" s="22" t="e">
        <f ca="1">_xll.BDP($B68,Y$6, "YLD_YTM_ASK="&amp;$S68,"YAS_YLD_CONV=3")*$Y$3*0.0001</f>
        <v>#VALUE!</v>
      </c>
      <c r="Z68" s="24" t="e">
        <f t="shared" ca="1" si="8"/>
        <v>#VALUE!</v>
      </c>
      <c r="AA68" s="23">
        <f ca="1">_xll.meLWOBondModifiedDuration($L68,$C$4,$S68%)</f>
        <v>6.2560813796562806</v>
      </c>
      <c r="AB68" s="22" t="str">
        <f ca="1">_xll.BDP($B68,AB$6, "YLD_YTM_ASK="&amp;$S68,"YAS_YLD_CONV=3")</f>
        <v>#N/A Requesting Data...</v>
      </c>
      <c r="AC68" s="24" t="e">
        <f t="shared" ca="1" si="2"/>
        <v>#VALUE!</v>
      </c>
      <c r="AD68" s="23">
        <f ca="1">_xll.meLWOBondDV01Numerical($L68,$C$4,$S68%, 0.5, "CENTRAL")</f>
        <v>760.78760542685586</v>
      </c>
      <c r="AE68" s="63" t="str">
        <f ca="1">_xll.BDP($B68,AE$6, "YAS_BOND_PX="&amp;T68)</f>
        <v>#N/A Invalid Override</v>
      </c>
      <c r="AF68" s="64" t="e">
        <f ca="1">_xll.meLWOBondCompoundYield(L68,$C$4,T68)*100</f>
        <v>#VALUE!</v>
      </c>
      <c r="AG68" s="65" t="e">
        <f t="shared" ca="1" si="3"/>
        <v>#VALUE!</v>
      </c>
      <c r="AH68" s="35" t="e">
        <f t="shared" ca="1" si="4"/>
        <v>#VALUE!</v>
      </c>
      <c r="AI68" s="63" t="str">
        <f ca="1">_xll.BDP($B68,AI$6, "PX_ASK="&amp;T68)</f>
        <v>#N/A Invalid Override</v>
      </c>
      <c r="AJ68" s="35" t="e">
        <f t="shared" ca="1" si="5"/>
        <v>#VALUE!</v>
      </c>
    </row>
    <row r="69" spans="2:36">
      <c r="B69" s="15" t="s">
        <v>900</v>
      </c>
      <c r="C69" s="15" t="s">
        <v>901</v>
      </c>
      <c r="D69" s="15" t="s">
        <v>901</v>
      </c>
      <c r="E69" s="16">
        <v>38562</v>
      </c>
      <c r="F69" s="19">
        <v>38523</v>
      </c>
      <c r="G69" s="18"/>
      <c r="H69" s="16">
        <v>38706</v>
      </c>
      <c r="I69" s="16">
        <v>45646</v>
      </c>
      <c r="J69" s="17">
        <v>0.02</v>
      </c>
      <c r="K69" s="16">
        <v>45828</v>
      </c>
      <c r="L69" s="20" t="str">
        <f ca="1">_xll.meLWOBondCreateFromGeneratorLVB(C69,$L$4,_xll.meUtilityLVBFromKeysValues($C$6:$K$6,C69:K69))</f>
        <v>JP1200791570:1</v>
      </c>
      <c r="M69" s="92">
        <f ca="1">_xll.BDP($B69,$M$5)</f>
        <v>-3.0000000000004641E-3</v>
      </c>
      <c r="N69" s="37">
        <f ca="1">_xll.meLWOBondCleanPrice($L69,$C$4,$M69%)</f>
        <v>113.36515431376061</v>
      </c>
      <c r="O69" s="37">
        <f ca="1">_xll.meLWOBondDirtyPrice($L69,$C$4,$M69%)</f>
        <v>113.99999999999999</v>
      </c>
      <c r="P69" s="87">
        <f ca="1">_xll.meLWOBondYield($L69,$C$4,N69)</f>
        <v>-3.000000000052182E-5</v>
      </c>
      <c r="Q69" s="89">
        <f ca="1">_xll.meLWOBondModifiedDuration($L69,$C$4,$M69%)</f>
        <v>6.2734799327084847</v>
      </c>
      <c r="R69" s="23">
        <f ca="1">_xll.meLWOBondDV01($L69,$C$4,$M69%)</f>
        <v>715.17671232876717</v>
      </c>
      <c r="S69" s="85">
        <f t="shared" ca="1" si="6"/>
        <v>-3.0000000000004641E-3</v>
      </c>
      <c r="T69" s="22" t="str">
        <f ca="1">_xll.BDP($B69,T$6, "YAS_BOND_SPL_YLD="&amp;S69,"YAS_YLD_CONV=2")</f>
        <v>#N/A Requesting Data...</v>
      </c>
      <c r="U69" s="23">
        <f t="shared" ca="1" si="7"/>
        <v>113.36515431376061</v>
      </c>
      <c r="V69" s="23">
        <f t="shared" ca="1" si="0"/>
        <v>113.36499999999999</v>
      </c>
      <c r="W69" s="24" t="e">
        <f t="shared" ca="1" si="1"/>
        <v>#VALUE!</v>
      </c>
      <c r="X69" s="23">
        <f ca="1">_xll.meLWOBondDV01($L69,$C$4,$S69%)</f>
        <v>715.17671232876717</v>
      </c>
      <c r="Y69" s="22" t="e">
        <f ca="1">_xll.BDP($B69,Y$6, "YLD_YTM_ASK="&amp;$S69,"YAS_YLD_CONV=3")*$Y$3*0.0001</f>
        <v>#VALUE!</v>
      </c>
      <c r="Z69" s="24" t="e">
        <f t="shared" ca="1" si="8"/>
        <v>#VALUE!</v>
      </c>
      <c r="AA69" s="23">
        <f ca="1">_xll.meLWOBondModifiedDuration($L69,$C$4,$S69%)</f>
        <v>6.2734799327084847</v>
      </c>
      <c r="AB69" s="22" t="str">
        <f ca="1">_xll.BDP($B69,AB$6, "YLD_YTM_ASK="&amp;$S69,"YAS_YLD_CONV=3")</f>
        <v>#N/A Requesting Data...</v>
      </c>
      <c r="AC69" s="24" t="e">
        <f t="shared" ca="1" si="2"/>
        <v>#VALUE!</v>
      </c>
      <c r="AD69" s="23">
        <f ca="1">_xll.meLWOBondDV01Numerical($L69,$C$4,$S69%, 0.5, "CENTRAL")</f>
        <v>756.43681969737031</v>
      </c>
      <c r="AE69" s="63" t="str">
        <f ca="1">_xll.BDP($B69,AE$6, "YAS_BOND_PX="&amp;T69)</f>
        <v>#N/A Invalid Override</v>
      </c>
      <c r="AF69" s="64" t="e">
        <f ca="1">_xll.meLWOBondCompoundYield(L69,$C$4,T69)*100</f>
        <v>#VALUE!</v>
      </c>
      <c r="AG69" s="65" t="e">
        <f t="shared" ca="1" si="3"/>
        <v>#VALUE!</v>
      </c>
      <c r="AH69" s="35" t="e">
        <f t="shared" ca="1" si="4"/>
        <v>#VALUE!</v>
      </c>
      <c r="AI69" s="63" t="str">
        <f ca="1">_xll.BDP($B69,AI$6, "PX_ASK="&amp;T69)</f>
        <v>#N/A Invalid Override</v>
      </c>
      <c r="AJ69" s="35" t="e">
        <f t="shared" ca="1" si="5"/>
        <v>#VALUE!</v>
      </c>
    </row>
    <row r="70" spans="2:36">
      <c r="B70" s="15" t="s">
        <v>902</v>
      </c>
      <c r="C70" s="15" t="s">
        <v>903</v>
      </c>
      <c r="D70" s="15" t="s">
        <v>903</v>
      </c>
      <c r="E70" s="16">
        <v>38530</v>
      </c>
      <c r="F70" s="19">
        <v>38523</v>
      </c>
      <c r="G70" s="18"/>
      <c r="H70" s="16">
        <v>38706</v>
      </c>
      <c r="I70" s="16">
        <v>45646</v>
      </c>
      <c r="J70" s="17">
        <v>1.9E-2</v>
      </c>
      <c r="K70" s="16">
        <v>45828</v>
      </c>
      <c r="L70" s="20" t="str">
        <f ca="1">_xll.meLWOBondCreateFromGeneratorLVB(C70,$L$4,_xll.meUtilityLVBFromKeysValues($C$6:$K$6,C70:K70))</f>
        <v>JP1200781563:1</v>
      </c>
      <c r="M70" s="92">
        <f ca="1">_xll.BDP($B70,$M$5)</f>
        <v>-2.9999999999997889E-3</v>
      </c>
      <c r="N70" s="37">
        <f ca="1">_xll.meLWOBondCleanPrice($L70,$C$4,$M70%)</f>
        <v>112.69789748331824</v>
      </c>
      <c r="O70" s="37">
        <f ca="1">_xll.meLWOBondDirtyPrice($L70,$C$4,$M70%)</f>
        <v>113.3</v>
      </c>
      <c r="P70" s="87">
        <f ca="1">_xll.meLWOBondYield($L70,$C$4,N70)</f>
        <v>-2.9999999999690119E-5</v>
      </c>
      <c r="Q70" s="89">
        <f ca="1">_xll.meLWOBondModifiedDuration($L70,$C$4,$M70%)</f>
        <v>6.2910934722944312</v>
      </c>
      <c r="R70" s="23">
        <f ca="1">_xll.meLWOBondDV01($L70,$C$4,$M70%)</f>
        <v>712.78089041095905</v>
      </c>
      <c r="S70" s="85">
        <f t="shared" ca="1" si="6"/>
        <v>-2.9999999999997889E-3</v>
      </c>
      <c r="T70" s="22" t="str">
        <f ca="1">_xll.BDP($B70,T$6, "YAS_BOND_SPL_YLD="&amp;S70,"YAS_YLD_CONV=2")</f>
        <v>#N/A Requesting Data...</v>
      </c>
      <c r="U70" s="23">
        <f t="shared" ca="1" si="7"/>
        <v>112.69789748331824</v>
      </c>
      <c r="V70" s="23">
        <f t="shared" ca="1" si="0"/>
        <v>112.697</v>
      </c>
      <c r="W70" s="24" t="e">
        <f t="shared" ca="1" si="1"/>
        <v>#VALUE!</v>
      </c>
      <c r="X70" s="23">
        <f ca="1">_xll.meLWOBondDV01($L70,$C$4,$S70%)</f>
        <v>712.78089041095905</v>
      </c>
      <c r="Y70" s="22" t="e">
        <f ca="1">_xll.BDP($B70,Y$6, "YLD_YTM_ASK="&amp;$S70,"YAS_YLD_CONV=3")*$Y$3*0.0001</f>
        <v>#VALUE!</v>
      </c>
      <c r="Z70" s="24" t="e">
        <f t="shared" ca="1" si="8"/>
        <v>#VALUE!</v>
      </c>
      <c r="AA70" s="23">
        <f ca="1">_xll.meLWOBondModifiedDuration($L70,$C$4,$S70%)</f>
        <v>6.2910934722944312</v>
      </c>
      <c r="AB70" s="22" t="str">
        <f ca="1">_xll.BDP($B70,AB$6, "YLD_YTM_ASK="&amp;$S70,"YAS_YLD_CONV=3")</f>
        <v>#N/A Requesting Data...</v>
      </c>
      <c r="AC70" s="24" t="e">
        <f t="shared" ca="1" si="2"/>
        <v>#VALUE!</v>
      </c>
      <c r="AD70" s="23">
        <f ca="1">_xll.meLWOBondDV01Numerical($L70,$C$4,$S70%, 0.5, "CENTRAL")</f>
        <v>751.98450242410786</v>
      </c>
      <c r="AE70" s="63" t="str">
        <f ca="1">_xll.BDP($B70,AE$6, "YAS_BOND_PX="&amp;T70)</f>
        <v>#N/A Invalid Override</v>
      </c>
      <c r="AF70" s="64" t="e">
        <f ca="1">_xll.meLWOBondCompoundYield(L70,$C$4,T70)*100</f>
        <v>#VALUE!</v>
      </c>
      <c r="AG70" s="65" t="e">
        <f t="shared" ca="1" si="3"/>
        <v>#VALUE!</v>
      </c>
      <c r="AH70" s="35" t="e">
        <f t="shared" ca="1" si="4"/>
        <v>#VALUE!</v>
      </c>
      <c r="AI70" s="63" t="str">
        <f ca="1">_xll.BDP($B70,AI$6, "PX_ASK="&amp;T70)</f>
        <v>#N/A Invalid Override</v>
      </c>
      <c r="AJ70" s="35" t="e">
        <f t="shared" ca="1" si="5"/>
        <v>#VALUE!</v>
      </c>
    </row>
    <row r="71" spans="2:36">
      <c r="B71" s="15" t="s">
        <v>904</v>
      </c>
      <c r="C71" s="15" t="s">
        <v>905</v>
      </c>
      <c r="D71" s="15" t="s">
        <v>905</v>
      </c>
      <c r="E71" s="16">
        <v>42271</v>
      </c>
      <c r="F71" s="19">
        <v>42267</v>
      </c>
      <c r="G71" s="18"/>
      <c r="H71" s="16">
        <v>42449</v>
      </c>
      <c r="I71" s="16">
        <v>45736</v>
      </c>
      <c r="J71" s="17">
        <v>4.0000000000000001E-3</v>
      </c>
      <c r="K71" s="16">
        <v>45920</v>
      </c>
      <c r="L71" s="20" t="str">
        <f ca="1">_xll.meLWOBondCreateFromGeneratorLVB(C71,$L$4,_xll.meUtilityLVBFromKeysValues($C$6:$K$6,C71:K71))</f>
        <v>JP1103401F97:1</v>
      </c>
      <c r="M71" s="92">
        <f ca="1">_xll.BDP($B71,$M$5)</f>
        <v>-1.000000000000092E-3</v>
      </c>
      <c r="N71" s="37">
        <f ca="1">_xll.meLWOBondCleanPrice($L71,$C$4,$M71%)</f>
        <v>102.77643057644019</v>
      </c>
      <c r="O71" s="37">
        <f ca="1">_xll.meLWOBondDirtyPrice($L71,$C$4,$M71%)</f>
        <v>102.8</v>
      </c>
      <c r="P71" s="87">
        <f ca="1">_xll.meLWOBondYield($L71,$C$4,N71)</f>
        <v>-9.9999999997520895E-6</v>
      </c>
      <c r="Q71" s="89">
        <f ca="1">_xll.meLWOBondModifiedDuration($L71,$C$4,$M71%)</f>
        <v>6.8306566814135721</v>
      </c>
      <c r="R71" s="23">
        <f ca="1">_xll.meLWOBondDV01($L71,$C$4,$M71%)</f>
        <v>702.19150684931515</v>
      </c>
      <c r="S71" s="85">
        <f t="shared" ca="1" si="6"/>
        <v>-1.000000000000092E-3</v>
      </c>
      <c r="T71" s="22" t="str">
        <f ca="1">_xll.BDP($B71,T$6, "YAS_BOND_SPL_YLD="&amp;S71,"YAS_YLD_CONV=2")</f>
        <v>#N/A Requesting Data...</v>
      </c>
      <c r="U71" s="23">
        <f t="shared" ca="1" si="7"/>
        <v>102.77643057644019</v>
      </c>
      <c r="V71" s="23">
        <f t="shared" ref="V71:V134" ca="1" si="9">TRUNC(U71,3)</f>
        <v>102.776</v>
      </c>
      <c r="W71" s="24" t="e">
        <f t="shared" ref="W71:W134" ca="1" si="10">ABS(V71-T71)</f>
        <v>#VALUE!</v>
      </c>
      <c r="X71" s="23">
        <f ca="1">_xll.meLWOBondDV01($L71,$C$4,$S71%)</f>
        <v>702.19150684931515</v>
      </c>
      <c r="Y71" s="22" t="e">
        <f ca="1">_xll.BDP($B71,Y$6, "YLD_YTM_ASK="&amp;$S71,"YAS_YLD_CONV=3")*$Y$3*0.0001</f>
        <v>#VALUE!</v>
      </c>
      <c r="Z71" s="24" t="e">
        <f t="shared" ref="Z71:Z134" ca="1" si="11">ABS(Y71-X71)</f>
        <v>#VALUE!</v>
      </c>
      <c r="AA71" s="23">
        <f ca="1">_xll.meLWOBondModifiedDuration($L71,$C$4,$S71%)</f>
        <v>6.8306566814135721</v>
      </c>
      <c r="AB71" s="22" t="str">
        <f ca="1">_xll.BDP($B71,AB$6, "YLD_YTM_ASK="&amp;$S71,"YAS_YLD_CONV=3")</f>
        <v>#N/A Requesting Data...</v>
      </c>
      <c r="AC71" s="24" t="e">
        <f t="shared" ref="AC71:AC134" ca="1" si="12">ABS(AB71-AA71)</f>
        <v>#VALUE!</v>
      </c>
      <c r="AD71" s="23">
        <f ca="1">_xll.meLWOBondDV01Numerical($L71,$C$4,$S71%, 0.5, "CENTRAL")</f>
        <v>711.600146105269</v>
      </c>
      <c r="AE71" s="63" t="str">
        <f ca="1">_xll.BDP($B71,AE$6, "YAS_BOND_PX="&amp;T71)</f>
        <v>#N/A Invalid Override</v>
      </c>
      <c r="AF71" s="64" t="e">
        <f ca="1">_xll.meLWOBondCompoundYield(L71,$C$4,T71)*100</f>
        <v>#VALUE!</v>
      </c>
      <c r="AG71" s="65" t="e">
        <f t="shared" ref="AG71:AG134" ca="1" si="13">TRUNC(AF71, 3)</f>
        <v>#VALUE!</v>
      </c>
      <c r="AH71" s="35" t="e">
        <f t="shared" ref="AH71:AH134" ca="1" si="14">ABS(AG71-AE71)*10000</f>
        <v>#VALUE!</v>
      </c>
      <c r="AI71" s="63" t="str">
        <f ca="1">_xll.BDP($B71,AI$6, "PX_ASK="&amp;T71)</f>
        <v>#N/A Invalid Override</v>
      </c>
      <c r="AJ71" s="35" t="e">
        <f t="shared" ref="AJ71:AJ134" ca="1" si="15">ABS(AI71-AF71)*10000</f>
        <v>#VALUE!</v>
      </c>
    </row>
    <row r="72" spans="2:36">
      <c r="B72" s="15" t="s">
        <v>906</v>
      </c>
      <c r="C72" s="15" t="s">
        <v>907</v>
      </c>
      <c r="D72" s="15" t="s">
        <v>907</v>
      </c>
      <c r="E72" s="16">
        <v>38625</v>
      </c>
      <c r="F72" s="19">
        <v>38615</v>
      </c>
      <c r="G72" s="18"/>
      <c r="H72" s="16">
        <v>38796</v>
      </c>
      <c r="I72" s="16">
        <v>45736</v>
      </c>
      <c r="J72" s="17">
        <v>0.02</v>
      </c>
      <c r="K72" s="16">
        <v>45920</v>
      </c>
      <c r="L72" s="20" t="str">
        <f ca="1">_xll.meLWOBondCreateFromGeneratorLVB(C72,$L$4,_xll.meUtilityLVBFromKeysValues($C$6:$K$6,C72:K72))</f>
        <v>JP1200811592:1</v>
      </c>
      <c r="M72" s="92">
        <f ca="1">_xll.BDP($B72,$M$5)</f>
        <v>2.0000000000005365E-3</v>
      </c>
      <c r="N72" s="37">
        <f ca="1">_xll.meLWOBondCleanPrice($L72,$C$4,$M72%)</f>
        <v>113.83081367308756</v>
      </c>
      <c r="O72" s="37">
        <f ca="1">_xll.meLWOBondDirtyPrice($L72,$C$4,$M72%)</f>
        <v>113.99999999999999</v>
      </c>
      <c r="P72" s="87">
        <f ca="1">_xll.meLWOBondYield($L72,$C$4,N72)</f>
        <v>1.9999999999447987E-5</v>
      </c>
      <c r="Q72" s="89">
        <f ca="1">_xll.meLWOBondModifiedDuration($L72,$C$4,$M72%)</f>
        <v>6.5200552751742382</v>
      </c>
      <c r="R72" s="23">
        <f ca="1">_xll.meLWOBondDV01($L72,$C$4,$M72%)</f>
        <v>743.28630136986305</v>
      </c>
      <c r="S72" s="85">
        <f t="shared" ref="S72:S135" ca="1" si="16">M72</f>
        <v>2.0000000000005365E-3</v>
      </c>
      <c r="T72" s="22" t="str">
        <f ca="1">_xll.BDP($B72,T$6, "YAS_BOND_SPL_YLD="&amp;S72,"YAS_YLD_CONV=2")</f>
        <v>#N/A Requesting Data...</v>
      </c>
      <c r="U72" s="23">
        <f t="shared" ref="U72:U135" ca="1" si="17">N72</f>
        <v>113.83081367308756</v>
      </c>
      <c r="V72" s="23">
        <f t="shared" ca="1" si="9"/>
        <v>113.83</v>
      </c>
      <c r="W72" s="24" t="e">
        <f t="shared" ca="1" si="10"/>
        <v>#VALUE!</v>
      </c>
      <c r="X72" s="23">
        <f ca="1">_xll.meLWOBondDV01($L72,$C$4,$S72%)</f>
        <v>743.28630136986305</v>
      </c>
      <c r="Y72" s="22" t="e">
        <f ca="1">_xll.BDP($B72,Y$6, "YLD_YTM_ASK="&amp;$S72,"YAS_YLD_CONV=3")*$Y$3*0.0001</f>
        <v>#VALUE!</v>
      </c>
      <c r="Z72" s="24" t="e">
        <f t="shared" ca="1" si="11"/>
        <v>#VALUE!</v>
      </c>
      <c r="AA72" s="23">
        <f ca="1">_xll.meLWOBondModifiedDuration($L72,$C$4,$S72%)</f>
        <v>6.5200552751742382</v>
      </c>
      <c r="AB72" s="22" t="str">
        <f ca="1">_xll.BDP($B72,AB$6, "YLD_YTM_ASK="&amp;$S72,"YAS_YLD_CONV=3")</f>
        <v>#N/A Requesting Data...</v>
      </c>
      <c r="AC72" s="24" t="e">
        <f t="shared" ca="1" si="12"/>
        <v>#VALUE!</v>
      </c>
      <c r="AD72" s="23">
        <f ca="1">_xll.meLWOBondDV01Numerical($L72,$C$4,$S72%, 0.5, "CENTRAL")</f>
        <v>787.97445584228853</v>
      </c>
      <c r="AE72" s="63" t="str">
        <f ca="1">_xll.BDP($B72,AE$6, "YAS_BOND_PX="&amp;T72)</f>
        <v>#N/A Invalid Override</v>
      </c>
      <c r="AF72" s="64" t="e">
        <f ca="1">_xll.meLWOBondCompoundYield(L72,$C$4,T72)*100</f>
        <v>#VALUE!</v>
      </c>
      <c r="AG72" s="65" t="e">
        <f t="shared" ca="1" si="13"/>
        <v>#VALUE!</v>
      </c>
      <c r="AH72" s="35" t="e">
        <f t="shared" ca="1" si="14"/>
        <v>#VALUE!</v>
      </c>
      <c r="AI72" s="63" t="str">
        <f ca="1">_xll.BDP($B72,AI$6, "PX_ASK="&amp;T72)</f>
        <v>#N/A Invalid Override</v>
      </c>
      <c r="AJ72" s="35" t="e">
        <f t="shared" ca="1" si="15"/>
        <v>#VALUE!</v>
      </c>
    </row>
    <row r="73" spans="2:36">
      <c r="B73" s="15" t="s">
        <v>908</v>
      </c>
      <c r="C73" s="15" t="s">
        <v>909</v>
      </c>
      <c r="D73" s="15" t="s">
        <v>909</v>
      </c>
      <c r="E73" s="16">
        <v>38656</v>
      </c>
      <c r="F73" s="19">
        <v>38615</v>
      </c>
      <c r="G73" s="18"/>
      <c r="H73" s="16">
        <v>38796</v>
      </c>
      <c r="I73" s="16">
        <v>45736</v>
      </c>
      <c r="J73" s="17">
        <v>2.1000000000000001E-2</v>
      </c>
      <c r="K73" s="16">
        <v>45920</v>
      </c>
      <c r="L73" s="20" t="str">
        <f ca="1">_xll.meLWOBondCreateFromGeneratorLVB(C73,$L$4,_xll.meUtilityLVBFromKeysValues($C$6:$K$6,C73:K73))</f>
        <v>JP12008215A7:1</v>
      </c>
      <c r="M73" s="92">
        <f ca="1">_xll.BDP($B73,$M$5)</f>
        <v>2.9999999999994436E-3</v>
      </c>
      <c r="N73" s="37">
        <f ca="1">_xll.meLWOBondCleanPrice($L73,$C$4,$M73%)</f>
        <v>114.51511947614388</v>
      </c>
      <c r="O73" s="37">
        <f ca="1">_xll.meLWOBondDirtyPrice($L73,$C$4,$M73%)</f>
        <v>114.7</v>
      </c>
      <c r="P73" s="87">
        <f ca="1">_xll.meLWOBondYield($L73,$C$4,N73)</f>
        <v>2.9999999999845854E-5</v>
      </c>
      <c r="Q73" s="89">
        <f ca="1">_xll.meLWOBondModifiedDuration($L73,$C$4,$M73%)</f>
        <v>6.5026567221220342</v>
      </c>
      <c r="R73" s="23">
        <f ca="1">_xll.meLWOBondDV01($L73,$C$4,$M73%)</f>
        <v>745.85472602739731</v>
      </c>
      <c r="S73" s="85">
        <f t="shared" ca="1" si="16"/>
        <v>2.9999999999994436E-3</v>
      </c>
      <c r="T73" s="22" t="str">
        <f ca="1">_xll.BDP($B73,T$6, "YAS_BOND_SPL_YLD="&amp;S73,"YAS_YLD_CONV=2")</f>
        <v>#N/A Requesting Data...</v>
      </c>
      <c r="U73" s="23">
        <f t="shared" ca="1" si="17"/>
        <v>114.51511947614388</v>
      </c>
      <c r="V73" s="23">
        <f t="shared" ca="1" si="9"/>
        <v>114.515</v>
      </c>
      <c r="W73" s="24" t="e">
        <f t="shared" ca="1" si="10"/>
        <v>#VALUE!</v>
      </c>
      <c r="X73" s="23">
        <f ca="1">_xll.meLWOBondDV01($L73,$C$4,$S73%)</f>
        <v>745.85472602739731</v>
      </c>
      <c r="Y73" s="22" t="e">
        <f ca="1">_xll.BDP($B73,Y$6, "YLD_YTM_ASK="&amp;$S73,"YAS_YLD_CONV=3")*$Y$3*0.0001</f>
        <v>#VALUE!</v>
      </c>
      <c r="Z73" s="24" t="e">
        <f t="shared" ca="1" si="11"/>
        <v>#VALUE!</v>
      </c>
      <c r="AA73" s="23">
        <f ca="1">_xll.meLWOBondModifiedDuration($L73,$C$4,$S73%)</f>
        <v>6.5026567221220342</v>
      </c>
      <c r="AB73" s="22" t="str">
        <f ca="1">_xll.BDP($B73,AB$6, "YLD_YTM_ASK="&amp;$S73,"YAS_YLD_CONV=3")</f>
        <v>#N/A Requesting Data...</v>
      </c>
      <c r="AC73" s="24" t="e">
        <f t="shared" ca="1" si="12"/>
        <v>#VALUE!</v>
      </c>
      <c r="AD73" s="23">
        <f ca="1">_xll.meLWOBondDV01Numerical($L73,$C$4,$S73%, 0.5, "CENTRAL")</f>
        <v>792.65657611799156</v>
      </c>
      <c r="AE73" s="63" t="str">
        <f ca="1">_xll.BDP($B73,AE$6, "YAS_BOND_PX="&amp;T73)</f>
        <v>#N/A Invalid Override</v>
      </c>
      <c r="AF73" s="64" t="e">
        <f ca="1">_xll.meLWOBondCompoundYield(L73,$C$4,T73)*100</f>
        <v>#VALUE!</v>
      </c>
      <c r="AG73" s="65" t="e">
        <f t="shared" ca="1" si="13"/>
        <v>#VALUE!</v>
      </c>
      <c r="AH73" s="35" t="e">
        <f t="shared" ca="1" si="14"/>
        <v>#VALUE!</v>
      </c>
      <c r="AI73" s="63" t="str">
        <f ca="1">_xll.BDP($B73,AI$6, "PX_ASK="&amp;T73)</f>
        <v>#N/A Invalid Override</v>
      </c>
      <c r="AJ73" s="35" t="e">
        <f t="shared" ca="1" si="15"/>
        <v>#VALUE!</v>
      </c>
    </row>
    <row r="74" spans="2:36">
      <c r="B74" s="15" t="s">
        <v>910</v>
      </c>
      <c r="C74" s="15" t="s">
        <v>911</v>
      </c>
      <c r="D74" s="15" t="s">
        <v>911</v>
      </c>
      <c r="E74" s="16">
        <v>42359</v>
      </c>
      <c r="F74" s="19">
        <v>42358</v>
      </c>
      <c r="G74" s="18"/>
      <c r="H74" s="16">
        <v>42541</v>
      </c>
      <c r="I74" s="16">
        <v>45828</v>
      </c>
      <c r="J74" s="17">
        <v>3.0000000000000001E-3</v>
      </c>
      <c r="K74" s="16">
        <v>46011</v>
      </c>
      <c r="L74" s="20" t="str">
        <f ca="1">_xll.meLWOBondCreateFromGeneratorLVB(C74,$L$4,_xll.meUtilityLVBFromKeysValues($C$6:$K$6,C74:K74))</f>
        <v>JP1103411FC6:1</v>
      </c>
      <c r="M74" s="92">
        <f ca="1">_xll.BDP($B74,$M$5)</f>
        <v>8.0000000000022761E-3</v>
      </c>
      <c r="N74" s="37">
        <f ca="1">_xll.meLWOBondCleanPrice($L74,$C$4,$M74%)</f>
        <v>102.09319890526378</v>
      </c>
      <c r="O74" s="37">
        <f ca="1">_xll.meLWOBondDirtyPrice($L74,$C$4,$M74%)</f>
        <v>102.25</v>
      </c>
      <c r="P74" s="87">
        <f ca="1">_xll.meLWOBondYield($L74,$C$4,N74)</f>
        <v>7.999999999970158E-5</v>
      </c>
      <c r="Q74" s="89">
        <f ca="1">_xll.meLWOBondModifiedDuration($L74,$C$4,$M74%)</f>
        <v>7.0955856248116023</v>
      </c>
      <c r="R74" s="23">
        <f ca="1">_xll.meLWOBondDV01($L74,$C$4,$M74%)</f>
        <v>725.5236301369863</v>
      </c>
      <c r="S74" s="85">
        <f t="shared" ca="1" si="16"/>
        <v>8.0000000000022761E-3</v>
      </c>
      <c r="T74" s="22" t="str">
        <f ca="1">_xll.BDP($B74,T$6, "YAS_BOND_SPL_YLD="&amp;S74,"YAS_YLD_CONV=2")</f>
        <v>#N/A Requesting Data...</v>
      </c>
      <c r="U74" s="23">
        <f t="shared" ca="1" si="17"/>
        <v>102.09319890526378</v>
      </c>
      <c r="V74" s="23">
        <f t="shared" ca="1" si="9"/>
        <v>102.093</v>
      </c>
      <c r="W74" s="24" t="e">
        <f t="shared" ca="1" si="10"/>
        <v>#VALUE!</v>
      </c>
      <c r="X74" s="23">
        <f ca="1">_xll.meLWOBondDV01($L74,$C$4,$S74%)</f>
        <v>725.5236301369863</v>
      </c>
      <c r="Y74" s="22" t="e">
        <f ca="1">_xll.BDP($B74,Y$6, "YLD_YTM_ASK="&amp;$S74,"YAS_YLD_CONV=3")*$Y$3*0.0001</f>
        <v>#VALUE!</v>
      </c>
      <c r="Z74" s="24" t="e">
        <f t="shared" ca="1" si="11"/>
        <v>#VALUE!</v>
      </c>
      <c r="AA74" s="23">
        <f ca="1">_xll.meLWOBondModifiedDuration($L74,$C$4,$S74%)</f>
        <v>7.0955856248116023</v>
      </c>
      <c r="AB74" s="22" t="str">
        <f ca="1">_xll.BDP($B74,AB$6, "YLD_YTM_ASK="&amp;$S74,"YAS_YLD_CONV=3")</f>
        <v>#N/A Requesting Data...</v>
      </c>
      <c r="AC74" s="24" t="e">
        <f t="shared" ca="1" si="12"/>
        <v>#VALUE!</v>
      </c>
      <c r="AD74" s="23">
        <f ca="1">_xll.meLWOBondDV01Numerical($L74,$C$4,$S74%, 0.5, "CENTRAL")</f>
        <v>731.85410834653908</v>
      </c>
      <c r="AE74" s="63" t="str">
        <f ca="1">_xll.BDP($B74,AE$6, "YAS_BOND_PX="&amp;T74)</f>
        <v>#N/A Invalid Override</v>
      </c>
      <c r="AF74" s="64" t="e">
        <f ca="1">_xll.meLWOBondCompoundYield(L74,$C$4,T74)*100</f>
        <v>#VALUE!</v>
      </c>
      <c r="AG74" s="65" t="e">
        <f t="shared" ca="1" si="13"/>
        <v>#VALUE!</v>
      </c>
      <c r="AH74" s="35" t="e">
        <f t="shared" ca="1" si="14"/>
        <v>#VALUE!</v>
      </c>
      <c r="AI74" s="63" t="str">
        <f ca="1">_xll.BDP($B74,AI$6, "PX_ASK="&amp;T74)</f>
        <v>#N/A Invalid Override</v>
      </c>
      <c r="AJ74" s="35" t="e">
        <f t="shared" ca="1" si="15"/>
        <v>#VALUE!</v>
      </c>
    </row>
    <row r="75" spans="2:36">
      <c r="B75" s="15" t="s">
        <v>912</v>
      </c>
      <c r="C75" s="15" t="s">
        <v>913</v>
      </c>
      <c r="D75" s="15" t="s">
        <v>913</v>
      </c>
      <c r="E75" s="16">
        <v>38706</v>
      </c>
      <c r="F75" s="19">
        <v>38706</v>
      </c>
      <c r="G75" s="18"/>
      <c r="H75" s="16">
        <v>38888</v>
      </c>
      <c r="I75" s="16">
        <v>45828</v>
      </c>
      <c r="J75" s="17">
        <v>2.1000000000000001E-2</v>
      </c>
      <c r="K75" s="16">
        <v>46011</v>
      </c>
      <c r="L75" s="20" t="str">
        <f ca="1">_xll.meLWOBondCreateFromGeneratorLVB(C75,$L$4,_xll.meUtilityLVBFromKeysValues($C$6:$K$6,C75:K75))</f>
        <v>JP12008315C1:1</v>
      </c>
      <c r="M75" s="92">
        <f ca="1">_xll.BDP($B75,$M$5)</f>
        <v>1.3000000000001278E-2</v>
      </c>
      <c r="N75" s="37">
        <f ca="1">_xll.meLWOBondCleanPrice($L75,$C$4,$M75%)</f>
        <v>114.95527704386545</v>
      </c>
      <c r="O75" s="37">
        <f ca="1">_xll.meLWOBondDirtyPrice($L75,$C$4,$M75%)</f>
        <v>115.75</v>
      </c>
      <c r="P75" s="87">
        <f ca="1">_xll.meLWOBondYield($L75,$C$4,N75)</f>
        <v>1.3000000000055835E-4</v>
      </c>
      <c r="Q75" s="89">
        <f ca="1">_xll.meLWOBondModifiedDuration($L75,$C$4,$M75%)</f>
        <v>6.6963608390780802</v>
      </c>
      <c r="R75" s="23">
        <f ca="1">_xll.meLWOBondDV01($L75,$C$4,$M75%)</f>
        <v>775.10376712328775</v>
      </c>
      <c r="S75" s="85">
        <f t="shared" ca="1" si="16"/>
        <v>1.3000000000001278E-2</v>
      </c>
      <c r="T75" s="22" t="str">
        <f ca="1">_xll.BDP($B75,T$6, "YAS_BOND_SPL_YLD="&amp;S75,"YAS_YLD_CONV=2")</f>
        <v>#N/A Requesting Data...</v>
      </c>
      <c r="U75" s="23">
        <f t="shared" ca="1" si="17"/>
        <v>114.95527704386545</v>
      </c>
      <c r="V75" s="23">
        <f t="shared" ca="1" si="9"/>
        <v>114.955</v>
      </c>
      <c r="W75" s="24" t="e">
        <f t="shared" ca="1" si="10"/>
        <v>#VALUE!</v>
      </c>
      <c r="X75" s="23">
        <f ca="1">_xll.meLWOBondDV01($L75,$C$4,$S75%)</f>
        <v>775.10376712328775</v>
      </c>
      <c r="Y75" s="22" t="e">
        <f ca="1">_xll.BDP($B75,Y$6, "YLD_YTM_ASK="&amp;$S75,"YAS_YLD_CONV=3")*$Y$3*0.0001</f>
        <v>#VALUE!</v>
      </c>
      <c r="Z75" s="24" t="e">
        <f t="shared" ca="1" si="11"/>
        <v>#VALUE!</v>
      </c>
      <c r="AA75" s="23">
        <f ca="1">_xll.meLWOBondModifiedDuration($L75,$C$4,$S75%)</f>
        <v>6.6963608390780802</v>
      </c>
      <c r="AB75" s="22" t="str">
        <f ca="1">_xll.BDP($B75,AB$6, "YLD_YTM_ASK="&amp;$S75,"YAS_YLD_CONV=3")</f>
        <v>#N/A Requesting Data...</v>
      </c>
      <c r="AC75" s="24" t="e">
        <f t="shared" ca="1" si="12"/>
        <v>#VALUE!</v>
      </c>
      <c r="AD75" s="23">
        <f ca="1">_xll.meLWOBondDV01Numerical($L75,$C$4,$S75%, 0.5, "CENTRAL")</f>
        <v>823.76053500155433</v>
      </c>
      <c r="AE75" s="63" t="str">
        <f ca="1">_xll.BDP($B75,AE$6, "YAS_BOND_PX="&amp;T75)</f>
        <v>#N/A Invalid Override</v>
      </c>
      <c r="AF75" s="64" t="e">
        <f ca="1">_xll.meLWOBondCompoundYield(L75,$C$4,T75)*100</f>
        <v>#VALUE!</v>
      </c>
      <c r="AG75" s="65" t="e">
        <f t="shared" ca="1" si="13"/>
        <v>#VALUE!</v>
      </c>
      <c r="AH75" s="35" t="e">
        <f t="shared" ca="1" si="14"/>
        <v>#VALUE!</v>
      </c>
      <c r="AI75" s="63" t="str">
        <f ca="1">_xll.BDP($B75,AI$6, "PX_ASK="&amp;T75)</f>
        <v>#N/A Invalid Override</v>
      </c>
      <c r="AJ75" s="35" t="e">
        <f t="shared" ca="1" si="15"/>
        <v>#VALUE!</v>
      </c>
    </row>
    <row r="76" spans="2:36">
      <c r="B76" s="15" t="s">
        <v>914</v>
      </c>
      <c r="C76" s="15" t="s">
        <v>915</v>
      </c>
      <c r="D76" s="15" t="s">
        <v>915</v>
      </c>
      <c r="E76" s="16">
        <v>38748</v>
      </c>
      <c r="F76" s="19">
        <v>38706</v>
      </c>
      <c r="G76" s="18"/>
      <c r="H76" s="16">
        <v>38888</v>
      </c>
      <c r="I76" s="16">
        <v>45828</v>
      </c>
      <c r="J76" s="17">
        <v>0.02</v>
      </c>
      <c r="K76" s="16">
        <v>46011</v>
      </c>
      <c r="L76" s="20" t="str">
        <f ca="1">_xll.meLWOBondCreateFromGeneratorLVB(C76,$L$4,_xll.meUtilityLVBFromKeysValues($C$6:$K$6,C76:K76))</f>
        <v>JP1200841615:1</v>
      </c>
      <c r="M76" s="92">
        <f ca="1">_xll.BDP($B76,$M$5)</f>
        <v>1.2000000000001683E-2</v>
      </c>
      <c r="N76" s="37">
        <f ca="1">_xll.meLWOBondCleanPrice($L76,$C$4,$M76%)</f>
        <v>114.24687178838072</v>
      </c>
      <c r="O76" s="37">
        <f ca="1">_xll.meLWOBondDirtyPrice($L76,$C$4,$M76%)</f>
        <v>114.99999999999999</v>
      </c>
      <c r="P76" s="87">
        <f ca="1">_xll.meLWOBondYield($L76,$C$4,N76)</f>
        <v>1.1999999999965657E-4</v>
      </c>
      <c r="Q76" s="89">
        <f ca="1">_xll.meLWOBondModifiedDuration($L76,$C$4,$M76%)</f>
        <v>6.7160810005955938</v>
      </c>
      <c r="R76" s="23">
        <f ca="1">_xll.meLWOBondDV01($L76,$C$4,$M76%)</f>
        <v>772.34931506849318</v>
      </c>
      <c r="S76" s="85">
        <f t="shared" ca="1" si="16"/>
        <v>1.2000000000001683E-2</v>
      </c>
      <c r="T76" s="22" t="str">
        <f ca="1">_xll.BDP($B76,T$6, "YAS_BOND_SPL_YLD="&amp;S76,"YAS_YLD_CONV=2")</f>
        <v>#N/A Requesting Data...</v>
      </c>
      <c r="U76" s="23">
        <f t="shared" ca="1" si="17"/>
        <v>114.24687178838072</v>
      </c>
      <c r="V76" s="23">
        <f t="shared" ca="1" si="9"/>
        <v>114.246</v>
      </c>
      <c r="W76" s="24" t="e">
        <f t="shared" ca="1" si="10"/>
        <v>#VALUE!</v>
      </c>
      <c r="X76" s="23">
        <f ca="1">_xll.meLWOBondDV01($L76,$C$4,$S76%)</f>
        <v>772.34931506849318</v>
      </c>
      <c r="Y76" s="22" t="e">
        <f ca="1">_xll.BDP($B76,Y$6, "YLD_YTM_ASK="&amp;$S76,"YAS_YLD_CONV=3")*$Y$3*0.0001</f>
        <v>#VALUE!</v>
      </c>
      <c r="Z76" s="24" t="e">
        <f t="shared" ca="1" si="11"/>
        <v>#VALUE!</v>
      </c>
      <c r="AA76" s="23">
        <f ca="1">_xll.meLWOBondModifiedDuration($L76,$C$4,$S76%)</f>
        <v>6.7160810005955938</v>
      </c>
      <c r="AB76" s="22" t="str">
        <f ca="1">_xll.BDP($B76,AB$6, "YLD_YTM_ASK="&amp;$S76,"YAS_YLD_CONV=3")</f>
        <v>#N/A Requesting Data...</v>
      </c>
      <c r="AC76" s="24" t="e">
        <f t="shared" ca="1" si="12"/>
        <v>#VALUE!</v>
      </c>
      <c r="AD76" s="23">
        <f ca="1">_xll.meLWOBondDV01Numerical($L76,$C$4,$S76%, 0.5, "CENTRAL")</f>
        <v>818.7428287602927</v>
      </c>
      <c r="AE76" s="63" t="str">
        <f ca="1">_xll.BDP($B76,AE$6, "YAS_BOND_PX="&amp;T76)</f>
        <v>#N/A Invalid Override</v>
      </c>
      <c r="AF76" s="64" t="e">
        <f ca="1">_xll.meLWOBondCompoundYield(L76,$C$4,T76)*100</f>
        <v>#VALUE!</v>
      </c>
      <c r="AG76" s="65" t="e">
        <f t="shared" ca="1" si="13"/>
        <v>#VALUE!</v>
      </c>
      <c r="AH76" s="35" t="e">
        <f t="shared" ca="1" si="14"/>
        <v>#VALUE!</v>
      </c>
      <c r="AI76" s="63" t="str">
        <f ca="1">_xll.BDP($B76,AI$6, "PX_ASK="&amp;T76)</f>
        <v>#N/A Invalid Override</v>
      </c>
      <c r="AJ76" s="35" t="e">
        <f t="shared" ca="1" si="15"/>
        <v>#VALUE!</v>
      </c>
    </row>
    <row r="77" spans="2:36">
      <c r="B77" s="15" t="s">
        <v>916</v>
      </c>
      <c r="C77" s="15" t="s">
        <v>917</v>
      </c>
      <c r="D77" s="15" t="s">
        <v>917</v>
      </c>
      <c r="E77" s="16">
        <v>42451</v>
      </c>
      <c r="F77" s="19">
        <v>42449</v>
      </c>
      <c r="G77" s="18"/>
      <c r="H77" s="16">
        <v>42633</v>
      </c>
      <c r="I77" s="16">
        <v>45920</v>
      </c>
      <c r="J77" s="17">
        <v>1E-3</v>
      </c>
      <c r="K77" s="16">
        <v>46101</v>
      </c>
      <c r="L77" s="20" t="str">
        <f ca="1">_xll.meLWOBondCreateFromGeneratorLVB(C77,$L$4,_xll.meUtilityLVBFromKeysValues($C$6:$K$6,C77:K77))</f>
        <v>JP1103421G35:1</v>
      </c>
      <c r="M77" s="92">
        <f ca="1">_xll.BDP($B77,$M$5)</f>
        <v>1.8000000000001386E-2</v>
      </c>
      <c r="N77" s="37">
        <f ca="1">_xll.meLWOBondCleanPrice($L77,$C$4,$M77%)</f>
        <v>100.60756123384158</v>
      </c>
      <c r="O77" s="37">
        <f ca="1">_xll.meLWOBondDirtyPrice($L77,$C$4,$M77%)</f>
        <v>100.75</v>
      </c>
      <c r="P77" s="87">
        <f ca="1">_xll.meLWOBondYield($L77,$C$4,N77)</f>
        <v>1.7999999999942723E-4</v>
      </c>
      <c r="Q77" s="89">
        <f ca="1">_xll.meLWOBondModifiedDuration($L77,$C$4,$M77%)</f>
        <v>7.3931234916210631</v>
      </c>
      <c r="R77" s="23">
        <f ca="1">_xll.meLWOBondDV01($L77,$C$4,$M77%)</f>
        <v>744.85719178082206</v>
      </c>
      <c r="S77" s="85">
        <f t="shared" ca="1" si="16"/>
        <v>1.8000000000001386E-2</v>
      </c>
      <c r="T77" s="22" t="str">
        <f ca="1">_xll.BDP($B77,T$6, "YAS_BOND_SPL_YLD="&amp;S77,"YAS_YLD_CONV=2")</f>
        <v>#N/A Requesting Data...</v>
      </c>
      <c r="U77" s="23">
        <f t="shared" ca="1" si="17"/>
        <v>100.60756123384158</v>
      </c>
      <c r="V77" s="23">
        <f t="shared" ca="1" si="9"/>
        <v>100.607</v>
      </c>
      <c r="W77" s="24" t="e">
        <f t="shared" ca="1" si="10"/>
        <v>#VALUE!</v>
      </c>
      <c r="X77" s="23">
        <f ca="1">_xll.meLWOBondDV01($L77,$C$4,$S77%)</f>
        <v>744.85719178082206</v>
      </c>
      <c r="Y77" s="22" t="e">
        <f ca="1">_xll.BDP($B77,Y$6, "YLD_YTM_ASK="&amp;$S77,"YAS_YLD_CONV=3")*$Y$3*0.0001</f>
        <v>#VALUE!</v>
      </c>
      <c r="Z77" s="24" t="e">
        <f t="shared" ca="1" si="11"/>
        <v>#VALUE!</v>
      </c>
      <c r="AA77" s="23">
        <f ca="1">_xll.meLWOBondModifiedDuration($L77,$C$4,$S77%)</f>
        <v>7.3931234916210631</v>
      </c>
      <c r="AB77" s="22" t="str">
        <f ca="1">_xll.BDP($B77,AB$6, "YLD_YTM_ASK="&amp;$S77,"YAS_YLD_CONV=3")</f>
        <v>#N/A Requesting Data...</v>
      </c>
      <c r="AC77" s="24" t="e">
        <f t="shared" ca="1" si="12"/>
        <v>#VALUE!</v>
      </c>
      <c r="AD77" s="23">
        <f ca="1">_xll.meLWOBondDV01Numerical($L77,$C$4,$S77%, 0.5, "CENTRAL")</f>
        <v>745.43002958620264</v>
      </c>
      <c r="AE77" s="63" t="str">
        <f ca="1">_xll.BDP($B77,AE$6, "YAS_BOND_PX="&amp;T77)</f>
        <v>#N/A Invalid Override</v>
      </c>
      <c r="AF77" s="64" t="e">
        <f ca="1">_xll.meLWOBondCompoundYield(L77,$C$4,T77)*100</f>
        <v>#VALUE!</v>
      </c>
      <c r="AG77" s="65" t="e">
        <f t="shared" ca="1" si="13"/>
        <v>#VALUE!</v>
      </c>
      <c r="AH77" s="35" t="e">
        <f t="shared" ca="1" si="14"/>
        <v>#VALUE!</v>
      </c>
      <c r="AI77" s="63" t="str">
        <f ca="1">_xll.BDP($B77,AI$6, "PX_ASK="&amp;T77)</f>
        <v>#N/A Invalid Override</v>
      </c>
      <c r="AJ77" s="35" t="e">
        <f t="shared" ca="1" si="15"/>
        <v>#VALUE!</v>
      </c>
    </row>
    <row r="78" spans="2:36">
      <c r="B78" s="15" t="s">
        <v>918</v>
      </c>
      <c r="C78" s="15" t="s">
        <v>919</v>
      </c>
      <c r="D78" s="15" t="s">
        <v>919</v>
      </c>
      <c r="E78" s="16">
        <v>38835</v>
      </c>
      <c r="F78" s="19">
        <v>38796</v>
      </c>
      <c r="G78" s="18"/>
      <c r="H78" s="16">
        <v>38980</v>
      </c>
      <c r="I78" s="16">
        <v>45920</v>
      </c>
      <c r="J78" s="17">
        <v>2.3E-2</v>
      </c>
      <c r="K78" s="16">
        <v>46101</v>
      </c>
      <c r="L78" s="20" t="str">
        <f ca="1">_xll.meLWOBondCreateFromGeneratorLVB(C78,$L$4,_xll.meUtilityLVBFromKeysValues($C$6:$K$6,C78:K78))</f>
        <v>JP1200861647:1</v>
      </c>
      <c r="M78" s="92">
        <f ca="1">_xll.BDP($B78,$M$5)</f>
        <v>2.1999999999998084E-2</v>
      </c>
      <c r="N78" s="37">
        <f ca="1">_xll.meLWOBondCleanPrice($L78,$C$4,$M78%)</f>
        <v>116.87334667119774</v>
      </c>
      <c r="O78" s="37">
        <f ca="1">_xll.meLWOBondDirtyPrice($L78,$C$4,$M78%)</f>
        <v>117.25000000000001</v>
      </c>
      <c r="P78" s="87">
        <f ca="1">_xll.meLWOBondYield($L78,$C$4,N78)</f>
        <v>2.1999999999968269E-4</v>
      </c>
      <c r="Q78" s="89">
        <f ca="1">_xll.meLWOBondModifiedDuration($L78,$C$4,$M78%)</f>
        <v>6.9042527090574515</v>
      </c>
      <c r="R78" s="23">
        <f ca="1">_xll.meLWOBondDV01($L78,$C$4,$M78%)</f>
        <v>809.5236301369863</v>
      </c>
      <c r="S78" s="85">
        <f t="shared" ca="1" si="16"/>
        <v>2.1999999999998084E-2</v>
      </c>
      <c r="T78" s="22" t="str">
        <f ca="1">_xll.BDP($B78,T$6, "YAS_BOND_SPL_YLD="&amp;S78,"YAS_YLD_CONV=2")</f>
        <v>#N/A Requesting Data...</v>
      </c>
      <c r="U78" s="23">
        <f t="shared" ca="1" si="17"/>
        <v>116.87334667119774</v>
      </c>
      <c r="V78" s="23">
        <f t="shared" ca="1" si="9"/>
        <v>116.873</v>
      </c>
      <c r="W78" s="24" t="e">
        <f t="shared" ca="1" si="10"/>
        <v>#VALUE!</v>
      </c>
      <c r="X78" s="23">
        <f ca="1">_xll.meLWOBondDV01($L78,$C$4,$S78%)</f>
        <v>809.5236301369863</v>
      </c>
      <c r="Y78" s="22" t="e">
        <f ca="1">_xll.BDP($B78,Y$6, "YLD_YTM_ASK="&amp;$S78,"YAS_YLD_CONV=3")*$Y$3*0.0001</f>
        <v>#VALUE!</v>
      </c>
      <c r="Z78" s="24" t="e">
        <f t="shared" ca="1" si="11"/>
        <v>#VALUE!</v>
      </c>
      <c r="AA78" s="23">
        <f ca="1">_xll.meLWOBondModifiedDuration($L78,$C$4,$S78%)</f>
        <v>6.9042527090574515</v>
      </c>
      <c r="AB78" s="22" t="str">
        <f ca="1">_xll.BDP($B78,AB$6, "YLD_YTM_ASK="&amp;$S78,"YAS_YLD_CONV=3")</f>
        <v>#N/A Requesting Data...</v>
      </c>
      <c r="AC78" s="24" t="e">
        <f t="shared" ca="1" si="12"/>
        <v>#VALUE!</v>
      </c>
      <c r="AD78" s="23">
        <f ca="1">_xll.meLWOBondDV01Numerical($L78,$C$4,$S78%, 0.5, "CENTRAL")</f>
        <v>865.69129301850023</v>
      </c>
      <c r="AE78" s="63" t="str">
        <f ca="1">_xll.BDP($B78,AE$6, "YAS_BOND_PX="&amp;T78)</f>
        <v>#N/A Invalid Override</v>
      </c>
      <c r="AF78" s="64" t="e">
        <f ca="1">_xll.meLWOBondCompoundYield(L78,$C$4,T78)*100</f>
        <v>#VALUE!</v>
      </c>
      <c r="AG78" s="65" t="e">
        <f t="shared" ca="1" si="13"/>
        <v>#VALUE!</v>
      </c>
      <c r="AH78" s="35" t="e">
        <f t="shared" ca="1" si="14"/>
        <v>#VALUE!</v>
      </c>
      <c r="AI78" s="63" t="str">
        <f ca="1">_xll.BDP($B78,AI$6, "PX_ASK="&amp;T78)</f>
        <v>#N/A Invalid Override</v>
      </c>
      <c r="AJ78" s="35" t="e">
        <f t="shared" ca="1" si="15"/>
        <v>#VALUE!</v>
      </c>
    </row>
    <row r="79" spans="2:36">
      <c r="B79" s="15" t="s">
        <v>920</v>
      </c>
      <c r="C79" s="15" t="s">
        <v>921</v>
      </c>
      <c r="D79" s="15" t="s">
        <v>921</v>
      </c>
      <c r="E79" s="16">
        <v>38867</v>
      </c>
      <c r="F79" s="19">
        <v>38796</v>
      </c>
      <c r="G79" s="18"/>
      <c r="H79" s="16">
        <v>38980</v>
      </c>
      <c r="I79" s="16">
        <v>45920</v>
      </c>
      <c r="J79" s="17">
        <v>2.2000000000000002E-2</v>
      </c>
      <c r="K79" s="16">
        <v>46101</v>
      </c>
      <c r="L79" s="20" t="str">
        <f ca="1">_xll.meLWOBondCreateFromGeneratorLVB(C79,$L$4,_xll.meUtilityLVBFromKeysValues($C$6:$K$6,C79:K79))</f>
        <v>JP1200871653:1</v>
      </c>
      <c r="M79" s="92">
        <f ca="1">_xll.BDP($B79,$M$5)</f>
        <v>2.1000000000000851E-2</v>
      </c>
      <c r="N79" s="37">
        <f ca="1">_xll.meLWOBondCleanPrice($L79,$C$4,$M79%)</f>
        <v>116.1412405460993</v>
      </c>
      <c r="O79" s="37">
        <f ca="1">_xll.meLWOBondDirtyPrice($L79,$C$4,$M79%)</f>
        <v>116.5</v>
      </c>
      <c r="P79" s="87">
        <f ca="1">_xll.meLWOBondYield($L79,$C$4,N79)</f>
        <v>2.1000000000034928E-4</v>
      </c>
      <c r="Q79" s="89">
        <f ca="1">_xll.meLWOBondModifiedDuration($L79,$C$4,$M79%)</f>
        <v>6.9234699276853435</v>
      </c>
      <c r="R79" s="23">
        <f ca="1">_xll.meLWOBondDV01($L79,$C$4,$M79%)</f>
        <v>806.58424657534249</v>
      </c>
      <c r="S79" s="85">
        <f t="shared" ca="1" si="16"/>
        <v>2.1000000000000851E-2</v>
      </c>
      <c r="T79" s="22" t="str">
        <f ca="1">_xll.BDP($B79,T$6, "YAS_BOND_SPL_YLD="&amp;S79,"YAS_YLD_CONV=2")</f>
        <v>#N/A Requesting Data...</v>
      </c>
      <c r="U79" s="23">
        <f t="shared" ca="1" si="17"/>
        <v>116.1412405460993</v>
      </c>
      <c r="V79" s="23">
        <f t="shared" ca="1" si="9"/>
        <v>116.14100000000001</v>
      </c>
      <c r="W79" s="24" t="e">
        <f t="shared" ca="1" si="10"/>
        <v>#VALUE!</v>
      </c>
      <c r="X79" s="23">
        <f ca="1">_xll.meLWOBondDV01($L79,$C$4,$S79%)</f>
        <v>806.58424657534249</v>
      </c>
      <c r="Y79" s="22" t="e">
        <f ca="1">_xll.BDP($B79,Y$6, "YLD_YTM_ASK="&amp;$S79,"YAS_YLD_CONV=3")*$Y$3*0.0001</f>
        <v>#VALUE!</v>
      </c>
      <c r="Z79" s="24" t="e">
        <f t="shared" ca="1" si="11"/>
        <v>#VALUE!</v>
      </c>
      <c r="AA79" s="23">
        <f ca="1">_xll.meLWOBondModifiedDuration($L79,$C$4,$S79%)</f>
        <v>6.9234699276853435</v>
      </c>
      <c r="AB79" s="22" t="str">
        <f ca="1">_xll.BDP($B79,AB$6, "YLD_YTM_ASK="&amp;$S79,"YAS_YLD_CONV=3")</f>
        <v>#N/A Requesting Data...</v>
      </c>
      <c r="AC79" s="24" t="e">
        <f t="shared" ca="1" si="12"/>
        <v>#VALUE!</v>
      </c>
      <c r="AD79" s="23">
        <f ca="1">_xll.meLWOBondDV01Numerical($L79,$C$4,$S79%, 0.5, "CENTRAL")</f>
        <v>860.33224329881375</v>
      </c>
      <c r="AE79" s="63" t="str">
        <f ca="1">_xll.BDP($B79,AE$6, "YAS_BOND_PX="&amp;T79)</f>
        <v>#N/A Invalid Override</v>
      </c>
      <c r="AF79" s="64" t="e">
        <f ca="1">_xll.meLWOBondCompoundYield(L79,$C$4,T79)*100</f>
        <v>#VALUE!</v>
      </c>
      <c r="AG79" s="65" t="e">
        <f t="shared" ca="1" si="13"/>
        <v>#VALUE!</v>
      </c>
      <c r="AH79" s="35" t="e">
        <f t="shared" ca="1" si="14"/>
        <v>#VALUE!</v>
      </c>
      <c r="AI79" s="63" t="str">
        <f ca="1">_xll.BDP($B79,AI$6, "PX_ASK="&amp;T79)</f>
        <v>#N/A Invalid Override</v>
      </c>
      <c r="AJ79" s="35" t="e">
        <f t="shared" ca="1" si="15"/>
        <v>#VALUE!</v>
      </c>
    </row>
    <row r="80" spans="2:36">
      <c r="B80" s="15" t="s">
        <v>922</v>
      </c>
      <c r="C80" s="15" t="s">
        <v>923</v>
      </c>
      <c r="D80" s="15" t="s">
        <v>923</v>
      </c>
      <c r="E80" s="16">
        <v>38803</v>
      </c>
      <c r="F80" s="19">
        <v>38796</v>
      </c>
      <c r="G80" s="18"/>
      <c r="H80" s="16">
        <v>38980</v>
      </c>
      <c r="I80" s="16">
        <v>45920</v>
      </c>
      <c r="J80" s="17">
        <v>2.1000000000000001E-2</v>
      </c>
      <c r="K80" s="16">
        <v>46101</v>
      </c>
      <c r="L80" s="20" t="str">
        <f ca="1">_xll.meLWOBondCreateFromGeneratorLVB(C80,$L$4,_xll.meUtilityLVBFromKeysValues($C$6:$K$6,C80:K80))</f>
        <v>JP1200851630:1</v>
      </c>
      <c r="M80" s="92">
        <f ca="1">_xll.BDP($B80,$M$5)</f>
        <v>2.1999999999998271E-2</v>
      </c>
      <c r="N80" s="37">
        <f ca="1">_xll.meLWOBondCleanPrice($L80,$C$4,$M80%)</f>
        <v>115.39192905300655</v>
      </c>
      <c r="O80" s="37">
        <f ca="1">_xll.meLWOBondDirtyPrice($L80,$C$4,$M80%)</f>
        <v>115.75</v>
      </c>
      <c r="P80" s="87">
        <f ca="1">_xll.meLWOBondYield($L80,$C$4,N80)</f>
        <v>2.1999999999943674E-4</v>
      </c>
      <c r="Q80" s="89">
        <f ca="1">_xll.meLWOBondModifiedDuration($L80,$C$4,$M80%)</f>
        <v>6.9429361815438329</v>
      </c>
      <c r="R80" s="23">
        <f ca="1">_xll.meLWOBondDV01($L80,$C$4,$M80%)</f>
        <v>803.64486301369868</v>
      </c>
      <c r="S80" s="85">
        <f t="shared" ca="1" si="16"/>
        <v>2.1999999999998271E-2</v>
      </c>
      <c r="T80" s="22" t="str">
        <f ca="1">_xll.BDP($B80,T$6, "YAS_BOND_SPL_YLD="&amp;S80,"YAS_YLD_CONV=2")</f>
        <v>#N/A Requesting Data...</v>
      </c>
      <c r="U80" s="23">
        <f t="shared" ca="1" si="17"/>
        <v>115.39192905300655</v>
      </c>
      <c r="V80" s="23">
        <f t="shared" ca="1" si="9"/>
        <v>115.39100000000001</v>
      </c>
      <c r="W80" s="24" t="e">
        <f t="shared" ca="1" si="10"/>
        <v>#VALUE!</v>
      </c>
      <c r="X80" s="23">
        <f ca="1">_xll.meLWOBondDV01($L80,$C$4,$S80%)</f>
        <v>803.64486301369868</v>
      </c>
      <c r="Y80" s="22" t="e">
        <f ca="1">_xll.BDP($B80,Y$6, "YLD_YTM_ASK="&amp;$S80,"YAS_YLD_CONV=3")*$Y$3*0.0001</f>
        <v>#VALUE!</v>
      </c>
      <c r="Z80" s="24" t="e">
        <f t="shared" ca="1" si="11"/>
        <v>#VALUE!</v>
      </c>
      <c r="AA80" s="23">
        <f ca="1">_xll.meLWOBondModifiedDuration($L80,$C$4,$S80%)</f>
        <v>6.9429361815438329</v>
      </c>
      <c r="AB80" s="22" t="str">
        <f ca="1">_xll.BDP($B80,AB$6, "YLD_YTM_ASK="&amp;$S80,"YAS_YLD_CONV=3")</f>
        <v>#N/A Requesting Data...</v>
      </c>
      <c r="AC80" s="24" t="e">
        <f t="shared" ca="1" si="12"/>
        <v>#VALUE!</v>
      </c>
      <c r="AD80" s="23">
        <f ca="1">_xll.meLWOBondDV01Numerical($L80,$C$4,$S80%, 0.5, "CENTRAL")</f>
        <v>854.71830071611521</v>
      </c>
      <c r="AE80" s="63" t="str">
        <f ca="1">_xll.BDP($B80,AE$6, "YAS_BOND_PX="&amp;T80)</f>
        <v>#N/A Invalid Override</v>
      </c>
      <c r="AF80" s="64" t="e">
        <f ca="1">_xll.meLWOBondCompoundYield(L80,$C$4,T80)*100</f>
        <v>#VALUE!</v>
      </c>
      <c r="AG80" s="65" t="e">
        <f t="shared" ca="1" si="13"/>
        <v>#VALUE!</v>
      </c>
      <c r="AH80" s="35" t="e">
        <f t="shared" ca="1" si="14"/>
        <v>#VALUE!</v>
      </c>
      <c r="AI80" s="63" t="str">
        <f ca="1">_xll.BDP($B80,AI$6, "PX_ASK="&amp;T80)</f>
        <v>#N/A Invalid Override</v>
      </c>
      <c r="AJ80" s="35" t="e">
        <f t="shared" ca="1" si="15"/>
        <v>#VALUE!</v>
      </c>
    </row>
    <row r="81" spans="2:36">
      <c r="B81" s="15" t="s">
        <v>924</v>
      </c>
      <c r="C81" s="15" t="s">
        <v>925</v>
      </c>
      <c r="D81" s="15" t="s">
        <v>925</v>
      </c>
      <c r="E81" s="16">
        <v>42541</v>
      </c>
      <c r="F81" s="19">
        <v>42541</v>
      </c>
      <c r="G81" s="18"/>
      <c r="H81" s="16">
        <v>42724</v>
      </c>
      <c r="I81" s="16">
        <v>46011</v>
      </c>
      <c r="J81" s="17">
        <v>1E-3</v>
      </c>
      <c r="K81" s="16">
        <v>46193</v>
      </c>
      <c r="L81" s="20" t="str">
        <f ca="1">_xll.meLWOBondCreateFromGeneratorLVB(C81,$L$4,_xll.meUtilityLVBFromKeysValues($C$6:$K$6,C81:K81))</f>
        <v>JP1103431G66:1</v>
      </c>
      <c r="M81" s="92">
        <f ca="1">_xll.BDP($B81,$M$5)</f>
        <v>2.7000000000002373E-2</v>
      </c>
      <c r="N81" s="37">
        <f ca="1">_xll.meLWOBondCleanPrice($L81,$C$4,$M81%)</f>
        <v>100.55884250702653</v>
      </c>
      <c r="O81" s="37">
        <f ca="1">_xll.meLWOBondDirtyPrice($L81,$C$4,$M81%)</f>
        <v>100.8</v>
      </c>
      <c r="P81" s="87">
        <f ca="1">_xll.meLWOBondYield($L81,$C$4,N81)</f>
        <v>2.6999999999941204E-4</v>
      </c>
      <c r="Q81" s="89">
        <f ca="1">_xll.meLWOBondModifiedDuration($L81,$C$4,$M81%)</f>
        <v>7.6428408349641233</v>
      </c>
      <c r="R81" s="23">
        <f ca="1">_xll.meLWOBondDV01($L81,$C$4,$M81%)</f>
        <v>770.39835616438359</v>
      </c>
      <c r="S81" s="85">
        <f t="shared" ca="1" si="16"/>
        <v>2.7000000000002373E-2</v>
      </c>
      <c r="T81" s="22" t="str">
        <f ca="1">_xll.BDP($B81,T$6, "YAS_BOND_SPL_YLD="&amp;S81,"YAS_YLD_CONV=2")</f>
        <v>#N/A Requesting Data...</v>
      </c>
      <c r="U81" s="23">
        <f t="shared" ca="1" si="17"/>
        <v>100.55884250702653</v>
      </c>
      <c r="V81" s="23">
        <f t="shared" ca="1" si="9"/>
        <v>100.55800000000001</v>
      </c>
      <c r="W81" s="24" t="e">
        <f t="shared" ca="1" si="10"/>
        <v>#VALUE!</v>
      </c>
      <c r="X81" s="23">
        <f ca="1">_xll.meLWOBondDV01($L81,$C$4,$S81%)</f>
        <v>770.39835616438359</v>
      </c>
      <c r="Y81" s="22" t="e">
        <f ca="1">_xll.BDP($B81,Y$6, "YLD_YTM_ASK="&amp;$S81,"YAS_YLD_CONV=3")*$Y$3*0.0001</f>
        <v>#VALUE!</v>
      </c>
      <c r="Z81" s="24" t="e">
        <f t="shared" ca="1" si="11"/>
        <v>#VALUE!</v>
      </c>
      <c r="AA81" s="23">
        <f ca="1">_xll.meLWOBondModifiedDuration($L81,$C$4,$S81%)</f>
        <v>7.6428408349641233</v>
      </c>
      <c r="AB81" s="22" t="str">
        <f ca="1">_xll.BDP($B81,AB$6, "YLD_YTM_ASK="&amp;$S81,"YAS_YLD_CONV=3")</f>
        <v>#N/A Requesting Data...</v>
      </c>
      <c r="AC81" s="24" t="e">
        <f t="shared" ca="1" si="12"/>
        <v>#VALUE!</v>
      </c>
      <c r="AD81" s="23">
        <f ca="1">_xll.meLWOBondDV01Numerical($L81,$C$4,$S81%, 0.5, "CENTRAL")</f>
        <v>769.81594361356542</v>
      </c>
      <c r="AE81" s="63" t="str">
        <f ca="1">_xll.BDP($B81,AE$6, "YAS_BOND_PX="&amp;T81)</f>
        <v>#N/A Invalid Override</v>
      </c>
      <c r="AF81" s="64" t="e">
        <f ca="1">_xll.meLWOBondCompoundYield(L81,$C$4,T81)*100</f>
        <v>#VALUE!</v>
      </c>
      <c r="AG81" s="65" t="e">
        <f t="shared" ca="1" si="13"/>
        <v>#VALUE!</v>
      </c>
      <c r="AH81" s="35" t="e">
        <f t="shared" ca="1" si="14"/>
        <v>#VALUE!</v>
      </c>
      <c r="AI81" s="63" t="str">
        <f ca="1">_xll.BDP($B81,AI$6, "PX_ASK="&amp;T81)</f>
        <v>#N/A Invalid Override</v>
      </c>
      <c r="AJ81" s="35" t="e">
        <f t="shared" ca="1" si="15"/>
        <v>#VALUE!</v>
      </c>
    </row>
    <row r="82" spans="2:36">
      <c r="B82" s="15" t="s">
        <v>926</v>
      </c>
      <c r="C82" s="15" t="s">
        <v>927</v>
      </c>
      <c r="D82" s="15" t="s">
        <v>927</v>
      </c>
      <c r="E82" s="16">
        <v>38894</v>
      </c>
      <c r="F82" s="19">
        <v>38888</v>
      </c>
      <c r="G82" s="18"/>
      <c r="H82" s="16">
        <v>39071</v>
      </c>
      <c r="I82" s="16">
        <v>46011</v>
      </c>
      <c r="J82" s="17">
        <v>2.3E-2</v>
      </c>
      <c r="K82" s="16">
        <v>46193</v>
      </c>
      <c r="L82" s="20" t="str">
        <f ca="1">_xll.meLWOBondCreateFromGeneratorLVB(C82,$L$4,_xll.meUtilityLVBFromKeysValues($C$6:$K$6,C82:K82))</f>
        <v>JP1200881660:1</v>
      </c>
      <c r="M82" s="92">
        <f ca="1">_xll.BDP($B82,$M$5)</f>
        <v>3.2000000000000577E-2</v>
      </c>
      <c r="N82" s="37">
        <f ca="1">_xll.meLWOBondCleanPrice($L82,$C$4,$M82%)</f>
        <v>117.35575136104248</v>
      </c>
      <c r="O82" s="37">
        <f ca="1">_xll.meLWOBondDirtyPrice($L82,$C$4,$M82%)</f>
        <v>118.39999999999999</v>
      </c>
      <c r="P82" s="87">
        <f ca="1">_xll.meLWOBondYield($L82,$C$4,N82)</f>
        <v>3.2000000000053839E-4</v>
      </c>
      <c r="Q82" s="89">
        <f ca="1">_xll.meLWOBondModifiedDuration($L82,$C$4,$M82%)</f>
        <v>7.0898324694557573</v>
      </c>
      <c r="R82" s="23">
        <f ca="1">_xll.meLWOBondDV01($L82,$C$4,$M82%)</f>
        <v>839.43616438356162</v>
      </c>
      <c r="S82" s="85">
        <f t="shared" ca="1" si="16"/>
        <v>3.2000000000000577E-2</v>
      </c>
      <c r="T82" s="22" t="str">
        <f ca="1">_xll.BDP($B82,T$6, "YAS_BOND_SPL_YLD="&amp;S82,"YAS_YLD_CONV=2")</f>
        <v>#N/A Requesting Data...</v>
      </c>
      <c r="U82" s="23">
        <f t="shared" ca="1" si="17"/>
        <v>117.35575136104248</v>
      </c>
      <c r="V82" s="23">
        <f t="shared" ca="1" si="9"/>
        <v>117.355</v>
      </c>
      <c r="W82" s="24" t="e">
        <f t="shared" ca="1" si="10"/>
        <v>#VALUE!</v>
      </c>
      <c r="X82" s="23">
        <f ca="1">_xll.meLWOBondDV01($L82,$C$4,$S82%)</f>
        <v>839.43616438356162</v>
      </c>
      <c r="Y82" s="22" t="e">
        <f ca="1">_xll.BDP($B82,Y$6, "YLD_YTM_ASK="&amp;$S82,"YAS_YLD_CONV=3")*$Y$3*0.0001</f>
        <v>#VALUE!</v>
      </c>
      <c r="Z82" s="24" t="e">
        <f t="shared" ca="1" si="11"/>
        <v>#VALUE!</v>
      </c>
      <c r="AA82" s="23">
        <f ca="1">_xll.meLWOBondModifiedDuration($L82,$C$4,$S82%)</f>
        <v>7.0898324694557573</v>
      </c>
      <c r="AB82" s="22" t="str">
        <f ca="1">_xll.BDP($B82,AB$6, "YLD_YTM_ASK="&amp;$S82,"YAS_YLD_CONV=3")</f>
        <v>#N/A Requesting Data...</v>
      </c>
      <c r="AC82" s="24" t="e">
        <f t="shared" ca="1" si="12"/>
        <v>#VALUE!</v>
      </c>
      <c r="AD82" s="23">
        <f ca="1">_xll.meLWOBondDV01Numerical($L82,$C$4,$S82%, 0.5, "CENTRAL")</f>
        <v>898.05887989328437</v>
      </c>
      <c r="AE82" s="63" t="str">
        <f ca="1">_xll.BDP($B82,AE$6, "YAS_BOND_PX="&amp;T82)</f>
        <v>#N/A Invalid Override</v>
      </c>
      <c r="AF82" s="64" t="e">
        <f ca="1">_xll.meLWOBondCompoundYield(L82,$C$4,T82)*100</f>
        <v>#VALUE!</v>
      </c>
      <c r="AG82" s="65" t="e">
        <f t="shared" ca="1" si="13"/>
        <v>#VALUE!</v>
      </c>
      <c r="AH82" s="35" t="e">
        <f t="shared" ca="1" si="14"/>
        <v>#VALUE!</v>
      </c>
      <c r="AI82" s="63" t="str">
        <f ca="1">_xll.BDP($B82,AI$6, "PX_ASK="&amp;T82)</f>
        <v>#N/A Invalid Override</v>
      </c>
      <c r="AJ82" s="35" t="e">
        <f t="shared" ca="1" si="15"/>
        <v>#VALUE!</v>
      </c>
    </row>
    <row r="83" spans="2:36">
      <c r="B83" s="15" t="s">
        <v>928</v>
      </c>
      <c r="C83" s="15" t="s">
        <v>929</v>
      </c>
      <c r="D83" s="15" t="s">
        <v>929</v>
      </c>
      <c r="E83" s="16">
        <v>38959</v>
      </c>
      <c r="F83" s="19">
        <v>38888</v>
      </c>
      <c r="G83" s="18"/>
      <c r="H83" s="16">
        <v>39071</v>
      </c>
      <c r="I83" s="16">
        <v>46011</v>
      </c>
      <c r="J83" s="17">
        <v>2.2000000000000002E-2</v>
      </c>
      <c r="K83" s="16">
        <v>46193</v>
      </c>
      <c r="L83" s="20" t="str">
        <f ca="1">_xll.meLWOBondCreateFromGeneratorLVB(C83,$L$4,_xll.meUtilityLVBFromKeysValues($C$6:$K$6,C83:K83))</f>
        <v>JP1200891685:1</v>
      </c>
      <c r="M83" s="92">
        <f ca="1">_xll.BDP($B83,$M$5)</f>
        <v>3.2000000000000639E-2</v>
      </c>
      <c r="N83" s="37">
        <f ca="1">_xll.meLWOBondCleanPrice($L83,$C$4,$M83%)</f>
        <v>116.59050659203709</v>
      </c>
      <c r="O83" s="37">
        <f ca="1">_xll.meLWOBondDirtyPrice($L83,$C$4,$M83%)</f>
        <v>117.6</v>
      </c>
      <c r="P83" s="87">
        <f ca="1">_xll.meLWOBondYield($L83,$C$4,N83)</f>
        <v>3.2000000000008524E-4</v>
      </c>
      <c r="Q83" s="89">
        <f ca="1">_xll.meLWOBondModifiedDuration($L83,$C$4,$M83%)</f>
        <v>7.1113782499301097</v>
      </c>
      <c r="R83" s="23">
        <f ca="1">_xll.meLWOBondDV01($L83,$C$4,$M83%)</f>
        <v>836.29808219178085</v>
      </c>
      <c r="S83" s="85">
        <f t="shared" ca="1" si="16"/>
        <v>3.2000000000000639E-2</v>
      </c>
      <c r="T83" s="22" t="str">
        <f ca="1">_xll.BDP($B83,T$6, "YAS_BOND_SPL_YLD="&amp;S83,"YAS_YLD_CONV=2")</f>
        <v>#N/A Requesting Data...</v>
      </c>
      <c r="U83" s="23">
        <f t="shared" ca="1" si="17"/>
        <v>116.59050659203709</v>
      </c>
      <c r="V83" s="23">
        <f t="shared" ca="1" si="9"/>
        <v>116.59</v>
      </c>
      <c r="W83" s="24" t="e">
        <f t="shared" ca="1" si="10"/>
        <v>#VALUE!</v>
      </c>
      <c r="X83" s="23">
        <f ca="1">_xll.meLWOBondDV01($L83,$C$4,$S83%)</f>
        <v>836.29808219178085</v>
      </c>
      <c r="Y83" s="22" t="e">
        <f ca="1">_xll.BDP($B83,Y$6, "YLD_YTM_ASK="&amp;$S83,"YAS_YLD_CONV=3")*$Y$3*0.0001</f>
        <v>#VALUE!</v>
      </c>
      <c r="Z83" s="24" t="e">
        <f t="shared" ca="1" si="11"/>
        <v>#VALUE!</v>
      </c>
      <c r="AA83" s="23">
        <f ca="1">_xll.meLWOBondModifiedDuration($L83,$C$4,$S83%)</f>
        <v>7.1113782499301097</v>
      </c>
      <c r="AB83" s="22" t="str">
        <f ca="1">_xll.BDP($B83,AB$6, "YLD_YTM_ASK="&amp;$S83,"YAS_YLD_CONV=3")</f>
        <v>#N/A Requesting Data...</v>
      </c>
      <c r="AC83" s="24" t="e">
        <f t="shared" ca="1" si="12"/>
        <v>#VALUE!</v>
      </c>
      <c r="AD83" s="23">
        <f ca="1">_xll.meLWOBondDV01Numerical($L83,$C$4,$S83%, 0.5, "CENTRAL")</f>
        <v>892.20288347107157</v>
      </c>
      <c r="AE83" s="63" t="str">
        <f ca="1">_xll.BDP($B83,AE$6, "YAS_BOND_PX="&amp;T83)</f>
        <v>#N/A Invalid Override</v>
      </c>
      <c r="AF83" s="64" t="e">
        <f ca="1">_xll.meLWOBondCompoundYield(L83,$C$4,T83)*100</f>
        <v>#VALUE!</v>
      </c>
      <c r="AG83" s="65" t="e">
        <f t="shared" ca="1" si="13"/>
        <v>#VALUE!</v>
      </c>
      <c r="AH83" s="35" t="e">
        <f t="shared" ca="1" si="14"/>
        <v>#VALUE!</v>
      </c>
      <c r="AI83" s="63" t="str">
        <f ca="1">_xll.BDP($B83,AI$6, "PX_ASK="&amp;T83)</f>
        <v>#N/A Invalid Override</v>
      </c>
      <c r="AJ83" s="35" t="e">
        <f t="shared" ca="1" si="15"/>
        <v>#VALUE!</v>
      </c>
    </row>
    <row r="84" spans="2:36">
      <c r="B84" s="15" t="s">
        <v>930</v>
      </c>
      <c r="C84" s="15" t="s">
        <v>931</v>
      </c>
      <c r="D84" s="15" t="s">
        <v>931</v>
      </c>
      <c r="E84" s="16">
        <v>42633</v>
      </c>
      <c r="F84" s="19">
        <v>42633</v>
      </c>
      <c r="G84" s="18"/>
      <c r="H84" s="16">
        <v>42814</v>
      </c>
      <c r="I84" s="16">
        <v>46101</v>
      </c>
      <c r="J84" s="17">
        <v>1E-3</v>
      </c>
      <c r="K84" s="16">
        <v>46285</v>
      </c>
      <c r="L84" s="20" t="str">
        <f ca="1">_xll.meLWOBondCreateFromGeneratorLVB(C84,$L$4,_xll.meUtilityLVBFromKeysValues($C$6:$K$6,C84:K84))</f>
        <v>JP1103441G98:1</v>
      </c>
      <c r="M84" s="92">
        <f ca="1">_xll.BDP($B84,$M$5)</f>
        <v>4.3000000000001808E-2</v>
      </c>
      <c r="N84" s="37">
        <f ca="1">_xll.meLWOBondCleanPrice($L84,$C$4,$M84%)</f>
        <v>100.45009392110538</v>
      </c>
      <c r="O84" s="37">
        <f ca="1">_xll.meLWOBondDirtyPrice($L84,$C$4,$M84%)</f>
        <v>100.8</v>
      </c>
      <c r="P84" s="87">
        <f ca="1">_xll.meLWOBondYield($L84,$C$4,N84)</f>
        <v>4.3000000000050924E-4</v>
      </c>
      <c r="Q84" s="89">
        <f ca="1">_xll.meLWOBondModifiedDuration($L84,$C$4,$M84%)</f>
        <v>7.8894161774298768</v>
      </c>
      <c r="R84" s="23">
        <f ca="1">_xll.meLWOBondDV01($L84,$C$4,$M84%)</f>
        <v>795.2531506849316</v>
      </c>
      <c r="S84" s="85">
        <f t="shared" ca="1" si="16"/>
        <v>4.3000000000001808E-2</v>
      </c>
      <c r="T84" s="22" t="str">
        <f ca="1">_xll.BDP($B84,T$6, "YAS_BOND_SPL_YLD="&amp;S84,"YAS_YLD_CONV=2")</f>
        <v>#N/A Requesting Data...</v>
      </c>
      <c r="U84" s="23">
        <f t="shared" ca="1" si="17"/>
        <v>100.45009392110538</v>
      </c>
      <c r="V84" s="23">
        <f t="shared" ca="1" si="9"/>
        <v>100.45</v>
      </c>
      <c r="W84" s="24" t="e">
        <f t="shared" ca="1" si="10"/>
        <v>#VALUE!</v>
      </c>
      <c r="X84" s="23">
        <f ca="1">_xll.meLWOBondDV01($L84,$C$4,$S84%)</f>
        <v>795.2531506849316</v>
      </c>
      <c r="Y84" s="22" t="e">
        <f ca="1">_xll.BDP($B84,Y$6, "YLD_YTM_ASK="&amp;$S84,"YAS_YLD_CONV=3")*$Y$3*0.0001</f>
        <v>#VALUE!</v>
      </c>
      <c r="Z84" s="24" t="e">
        <f t="shared" ca="1" si="11"/>
        <v>#VALUE!</v>
      </c>
      <c r="AA84" s="23">
        <f ca="1">_xll.meLWOBondModifiedDuration($L84,$C$4,$S84%)</f>
        <v>7.8894161774298768</v>
      </c>
      <c r="AB84" s="22" t="str">
        <f ca="1">_xll.BDP($B84,AB$6, "YLD_YTM_ASK="&amp;$S84,"YAS_YLD_CONV=3")</f>
        <v>#N/A Requesting Data...</v>
      </c>
      <c r="AC84" s="24" t="e">
        <f t="shared" ca="1" si="12"/>
        <v>#VALUE!</v>
      </c>
      <c r="AD84" s="23">
        <f ca="1">_xll.meLWOBondDV01Numerical($L84,$C$4,$S84%, 0.5, "CENTRAL")</f>
        <v>793.1926964226933</v>
      </c>
      <c r="AE84" s="63" t="str">
        <f ca="1">_xll.BDP($B84,AE$6, "YAS_BOND_PX="&amp;T84)</f>
        <v>#N/A Invalid Override</v>
      </c>
      <c r="AF84" s="64" t="e">
        <f ca="1">_xll.meLWOBondCompoundYield(L84,$C$4,T84)*100</f>
        <v>#VALUE!</v>
      </c>
      <c r="AG84" s="65" t="e">
        <f t="shared" ca="1" si="13"/>
        <v>#VALUE!</v>
      </c>
      <c r="AH84" s="35" t="e">
        <f t="shared" ca="1" si="14"/>
        <v>#VALUE!</v>
      </c>
      <c r="AI84" s="63" t="str">
        <f ca="1">_xll.BDP($B84,AI$6, "PX_ASK="&amp;T84)</f>
        <v>#N/A Invalid Override</v>
      </c>
      <c r="AJ84" s="35" t="e">
        <f t="shared" ca="1" si="15"/>
        <v>#VALUE!</v>
      </c>
    </row>
    <row r="85" spans="2:36">
      <c r="B85" s="15" t="s">
        <v>932</v>
      </c>
      <c r="C85" s="15" t="s">
        <v>933</v>
      </c>
      <c r="D85" s="15" t="s">
        <v>933</v>
      </c>
      <c r="E85" s="16">
        <v>39020</v>
      </c>
      <c r="F85" s="19">
        <v>38980</v>
      </c>
      <c r="G85" s="18"/>
      <c r="H85" s="16">
        <v>39161</v>
      </c>
      <c r="I85" s="16">
        <v>46101</v>
      </c>
      <c r="J85" s="17">
        <v>2.3E-2</v>
      </c>
      <c r="K85" s="16">
        <v>46285</v>
      </c>
      <c r="L85" s="20" t="str">
        <f ca="1">_xll.meLWOBondCreateFromGeneratorLVB(C85,$L$4,_xll.meUtilityLVBFromKeysValues($C$6:$K$6,C85:K85))</f>
        <v>JP12009116A6:1</v>
      </c>
      <c r="M85" s="92">
        <f ca="1">_xll.BDP($B85,$M$5)</f>
        <v>4.0999999999999419E-2</v>
      </c>
      <c r="N85" s="37">
        <f ca="1">_xll.meLWOBondCleanPrice($L85,$C$4,$M85%)</f>
        <v>117.84075031653337</v>
      </c>
      <c r="O85" s="37">
        <f ca="1">_xll.meLWOBondDirtyPrice($L85,$C$4,$M85%)</f>
        <v>118.39999999999999</v>
      </c>
      <c r="P85" s="87">
        <f ca="1">_xll.meLWOBondYield($L85,$C$4,N85)</f>
        <v>4.1000000000038992E-4</v>
      </c>
      <c r="Q85" s="89">
        <f ca="1">_xll.meLWOBondModifiedDuration($L85,$C$4,$M85%)</f>
        <v>7.3364078119215108</v>
      </c>
      <c r="R85" s="23">
        <f ca="1">_xll.meLWOBondDV01($L85,$C$4,$M85%)</f>
        <v>868.63068493150683</v>
      </c>
      <c r="S85" s="85">
        <f t="shared" ca="1" si="16"/>
        <v>4.0999999999999419E-2</v>
      </c>
      <c r="T85" s="22" t="str">
        <f ca="1">_xll.BDP($B85,T$6, "YAS_BOND_SPL_YLD="&amp;S85,"YAS_YLD_CONV=2")</f>
        <v>#N/A Requesting Data...</v>
      </c>
      <c r="U85" s="23">
        <f t="shared" ca="1" si="17"/>
        <v>117.84075031653337</v>
      </c>
      <c r="V85" s="23">
        <f t="shared" ca="1" si="9"/>
        <v>117.84</v>
      </c>
      <c r="W85" s="24" t="e">
        <f t="shared" ca="1" si="10"/>
        <v>#VALUE!</v>
      </c>
      <c r="X85" s="23">
        <f ca="1">_xll.meLWOBondDV01($L85,$C$4,$S85%)</f>
        <v>868.63068493150683</v>
      </c>
      <c r="Y85" s="22" t="e">
        <f ca="1">_xll.BDP($B85,Y$6, "YLD_YTM_ASK="&amp;$S85,"YAS_YLD_CONV=3")*$Y$3*0.0001</f>
        <v>#VALUE!</v>
      </c>
      <c r="Z85" s="24" t="e">
        <f t="shared" ca="1" si="11"/>
        <v>#VALUE!</v>
      </c>
      <c r="AA85" s="23">
        <f ca="1">_xll.meLWOBondModifiedDuration($L85,$C$4,$S85%)</f>
        <v>7.3364078119215108</v>
      </c>
      <c r="AB85" s="22" t="str">
        <f ca="1">_xll.BDP($B85,AB$6, "YLD_YTM_ASK="&amp;$S85,"YAS_YLD_CONV=3")</f>
        <v>#N/A Requesting Data...</v>
      </c>
      <c r="AC85" s="24" t="e">
        <f t="shared" ca="1" si="12"/>
        <v>#VALUE!</v>
      </c>
      <c r="AD85" s="23">
        <f ca="1">_xll.meLWOBondDV01Numerical($L85,$C$4,$S85%, 0.5, "CENTRAL")</f>
        <v>930.66300634589538</v>
      </c>
      <c r="AE85" s="63" t="str">
        <f ca="1">_xll.BDP($B85,AE$6, "YAS_BOND_PX="&amp;T85)</f>
        <v>#N/A Invalid Override</v>
      </c>
      <c r="AF85" s="64" t="e">
        <f ca="1">_xll.meLWOBondCompoundYield(L85,$C$4,T85)*100</f>
        <v>#VALUE!</v>
      </c>
      <c r="AG85" s="65" t="e">
        <f t="shared" ca="1" si="13"/>
        <v>#VALUE!</v>
      </c>
      <c r="AH85" s="35" t="e">
        <f t="shared" ca="1" si="14"/>
        <v>#VALUE!</v>
      </c>
      <c r="AI85" s="63" t="str">
        <f ca="1">_xll.BDP($B85,AI$6, "PX_ASK="&amp;T85)</f>
        <v>#N/A Invalid Override</v>
      </c>
      <c r="AJ85" s="35" t="e">
        <f t="shared" ca="1" si="15"/>
        <v>#VALUE!</v>
      </c>
    </row>
    <row r="86" spans="2:36">
      <c r="B86" s="15" t="s">
        <v>934</v>
      </c>
      <c r="C86" s="15" t="s">
        <v>935</v>
      </c>
      <c r="D86" s="15" t="s">
        <v>935</v>
      </c>
      <c r="E86" s="16">
        <v>38989</v>
      </c>
      <c r="F86" s="19">
        <v>38980</v>
      </c>
      <c r="G86" s="18"/>
      <c r="H86" s="16">
        <v>39161</v>
      </c>
      <c r="I86" s="16">
        <v>46101</v>
      </c>
      <c r="J86" s="17">
        <v>2.2000000000000002E-2</v>
      </c>
      <c r="K86" s="16">
        <v>46285</v>
      </c>
      <c r="L86" s="20" t="str">
        <f ca="1">_xll.meLWOBondCreateFromGeneratorLVB(C86,$L$4,_xll.meUtilityLVBFromKeysValues($C$6:$K$6,C86:K86))</f>
        <v>JP1200901690:1</v>
      </c>
      <c r="M86" s="92">
        <f ca="1">_xll.BDP($B86,$M$5)</f>
        <v>4.0999999999998989E-2</v>
      </c>
      <c r="N86" s="37">
        <f ca="1">_xll.meLWOBondCleanPrice($L86,$C$4,$M86%)</f>
        <v>117.05098713297724</v>
      </c>
      <c r="O86" s="37">
        <f ca="1">_xll.meLWOBondDirtyPrice($L86,$C$4,$M86%)</f>
        <v>117.6</v>
      </c>
      <c r="P86" s="87">
        <f ca="1">_xll.meLWOBondYield($L86,$C$4,N86)</f>
        <v>4.1000000000023944E-4</v>
      </c>
      <c r="Q86" s="89">
        <f ca="1">_xll.meLWOBondModifiedDuration($L86,$C$4,$M86%)</f>
        <v>7.3579535923958632</v>
      </c>
      <c r="R86" s="23">
        <f ca="1">_xll.meLWOBondDV01($L86,$C$4,$M86%)</f>
        <v>865.29534246575349</v>
      </c>
      <c r="S86" s="85">
        <f t="shared" ca="1" si="16"/>
        <v>4.0999999999998989E-2</v>
      </c>
      <c r="T86" s="22" t="str">
        <f ca="1">_xll.BDP($B86,T$6, "YAS_BOND_SPL_YLD="&amp;S86,"YAS_YLD_CONV=2")</f>
        <v>#N/A Requesting Data...</v>
      </c>
      <c r="U86" s="23">
        <f t="shared" ca="1" si="17"/>
        <v>117.05098713297724</v>
      </c>
      <c r="V86" s="23">
        <f t="shared" ca="1" si="9"/>
        <v>117.05</v>
      </c>
      <c r="W86" s="24" t="e">
        <f t="shared" ca="1" si="10"/>
        <v>#VALUE!</v>
      </c>
      <c r="X86" s="23">
        <f ca="1">_xll.meLWOBondDV01($L86,$C$4,$S86%)</f>
        <v>865.29534246575349</v>
      </c>
      <c r="Y86" s="22" t="e">
        <f ca="1">_xll.BDP($B86,Y$6, "YLD_YTM_ASK="&amp;$S86,"YAS_YLD_CONV=3")*$Y$3*0.0001</f>
        <v>#VALUE!</v>
      </c>
      <c r="Z86" s="24" t="e">
        <f t="shared" ca="1" si="11"/>
        <v>#VALUE!</v>
      </c>
      <c r="AA86" s="23">
        <f ca="1">_xll.meLWOBondModifiedDuration($L86,$C$4,$S86%)</f>
        <v>7.3579535923958632</v>
      </c>
      <c r="AB86" s="22" t="str">
        <f ca="1">_xll.BDP($B86,AB$6, "YLD_YTM_ASK="&amp;$S86,"YAS_YLD_CONV=3")</f>
        <v>#N/A Requesting Data...</v>
      </c>
      <c r="AC86" s="24" t="e">
        <f t="shared" ca="1" si="12"/>
        <v>#VALUE!</v>
      </c>
      <c r="AD86" s="23">
        <f ca="1">_xll.meLWOBondDV01Numerical($L86,$C$4,$S86%, 0.5, "CENTRAL")</f>
        <v>924.42574651229847</v>
      </c>
      <c r="AE86" s="63" t="str">
        <f ca="1">_xll.BDP($B86,AE$6, "YAS_BOND_PX="&amp;T86)</f>
        <v>#N/A Invalid Override</v>
      </c>
      <c r="AF86" s="64" t="e">
        <f ca="1">_xll.meLWOBondCompoundYield(L86,$C$4,T86)*100</f>
        <v>#VALUE!</v>
      </c>
      <c r="AG86" s="65" t="e">
        <f t="shared" ca="1" si="13"/>
        <v>#VALUE!</v>
      </c>
      <c r="AH86" s="35" t="e">
        <f t="shared" ca="1" si="14"/>
        <v>#VALUE!</v>
      </c>
      <c r="AI86" s="63" t="str">
        <f ca="1">_xll.BDP($B86,AI$6, "PX_ASK="&amp;T86)</f>
        <v>#N/A Invalid Override</v>
      </c>
      <c r="AJ86" s="35" t="e">
        <f t="shared" ca="1" si="15"/>
        <v>#VALUE!</v>
      </c>
    </row>
    <row r="87" spans="2:36">
      <c r="B87" s="15" t="s">
        <v>936</v>
      </c>
      <c r="C87" s="15" t="s">
        <v>937</v>
      </c>
      <c r="D87" s="15" t="s">
        <v>937</v>
      </c>
      <c r="E87" s="16">
        <v>39076</v>
      </c>
      <c r="F87" s="19">
        <v>39071</v>
      </c>
      <c r="G87" s="18"/>
      <c r="H87" s="16">
        <v>39253</v>
      </c>
      <c r="I87" s="16">
        <v>46193</v>
      </c>
      <c r="J87" s="17">
        <v>2.1000000000000001E-2</v>
      </c>
      <c r="K87" s="16">
        <v>46376</v>
      </c>
      <c r="L87" s="20" t="str">
        <f ca="1">_xll.meLWOBondCreateFromGeneratorLVB(C87,$L$4,_xll.meUtilityLVBFromKeysValues($C$6:$K$6,C87:K87))</f>
        <v>JP12009216C0:1</v>
      </c>
      <c r="M87" s="92">
        <f ca="1">_xll.BDP($B87,$M$5)</f>
        <v>5.2000000000002308E-2</v>
      </c>
      <c r="N87" s="37">
        <f ca="1">_xll.meLWOBondCleanPrice($L87,$C$4,$M87%)</f>
        <v>116.66666121040237</v>
      </c>
      <c r="O87" s="37">
        <f ca="1">_xll.meLWOBondDirtyPrice($L87,$C$4,$M87%)</f>
        <v>117.85000000000001</v>
      </c>
      <c r="P87" s="87">
        <f ca="1">_xll.meLWOBondYield($L87,$C$4,N87)</f>
        <v>5.2000000000041553E-4</v>
      </c>
      <c r="Q87" s="89">
        <f ca="1">_xll.meLWOBondModifiedDuration($L87,$C$4,$M87%)</f>
        <v>7.5667478394290404</v>
      </c>
      <c r="R87" s="23">
        <f ca="1">_xll.meLWOBondDV01($L87,$C$4,$M87%)</f>
        <v>891.7412328767125</v>
      </c>
      <c r="S87" s="85">
        <f t="shared" ca="1" si="16"/>
        <v>5.2000000000002308E-2</v>
      </c>
      <c r="T87" s="22" t="str">
        <f ca="1">_xll.BDP($B87,T$6, "YAS_BOND_SPL_YLD="&amp;S87,"YAS_YLD_CONV=2")</f>
        <v>#N/A Requesting Data...</v>
      </c>
      <c r="U87" s="23">
        <f t="shared" ca="1" si="17"/>
        <v>116.66666121040237</v>
      </c>
      <c r="V87" s="23">
        <f t="shared" ca="1" si="9"/>
        <v>116.666</v>
      </c>
      <c r="W87" s="24" t="e">
        <f t="shared" ca="1" si="10"/>
        <v>#VALUE!</v>
      </c>
      <c r="X87" s="23">
        <f ca="1">_xll.meLWOBondDV01($L87,$C$4,$S87%)</f>
        <v>891.7412328767125</v>
      </c>
      <c r="Y87" s="22" t="e">
        <f ca="1">_xll.BDP($B87,Y$6, "YLD_YTM_ASK="&amp;$S87,"YAS_YLD_CONV=3")*$Y$3*0.0001</f>
        <v>#VALUE!</v>
      </c>
      <c r="Z87" s="24" t="e">
        <f t="shared" ca="1" si="11"/>
        <v>#VALUE!</v>
      </c>
      <c r="AA87" s="23">
        <f ca="1">_xll.meLWOBondModifiedDuration($L87,$C$4,$S87%)</f>
        <v>7.5667478394290404</v>
      </c>
      <c r="AB87" s="22" t="str">
        <f ca="1">_xll.BDP($B87,AB$6, "YLD_YTM_ASK="&amp;$S87,"YAS_YLD_CONV=3")</f>
        <v>#N/A Requesting Data...</v>
      </c>
      <c r="AC87" s="24" t="e">
        <f t="shared" ca="1" si="12"/>
        <v>#VALUE!</v>
      </c>
      <c r="AD87" s="23">
        <f ca="1">_xll.meLWOBondDV01Numerical($L87,$C$4,$S87%, 0.5, "CENTRAL")</f>
        <v>949.43556585988631</v>
      </c>
      <c r="AE87" s="63" t="str">
        <f ca="1">_xll.BDP($B87,AE$6, "YAS_BOND_PX="&amp;T87)</f>
        <v>#N/A Invalid Override</v>
      </c>
      <c r="AF87" s="64" t="e">
        <f ca="1">_xll.meLWOBondCompoundYield(L87,$C$4,T87)*100</f>
        <v>#VALUE!</v>
      </c>
      <c r="AG87" s="65" t="e">
        <f t="shared" ca="1" si="13"/>
        <v>#VALUE!</v>
      </c>
      <c r="AH87" s="35" t="e">
        <f t="shared" ca="1" si="14"/>
        <v>#VALUE!</v>
      </c>
      <c r="AI87" s="63" t="str">
        <f ca="1">_xll.BDP($B87,AI$6, "PX_ASK="&amp;T87)</f>
        <v>#N/A Invalid Override</v>
      </c>
      <c r="AJ87" s="35" t="e">
        <f t="shared" ca="1" si="15"/>
        <v>#VALUE!</v>
      </c>
    </row>
    <row r="88" spans="2:36">
      <c r="B88" s="15" t="s">
        <v>938</v>
      </c>
      <c r="C88" s="15" t="s">
        <v>939</v>
      </c>
      <c r="D88" s="15" t="s">
        <v>939</v>
      </c>
      <c r="E88" s="16">
        <v>42815</v>
      </c>
      <c r="F88" s="19">
        <v>42814</v>
      </c>
      <c r="G88" s="18"/>
      <c r="H88" s="16">
        <v>42998</v>
      </c>
      <c r="I88" s="16">
        <v>46285</v>
      </c>
      <c r="J88" s="17">
        <v>1E-3</v>
      </c>
      <c r="K88" s="16">
        <v>46466</v>
      </c>
      <c r="L88" s="20" t="str">
        <f ca="1">_xll.meLWOBondCreateFromGeneratorLVB(C88,$L$4,_xll.meUtilityLVBFromKeysValues($C$6:$K$6,C88:K88))</f>
        <v>JP1103461H35:1</v>
      </c>
      <c r="M88" s="92">
        <f ca="1">_xll.BDP($B88,$M$5)</f>
        <v>6.5999999999999767E-2</v>
      </c>
      <c r="N88" s="37">
        <f ca="1">_xll.meLWOBondCleanPrice($L88,$C$4,$M88%)</f>
        <v>100.28467023976198</v>
      </c>
      <c r="O88" s="37">
        <f ca="1">_xll.meLWOBondDirtyPrice($L88,$C$4,$M88%)</f>
        <v>100.85</v>
      </c>
      <c r="P88" s="87">
        <f ca="1">_xll.meLWOBondYield($L88,$C$4,N88)</f>
        <v>6.5999999999997365E-4</v>
      </c>
      <c r="Q88" s="89">
        <f ca="1">_xll.meLWOBondModifiedDuration($L88,$C$4,$M88%)</f>
        <v>8.3854646463960467</v>
      </c>
      <c r="R88" s="23">
        <f ca="1">_xll.meLWOBondDV01($L88,$C$4,$M88%)</f>
        <v>845.67410958904122</v>
      </c>
      <c r="S88" s="85">
        <f t="shared" ca="1" si="16"/>
        <v>6.5999999999999767E-2</v>
      </c>
      <c r="T88" s="22" t="str">
        <f ca="1">_xll.BDP($B88,T$6, "YAS_BOND_SPL_YLD="&amp;S88,"YAS_YLD_CONV=2")</f>
        <v>#N/A Requesting Data...</v>
      </c>
      <c r="U88" s="23">
        <f t="shared" ca="1" si="17"/>
        <v>100.28467023976198</v>
      </c>
      <c r="V88" s="23">
        <f t="shared" ca="1" si="9"/>
        <v>100.28400000000001</v>
      </c>
      <c r="W88" s="24" t="e">
        <f t="shared" ca="1" si="10"/>
        <v>#VALUE!</v>
      </c>
      <c r="X88" s="23">
        <f ca="1">_xll.meLWOBondDV01($L88,$C$4,$S88%)</f>
        <v>845.67410958904122</v>
      </c>
      <c r="Y88" s="22" t="e">
        <f ca="1">_xll.BDP($B88,Y$6, "YLD_YTM_ASK="&amp;$S88,"YAS_YLD_CONV=3")*$Y$3*0.0001</f>
        <v>#VALUE!</v>
      </c>
      <c r="Z88" s="24" t="e">
        <f t="shared" ca="1" si="11"/>
        <v>#VALUE!</v>
      </c>
      <c r="AA88" s="23">
        <f ca="1">_xll.meLWOBondModifiedDuration($L88,$C$4,$S88%)</f>
        <v>8.3854646463960467</v>
      </c>
      <c r="AB88" s="22" t="str">
        <f ca="1">_xll.BDP($B88,AB$6, "YLD_YTM_ASK="&amp;$S88,"YAS_YLD_CONV=3")</f>
        <v>#N/A Requesting Data...</v>
      </c>
      <c r="AC88" s="24" t="e">
        <f t="shared" ca="1" si="12"/>
        <v>#VALUE!</v>
      </c>
      <c r="AD88" s="23">
        <f ca="1">_xll.meLWOBondDV01Numerical($L88,$C$4,$S88%, 0.5, "CENTRAL")</f>
        <v>839.64900366908068</v>
      </c>
      <c r="AE88" s="63" t="str">
        <f ca="1">_xll.BDP($B88,AE$6, "YAS_BOND_PX="&amp;T88)</f>
        <v>#N/A Invalid Override</v>
      </c>
      <c r="AF88" s="64" t="e">
        <f ca="1">_xll.meLWOBondCompoundYield(L88,$C$4,T88)*100</f>
        <v>#VALUE!</v>
      </c>
      <c r="AG88" s="65" t="e">
        <f t="shared" ca="1" si="13"/>
        <v>#VALUE!</v>
      </c>
      <c r="AH88" s="35" t="e">
        <f t="shared" ca="1" si="14"/>
        <v>#VALUE!</v>
      </c>
      <c r="AI88" s="63" t="str">
        <f ca="1">_xll.BDP($B88,AI$6, "PX_ASK="&amp;T88)</f>
        <v>#N/A Invalid Override</v>
      </c>
      <c r="AJ88" s="35" t="e">
        <f t="shared" ca="1" si="15"/>
        <v>#VALUE!</v>
      </c>
    </row>
    <row r="89" spans="2:36">
      <c r="B89" s="15" t="s">
        <v>940</v>
      </c>
      <c r="C89" s="15" t="s">
        <v>941</v>
      </c>
      <c r="D89" s="15" t="s">
        <v>941</v>
      </c>
      <c r="E89" s="16">
        <v>39199</v>
      </c>
      <c r="F89" s="19">
        <v>39161</v>
      </c>
      <c r="G89" s="18"/>
      <c r="H89" s="16">
        <v>39345</v>
      </c>
      <c r="I89" s="16">
        <v>46285</v>
      </c>
      <c r="J89" s="17">
        <v>2.1000000000000001E-2</v>
      </c>
      <c r="K89" s="16">
        <v>46466</v>
      </c>
      <c r="L89" s="20" t="str">
        <f ca="1">_xll.meLWOBondCreateFromGeneratorLVB(C89,$L$4,_xll.meUtilityLVBFromKeysValues($C$6:$K$6,C89:K89))</f>
        <v>JP1200941746:1</v>
      </c>
      <c r="M89" s="92">
        <f ca="1">_xll.BDP($B89,$M$5)</f>
        <v>6.1999999999999472E-2</v>
      </c>
      <c r="N89" s="37">
        <f ca="1">_xll.meLWOBondCleanPrice($L89,$C$4,$M89%)</f>
        <v>117.06918565299392</v>
      </c>
      <c r="O89" s="37">
        <f ca="1">_xll.meLWOBondDirtyPrice($L89,$C$4,$M89%)</f>
        <v>117.85000000000001</v>
      </c>
      <c r="P89" s="87">
        <f ca="1">_xll.meLWOBondYield($L89,$C$4,N89)</f>
        <v>6.1999999999991554E-4</v>
      </c>
      <c r="Q89" s="89">
        <f ca="1">_xll.meLWOBondModifiedDuration($L89,$C$4,$M89%)</f>
        <v>7.8133231818947939</v>
      </c>
      <c r="R89" s="23">
        <f ca="1">_xll.meLWOBondDV01($L89,$C$4,$M89%)</f>
        <v>920.80013698630148</v>
      </c>
      <c r="S89" s="85">
        <f t="shared" ca="1" si="16"/>
        <v>6.1999999999999472E-2</v>
      </c>
      <c r="T89" s="22" t="str">
        <f ca="1">_xll.BDP($B89,T$6, "YAS_BOND_SPL_YLD="&amp;S89,"YAS_YLD_CONV=2")</f>
        <v>#N/A Requesting Data...</v>
      </c>
      <c r="U89" s="23">
        <f t="shared" ca="1" si="17"/>
        <v>117.06918565299392</v>
      </c>
      <c r="V89" s="23">
        <f t="shared" ca="1" si="9"/>
        <v>117.069</v>
      </c>
      <c r="W89" s="24" t="e">
        <f t="shared" ca="1" si="10"/>
        <v>#VALUE!</v>
      </c>
      <c r="X89" s="23">
        <f ca="1">_xll.meLWOBondDV01($L89,$C$4,$S89%)</f>
        <v>920.80013698630148</v>
      </c>
      <c r="Y89" s="22" t="e">
        <f ca="1">_xll.BDP($B89,Y$6, "YLD_YTM_ASK="&amp;$S89,"YAS_YLD_CONV=3")*$Y$3*0.0001</f>
        <v>#VALUE!</v>
      </c>
      <c r="Z89" s="24" t="e">
        <f t="shared" ca="1" si="11"/>
        <v>#VALUE!</v>
      </c>
      <c r="AA89" s="23">
        <f ca="1">_xll.meLWOBondModifiedDuration($L89,$C$4,$S89%)</f>
        <v>7.8133231818947939</v>
      </c>
      <c r="AB89" s="22" t="str">
        <f ca="1">_xll.BDP($B89,AB$6, "YLD_YTM_ASK="&amp;$S89,"YAS_YLD_CONV=3")</f>
        <v>#N/A Requesting Data...</v>
      </c>
      <c r="AC89" s="24" t="e">
        <f t="shared" ca="1" si="12"/>
        <v>#VALUE!</v>
      </c>
      <c r="AD89" s="23">
        <f ca="1">_xll.meLWOBondDV01Numerical($L89,$C$4,$S89%, 0.5, "CENTRAL")</f>
        <v>980.50834867251524</v>
      </c>
      <c r="AE89" s="63" t="str">
        <f ca="1">_xll.BDP($B89,AE$6, "YAS_BOND_PX="&amp;T89)</f>
        <v>#N/A Invalid Override</v>
      </c>
      <c r="AF89" s="64" t="e">
        <f ca="1">_xll.meLWOBondCompoundYield(L89,$C$4,T89)*100</f>
        <v>#VALUE!</v>
      </c>
      <c r="AG89" s="65" t="e">
        <f t="shared" ca="1" si="13"/>
        <v>#VALUE!</v>
      </c>
      <c r="AH89" s="35" t="e">
        <f t="shared" ca="1" si="14"/>
        <v>#VALUE!</v>
      </c>
      <c r="AI89" s="63" t="str">
        <f ca="1">_xll.BDP($B89,AI$6, "PX_ASK="&amp;T89)</f>
        <v>#N/A Invalid Override</v>
      </c>
      <c r="AJ89" s="35" t="e">
        <f t="shared" ca="1" si="15"/>
        <v>#VALUE!</v>
      </c>
    </row>
    <row r="90" spans="2:36">
      <c r="B90" s="15" t="s">
        <v>942</v>
      </c>
      <c r="C90" s="15" t="s">
        <v>943</v>
      </c>
      <c r="D90" s="15" t="s">
        <v>943</v>
      </c>
      <c r="E90" s="16">
        <v>39167</v>
      </c>
      <c r="F90" s="19">
        <v>39161</v>
      </c>
      <c r="G90" s="18"/>
      <c r="H90" s="16">
        <v>39345</v>
      </c>
      <c r="I90" s="16">
        <v>46285</v>
      </c>
      <c r="J90" s="17">
        <v>0.02</v>
      </c>
      <c r="K90" s="16">
        <v>46466</v>
      </c>
      <c r="L90" s="20" t="str">
        <f ca="1">_xll.meLWOBondCreateFromGeneratorLVB(C90,$L$4,_xll.meUtilityLVBFromKeysValues($C$6:$K$6,C90:K90))</f>
        <v>JP1200931739:1</v>
      </c>
      <c r="M90" s="92">
        <f ca="1">_xll.BDP($B90,$M$5)</f>
        <v>6.1000000000000887E-2</v>
      </c>
      <c r="N90" s="37">
        <f ca="1">_xll.meLWOBondCleanPrice($L90,$C$4,$M90%)</f>
        <v>116.24137549150659</v>
      </c>
      <c r="O90" s="37">
        <f ca="1">_xll.meLWOBondDirtyPrice($L90,$C$4,$M90%)</f>
        <v>117</v>
      </c>
      <c r="P90" s="87">
        <f ca="1">_xll.meLWOBondYield($L90,$C$4,N90)</f>
        <v>6.0999999999958212E-4</v>
      </c>
      <c r="Q90" s="89">
        <f ca="1">_xll.meLWOBondModifiedDuration($L90,$C$4,$M90%)</f>
        <v>7.837981500995201</v>
      </c>
      <c r="R90" s="23">
        <f ca="1">_xll.meLWOBondDV01($L90,$C$4,$M90%)</f>
        <v>917.04383561643851</v>
      </c>
      <c r="S90" s="85">
        <f t="shared" ca="1" si="16"/>
        <v>6.1000000000000887E-2</v>
      </c>
      <c r="T90" s="22" t="str">
        <f ca="1">_xll.BDP($B90,T$6, "YAS_BOND_SPL_YLD="&amp;S90,"YAS_YLD_CONV=2")</f>
        <v>#N/A Requesting Data...</v>
      </c>
      <c r="U90" s="23">
        <f t="shared" ca="1" si="17"/>
        <v>116.24137549150659</v>
      </c>
      <c r="V90" s="23">
        <f t="shared" ca="1" si="9"/>
        <v>116.241</v>
      </c>
      <c r="W90" s="24" t="e">
        <f t="shared" ca="1" si="10"/>
        <v>#VALUE!</v>
      </c>
      <c r="X90" s="23">
        <f ca="1">_xll.meLWOBondDV01($L90,$C$4,$S90%)</f>
        <v>917.04383561643851</v>
      </c>
      <c r="Y90" s="22" t="e">
        <f ca="1">_xll.BDP($B90,Y$6, "YLD_YTM_ASK="&amp;$S90,"YAS_YLD_CONV=3")*$Y$3*0.0001</f>
        <v>#VALUE!</v>
      </c>
      <c r="Z90" s="24" t="e">
        <f t="shared" ca="1" si="11"/>
        <v>#VALUE!</v>
      </c>
      <c r="AA90" s="23">
        <f ca="1">_xll.meLWOBondModifiedDuration($L90,$C$4,$S90%)</f>
        <v>7.837981500995201</v>
      </c>
      <c r="AB90" s="22" t="str">
        <f ca="1">_xll.BDP($B90,AB$6, "YLD_YTM_ASK="&amp;$S90,"YAS_YLD_CONV=3")</f>
        <v>#N/A Requesting Data...</v>
      </c>
      <c r="AC90" s="24" t="e">
        <f t="shared" ca="1" si="12"/>
        <v>#VALUE!</v>
      </c>
      <c r="AD90" s="23">
        <f ca="1">_xll.meLWOBondDV01Numerical($L90,$C$4,$S90%, 0.5, "CENTRAL")</f>
        <v>973.65660554331157</v>
      </c>
      <c r="AE90" s="63" t="str">
        <f ca="1">_xll.BDP($B90,AE$6, "YAS_BOND_PX="&amp;T90)</f>
        <v>#N/A Invalid Override</v>
      </c>
      <c r="AF90" s="64" t="e">
        <f ca="1">_xll.meLWOBondCompoundYield(L90,$C$4,T90)*100</f>
        <v>#VALUE!</v>
      </c>
      <c r="AG90" s="65" t="e">
        <f t="shared" ca="1" si="13"/>
        <v>#VALUE!</v>
      </c>
      <c r="AH90" s="35" t="e">
        <f t="shared" ca="1" si="14"/>
        <v>#VALUE!</v>
      </c>
      <c r="AI90" s="63" t="str">
        <f ca="1">_xll.BDP($B90,AI$6, "PX_ASK="&amp;T90)</f>
        <v>#N/A Invalid Override</v>
      </c>
      <c r="AJ90" s="35" t="e">
        <f t="shared" ca="1" si="15"/>
        <v>#VALUE!</v>
      </c>
    </row>
    <row r="91" spans="2:36">
      <c r="B91" s="15" t="s">
        <v>944</v>
      </c>
      <c r="C91" s="15" t="s">
        <v>945</v>
      </c>
      <c r="D91" s="15" t="s">
        <v>945</v>
      </c>
      <c r="E91" s="16">
        <v>39262</v>
      </c>
      <c r="F91" s="19">
        <v>39253</v>
      </c>
      <c r="G91" s="18"/>
      <c r="H91" s="16">
        <v>39436</v>
      </c>
      <c r="I91" s="16">
        <v>46376</v>
      </c>
      <c r="J91" s="17">
        <v>2.3E-2</v>
      </c>
      <c r="K91" s="16">
        <v>46558</v>
      </c>
      <c r="L91" s="20" t="str">
        <f ca="1">_xll.meLWOBondCreateFromGeneratorLVB(C91,$L$4,_xll.meUtilityLVBFromKeysValues($C$6:$K$6,C91:K91))</f>
        <v>JP1200951760:1</v>
      </c>
      <c r="M91" s="92">
        <f ca="1">_xll.BDP($B91,$M$5)</f>
        <v>7.2999999999999537E-2</v>
      </c>
      <c r="N91" s="37">
        <f ca="1">_xll.meLWOBondCleanPrice($L91,$C$4,$M91%)</f>
        <v>119.18936692381064</v>
      </c>
      <c r="O91" s="37">
        <f ca="1">_xll.meLWOBondDirtyPrice($L91,$C$4,$M91%)</f>
        <v>120.7</v>
      </c>
      <c r="P91" s="87">
        <f ca="1">_xll.meLWOBondYield($L91,$C$4,N91)</f>
        <v>7.2999999999964912E-4</v>
      </c>
      <c r="Q91" s="89">
        <f ca="1">_xll.meLWOBondModifiedDuration($L91,$C$4,$M91%)</f>
        <v>7.9437295002894075</v>
      </c>
      <c r="R91" s="23">
        <f ca="1">_xll.meLWOBondDV01($L91,$C$4,$M91%)</f>
        <v>958.80815068493155</v>
      </c>
      <c r="S91" s="85">
        <f t="shared" ca="1" si="16"/>
        <v>7.2999999999999537E-2</v>
      </c>
      <c r="T91" s="22" t="str">
        <f ca="1">_xll.BDP($B91,T$6, "YAS_BOND_SPL_YLD="&amp;S91,"YAS_YLD_CONV=2")</f>
        <v>#N/A Requesting Data...</v>
      </c>
      <c r="U91" s="23">
        <f t="shared" ca="1" si="17"/>
        <v>119.18936692381064</v>
      </c>
      <c r="V91" s="23">
        <f t="shared" ca="1" si="9"/>
        <v>119.18899999999999</v>
      </c>
      <c r="W91" s="24" t="e">
        <f t="shared" ca="1" si="10"/>
        <v>#VALUE!</v>
      </c>
      <c r="X91" s="23">
        <f ca="1">_xll.meLWOBondDV01($L91,$C$4,$S91%)</f>
        <v>958.80815068493155</v>
      </c>
      <c r="Y91" s="22" t="e">
        <f ca="1">_xll.BDP($B91,Y$6, "YLD_YTM_ASK="&amp;$S91,"YAS_YLD_CONV=3")*$Y$3*0.0001</f>
        <v>#VALUE!</v>
      </c>
      <c r="Z91" s="24" t="e">
        <f t="shared" ca="1" si="11"/>
        <v>#VALUE!</v>
      </c>
      <c r="AA91" s="23">
        <f ca="1">_xll.meLWOBondModifiedDuration($L91,$C$4,$S91%)</f>
        <v>7.9437295002894075</v>
      </c>
      <c r="AB91" s="22" t="str">
        <f ca="1">_xll.BDP($B91,AB$6, "YLD_YTM_ASK="&amp;$S91,"YAS_YLD_CONV=3")</f>
        <v>#N/A Requesting Data...</v>
      </c>
      <c r="AC91" s="24" t="e">
        <f t="shared" ca="1" si="12"/>
        <v>#VALUE!</v>
      </c>
      <c r="AD91" s="23">
        <f ca="1">_xll.meLWOBondDV01Numerical($L91,$C$4,$S91%, 0.5, "CENTRAL")</f>
        <v>1027.0179253964784</v>
      </c>
      <c r="AE91" s="63" t="str">
        <f ca="1">_xll.BDP($B91,AE$6, "YAS_BOND_PX="&amp;T91)</f>
        <v>#N/A Invalid Override</v>
      </c>
      <c r="AF91" s="64" t="e">
        <f ca="1">_xll.meLWOBondCompoundYield(L91,$C$4,T91)*100</f>
        <v>#VALUE!</v>
      </c>
      <c r="AG91" s="65" t="e">
        <f t="shared" ca="1" si="13"/>
        <v>#VALUE!</v>
      </c>
      <c r="AH91" s="35" t="e">
        <f t="shared" ca="1" si="14"/>
        <v>#VALUE!</v>
      </c>
      <c r="AI91" s="63" t="str">
        <f ca="1">_xll.BDP($B91,AI$6, "PX_ASK="&amp;T91)</f>
        <v>#N/A Invalid Override</v>
      </c>
      <c r="AJ91" s="35" t="e">
        <f t="shared" ca="1" si="15"/>
        <v>#VALUE!</v>
      </c>
    </row>
    <row r="92" spans="2:36">
      <c r="B92" s="15" t="s">
        <v>946</v>
      </c>
      <c r="C92" s="15" t="s">
        <v>947</v>
      </c>
      <c r="D92" s="15" t="s">
        <v>947</v>
      </c>
      <c r="E92" s="16">
        <v>39325</v>
      </c>
      <c r="F92" s="19">
        <v>39253</v>
      </c>
      <c r="G92" s="18"/>
      <c r="H92" s="16">
        <v>39436</v>
      </c>
      <c r="I92" s="16">
        <v>46376</v>
      </c>
      <c r="J92" s="17">
        <v>2.1000000000000001E-2</v>
      </c>
      <c r="K92" s="16">
        <v>46558</v>
      </c>
      <c r="L92" s="20" t="str">
        <f ca="1">_xll.meLWOBondCreateFromGeneratorLVB(C92,$L$4,_xll.meUtilityLVBFromKeysValues($C$6:$K$6,C92:K92))</f>
        <v>JP1200961785:1</v>
      </c>
      <c r="M92" s="92">
        <f ca="1">_xll.BDP($B92,$M$5)</f>
        <v>7.2000000000001202E-2</v>
      </c>
      <c r="N92" s="37">
        <f ca="1">_xll.meLWOBondCleanPrice($L92,$C$4,$M92%)</f>
        <v>117.47615163194826</v>
      </c>
      <c r="O92" s="37">
        <f ca="1">_xll.meLWOBondDirtyPrice($L92,$C$4,$M92%)</f>
        <v>118.9</v>
      </c>
      <c r="P92" s="87">
        <f ca="1">_xll.meLWOBondYield($L92,$C$4,N92)</f>
        <v>7.2000000000026112E-4</v>
      </c>
      <c r="Q92" s="89">
        <f ca="1">_xll.meLWOBondModifiedDuration($L92,$C$4,$M92%)</f>
        <v>7.9970350357731244</v>
      </c>
      <c r="R92" s="23">
        <f ca="1">_xll.meLWOBondDV01($L92,$C$4,$M92%)</f>
        <v>950.84746575342456</v>
      </c>
      <c r="S92" s="85">
        <f t="shared" ca="1" si="16"/>
        <v>7.2000000000001202E-2</v>
      </c>
      <c r="T92" s="22" t="str">
        <f ca="1">_xll.BDP($B92,T$6, "YAS_BOND_SPL_YLD="&amp;S92,"YAS_YLD_CONV=2")</f>
        <v>#N/A Requesting Data...</v>
      </c>
      <c r="U92" s="23">
        <f t="shared" ca="1" si="17"/>
        <v>117.47615163194826</v>
      </c>
      <c r="V92" s="23">
        <f t="shared" ca="1" si="9"/>
        <v>117.476</v>
      </c>
      <c r="W92" s="24" t="e">
        <f t="shared" ca="1" si="10"/>
        <v>#VALUE!</v>
      </c>
      <c r="X92" s="23">
        <f ca="1">_xll.meLWOBondDV01($L92,$C$4,$S92%)</f>
        <v>950.84746575342456</v>
      </c>
      <c r="Y92" s="22" t="e">
        <f ca="1">_xll.BDP($B92,Y$6, "YLD_YTM_ASK="&amp;$S92,"YAS_YLD_CONV=3")*$Y$3*0.0001</f>
        <v>#VALUE!</v>
      </c>
      <c r="Z92" s="24" t="e">
        <f t="shared" ca="1" si="11"/>
        <v>#VALUE!</v>
      </c>
      <c r="AA92" s="23">
        <f ca="1">_xll.meLWOBondModifiedDuration($L92,$C$4,$S92%)</f>
        <v>7.9970350357731244</v>
      </c>
      <c r="AB92" s="22" t="str">
        <f ca="1">_xll.BDP($B92,AB$6, "YLD_YTM_ASK="&amp;$S92,"YAS_YLD_CONV=3")</f>
        <v>#N/A Requesting Data...</v>
      </c>
      <c r="AC92" s="24" t="e">
        <f t="shared" ca="1" si="12"/>
        <v>#VALUE!</v>
      </c>
      <c r="AD92" s="23">
        <f ca="1">_xll.meLWOBondDV01Numerical($L92,$C$4,$S92%, 0.5, "CENTRAL")</f>
        <v>1012.3429093707159</v>
      </c>
      <c r="AE92" s="63" t="str">
        <f ca="1">_xll.BDP($B92,AE$6, "YAS_BOND_PX="&amp;T92)</f>
        <v>#N/A Invalid Override</v>
      </c>
      <c r="AF92" s="64" t="e">
        <f ca="1">_xll.meLWOBondCompoundYield(L92,$C$4,T92)*100</f>
        <v>#VALUE!</v>
      </c>
      <c r="AG92" s="65" t="e">
        <f t="shared" ca="1" si="13"/>
        <v>#VALUE!</v>
      </c>
      <c r="AH92" s="35" t="e">
        <f t="shared" ca="1" si="14"/>
        <v>#VALUE!</v>
      </c>
      <c r="AI92" s="63" t="str">
        <f ca="1">_xll.BDP($B92,AI$6, "PX_ASK="&amp;T92)</f>
        <v>#N/A Invalid Override</v>
      </c>
      <c r="AJ92" s="35" t="e">
        <f t="shared" ca="1" si="15"/>
        <v>#VALUE!</v>
      </c>
    </row>
    <row r="93" spans="2:36">
      <c r="B93" s="15" t="s">
        <v>948</v>
      </c>
      <c r="C93" s="15" t="s">
        <v>949</v>
      </c>
      <c r="D93" s="15" t="s">
        <v>949</v>
      </c>
      <c r="E93" s="16">
        <v>39353</v>
      </c>
      <c r="F93" s="19">
        <v>39345</v>
      </c>
      <c r="G93" s="18"/>
      <c r="H93" s="16">
        <v>39527</v>
      </c>
      <c r="I93" s="16">
        <v>46466</v>
      </c>
      <c r="J93" s="17">
        <v>2.2000000000000002E-2</v>
      </c>
      <c r="K93" s="16">
        <v>46650</v>
      </c>
      <c r="L93" s="20" t="str">
        <f ca="1">_xll.meLWOBondCreateFromGeneratorLVB(C93,$L$4,_xll.meUtilityLVBFromKeysValues($C$6:$K$6,C93:K93))</f>
        <v>JP1200971792:1</v>
      </c>
      <c r="M93" s="92">
        <f ca="1">_xll.BDP($B93,$M$5)</f>
        <v>8.3000000000000268E-2</v>
      </c>
      <c r="N93" s="37">
        <f ca="1">_xll.meLWOBondCleanPrice($L93,$C$4,$M93%)</f>
        <v>118.75171860704762</v>
      </c>
      <c r="O93" s="37">
        <f ca="1">_xll.meLWOBondDirtyPrice($L93,$C$4,$M93%)</f>
        <v>119.8</v>
      </c>
      <c r="P93" s="87">
        <f ca="1">_xll.meLWOBondYield($L93,$C$4,N93)</f>
        <v>8.2999999999963517E-4</v>
      </c>
      <c r="Q93" s="89">
        <f ca="1">_xll.meLWOBondModifiedDuration($L93,$C$4,$M93%)</f>
        <v>8.2167573810231662</v>
      </c>
      <c r="R93" s="23">
        <f ca="1">_xll.meLWOBondDV01($L93,$C$4,$M93%)</f>
        <v>984.36753424657536</v>
      </c>
      <c r="S93" s="85">
        <f t="shared" ca="1" si="16"/>
        <v>8.3000000000000268E-2</v>
      </c>
      <c r="T93" s="22" t="str">
        <f ca="1">_xll.BDP($B93,T$6, "YAS_BOND_SPL_YLD="&amp;S93,"YAS_YLD_CONV=2")</f>
        <v>#N/A Requesting Data...</v>
      </c>
      <c r="U93" s="23">
        <f t="shared" ca="1" si="17"/>
        <v>118.75171860704762</v>
      </c>
      <c r="V93" s="23">
        <f t="shared" ca="1" si="9"/>
        <v>118.751</v>
      </c>
      <c r="W93" s="24" t="e">
        <f t="shared" ca="1" si="10"/>
        <v>#VALUE!</v>
      </c>
      <c r="X93" s="23">
        <f ca="1">_xll.meLWOBondDV01($L93,$C$4,$S93%)</f>
        <v>984.36753424657536</v>
      </c>
      <c r="Y93" s="22" t="e">
        <f ca="1">_xll.BDP($B93,Y$6, "YLD_YTM_ASK="&amp;$S93,"YAS_YLD_CONV=3")*$Y$3*0.0001</f>
        <v>#VALUE!</v>
      </c>
      <c r="Z93" s="24" t="e">
        <f t="shared" ca="1" si="11"/>
        <v>#VALUE!</v>
      </c>
      <c r="AA93" s="23">
        <f ca="1">_xll.meLWOBondModifiedDuration($L93,$C$4,$S93%)</f>
        <v>8.2167573810231662</v>
      </c>
      <c r="AB93" s="22" t="str">
        <f ca="1">_xll.BDP($B93,AB$6, "YLD_YTM_ASK="&amp;$S93,"YAS_YLD_CONV=3")</f>
        <v>#N/A Requesting Data...</v>
      </c>
      <c r="AC93" s="24" t="e">
        <f t="shared" ca="1" si="12"/>
        <v>#VALUE!</v>
      </c>
      <c r="AD93" s="23">
        <f ca="1">_xll.meLWOBondDV01Numerical($L93,$C$4,$S93%, 0.5, "CENTRAL")</f>
        <v>1051.8654927733451</v>
      </c>
      <c r="AE93" s="63" t="str">
        <f ca="1">_xll.BDP($B93,AE$6, "YAS_BOND_PX="&amp;T93)</f>
        <v>#N/A Invalid Override</v>
      </c>
      <c r="AF93" s="64" t="e">
        <f ca="1">_xll.meLWOBondCompoundYield(L93,$C$4,T93)*100</f>
        <v>#VALUE!</v>
      </c>
      <c r="AG93" s="65" t="e">
        <f t="shared" ca="1" si="13"/>
        <v>#VALUE!</v>
      </c>
      <c r="AH93" s="35" t="e">
        <f t="shared" ca="1" si="14"/>
        <v>#VALUE!</v>
      </c>
      <c r="AI93" s="63" t="str">
        <f ca="1">_xll.BDP($B93,AI$6, "PX_ASK="&amp;T93)</f>
        <v>#N/A Invalid Override</v>
      </c>
      <c r="AJ93" s="35" t="e">
        <f t="shared" ca="1" si="15"/>
        <v>#VALUE!</v>
      </c>
    </row>
    <row r="94" spans="2:36">
      <c r="B94" s="15" t="s">
        <v>950</v>
      </c>
      <c r="C94" s="15" t="s">
        <v>951</v>
      </c>
      <c r="D94" s="15" t="s">
        <v>951</v>
      </c>
      <c r="E94" s="16">
        <v>39416</v>
      </c>
      <c r="F94" s="19">
        <v>39345</v>
      </c>
      <c r="G94" s="18"/>
      <c r="H94" s="16">
        <v>39527</v>
      </c>
      <c r="I94" s="16">
        <v>46466</v>
      </c>
      <c r="J94" s="17">
        <v>2.1000000000000001E-2</v>
      </c>
      <c r="K94" s="16">
        <v>46650</v>
      </c>
      <c r="L94" s="20" t="str">
        <f ca="1">_xll.meLWOBondCreateFromGeneratorLVB(C94,$L$4,_xll.meUtilityLVBFromKeysValues($C$6:$K$6,C94:K94))</f>
        <v>JP12009817B7:1</v>
      </c>
      <c r="M94" s="92">
        <f ca="1">_xll.BDP($B94,$M$5)</f>
        <v>8.199999999999931E-2</v>
      </c>
      <c r="N94" s="37">
        <f ca="1">_xll.meLWOBondCleanPrice($L94,$C$4,$M94%)</f>
        <v>117.87639125158559</v>
      </c>
      <c r="O94" s="37">
        <f ca="1">_xll.meLWOBondDirtyPrice($L94,$C$4,$M94%)</f>
        <v>118.9</v>
      </c>
      <c r="P94" s="87">
        <f ca="1">_xll.meLWOBondYield($L94,$C$4,N94)</f>
        <v>8.1999999999960902E-4</v>
      </c>
      <c r="Q94" s="89">
        <f ca="1">_xll.meLWOBondModifiedDuration($L94,$C$4,$M94%)</f>
        <v>8.2436103782388788</v>
      </c>
      <c r="R94" s="23">
        <f ca="1">_xll.meLWOBondDV01($L94,$C$4,$M94%)</f>
        <v>980.16527397260279</v>
      </c>
      <c r="S94" s="85">
        <f t="shared" ca="1" si="16"/>
        <v>8.199999999999931E-2</v>
      </c>
      <c r="T94" s="22" t="str">
        <f ca="1">_xll.BDP($B94,T$6, "YAS_BOND_SPL_YLD="&amp;S94,"YAS_YLD_CONV=2")</f>
        <v>#N/A Requesting Data...</v>
      </c>
      <c r="U94" s="23">
        <f t="shared" ca="1" si="17"/>
        <v>117.87639125158559</v>
      </c>
      <c r="V94" s="23">
        <f t="shared" ca="1" si="9"/>
        <v>117.876</v>
      </c>
      <c r="W94" s="24" t="e">
        <f t="shared" ca="1" si="10"/>
        <v>#VALUE!</v>
      </c>
      <c r="X94" s="23">
        <f ca="1">_xll.meLWOBondDV01($L94,$C$4,$S94%)</f>
        <v>980.16527397260279</v>
      </c>
      <c r="Y94" s="22" t="e">
        <f ca="1">_xll.BDP($B94,Y$6, "YLD_YTM_ASK="&amp;$S94,"YAS_YLD_CONV=3")*$Y$3*0.0001</f>
        <v>#VALUE!</v>
      </c>
      <c r="Z94" s="24" t="e">
        <f t="shared" ca="1" si="11"/>
        <v>#VALUE!</v>
      </c>
      <c r="AA94" s="23">
        <f ca="1">_xll.meLWOBondModifiedDuration($L94,$C$4,$S94%)</f>
        <v>8.2436103782388788</v>
      </c>
      <c r="AB94" s="22" t="str">
        <f ca="1">_xll.BDP($B94,AB$6, "YLD_YTM_ASK="&amp;$S94,"YAS_YLD_CONV=3")</f>
        <v>#N/A Requesting Data...</v>
      </c>
      <c r="AC94" s="24" t="e">
        <f t="shared" ca="1" si="12"/>
        <v>#VALUE!</v>
      </c>
      <c r="AD94" s="23">
        <f ca="1">_xll.meLWOBondDV01Numerical($L94,$C$4,$S94%, 0.5, "CENTRAL")</f>
        <v>1044.2046098773972</v>
      </c>
      <c r="AE94" s="63" t="str">
        <f ca="1">_xll.BDP($B94,AE$6, "YAS_BOND_PX="&amp;T94)</f>
        <v>#N/A Invalid Override</v>
      </c>
      <c r="AF94" s="64" t="e">
        <f ca="1">_xll.meLWOBondCompoundYield(L94,$C$4,T94)*100</f>
        <v>#VALUE!</v>
      </c>
      <c r="AG94" s="65" t="e">
        <f t="shared" ca="1" si="13"/>
        <v>#VALUE!</v>
      </c>
      <c r="AH94" s="35" t="e">
        <f t="shared" ca="1" si="14"/>
        <v>#VALUE!</v>
      </c>
      <c r="AI94" s="63" t="str">
        <f ca="1">_xll.BDP($B94,AI$6, "PX_ASK="&amp;T94)</f>
        <v>#N/A Invalid Override</v>
      </c>
      <c r="AJ94" s="35" t="e">
        <f t="shared" ca="1" si="15"/>
        <v>#VALUE!</v>
      </c>
    </row>
    <row r="95" spans="2:36">
      <c r="B95" s="15" t="s">
        <v>952</v>
      </c>
      <c r="C95" s="15" t="s">
        <v>953</v>
      </c>
      <c r="D95" s="15" t="s">
        <v>953</v>
      </c>
      <c r="E95" s="16">
        <v>39441</v>
      </c>
      <c r="F95" s="19">
        <v>39436</v>
      </c>
      <c r="G95" s="18"/>
      <c r="H95" s="16">
        <v>39619</v>
      </c>
      <c r="I95" s="16">
        <v>46558</v>
      </c>
      <c r="J95" s="17">
        <v>2.1000000000000001E-2</v>
      </c>
      <c r="K95" s="16">
        <v>46741</v>
      </c>
      <c r="L95" s="20" t="str">
        <f ca="1">_xll.meLWOBondCreateFromGeneratorLVB(C95,$L$4,_xll.meUtilityLVBFromKeysValues($C$6:$K$6,C95:K95))</f>
        <v>JP12009917C3:1</v>
      </c>
      <c r="M95" s="92">
        <f ca="1">_xll.BDP($B95,$M$5)</f>
        <v>8.7999999999999814E-2</v>
      </c>
      <c r="N95" s="37">
        <f ca="1">_xll.meLWOBondCleanPrice($L95,$C$4,$M95%)</f>
        <v>118.3075005739969</v>
      </c>
      <c r="O95" s="37">
        <f ca="1">_xll.meLWOBondDirtyPrice($L95,$C$4,$M95%)</f>
        <v>119.95</v>
      </c>
      <c r="P95" s="87">
        <f ca="1">_xll.meLWOBondYield($L95,$C$4,N95)</f>
        <v>8.7999999999990213E-4</v>
      </c>
      <c r="Q95" s="89">
        <f ca="1">_xll.meLWOBondModifiedDuration($L95,$C$4,$M95%)</f>
        <v>8.424165891039074</v>
      </c>
      <c r="R95" s="23">
        <f ca="1">_xll.meLWOBondDV01($L95,$C$4,$M95%)</f>
        <v>1010.478698630137</v>
      </c>
      <c r="S95" s="85">
        <f t="shared" ca="1" si="16"/>
        <v>8.7999999999999814E-2</v>
      </c>
      <c r="T95" s="22" t="str">
        <f ca="1">_xll.BDP($B95,T$6, "YAS_BOND_SPL_YLD="&amp;S95,"YAS_YLD_CONV=2")</f>
        <v>#N/A Requesting Data...</v>
      </c>
      <c r="U95" s="23">
        <f t="shared" ca="1" si="17"/>
        <v>118.3075005739969</v>
      </c>
      <c r="V95" s="23">
        <f t="shared" ca="1" si="9"/>
        <v>118.307</v>
      </c>
      <c r="W95" s="24" t="e">
        <f t="shared" ca="1" si="10"/>
        <v>#VALUE!</v>
      </c>
      <c r="X95" s="23">
        <f ca="1">_xll.meLWOBondDV01($L95,$C$4,$S95%)</f>
        <v>1010.478698630137</v>
      </c>
      <c r="Y95" s="22" t="e">
        <f ca="1">_xll.BDP($B95,Y$6, "YLD_YTM_ASK="&amp;$S95,"YAS_YLD_CONV=3")*$Y$3*0.0001</f>
        <v>#VALUE!</v>
      </c>
      <c r="Z95" s="24" t="e">
        <f t="shared" ca="1" si="11"/>
        <v>#VALUE!</v>
      </c>
      <c r="AA95" s="23">
        <f ca="1">_xll.meLWOBondModifiedDuration($L95,$C$4,$S95%)</f>
        <v>8.424165891039074</v>
      </c>
      <c r="AB95" s="22" t="str">
        <f ca="1">_xll.BDP($B95,AB$6, "YLD_YTM_ASK="&amp;$S95,"YAS_YLD_CONV=3")</f>
        <v>#N/A Requesting Data...</v>
      </c>
      <c r="AC95" s="24" t="e">
        <f t="shared" ca="1" si="12"/>
        <v>#VALUE!</v>
      </c>
      <c r="AD95" s="23">
        <f ca="1">_xll.meLWOBondDV01Numerical($L95,$C$4,$S95%, 0.5, "CENTRAL")</f>
        <v>1076.4985501896263</v>
      </c>
      <c r="AE95" s="63" t="str">
        <f ca="1">_xll.BDP($B95,AE$6, "YAS_BOND_PX="&amp;T95)</f>
        <v>#N/A Invalid Override</v>
      </c>
      <c r="AF95" s="64" t="e">
        <f ca="1">_xll.meLWOBondCompoundYield(L95,$C$4,T95)*100</f>
        <v>#VALUE!</v>
      </c>
      <c r="AG95" s="65" t="e">
        <f t="shared" ca="1" si="13"/>
        <v>#VALUE!</v>
      </c>
      <c r="AH95" s="35" t="e">
        <f t="shared" ca="1" si="14"/>
        <v>#VALUE!</v>
      </c>
      <c r="AI95" s="63" t="str">
        <f ca="1">_xll.BDP($B95,AI$6, "PX_ASK="&amp;T95)</f>
        <v>#N/A Invalid Override</v>
      </c>
      <c r="AJ95" s="35" t="e">
        <f t="shared" ca="1" si="15"/>
        <v>#VALUE!</v>
      </c>
    </row>
    <row r="96" spans="2:36">
      <c r="B96" s="15" t="s">
        <v>954</v>
      </c>
      <c r="C96" s="15" t="s">
        <v>955</v>
      </c>
      <c r="D96" s="15" t="s">
        <v>955</v>
      </c>
      <c r="E96" s="16">
        <v>39532</v>
      </c>
      <c r="F96" s="19">
        <v>39527</v>
      </c>
      <c r="G96" s="18"/>
      <c r="H96" s="16">
        <v>39711</v>
      </c>
      <c r="I96" s="16">
        <v>46650</v>
      </c>
      <c r="J96" s="17">
        <v>2.2000000000000002E-2</v>
      </c>
      <c r="K96" s="16">
        <v>46832</v>
      </c>
      <c r="L96" s="20" t="str">
        <f ca="1">_xll.meLWOBondCreateFromGeneratorLVB(C96,$L$4,_xll.meUtilityLVBFromKeysValues($C$6:$K$6,C96:K96))</f>
        <v>JP1201001839:1</v>
      </c>
      <c r="M96" s="92">
        <f ca="1">_xll.BDP($B96,$M$5)</f>
        <v>9.800000000000092E-2</v>
      </c>
      <c r="N96" s="37">
        <f ca="1">_xll.meLWOBondCleanPrice($L96,$C$4,$M96%)</f>
        <v>119.61802239513807</v>
      </c>
      <c r="O96" s="37">
        <f ca="1">_xll.meLWOBondDirtyPrice($L96,$C$4,$M96%)</f>
        <v>120.9</v>
      </c>
      <c r="P96" s="87">
        <f ca="1">_xll.meLWOBondYield($L96,$C$4,N96)</f>
        <v>9.8000000000008475E-4</v>
      </c>
      <c r="Q96" s="89">
        <f ca="1">_xll.meLWOBondModifiedDuration($L96,$C$4,$M96%)</f>
        <v>8.6412624494374377</v>
      </c>
      <c r="R96" s="23">
        <f ca="1">_xll.meLWOBondDV01($L96,$C$4,$M96%)</f>
        <v>1044.7286301369863</v>
      </c>
      <c r="S96" s="85">
        <f t="shared" ca="1" si="16"/>
        <v>9.800000000000092E-2</v>
      </c>
      <c r="T96" s="22" t="str">
        <f ca="1">_xll.BDP($B96,T$6, "YAS_BOND_SPL_YLD="&amp;S96,"YAS_YLD_CONV=2")</f>
        <v>#N/A Requesting Data...</v>
      </c>
      <c r="U96" s="23">
        <f t="shared" ca="1" si="17"/>
        <v>119.61802239513807</v>
      </c>
      <c r="V96" s="23">
        <f t="shared" ca="1" si="9"/>
        <v>119.61799999999999</v>
      </c>
      <c r="W96" s="24" t="e">
        <f t="shared" ca="1" si="10"/>
        <v>#VALUE!</v>
      </c>
      <c r="X96" s="23">
        <f ca="1">_xll.meLWOBondDV01($L96,$C$4,$S96%)</f>
        <v>1044.7286301369863</v>
      </c>
      <c r="Y96" s="22" t="e">
        <f ca="1">_xll.BDP($B96,Y$6, "YLD_YTM_ASK="&amp;$S96,"YAS_YLD_CONV=3")*$Y$3*0.0001</f>
        <v>#VALUE!</v>
      </c>
      <c r="Z96" s="24" t="e">
        <f t="shared" ca="1" si="11"/>
        <v>#VALUE!</v>
      </c>
      <c r="AA96" s="23">
        <f ca="1">_xll.meLWOBondModifiedDuration($L96,$C$4,$S96%)</f>
        <v>8.6412624494374377</v>
      </c>
      <c r="AB96" s="22" t="str">
        <f ca="1">_xll.BDP($B96,AB$6, "YLD_YTM_ASK="&amp;$S96,"YAS_YLD_CONV=3")</f>
        <v>#N/A Requesting Data...</v>
      </c>
      <c r="AC96" s="24" t="e">
        <f t="shared" ca="1" si="12"/>
        <v>#VALUE!</v>
      </c>
      <c r="AD96" s="23">
        <f ca="1">_xll.meLWOBondDV01Numerical($L96,$C$4,$S96%, 0.5, "CENTRAL")</f>
        <v>1116.3984553893158</v>
      </c>
      <c r="AE96" s="63" t="str">
        <f ca="1">_xll.BDP($B96,AE$6, "YAS_BOND_PX="&amp;T96)</f>
        <v>#N/A Invalid Override</v>
      </c>
      <c r="AF96" s="64" t="e">
        <f ca="1">_xll.meLWOBondCompoundYield(L96,$C$4,T96)*100</f>
        <v>#VALUE!</v>
      </c>
      <c r="AG96" s="65" t="e">
        <f t="shared" ca="1" si="13"/>
        <v>#VALUE!</v>
      </c>
      <c r="AH96" s="35" t="e">
        <f t="shared" ca="1" si="14"/>
        <v>#VALUE!</v>
      </c>
      <c r="AI96" s="63" t="str">
        <f ca="1">_xll.BDP($B96,AI$6, "PX_ASK="&amp;T96)</f>
        <v>#N/A Invalid Override</v>
      </c>
      <c r="AJ96" s="35" t="e">
        <f t="shared" ca="1" si="15"/>
        <v>#VALUE!</v>
      </c>
    </row>
    <row r="97" spans="2:36">
      <c r="B97" s="15" t="s">
        <v>956</v>
      </c>
      <c r="C97" s="15" t="s">
        <v>957</v>
      </c>
      <c r="D97" s="15" t="s">
        <v>957</v>
      </c>
      <c r="E97" s="16">
        <v>39598</v>
      </c>
      <c r="F97" s="19">
        <v>39527</v>
      </c>
      <c r="G97" s="18"/>
      <c r="H97" s="16">
        <v>39711</v>
      </c>
      <c r="I97" s="16">
        <v>46650</v>
      </c>
      <c r="J97" s="17">
        <v>2.4E-2</v>
      </c>
      <c r="K97" s="16">
        <v>46832</v>
      </c>
      <c r="L97" s="20" t="str">
        <f ca="1">_xll.meLWOBondCreateFromGeneratorLVB(C97,$L$4,_xll.meUtilityLVBFromKeysValues($C$6:$K$6,C97:K97))</f>
        <v>JP1201011853:1</v>
      </c>
      <c r="M97" s="92">
        <f ca="1">_xll.BDP($B97,$M$5)</f>
        <v>9.6999999999999961E-2</v>
      </c>
      <c r="N97" s="37">
        <f ca="1">_xll.meLWOBondCleanPrice($L97,$C$4,$M97%)</f>
        <v>121.49596701219104</v>
      </c>
      <c r="O97" s="37">
        <f ca="1">_xll.meLWOBondDirtyPrice($L97,$C$4,$M97%)</f>
        <v>122.8</v>
      </c>
      <c r="P97" s="87">
        <f ca="1">_xll.meLWOBondYield($L97,$C$4,N97)</f>
        <v>9.7000000000002228E-4</v>
      </c>
      <c r="Q97" s="89">
        <f ca="1">_xll.meLWOBondModifiedDuration($L97,$C$4,$M97%)</f>
        <v>8.5836731961982977</v>
      </c>
      <c r="R97" s="23">
        <f ca="1">_xll.meLWOBondDV01($L97,$C$4,$M97%)</f>
        <v>1054.0750684931509</v>
      </c>
      <c r="S97" s="85">
        <f t="shared" ca="1" si="16"/>
        <v>9.6999999999999961E-2</v>
      </c>
      <c r="T97" s="22" t="str">
        <f ca="1">_xll.BDP($B97,T$6, "YAS_BOND_SPL_YLD="&amp;S97,"YAS_YLD_CONV=2")</f>
        <v>#N/A Requesting Data...</v>
      </c>
      <c r="U97" s="23">
        <f t="shared" ca="1" si="17"/>
        <v>121.49596701219104</v>
      </c>
      <c r="V97" s="23">
        <f t="shared" ca="1" si="9"/>
        <v>121.495</v>
      </c>
      <c r="W97" s="24" t="e">
        <f t="shared" ca="1" si="10"/>
        <v>#VALUE!</v>
      </c>
      <c r="X97" s="23">
        <f ca="1">_xll.meLWOBondDV01($L97,$C$4,$S97%)</f>
        <v>1054.0750684931509</v>
      </c>
      <c r="Y97" s="22" t="e">
        <f ca="1">_xll.BDP($B97,Y$6, "YLD_YTM_ASK="&amp;$S97,"YAS_YLD_CONV=3")*$Y$3*0.0001</f>
        <v>#VALUE!</v>
      </c>
      <c r="Z97" s="24" t="e">
        <f t="shared" ca="1" si="11"/>
        <v>#VALUE!</v>
      </c>
      <c r="AA97" s="23">
        <f ca="1">_xll.meLWOBondModifiedDuration($L97,$C$4,$S97%)</f>
        <v>8.5836731961982977</v>
      </c>
      <c r="AB97" s="22" t="str">
        <f ca="1">_xll.BDP($B97,AB$6, "YLD_YTM_ASK="&amp;$S97,"YAS_YLD_CONV=3")</f>
        <v>#N/A Requesting Data...</v>
      </c>
      <c r="AC97" s="24" t="e">
        <f t="shared" ca="1" si="12"/>
        <v>#VALUE!</v>
      </c>
      <c r="AD97" s="23">
        <f ca="1">_xll.meLWOBondDV01Numerical($L97,$C$4,$S97%, 0.5, "CENTRAL")</f>
        <v>1134.0312061838631</v>
      </c>
      <c r="AE97" s="63" t="str">
        <f ca="1">_xll.BDP($B97,AE$6, "YAS_BOND_PX="&amp;T97)</f>
        <v>#N/A Invalid Override</v>
      </c>
      <c r="AF97" s="64" t="e">
        <f ca="1">_xll.meLWOBondCompoundYield(L97,$C$4,T97)*100</f>
        <v>#VALUE!</v>
      </c>
      <c r="AG97" s="65" t="e">
        <f t="shared" ca="1" si="13"/>
        <v>#VALUE!</v>
      </c>
      <c r="AH97" s="35" t="e">
        <f t="shared" ca="1" si="14"/>
        <v>#VALUE!</v>
      </c>
      <c r="AI97" s="63" t="str">
        <f ca="1">_xll.BDP($B97,AI$6, "PX_ASK="&amp;T97)</f>
        <v>#N/A Invalid Override</v>
      </c>
      <c r="AJ97" s="35" t="e">
        <f t="shared" ca="1" si="15"/>
        <v>#VALUE!</v>
      </c>
    </row>
    <row r="98" spans="2:36">
      <c r="B98" s="15" t="s">
        <v>958</v>
      </c>
      <c r="C98" s="15" t="s">
        <v>959</v>
      </c>
      <c r="D98" s="15" t="s">
        <v>959</v>
      </c>
      <c r="E98" s="16">
        <v>39619</v>
      </c>
      <c r="F98" s="19">
        <v>39619</v>
      </c>
      <c r="G98" s="18"/>
      <c r="H98" s="16">
        <v>39802</v>
      </c>
      <c r="I98" s="16">
        <v>46741</v>
      </c>
      <c r="J98" s="17">
        <v>2.4E-2</v>
      </c>
      <c r="K98" s="16">
        <v>46924</v>
      </c>
      <c r="L98" s="20" t="str">
        <f ca="1">_xll.meLWOBondCreateFromGeneratorLVB(C98,$L$4,_xll.meUtilityLVBFromKeysValues($C$6:$K$6,C98:K98))</f>
        <v>JP1201021860:1</v>
      </c>
      <c r="M98" s="92">
        <f ca="1">_xll.BDP($B98,$M$5)</f>
        <v>0.11300000000000028</v>
      </c>
      <c r="N98" s="37">
        <f ca="1">_xll.meLWOBondCleanPrice($L98,$C$4,$M98%)</f>
        <v>121.8790050324007</v>
      </c>
      <c r="O98" s="37">
        <f ca="1">_xll.meLWOBondDirtyPrice($L98,$C$4,$M98%)</f>
        <v>124</v>
      </c>
      <c r="P98" s="87">
        <f ca="1">_xll.meLWOBondYield($L98,$C$4,N98)</f>
        <v>1.1299999999997506E-3</v>
      </c>
      <c r="Q98" s="89">
        <f ca="1">_xll.meLWOBondModifiedDuration($L98,$C$4,$M98%)</f>
        <v>8.7532479010163495</v>
      </c>
      <c r="R98" s="23">
        <f ca="1">_xll.meLWOBondDV01($L98,$C$4,$M98%)</f>
        <v>1085.4027397260274</v>
      </c>
      <c r="S98" s="85">
        <f t="shared" ca="1" si="16"/>
        <v>0.11300000000000028</v>
      </c>
      <c r="T98" s="22" t="str">
        <f ca="1">_xll.BDP($B98,T$6, "YAS_BOND_SPL_YLD="&amp;S98,"YAS_YLD_CONV=2")</f>
        <v>#N/A Requesting Data...</v>
      </c>
      <c r="U98" s="23">
        <f t="shared" ca="1" si="17"/>
        <v>121.8790050324007</v>
      </c>
      <c r="V98" s="23">
        <f t="shared" ca="1" si="9"/>
        <v>121.879</v>
      </c>
      <c r="W98" s="24" t="e">
        <f t="shared" ca="1" si="10"/>
        <v>#VALUE!</v>
      </c>
      <c r="X98" s="23">
        <f ca="1">_xll.meLWOBondDV01($L98,$C$4,$S98%)</f>
        <v>1085.4027397260274</v>
      </c>
      <c r="Y98" s="22" t="e">
        <f ca="1">_xll.BDP($B98,Y$6, "YLD_YTM_ASK="&amp;$S98,"YAS_YLD_CONV=3")*$Y$3*0.0001</f>
        <v>#VALUE!</v>
      </c>
      <c r="Z98" s="24" t="e">
        <f t="shared" ca="1" si="11"/>
        <v>#VALUE!</v>
      </c>
      <c r="AA98" s="23">
        <f ca="1">_xll.meLWOBondModifiedDuration($L98,$C$4,$S98%)</f>
        <v>8.7532479010163495</v>
      </c>
      <c r="AB98" s="22" t="str">
        <f ca="1">_xll.BDP($B98,AB$6, "YLD_YTM_ASK="&amp;$S98,"YAS_YLD_CONV=3")</f>
        <v>#N/A Requesting Data...</v>
      </c>
      <c r="AC98" s="24" t="e">
        <f t="shared" ca="1" si="12"/>
        <v>#VALUE!</v>
      </c>
      <c r="AD98" s="23">
        <f ca="1">_xll.meLWOBondDV01Numerical($L98,$C$4,$S98%, 0.5, "CENTRAL")</f>
        <v>1165.978126179823</v>
      </c>
      <c r="AE98" s="63" t="str">
        <f ca="1">_xll.BDP($B98,AE$6, "YAS_BOND_PX="&amp;T98)</f>
        <v>#N/A Invalid Override</v>
      </c>
      <c r="AF98" s="64" t="e">
        <f ca="1">_xll.meLWOBondCompoundYield(L98,$C$4,T98)*100</f>
        <v>#VALUE!</v>
      </c>
      <c r="AG98" s="65" t="e">
        <f t="shared" ca="1" si="13"/>
        <v>#VALUE!</v>
      </c>
      <c r="AH98" s="35" t="e">
        <f t="shared" ca="1" si="14"/>
        <v>#VALUE!</v>
      </c>
      <c r="AI98" s="63" t="str">
        <f ca="1">_xll.BDP($B98,AI$6, "PX_ASK="&amp;T98)</f>
        <v>#N/A Invalid Override</v>
      </c>
      <c r="AJ98" s="35" t="e">
        <f t="shared" ca="1" si="15"/>
        <v>#VALUE!</v>
      </c>
    </row>
    <row r="99" spans="2:36">
      <c r="B99" s="15" t="s">
        <v>960</v>
      </c>
      <c r="C99" s="15" t="s">
        <v>961</v>
      </c>
      <c r="D99" s="15" t="s">
        <v>961</v>
      </c>
      <c r="E99" s="16">
        <v>39689</v>
      </c>
      <c r="F99" s="19">
        <v>39619</v>
      </c>
      <c r="G99" s="18"/>
      <c r="H99" s="16">
        <v>39802</v>
      </c>
      <c r="I99" s="16">
        <v>46741</v>
      </c>
      <c r="J99" s="17">
        <v>2.1000000000000001E-2</v>
      </c>
      <c r="K99" s="16">
        <v>46924</v>
      </c>
      <c r="L99" s="20" t="str">
        <f ca="1">_xll.meLWOBondCreateFromGeneratorLVB(C99,$L$4,_xll.meUtilityLVBFromKeysValues($C$6:$K$6,C99:K99))</f>
        <v>JP1201041884:1</v>
      </c>
      <c r="M99" s="92">
        <f ca="1">_xll.BDP($B99,$M$5)</f>
        <v>0.11400000000000081</v>
      </c>
      <c r="N99" s="37">
        <f ca="1">_xll.meLWOBondCleanPrice($L99,$C$4,$M99%)</f>
        <v>118.99761587451445</v>
      </c>
      <c r="O99" s="37">
        <f ca="1">_xll.meLWOBondDirtyPrice($L99,$C$4,$M99%)</f>
        <v>121</v>
      </c>
      <c r="P99" s="87">
        <f ca="1">_xll.meLWOBondYield($L99,$C$4,N99)</f>
        <v>1.1400000000004104E-3</v>
      </c>
      <c r="Q99" s="89">
        <f ca="1">_xll.meLWOBondModifiedDuration($L99,$C$4,$M99%)</f>
        <v>8.8482225744367717</v>
      </c>
      <c r="R99" s="23">
        <f ca="1">_xll.meLWOBondDV01($L99,$C$4,$M99%)</f>
        <v>1070.6349315068494</v>
      </c>
      <c r="S99" s="85">
        <f t="shared" ca="1" si="16"/>
        <v>0.11400000000000081</v>
      </c>
      <c r="T99" s="22" t="str">
        <f ca="1">_xll.BDP($B99,T$6, "YAS_BOND_SPL_YLD="&amp;S99,"YAS_YLD_CONV=2")</f>
        <v>#N/A Requesting Data...</v>
      </c>
      <c r="U99" s="23">
        <f t="shared" ca="1" si="17"/>
        <v>118.99761587451445</v>
      </c>
      <c r="V99" s="23">
        <f t="shared" ca="1" si="9"/>
        <v>118.997</v>
      </c>
      <c r="W99" s="24" t="e">
        <f t="shared" ca="1" si="10"/>
        <v>#VALUE!</v>
      </c>
      <c r="X99" s="23">
        <f ca="1">_xll.meLWOBondDV01($L99,$C$4,$S99%)</f>
        <v>1070.6349315068494</v>
      </c>
      <c r="Y99" s="22" t="e">
        <f ca="1">_xll.BDP($B99,Y$6, "YLD_YTM_ASK="&amp;$S99,"YAS_YLD_CONV=3")*$Y$3*0.0001</f>
        <v>#VALUE!</v>
      </c>
      <c r="Z99" s="24" t="e">
        <f t="shared" ca="1" si="11"/>
        <v>#VALUE!</v>
      </c>
      <c r="AA99" s="23">
        <f ca="1">_xll.meLWOBondModifiedDuration($L99,$C$4,$S99%)</f>
        <v>8.8482225744367717</v>
      </c>
      <c r="AB99" s="22" t="str">
        <f ca="1">_xll.BDP($B99,AB$6, "YLD_YTM_ASK="&amp;$S99,"YAS_YLD_CONV=3")</f>
        <v>#N/A Requesting Data...</v>
      </c>
      <c r="AC99" s="24" t="e">
        <f t="shared" ca="1" si="12"/>
        <v>#VALUE!</v>
      </c>
      <c r="AD99" s="23">
        <f ca="1">_xll.meLWOBondDV01Numerical($L99,$C$4,$S99%, 0.5, "CENTRAL")</f>
        <v>1138.3038839467474</v>
      </c>
      <c r="AE99" s="63" t="str">
        <f ca="1">_xll.BDP($B99,AE$6, "YAS_BOND_PX="&amp;T99)</f>
        <v>#N/A Invalid Override</v>
      </c>
      <c r="AF99" s="64" t="e">
        <f ca="1">_xll.meLWOBondCompoundYield(L99,$C$4,T99)*100</f>
        <v>#VALUE!</v>
      </c>
      <c r="AG99" s="65" t="e">
        <f t="shared" ca="1" si="13"/>
        <v>#VALUE!</v>
      </c>
      <c r="AH99" s="35" t="e">
        <f t="shared" ca="1" si="14"/>
        <v>#VALUE!</v>
      </c>
      <c r="AI99" s="63" t="str">
        <f ca="1">_xll.BDP($B99,AI$6, "PX_ASK="&amp;T99)</f>
        <v>#N/A Invalid Override</v>
      </c>
      <c r="AJ99" s="35" t="e">
        <f t="shared" ca="1" si="15"/>
        <v>#VALUE!</v>
      </c>
    </row>
    <row r="100" spans="2:36">
      <c r="B100" s="15" t="s">
        <v>962</v>
      </c>
      <c r="C100" s="15" t="s">
        <v>963</v>
      </c>
      <c r="D100" s="15" t="s">
        <v>963</v>
      </c>
      <c r="E100" s="16">
        <v>39658</v>
      </c>
      <c r="F100" s="19">
        <v>39619</v>
      </c>
      <c r="G100" s="18"/>
      <c r="H100" s="16">
        <v>39802</v>
      </c>
      <c r="I100" s="16">
        <v>46741</v>
      </c>
      <c r="J100" s="17">
        <v>2.3E-2</v>
      </c>
      <c r="K100" s="16">
        <v>46924</v>
      </c>
      <c r="L100" s="20" t="str">
        <f ca="1">_xll.meLWOBondCreateFromGeneratorLVB(C100,$L$4,_xll.meUtilityLVBFromKeysValues($C$6:$K$6,C100:K100))</f>
        <v>JP1201031877:1</v>
      </c>
      <c r="M100" s="92">
        <f ca="1">_xll.BDP($B100,$M$5)</f>
        <v>0.11399999999999968</v>
      </c>
      <c r="N100" s="37">
        <f ca="1">_xll.meLWOBondCleanPrice($L100,$C$4,$M100%)</f>
        <v>120.91076953760758</v>
      </c>
      <c r="O100" s="37">
        <f ca="1">_xll.meLWOBondDirtyPrice($L100,$C$4,$M100%)</f>
        <v>123</v>
      </c>
      <c r="P100" s="87">
        <f ca="1">_xll.meLWOBondYield($L100,$C$4,N100)</f>
        <v>1.139999999999617E-3</v>
      </c>
      <c r="Q100" s="89">
        <f ca="1">_xll.meLWOBondModifiedDuration($L100,$C$4,$M100%)</f>
        <v>8.7843913576122059</v>
      </c>
      <c r="R100" s="23">
        <f ca="1">_xll.meLWOBondDV01($L100,$C$4,$M100%)</f>
        <v>1080.4801369863014</v>
      </c>
      <c r="S100" s="85">
        <f t="shared" ca="1" si="16"/>
        <v>0.11399999999999968</v>
      </c>
      <c r="T100" s="22" t="str">
        <f ca="1">_xll.BDP($B100,T$6, "YAS_BOND_SPL_YLD="&amp;S100,"YAS_YLD_CONV=2")</f>
        <v>#N/A Requesting Data...</v>
      </c>
      <c r="U100" s="23">
        <f t="shared" ca="1" si="17"/>
        <v>120.91076953760758</v>
      </c>
      <c r="V100" s="23">
        <f t="shared" ca="1" si="9"/>
        <v>120.91</v>
      </c>
      <c r="W100" s="24" t="e">
        <f t="shared" ca="1" si="10"/>
        <v>#VALUE!</v>
      </c>
      <c r="X100" s="23">
        <f ca="1">_xll.meLWOBondDV01($L100,$C$4,$S100%)</f>
        <v>1080.4801369863014</v>
      </c>
      <c r="Y100" s="22" t="e">
        <f ca="1">_xll.BDP($B100,Y$6, "YLD_YTM_ASK="&amp;$S100,"YAS_YLD_CONV=3")*$Y$3*0.0001</f>
        <v>#VALUE!</v>
      </c>
      <c r="Z100" s="24" t="e">
        <f t="shared" ca="1" si="11"/>
        <v>#VALUE!</v>
      </c>
      <c r="AA100" s="23">
        <f ca="1">_xll.meLWOBondModifiedDuration($L100,$C$4,$S100%)</f>
        <v>8.7843913576122059</v>
      </c>
      <c r="AB100" s="22" t="str">
        <f ca="1">_xll.BDP($B100,AB$6, "YLD_YTM_ASK="&amp;$S100,"YAS_YLD_CONV=3")</f>
        <v>#N/A Requesting Data...</v>
      </c>
      <c r="AC100" s="24" t="e">
        <f t="shared" ca="1" si="12"/>
        <v>#VALUE!</v>
      </c>
      <c r="AD100" s="23">
        <f ca="1">_xll.meLWOBondDV01Numerical($L100,$C$4,$S100%, 0.5, "CENTRAL")</f>
        <v>1156.6046728259496</v>
      </c>
      <c r="AE100" s="63" t="str">
        <f ca="1">_xll.BDP($B100,AE$6, "YAS_BOND_PX="&amp;T100)</f>
        <v>#N/A Invalid Override</v>
      </c>
      <c r="AF100" s="64" t="e">
        <f ca="1">_xll.meLWOBondCompoundYield(L100,$C$4,T100)*100</f>
        <v>#VALUE!</v>
      </c>
      <c r="AG100" s="65" t="e">
        <f t="shared" ca="1" si="13"/>
        <v>#VALUE!</v>
      </c>
      <c r="AH100" s="35" t="e">
        <f t="shared" ca="1" si="14"/>
        <v>#VALUE!</v>
      </c>
      <c r="AI100" s="63" t="str">
        <f ca="1">_xll.BDP($B100,AI$6, "PX_ASK="&amp;T100)</f>
        <v>#N/A Invalid Override</v>
      </c>
      <c r="AJ100" s="35" t="e">
        <f t="shared" ca="1" si="15"/>
        <v>#VALUE!</v>
      </c>
    </row>
    <row r="101" spans="2:36">
      <c r="B101" s="15" t="s">
        <v>964</v>
      </c>
      <c r="C101" s="15" t="s">
        <v>965</v>
      </c>
      <c r="D101" s="15" t="s">
        <v>965</v>
      </c>
      <c r="E101" s="16">
        <v>39715</v>
      </c>
      <c r="F101" s="19">
        <v>39711</v>
      </c>
      <c r="G101" s="18"/>
      <c r="H101" s="16">
        <v>39892</v>
      </c>
      <c r="I101" s="16">
        <v>46832</v>
      </c>
      <c r="J101" s="17">
        <v>2.1000000000000001E-2</v>
      </c>
      <c r="K101" s="16">
        <v>47016</v>
      </c>
      <c r="L101" s="20" t="str">
        <f ca="1">_xll.meLWOBondCreateFromGeneratorLVB(C101,$L$4,_xll.meUtilityLVBFromKeysValues($C$6:$K$6,C101:K101))</f>
        <v>JP1201051891:1</v>
      </c>
      <c r="M101" s="92">
        <f ca="1">_xll.BDP($B101,$M$5)</f>
        <v>0.12400000000000021</v>
      </c>
      <c r="N101" s="37">
        <f ca="1">_xll.meLWOBondCleanPrice($L101,$C$4,$M101%)</f>
        <v>119.37007011369793</v>
      </c>
      <c r="O101" s="37">
        <f ca="1">_xll.meLWOBondDirtyPrice($L101,$C$4,$M101%)</f>
        <v>121</v>
      </c>
      <c r="P101" s="87">
        <f ca="1">_xll.meLWOBondYield($L101,$C$4,N101)</f>
        <v>1.2399999999999516E-3</v>
      </c>
      <c r="Q101" s="89">
        <f ca="1">_xll.meLWOBondModifiedDuration($L101,$C$4,$M101%)</f>
        <v>9.0947979169025253</v>
      </c>
      <c r="R101" s="23">
        <f ca="1">_xll.meLWOBondDV01($L101,$C$4,$M101%)</f>
        <v>1100.4705479452055</v>
      </c>
      <c r="S101" s="85">
        <f t="shared" ca="1" si="16"/>
        <v>0.12400000000000021</v>
      </c>
      <c r="T101" s="22" t="str">
        <f ca="1">_xll.BDP($B101,T$6, "YAS_BOND_SPL_YLD="&amp;S101,"YAS_YLD_CONV=2")</f>
        <v>#N/A Requesting Data...</v>
      </c>
      <c r="U101" s="23">
        <f t="shared" ca="1" si="17"/>
        <v>119.37007011369793</v>
      </c>
      <c r="V101" s="23">
        <f t="shared" ca="1" si="9"/>
        <v>119.37</v>
      </c>
      <c r="W101" s="24" t="e">
        <f t="shared" ca="1" si="10"/>
        <v>#VALUE!</v>
      </c>
      <c r="X101" s="23">
        <f ca="1">_xll.meLWOBondDV01($L101,$C$4,$S101%)</f>
        <v>1100.4705479452055</v>
      </c>
      <c r="Y101" s="22" t="e">
        <f ca="1">_xll.BDP($B101,Y$6, "YLD_YTM_ASK="&amp;$S101,"YAS_YLD_CONV=3")*$Y$3*0.0001</f>
        <v>#VALUE!</v>
      </c>
      <c r="Z101" s="24" t="e">
        <f t="shared" ca="1" si="11"/>
        <v>#VALUE!</v>
      </c>
      <c r="AA101" s="23">
        <f ca="1">_xll.meLWOBondModifiedDuration($L101,$C$4,$S101%)</f>
        <v>9.0947979169025253</v>
      </c>
      <c r="AB101" s="22" t="str">
        <f ca="1">_xll.BDP($B101,AB$6, "YLD_YTM_ASK="&amp;$S101,"YAS_YLD_CONV=3")</f>
        <v>#N/A Requesting Data...</v>
      </c>
      <c r="AC101" s="24" t="e">
        <f t="shared" ca="1" si="12"/>
        <v>#VALUE!</v>
      </c>
      <c r="AD101" s="23">
        <f ca="1">_xll.meLWOBondDV01Numerical($L101,$C$4,$S101%, 0.5, "CENTRAL")</f>
        <v>1170.1453355476588</v>
      </c>
      <c r="AE101" s="63" t="str">
        <f ca="1">_xll.BDP($B101,AE$6, "YAS_BOND_PX="&amp;T101)</f>
        <v>#N/A Invalid Override</v>
      </c>
      <c r="AF101" s="64" t="e">
        <f ca="1">_xll.meLWOBondCompoundYield(L101,$C$4,T101)*100</f>
        <v>#VALUE!</v>
      </c>
      <c r="AG101" s="65" t="e">
        <f t="shared" ca="1" si="13"/>
        <v>#VALUE!</v>
      </c>
      <c r="AH101" s="35" t="e">
        <f t="shared" ca="1" si="14"/>
        <v>#VALUE!</v>
      </c>
      <c r="AI101" s="63" t="str">
        <f ca="1">_xll.BDP($B101,AI$6, "PX_ASK="&amp;T101)</f>
        <v>#N/A Invalid Override</v>
      </c>
      <c r="AJ101" s="35" t="e">
        <f t="shared" ca="1" si="15"/>
        <v>#VALUE!</v>
      </c>
    </row>
    <row r="102" spans="2:36">
      <c r="B102" s="15" t="s">
        <v>966</v>
      </c>
      <c r="C102" s="15" t="s">
        <v>967</v>
      </c>
      <c r="D102" s="15" t="s">
        <v>967</v>
      </c>
      <c r="E102" s="16">
        <v>39752</v>
      </c>
      <c r="F102" s="19">
        <v>39711</v>
      </c>
      <c r="G102" s="18"/>
      <c r="H102" s="16">
        <v>39892</v>
      </c>
      <c r="I102" s="16">
        <v>46832</v>
      </c>
      <c r="J102" s="17">
        <v>2.2000000000000002E-2</v>
      </c>
      <c r="K102" s="16">
        <v>47016</v>
      </c>
      <c r="L102" s="20" t="str">
        <f ca="1">_xll.meLWOBondCreateFromGeneratorLVB(C102,$L$4,_xll.meUtilityLVBFromKeysValues($C$6:$K$6,C102:K102))</f>
        <v>JP12010618A8:1</v>
      </c>
      <c r="M102" s="92">
        <f ca="1">_xll.BDP($B102,$M$5)</f>
        <v>0.12400000000000133</v>
      </c>
      <c r="N102" s="37">
        <f ca="1">_xll.meLWOBondCleanPrice($L102,$C$4,$M102%)</f>
        <v>120.35033681985675</v>
      </c>
      <c r="O102" s="37">
        <f ca="1">_xll.meLWOBondDirtyPrice($L102,$C$4,$M102%)</f>
        <v>122</v>
      </c>
      <c r="P102" s="87">
        <f ca="1">_xll.meLWOBondYield($L102,$C$4,N102)</f>
        <v>1.2399999999997806E-3</v>
      </c>
      <c r="Q102" s="89">
        <f ca="1">_xll.meLWOBondModifiedDuration($L102,$C$4,$M102%)</f>
        <v>9.0626207051426011</v>
      </c>
      <c r="R102" s="23">
        <f ca="1">_xll.meLWOBondDV01($L102,$C$4,$M102%)</f>
        <v>1105.6397260273973</v>
      </c>
      <c r="S102" s="85">
        <f t="shared" ca="1" si="16"/>
        <v>0.12400000000000133</v>
      </c>
      <c r="T102" s="22" t="str">
        <f ca="1">_xll.BDP($B102,T$6, "YAS_BOND_SPL_YLD="&amp;S102,"YAS_YLD_CONV=2")</f>
        <v>#N/A Requesting Data...</v>
      </c>
      <c r="U102" s="23">
        <f t="shared" ca="1" si="17"/>
        <v>120.35033681985675</v>
      </c>
      <c r="V102" s="23">
        <f t="shared" ca="1" si="9"/>
        <v>120.35</v>
      </c>
      <c r="W102" s="24" t="e">
        <f t="shared" ca="1" si="10"/>
        <v>#VALUE!</v>
      </c>
      <c r="X102" s="23">
        <f ca="1">_xll.meLWOBondDV01($L102,$C$4,$S102%)</f>
        <v>1105.6397260273973</v>
      </c>
      <c r="Y102" s="22" t="e">
        <f ca="1">_xll.BDP($B102,Y$6, "YLD_YTM_ASK="&amp;$S102,"YAS_YLD_CONV=3")*$Y$3*0.0001</f>
        <v>#VALUE!</v>
      </c>
      <c r="Z102" s="24" t="e">
        <f t="shared" ca="1" si="11"/>
        <v>#VALUE!</v>
      </c>
      <c r="AA102" s="23">
        <f ca="1">_xll.meLWOBondModifiedDuration($L102,$C$4,$S102%)</f>
        <v>9.0626207051426011</v>
      </c>
      <c r="AB102" s="22" t="str">
        <f ca="1">_xll.BDP($B102,AB$6, "YLD_YTM_ASK="&amp;$S102,"YAS_YLD_CONV=3")</f>
        <v>#N/A Requesting Data...</v>
      </c>
      <c r="AC102" s="24" t="e">
        <f t="shared" ca="1" si="12"/>
        <v>#VALUE!</v>
      </c>
      <c r="AD102" s="23">
        <f ca="1">_xll.meLWOBondDV01Numerical($L102,$C$4,$S102%, 0.5, "CENTRAL")</f>
        <v>1179.7545660084552</v>
      </c>
      <c r="AE102" s="63" t="str">
        <f ca="1">_xll.BDP($B102,AE$6, "YAS_BOND_PX="&amp;T102)</f>
        <v>#N/A Invalid Override</v>
      </c>
      <c r="AF102" s="64" t="e">
        <f ca="1">_xll.meLWOBondCompoundYield(L102,$C$4,T102)*100</f>
        <v>#VALUE!</v>
      </c>
      <c r="AG102" s="65" t="e">
        <f t="shared" ca="1" si="13"/>
        <v>#VALUE!</v>
      </c>
      <c r="AH102" s="35" t="e">
        <f t="shared" ca="1" si="14"/>
        <v>#VALUE!</v>
      </c>
      <c r="AI102" s="63" t="str">
        <f ca="1">_xll.BDP($B102,AI$6, "PX_ASK="&amp;T102)</f>
        <v>#N/A Invalid Override</v>
      </c>
      <c r="AJ102" s="35" t="e">
        <f t="shared" ca="1" si="15"/>
        <v>#VALUE!</v>
      </c>
    </row>
    <row r="103" spans="2:36">
      <c r="B103" s="15" t="s">
        <v>968</v>
      </c>
      <c r="C103" s="15" t="s">
        <v>969</v>
      </c>
      <c r="D103" s="15" t="s">
        <v>969</v>
      </c>
      <c r="E103" s="16">
        <v>39843</v>
      </c>
      <c r="F103" s="19">
        <v>39802</v>
      </c>
      <c r="G103" s="18"/>
      <c r="H103" s="16">
        <v>39984</v>
      </c>
      <c r="I103" s="16">
        <v>46924</v>
      </c>
      <c r="J103" s="17">
        <v>1.9E-2</v>
      </c>
      <c r="K103" s="16">
        <v>47107</v>
      </c>
      <c r="L103" s="20" t="str">
        <f ca="1">_xll.meLWOBondCreateFromGeneratorLVB(C103,$L$4,_xll.meUtilityLVBFromKeysValues($C$6:$K$6,C103:K103))</f>
        <v>JP1201081914:1</v>
      </c>
      <c r="M103" s="92">
        <f ca="1">_xll.BDP($B103,$M$5)</f>
        <v>0.13900000000000151</v>
      </c>
      <c r="N103" s="37">
        <f ca="1">_xll.meLWOBondCleanPrice($L103,$C$4,$M103%)</f>
        <v>117.66418332430256</v>
      </c>
      <c r="O103" s="37">
        <f ca="1">_xll.meLWOBondDirtyPrice($L103,$C$4,$M103%)</f>
        <v>119.95</v>
      </c>
      <c r="P103" s="87">
        <f ca="1">_xll.meLWOBondYield($L103,$C$4,N103)</f>
        <v>1.3899999999996456E-3</v>
      </c>
      <c r="Q103" s="89">
        <f ca="1">_xll.meLWOBondModifiedDuration($L103,$C$4,$M103%)</f>
        <v>9.341006241184969</v>
      </c>
      <c r="R103" s="23">
        <f ca="1">_xll.meLWOBondDV01($L103,$C$4,$M103%)</f>
        <v>1120.4536986301371</v>
      </c>
      <c r="S103" s="85">
        <f t="shared" ca="1" si="16"/>
        <v>0.13900000000000151</v>
      </c>
      <c r="T103" s="22" t="str">
        <f ca="1">_xll.BDP($B103,T$6, "YAS_BOND_SPL_YLD="&amp;S103,"YAS_YLD_CONV=2")</f>
        <v>#N/A Requesting Data...</v>
      </c>
      <c r="U103" s="23">
        <f t="shared" ca="1" si="17"/>
        <v>117.66418332430256</v>
      </c>
      <c r="V103" s="23">
        <f t="shared" ca="1" si="9"/>
        <v>117.664</v>
      </c>
      <c r="W103" s="24" t="e">
        <f t="shared" ca="1" si="10"/>
        <v>#VALUE!</v>
      </c>
      <c r="X103" s="23">
        <f ca="1">_xll.meLWOBondDV01($L103,$C$4,$S103%)</f>
        <v>1120.4536986301371</v>
      </c>
      <c r="Y103" s="22" t="e">
        <f ca="1">_xll.BDP($B103,Y$6, "YLD_YTM_ASK="&amp;$S103,"YAS_YLD_CONV=3")*$Y$3*0.0001</f>
        <v>#VALUE!</v>
      </c>
      <c r="Z103" s="24" t="e">
        <f t="shared" ca="1" si="11"/>
        <v>#VALUE!</v>
      </c>
      <c r="AA103" s="23">
        <f ca="1">_xll.meLWOBondModifiedDuration($L103,$C$4,$S103%)</f>
        <v>9.341006241184969</v>
      </c>
      <c r="AB103" s="22" t="str">
        <f ca="1">_xll.BDP($B103,AB$6, "YLD_YTM_ASK="&amp;$S103,"YAS_YLD_CONV=3")</f>
        <v>#N/A Requesting Data...</v>
      </c>
      <c r="AC103" s="24" t="e">
        <f t="shared" ca="1" si="12"/>
        <v>#VALUE!</v>
      </c>
      <c r="AD103" s="23">
        <f ca="1">_xll.meLWOBondDV01Numerical($L103,$C$4,$S103%, 0.5, "CENTRAL")</f>
        <v>1180.2624802713526</v>
      </c>
      <c r="AE103" s="63" t="str">
        <f ca="1">_xll.BDP($B103,AE$6, "YAS_BOND_PX="&amp;T103)</f>
        <v>#N/A Invalid Override</v>
      </c>
      <c r="AF103" s="64" t="e">
        <f ca="1">_xll.meLWOBondCompoundYield(L103,$C$4,T103)*100</f>
        <v>#VALUE!</v>
      </c>
      <c r="AG103" s="65" t="e">
        <f t="shared" ca="1" si="13"/>
        <v>#VALUE!</v>
      </c>
      <c r="AH103" s="35" t="e">
        <f t="shared" ca="1" si="14"/>
        <v>#VALUE!</v>
      </c>
      <c r="AI103" s="63" t="str">
        <f ca="1">_xll.BDP($B103,AI$6, "PX_ASK="&amp;T103)</f>
        <v>#N/A Invalid Override</v>
      </c>
      <c r="AJ103" s="35" t="e">
        <f t="shared" ca="1" si="15"/>
        <v>#VALUE!</v>
      </c>
    </row>
    <row r="104" spans="2:36">
      <c r="B104" s="15" t="s">
        <v>970</v>
      </c>
      <c r="C104" s="15" t="s">
        <v>971</v>
      </c>
      <c r="D104" s="15" t="s">
        <v>971</v>
      </c>
      <c r="E104" s="16">
        <v>39804</v>
      </c>
      <c r="F104" s="19">
        <v>39802</v>
      </c>
      <c r="G104" s="18"/>
      <c r="H104" s="16">
        <v>39984</v>
      </c>
      <c r="I104" s="16">
        <v>46924</v>
      </c>
      <c r="J104" s="17">
        <v>2.1000000000000001E-2</v>
      </c>
      <c r="K104" s="16">
        <v>47107</v>
      </c>
      <c r="L104" s="20" t="str">
        <f ca="1">_xll.meLWOBondCreateFromGeneratorLVB(C104,$L$4,_xll.meUtilityLVBFromKeysValues($C$6:$K$6,C104:K104))</f>
        <v>JP12010718C2:1</v>
      </c>
      <c r="M104" s="92">
        <f ca="1">_xll.BDP($B104,$M$5)</f>
        <v>0.13799999999999862</v>
      </c>
      <c r="N104" s="37">
        <f ca="1">_xll.meLWOBondCleanPrice($L104,$C$4,$M104%)</f>
        <v>119.6823420824927</v>
      </c>
      <c r="O104" s="37">
        <f ca="1">_xll.meLWOBondDirtyPrice($L104,$C$4,$M104%)</f>
        <v>122.05</v>
      </c>
      <c r="P104" s="87">
        <f ca="1">_xll.meLWOBondYield($L104,$C$4,N104)</f>
        <v>1.379999999999749E-3</v>
      </c>
      <c r="Q104" s="89">
        <f ca="1">_xll.meLWOBondModifiedDuration($L104,$C$4,$M104%)</f>
        <v>9.2692844275588815</v>
      </c>
      <c r="R104" s="23">
        <f ca="1">_xll.meLWOBondDV01($L104,$C$4,$M104%)</f>
        <v>1131.3161643835615</v>
      </c>
      <c r="S104" s="85">
        <f t="shared" ca="1" si="16"/>
        <v>0.13799999999999862</v>
      </c>
      <c r="T104" s="22" t="str">
        <f ca="1">_xll.BDP($B104,T$6, "YAS_BOND_SPL_YLD="&amp;S104,"YAS_YLD_CONV=2")</f>
        <v>#N/A Requesting Data...</v>
      </c>
      <c r="U104" s="23">
        <f t="shared" ca="1" si="17"/>
        <v>119.6823420824927</v>
      </c>
      <c r="V104" s="23">
        <f t="shared" ca="1" si="9"/>
        <v>119.682</v>
      </c>
      <c r="W104" s="24" t="e">
        <f t="shared" ca="1" si="10"/>
        <v>#VALUE!</v>
      </c>
      <c r="X104" s="23">
        <f ca="1">_xll.meLWOBondDV01($L104,$C$4,$S104%)</f>
        <v>1131.3161643835615</v>
      </c>
      <c r="Y104" s="22" t="e">
        <f ca="1">_xll.BDP($B104,Y$6, "YLD_YTM_ASK="&amp;$S104,"YAS_YLD_CONV=3")*$Y$3*0.0001</f>
        <v>#VALUE!</v>
      </c>
      <c r="Z104" s="24" t="e">
        <f t="shared" ca="1" si="11"/>
        <v>#VALUE!</v>
      </c>
      <c r="AA104" s="23">
        <f ca="1">_xll.meLWOBondModifiedDuration($L104,$C$4,$S104%)</f>
        <v>9.2692844275588815</v>
      </c>
      <c r="AB104" s="22" t="str">
        <f ca="1">_xll.BDP($B104,AB$6, "YLD_YTM_ASK="&amp;$S104,"YAS_YLD_CONV=3")</f>
        <v>#N/A Requesting Data...</v>
      </c>
      <c r="AC104" s="24" t="e">
        <f t="shared" ca="1" si="12"/>
        <v>#VALUE!</v>
      </c>
      <c r="AD104" s="23">
        <f ca="1">_xll.meLWOBondDV01Numerical($L104,$C$4,$S104%, 0.5, "CENTRAL")</f>
        <v>1200.6266007938393</v>
      </c>
      <c r="AE104" s="63" t="str">
        <f ca="1">_xll.BDP($B104,AE$6, "YAS_BOND_PX="&amp;T104)</f>
        <v>#N/A Invalid Override</v>
      </c>
      <c r="AF104" s="64" t="e">
        <f ca="1">_xll.meLWOBondCompoundYield(L104,$C$4,T104)*100</f>
        <v>#VALUE!</v>
      </c>
      <c r="AG104" s="65" t="e">
        <f t="shared" ca="1" si="13"/>
        <v>#VALUE!</v>
      </c>
      <c r="AH104" s="35" t="e">
        <f t="shared" ca="1" si="14"/>
        <v>#VALUE!</v>
      </c>
      <c r="AI104" s="63" t="str">
        <f ca="1">_xll.BDP($B104,AI$6, "PX_ASK="&amp;T104)</f>
        <v>#N/A Invalid Override</v>
      </c>
      <c r="AJ104" s="35" t="e">
        <f t="shared" ca="1" si="15"/>
        <v>#VALUE!</v>
      </c>
    </row>
    <row r="105" spans="2:36">
      <c r="B105" s="15" t="s">
        <v>972</v>
      </c>
      <c r="C105" s="15" t="s">
        <v>973</v>
      </c>
      <c r="D105" s="15" t="s">
        <v>973</v>
      </c>
      <c r="E105" s="16">
        <v>39927</v>
      </c>
      <c r="F105" s="19">
        <v>39892</v>
      </c>
      <c r="G105" s="18"/>
      <c r="H105" s="16">
        <v>40076</v>
      </c>
      <c r="I105" s="16">
        <v>47016</v>
      </c>
      <c r="J105" s="17">
        <v>2.1000000000000001E-2</v>
      </c>
      <c r="K105" s="16">
        <v>47197</v>
      </c>
      <c r="L105" s="20" t="str">
        <f ca="1">_xll.meLWOBondCreateFromGeneratorLVB(C105,$L$4,_xll.meUtilityLVBFromKeysValues($C$6:$K$6,C105:K105))</f>
        <v>JP1201101944:1</v>
      </c>
      <c r="M105" s="92">
        <f ca="1">_xll.BDP($B105,$M$5)</f>
        <v>0.14900000000000013</v>
      </c>
      <c r="N105" s="37">
        <f ca="1">_xll.meLWOBondCleanPrice($L105,$C$4,$M105%)</f>
        <v>120.0170600809941</v>
      </c>
      <c r="O105" s="37">
        <f ca="1">_xll.meLWOBondDirtyPrice($L105,$C$4,$M105%)</f>
        <v>122.05</v>
      </c>
      <c r="P105" s="87">
        <f ca="1">_xll.meLWOBondYield($L105,$C$4,N105)</f>
        <v>1.4900000000000891E-3</v>
      </c>
      <c r="Q105" s="89">
        <f ca="1">_xll.meLWOBondModifiedDuration($L105,$C$4,$M105%)</f>
        <v>9.5158597700246368</v>
      </c>
      <c r="R105" s="23">
        <f ca="1">_xll.meLWOBondDV01($L105,$C$4,$M105%)</f>
        <v>1161.4106849315069</v>
      </c>
      <c r="S105" s="85">
        <f t="shared" ca="1" si="16"/>
        <v>0.14900000000000013</v>
      </c>
      <c r="T105" s="22" t="str">
        <f ca="1">_xll.BDP($B105,T$6, "YAS_BOND_SPL_YLD="&amp;S105,"YAS_YLD_CONV=2")</f>
        <v>#N/A Requesting Data...</v>
      </c>
      <c r="U105" s="23">
        <f t="shared" ca="1" si="17"/>
        <v>120.0170600809941</v>
      </c>
      <c r="V105" s="23">
        <f t="shared" ca="1" si="9"/>
        <v>120.017</v>
      </c>
      <c r="W105" s="24" t="e">
        <f t="shared" ca="1" si="10"/>
        <v>#VALUE!</v>
      </c>
      <c r="X105" s="23">
        <f ca="1">_xll.meLWOBondDV01($L105,$C$4,$S105%)</f>
        <v>1161.4106849315069</v>
      </c>
      <c r="Y105" s="22" t="e">
        <f ca="1">_xll.BDP($B105,Y$6, "YLD_YTM_ASK="&amp;$S105,"YAS_YLD_CONV=3")*$Y$3*0.0001</f>
        <v>#VALUE!</v>
      </c>
      <c r="Z105" s="24" t="e">
        <f t="shared" ca="1" si="11"/>
        <v>#VALUE!</v>
      </c>
      <c r="AA105" s="23">
        <f ca="1">_xll.meLWOBondModifiedDuration($L105,$C$4,$S105%)</f>
        <v>9.5158597700246368</v>
      </c>
      <c r="AB105" s="22" t="str">
        <f ca="1">_xll.BDP($B105,AB$6, "YLD_YTM_ASK="&amp;$S105,"YAS_YLD_CONV=3")</f>
        <v>#N/A Requesting Data...</v>
      </c>
      <c r="AC105" s="24" t="e">
        <f t="shared" ca="1" si="12"/>
        <v>#VALUE!</v>
      </c>
      <c r="AD105" s="23">
        <f ca="1">_xll.meLWOBondDV01Numerical($L105,$C$4,$S105%, 0.5, "CENTRAL")</f>
        <v>1231.3630623305019</v>
      </c>
      <c r="AE105" s="63" t="str">
        <f ca="1">_xll.BDP($B105,AE$6, "YAS_BOND_PX="&amp;T105)</f>
        <v>#N/A Invalid Override</v>
      </c>
      <c r="AF105" s="64" t="e">
        <f ca="1">_xll.meLWOBondCompoundYield(L105,$C$4,T105)*100</f>
        <v>#VALUE!</v>
      </c>
      <c r="AG105" s="65" t="e">
        <f t="shared" ca="1" si="13"/>
        <v>#VALUE!</v>
      </c>
      <c r="AH105" s="35" t="e">
        <f t="shared" ca="1" si="14"/>
        <v>#VALUE!</v>
      </c>
      <c r="AI105" s="63" t="str">
        <f ca="1">_xll.BDP($B105,AI$6, "PX_ASK="&amp;T105)</f>
        <v>#N/A Invalid Override</v>
      </c>
      <c r="AJ105" s="35" t="e">
        <f t="shared" ca="1" si="15"/>
        <v>#VALUE!</v>
      </c>
    </row>
    <row r="106" spans="2:36">
      <c r="B106" s="15" t="s">
        <v>974</v>
      </c>
      <c r="C106" s="15" t="s">
        <v>975</v>
      </c>
      <c r="D106" s="15" t="s">
        <v>975</v>
      </c>
      <c r="E106" s="16">
        <v>39895</v>
      </c>
      <c r="F106" s="19">
        <v>39892</v>
      </c>
      <c r="G106" s="18"/>
      <c r="H106" s="16">
        <v>40076</v>
      </c>
      <c r="I106" s="16">
        <v>47016</v>
      </c>
      <c r="J106" s="17">
        <v>1.9E-2</v>
      </c>
      <c r="K106" s="16">
        <v>47197</v>
      </c>
      <c r="L106" s="20" t="str">
        <f ca="1">_xll.meLWOBondCreateFromGeneratorLVB(C106,$L$4,_xll.meUtilityLVBFromKeysValues($C$6:$K$6,C106:K106))</f>
        <v>JP1201091939:1</v>
      </c>
      <c r="M106" s="92">
        <f ca="1">_xll.BDP($B106,$M$5)</f>
        <v>0.14900000000000108</v>
      </c>
      <c r="N106" s="37">
        <f ca="1">_xll.meLWOBondCleanPrice($L106,$C$4,$M106%)</f>
        <v>117.96508057499778</v>
      </c>
      <c r="O106" s="37">
        <f ca="1">_xll.meLWOBondDirtyPrice($L106,$C$4,$M106%)</f>
        <v>119.95</v>
      </c>
      <c r="P106" s="87">
        <f ca="1">_xll.meLWOBondYield($L106,$C$4,N106)</f>
        <v>1.4899999999998244E-3</v>
      </c>
      <c r="Q106" s="89">
        <f ca="1">_xll.meLWOBondModifiedDuration($L106,$C$4,$M106%)</f>
        <v>9.5875815836507208</v>
      </c>
      <c r="R106" s="23">
        <f ca="1">_xll.meLWOBondDV01($L106,$C$4,$M106%)</f>
        <v>1150.030410958904</v>
      </c>
      <c r="S106" s="85">
        <f t="shared" ca="1" si="16"/>
        <v>0.14900000000000108</v>
      </c>
      <c r="T106" s="22" t="str">
        <f ca="1">_xll.BDP($B106,T$6, "YAS_BOND_SPL_YLD="&amp;S106,"YAS_YLD_CONV=2")</f>
        <v>#N/A Requesting Data...</v>
      </c>
      <c r="U106" s="23">
        <f t="shared" ca="1" si="17"/>
        <v>117.96508057499778</v>
      </c>
      <c r="V106" s="23">
        <f t="shared" ca="1" si="9"/>
        <v>117.965</v>
      </c>
      <c r="W106" s="24" t="e">
        <f t="shared" ca="1" si="10"/>
        <v>#VALUE!</v>
      </c>
      <c r="X106" s="23">
        <f ca="1">_xll.meLWOBondDV01($L106,$C$4,$S106%)</f>
        <v>1150.030410958904</v>
      </c>
      <c r="Y106" s="22" t="e">
        <f ca="1">_xll.BDP($B106,Y$6, "YLD_YTM_ASK="&amp;$S106,"YAS_YLD_CONV=3")*$Y$3*0.0001</f>
        <v>#VALUE!</v>
      </c>
      <c r="Z106" s="24" t="e">
        <f t="shared" ca="1" si="11"/>
        <v>#VALUE!</v>
      </c>
      <c r="AA106" s="23">
        <f ca="1">_xll.meLWOBondModifiedDuration($L106,$C$4,$S106%)</f>
        <v>9.5875815836507208</v>
      </c>
      <c r="AB106" s="22" t="str">
        <f ca="1">_xll.BDP($B106,AB$6, "YLD_YTM_ASK="&amp;$S106,"YAS_YLD_CONV=3")</f>
        <v>#N/A Requesting Data...</v>
      </c>
      <c r="AC106" s="24" t="e">
        <f t="shared" ca="1" si="12"/>
        <v>#VALUE!</v>
      </c>
      <c r="AD106" s="23">
        <f ca="1">_xll.meLWOBondDV01Numerical($L106,$C$4,$S106%, 0.5, "CENTRAL")</f>
        <v>1210.3099573252507</v>
      </c>
      <c r="AE106" s="63" t="str">
        <f ca="1">_xll.BDP($B106,AE$6, "YAS_BOND_PX="&amp;T106)</f>
        <v>#N/A Invalid Override</v>
      </c>
      <c r="AF106" s="64" t="e">
        <f ca="1">_xll.meLWOBondCompoundYield(L106,$C$4,T106)*100</f>
        <v>#VALUE!</v>
      </c>
      <c r="AG106" s="65" t="e">
        <f t="shared" ca="1" si="13"/>
        <v>#VALUE!</v>
      </c>
      <c r="AH106" s="35" t="e">
        <f t="shared" ca="1" si="14"/>
        <v>#VALUE!</v>
      </c>
      <c r="AI106" s="63" t="str">
        <f ca="1">_xll.BDP($B106,AI$6, "PX_ASK="&amp;T106)</f>
        <v>#N/A Invalid Override</v>
      </c>
      <c r="AJ106" s="35" t="e">
        <f t="shared" ca="1" si="15"/>
        <v>#VALUE!</v>
      </c>
    </row>
    <row r="107" spans="2:36">
      <c r="B107" s="15" t="s">
        <v>976</v>
      </c>
      <c r="C107" s="15" t="s">
        <v>977</v>
      </c>
      <c r="D107" s="15" t="s">
        <v>977</v>
      </c>
      <c r="E107" s="16">
        <v>40021</v>
      </c>
      <c r="F107" s="19">
        <v>39984</v>
      </c>
      <c r="G107" s="18"/>
      <c r="H107" s="16">
        <v>40167</v>
      </c>
      <c r="I107" s="16">
        <v>47107</v>
      </c>
      <c r="J107" s="17">
        <v>2.1000000000000001E-2</v>
      </c>
      <c r="K107" s="16">
        <v>47289</v>
      </c>
      <c r="L107" s="20" t="str">
        <f ca="1">_xll.meLWOBondCreateFromGeneratorLVB(C107,$L$4,_xll.meUtilityLVBFromKeysValues($C$6:$K$6,C107:K107))</f>
        <v>JP1201121975:1</v>
      </c>
      <c r="M107" s="92">
        <f ca="1">_xll.BDP($B107,$M$5)</f>
        <v>0.15900000000000042</v>
      </c>
      <c r="N107" s="37">
        <f ca="1">_xll.meLWOBondCleanPrice($L107,$C$4,$M107%)</f>
        <v>120.36728597154502</v>
      </c>
      <c r="O107" s="37">
        <f ca="1">_xll.meLWOBondDirtyPrice($L107,$C$4,$M107%)</f>
        <v>123.10000000000001</v>
      </c>
      <c r="P107" s="87">
        <f ca="1">_xll.meLWOBondYield($L107,$C$4,N107)</f>
        <v>1.5899999999999957E-3</v>
      </c>
      <c r="Q107" s="89">
        <f ca="1">_xll.meLWOBondModifiedDuration($L107,$C$4,$M107%)</f>
        <v>9.6874280849737939</v>
      </c>
      <c r="R107" s="23">
        <f ca="1">_xll.meLWOBondDV01($L107,$C$4,$M107%)</f>
        <v>1192.5223972602741</v>
      </c>
      <c r="S107" s="85">
        <f t="shared" ca="1" si="16"/>
        <v>0.15900000000000042</v>
      </c>
      <c r="T107" s="22" t="str">
        <f ca="1">_xll.BDP($B107,T$6, "YAS_BOND_SPL_YLD="&amp;S107,"YAS_YLD_CONV=2")</f>
        <v>#N/A Requesting Data...</v>
      </c>
      <c r="U107" s="23">
        <f t="shared" ca="1" si="17"/>
        <v>120.36728597154502</v>
      </c>
      <c r="V107" s="23">
        <f t="shared" ca="1" si="9"/>
        <v>120.367</v>
      </c>
      <c r="W107" s="24" t="e">
        <f t="shared" ca="1" si="10"/>
        <v>#VALUE!</v>
      </c>
      <c r="X107" s="23">
        <f ca="1">_xll.meLWOBondDV01($L107,$C$4,$S107%)</f>
        <v>1192.5223972602741</v>
      </c>
      <c r="Y107" s="22" t="e">
        <f ca="1">_xll.BDP($B107,Y$6, "YLD_YTM_ASK="&amp;$S107,"YAS_YLD_CONV=3")*$Y$3*0.0001</f>
        <v>#VALUE!</v>
      </c>
      <c r="Z107" s="24" t="e">
        <f t="shared" ca="1" si="11"/>
        <v>#VALUE!</v>
      </c>
      <c r="AA107" s="23">
        <f ca="1">_xll.meLWOBondModifiedDuration($L107,$C$4,$S107%)</f>
        <v>9.6874280849737939</v>
      </c>
      <c r="AB107" s="22" t="str">
        <f ca="1">_xll.BDP($B107,AB$6, "YLD_YTM_ASK="&amp;$S107,"YAS_YLD_CONV=3")</f>
        <v>#N/A Requesting Data...</v>
      </c>
      <c r="AC107" s="24" t="e">
        <f t="shared" ca="1" si="12"/>
        <v>#VALUE!</v>
      </c>
      <c r="AD107" s="23">
        <f ca="1">_xll.meLWOBondDV01Numerical($L107,$C$4,$S107%, 0.5, "CENTRAL")</f>
        <v>1263.0374084675111</v>
      </c>
      <c r="AE107" s="63" t="str">
        <f ca="1">_xll.BDP($B107,AE$6, "YAS_BOND_PX="&amp;T107)</f>
        <v>#N/A Invalid Override</v>
      </c>
      <c r="AF107" s="64" t="e">
        <f ca="1">_xll.meLWOBondCompoundYield(L107,$C$4,T107)*100</f>
        <v>#VALUE!</v>
      </c>
      <c r="AG107" s="65" t="e">
        <f t="shared" ca="1" si="13"/>
        <v>#VALUE!</v>
      </c>
      <c r="AH107" s="35" t="e">
        <f t="shared" ca="1" si="14"/>
        <v>#VALUE!</v>
      </c>
      <c r="AI107" s="63" t="str">
        <f ca="1">_xll.BDP($B107,AI$6, "PX_ASK="&amp;T107)</f>
        <v>#N/A Invalid Override</v>
      </c>
      <c r="AJ107" s="35" t="e">
        <f t="shared" ca="1" si="15"/>
        <v>#VALUE!</v>
      </c>
    </row>
    <row r="108" spans="2:36">
      <c r="B108" s="15" t="s">
        <v>978</v>
      </c>
      <c r="C108" s="15" t="s">
        <v>979</v>
      </c>
      <c r="D108" s="15" t="s">
        <v>979</v>
      </c>
      <c r="E108" s="16">
        <v>39986</v>
      </c>
      <c r="F108" s="19">
        <v>39984</v>
      </c>
      <c r="G108" s="18"/>
      <c r="H108" s="16">
        <v>40167</v>
      </c>
      <c r="I108" s="16">
        <v>47107</v>
      </c>
      <c r="J108" s="17">
        <v>2.2000000000000002E-2</v>
      </c>
      <c r="K108" s="16">
        <v>47289</v>
      </c>
      <c r="L108" s="20" t="str">
        <f ca="1">_xll.meLWOBondCreateFromGeneratorLVB(C108,$L$4,_xll.meUtilityLVBFromKeysValues($C$6:$K$6,C108:K108))</f>
        <v>JP1201111968:1</v>
      </c>
      <c r="M108" s="92">
        <f ca="1">_xll.BDP($B108,$M$5)</f>
        <v>0.15899999999999959</v>
      </c>
      <c r="N108" s="37">
        <f ca="1">_xll.meLWOBondCleanPrice($L108,$C$4,$M108%)</f>
        <v>121.41660518697751</v>
      </c>
      <c r="O108" s="37">
        <f ca="1">_xll.meLWOBondDirtyPrice($L108,$C$4,$M108%)</f>
        <v>124.2</v>
      </c>
      <c r="P108" s="87">
        <f ca="1">_xll.meLWOBondYield($L108,$C$4,N108)</f>
        <v>1.5899999999996071E-3</v>
      </c>
      <c r="Q108" s="89">
        <f ca="1">_xll.meLWOBondModifiedDuration($L108,$C$4,$M108%)</f>
        <v>9.6496558798226477</v>
      </c>
      <c r="R108" s="23">
        <f ca="1">_xll.meLWOBondDV01($L108,$C$4,$M108%)</f>
        <v>1198.4872602739729</v>
      </c>
      <c r="S108" s="85">
        <f t="shared" ca="1" si="16"/>
        <v>0.15899999999999959</v>
      </c>
      <c r="T108" s="22" t="str">
        <f ca="1">_xll.BDP($B108,T$6, "YAS_BOND_SPL_YLD="&amp;S108,"YAS_YLD_CONV=2")</f>
        <v>#N/A Requesting Data...</v>
      </c>
      <c r="U108" s="23">
        <f t="shared" ca="1" si="17"/>
        <v>121.41660518697751</v>
      </c>
      <c r="V108" s="23">
        <f t="shared" ca="1" si="9"/>
        <v>121.416</v>
      </c>
      <c r="W108" s="24" t="e">
        <f t="shared" ca="1" si="10"/>
        <v>#VALUE!</v>
      </c>
      <c r="X108" s="23">
        <f ca="1">_xll.meLWOBondDV01($L108,$C$4,$S108%)</f>
        <v>1198.4872602739729</v>
      </c>
      <c r="Y108" s="22" t="e">
        <f ca="1">_xll.BDP($B108,Y$6, "YLD_YTM_ASK="&amp;$S108,"YAS_YLD_CONV=3")*$Y$3*0.0001</f>
        <v>#VALUE!</v>
      </c>
      <c r="Z108" s="24" t="e">
        <f t="shared" ca="1" si="11"/>
        <v>#VALUE!</v>
      </c>
      <c r="AA108" s="23">
        <f ca="1">_xll.meLWOBondModifiedDuration($L108,$C$4,$S108%)</f>
        <v>9.6496558798226477</v>
      </c>
      <c r="AB108" s="22" t="str">
        <f ca="1">_xll.BDP($B108,AB$6, "YLD_YTM_ASK="&amp;$S108,"YAS_YLD_CONV=3")</f>
        <v>#N/A Requesting Data...</v>
      </c>
      <c r="AC108" s="24" t="e">
        <f t="shared" ca="1" si="12"/>
        <v>#VALUE!</v>
      </c>
      <c r="AD108" s="23">
        <f ca="1">_xll.meLWOBondDV01Numerical($L108,$C$4,$S108%, 0.5, "CENTRAL")</f>
        <v>1274.0481196571807</v>
      </c>
      <c r="AE108" s="63" t="str">
        <f ca="1">_xll.BDP($B108,AE$6, "YAS_BOND_PX="&amp;T108)</f>
        <v>#N/A Invalid Override</v>
      </c>
      <c r="AF108" s="64" t="e">
        <f ca="1">_xll.meLWOBondCompoundYield(L108,$C$4,T108)*100</f>
        <v>#VALUE!</v>
      </c>
      <c r="AG108" s="65" t="e">
        <f t="shared" ca="1" si="13"/>
        <v>#VALUE!</v>
      </c>
      <c r="AH108" s="35" t="e">
        <f t="shared" ca="1" si="14"/>
        <v>#VALUE!</v>
      </c>
      <c r="AI108" s="63" t="str">
        <f ca="1">_xll.BDP($B108,AI$6, "PX_ASK="&amp;T108)</f>
        <v>#N/A Invalid Override</v>
      </c>
      <c r="AJ108" s="35" t="e">
        <f t="shared" ca="1" si="15"/>
        <v>#VALUE!</v>
      </c>
    </row>
    <row r="109" spans="2:36">
      <c r="B109" s="15" t="s">
        <v>980</v>
      </c>
      <c r="C109" s="15" t="s">
        <v>981</v>
      </c>
      <c r="D109" s="15" t="s">
        <v>981</v>
      </c>
      <c r="E109" s="16">
        <v>40080</v>
      </c>
      <c r="F109" s="19">
        <v>40076</v>
      </c>
      <c r="G109" s="18"/>
      <c r="H109" s="16">
        <v>40257</v>
      </c>
      <c r="I109" s="16">
        <v>47197</v>
      </c>
      <c r="J109" s="17">
        <v>2.1000000000000001E-2</v>
      </c>
      <c r="K109" s="16">
        <v>47381</v>
      </c>
      <c r="L109" s="20" t="str">
        <f ca="1">_xll.meLWOBondCreateFromGeneratorLVB(C109,$L$4,_xll.meUtilityLVBFromKeysValues($C$6:$K$6,C109:K109))</f>
        <v>JP1201131990:1</v>
      </c>
      <c r="M109" s="92">
        <f ca="1">_xll.BDP($B109,$M$5)</f>
        <v>0.16999999999999971</v>
      </c>
      <c r="N109" s="37">
        <f ca="1">_xll.meLWOBondCleanPrice($L109,$C$4,$M109%)</f>
        <v>120.6975992924808</v>
      </c>
      <c r="O109" s="37">
        <f ca="1">_xll.meLWOBondDirtyPrice($L109,$C$4,$M109%)</f>
        <v>123.10000000000001</v>
      </c>
      <c r="P109" s="87">
        <f ca="1">_xll.meLWOBondYield($L109,$C$4,N109)</f>
        <v>1.699999999999852E-3</v>
      </c>
      <c r="Q109" s="89">
        <f ca="1">_xll.meLWOBondModifiedDuration($L109,$C$4,$M109%)</f>
        <v>9.9340034274395457</v>
      </c>
      <c r="R109" s="23">
        <f ca="1">_xll.meLWOBondDV01($L109,$C$4,$M109%)</f>
        <v>1222.8758219178083</v>
      </c>
      <c r="S109" s="85">
        <f t="shared" ca="1" si="16"/>
        <v>0.16999999999999971</v>
      </c>
      <c r="T109" s="22" t="str">
        <f ca="1">_xll.BDP($B109,T$6, "YAS_BOND_SPL_YLD="&amp;S109,"YAS_YLD_CONV=2")</f>
        <v>#N/A Requesting Data...</v>
      </c>
      <c r="U109" s="23">
        <f t="shared" ca="1" si="17"/>
        <v>120.6975992924808</v>
      </c>
      <c r="V109" s="23">
        <f t="shared" ca="1" si="9"/>
        <v>120.697</v>
      </c>
      <c r="W109" s="24" t="e">
        <f t="shared" ca="1" si="10"/>
        <v>#VALUE!</v>
      </c>
      <c r="X109" s="23">
        <f ca="1">_xll.meLWOBondDV01($L109,$C$4,$S109%)</f>
        <v>1222.8758219178083</v>
      </c>
      <c r="Y109" s="22" t="e">
        <f ca="1">_xll.BDP($B109,Y$6, "YLD_YTM_ASK="&amp;$S109,"YAS_YLD_CONV=3")*$Y$3*0.0001</f>
        <v>#VALUE!</v>
      </c>
      <c r="Z109" s="24" t="e">
        <f t="shared" ca="1" si="11"/>
        <v>#VALUE!</v>
      </c>
      <c r="AA109" s="23">
        <f ca="1">_xll.meLWOBondModifiedDuration($L109,$C$4,$S109%)</f>
        <v>9.9340034274395457</v>
      </c>
      <c r="AB109" s="22" t="str">
        <f ca="1">_xll.BDP($B109,AB$6, "YLD_YTM_ASK="&amp;$S109,"YAS_YLD_CONV=3")</f>
        <v>#N/A Requesting Data...</v>
      </c>
      <c r="AC109" s="24" t="e">
        <f t="shared" ca="1" si="12"/>
        <v>#VALUE!</v>
      </c>
      <c r="AD109" s="23">
        <f ca="1">_xll.meLWOBondDV01Numerical($L109,$C$4,$S109%, 0.5, "CENTRAL")</f>
        <v>1294.3788932561517</v>
      </c>
      <c r="AE109" s="63" t="str">
        <f ca="1">_xll.BDP($B109,AE$6, "YAS_BOND_PX="&amp;T109)</f>
        <v>#N/A Invalid Override</v>
      </c>
      <c r="AF109" s="64" t="e">
        <f ca="1">_xll.meLWOBondCompoundYield(L109,$C$4,T109)*100</f>
        <v>#VALUE!</v>
      </c>
      <c r="AG109" s="65" t="e">
        <f t="shared" ca="1" si="13"/>
        <v>#VALUE!</v>
      </c>
      <c r="AH109" s="35" t="e">
        <f t="shared" ca="1" si="14"/>
        <v>#VALUE!</v>
      </c>
      <c r="AI109" s="63" t="str">
        <f ca="1">_xll.BDP($B109,AI$6, "PX_ASK="&amp;T109)</f>
        <v>#N/A Invalid Override</v>
      </c>
      <c r="AJ109" s="35" t="e">
        <f t="shared" ca="1" si="15"/>
        <v>#VALUE!</v>
      </c>
    </row>
    <row r="110" spans="2:36">
      <c r="B110" s="15" t="s">
        <v>982</v>
      </c>
      <c r="C110" s="15" t="s">
        <v>983</v>
      </c>
      <c r="D110" s="15" t="s">
        <v>983</v>
      </c>
      <c r="E110" s="16">
        <v>36423</v>
      </c>
      <c r="F110" s="19">
        <v>36423</v>
      </c>
      <c r="G110" s="18"/>
      <c r="H110" s="16">
        <v>36605</v>
      </c>
      <c r="I110" s="16">
        <v>47197</v>
      </c>
      <c r="J110" s="17">
        <v>2.7999999999999997E-2</v>
      </c>
      <c r="K110" s="16">
        <v>47381</v>
      </c>
      <c r="L110" s="20" t="str">
        <f ca="1">_xll.meLWOBondCreateFromGeneratorLVB(C110,$L$4,_xll.meUtilityLVBFromKeysValues($C$6:$K$6,C110:K110))</f>
        <v>JP1300011W09:1</v>
      </c>
      <c r="M110" s="92">
        <f ca="1">_xll.BDP($B110,$M$5)</f>
        <v>0.17399999999999954</v>
      </c>
      <c r="N110" s="37">
        <f ca="1">_xll.meLWOBondCleanPrice($L110,$C$4,$M110%)</f>
        <v>128.14952882659981</v>
      </c>
      <c r="O110" s="37">
        <f ca="1">_xll.meLWOBondDirtyPrice($L110,$C$4,$M110%)</f>
        <v>130.80000000000001</v>
      </c>
      <c r="P110" s="87">
        <f ca="1">_xll.meLWOBondYield($L110,$C$4,N110)</f>
        <v>1.7399999999998476E-3</v>
      </c>
      <c r="Q110" s="89">
        <f ca="1">_xll.meLWOBondModifiedDuration($L110,$C$4,$M110%)</f>
        <v>9.6829395500816897</v>
      </c>
      <c r="R110" s="23">
        <f ca="1">_xll.meLWOBondDV01($L110,$C$4,$M110%)</f>
        <v>1266.5284931506851</v>
      </c>
      <c r="S110" s="85">
        <f t="shared" ca="1" si="16"/>
        <v>0.17399999999999954</v>
      </c>
      <c r="T110" s="22" t="str">
        <f ca="1">_xll.BDP($B110,T$6, "YAS_BOND_SPL_YLD="&amp;S110,"YAS_YLD_CONV=2")</f>
        <v>#N/A Requesting Data...</v>
      </c>
      <c r="U110" s="23">
        <f t="shared" ca="1" si="17"/>
        <v>128.14952882659981</v>
      </c>
      <c r="V110" s="23">
        <f t="shared" ca="1" si="9"/>
        <v>128.149</v>
      </c>
      <c r="W110" s="24" t="e">
        <f t="shared" ca="1" si="10"/>
        <v>#VALUE!</v>
      </c>
      <c r="X110" s="23">
        <f ca="1">_xll.meLWOBondDV01($L110,$C$4,$S110%)</f>
        <v>1266.5284931506851</v>
      </c>
      <c r="Y110" s="22" t="e">
        <f ca="1">_xll.BDP($B110,Y$6, "YLD_YTM_ASK="&amp;$S110,"YAS_YLD_CONV=3")*$Y$3*0.0001</f>
        <v>#VALUE!</v>
      </c>
      <c r="Z110" s="24" t="e">
        <f t="shared" ca="1" si="11"/>
        <v>#VALUE!</v>
      </c>
      <c r="AA110" s="23">
        <f ca="1">_xll.meLWOBondModifiedDuration($L110,$C$4,$S110%)</f>
        <v>9.6829395500816897</v>
      </c>
      <c r="AB110" s="22" t="str">
        <f ca="1">_xll.BDP($B110,AB$6, "YLD_YTM_ASK="&amp;$S110,"YAS_YLD_CONV=3")</f>
        <v>#N/A Requesting Data...</v>
      </c>
      <c r="AC110" s="24" t="e">
        <f t="shared" ca="1" si="12"/>
        <v>#VALUE!</v>
      </c>
      <c r="AD110" s="23">
        <f ca="1">_xll.meLWOBondDV01Numerical($L110,$C$4,$S110%, 0.5, "CENTRAL")</f>
        <v>1373.7052140552919</v>
      </c>
      <c r="AE110" s="63" t="str">
        <f ca="1">_xll.BDP($B110,AE$6, "YAS_BOND_PX="&amp;T110)</f>
        <v>#N/A Invalid Override</v>
      </c>
      <c r="AF110" s="64" t="e">
        <f ca="1">_xll.meLWOBondCompoundYield(L110,$C$4,T110)*100</f>
        <v>#VALUE!</v>
      </c>
      <c r="AG110" s="65" t="e">
        <f t="shared" ca="1" si="13"/>
        <v>#VALUE!</v>
      </c>
      <c r="AH110" s="35" t="e">
        <f t="shared" ca="1" si="14"/>
        <v>#VALUE!</v>
      </c>
      <c r="AI110" s="63" t="str">
        <f ca="1">_xll.BDP($B110,AI$6, "PX_ASK="&amp;T110)</f>
        <v>#N/A Invalid Override</v>
      </c>
      <c r="AJ110" s="35" t="e">
        <f t="shared" ca="1" si="15"/>
        <v>#VALUE!</v>
      </c>
    </row>
    <row r="111" spans="2:36">
      <c r="B111" s="15" t="s">
        <v>984</v>
      </c>
      <c r="C111" s="15" t="s">
        <v>985</v>
      </c>
      <c r="D111" s="15" t="s">
        <v>985</v>
      </c>
      <c r="E111" s="16">
        <v>40168</v>
      </c>
      <c r="F111" s="19">
        <v>40167</v>
      </c>
      <c r="G111" s="18"/>
      <c r="H111" s="16">
        <v>40349</v>
      </c>
      <c r="I111" s="16">
        <v>47289</v>
      </c>
      <c r="J111" s="17">
        <v>2.1000000000000001E-2</v>
      </c>
      <c r="K111" s="16">
        <v>47472</v>
      </c>
      <c r="L111" s="20" t="str">
        <f ca="1">_xll.meLWOBondCreateFromGeneratorLVB(C111,$L$4,_xll.meUtilityLVBFromKeysValues($C$6:$K$6,C111:K111))</f>
        <v>JP12011419C6:1</v>
      </c>
      <c r="M111" s="92">
        <f ca="1">_xll.BDP($B111,$M$5)</f>
        <v>0.18400000000000047</v>
      </c>
      <c r="N111" s="37">
        <f ca="1">_xll.meLWOBondCleanPrice($L111,$C$4,$M111%)</f>
        <v>120.97550111741226</v>
      </c>
      <c r="O111" s="37">
        <f ca="1">_xll.meLWOBondDirtyPrice($L111,$C$4,$M111%)</f>
        <v>124.15</v>
      </c>
      <c r="P111" s="87">
        <f ca="1">_xll.meLWOBondYield($L111,$C$4,N111)</f>
        <v>1.8400000000002006E-3</v>
      </c>
      <c r="Q111" s="89">
        <f ca="1">_xll.meLWOBondModifiedDuration($L111,$C$4,$M111%)</f>
        <v>10.102727588699045</v>
      </c>
      <c r="R111" s="23">
        <f ca="1">_xll.meLWOBondDV01($L111,$C$4,$M111%)</f>
        <v>1254.2536301369864</v>
      </c>
      <c r="S111" s="85">
        <f t="shared" ca="1" si="16"/>
        <v>0.18400000000000047</v>
      </c>
      <c r="T111" s="22" t="str">
        <f ca="1">_xll.BDP($B111,T$6, "YAS_BOND_SPL_YLD="&amp;S111,"YAS_YLD_CONV=2")</f>
        <v>#N/A Requesting Data...</v>
      </c>
      <c r="U111" s="23">
        <f t="shared" ca="1" si="17"/>
        <v>120.97550111741226</v>
      </c>
      <c r="V111" s="23">
        <f t="shared" ca="1" si="9"/>
        <v>120.97499999999999</v>
      </c>
      <c r="W111" s="24" t="e">
        <f t="shared" ca="1" si="10"/>
        <v>#VALUE!</v>
      </c>
      <c r="X111" s="23">
        <f ca="1">_xll.meLWOBondDV01($L111,$C$4,$S111%)</f>
        <v>1254.2536301369864</v>
      </c>
      <c r="Y111" s="22" t="e">
        <f ca="1">_xll.BDP($B111,Y$6, "YLD_YTM_ASK="&amp;$S111,"YAS_YLD_CONV=3")*$Y$3*0.0001</f>
        <v>#VALUE!</v>
      </c>
      <c r="Z111" s="24" t="e">
        <f t="shared" ca="1" si="11"/>
        <v>#VALUE!</v>
      </c>
      <c r="AA111" s="23">
        <f ca="1">_xll.meLWOBondModifiedDuration($L111,$C$4,$S111%)</f>
        <v>10.102727588699045</v>
      </c>
      <c r="AB111" s="22" t="str">
        <f ca="1">_xll.BDP($B111,AB$6, "YLD_YTM_ASK="&amp;$S111,"YAS_YLD_CONV=3")</f>
        <v>#N/A Requesting Data...</v>
      </c>
      <c r="AC111" s="24" t="e">
        <f t="shared" ca="1" si="12"/>
        <v>#VALUE!</v>
      </c>
      <c r="AD111" s="23">
        <f ca="1">_xll.meLWOBondDV01Numerical($L111,$C$4,$S111%, 0.5, "CENTRAL")</f>
        <v>1324.3854484161943</v>
      </c>
      <c r="AE111" s="63" t="str">
        <f ca="1">_xll.BDP($B111,AE$6, "YAS_BOND_PX="&amp;T111)</f>
        <v>#N/A Invalid Override</v>
      </c>
      <c r="AF111" s="64" t="e">
        <f ca="1">_xll.meLWOBondCompoundYield(L111,$C$4,T111)*100</f>
        <v>#VALUE!</v>
      </c>
      <c r="AG111" s="65" t="e">
        <f t="shared" ca="1" si="13"/>
        <v>#VALUE!</v>
      </c>
      <c r="AH111" s="35" t="e">
        <f t="shared" ca="1" si="14"/>
        <v>#VALUE!</v>
      </c>
      <c r="AI111" s="63" t="str">
        <f ca="1">_xll.BDP($B111,AI$6, "PX_ASK="&amp;T111)</f>
        <v>#N/A Invalid Override</v>
      </c>
      <c r="AJ111" s="35" t="e">
        <f t="shared" ca="1" si="15"/>
        <v>#VALUE!</v>
      </c>
    </row>
    <row r="112" spans="2:36">
      <c r="B112" s="15" t="s">
        <v>986</v>
      </c>
      <c r="C112" s="15" t="s">
        <v>987</v>
      </c>
      <c r="D112" s="15" t="s">
        <v>987</v>
      </c>
      <c r="E112" s="16">
        <v>40235</v>
      </c>
      <c r="F112" s="19">
        <v>40167</v>
      </c>
      <c r="G112" s="18"/>
      <c r="H112" s="16">
        <v>40349</v>
      </c>
      <c r="I112" s="16">
        <v>47289</v>
      </c>
      <c r="J112" s="17">
        <v>2.2000000000000002E-2</v>
      </c>
      <c r="K112" s="16">
        <v>47472</v>
      </c>
      <c r="L112" s="20" t="str">
        <f ca="1">_xll.meLWOBondCreateFromGeneratorLVB(C112,$L$4,_xll.meUtilityLVBFromKeysValues($C$6:$K$6,C112:K112))</f>
        <v>JP1201151A21:1</v>
      </c>
      <c r="M112" s="92">
        <f ca="1">_xll.BDP($B112,$M$5)</f>
        <v>0.18399999999999964</v>
      </c>
      <c r="N112" s="37">
        <f ca="1">_xll.meLWOBondCleanPrice($L112,$C$4,$M112%)</f>
        <v>122.07025587301833</v>
      </c>
      <c r="O112" s="37">
        <f ca="1">_xll.meLWOBondDirtyPrice($L112,$C$4,$M112%)</f>
        <v>125.29999999999998</v>
      </c>
      <c r="P112" s="87">
        <f ca="1">_xll.meLWOBondYield($L112,$C$4,N112)</f>
        <v>1.8400000000002442E-3</v>
      </c>
      <c r="Q112" s="89">
        <f ca="1">_xll.meLWOBondModifiedDuration($L112,$C$4,$M112%)</f>
        <v>10.062068023046061</v>
      </c>
      <c r="R112" s="23">
        <f ca="1">_xll.meLWOBondDV01($L112,$C$4,$M112%)</f>
        <v>1260.7771232876712</v>
      </c>
      <c r="S112" s="85">
        <f t="shared" ca="1" si="16"/>
        <v>0.18399999999999964</v>
      </c>
      <c r="T112" s="22" t="str">
        <f ca="1">_xll.BDP($B112,T$6, "YAS_BOND_SPL_YLD="&amp;S112,"YAS_YLD_CONV=2")</f>
        <v>#N/A Requesting Data...</v>
      </c>
      <c r="U112" s="23">
        <f t="shared" ca="1" si="17"/>
        <v>122.07025587301833</v>
      </c>
      <c r="V112" s="23">
        <f t="shared" ca="1" si="9"/>
        <v>122.07</v>
      </c>
      <c r="W112" s="24" t="e">
        <f t="shared" ca="1" si="10"/>
        <v>#VALUE!</v>
      </c>
      <c r="X112" s="23">
        <f ca="1">_xll.meLWOBondDV01($L112,$C$4,$S112%)</f>
        <v>1260.7771232876712</v>
      </c>
      <c r="Y112" s="22" t="e">
        <f ca="1">_xll.BDP($B112,Y$6, "YLD_YTM_ASK="&amp;$S112,"YAS_YLD_CONV=3")*$Y$3*0.0001</f>
        <v>#VALUE!</v>
      </c>
      <c r="Z112" s="24" t="e">
        <f t="shared" ca="1" si="11"/>
        <v>#VALUE!</v>
      </c>
      <c r="AA112" s="23">
        <f ca="1">_xll.meLWOBondModifiedDuration($L112,$C$4,$S112%)</f>
        <v>10.062068023046061</v>
      </c>
      <c r="AB112" s="22" t="str">
        <f ca="1">_xll.BDP($B112,AB$6, "YLD_YTM_ASK="&amp;$S112,"YAS_YLD_CONV=3")</f>
        <v>#N/A Requesting Data...</v>
      </c>
      <c r="AC112" s="24" t="e">
        <f t="shared" ca="1" si="12"/>
        <v>#VALUE!</v>
      </c>
      <c r="AD112" s="23">
        <f ca="1">_xll.meLWOBondDV01Numerical($L112,$C$4,$S112%, 0.5, "CENTRAL")</f>
        <v>1336.3703317563136</v>
      </c>
      <c r="AE112" s="63" t="str">
        <f ca="1">_xll.BDP($B112,AE$6, "YAS_BOND_PX="&amp;T112)</f>
        <v>#N/A Invalid Override</v>
      </c>
      <c r="AF112" s="64" t="e">
        <f ca="1">_xll.meLWOBondCompoundYield(L112,$C$4,T112)*100</f>
        <v>#VALUE!</v>
      </c>
      <c r="AG112" s="65" t="e">
        <f t="shared" ca="1" si="13"/>
        <v>#VALUE!</v>
      </c>
      <c r="AH112" s="35" t="e">
        <f t="shared" ca="1" si="14"/>
        <v>#VALUE!</v>
      </c>
      <c r="AI112" s="63" t="str">
        <f ca="1">_xll.BDP($B112,AI$6, "PX_ASK="&amp;T112)</f>
        <v>#N/A Invalid Override</v>
      </c>
      <c r="AJ112" s="35" t="e">
        <f t="shared" ca="1" si="15"/>
        <v>#VALUE!</v>
      </c>
    </row>
    <row r="113" spans="2:36">
      <c r="B113" s="15" t="s">
        <v>988</v>
      </c>
      <c r="C113" s="15" t="s">
        <v>989</v>
      </c>
      <c r="D113" s="15" t="s">
        <v>989</v>
      </c>
      <c r="E113" s="16">
        <v>36577</v>
      </c>
      <c r="F113" s="19">
        <v>36577</v>
      </c>
      <c r="G113" s="18"/>
      <c r="H113" s="16">
        <v>36758</v>
      </c>
      <c r="I113" s="16">
        <v>47350</v>
      </c>
      <c r="J113" s="17">
        <v>2.4E-2</v>
      </c>
      <c r="K113" s="16">
        <v>47534</v>
      </c>
      <c r="L113" s="20" t="str">
        <f ca="1">_xll.meLWOBondCreateFromGeneratorLVB(C113,$L$4,_xll.meUtilityLVBFromKeysValues($C$6:$K$6,C113:K113))</f>
        <v>JP1300021001:1</v>
      </c>
      <c r="M113" s="92">
        <f ca="1">_xll.BDP($B113,$M$5)</f>
        <v>0.18800000000000108</v>
      </c>
      <c r="N113" s="37">
        <f ca="1">_xll.meLWOBondCleanPrice($L113,$C$4,$M113%)</f>
        <v>124.56569931262995</v>
      </c>
      <c r="O113" s="37">
        <f ca="1">_xll.meLWOBondDirtyPrice($L113,$C$4,$M113%)</f>
        <v>127.60000000000001</v>
      </c>
      <c r="P113" s="87">
        <f ca="1">_xll.meLWOBondYield($L113,$C$4,N113)</f>
        <v>1.8799999999999737E-3</v>
      </c>
      <c r="Q113" s="89">
        <f ca="1">_xll.meLWOBondModifiedDuration($L113,$C$4,$M113%)</f>
        <v>10.152810581010863</v>
      </c>
      <c r="R113" s="23">
        <f ca="1">_xll.meLWOBondDV01($L113,$C$4,$M113%)</f>
        <v>1295.4986301369863</v>
      </c>
      <c r="S113" s="85">
        <f t="shared" ca="1" si="16"/>
        <v>0.18800000000000108</v>
      </c>
      <c r="T113" s="22" t="str">
        <f ca="1">_xll.BDP($B113,T$6, "YAS_BOND_SPL_YLD="&amp;S113,"YAS_YLD_CONV=2")</f>
        <v>#N/A Requesting Data...</v>
      </c>
      <c r="U113" s="23">
        <f t="shared" ca="1" si="17"/>
        <v>124.56569931262995</v>
      </c>
      <c r="V113" s="23">
        <f t="shared" ca="1" si="9"/>
        <v>124.565</v>
      </c>
      <c r="W113" s="24" t="e">
        <f t="shared" ca="1" si="10"/>
        <v>#VALUE!</v>
      </c>
      <c r="X113" s="23">
        <f ca="1">_xll.meLWOBondDV01($L113,$C$4,$S113%)</f>
        <v>1295.4986301369863</v>
      </c>
      <c r="Y113" s="22" t="e">
        <f ca="1">_xll.BDP($B113,Y$6, "YLD_YTM_ASK="&amp;$S113,"YAS_YLD_CONV=3")*$Y$3*0.0001</f>
        <v>#VALUE!</v>
      </c>
      <c r="Z113" s="24" t="e">
        <f t="shared" ca="1" si="11"/>
        <v>#VALUE!</v>
      </c>
      <c r="AA113" s="23">
        <f ca="1">_xll.meLWOBondModifiedDuration($L113,$C$4,$S113%)</f>
        <v>10.152810581010863</v>
      </c>
      <c r="AB113" s="22" t="str">
        <f ca="1">_xll.BDP($B113,AB$6, "YLD_YTM_ASK="&amp;$S113,"YAS_YLD_CONV=3")</f>
        <v>#N/A Requesting Data...</v>
      </c>
      <c r="AC113" s="24" t="e">
        <f t="shared" ca="1" si="12"/>
        <v>#VALUE!</v>
      </c>
      <c r="AD113" s="23">
        <f ca="1">_xll.meLWOBondDV01Numerical($L113,$C$4,$S113%, 0.5, "CENTRAL")</f>
        <v>1383.3835703034936</v>
      </c>
      <c r="AE113" s="63" t="str">
        <f ca="1">_xll.BDP($B113,AE$6, "YAS_BOND_PX="&amp;T113)</f>
        <v>#N/A Invalid Override</v>
      </c>
      <c r="AF113" s="64" t="e">
        <f ca="1">_xll.meLWOBondCompoundYield(L113,$C$4,T113)*100</f>
        <v>#VALUE!</v>
      </c>
      <c r="AG113" s="65" t="e">
        <f t="shared" ca="1" si="13"/>
        <v>#VALUE!</v>
      </c>
      <c r="AH113" s="35" t="e">
        <f t="shared" ca="1" si="14"/>
        <v>#VALUE!</v>
      </c>
      <c r="AI113" s="63" t="str">
        <f ca="1">_xll.BDP($B113,AI$6, "PX_ASK="&amp;T113)</f>
        <v>#N/A Invalid Override</v>
      </c>
      <c r="AJ113" s="35" t="e">
        <f t="shared" ca="1" si="15"/>
        <v>#VALUE!</v>
      </c>
    </row>
    <row r="114" spans="2:36">
      <c r="B114" s="15" t="s">
        <v>990</v>
      </c>
      <c r="C114" s="15" t="s">
        <v>991</v>
      </c>
      <c r="D114" s="15" t="s">
        <v>991</v>
      </c>
      <c r="E114" s="16">
        <v>40295</v>
      </c>
      <c r="F114" s="19">
        <v>40257</v>
      </c>
      <c r="G114" s="18"/>
      <c r="H114" s="16">
        <v>40441</v>
      </c>
      <c r="I114" s="16">
        <v>47381</v>
      </c>
      <c r="J114" s="17">
        <v>2.1000000000000001E-2</v>
      </c>
      <c r="K114" s="16">
        <v>47562</v>
      </c>
      <c r="L114" s="20" t="str">
        <f ca="1">_xll.meLWOBondCreateFromGeneratorLVB(C114,$L$4,_xll.meUtilityLVBFromKeysValues($C$6:$K$6,C114:K114))</f>
        <v>JP1201171A43:1</v>
      </c>
      <c r="M114" s="92">
        <f ca="1">_xll.BDP($B114,$M$5)</f>
        <v>0.19400000000000089</v>
      </c>
      <c r="N114" s="37">
        <f ca="1">_xll.meLWOBondCleanPrice($L114,$C$4,$M114%)</f>
        <v>121.2932399057032</v>
      </c>
      <c r="O114" s="37">
        <f ca="1">_xll.meLWOBondDirtyPrice($L114,$C$4,$M114%)</f>
        <v>124.15</v>
      </c>
      <c r="P114" s="87">
        <f ca="1">_xll.meLWOBondYield($L114,$C$4,N114)</f>
        <v>1.9400000000001625E-3</v>
      </c>
      <c r="Q114" s="89">
        <f ca="1">_xll.meLWOBondModifiedDuration($L114,$C$4,$M114%)</f>
        <v>10.349302931164798</v>
      </c>
      <c r="R114" s="23">
        <f ca="1">_xll.meLWOBondDV01($L114,$C$4,$M114%)</f>
        <v>1284.8659589041097</v>
      </c>
      <c r="S114" s="85">
        <f t="shared" ca="1" si="16"/>
        <v>0.19400000000000089</v>
      </c>
      <c r="T114" s="22" t="str">
        <f ca="1">_xll.BDP($B114,T$6, "YAS_BOND_SPL_YLD="&amp;S114,"YAS_YLD_CONV=2")</f>
        <v>#N/A Requesting Data...</v>
      </c>
      <c r="U114" s="23">
        <f t="shared" ca="1" si="17"/>
        <v>121.2932399057032</v>
      </c>
      <c r="V114" s="23">
        <f t="shared" ca="1" si="9"/>
        <v>121.29300000000001</v>
      </c>
      <c r="W114" s="24" t="e">
        <f t="shared" ca="1" si="10"/>
        <v>#VALUE!</v>
      </c>
      <c r="X114" s="23">
        <f ca="1">_xll.meLWOBondDV01($L114,$C$4,$S114%)</f>
        <v>1284.8659589041097</v>
      </c>
      <c r="Y114" s="22" t="e">
        <f ca="1">_xll.BDP($B114,Y$6, "YLD_YTM_ASK="&amp;$S114,"YAS_YLD_CONV=3")*$Y$3*0.0001</f>
        <v>#VALUE!</v>
      </c>
      <c r="Z114" s="24" t="e">
        <f t="shared" ca="1" si="11"/>
        <v>#VALUE!</v>
      </c>
      <c r="AA114" s="23">
        <f ca="1">_xll.meLWOBondModifiedDuration($L114,$C$4,$S114%)</f>
        <v>10.349302931164798</v>
      </c>
      <c r="AB114" s="22" t="str">
        <f ca="1">_xll.BDP($B114,AB$6, "YLD_YTM_ASK="&amp;$S114,"YAS_YLD_CONV=3")</f>
        <v>#N/A Requesting Data...</v>
      </c>
      <c r="AC114" s="24" t="e">
        <f t="shared" ca="1" si="12"/>
        <v>#VALUE!</v>
      </c>
      <c r="AD114" s="23">
        <f ca="1">_xll.meLWOBondDV01Numerical($L114,$C$4,$S114%, 0.5, "CENTRAL")</f>
        <v>1355.0508195729094</v>
      </c>
      <c r="AE114" s="63" t="str">
        <f ca="1">_xll.BDP($B114,AE$6, "YAS_BOND_PX="&amp;T114)</f>
        <v>#N/A Invalid Override</v>
      </c>
      <c r="AF114" s="64" t="e">
        <f ca="1">_xll.meLWOBondCompoundYield(L114,$C$4,T114)*100</f>
        <v>#VALUE!</v>
      </c>
      <c r="AG114" s="65" t="e">
        <f t="shared" ca="1" si="13"/>
        <v>#VALUE!</v>
      </c>
      <c r="AH114" s="35" t="e">
        <f t="shared" ca="1" si="14"/>
        <v>#VALUE!</v>
      </c>
      <c r="AI114" s="63" t="str">
        <f ca="1">_xll.BDP($B114,AI$6, "PX_ASK="&amp;T114)</f>
        <v>#N/A Invalid Override</v>
      </c>
      <c r="AJ114" s="35" t="e">
        <f t="shared" ca="1" si="15"/>
        <v>#VALUE!</v>
      </c>
    </row>
    <row r="115" spans="2:36">
      <c r="B115" s="15" t="s">
        <v>992</v>
      </c>
      <c r="C115" s="15" t="s">
        <v>993</v>
      </c>
      <c r="D115" s="15" t="s">
        <v>993</v>
      </c>
      <c r="E115" s="16">
        <v>40260</v>
      </c>
      <c r="F115" s="19">
        <v>40257</v>
      </c>
      <c r="G115" s="18"/>
      <c r="H115" s="16">
        <v>40441</v>
      </c>
      <c r="I115" s="16">
        <v>47381</v>
      </c>
      <c r="J115" s="17">
        <v>2.2000000000000002E-2</v>
      </c>
      <c r="K115" s="16">
        <v>47562</v>
      </c>
      <c r="L115" s="20" t="str">
        <f ca="1">_xll.meLWOBondCreateFromGeneratorLVB(C115,$L$4,_xll.meUtilityLVBFromKeysValues($C$6:$K$6,C115:K115))</f>
        <v>JP1201161A37:1</v>
      </c>
      <c r="M115" s="92">
        <f ca="1">_xll.BDP($B115,$M$5)</f>
        <v>0.19400000000000134</v>
      </c>
      <c r="N115" s="37">
        <f ca="1">_xll.meLWOBondCleanPrice($L115,$C$4,$M115%)</f>
        <v>122.41040884094471</v>
      </c>
      <c r="O115" s="37">
        <f ca="1">_xll.meLWOBondDirtyPrice($L115,$C$4,$M115%)</f>
        <v>125.29999999999998</v>
      </c>
      <c r="P115" s="87">
        <f ca="1">_xll.meLWOBondYield($L115,$C$4,N115)</f>
        <v>1.939999999999808E-3</v>
      </c>
      <c r="Q115" s="89">
        <f ca="1">_xll.meLWOBondModifiedDuration($L115,$C$4,$M115%)</f>
        <v>10.308643365511813</v>
      </c>
      <c r="R115" s="23">
        <f ca="1">_xll.meLWOBondDV01($L115,$C$4,$M115%)</f>
        <v>1291.67301369863</v>
      </c>
      <c r="S115" s="85">
        <f t="shared" ca="1" si="16"/>
        <v>0.19400000000000134</v>
      </c>
      <c r="T115" s="22" t="str">
        <f ca="1">_xll.BDP($B115,T$6, "YAS_BOND_SPL_YLD="&amp;S115,"YAS_YLD_CONV=2")</f>
        <v>#N/A Requesting Data...</v>
      </c>
      <c r="U115" s="23">
        <f t="shared" ca="1" si="17"/>
        <v>122.41040884094471</v>
      </c>
      <c r="V115" s="23">
        <f t="shared" ca="1" si="9"/>
        <v>122.41</v>
      </c>
      <c r="W115" s="24" t="e">
        <f t="shared" ca="1" si="10"/>
        <v>#VALUE!</v>
      </c>
      <c r="X115" s="23">
        <f ca="1">_xll.meLWOBondDV01($L115,$C$4,$S115%)</f>
        <v>1291.67301369863</v>
      </c>
      <c r="Y115" s="22" t="e">
        <f ca="1">_xll.BDP($B115,Y$6, "YLD_YTM_ASK="&amp;$S115,"YAS_YLD_CONV=3")*$Y$3*0.0001</f>
        <v>#VALUE!</v>
      </c>
      <c r="Z115" s="24" t="e">
        <f t="shared" ca="1" si="11"/>
        <v>#VALUE!</v>
      </c>
      <c r="AA115" s="23">
        <f ca="1">_xll.meLWOBondModifiedDuration($L115,$C$4,$S115%)</f>
        <v>10.308643365511813</v>
      </c>
      <c r="AB115" s="22" t="str">
        <f ca="1">_xll.BDP($B115,AB$6, "YLD_YTM_ASK="&amp;$S115,"YAS_YLD_CONV=3")</f>
        <v>#N/A Requesting Data...</v>
      </c>
      <c r="AC115" s="24" t="e">
        <f t="shared" ca="1" si="12"/>
        <v>#VALUE!</v>
      </c>
      <c r="AD115" s="23">
        <f ca="1">_xll.meLWOBondDV01Numerical($L115,$C$4,$S115%, 0.5, "CENTRAL")</f>
        <v>1367.5314877659162</v>
      </c>
      <c r="AE115" s="63" t="str">
        <f ca="1">_xll.BDP($B115,AE$6, "YAS_BOND_PX="&amp;T115)</f>
        <v>#N/A Invalid Override</v>
      </c>
      <c r="AF115" s="64" t="e">
        <f ca="1">_xll.meLWOBondCompoundYield(L115,$C$4,T115)*100</f>
        <v>#VALUE!</v>
      </c>
      <c r="AG115" s="65" t="e">
        <f t="shared" ca="1" si="13"/>
        <v>#VALUE!</v>
      </c>
      <c r="AH115" s="35" t="e">
        <f t="shared" ca="1" si="14"/>
        <v>#VALUE!</v>
      </c>
      <c r="AI115" s="63" t="str">
        <f ca="1">_xll.BDP($B115,AI$6, "PX_ASK="&amp;T115)</f>
        <v>#N/A Invalid Override</v>
      </c>
      <c r="AJ115" s="35" t="e">
        <f t="shared" ca="1" si="15"/>
        <v>#VALUE!</v>
      </c>
    </row>
    <row r="116" spans="2:36">
      <c r="B116" s="15" t="s">
        <v>994</v>
      </c>
      <c r="C116" s="15" t="s">
        <v>995</v>
      </c>
      <c r="D116" s="15" t="s">
        <v>995</v>
      </c>
      <c r="E116" s="16">
        <v>36671</v>
      </c>
      <c r="F116" s="19">
        <v>36671</v>
      </c>
      <c r="G116" s="18"/>
      <c r="H116" s="16">
        <v>36850</v>
      </c>
      <c r="I116" s="16">
        <v>47442</v>
      </c>
      <c r="J116" s="17">
        <v>2.3E-2</v>
      </c>
      <c r="K116" s="16">
        <v>47623</v>
      </c>
      <c r="L116" s="20" t="str">
        <f ca="1">_xll.meLWOBondCreateFromGeneratorLVB(C116,$L$4,_xll.meUtilityLVBFromKeysValues($C$6:$K$6,C116:K116))</f>
        <v>JP1300031000:1</v>
      </c>
      <c r="M116" s="92">
        <f ca="1">_xll.BDP($B116,$M$5)</f>
        <v>0.19899999999999921</v>
      </c>
      <c r="N116" s="37">
        <f ca="1">_xll.meLWOBondCleanPrice($L116,$C$4,$M116%)</f>
        <v>123.79420244531224</v>
      </c>
      <c r="O116" s="37">
        <f ca="1">_xll.meLWOBondDirtyPrice($L116,$C$4,$M116%)</f>
        <v>127.60000000000001</v>
      </c>
      <c r="P116" s="87">
        <f ca="1">_xll.meLWOBondYield($L116,$C$4,N116)</f>
        <v>1.9900000000001609E-3</v>
      </c>
      <c r="Q116" s="89">
        <f ca="1">_xll.meLWOBondModifiedDuration($L116,$C$4,$M116%)</f>
        <v>10.346680551380599</v>
      </c>
      <c r="R116" s="23">
        <f ca="1">_xll.meLWOBondDV01($L116,$C$4,$M116%)</f>
        <v>1320.2364383561646</v>
      </c>
      <c r="S116" s="85">
        <f t="shared" ca="1" si="16"/>
        <v>0.19899999999999921</v>
      </c>
      <c r="T116" s="22" t="str">
        <f ca="1">_xll.BDP($B116,T$6, "YAS_BOND_SPL_YLD="&amp;S116,"YAS_YLD_CONV=2")</f>
        <v>#N/A Requesting Data...</v>
      </c>
      <c r="U116" s="23">
        <f t="shared" ca="1" si="17"/>
        <v>123.79420244531224</v>
      </c>
      <c r="V116" s="23">
        <f t="shared" ca="1" si="9"/>
        <v>123.794</v>
      </c>
      <c r="W116" s="24" t="e">
        <f t="shared" ca="1" si="10"/>
        <v>#VALUE!</v>
      </c>
      <c r="X116" s="23">
        <f ca="1">_xll.meLWOBondDV01($L116,$C$4,$S116%)</f>
        <v>1320.2364383561646</v>
      </c>
      <c r="Y116" s="22" t="e">
        <f ca="1">_xll.BDP($B116,Y$6, "YLD_YTM_ASK="&amp;$S116,"YAS_YLD_CONV=3")*$Y$3*0.0001</f>
        <v>#VALUE!</v>
      </c>
      <c r="Z116" s="24" t="e">
        <f t="shared" ca="1" si="11"/>
        <v>#VALUE!</v>
      </c>
      <c r="AA116" s="23">
        <f ca="1">_xll.meLWOBondModifiedDuration($L116,$C$4,$S116%)</f>
        <v>10.346680551380599</v>
      </c>
      <c r="AB116" s="22" t="str">
        <f ca="1">_xll.BDP($B116,AB$6, "YLD_YTM_ASK="&amp;$S116,"YAS_YLD_CONV=3")</f>
        <v>#N/A Requesting Data...</v>
      </c>
      <c r="AC116" s="24" t="e">
        <f t="shared" ca="1" si="12"/>
        <v>#VALUE!</v>
      </c>
      <c r="AD116" s="23">
        <f ca="1">_xll.meLWOBondDV01Numerical($L116,$C$4,$S116%, 0.5, "CENTRAL")</f>
        <v>1401.9920319084633</v>
      </c>
      <c r="AE116" s="63" t="str">
        <f ca="1">_xll.BDP($B116,AE$6, "YAS_BOND_PX="&amp;T116)</f>
        <v>#N/A Invalid Override</v>
      </c>
      <c r="AF116" s="64" t="e">
        <f ca="1">_xll.meLWOBondCompoundYield(L116,$C$4,T116)*100</f>
        <v>#VALUE!</v>
      </c>
      <c r="AG116" s="65" t="e">
        <f t="shared" ca="1" si="13"/>
        <v>#VALUE!</v>
      </c>
      <c r="AH116" s="35" t="e">
        <f t="shared" ca="1" si="14"/>
        <v>#VALUE!</v>
      </c>
      <c r="AI116" s="63" t="str">
        <f ca="1">_xll.BDP($B116,AI$6, "PX_ASK="&amp;T116)</f>
        <v>#N/A Invalid Override</v>
      </c>
      <c r="AJ116" s="35" t="e">
        <f t="shared" ca="1" si="15"/>
        <v>#VALUE!</v>
      </c>
    </row>
    <row r="117" spans="2:36">
      <c r="B117" s="15" t="s">
        <v>996</v>
      </c>
      <c r="C117" s="15" t="s">
        <v>997</v>
      </c>
      <c r="D117" s="15" t="s">
        <v>997</v>
      </c>
      <c r="E117" s="16">
        <v>40417</v>
      </c>
      <c r="F117" s="19">
        <v>40349</v>
      </c>
      <c r="G117" s="18"/>
      <c r="H117" s="16">
        <v>40532</v>
      </c>
      <c r="I117" s="16">
        <v>47472</v>
      </c>
      <c r="J117" s="17">
        <v>1.6E-2</v>
      </c>
      <c r="K117" s="16">
        <v>47654</v>
      </c>
      <c r="L117" s="20" t="str">
        <f ca="1">_xll.meLWOBondCreateFromGeneratorLVB(C117,$L$4,_xll.meUtilityLVBFromKeysValues($C$6:$K$6,C117:K117))</f>
        <v>JP1201201A88:1</v>
      </c>
      <c r="M117" s="92">
        <f ca="1">_xll.BDP($B117,$M$5)</f>
        <v>0.2139999999999998</v>
      </c>
      <c r="N117" s="37">
        <f ca="1">_xll.meLWOBondCleanPrice($L117,$C$4,$M117%)</f>
        <v>115.78214694677914</v>
      </c>
      <c r="O117" s="37">
        <f ca="1">_xll.meLWOBondDirtyPrice($L117,$C$4,$M117%)</f>
        <v>119.19999999999999</v>
      </c>
      <c r="P117" s="87">
        <f ca="1">_xll.meLWOBondYield($L117,$C$4,N117)</f>
        <v>2.1400000000001045E-3</v>
      </c>
      <c r="Q117" s="89">
        <f ca="1">_xll.meLWOBondModifiedDuration($L117,$C$4,$M117%)</f>
        <v>10.746428243081732</v>
      </c>
      <c r="R117" s="23">
        <f ca="1">_xll.meLWOBondDV01($L117,$C$4,$M117%)</f>
        <v>1280.9742465753425</v>
      </c>
      <c r="S117" s="85">
        <f t="shared" ca="1" si="16"/>
        <v>0.2139999999999998</v>
      </c>
      <c r="T117" s="22" t="str">
        <f ca="1">_xll.BDP($B117,T$6, "YAS_BOND_SPL_YLD="&amp;S117,"YAS_YLD_CONV=2")</f>
        <v>#N/A Requesting Data...</v>
      </c>
      <c r="U117" s="23">
        <f t="shared" ca="1" si="17"/>
        <v>115.78214694677914</v>
      </c>
      <c r="V117" s="23">
        <f t="shared" ca="1" si="9"/>
        <v>115.782</v>
      </c>
      <c r="W117" s="24" t="e">
        <f t="shared" ca="1" si="10"/>
        <v>#VALUE!</v>
      </c>
      <c r="X117" s="23">
        <f ca="1">_xll.meLWOBondDV01($L117,$C$4,$S117%)</f>
        <v>1280.9742465753425</v>
      </c>
      <c r="Y117" s="22" t="e">
        <f ca="1">_xll.BDP($B117,Y$6, "YLD_YTM_ASK="&amp;$S117,"YAS_YLD_CONV=3")*$Y$3*0.0001</f>
        <v>#VALUE!</v>
      </c>
      <c r="Z117" s="24" t="e">
        <f t="shared" ca="1" si="11"/>
        <v>#VALUE!</v>
      </c>
      <c r="AA117" s="23">
        <f ca="1">_xll.meLWOBondModifiedDuration($L117,$C$4,$S117%)</f>
        <v>10.746428243081732</v>
      </c>
      <c r="AB117" s="22" t="str">
        <f ca="1">_xll.BDP($B117,AB$6, "YLD_YTM_ASK="&amp;$S117,"YAS_YLD_CONV=3")</f>
        <v>#N/A Requesting Data...</v>
      </c>
      <c r="AC117" s="24" t="e">
        <f t="shared" ca="1" si="12"/>
        <v>#VALUE!</v>
      </c>
      <c r="AD117" s="23">
        <f ca="1">_xll.meLWOBondDV01Numerical($L117,$C$4,$S117%, 0.5, "CENTRAL")</f>
        <v>1318.3920990216793</v>
      </c>
      <c r="AE117" s="63" t="str">
        <f ca="1">_xll.BDP($B117,AE$6, "YAS_BOND_PX="&amp;T117)</f>
        <v>#N/A Invalid Override</v>
      </c>
      <c r="AF117" s="64" t="e">
        <f ca="1">_xll.meLWOBondCompoundYield(L117,$C$4,T117)*100</f>
        <v>#VALUE!</v>
      </c>
      <c r="AG117" s="65" t="e">
        <f t="shared" ca="1" si="13"/>
        <v>#VALUE!</v>
      </c>
      <c r="AH117" s="35" t="e">
        <f t="shared" ca="1" si="14"/>
        <v>#VALUE!</v>
      </c>
      <c r="AI117" s="63" t="str">
        <f ca="1">_xll.BDP($B117,AI$6, "PX_ASK="&amp;T117)</f>
        <v>#N/A Invalid Override</v>
      </c>
      <c r="AJ117" s="35" t="e">
        <f t="shared" ca="1" si="15"/>
        <v>#VALUE!</v>
      </c>
    </row>
    <row r="118" spans="2:36">
      <c r="B118" s="15" t="s">
        <v>998</v>
      </c>
      <c r="C118" s="15" t="s">
        <v>999</v>
      </c>
      <c r="D118" s="15" t="s">
        <v>999</v>
      </c>
      <c r="E118" s="16">
        <v>40350</v>
      </c>
      <c r="F118" s="19">
        <v>40349</v>
      </c>
      <c r="G118" s="18"/>
      <c r="H118" s="16">
        <v>40532</v>
      </c>
      <c r="I118" s="16">
        <v>47472</v>
      </c>
      <c r="J118" s="17">
        <v>0.02</v>
      </c>
      <c r="K118" s="16">
        <v>47654</v>
      </c>
      <c r="L118" s="20" t="str">
        <f ca="1">_xll.meLWOBondCreateFromGeneratorLVB(C118,$L$4,_xll.meUtilityLVBFromKeysValues($C$6:$K$6,C118:K118))</f>
        <v>JP1201181A66:1</v>
      </c>
      <c r="M118" s="92">
        <f ca="1">_xll.BDP($B118,$M$5)</f>
        <v>0.20900000000000013</v>
      </c>
      <c r="N118" s="37">
        <f ca="1">_xll.meLWOBondCleanPrice($L118,$C$4,$M118%)</f>
        <v>120.40543092146261</v>
      </c>
      <c r="O118" s="37">
        <f ca="1">_xll.meLWOBondDirtyPrice($L118,$C$4,$M118%)</f>
        <v>124</v>
      </c>
      <c r="P118" s="87">
        <f ca="1">_xll.meLWOBondYield($L118,$C$4,N118)</f>
        <v>2.0899999999997158E-3</v>
      </c>
      <c r="Q118" s="89">
        <f ca="1">_xll.meLWOBondModifiedDuration($L118,$C$4,$M118%)</f>
        <v>10.559699513919576</v>
      </c>
      <c r="R118" s="23">
        <f ca="1">_xll.meLWOBondDV01($L118,$C$4,$M118%)</f>
        <v>1309.4027397260274</v>
      </c>
      <c r="S118" s="85">
        <f t="shared" ca="1" si="16"/>
        <v>0.20900000000000013</v>
      </c>
      <c r="T118" s="22" t="str">
        <f ca="1">_xll.BDP($B118,T$6, "YAS_BOND_SPL_YLD="&amp;S118,"YAS_YLD_CONV=2")</f>
        <v>#N/A Requesting Data...</v>
      </c>
      <c r="U118" s="23">
        <f t="shared" ca="1" si="17"/>
        <v>120.40543092146261</v>
      </c>
      <c r="V118" s="23">
        <f t="shared" ca="1" si="9"/>
        <v>120.405</v>
      </c>
      <c r="W118" s="24" t="e">
        <f t="shared" ca="1" si="10"/>
        <v>#VALUE!</v>
      </c>
      <c r="X118" s="23">
        <f ca="1">_xll.meLWOBondDV01($L118,$C$4,$S118%)</f>
        <v>1309.4027397260274</v>
      </c>
      <c r="Y118" s="22" t="e">
        <f ca="1">_xll.BDP($B118,Y$6, "YLD_YTM_ASK="&amp;$S118,"YAS_YLD_CONV=3")*$Y$3*0.0001</f>
        <v>#VALUE!</v>
      </c>
      <c r="Z118" s="24" t="e">
        <f t="shared" ca="1" si="11"/>
        <v>#VALUE!</v>
      </c>
      <c r="AA118" s="23">
        <f ca="1">_xll.meLWOBondModifiedDuration($L118,$C$4,$S118%)</f>
        <v>10.559699513919576</v>
      </c>
      <c r="AB118" s="22" t="str">
        <f ca="1">_xll.BDP($B118,AB$6, "YLD_YTM_ASK="&amp;$S118,"YAS_YLD_CONV=3")</f>
        <v>#N/A Requesting Data...</v>
      </c>
      <c r="AC118" s="24" t="e">
        <f t="shared" ca="1" si="12"/>
        <v>#VALUE!</v>
      </c>
      <c r="AD118" s="23">
        <f ca="1">_xll.meLWOBondDV01Numerical($L118,$C$4,$S118%, 0.5, "CENTRAL")</f>
        <v>1371.8176999198306</v>
      </c>
      <c r="AE118" s="63" t="str">
        <f ca="1">_xll.BDP($B118,AE$6, "YAS_BOND_PX="&amp;T118)</f>
        <v>#N/A Invalid Override</v>
      </c>
      <c r="AF118" s="64" t="e">
        <f ca="1">_xll.meLWOBondCompoundYield(L118,$C$4,T118)*100</f>
        <v>#VALUE!</v>
      </c>
      <c r="AG118" s="65" t="e">
        <f t="shared" ca="1" si="13"/>
        <v>#VALUE!</v>
      </c>
      <c r="AH118" s="35" t="e">
        <f t="shared" ca="1" si="14"/>
        <v>#VALUE!</v>
      </c>
      <c r="AI118" s="63" t="str">
        <f ca="1">_xll.BDP($B118,AI$6, "PX_ASK="&amp;T118)</f>
        <v>#N/A Invalid Override</v>
      </c>
      <c r="AJ118" s="35" t="e">
        <f t="shared" ca="1" si="15"/>
        <v>#VALUE!</v>
      </c>
    </row>
    <row r="119" spans="2:36">
      <c r="B119" s="15" t="s">
        <v>1000</v>
      </c>
      <c r="C119" s="15" t="s">
        <v>1001</v>
      </c>
      <c r="D119" s="15" t="s">
        <v>1001</v>
      </c>
      <c r="E119" s="16">
        <v>40386</v>
      </c>
      <c r="F119" s="19">
        <v>40349</v>
      </c>
      <c r="G119" s="18"/>
      <c r="H119" s="16">
        <v>40532</v>
      </c>
      <c r="I119" s="16">
        <v>47472</v>
      </c>
      <c r="J119" s="17">
        <v>1.8000000000000002E-2</v>
      </c>
      <c r="K119" s="16">
        <v>47654</v>
      </c>
      <c r="L119" s="20" t="str">
        <f ca="1">_xll.meLWOBondCreateFromGeneratorLVB(C119,$L$4,_xll.meUtilityLVBFromKeysValues($C$6:$K$6,C119:K119))</f>
        <v>JP1201191A72:1</v>
      </c>
      <c r="M119" s="92">
        <f ca="1">_xll.BDP($B119,$M$5)</f>
        <v>0.20900000000000069</v>
      </c>
      <c r="N119" s="37">
        <f ca="1">_xll.meLWOBondCleanPrice($L119,$C$4,$M119%)</f>
        <v>118.12676750198044</v>
      </c>
      <c r="O119" s="37">
        <f ca="1">_xll.meLWOBondDirtyPrice($L119,$C$4,$M119%)</f>
        <v>121.6</v>
      </c>
      <c r="P119" s="87">
        <f ca="1">_xll.meLWOBondYield($L119,$C$4,N119)</f>
        <v>2.0900000000003412E-3</v>
      </c>
      <c r="Q119" s="89">
        <f ca="1">_xll.meLWOBondModifiedDuration($L119,$C$4,$M119%)</f>
        <v>10.651221160778659</v>
      </c>
      <c r="R119" s="23">
        <f ca="1">_xll.meLWOBondDV01($L119,$C$4,$M119%)</f>
        <v>1295.188493150685</v>
      </c>
      <c r="S119" s="85">
        <f t="shared" ca="1" si="16"/>
        <v>0.20900000000000069</v>
      </c>
      <c r="T119" s="22" t="str">
        <f ca="1">_xll.BDP($B119,T$6, "YAS_BOND_SPL_YLD="&amp;S119,"YAS_YLD_CONV=2")</f>
        <v>#N/A Requesting Data...</v>
      </c>
      <c r="U119" s="23">
        <f t="shared" ca="1" si="17"/>
        <v>118.12676750198044</v>
      </c>
      <c r="V119" s="23">
        <f t="shared" ca="1" si="9"/>
        <v>118.126</v>
      </c>
      <c r="W119" s="24" t="e">
        <f t="shared" ca="1" si="10"/>
        <v>#VALUE!</v>
      </c>
      <c r="X119" s="23">
        <f ca="1">_xll.meLWOBondDV01($L119,$C$4,$S119%)</f>
        <v>1295.188493150685</v>
      </c>
      <c r="Y119" s="22" t="e">
        <f ca="1">_xll.BDP($B119,Y$6, "YLD_YTM_ASK="&amp;$S119,"YAS_YLD_CONV=3")*$Y$3*0.0001</f>
        <v>#VALUE!</v>
      </c>
      <c r="Z119" s="24" t="e">
        <f t="shared" ca="1" si="11"/>
        <v>#VALUE!</v>
      </c>
      <c r="AA119" s="23">
        <f ca="1">_xll.meLWOBondModifiedDuration($L119,$C$4,$S119%)</f>
        <v>10.651221160778659</v>
      </c>
      <c r="AB119" s="22" t="str">
        <f ca="1">_xll.BDP($B119,AB$6, "YLD_YTM_ASK="&amp;$S119,"YAS_YLD_CONV=3")</f>
        <v>#N/A Requesting Data...</v>
      </c>
      <c r="AC119" s="24" t="e">
        <f t="shared" ca="1" si="12"/>
        <v>#VALUE!</v>
      </c>
      <c r="AD119" s="23">
        <f ca="1">_xll.meLWOBondDV01Numerical($L119,$C$4,$S119%, 0.5, "CENTRAL")</f>
        <v>1345.8561565984439</v>
      </c>
      <c r="AE119" s="63" t="str">
        <f ca="1">_xll.BDP($B119,AE$6, "YAS_BOND_PX="&amp;T119)</f>
        <v>#N/A Invalid Override</v>
      </c>
      <c r="AF119" s="64" t="e">
        <f ca="1">_xll.meLWOBondCompoundYield(L119,$C$4,T119)*100</f>
        <v>#VALUE!</v>
      </c>
      <c r="AG119" s="65" t="e">
        <f t="shared" ca="1" si="13"/>
        <v>#VALUE!</v>
      </c>
      <c r="AH119" s="35" t="e">
        <f t="shared" ca="1" si="14"/>
        <v>#VALUE!</v>
      </c>
      <c r="AI119" s="63" t="str">
        <f ca="1">_xll.BDP($B119,AI$6, "PX_ASK="&amp;T119)</f>
        <v>#N/A Invalid Override</v>
      </c>
      <c r="AJ119" s="35" t="e">
        <f t="shared" ca="1" si="15"/>
        <v>#VALUE!</v>
      </c>
    </row>
    <row r="120" spans="2:36">
      <c r="B120" s="15" t="s">
        <v>1002</v>
      </c>
      <c r="C120" s="15" t="s">
        <v>1003</v>
      </c>
      <c r="D120" s="15" t="s">
        <v>1003</v>
      </c>
      <c r="E120" s="16">
        <v>40442</v>
      </c>
      <c r="F120" s="19">
        <v>40441</v>
      </c>
      <c r="G120" s="18"/>
      <c r="H120" s="16">
        <v>40622</v>
      </c>
      <c r="I120" s="16">
        <v>47562</v>
      </c>
      <c r="J120" s="17">
        <v>1.9E-2</v>
      </c>
      <c r="K120" s="16">
        <v>47746</v>
      </c>
      <c r="L120" s="20" t="str">
        <f ca="1">_xll.meLWOBondCreateFromGeneratorLVB(C120,$L$4,_xll.meUtilityLVBFromKeysValues($C$6:$K$6,C120:K120))</f>
        <v>JP1201211A94:1</v>
      </c>
      <c r="M120" s="92">
        <f ca="1">_xll.BDP($B120,$M$5)</f>
        <v>0.22400000000000003</v>
      </c>
      <c r="N120" s="37">
        <f ca="1">_xll.meLWOBondCleanPrice($L120,$C$4,$M120%)</f>
        <v>119.46359328795677</v>
      </c>
      <c r="O120" s="37">
        <f ca="1">_xll.meLWOBondDirtyPrice($L120,$C$4,$M120%)</f>
        <v>122.8</v>
      </c>
      <c r="P120" s="87">
        <f ca="1">_xll.meLWOBondYield($L120,$C$4,N120)</f>
        <v>2.2399999999998341E-3</v>
      </c>
      <c r="Q120" s="89">
        <f ca="1">_xll.meLWOBondModifiedDuration($L120,$C$4,$M120%)</f>
        <v>10.85158850564455</v>
      </c>
      <c r="R120" s="23">
        <f ca="1">_xll.meLWOBondDV01($L120,$C$4,$M120%)</f>
        <v>1332.5750684931506</v>
      </c>
      <c r="S120" s="85">
        <f t="shared" ca="1" si="16"/>
        <v>0.22400000000000003</v>
      </c>
      <c r="T120" s="22" t="str">
        <f ca="1">_xll.BDP($B120,T$6, "YAS_BOND_SPL_YLD="&amp;S120,"YAS_YLD_CONV=2")</f>
        <v>#N/A Requesting Data...</v>
      </c>
      <c r="U120" s="23">
        <f t="shared" ca="1" si="17"/>
        <v>119.46359328795677</v>
      </c>
      <c r="V120" s="23">
        <f t="shared" ca="1" si="9"/>
        <v>119.46299999999999</v>
      </c>
      <c r="W120" s="24" t="e">
        <f t="shared" ca="1" si="10"/>
        <v>#VALUE!</v>
      </c>
      <c r="X120" s="23">
        <f ca="1">_xll.meLWOBondDV01($L120,$C$4,$S120%)</f>
        <v>1332.5750684931506</v>
      </c>
      <c r="Y120" s="22" t="e">
        <f ca="1">_xll.BDP($B120,Y$6, "YLD_YTM_ASK="&amp;$S120,"YAS_YLD_CONV=3")*$Y$3*0.0001</f>
        <v>#VALUE!</v>
      </c>
      <c r="Z120" s="24" t="e">
        <f t="shared" ca="1" si="11"/>
        <v>#VALUE!</v>
      </c>
      <c r="AA120" s="23">
        <f ca="1">_xll.meLWOBondModifiedDuration($L120,$C$4,$S120%)</f>
        <v>10.85158850564455</v>
      </c>
      <c r="AB120" s="22" t="str">
        <f ca="1">_xll.BDP($B120,AB$6, "YLD_YTM_ASK="&amp;$S120,"YAS_YLD_CONV=3")</f>
        <v>#N/A Requesting Data...</v>
      </c>
      <c r="AC120" s="24" t="e">
        <f t="shared" ca="1" si="12"/>
        <v>#VALUE!</v>
      </c>
      <c r="AD120" s="23">
        <f ca="1">_xll.meLWOBondDV01Numerical($L120,$C$4,$S120%, 0.5, "CENTRAL")</f>
        <v>1387.3458093317481</v>
      </c>
      <c r="AE120" s="63" t="str">
        <f ca="1">_xll.BDP($B120,AE$6, "YAS_BOND_PX="&amp;T120)</f>
        <v>#N/A Invalid Override</v>
      </c>
      <c r="AF120" s="64" t="e">
        <f ca="1">_xll.meLWOBondCompoundYield(L120,$C$4,T120)*100</f>
        <v>#VALUE!</v>
      </c>
      <c r="AG120" s="65" t="e">
        <f t="shared" ca="1" si="13"/>
        <v>#VALUE!</v>
      </c>
      <c r="AH120" s="35" t="e">
        <f t="shared" ca="1" si="14"/>
        <v>#VALUE!</v>
      </c>
      <c r="AI120" s="63" t="str">
        <f ca="1">_xll.BDP($B120,AI$6, "PX_ASK="&amp;T120)</f>
        <v>#N/A Invalid Override</v>
      </c>
      <c r="AJ120" s="35" t="e">
        <f t="shared" ca="1" si="15"/>
        <v>#VALUE!</v>
      </c>
    </row>
    <row r="121" spans="2:36">
      <c r="B121" s="15" t="s">
        <v>1004</v>
      </c>
      <c r="C121" s="15" t="s">
        <v>1005</v>
      </c>
      <c r="D121" s="15" t="s">
        <v>1005</v>
      </c>
      <c r="E121" s="16">
        <v>40477</v>
      </c>
      <c r="F121" s="19">
        <v>40441</v>
      </c>
      <c r="G121" s="18"/>
      <c r="H121" s="16">
        <v>40622</v>
      </c>
      <c r="I121" s="16">
        <v>47562</v>
      </c>
      <c r="J121" s="17">
        <v>1.8000000000000002E-2</v>
      </c>
      <c r="K121" s="16">
        <v>47746</v>
      </c>
      <c r="L121" s="20" t="str">
        <f ca="1">_xll.meLWOBondCreateFromGeneratorLVB(C121,$L$4,_xll.meUtilityLVBFromKeysValues($C$6:$K$6,C121:K121))</f>
        <v>JP1201221AA5:1</v>
      </c>
      <c r="M121" s="92">
        <f ca="1">_xll.BDP($B121,$M$5)</f>
        <v>0.22399999999999987</v>
      </c>
      <c r="N121" s="37">
        <f ca="1">_xll.meLWOBondCleanPrice($L121,$C$4,$M121%)</f>
        <v>118.30228103927199</v>
      </c>
      <c r="O121" s="37">
        <f ca="1">_xll.meLWOBondDirtyPrice($L121,$C$4,$M121%)</f>
        <v>121.6</v>
      </c>
      <c r="P121" s="87">
        <f ca="1">_xll.meLWOBondYield($L121,$C$4,N121)</f>
        <v>2.2399999999999924E-3</v>
      </c>
      <c r="Q121" s="89">
        <f ca="1">_xll.meLWOBondModifiedDuration($L121,$C$4,$M121%)</f>
        <v>10.897796503244415</v>
      </c>
      <c r="R121" s="23">
        <f ca="1">_xll.meLWOBondDV01($L121,$C$4,$M121%)</f>
        <v>1325.1720547945208</v>
      </c>
      <c r="S121" s="85">
        <f t="shared" ca="1" si="16"/>
        <v>0.22399999999999987</v>
      </c>
      <c r="T121" s="22" t="str">
        <f ca="1">_xll.BDP($B121,T$6, "YAS_BOND_SPL_YLD="&amp;S121,"YAS_YLD_CONV=2")</f>
        <v>#N/A Requesting Data...</v>
      </c>
      <c r="U121" s="23">
        <f t="shared" ca="1" si="17"/>
        <v>118.30228103927199</v>
      </c>
      <c r="V121" s="23">
        <f t="shared" ca="1" si="9"/>
        <v>118.30200000000001</v>
      </c>
      <c r="W121" s="24" t="e">
        <f t="shared" ca="1" si="10"/>
        <v>#VALUE!</v>
      </c>
      <c r="X121" s="23">
        <f ca="1">_xll.meLWOBondDV01($L121,$C$4,$S121%)</f>
        <v>1325.1720547945208</v>
      </c>
      <c r="Y121" s="22" t="e">
        <f ca="1">_xll.BDP($B121,Y$6, "YLD_YTM_ASK="&amp;$S121,"YAS_YLD_CONV=3")*$Y$3*0.0001</f>
        <v>#VALUE!</v>
      </c>
      <c r="Z121" s="24" t="e">
        <f t="shared" ca="1" si="11"/>
        <v>#VALUE!</v>
      </c>
      <c r="AA121" s="23">
        <f ca="1">_xll.meLWOBondModifiedDuration($L121,$C$4,$S121%)</f>
        <v>10.897796503244415</v>
      </c>
      <c r="AB121" s="22" t="str">
        <f ca="1">_xll.BDP($B121,AB$6, "YLD_YTM_ASK="&amp;$S121,"YAS_YLD_CONV=3")</f>
        <v>#N/A Requesting Data...</v>
      </c>
      <c r="AC121" s="24" t="e">
        <f t="shared" ca="1" si="12"/>
        <v>#VALUE!</v>
      </c>
      <c r="AD121" s="23">
        <f ca="1">_xll.meLWOBondDV01Numerical($L121,$C$4,$S121%, 0.5, "CENTRAL")</f>
        <v>1373.8593433951964</v>
      </c>
      <c r="AE121" s="63" t="str">
        <f ca="1">_xll.BDP($B121,AE$6, "YAS_BOND_PX="&amp;T121)</f>
        <v>#N/A Invalid Override</v>
      </c>
      <c r="AF121" s="64" t="e">
        <f ca="1">_xll.meLWOBondCompoundYield(L121,$C$4,T121)*100</f>
        <v>#VALUE!</v>
      </c>
      <c r="AG121" s="65" t="e">
        <f t="shared" ca="1" si="13"/>
        <v>#VALUE!</v>
      </c>
      <c r="AH121" s="35" t="e">
        <f t="shared" ca="1" si="14"/>
        <v>#VALUE!</v>
      </c>
      <c r="AI121" s="63" t="str">
        <f ca="1">_xll.BDP($B121,AI$6, "PX_ASK="&amp;T121)</f>
        <v>#N/A Invalid Override</v>
      </c>
      <c r="AJ121" s="35" t="e">
        <f t="shared" ca="1" si="15"/>
        <v>#VALUE!</v>
      </c>
    </row>
    <row r="122" spans="2:36">
      <c r="B122" s="15" t="s">
        <v>1006</v>
      </c>
      <c r="C122" s="15" t="s">
        <v>1007</v>
      </c>
      <c r="D122" s="15" t="s">
        <v>1007</v>
      </c>
      <c r="E122" s="16">
        <v>36850</v>
      </c>
      <c r="F122" s="19">
        <v>36850</v>
      </c>
      <c r="G122" s="18"/>
      <c r="H122" s="16">
        <v>37031</v>
      </c>
      <c r="I122" s="16">
        <v>47623</v>
      </c>
      <c r="J122" s="17">
        <v>2.8999999999999998E-2</v>
      </c>
      <c r="K122" s="16">
        <v>47807</v>
      </c>
      <c r="L122" s="20" t="str">
        <f ca="1">_xll.meLWOBondCreateFromGeneratorLVB(C122,$L$4,_xll.meUtilityLVBFromKeysValues($C$6:$K$6,C122:K122))</f>
        <v>JP1300041009:1</v>
      </c>
      <c r="M122" s="92">
        <f ca="1">_xll.BDP($B122,$M$5)</f>
        <v>0.21899999999999845</v>
      </c>
      <c r="N122" s="37">
        <f ca="1">_xll.meLWOBondCleanPrice($L122,$C$4,$M122%)</f>
        <v>131.57826254515143</v>
      </c>
      <c r="O122" s="37">
        <f ca="1">_xll.meLWOBondDirtyPrice($L122,$C$4,$M122%)</f>
        <v>136.25</v>
      </c>
      <c r="P122" s="87">
        <f ca="1">_xll.meLWOBondYield($L122,$C$4,N122)</f>
        <v>2.190000000000259E-3</v>
      </c>
      <c r="Q122" s="89">
        <f ca="1">_xll.meLWOBondModifiedDuration($L122,$C$4,$M122%)</f>
        <v>10.494080683674753</v>
      </c>
      <c r="R122" s="23">
        <f ca="1">_xll.meLWOBondDV01($L122,$C$4,$M122%)</f>
        <v>1429.8184931506851</v>
      </c>
      <c r="S122" s="85">
        <f t="shared" ca="1" si="16"/>
        <v>0.21899999999999845</v>
      </c>
      <c r="T122" s="22" t="str">
        <f ca="1">_xll.BDP($B122,T$6, "YAS_BOND_SPL_YLD="&amp;S122,"YAS_YLD_CONV=2")</f>
        <v>#N/A Requesting Data...</v>
      </c>
      <c r="U122" s="23">
        <f t="shared" ca="1" si="17"/>
        <v>131.57826254515143</v>
      </c>
      <c r="V122" s="23">
        <f t="shared" ca="1" si="9"/>
        <v>131.578</v>
      </c>
      <c r="W122" s="24" t="e">
        <f t="shared" ca="1" si="10"/>
        <v>#VALUE!</v>
      </c>
      <c r="X122" s="23">
        <f ca="1">_xll.meLWOBondDV01($L122,$C$4,$S122%)</f>
        <v>1429.8184931506851</v>
      </c>
      <c r="Y122" s="22" t="e">
        <f ca="1">_xll.BDP($B122,Y$6, "YLD_YTM_ASK="&amp;$S122,"YAS_YLD_CONV=3")*$Y$3*0.0001</f>
        <v>#VALUE!</v>
      </c>
      <c r="Z122" s="24" t="e">
        <f t="shared" ca="1" si="11"/>
        <v>#VALUE!</v>
      </c>
      <c r="AA122" s="23">
        <f ca="1">_xll.meLWOBondModifiedDuration($L122,$C$4,$S122%)</f>
        <v>10.494080683674753</v>
      </c>
      <c r="AB122" s="22" t="str">
        <f ca="1">_xll.BDP($B122,AB$6, "YLD_YTM_ASK="&amp;$S122,"YAS_YLD_CONV=3")</f>
        <v>#N/A Requesting Data...</v>
      </c>
      <c r="AC122" s="24" t="e">
        <f t="shared" ca="1" si="12"/>
        <v>#VALUE!</v>
      </c>
      <c r="AD122" s="23">
        <f ca="1">_xll.meLWOBondDV01Numerical($L122,$C$4,$S122%, 0.5, "CENTRAL")</f>
        <v>1549.8002092465413</v>
      </c>
      <c r="AE122" s="63" t="str">
        <f ca="1">_xll.BDP($B122,AE$6, "YAS_BOND_PX="&amp;T122)</f>
        <v>#N/A Invalid Override</v>
      </c>
      <c r="AF122" s="64" t="e">
        <f ca="1">_xll.meLWOBondCompoundYield(L122,$C$4,T122)*100</f>
        <v>#VALUE!</v>
      </c>
      <c r="AG122" s="65" t="e">
        <f t="shared" ca="1" si="13"/>
        <v>#VALUE!</v>
      </c>
      <c r="AH122" s="35" t="e">
        <f t="shared" ca="1" si="14"/>
        <v>#VALUE!</v>
      </c>
      <c r="AI122" s="63" t="str">
        <f ca="1">_xll.BDP($B122,AI$6, "PX_ASK="&amp;T122)</f>
        <v>#N/A Invalid Override</v>
      </c>
      <c r="AJ122" s="35" t="e">
        <f t="shared" ca="1" si="15"/>
        <v>#VALUE!</v>
      </c>
    </row>
    <row r="123" spans="2:36">
      <c r="B123" s="15" t="s">
        <v>1008</v>
      </c>
      <c r="C123" s="15" t="s">
        <v>1009</v>
      </c>
      <c r="D123" s="15" t="s">
        <v>1009</v>
      </c>
      <c r="E123" s="16">
        <v>40532</v>
      </c>
      <c r="F123" s="19">
        <v>40532</v>
      </c>
      <c r="G123" s="18"/>
      <c r="H123" s="16">
        <v>40714</v>
      </c>
      <c r="I123" s="16">
        <v>47654</v>
      </c>
      <c r="J123" s="17">
        <v>2.1000000000000001E-2</v>
      </c>
      <c r="K123" s="16">
        <v>47837</v>
      </c>
      <c r="L123" s="20" t="str">
        <f ca="1">_xll.meLWOBondCreateFromGeneratorLVB(C123,$L$4,_xll.meUtilityLVBFromKeysValues($C$6:$K$6,C123:K123))</f>
        <v>JP1201231AC0:1</v>
      </c>
      <c r="M123" s="92">
        <f ca="1">_xll.BDP($B123,$M$5)</f>
        <v>0.23399999999999951</v>
      </c>
      <c r="N123" s="37">
        <f ca="1">_xll.meLWOBondCleanPrice($L123,$C$4,$M123%)</f>
        <v>122.08500971585731</v>
      </c>
      <c r="O123" s="37">
        <f ca="1">_xll.meLWOBondDirtyPrice($L123,$C$4,$M123%)</f>
        <v>126.25</v>
      </c>
      <c r="P123" s="87">
        <f ca="1">_xll.meLWOBondYield($L123,$C$4,N123)</f>
        <v>2.3400000000002269E-3</v>
      </c>
      <c r="Q123" s="89">
        <f ca="1">_xll.meLWOBondModifiedDuration($L123,$C$4,$M123%)</f>
        <v>10.925077987250781</v>
      </c>
      <c r="R123" s="23">
        <f ca="1">_xll.meLWOBondDV01($L123,$C$4,$M123%)</f>
        <v>1379.291095890411</v>
      </c>
      <c r="S123" s="85">
        <f t="shared" ca="1" si="16"/>
        <v>0.23399999999999951</v>
      </c>
      <c r="T123" s="22" t="str">
        <f ca="1">_xll.BDP($B123,T$6, "YAS_BOND_SPL_YLD="&amp;S123,"YAS_YLD_CONV=2")</f>
        <v>#N/A Requesting Data...</v>
      </c>
      <c r="U123" s="23">
        <f t="shared" ca="1" si="17"/>
        <v>122.08500971585731</v>
      </c>
      <c r="V123" s="23">
        <f t="shared" ca="1" si="9"/>
        <v>122.08499999999999</v>
      </c>
      <c r="W123" s="24" t="e">
        <f t="shared" ca="1" si="10"/>
        <v>#VALUE!</v>
      </c>
      <c r="X123" s="23">
        <f ca="1">_xll.meLWOBondDV01($L123,$C$4,$S123%)</f>
        <v>1379.291095890411</v>
      </c>
      <c r="Y123" s="22" t="e">
        <f ca="1">_xll.BDP($B123,Y$6, "YLD_YTM_ASK="&amp;$S123,"YAS_YLD_CONV=3")*$Y$3*0.0001</f>
        <v>#VALUE!</v>
      </c>
      <c r="Z123" s="24" t="e">
        <f t="shared" ca="1" si="11"/>
        <v>#VALUE!</v>
      </c>
      <c r="AA123" s="23">
        <f ca="1">_xll.meLWOBondModifiedDuration($L123,$C$4,$S123%)</f>
        <v>10.925077987250781</v>
      </c>
      <c r="AB123" s="22" t="str">
        <f ca="1">_xll.BDP($B123,AB$6, "YLD_YTM_ASK="&amp;$S123,"YAS_YLD_CONV=3")</f>
        <v>#N/A Requesting Data...</v>
      </c>
      <c r="AC123" s="24" t="e">
        <f t="shared" ca="1" si="12"/>
        <v>#VALUE!</v>
      </c>
      <c r="AD123" s="23">
        <f ca="1">_xll.meLWOBondDV01Numerical($L123,$C$4,$S123%, 0.5, "CENTRAL")</f>
        <v>1444.9354608535716</v>
      </c>
      <c r="AE123" s="63" t="str">
        <f ca="1">_xll.BDP($B123,AE$6, "YAS_BOND_PX="&amp;T123)</f>
        <v>#N/A Invalid Override</v>
      </c>
      <c r="AF123" s="64" t="e">
        <f ca="1">_xll.meLWOBondCompoundYield(L123,$C$4,T123)*100</f>
        <v>#VALUE!</v>
      </c>
      <c r="AG123" s="65" t="e">
        <f t="shared" ca="1" si="13"/>
        <v>#VALUE!</v>
      </c>
      <c r="AH123" s="35" t="e">
        <f t="shared" ca="1" si="14"/>
        <v>#VALUE!</v>
      </c>
      <c r="AI123" s="63" t="str">
        <f ca="1">_xll.BDP($B123,AI$6, "PX_ASK="&amp;T123)</f>
        <v>#N/A Invalid Override</v>
      </c>
      <c r="AJ123" s="35" t="e">
        <f t="shared" ca="1" si="15"/>
        <v>#VALUE!</v>
      </c>
    </row>
    <row r="124" spans="2:36">
      <c r="B124" s="15" t="s">
        <v>1010</v>
      </c>
      <c r="C124" s="15" t="s">
        <v>1011</v>
      </c>
      <c r="D124" s="15" t="s">
        <v>1011</v>
      </c>
      <c r="E124" s="16">
        <v>40599</v>
      </c>
      <c r="F124" s="19">
        <v>40532</v>
      </c>
      <c r="G124" s="18"/>
      <c r="H124" s="16">
        <v>40714</v>
      </c>
      <c r="I124" s="16">
        <v>47654</v>
      </c>
      <c r="J124" s="17">
        <v>0.02</v>
      </c>
      <c r="K124" s="16">
        <v>47837</v>
      </c>
      <c r="L124" s="20" t="str">
        <f ca="1">_xll.meLWOBondCreateFromGeneratorLVB(C124,$L$4,_xll.meUtilityLVBFromKeysValues($C$6:$K$6,C124:K124))</f>
        <v>JP1201241B22:1</v>
      </c>
      <c r="M124" s="92">
        <f ca="1">_xll.BDP($B124,$M$5)</f>
        <v>0.2340000000000001</v>
      </c>
      <c r="N124" s="37">
        <f ca="1">_xll.meLWOBondCleanPrice($L124,$C$4,$M124%)</f>
        <v>120.90146149957343</v>
      </c>
      <c r="O124" s="37">
        <f ca="1">_xll.meLWOBondDirtyPrice($L124,$C$4,$M124%)</f>
        <v>125</v>
      </c>
      <c r="P124" s="87">
        <f ca="1">_xll.meLWOBondYield($L124,$C$4,N124)</f>
        <v>2.3400000000003045E-3</v>
      </c>
      <c r="Q124" s="89">
        <f ca="1">_xll.meLWOBondModifiedDuration($L124,$C$4,$M124%)</f>
        <v>10.972602739726028</v>
      </c>
      <c r="R124" s="23">
        <f ca="1">_xll.meLWOBondDV01($L124,$C$4,$M124%)</f>
        <v>1371.5753424657535</v>
      </c>
      <c r="S124" s="85">
        <f t="shared" ca="1" si="16"/>
        <v>0.2340000000000001</v>
      </c>
      <c r="T124" s="22" t="str">
        <f ca="1">_xll.BDP($B124,T$6, "YAS_BOND_SPL_YLD="&amp;S124,"YAS_YLD_CONV=2")</f>
        <v>#N/A Requesting Data...</v>
      </c>
      <c r="U124" s="23">
        <f t="shared" ca="1" si="17"/>
        <v>120.90146149957343</v>
      </c>
      <c r="V124" s="23">
        <f t="shared" ca="1" si="9"/>
        <v>120.901</v>
      </c>
      <c r="W124" s="24" t="e">
        <f t="shared" ca="1" si="10"/>
        <v>#VALUE!</v>
      </c>
      <c r="X124" s="23">
        <f ca="1">_xll.meLWOBondDV01($L124,$C$4,$S124%)</f>
        <v>1371.5753424657535</v>
      </c>
      <c r="Y124" s="22" t="e">
        <f ca="1">_xll.BDP($B124,Y$6, "YLD_YTM_ASK="&amp;$S124,"YAS_YLD_CONV=3")*$Y$3*0.0001</f>
        <v>#VALUE!</v>
      </c>
      <c r="Z124" s="24" t="e">
        <f t="shared" ca="1" si="11"/>
        <v>#VALUE!</v>
      </c>
      <c r="AA124" s="23">
        <f ca="1">_xll.meLWOBondModifiedDuration($L124,$C$4,$S124%)</f>
        <v>10.972602739726028</v>
      </c>
      <c r="AB124" s="22" t="str">
        <f ca="1">_xll.BDP($B124,AB$6, "YLD_YTM_ASK="&amp;$S124,"YAS_YLD_CONV=3")</f>
        <v>#N/A Requesting Data...</v>
      </c>
      <c r="AC124" s="24" t="e">
        <f t="shared" ca="1" si="12"/>
        <v>#VALUE!</v>
      </c>
      <c r="AD124" s="23">
        <f ca="1">_xll.meLWOBondDV01Numerical($L124,$C$4,$S124%, 0.5, "CENTRAL")</f>
        <v>1430.9275921452524</v>
      </c>
      <c r="AE124" s="63" t="str">
        <f ca="1">_xll.BDP($B124,AE$6, "YAS_BOND_PX="&amp;T124)</f>
        <v>#N/A Invalid Override</v>
      </c>
      <c r="AF124" s="64" t="e">
        <f ca="1">_xll.meLWOBondCompoundYield(L124,$C$4,T124)*100</f>
        <v>#VALUE!</v>
      </c>
      <c r="AG124" s="65" t="e">
        <f t="shared" ca="1" si="13"/>
        <v>#VALUE!</v>
      </c>
      <c r="AH124" s="35" t="e">
        <f t="shared" ca="1" si="14"/>
        <v>#VALUE!</v>
      </c>
      <c r="AI124" s="63" t="str">
        <f ca="1">_xll.BDP($B124,AI$6, "PX_ASK="&amp;T124)</f>
        <v>#N/A Invalid Override</v>
      </c>
      <c r="AJ124" s="35" t="e">
        <f t="shared" ca="1" si="15"/>
        <v>#VALUE!</v>
      </c>
    </row>
    <row r="125" spans="2:36">
      <c r="B125" s="15" t="s">
        <v>1012</v>
      </c>
      <c r="C125" s="15" t="s">
        <v>1013</v>
      </c>
      <c r="D125" s="15" t="s">
        <v>1013</v>
      </c>
      <c r="E125" s="16">
        <v>40624</v>
      </c>
      <c r="F125" s="19">
        <v>40622</v>
      </c>
      <c r="G125" s="18"/>
      <c r="H125" s="16">
        <v>40806</v>
      </c>
      <c r="I125" s="16">
        <v>47746</v>
      </c>
      <c r="J125" s="17">
        <v>2.2000000000000002E-2</v>
      </c>
      <c r="K125" s="16">
        <v>47927</v>
      </c>
      <c r="L125" s="20" t="str">
        <f ca="1">_xll.meLWOBondCreateFromGeneratorLVB(C125,$L$4,_xll.meUtilityLVBFromKeysValues($C$6:$K$6,C125:K125))</f>
        <v>JP1201251B37:1</v>
      </c>
      <c r="M125" s="92">
        <f ca="1">_xll.BDP($B125,$M$5)</f>
        <v>0.24400000000000094</v>
      </c>
      <c r="N125" s="37">
        <f ca="1">_xll.meLWOBondCleanPrice($L125,$C$4,$M125%)</f>
        <v>123.5774497147427</v>
      </c>
      <c r="O125" s="37">
        <f ca="1">_xll.meLWOBondDirtyPrice($L125,$C$4,$M125%)</f>
        <v>127.49999999999999</v>
      </c>
      <c r="P125" s="87">
        <f ca="1">_xll.meLWOBondYield($L125,$C$4,N125)</f>
        <v>2.4399999999998147E-3</v>
      </c>
      <c r="Q125" s="89">
        <f ca="1">_xll.meLWOBondModifiedDuration($L125,$C$4,$M125%)</f>
        <v>11.12506043513296</v>
      </c>
      <c r="R125" s="23">
        <f ca="1">_xll.meLWOBondDV01($L125,$C$4,$M125%)</f>
        <v>1418.4452054794522</v>
      </c>
      <c r="S125" s="85">
        <f t="shared" ca="1" si="16"/>
        <v>0.24400000000000094</v>
      </c>
      <c r="T125" s="22" t="str">
        <f ca="1">_xll.BDP($B125,T$6, "YAS_BOND_SPL_YLD="&amp;S125,"YAS_YLD_CONV=2")</f>
        <v>#N/A Requesting Data...</v>
      </c>
      <c r="U125" s="23">
        <f t="shared" ca="1" si="17"/>
        <v>123.5774497147427</v>
      </c>
      <c r="V125" s="23">
        <f t="shared" ca="1" si="9"/>
        <v>123.577</v>
      </c>
      <c r="W125" s="24" t="e">
        <f t="shared" ca="1" si="10"/>
        <v>#VALUE!</v>
      </c>
      <c r="X125" s="23">
        <f ca="1">_xll.meLWOBondDV01($L125,$C$4,$S125%)</f>
        <v>1418.4452054794522</v>
      </c>
      <c r="Y125" s="22" t="e">
        <f ca="1">_xll.BDP($B125,Y$6, "YLD_YTM_ASK="&amp;$S125,"YAS_YLD_CONV=3")*$Y$3*0.0001</f>
        <v>#VALUE!</v>
      </c>
      <c r="Z125" s="24" t="e">
        <f t="shared" ca="1" si="11"/>
        <v>#VALUE!</v>
      </c>
      <c r="AA125" s="23">
        <f ca="1">_xll.meLWOBondModifiedDuration($L125,$C$4,$S125%)</f>
        <v>11.12506043513296</v>
      </c>
      <c r="AB125" s="22" t="str">
        <f ca="1">_xll.BDP($B125,AB$6, "YLD_YTM_ASK="&amp;$S125,"YAS_YLD_CONV=3")</f>
        <v>#N/A Requesting Data...</v>
      </c>
      <c r="AC125" s="24" t="e">
        <f t="shared" ca="1" si="12"/>
        <v>#VALUE!</v>
      </c>
      <c r="AD125" s="23">
        <f ca="1">_xll.meLWOBondDV01Numerical($L125,$C$4,$S125%, 0.5, "CENTRAL")</f>
        <v>1489.5921088354671</v>
      </c>
      <c r="AE125" s="63" t="str">
        <f ca="1">_xll.BDP($B125,AE$6, "YAS_BOND_PX="&amp;T125)</f>
        <v>#N/A Invalid Override</v>
      </c>
      <c r="AF125" s="64" t="e">
        <f ca="1">_xll.meLWOBondCompoundYield(L125,$C$4,T125)*100</f>
        <v>#VALUE!</v>
      </c>
      <c r="AG125" s="65" t="e">
        <f t="shared" ca="1" si="13"/>
        <v>#VALUE!</v>
      </c>
      <c r="AH125" s="35" t="e">
        <f t="shared" ca="1" si="14"/>
        <v>#VALUE!</v>
      </c>
      <c r="AI125" s="63" t="str">
        <f ca="1">_xll.BDP($B125,AI$6, "PX_ASK="&amp;T125)</f>
        <v>#N/A Invalid Override</v>
      </c>
      <c r="AJ125" s="35" t="e">
        <f t="shared" ca="1" si="15"/>
        <v>#VALUE!</v>
      </c>
    </row>
    <row r="126" spans="2:36">
      <c r="B126" s="15" t="s">
        <v>1014</v>
      </c>
      <c r="C126" s="15" t="s">
        <v>1015</v>
      </c>
      <c r="D126" s="15" t="s">
        <v>1015</v>
      </c>
      <c r="E126" s="16">
        <v>40659</v>
      </c>
      <c r="F126" s="19">
        <v>40622</v>
      </c>
      <c r="G126" s="18"/>
      <c r="H126" s="16">
        <v>40806</v>
      </c>
      <c r="I126" s="16">
        <v>47746</v>
      </c>
      <c r="J126" s="17">
        <v>0.02</v>
      </c>
      <c r="K126" s="16">
        <v>47927</v>
      </c>
      <c r="L126" s="20" t="str">
        <f ca="1">_xll.meLWOBondCreateFromGeneratorLVB(C126,$L$4,_xll.meUtilityLVBFromKeysValues($C$6:$K$6,C126:K126))</f>
        <v>JP1201261B43:1</v>
      </c>
      <c r="M126" s="92">
        <f ca="1">_xll.BDP($B126,$M$5)</f>
        <v>0.24900000000000072</v>
      </c>
      <c r="N126" s="37">
        <f ca="1">_xll.meLWOBondCleanPrice($L126,$C$4,$M126%)</f>
        <v>121.09368491091523</v>
      </c>
      <c r="O126" s="37">
        <f ca="1">_xll.meLWOBondDirtyPrice($L126,$C$4,$M126%)</f>
        <v>125</v>
      </c>
      <c r="P126" s="87">
        <f ca="1">_xll.meLWOBondYield($L126,$C$4,N126)</f>
        <v>2.4900000000001679E-3</v>
      </c>
      <c r="Q126" s="89">
        <f ca="1">_xll.meLWOBondModifiedDuration($L126,$C$4,$M126%)</f>
        <v>11.219178082191782</v>
      </c>
      <c r="R126" s="23">
        <f ca="1">_xll.meLWOBondDV01($L126,$C$4,$M126%)</f>
        <v>1402.3972602739727</v>
      </c>
      <c r="S126" s="85">
        <f t="shared" ca="1" si="16"/>
        <v>0.24900000000000072</v>
      </c>
      <c r="T126" s="22" t="str">
        <f ca="1">_xll.BDP($B126,T$6, "YAS_BOND_SPL_YLD="&amp;S126,"YAS_YLD_CONV=2")</f>
        <v>#N/A Requesting Data...</v>
      </c>
      <c r="U126" s="23">
        <f t="shared" ca="1" si="17"/>
        <v>121.09368491091523</v>
      </c>
      <c r="V126" s="23">
        <f t="shared" ca="1" si="9"/>
        <v>121.093</v>
      </c>
      <c r="W126" s="24" t="e">
        <f t="shared" ca="1" si="10"/>
        <v>#VALUE!</v>
      </c>
      <c r="X126" s="23">
        <f ca="1">_xll.meLWOBondDV01($L126,$C$4,$S126%)</f>
        <v>1402.3972602739727</v>
      </c>
      <c r="Y126" s="22" t="e">
        <f ca="1">_xll.BDP($B126,Y$6, "YLD_YTM_ASK="&amp;$S126,"YAS_YLD_CONV=3")*$Y$3*0.0001</f>
        <v>#VALUE!</v>
      </c>
      <c r="Z126" s="24" t="e">
        <f t="shared" ca="1" si="11"/>
        <v>#VALUE!</v>
      </c>
      <c r="AA126" s="23">
        <f ca="1">_xll.meLWOBondModifiedDuration($L126,$C$4,$S126%)</f>
        <v>11.219178082191782</v>
      </c>
      <c r="AB126" s="22" t="str">
        <f ca="1">_xll.BDP($B126,AB$6, "YLD_YTM_ASK="&amp;$S126,"YAS_YLD_CONV=3")</f>
        <v>#N/A Requesting Data...</v>
      </c>
      <c r="AC126" s="24" t="e">
        <f t="shared" ca="1" si="12"/>
        <v>#VALUE!</v>
      </c>
      <c r="AD126" s="23">
        <f ca="1">_xll.meLWOBondDV01Numerical($L126,$C$4,$S126%, 0.5, "CENTRAL")</f>
        <v>1458.7738212043178</v>
      </c>
      <c r="AE126" s="63" t="str">
        <f ca="1">_xll.BDP($B126,AE$6, "YAS_BOND_PX="&amp;T126)</f>
        <v>#N/A Invalid Override</v>
      </c>
      <c r="AF126" s="64" t="e">
        <f ca="1">_xll.meLWOBondCompoundYield(L126,$C$4,T126)*100</f>
        <v>#VALUE!</v>
      </c>
      <c r="AG126" s="65" t="e">
        <f t="shared" ca="1" si="13"/>
        <v>#VALUE!</v>
      </c>
      <c r="AH126" s="35" t="e">
        <f t="shared" ca="1" si="14"/>
        <v>#VALUE!</v>
      </c>
      <c r="AI126" s="63" t="str">
        <f ca="1">_xll.BDP($B126,AI$6, "PX_ASK="&amp;T126)</f>
        <v>#N/A Invalid Override</v>
      </c>
      <c r="AJ126" s="35" t="e">
        <f t="shared" ca="1" si="15"/>
        <v>#VALUE!</v>
      </c>
    </row>
    <row r="127" spans="2:36">
      <c r="B127" s="15" t="s">
        <v>1016</v>
      </c>
      <c r="C127" s="15" t="s">
        <v>1017</v>
      </c>
      <c r="D127" s="15" t="s">
        <v>1017</v>
      </c>
      <c r="E127" s="16">
        <v>40694</v>
      </c>
      <c r="F127" s="19">
        <v>40622</v>
      </c>
      <c r="G127" s="18"/>
      <c r="H127" s="16">
        <v>40806</v>
      </c>
      <c r="I127" s="16">
        <v>47746</v>
      </c>
      <c r="J127" s="17">
        <v>1.9E-2</v>
      </c>
      <c r="K127" s="16">
        <v>47927</v>
      </c>
      <c r="L127" s="20" t="str">
        <f ca="1">_xll.meLWOBondCreateFromGeneratorLVB(C127,$L$4,_xll.meUtilityLVBFromKeysValues($C$6:$K$6,C127:K127))</f>
        <v>JP1201271B58:1</v>
      </c>
      <c r="M127" s="92">
        <f ca="1">_xll.BDP($B127,$M$5)</f>
        <v>0.24899999999999997</v>
      </c>
      <c r="N127" s="37">
        <f ca="1">_xll.meLWOBondCleanPrice($L127,$C$4,$M127%)</f>
        <v>119.8890198674592</v>
      </c>
      <c r="O127" s="37">
        <f ca="1">_xll.meLWOBondDirtyPrice($L127,$C$4,$M127%)</f>
        <v>123.75</v>
      </c>
      <c r="P127" s="87">
        <f ca="1">_xll.meLWOBondYield($L127,$C$4,N127)</f>
        <v>2.4900000000001431E-3</v>
      </c>
      <c r="Q127" s="89">
        <f ca="1">_xll.meLWOBondModifiedDuration($L127,$C$4,$M127%)</f>
        <v>11.267662930676629</v>
      </c>
      <c r="R127" s="23">
        <f ca="1">_xll.meLWOBondDV01($L127,$C$4,$M127%)</f>
        <v>1394.3732876712329</v>
      </c>
      <c r="S127" s="85">
        <f t="shared" ca="1" si="16"/>
        <v>0.24899999999999997</v>
      </c>
      <c r="T127" s="22" t="str">
        <f ca="1">_xll.BDP($B127,T$6, "YAS_BOND_SPL_YLD="&amp;S127,"YAS_YLD_CONV=2")</f>
        <v>#N/A Requesting Data...</v>
      </c>
      <c r="U127" s="23">
        <f t="shared" ca="1" si="17"/>
        <v>119.8890198674592</v>
      </c>
      <c r="V127" s="23">
        <f t="shared" ca="1" si="9"/>
        <v>119.889</v>
      </c>
      <c r="W127" s="24" t="e">
        <f t="shared" ca="1" si="10"/>
        <v>#VALUE!</v>
      </c>
      <c r="X127" s="23">
        <f ca="1">_xll.meLWOBondDV01($L127,$C$4,$S127%)</f>
        <v>1394.3732876712329</v>
      </c>
      <c r="Y127" s="22" t="e">
        <f ca="1">_xll.BDP($B127,Y$6, "YLD_YTM_ASK="&amp;$S127,"YAS_YLD_CONV=3")*$Y$3*0.0001</f>
        <v>#VALUE!</v>
      </c>
      <c r="Z127" s="24" t="e">
        <f t="shared" ca="1" si="11"/>
        <v>#VALUE!</v>
      </c>
      <c r="AA127" s="23">
        <f ca="1">_xll.meLWOBondModifiedDuration($L127,$C$4,$S127%)</f>
        <v>11.267662930676629</v>
      </c>
      <c r="AB127" s="22" t="str">
        <f ca="1">_xll.BDP($B127,AB$6, "YLD_YTM_ASK="&amp;$S127,"YAS_YLD_CONV=3")</f>
        <v>#N/A Requesting Data...</v>
      </c>
      <c r="AC127" s="24" t="e">
        <f t="shared" ca="1" si="12"/>
        <v>#VALUE!</v>
      </c>
      <c r="AD127" s="23">
        <f ca="1">_xll.meLWOBondDV01Numerical($L127,$C$4,$S127%, 0.5, "CENTRAL")</f>
        <v>1444.2616372699035</v>
      </c>
      <c r="AE127" s="63" t="str">
        <f ca="1">_xll.BDP($B127,AE$6, "YAS_BOND_PX="&amp;T127)</f>
        <v>#N/A Invalid Override</v>
      </c>
      <c r="AF127" s="64" t="e">
        <f ca="1">_xll.meLWOBondCompoundYield(L127,$C$4,T127)*100</f>
        <v>#VALUE!</v>
      </c>
      <c r="AG127" s="65" t="e">
        <f t="shared" ca="1" si="13"/>
        <v>#VALUE!</v>
      </c>
      <c r="AH127" s="35" t="e">
        <f t="shared" ca="1" si="14"/>
        <v>#VALUE!</v>
      </c>
      <c r="AI127" s="63" t="str">
        <f ca="1">_xll.BDP($B127,AI$6, "PX_ASK="&amp;T127)</f>
        <v>#N/A Invalid Override</v>
      </c>
      <c r="AJ127" s="35" t="e">
        <f t="shared" ca="1" si="15"/>
        <v>#VALUE!</v>
      </c>
    </row>
    <row r="128" spans="2:36">
      <c r="B128" s="15" t="s">
        <v>1018</v>
      </c>
      <c r="C128" s="15" t="s">
        <v>1019</v>
      </c>
      <c r="D128" s="15" t="s">
        <v>1019</v>
      </c>
      <c r="E128" s="16">
        <v>37036</v>
      </c>
      <c r="F128" s="19">
        <v>37031</v>
      </c>
      <c r="G128" s="18"/>
      <c r="H128" s="16">
        <v>37215</v>
      </c>
      <c r="I128" s="16">
        <v>47807</v>
      </c>
      <c r="J128" s="17">
        <v>2.2000000000000002E-2</v>
      </c>
      <c r="K128" s="16">
        <v>47988</v>
      </c>
      <c r="L128" s="20" t="str">
        <f ca="1">_xll.meLWOBondCreateFromGeneratorLVB(C128,$L$4,_xll.meUtilityLVBFromKeysValues($C$6:$K$6,C128:K128))</f>
        <v>JP1300051156:1</v>
      </c>
      <c r="M128" s="92">
        <f ca="1">_xll.BDP($B128,$M$5)</f>
        <v>0.24900000000000022</v>
      </c>
      <c r="N128" s="37">
        <f ca="1">_xll.meLWOBondCleanPrice($L128,$C$4,$M128%)</f>
        <v>123.80968117389305</v>
      </c>
      <c r="O128" s="37">
        <f ca="1">_xll.meLWOBondDirtyPrice($L128,$C$4,$M128%)</f>
        <v>128.6</v>
      </c>
      <c r="P128" s="87">
        <f ca="1">_xll.meLWOBondYield($L128,$C$4,N128)</f>
        <v>2.4900000000000395E-3</v>
      </c>
      <c r="Q128" s="89">
        <f ca="1">_xll.meLWOBondModifiedDuration($L128,$C$4,$M128%)</f>
        <v>11.200442063103177</v>
      </c>
      <c r="R128" s="23">
        <f ca="1">_xll.meLWOBondDV01($L128,$C$4,$M128%)</f>
        <v>1440.3768493150685</v>
      </c>
      <c r="S128" s="85">
        <f t="shared" ca="1" si="16"/>
        <v>0.24900000000000022</v>
      </c>
      <c r="T128" s="22" t="str">
        <f ca="1">_xll.BDP($B128,T$6, "YAS_BOND_SPL_YLD="&amp;S128,"YAS_YLD_CONV=2")</f>
        <v>#N/A Requesting Data...</v>
      </c>
      <c r="U128" s="23">
        <f t="shared" ca="1" si="17"/>
        <v>123.80968117389305</v>
      </c>
      <c r="V128" s="23">
        <f t="shared" ca="1" si="9"/>
        <v>123.809</v>
      </c>
      <c r="W128" s="24" t="e">
        <f t="shared" ca="1" si="10"/>
        <v>#VALUE!</v>
      </c>
      <c r="X128" s="23">
        <f ca="1">_xll.meLWOBondDV01($L128,$C$4,$S128%)</f>
        <v>1440.3768493150685</v>
      </c>
      <c r="Y128" s="22" t="e">
        <f ca="1">_xll.BDP($B128,Y$6, "YLD_YTM_ASK="&amp;$S128,"YAS_YLD_CONV=3")*$Y$3*0.0001</f>
        <v>#VALUE!</v>
      </c>
      <c r="Z128" s="24" t="e">
        <f t="shared" ca="1" si="11"/>
        <v>#VALUE!</v>
      </c>
      <c r="AA128" s="23">
        <f ca="1">_xll.meLWOBondModifiedDuration($L128,$C$4,$S128%)</f>
        <v>11.200442063103177</v>
      </c>
      <c r="AB128" s="22" t="str">
        <f ca="1">_xll.BDP($B128,AB$6, "YLD_YTM_ASK="&amp;$S128,"YAS_YLD_CONV=3")</f>
        <v>#N/A Requesting Data...</v>
      </c>
      <c r="AC128" s="24" t="e">
        <f t="shared" ca="1" si="12"/>
        <v>#VALUE!</v>
      </c>
      <c r="AD128" s="23">
        <f ca="1">_xll.meLWOBondDV01Numerical($L128,$C$4,$S128%, 0.5, "CENTRAL")</f>
        <v>1510.9534252096068</v>
      </c>
      <c r="AE128" s="63" t="str">
        <f ca="1">_xll.BDP($B128,AE$6, "YAS_BOND_PX="&amp;T128)</f>
        <v>#N/A Invalid Override</v>
      </c>
      <c r="AF128" s="64" t="e">
        <f ca="1">_xll.meLWOBondCompoundYield(L128,$C$4,T128)*100</f>
        <v>#VALUE!</v>
      </c>
      <c r="AG128" s="65" t="e">
        <f t="shared" ca="1" si="13"/>
        <v>#VALUE!</v>
      </c>
      <c r="AH128" s="35" t="e">
        <f t="shared" ca="1" si="14"/>
        <v>#VALUE!</v>
      </c>
      <c r="AI128" s="63" t="str">
        <f ca="1">_xll.BDP($B128,AI$6, "PX_ASK="&amp;T128)</f>
        <v>#N/A Invalid Override</v>
      </c>
      <c r="AJ128" s="35" t="e">
        <f t="shared" ca="1" si="15"/>
        <v>#VALUE!</v>
      </c>
    </row>
    <row r="129" spans="2:36">
      <c r="B129" s="15" t="s">
        <v>1020</v>
      </c>
      <c r="C129" s="15" t="s">
        <v>1021</v>
      </c>
      <c r="D129" s="15" t="s">
        <v>1021</v>
      </c>
      <c r="E129" s="16">
        <v>40714</v>
      </c>
      <c r="F129" s="19">
        <v>40714</v>
      </c>
      <c r="G129" s="18"/>
      <c r="H129" s="16">
        <v>40897</v>
      </c>
      <c r="I129" s="16">
        <v>47837</v>
      </c>
      <c r="J129" s="17">
        <v>1.9E-2</v>
      </c>
      <c r="K129" s="16">
        <v>48019</v>
      </c>
      <c r="L129" s="20" t="str">
        <f ca="1">_xll.meLWOBondCreateFromGeneratorLVB(C129,$L$4,_xll.meUtilityLVBFromKeysValues($C$6:$K$6,C129:K129))</f>
        <v>JP1201281B64:1</v>
      </c>
      <c r="M129" s="92">
        <f ca="1">_xll.BDP($B129,$M$5)</f>
        <v>0.25899999999999923</v>
      </c>
      <c r="N129" s="37">
        <f ca="1">_xll.meLWOBondCleanPrice($L129,$C$4,$M129%)</f>
        <v>120.13276610419024</v>
      </c>
      <c r="O129" s="37">
        <f ca="1">_xll.meLWOBondDirtyPrice($L129,$C$4,$M129%)</f>
        <v>124.70000000000002</v>
      </c>
      <c r="P129" s="87">
        <f ca="1">_xll.meLWOBondYield($L129,$C$4,N129)</f>
        <v>2.5900000000001534E-3</v>
      </c>
      <c r="Q129" s="89">
        <f ca="1">_xll.meLWOBondModifiedDuration($L129,$C$4,$M129%)</f>
        <v>11.434631609012312</v>
      </c>
      <c r="R129" s="23">
        <f ca="1">_xll.meLWOBondDV01($L129,$C$4,$M129%)</f>
        <v>1425.8985616438356</v>
      </c>
      <c r="S129" s="85">
        <f t="shared" ca="1" si="16"/>
        <v>0.25899999999999923</v>
      </c>
      <c r="T129" s="22" t="str">
        <f ca="1">_xll.BDP($B129,T$6, "YAS_BOND_SPL_YLD="&amp;S129,"YAS_YLD_CONV=2")</f>
        <v>#N/A Requesting Data...</v>
      </c>
      <c r="U129" s="23">
        <f t="shared" ca="1" si="17"/>
        <v>120.13276610419024</v>
      </c>
      <c r="V129" s="23">
        <f t="shared" ca="1" si="9"/>
        <v>120.13200000000001</v>
      </c>
      <c r="W129" s="24" t="e">
        <f t="shared" ca="1" si="10"/>
        <v>#VALUE!</v>
      </c>
      <c r="X129" s="23">
        <f ca="1">_xll.meLWOBondDV01($L129,$C$4,$S129%)</f>
        <v>1425.8985616438356</v>
      </c>
      <c r="Y129" s="22" t="e">
        <f ca="1">_xll.BDP($B129,Y$6, "YLD_YTM_ASK="&amp;$S129,"YAS_YLD_CONV=3")*$Y$3*0.0001</f>
        <v>#VALUE!</v>
      </c>
      <c r="Z129" s="24" t="e">
        <f t="shared" ca="1" si="11"/>
        <v>#VALUE!</v>
      </c>
      <c r="AA129" s="23">
        <f ca="1">_xll.meLWOBondModifiedDuration($L129,$C$4,$S129%)</f>
        <v>11.434631609012312</v>
      </c>
      <c r="AB129" s="22" t="str">
        <f ca="1">_xll.BDP($B129,AB$6, "YLD_YTM_ASK="&amp;$S129,"YAS_YLD_CONV=3")</f>
        <v>#N/A Requesting Data...</v>
      </c>
      <c r="AC129" s="24" t="e">
        <f t="shared" ca="1" si="12"/>
        <v>#VALUE!</v>
      </c>
      <c r="AD129" s="23">
        <f ca="1">_xll.meLWOBondDV01Numerical($L129,$C$4,$S129%, 0.5, "CENTRAL")</f>
        <v>1473.8609332950148</v>
      </c>
      <c r="AE129" s="63" t="str">
        <f ca="1">_xll.BDP($B129,AE$6, "YAS_BOND_PX="&amp;T129)</f>
        <v>#N/A Invalid Override</v>
      </c>
      <c r="AF129" s="64" t="e">
        <f ca="1">_xll.meLWOBondCompoundYield(L129,$C$4,T129)*100</f>
        <v>#VALUE!</v>
      </c>
      <c r="AG129" s="65" t="e">
        <f t="shared" ca="1" si="13"/>
        <v>#VALUE!</v>
      </c>
      <c r="AH129" s="35" t="e">
        <f t="shared" ca="1" si="14"/>
        <v>#VALUE!</v>
      </c>
      <c r="AI129" s="63" t="str">
        <f ca="1">_xll.BDP($B129,AI$6, "PX_ASK="&amp;T129)</f>
        <v>#N/A Invalid Override</v>
      </c>
      <c r="AJ129" s="35" t="e">
        <f t="shared" ca="1" si="15"/>
        <v>#VALUE!</v>
      </c>
    </row>
    <row r="130" spans="2:36">
      <c r="B130" s="15" t="s">
        <v>1022</v>
      </c>
      <c r="C130" s="15" t="s">
        <v>1023</v>
      </c>
      <c r="D130" s="15" t="s">
        <v>1023</v>
      </c>
      <c r="E130" s="16">
        <v>40785</v>
      </c>
      <c r="F130" s="19">
        <v>40714</v>
      </c>
      <c r="G130" s="18"/>
      <c r="H130" s="16">
        <v>40897</v>
      </c>
      <c r="I130" s="16">
        <v>47837</v>
      </c>
      <c r="J130" s="17">
        <v>1.8000000000000002E-2</v>
      </c>
      <c r="K130" s="16">
        <v>48019</v>
      </c>
      <c r="L130" s="20" t="str">
        <f ca="1">_xll.meLWOBondCreateFromGeneratorLVB(C130,$L$4,_xll.meUtilityLVBFromKeysValues($C$6:$K$6,C130:K130))</f>
        <v>JP1201291B88:1</v>
      </c>
      <c r="M130" s="92">
        <f ca="1">_xll.BDP($B130,$M$5)</f>
        <v>0.25899999999999845</v>
      </c>
      <c r="N130" s="37">
        <f ca="1">_xll.meLWOBondCleanPrice($L130,$C$4,$M130%)</f>
        <v>118.90590650003485</v>
      </c>
      <c r="O130" s="37">
        <f ca="1">_xll.meLWOBondDirtyPrice($L130,$C$4,$M130%)</f>
        <v>123.4</v>
      </c>
      <c r="P130" s="87">
        <f ca="1">_xll.meLWOBondYield($L130,$C$4,N130)</f>
        <v>2.5899999999998724E-3</v>
      </c>
      <c r="Q130" s="89">
        <f ca="1">_xll.meLWOBondModifiedDuration($L130,$C$4,$M130%)</f>
        <v>11.487432561444018</v>
      </c>
      <c r="R130" s="23">
        <f ca="1">_xll.meLWOBondDV01($L130,$C$4,$M130%)</f>
        <v>1417.5491780821919</v>
      </c>
      <c r="S130" s="85">
        <f t="shared" ca="1" si="16"/>
        <v>0.25899999999999845</v>
      </c>
      <c r="T130" s="22" t="str">
        <f ca="1">_xll.BDP($B130,T$6, "YAS_BOND_SPL_YLD="&amp;S130,"YAS_YLD_CONV=2")</f>
        <v>#N/A Requesting Data...</v>
      </c>
      <c r="U130" s="23">
        <f t="shared" ca="1" si="17"/>
        <v>118.90590650003485</v>
      </c>
      <c r="V130" s="23">
        <f t="shared" ca="1" si="9"/>
        <v>118.905</v>
      </c>
      <c r="W130" s="24" t="e">
        <f t="shared" ca="1" si="10"/>
        <v>#VALUE!</v>
      </c>
      <c r="X130" s="23">
        <f ca="1">_xll.meLWOBondDV01($L130,$C$4,$S130%)</f>
        <v>1417.5491780821919</v>
      </c>
      <c r="Y130" s="22" t="e">
        <f ca="1">_xll.BDP($B130,Y$6, "YLD_YTM_ASK="&amp;$S130,"YAS_YLD_CONV=3")*$Y$3*0.0001</f>
        <v>#VALUE!</v>
      </c>
      <c r="Z130" s="24" t="e">
        <f t="shared" ca="1" si="11"/>
        <v>#VALUE!</v>
      </c>
      <c r="AA130" s="23">
        <f ca="1">_xll.meLWOBondModifiedDuration($L130,$C$4,$S130%)</f>
        <v>11.487432561444018</v>
      </c>
      <c r="AB130" s="22" t="str">
        <f ca="1">_xll.BDP($B130,AB$6, "YLD_YTM_ASK="&amp;$S130,"YAS_YLD_CONV=3")</f>
        <v>#N/A Requesting Data...</v>
      </c>
      <c r="AC130" s="24" t="e">
        <f t="shared" ca="1" si="12"/>
        <v>#VALUE!</v>
      </c>
      <c r="AD130" s="23">
        <f ca="1">_xll.meLWOBondDV01Numerical($L130,$C$4,$S130%, 0.5, "CENTRAL")</f>
        <v>1458.8090827480471</v>
      </c>
      <c r="AE130" s="63" t="str">
        <f ca="1">_xll.BDP($B130,AE$6, "YAS_BOND_PX="&amp;T130)</f>
        <v>#N/A Invalid Override</v>
      </c>
      <c r="AF130" s="64" t="e">
        <f ca="1">_xll.meLWOBondCompoundYield(L130,$C$4,T130)*100</f>
        <v>#VALUE!</v>
      </c>
      <c r="AG130" s="65" t="e">
        <f t="shared" ca="1" si="13"/>
        <v>#VALUE!</v>
      </c>
      <c r="AH130" s="35" t="e">
        <f t="shared" ca="1" si="14"/>
        <v>#VALUE!</v>
      </c>
      <c r="AI130" s="63" t="str">
        <f ca="1">_xll.BDP($B130,AI$6, "PX_ASK="&amp;T130)</f>
        <v>#N/A Invalid Override</v>
      </c>
      <c r="AJ130" s="35" t="e">
        <f t="shared" ca="1" si="15"/>
        <v>#VALUE!</v>
      </c>
    </row>
    <row r="131" spans="2:36">
      <c r="B131" s="15" t="s">
        <v>1024</v>
      </c>
      <c r="C131" s="15" t="s">
        <v>1025</v>
      </c>
      <c r="D131" s="15" t="s">
        <v>1025</v>
      </c>
      <c r="E131" s="16">
        <v>40806</v>
      </c>
      <c r="F131" s="19">
        <v>40806</v>
      </c>
      <c r="G131" s="18"/>
      <c r="H131" s="16">
        <v>40988</v>
      </c>
      <c r="I131" s="16">
        <v>47927</v>
      </c>
      <c r="J131" s="17">
        <v>1.8000000000000002E-2</v>
      </c>
      <c r="K131" s="16">
        <v>48111</v>
      </c>
      <c r="L131" s="20" t="str">
        <f ca="1">_xll.meLWOBondCreateFromGeneratorLVB(C131,$L$4,_xll.meUtilityLVBFromKeysValues($C$6:$K$6,C131:K131))</f>
        <v>JP1201301B94:1</v>
      </c>
      <c r="M131" s="92">
        <f ca="1">_xll.BDP($B131,$M$5)</f>
        <v>0.27500000000000013</v>
      </c>
      <c r="N131" s="37">
        <f ca="1">_xll.meLWOBondCleanPrice($L131,$C$4,$M131%)</f>
        <v>119.03164720643804</v>
      </c>
      <c r="O131" s="37">
        <f ca="1">_xll.meLWOBondDirtyPrice($L131,$C$4,$M131%)</f>
        <v>123.4</v>
      </c>
      <c r="P131" s="87">
        <f ca="1">_xll.meLWOBondYield($L131,$C$4,N131)</f>
        <v>2.7500000000000337E-3</v>
      </c>
      <c r="Q131" s="89">
        <f ca="1">_xll.meLWOBondModifiedDuration($L131,$C$4,$M131%)</f>
        <v>11.73400790390977</v>
      </c>
      <c r="R131" s="23">
        <f ca="1">_xll.meLWOBondDV01($L131,$C$4,$M131%)</f>
        <v>1447.9765753424658</v>
      </c>
      <c r="S131" s="85">
        <f t="shared" ca="1" si="16"/>
        <v>0.27500000000000013</v>
      </c>
      <c r="T131" s="22" t="str">
        <f ca="1">_xll.BDP($B131,T$6, "YAS_BOND_SPL_YLD="&amp;S131,"YAS_YLD_CONV=2")</f>
        <v>#N/A Requesting Data...</v>
      </c>
      <c r="U131" s="23">
        <f t="shared" ca="1" si="17"/>
        <v>119.03164720643804</v>
      </c>
      <c r="V131" s="23">
        <f t="shared" ca="1" si="9"/>
        <v>119.03100000000001</v>
      </c>
      <c r="W131" s="24" t="e">
        <f t="shared" ca="1" si="10"/>
        <v>#VALUE!</v>
      </c>
      <c r="X131" s="23">
        <f ca="1">_xll.meLWOBondDV01($L131,$C$4,$S131%)</f>
        <v>1447.9765753424658</v>
      </c>
      <c r="Y131" s="22" t="e">
        <f ca="1">_xll.BDP($B131,Y$6, "YLD_YTM_ASK="&amp;$S131,"YAS_YLD_CONV=3")*$Y$3*0.0001</f>
        <v>#VALUE!</v>
      </c>
      <c r="Z131" s="24" t="e">
        <f t="shared" ca="1" si="11"/>
        <v>#VALUE!</v>
      </c>
      <c r="AA131" s="23">
        <f ca="1">_xll.meLWOBondModifiedDuration($L131,$C$4,$S131%)</f>
        <v>11.73400790390977</v>
      </c>
      <c r="AB131" s="22" t="str">
        <f ca="1">_xll.BDP($B131,AB$6, "YLD_YTM_ASK="&amp;$S131,"YAS_YLD_CONV=3")</f>
        <v>#N/A Requesting Data...</v>
      </c>
      <c r="AC131" s="24" t="e">
        <f t="shared" ca="1" si="12"/>
        <v>#VALUE!</v>
      </c>
      <c r="AD131" s="23">
        <f ca="1">_xll.meLWOBondDV01Numerical($L131,$C$4,$S131%, 0.5, "CENTRAL")</f>
        <v>1485.4879987422012</v>
      </c>
      <c r="AE131" s="63" t="str">
        <f ca="1">_xll.BDP($B131,AE$6, "YAS_BOND_PX="&amp;T131)</f>
        <v>#N/A Invalid Override</v>
      </c>
      <c r="AF131" s="64" t="e">
        <f ca="1">_xll.meLWOBondCompoundYield(L131,$C$4,T131)*100</f>
        <v>#VALUE!</v>
      </c>
      <c r="AG131" s="65" t="e">
        <f t="shared" ca="1" si="13"/>
        <v>#VALUE!</v>
      </c>
      <c r="AH131" s="35" t="e">
        <f t="shared" ca="1" si="14"/>
        <v>#VALUE!</v>
      </c>
      <c r="AI131" s="63" t="str">
        <f ca="1">_xll.BDP($B131,AI$6, "PX_ASK="&amp;T131)</f>
        <v>#N/A Invalid Override</v>
      </c>
      <c r="AJ131" s="35" t="e">
        <f t="shared" ca="1" si="15"/>
        <v>#VALUE!</v>
      </c>
    </row>
    <row r="132" spans="2:36">
      <c r="B132" s="15" t="s">
        <v>1026</v>
      </c>
      <c r="C132" s="15" t="s">
        <v>1027</v>
      </c>
      <c r="D132" s="15" t="s">
        <v>1027</v>
      </c>
      <c r="E132" s="16">
        <v>40875</v>
      </c>
      <c r="F132" s="19">
        <v>40806</v>
      </c>
      <c r="G132" s="18"/>
      <c r="H132" s="16">
        <v>40988</v>
      </c>
      <c r="I132" s="16">
        <v>47927</v>
      </c>
      <c r="J132" s="17">
        <v>1.7000000000000001E-2</v>
      </c>
      <c r="K132" s="16">
        <v>48111</v>
      </c>
      <c r="L132" s="20" t="str">
        <f ca="1">_xll.meLWOBondCreateFromGeneratorLVB(C132,$L$4,_xll.meUtilityLVBFromKeysValues($C$6:$K$6,C132:K132))</f>
        <v>JP1201311BB0:1</v>
      </c>
      <c r="M132" s="92">
        <f ca="1">_xll.BDP($B132,$M$5)</f>
        <v>0.27399999999999974</v>
      </c>
      <c r="N132" s="37">
        <f ca="1">_xll.meLWOBondCleanPrice($L132,$C$4,$M132%)</f>
        <v>117.79837130466615</v>
      </c>
      <c r="O132" s="37">
        <f ca="1">_xll.meLWOBondDirtyPrice($L132,$C$4,$M132%)</f>
        <v>122.10000000000001</v>
      </c>
      <c r="P132" s="87">
        <f ca="1">_xll.meLWOBondYield($L132,$C$4,N132)</f>
        <v>2.7400000000000874E-3</v>
      </c>
      <c r="Q132" s="89">
        <f ca="1">_xll.meLWOBondModifiedDuration($L132,$C$4,$M132%)</f>
        <v>11.787933200946897</v>
      </c>
      <c r="R132" s="23">
        <f ca="1">_xll.meLWOBondDV01($L132,$C$4,$M132%)</f>
        <v>1439.3066438356163</v>
      </c>
      <c r="S132" s="85">
        <f t="shared" ca="1" si="16"/>
        <v>0.27399999999999974</v>
      </c>
      <c r="T132" s="22" t="str">
        <f ca="1">_xll.BDP($B132,T$6, "YAS_BOND_SPL_YLD="&amp;S132,"YAS_YLD_CONV=2")</f>
        <v>#N/A Requesting Data...</v>
      </c>
      <c r="U132" s="23">
        <f t="shared" ca="1" si="17"/>
        <v>117.79837130466615</v>
      </c>
      <c r="V132" s="23">
        <f t="shared" ca="1" si="9"/>
        <v>117.798</v>
      </c>
      <c r="W132" s="24" t="e">
        <f t="shared" ca="1" si="10"/>
        <v>#VALUE!</v>
      </c>
      <c r="X132" s="23">
        <f ca="1">_xll.meLWOBondDV01($L132,$C$4,$S132%)</f>
        <v>1439.3066438356163</v>
      </c>
      <c r="Y132" s="22" t="e">
        <f ca="1">_xll.BDP($B132,Y$6, "YLD_YTM_ASK="&amp;$S132,"YAS_YLD_CONV=3")*$Y$3*0.0001</f>
        <v>#VALUE!</v>
      </c>
      <c r="Z132" s="24" t="e">
        <f t="shared" ca="1" si="11"/>
        <v>#VALUE!</v>
      </c>
      <c r="AA132" s="23">
        <f ca="1">_xll.meLWOBondModifiedDuration($L132,$C$4,$S132%)</f>
        <v>11.787933200946897</v>
      </c>
      <c r="AB132" s="22" t="str">
        <f ca="1">_xll.BDP($B132,AB$6, "YLD_YTM_ASK="&amp;$S132,"YAS_YLD_CONV=3")</f>
        <v>#N/A Requesting Data...</v>
      </c>
      <c r="AC132" s="24" t="e">
        <f t="shared" ca="1" si="12"/>
        <v>#VALUE!</v>
      </c>
      <c r="AD132" s="23">
        <f ca="1">_xll.meLWOBondDV01Numerical($L132,$C$4,$S132%, 0.5, "CENTRAL")</f>
        <v>1470.2804825471105</v>
      </c>
      <c r="AE132" s="63" t="str">
        <f ca="1">_xll.BDP($B132,AE$6, "YAS_BOND_PX="&amp;T132)</f>
        <v>#N/A Invalid Override</v>
      </c>
      <c r="AF132" s="64" t="e">
        <f ca="1">_xll.meLWOBondCompoundYield(L132,$C$4,T132)*100</f>
        <v>#VALUE!</v>
      </c>
      <c r="AG132" s="65" t="e">
        <f t="shared" ca="1" si="13"/>
        <v>#VALUE!</v>
      </c>
      <c r="AH132" s="35" t="e">
        <f t="shared" ca="1" si="14"/>
        <v>#VALUE!</v>
      </c>
      <c r="AI132" s="63" t="str">
        <f ca="1">_xll.BDP($B132,AI$6, "PX_ASK="&amp;T132)</f>
        <v>#N/A Invalid Override</v>
      </c>
      <c r="AJ132" s="35" t="e">
        <f t="shared" ca="1" si="15"/>
        <v>#VALUE!</v>
      </c>
    </row>
    <row r="133" spans="2:36">
      <c r="B133" s="15" t="s">
        <v>1028</v>
      </c>
      <c r="C133" s="15" t="s">
        <v>1029</v>
      </c>
      <c r="D133" s="15" t="s">
        <v>1029</v>
      </c>
      <c r="E133" s="16">
        <v>37215</v>
      </c>
      <c r="F133" s="19">
        <v>37215</v>
      </c>
      <c r="G133" s="18"/>
      <c r="H133" s="16">
        <v>37396</v>
      </c>
      <c r="I133" s="16">
        <v>47988</v>
      </c>
      <c r="J133" s="17">
        <v>2.4E-2</v>
      </c>
      <c r="K133" s="16">
        <v>48172</v>
      </c>
      <c r="L133" s="20" t="str">
        <f ca="1">_xll.meLWOBondCreateFromGeneratorLVB(C133,$L$4,_xll.meUtilityLVBFromKeysValues($C$6:$K$6,C133:K133))</f>
        <v>JP13000611B1:1</v>
      </c>
      <c r="M133" s="92">
        <f ca="1">_xll.BDP($B133,$M$5)</f>
        <v>0.27399999999999902</v>
      </c>
      <c r="N133" s="37">
        <f ca="1">_xll.meLWOBondCleanPrice($L133,$C$4,$M133%)</f>
        <v>126.86657089449091</v>
      </c>
      <c r="O133" s="37">
        <f ca="1">_xll.meLWOBondDirtyPrice($L133,$C$4,$M133%)</f>
        <v>132.4</v>
      </c>
      <c r="P133" s="87">
        <f ca="1">_xll.meLWOBondYield($L133,$C$4,N133)</f>
        <v>2.7399999999999296E-3</v>
      </c>
      <c r="Q133" s="89">
        <f ca="1">_xll.meLWOBondModifiedDuration($L133,$C$4,$M133%)</f>
        <v>11.499776517816496</v>
      </c>
      <c r="R133" s="23">
        <f ca="1">_xll.meLWOBondDV01($L133,$C$4,$M133%)</f>
        <v>1522.5704109589042</v>
      </c>
      <c r="S133" s="85">
        <f t="shared" ca="1" si="16"/>
        <v>0.27399999999999902</v>
      </c>
      <c r="T133" s="22" t="str">
        <f ca="1">_xll.BDP($B133,T$6, "YAS_BOND_SPL_YLD="&amp;S133,"YAS_YLD_CONV=2")</f>
        <v>#N/A Requesting Data...</v>
      </c>
      <c r="U133" s="23">
        <f t="shared" ca="1" si="17"/>
        <v>126.86657089449091</v>
      </c>
      <c r="V133" s="23">
        <f t="shared" ca="1" si="9"/>
        <v>126.866</v>
      </c>
      <c r="W133" s="24" t="e">
        <f t="shared" ca="1" si="10"/>
        <v>#VALUE!</v>
      </c>
      <c r="X133" s="23">
        <f ca="1">_xll.meLWOBondDV01($L133,$C$4,$S133%)</f>
        <v>1522.5704109589042</v>
      </c>
      <c r="Y133" s="22" t="e">
        <f ca="1">_xll.BDP($B133,Y$6, "YLD_YTM_ASK="&amp;$S133,"YAS_YLD_CONV=3")*$Y$3*0.0001</f>
        <v>#VALUE!</v>
      </c>
      <c r="Z133" s="24" t="e">
        <f t="shared" ca="1" si="11"/>
        <v>#VALUE!</v>
      </c>
      <c r="AA133" s="23">
        <f ca="1">_xll.meLWOBondModifiedDuration($L133,$C$4,$S133%)</f>
        <v>11.499776517816496</v>
      </c>
      <c r="AB133" s="22" t="str">
        <f ca="1">_xll.BDP($B133,AB$6, "YLD_YTM_ASK="&amp;$S133,"YAS_YLD_CONV=3")</f>
        <v>#N/A Requesting Data...</v>
      </c>
      <c r="AC133" s="24" t="e">
        <f t="shared" ca="1" si="12"/>
        <v>#VALUE!</v>
      </c>
      <c r="AD133" s="23">
        <f ca="1">_xll.meLWOBondDV01Numerical($L133,$C$4,$S133%, 0.5, "CENTRAL")</f>
        <v>1603.2319293924502</v>
      </c>
      <c r="AE133" s="63" t="str">
        <f ca="1">_xll.BDP($B133,AE$6, "YAS_BOND_PX="&amp;T133)</f>
        <v>#N/A Invalid Override</v>
      </c>
      <c r="AF133" s="64" t="e">
        <f ca="1">_xll.meLWOBondCompoundYield(L133,$C$4,T133)*100</f>
        <v>#VALUE!</v>
      </c>
      <c r="AG133" s="65" t="e">
        <f t="shared" ca="1" si="13"/>
        <v>#VALUE!</v>
      </c>
      <c r="AH133" s="35" t="e">
        <f t="shared" ca="1" si="14"/>
        <v>#VALUE!</v>
      </c>
      <c r="AI133" s="63" t="str">
        <f ca="1">_xll.BDP($B133,AI$6, "PX_ASK="&amp;T133)</f>
        <v>#N/A Invalid Override</v>
      </c>
      <c r="AJ133" s="35" t="e">
        <f t="shared" ca="1" si="15"/>
        <v>#VALUE!</v>
      </c>
    </row>
    <row r="134" spans="2:36">
      <c r="B134" s="15" t="s">
        <v>1030</v>
      </c>
      <c r="C134" s="15" t="s">
        <v>1031</v>
      </c>
      <c r="D134" s="15" t="s">
        <v>1031</v>
      </c>
      <c r="E134" s="16">
        <v>40939</v>
      </c>
      <c r="F134" s="19">
        <v>40897</v>
      </c>
      <c r="G134" s="18"/>
      <c r="H134" s="16">
        <v>41080</v>
      </c>
      <c r="I134" s="16">
        <v>48019</v>
      </c>
      <c r="J134" s="17">
        <v>1.8000000000000002E-2</v>
      </c>
      <c r="K134" s="16">
        <v>48202</v>
      </c>
      <c r="L134" s="20" t="str">
        <f ca="1">_xll.meLWOBondCreateFromGeneratorLVB(C134,$L$4,_xll.meUtilityLVBFromKeysValues($C$6:$K$6,C134:K134))</f>
        <v>JP1201331C14:1</v>
      </c>
      <c r="M134" s="92">
        <f ca="1">_xll.BDP($B134,$M$5)</f>
        <v>0.28399999999999959</v>
      </c>
      <c r="N134" s="37">
        <f ca="1">_xll.meLWOBondCleanPrice($L134,$C$4,$M134%)</f>
        <v>119.24953688679756</v>
      </c>
      <c r="O134" s="37">
        <f ca="1">_xll.meLWOBondDirtyPrice($L134,$C$4,$M134%)</f>
        <v>124.30000000000001</v>
      </c>
      <c r="P134" s="87">
        <f ca="1">_xll.meLWOBondYield($L134,$C$4,N134)</f>
        <v>2.8399999999997056E-3</v>
      </c>
      <c r="Q134" s="89">
        <f ca="1">_xll.meLWOBondModifiedDuration($L134,$C$4,$M134%)</f>
        <v>11.901886730071965</v>
      </c>
      <c r="R134" s="23">
        <f ca="1">_xll.meLWOBondDV01($L134,$C$4,$M134%)</f>
        <v>1479.4045205479454</v>
      </c>
      <c r="S134" s="85">
        <f t="shared" ca="1" si="16"/>
        <v>0.28399999999999959</v>
      </c>
      <c r="T134" s="22" t="str">
        <f ca="1">_xll.BDP($B134,T$6, "YAS_BOND_SPL_YLD="&amp;S134,"YAS_YLD_CONV=2")</f>
        <v>#N/A Requesting Data...</v>
      </c>
      <c r="U134" s="23">
        <f t="shared" ca="1" si="17"/>
        <v>119.24953688679756</v>
      </c>
      <c r="V134" s="23">
        <f t="shared" ca="1" si="9"/>
        <v>119.249</v>
      </c>
      <c r="W134" s="24" t="e">
        <f t="shared" ca="1" si="10"/>
        <v>#VALUE!</v>
      </c>
      <c r="X134" s="23">
        <f ca="1">_xll.meLWOBondDV01($L134,$C$4,$S134%)</f>
        <v>1479.4045205479454</v>
      </c>
      <c r="Y134" s="22" t="e">
        <f ca="1">_xll.BDP($B134,Y$6, "YLD_YTM_ASK="&amp;$S134,"YAS_YLD_CONV=3")*$Y$3*0.0001</f>
        <v>#VALUE!</v>
      </c>
      <c r="Z134" s="24" t="e">
        <f t="shared" ca="1" si="11"/>
        <v>#VALUE!</v>
      </c>
      <c r="AA134" s="23">
        <f ca="1">_xll.meLWOBondModifiedDuration($L134,$C$4,$S134%)</f>
        <v>11.901886730071965</v>
      </c>
      <c r="AB134" s="22" t="str">
        <f ca="1">_xll.BDP($B134,AB$6, "YLD_YTM_ASK="&amp;$S134,"YAS_YLD_CONV=3")</f>
        <v>#N/A Requesting Data...</v>
      </c>
      <c r="AC134" s="24" t="e">
        <f t="shared" ca="1" si="12"/>
        <v>#VALUE!</v>
      </c>
      <c r="AD134" s="23">
        <f ca="1">_xll.meLWOBondDV01Numerical($L134,$C$4,$S134%, 0.5, "CENTRAL")</f>
        <v>1514.1815859409746</v>
      </c>
      <c r="AE134" s="63" t="str">
        <f ca="1">_xll.BDP($B134,AE$6, "YAS_BOND_PX="&amp;T134)</f>
        <v>#N/A Invalid Override</v>
      </c>
      <c r="AF134" s="64" t="e">
        <f ca="1">_xll.meLWOBondCompoundYield(L134,$C$4,T134)*100</f>
        <v>#VALUE!</v>
      </c>
      <c r="AG134" s="65" t="e">
        <f t="shared" ca="1" si="13"/>
        <v>#VALUE!</v>
      </c>
      <c r="AH134" s="35" t="e">
        <f t="shared" ca="1" si="14"/>
        <v>#VALUE!</v>
      </c>
      <c r="AI134" s="63" t="str">
        <f ca="1">_xll.BDP($B134,AI$6, "PX_ASK="&amp;T134)</f>
        <v>#N/A Invalid Override</v>
      </c>
      <c r="AJ134" s="35" t="e">
        <f t="shared" ca="1" si="15"/>
        <v>#VALUE!</v>
      </c>
    </row>
    <row r="135" spans="2:36">
      <c r="B135" s="15" t="s">
        <v>1032</v>
      </c>
      <c r="C135" s="15" t="s">
        <v>1033</v>
      </c>
      <c r="D135" s="15" t="s">
        <v>1033</v>
      </c>
      <c r="E135" s="16">
        <v>40897</v>
      </c>
      <c r="F135" s="19">
        <v>40897</v>
      </c>
      <c r="G135" s="18"/>
      <c r="H135" s="16">
        <v>41080</v>
      </c>
      <c r="I135" s="16">
        <v>48019</v>
      </c>
      <c r="J135" s="17">
        <v>1.7000000000000001E-2</v>
      </c>
      <c r="K135" s="16">
        <v>48202</v>
      </c>
      <c r="L135" s="20" t="str">
        <f ca="1">_xll.meLWOBondCreateFromGeneratorLVB(C135,$L$4,_xll.meUtilityLVBFromKeysValues($C$6:$K$6,C135:K135))</f>
        <v>JP1201321BC7:1</v>
      </c>
      <c r="M135" s="92">
        <f ca="1">_xll.BDP($B135,$M$5)</f>
        <v>0.28399999999999997</v>
      </c>
      <c r="N135" s="37">
        <f ca="1">_xll.meLWOBondCleanPrice($L135,$C$4,$M135%)</f>
        <v>117.97977851695605</v>
      </c>
      <c r="O135" s="37">
        <f ca="1">_xll.meLWOBondDirtyPrice($L135,$C$4,$M135%)</f>
        <v>122.95</v>
      </c>
      <c r="P135" s="87">
        <f ca="1">_xll.meLWOBondYield($L135,$C$4,N135)</f>
        <v>2.8400000000000183E-3</v>
      </c>
      <c r="Q135" s="89">
        <f ca="1">_xll.meLWOBondModifiedDuration($L135,$C$4,$M135%)</f>
        <v>11.959304651072102</v>
      </c>
      <c r="R135" s="23">
        <f ca="1">_xll.meLWOBondDV01($L135,$C$4,$M135%)</f>
        <v>1470.3965068493151</v>
      </c>
      <c r="S135" s="85">
        <f t="shared" ca="1" si="16"/>
        <v>0.28399999999999997</v>
      </c>
      <c r="T135" s="22" t="str">
        <f ca="1">_xll.BDP($B135,T$6, "YAS_BOND_SPL_YLD="&amp;S135,"YAS_YLD_CONV=2")</f>
        <v>#N/A Requesting Data...</v>
      </c>
      <c r="U135" s="23">
        <f t="shared" ca="1" si="17"/>
        <v>117.97977851695605</v>
      </c>
      <c r="V135" s="23">
        <f t="shared" ref="V135:V192" ca="1" si="18">TRUNC(U135,3)</f>
        <v>117.979</v>
      </c>
      <c r="W135" s="24" t="e">
        <f t="shared" ref="W135:W192" ca="1" si="19">ABS(V135-T135)</f>
        <v>#VALUE!</v>
      </c>
      <c r="X135" s="23">
        <f ca="1">_xll.meLWOBondDV01($L135,$C$4,$S135%)</f>
        <v>1470.3965068493151</v>
      </c>
      <c r="Y135" s="22" t="e">
        <f ca="1">_xll.BDP($B135,Y$6, "YLD_YTM_ASK="&amp;$S135,"YAS_YLD_CONV=3")*$Y$3*0.0001</f>
        <v>#VALUE!</v>
      </c>
      <c r="Z135" s="24" t="e">
        <f t="shared" ref="Z135:Z192" ca="1" si="20">ABS(Y135-X135)</f>
        <v>#VALUE!</v>
      </c>
      <c r="AA135" s="23">
        <f ca="1">_xll.meLWOBondModifiedDuration($L135,$C$4,$S135%)</f>
        <v>11.959304651072102</v>
      </c>
      <c r="AB135" s="22" t="str">
        <f ca="1">_xll.BDP($B135,AB$6, "YLD_YTM_ASK="&amp;$S135,"YAS_YLD_CONV=3")</f>
        <v>#N/A Requesting Data...</v>
      </c>
      <c r="AC135" s="24" t="e">
        <f t="shared" ref="AC135:AC192" ca="1" si="21">ABS(AB135-AA135)</f>
        <v>#VALUE!</v>
      </c>
      <c r="AD135" s="23">
        <f ca="1">_xll.meLWOBondDV01Numerical($L135,$C$4,$S135%, 0.5, "CENTRAL")</f>
        <v>1498.0587162644101</v>
      </c>
      <c r="AE135" s="63" t="str">
        <f ca="1">_xll.BDP($B135,AE$6, "YAS_BOND_PX="&amp;T135)</f>
        <v>#N/A Invalid Override</v>
      </c>
      <c r="AF135" s="64" t="e">
        <f ca="1">_xll.meLWOBondCompoundYield(L135,$C$4,T135)*100</f>
        <v>#VALUE!</v>
      </c>
      <c r="AG135" s="65" t="e">
        <f t="shared" ref="AG135:AG192" ca="1" si="22">TRUNC(AF135, 3)</f>
        <v>#VALUE!</v>
      </c>
      <c r="AH135" s="35" t="e">
        <f t="shared" ref="AH135:AH192" ca="1" si="23">ABS(AG135-AE135)*10000</f>
        <v>#VALUE!</v>
      </c>
      <c r="AI135" s="63" t="str">
        <f ca="1">_xll.BDP($B135,AI$6, "PX_ASK="&amp;T135)</f>
        <v>#N/A Invalid Override</v>
      </c>
      <c r="AJ135" s="35" t="e">
        <f t="shared" ref="AJ135:AJ192" ca="1" si="24">ABS(AI135-AF135)*10000</f>
        <v>#VALUE!</v>
      </c>
    </row>
    <row r="136" spans="2:36">
      <c r="B136" s="15" t="s">
        <v>1034</v>
      </c>
      <c r="C136" s="15" t="s">
        <v>1035</v>
      </c>
      <c r="D136" s="15" t="s">
        <v>1035</v>
      </c>
      <c r="E136" s="16">
        <v>41057</v>
      </c>
      <c r="F136" s="19">
        <v>40988</v>
      </c>
      <c r="G136" s="18"/>
      <c r="H136" s="16">
        <v>41172</v>
      </c>
      <c r="I136" s="16">
        <v>48111</v>
      </c>
      <c r="J136" s="17">
        <v>1.6E-2</v>
      </c>
      <c r="K136" s="16">
        <v>48293</v>
      </c>
      <c r="L136" s="20" t="str">
        <f ca="1">_xll.meLWOBondCreateFromGeneratorLVB(C136,$L$4,_xll.meUtilityLVBFromKeysValues($C$6:$K$6,C136:K136))</f>
        <v>JP1201361C58:1</v>
      </c>
      <c r="M136" s="92">
        <f ca="1">_xll.BDP($B136,$M$5)</f>
        <v>0.3000000000000001</v>
      </c>
      <c r="N136" s="37">
        <f ca="1">_xll.meLWOBondCleanPrice($L136,$C$4,$M136%)</f>
        <v>116.7698199076098</v>
      </c>
      <c r="O136" s="37">
        <f ca="1">_xll.meLWOBondDirtyPrice($L136,$C$4,$M136%)</f>
        <v>121.6</v>
      </c>
      <c r="P136" s="87">
        <f ca="1">_xll.meLWOBondYield($L136,$C$4,N136)</f>
        <v>2.9999999999998769E-3</v>
      </c>
      <c r="Q136" s="89">
        <f ca="1">_xll.meLWOBondModifiedDuration($L136,$C$4,$M136%)</f>
        <v>12.264572819033887</v>
      </c>
      <c r="R136" s="23">
        <f ca="1">_xll.meLWOBondDV01($L136,$C$4,$M136%)</f>
        <v>1491.3720547945206</v>
      </c>
      <c r="S136" s="85">
        <f t="shared" ref="S136:S192" ca="1" si="25">M136</f>
        <v>0.3000000000000001</v>
      </c>
      <c r="T136" s="22" t="str">
        <f ca="1">_xll.BDP($B136,T$6, "YAS_BOND_SPL_YLD="&amp;S136,"YAS_YLD_CONV=2")</f>
        <v>#N/A Requesting Data...</v>
      </c>
      <c r="U136" s="23">
        <f t="shared" ref="U136:U192" ca="1" si="26">N136</f>
        <v>116.7698199076098</v>
      </c>
      <c r="V136" s="23">
        <f t="shared" ca="1" si="18"/>
        <v>116.76900000000001</v>
      </c>
      <c r="W136" s="24" t="e">
        <f t="shared" ca="1" si="19"/>
        <v>#VALUE!</v>
      </c>
      <c r="X136" s="23">
        <f ca="1">_xll.meLWOBondDV01($L136,$C$4,$S136%)</f>
        <v>1491.3720547945206</v>
      </c>
      <c r="Y136" s="22" t="e">
        <f ca="1">_xll.BDP($B136,Y$6, "YLD_YTM_ASK="&amp;$S136,"YAS_YLD_CONV=3")*$Y$3*0.0001</f>
        <v>#VALUE!</v>
      </c>
      <c r="Z136" s="24" t="e">
        <f t="shared" ca="1" si="20"/>
        <v>#VALUE!</v>
      </c>
      <c r="AA136" s="23">
        <f ca="1">_xll.meLWOBondModifiedDuration($L136,$C$4,$S136%)</f>
        <v>12.264572819033887</v>
      </c>
      <c r="AB136" s="22" t="str">
        <f ca="1">_xll.BDP($B136,AB$6, "YLD_YTM_ASK="&amp;$S136,"YAS_YLD_CONV=3")</f>
        <v>#N/A Requesting Data...</v>
      </c>
      <c r="AC136" s="24" t="e">
        <f t="shared" ca="1" si="21"/>
        <v>#VALUE!</v>
      </c>
      <c r="AD136" s="23">
        <f ca="1">_xll.meLWOBondDV01Numerical($L136,$C$4,$S136%, 0.5, "CENTRAL")</f>
        <v>1506.3151270318542</v>
      </c>
      <c r="AE136" s="63" t="str">
        <f ca="1">_xll.BDP($B136,AE$6, "YAS_BOND_PX="&amp;T136)</f>
        <v>#N/A Invalid Override</v>
      </c>
      <c r="AF136" s="64" t="e">
        <f ca="1">_xll.meLWOBondCompoundYield(L136,$C$4,T136)*100</f>
        <v>#VALUE!</v>
      </c>
      <c r="AG136" s="65" t="e">
        <f t="shared" ca="1" si="22"/>
        <v>#VALUE!</v>
      </c>
      <c r="AH136" s="35" t="e">
        <f t="shared" ca="1" si="23"/>
        <v>#VALUE!</v>
      </c>
      <c r="AI136" s="63" t="str">
        <f ca="1">_xll.BDP($B136,AI$6, "PX_ASK="&amp;T136)</f>
        <v>#N/A Invalid Override</v>
      </c>
      <c r="AJ136" s="35" t="e">
        <f t="shared" ca="1" si="24"/>
        <v>#VALUE!</v>
      </c>
    </row>
    <row r="137" spans="2:36">
      <c r="B137" s="15" t="s">
        <v>1036</v>
      </c>
      <c r="C137" s="15" t="s">
        <v>1037</v>
      </c>
      <c r="D137" s="15" t="s">
        <v>1037</v>
      </c>
      <c r="E137" s="16">
        <v>40989</v>
      </c>
      <c r="F137" s="19">
        <v>40988</v>
      </c>
      <c r="G137" s="18"/>
      <c r="H137" s="16">
        <v>41172</v>
      </c>
      <c r="I137" s="16">
        <v>48111</v>
      </c>
      <c r="J137" s="17">
        <v>1.8000000000000002E-2</v>
      </c>
      <c r="K137" s="16">
        <v>48293</v>
      </c>
      <c r="L137" s="20" t="str">
        <f ca="1">_xll.meLWOBondCreateFromGeneratorLVB(C137,$L$4,_xll.meUtilityLVBFromKeysValues($C$6:$K$6,C137:K137))</f>
        <v>JP1201341C38:1</v>
      </c>
      <c r="M137" s="92">
        <f ca="1">_xll.BDP($B137,$M$5)</f>
        <v>0.29800000000000004</v>
      </c>
      <c r="N137" s="37">
        <f ca="1">_xll.meLWOBondCleanPrice($L137,$C$4,$M137%)</f>
        <v>119.38059206307842</v>
      </c>
      <c r="O137" s="37">
        <f ca="1">_xll.meLWOBondDirtyPrice($L137,$C$4,$M137%)</f>
        <v>124.30000000000001</v>
      </c>
      <c r="P137" s="87">
        <f ca="1">_xll.meLWOBondYield($L137,$C$4,N137)</f>
        <v>2.9800000000002754E-3</v>
      </c>
      <c r="Q137" s="89">
        <f ca="1">_xll.meLWOBondModifiedDuration($L137,$C$4,$M137%)</f>
        <v>12.148462072537718</v>
      </c>
      <c r="R137" s="23">
        <f ca="1">_xll.meLWOBondDV01($L137,$C$4,$M137%)</f>
        <v>1510.0538356164386</v>
      </c>
      <c r="S137" s="85">
        <f t="shared" ca="1" si="25"/>
        <v>0.29800000000000004</v>
      </c>
      <c r="T137" s="22" t="str">
        <f ca="1">_xll.BDP($B137,T$6, "YAS_BOND_SPL_YLD="&amp;S137,"YAS_YLD_CONV=2")</f>
        <v>#N/A Requesting Data...</v>
      </c>
      <c r="U137" s="23">
        <f t="shared" ca="1" si="26"/>
        <v>119.38059206307842</v>
      </c>
      <c r="V137" s="23">
        <f t="shared" ca="1" si="18"/>
        <v>119.38</v>
      </c>
      <c r="W137" s="24" t="e">
        <f t="shared" ca="1" si="19"/>
        <v>#VALUE!</v>
      </c>
      <c r="X137" s="23">
        <f ca="1">_xll.meLWOBondDV01($L137,$C$4,$S137%)</f>
        <v>1510.0538356164386</v>
      </c>
      <c r="Y137" s="22" t="e">
        <f ca="1">_xll.BDP($B137,Y$6, "YLD_YTM_ASK="&amp;$S137,"YAS_YLD_CONV=3")*$Y$3*0.0001</f>
        <v>#VALUE!</v>
      </c>
      <c r="Z137" s="24" t="e">
        <f t="shared" ca="1" si="20"/>
        <v>#VALUE!</v>
      </c>
      <c r="AA137" s="23">
        <f ca="1">_xll.meLWOBondModifiedDuration($L137,$C$4,$S137%)</f>
        <v>12.148462072537718</v>
      </c>
      <c r="AB137" s="22" t="str">
        <f ca="1">_xll.BDP($B137,AB$6, "YLD_YTM_ASK="&amp;$S137,"YAS_YLD_CONV=3")</f>
        <v>#N/A Requesting Data...</v>
      </c>
      <c r="AC137" s="24" t="e">
        <f t="shared" ca="1" si="21"/>
        <v>#VALUE!</v>
      </c>
      <c r="AD137" s="23">
        <f ca="1">_xll.meLWOBondDV01Numerical($L137,$C$4,$S137%, 0.5, "CENTRAL")</f>
        <v>1540.391157152641</v>
      </c>
      <c r="AE137" s="63" t="str">
        <f ca="1">_xll.BDP($B137,AE$6, "YAS_BOND_PX="&amp;T137)</f>
        <v>#N/A Invalid Override</v>
      </c>
      <c r="AF137" s="64" t="e">
        <f ca="1">_xll.meLWOBondCompoundYield(L137,$C$4,T137)*100</f>
        <v>#VALUE!</v>
      </c>
      <c r="AG137" s="65" t="e">
        <f t="shared" ca="1" si="22"/>
        <v>#VALUE!</v>
      </c>
      <c r="AH137" s="35" t="e">
        <f t="shared" ca="1" si="23"/>
        <v>#VALUE!</v>
      </c>
      <c r="AI137" s="63" t="str">
        <f ca="1">_xll.BDP($B137,AI$6, "PX_ASK="&amp;T137)</f>
        <v>#N/A Invalid Override</v>
      </c>
      <c r="AJ137" s="35" t="e">
        <f t="shared" ca="1" si="24"/>
        <v>#VALUE!</v>
      </c>
    </row>
    <row r="138" spans="2:36">
      <c r="B138" s="15" t="s">
        <v>1038</v>
      </c>
      <c r="C138" s="15" t="s">
        <v>1039</v>
      </c>
      <c r="D138" s="15" t="s">
        <v>1039</v>
      </c>
      <c r="E138" s="16">
        <v>41025</v>
      </c>
      <c r="F138" s="19">
        <v>40988</v>
      </c>
      <c r="G138" s="18"/>
      <c r="H138" s="16">
        <v>41172</v>
      </c>
      <c r="I138" s="16">
        <v>48111</v>
      </c>
      <c r="J138" s="17">
        <v>1.7000000000000001E-2</v>
      </c>
      <c r="K138" s="16">
        <v>48293</v>
      </c>
      <c r="L138" s="20" t="str">
        <f ca="1">_xll.meLWOBondCreateFromGeneratorLVB(C138,$L$4,_xll.meUtilityLVBFromKeysValues($C$6:$K$6,C138:K138))</f>
        <v>JP1201351C43:1</v>
      </c>
      <c r="M138" s="92">
        <f ca="1">_xll.BDP($B138,$M$5)</f>
        <v>0.30000000000000016</v>
      </c>
      <c r="N138" s="37">
        <f ca="1">_xll.meLWOBondCleanPrice($L138,$C$4,$M138%)</f>
        <v>118.05980605434902</v>
      </c>
      <c r="O138" s="37">
        <f ca="1">_xll.meLWOBondDirtyPrice($L138,$C$4,$M138%)</f>
        <v>122.95</v>
      </c>
      <c r="P138" s="87">
        <f ca="1">_xll.meLWOBondYield($L138,$C$4,N138)</f>
        <v>3.0000000000000239E-3</v>
      </c>
      <c r="Q138" s="89">
        <f ca="1">_xll.meLWOBondModifiedDuration($L138,$C$4,$M138%)</f>
        <v>12.205879993537856</v>
      </c>
      <c r="R138" s="23">
        <f ca="1">_xll.meLWOBondDV01($L138,$C$4,$M138%)</f>
        <v>1500.7129452054794</v>
      </c>
      <c r="S138" s="85">
        <f t="shared" ca="1" si="25"/>
        <v>0.30000000000000016</v>
      </c>
      <c r="T138" s="22" t="str">
        <f ca="1">_xll.BDP($B138,T$6, "YAS_BOND_SPL_YLD="&amp;S138,"YAS_YLD_CONV=2")</f>
        <v>#N/A Requesting Data...</v>
      </c>
      <c r="U138" s="23">
        <f t="shared" ca="1" si="26"/>
        <v>118.05980605434902</v>
      </c>
      <c r="V138" s="23">
        <f t="shared" ca="1" si="18"/>
        <v>118.059</v>
      </c>
      <c r="W138" s="24" t="e">
        <f t="shared" ca="1" si="19"/>
        <v>#VALUE!</v>
      </c>
      <c r="X138" s="23">
        <f ca="1">_xll.meLWOBondDV01($L138,$C$4,$S138%)</f>
        <v>1500.7129452054794</v>
      </c>
      <c r="Y138" s="22" t="e">
        <f ca="1">_xll.BDP($B138,Y$6, "YLD_YTM_ASK="&amp;$S138,"YAS_YLD_CONV=3")*$Y$3*0.0001</f>
        <v>#VALUE!</v>
      </c>
      <c r="Z138" s="24" t="e">
        <f t="shared" ca="1" si="20"/>
        <v>#VALUE!</v>
      </c>
      <c r="AA138" s="23">
        <f ca="1">_xll.meLWOBondModifiedDuration($L138,$C$4,$S138%)</f>
        <v>12.205879993537856</v>
      </c>
      <c r="AB138" s="22" t="str">
        <f ca="1">_xll.BDP($B138,AB$6, "YLD_YTM_ASK="&amp;$S138,"YAS_YLD_CONV=3")</f>
        <v>#N/A Requesting Data...</v>
      </c>
      <c r="AC138" s="24" t="e">
        <f t="shared" ca="1" si="21"/>
        <v>#VALUE!</v>
      </c>
      <c r="AD138" s="23">
        <f ca="1">_xll.meLWOBondDV01Numerical($L138,$C$4,$S138%, 0.5, "CENTRAL")</f>
        <v>1522.9557765424317</v>
      </c>
      <c r="AE138" s="63" t="str">
        <f ca="1">_xll.BDP($B138,AE$6, "YAS_BOND_PX="&amp;T138)</f>
        <v>#N/A Invalid Override</v>
      </c>
      <c r="AF138" s="64" t="e">
        <f ca="1">_xll.meLWOBondCompoundYield(L138,$C$4,T138)*100</f>
        <v>#VALUE!</v>
      </c>
      <c r="AG138" s="65" t="e">
        <f t="shared" ca="1" si="22"/>
        <v>#VALUE!</v>
      </c>
      <c r="AH138" s="35" t="e">
        <f t="shared" ca="1" si="23"/>
        <v>#VALUE!</v>
      </c>
      <c r="AI138" s="63" t="str">
        <f ca="1">_xll.BDP($B138,AI$6, "PX_ASK="&amp;T138)</f>
        <v>#N/A Invalid Override</v>
      </c>
      <c r="AJ138" s="35" t="e">
        <f t="shared" ca="1" si="24"/>
        <v>#VALUE!</v>
      </c>
    </row>
    <row r="139" spans="2:36">
      <c r="B139" s="15" t="s">
        <v>1040</v>
      </c>
      <c r="C139" s="15" t="s">
        <v>1041</v>
      </c>
      <c r="D139" s="15" t="s">
        <v>1041</v>
      </c>
      <c r="E139" s="16">
        <v>37396</v>
      </c>
      <c r="F139" s="19">
        <v>37396</v>
      </c>
      <c r="G139" s="18"/>
      <c r="H139" s="16">
        <v>37580</v>
      </c>
      <c r="I139" s="16">
        <v>48172</v>
      </c>
      <c r="J139" s="17">
        <v>2.3E-2</v>
      </c>
      <c r="K139" s="16">
        <v>48354</v>
      </c>
      <c r="L139" s="20" t="str">
        <f ca="1">_xll.meLWOBondCreateFromGeneratorLVB(C139,$L$4,_xll.meUtilityLVBFromKeysValues($C$6:$K$6,C139:K139))</f>
        <v>JP1300071253:1</v>
      </c>
      <c r="M139" s="92">
        <f ca="1">_xll.BDP($B139,$M$5)</f>
        <v>0.29700000000000004</v>
      </c>
      <c r="N139" s="37">
        <f ca="1">_xll.meLWOBondCleanPrice($L139,$C$4,$M139%)</f>
        <v>126.15785768679881</v>
      </c>
      <c r="O139" s="37">
        <f ca="1">_xll.meLWOBondDirtyPrice($L139,$C$4,$M139%)</f>
        <v>132.20000000000002</v>
      </c>
      <c r="P139" s="87">
        <f ca="1">_xll.meLWOBondYield($L139,$C$4,N139)</f>
        <v>2.969999999999869E-3</v>
      </c>
      <c r="Q139" s="89">
        <f ca="1">_xll.meLWOBondModifiedDuration($L139,$C$4,$M139%)</f>
        <v>11.946311110190038</v>
      </c>
      <c r="R139" s="23">
        <f ca="1">_xll.meLWOBondDV01($L139,$C$4,$M139%)</f>
        <v>1579.3023287671233</v>
      </c>
      <c r="S139" s="85">
        <f t="shared" ca="1" si="25"/>
        <v>0.29700000000000004</v>
      </c>
      <c r="T139" s="22" t="str">
        <f ca="1">_xll.BDP($B139,T$6, "YAS_BOND_SPL_YLD="&amp;S139,"YAS_YLD_CONV=2")</f>
        <v>#N/A Requesting Data...</v>
      </c>
      <c r="U139" s="23">
        <f t="shared" ca="1" si="26"/>
        <v>126.15785768679881</v>
      </c>
      <c r="V139" s="23">
        <f t="shared" ca="1" si="18"/>
        <v>126.157</v>
      </c>
      <c r="W139" s="24" t="e">
        <f t="shared" ca="1" si="19"/>
        <v>#VALUE!</v>
      </c>
      <c r="X139" s="23">
        <f ca="1">_xll.meLWOBondDV01($L139,$C$4,$S139%)</f>
        <v>1579.3023287671233</v>
      </c>
      <c r="Y139" s="22" t="e">
        <f ca="1">_xll.BDP($B139,Y$6, "YLD_YTM_ASK="&amp;$S139,"YAS_YLD_CONV=3")*$Y$3*0.0001</f>
        <v>#VALUE!</v>
      </c>
      <c r="Z139" s="24" t="e">
        <f t="shared" ca="1" si="20"/>
        <v>#VALUE!</v>
      </c>
      <c r="AA139" s="23">
        <f ca="1">_xll.meLWOBondModifiedDuration($L139,$C$4,$S139%)</f>
        <v>11.946311110190038</v>
      </c>
      <c r="AB139" s="22" t="str">
        <f ca="1">_xll.BDP($B139,AB$6, "YLD_YTM_ASK="&amp;$S139,"YAS_YLD_CONV=3")</f>
        <v>#N/A Requesting Data...</v>
      </c>
      <c r="AC139" s="24" t="e">
        <f t="shared" ca="1" si="21"/>
        <v>#VALUE!</v>
      </c>
      <c r="AD139" s="23">
        <f ca="1">_xll.meLWOBondDV01Numerical($L139,$C$4,$S139%, 0.5, "CENTRAL")</f>
        <v>1647.5390386715105</v>
      </c>
      <c r="AE139" s="63" t="str">
        <f ca="1">_xll.BDP($B139,AE$6, "YAS_BOND_PX="&amp;T139)</f>
        <v>#N/A Invalid Override</v>
      </c>
      <c r="AF139" s="64" t="e">
        <f ca="1">_xll.meLWOBondCompoundYield(L139,$C$4,T139)*100</f>
        <v>#VALUE!</v>
      </c>
      <c r="AG139" s="65" t="e">
        <f t="shared" ca="1" si="22"/>
        <v>#VALUE!</v>
      </c>
      <c r="AH139" s="35" t="e">
        <f t="shared" ca="1" si="23"/>
        <v>#VALUE!</v>
      </c>
      <c r="AI139" s="63" t="str">
        <f ca="1">_xll.BDP($B139,AI$6, "PX_ASK="&amp;T139)</f>
        <v>#N/A Invalid Override</v>
      </c>
      <c r="AJ139" s="35" t="e">
        <f t="shared" ca="1" si="24"/>
        <v>#VALUE!</v>
      </c>
    </row>
    <row r="140" spans="2:36">
      <c r="B140" s="15" t="s">
        <v>1042</v>
      </c>
      <c r="C140" s="15" t="s">
        <v>1043</v>
      </c>
      <c r="D140" s="15" t="s">
        <v>1043</v>
      </c>
      <c r="E140" s="16">
        <v>41148</v>
      </c>
      <c r="F140" s="19">
        <v>41080</v>
      </c>
      <c r="G140" s="18"/>
      <c r="H140" s="16">
        <v>41263</v>
      </c>
      <c r="I140" s="16">
        <v>48202</v>
      </c>
      <c r="J140" s="17">
        <v>1.6E-2</v>
      </c>
      <c r="K140" s="16">
        <v>48385</v>
      </c>
      <c r="L140" s="20" t="str">
        <f ca="1">_xll.meLWOBondCreateFromGeneratorLVB(C140,$L$4,_xll.meUtilityLVBFromKeysValues($C$6:$K$6,C140:K140))</f>
        <v>JP1201391C86:1</v>
      </c>
      <c r="M140" s="92">
        <f ca="1">_xll.BDP($B140,$M$5)</f>
        <v>0.31400000000000006</v>
      </c>
      <c r="N140" s="37">
        <f ca="1">_xll.meLWOBondCleanPrice($L140,$C$4,$M140%)</f>
        <v>116.85755011051607</v>
      </c>
      <c r="O140" s="37">
        <f ca="1">_xll.meLWOBondDirtyPrice($L140,$C$4,$M140%)</f>
        <v>122.39999999999999</v>
      </c>
      <c r="P140" s="87">
        <f ca="1">_xll.meLWOBondYield($L140,$C$4,N140)</f>
        <v>3.1400000000000507E-3</v>
      </c>
      <c r="Q140" s="89">
        <f ca="1">_xll.meLWOBondModifiedDuration($L140,$C$4,$M140%)</f>
        <v>12.437308622078969</v>
      </c>
      <c r="R140" s="23">
        <f ca="1">_xll.meLWOBondDV01($L140,$C$4,$M140%)</f>
        <v>1522.3265753424657</v>
      </c>
      <c r="S140" s="85">
        <f t="shared" ca="1" si="25"/>
        <v>0.31400000000000006</v>
      </c>
      <c r="T140" s="22" t="str">
        <f ca="1">_xll.BDP($B140,T$6, "YAS_BOND_SPL_YLD="&amp;S140,"YAS_YLD_CONV=2")</f>
        <v>#N/A Requesting Data...</v>
      </c>
      <c r="U140" s="23">
        <f t="shared" ca="1" si="26"/>
        <v>116.85755011051607</v>
      </c>
      <c r="V140" s="23">
        <f t="shared" ca="1" si="18"/>
        <v>116.857</v>
      </c>
      <c r="W140" s="24" t="e">
        <f t="shared" ca="1" si="19"/>
        <v>#VALUE!</v>
      </c>
      <c r="X140" s="23">
        <f ca="1">_xll.meLWOBondDV01($L140,$C$4,$S140%)</f>
        <v>1522.3265753424657</v>
      </c>
      <c r="Y140" s="22" t="e">
        <f ca="1">_xll.BDP($B140,Y$6, "YLD_YTM_ASK="&amp;$S140,"YAS_YLD_CONV=3")*$Y$3*0.0001</f>
        <v>#VALUE!</v>
      </c>
      <c r="Z140" s="24" t="e">
        <f t="shared" ca="1" si="20"/>
        <v>#VALUE!</v>
      </c>
      <c r="AA140" s="23">
        <f ca="1">_xll.meLWOBondModifiedDuration($L140,$C$4,$S140%)</f>
        <v>12.437308622078969</v>
      </c>
      <c r="AB140" s="22" t="str">
        <f ca="1">_xll.BDP($B140,AB$6, "YLD_YTM_ASK="&amp;$S140,"YAS_YLD_CONV=3")</f>
        <v>#N/A Requesting Data...</v>
      </c>
      <c r="AC140" s="24" t="e">
        <f t="shared" ca="1" si="21"/>
        <v>#VALUE!</v>
      </c>
      <c r="AD140" s="23">
        <f ca="1">_xll.meLWOBondDV01Numerical($L140,$C$4,$S140%, 0.5, "CENTRAL")</f>
        <v>1531.8295902252999</v>
      </c>
      <c r="AE140" s="63" t="str">
        <f ca="1">_xll.BDP($B140,AE$6, "YAS_BOND_PX="&amp;T140)</f>
        <v>#N/A Invalid Override</v>
      </c>
      <c r="AF140" s="64" t="e">
        <f ca="1">_xll.meLWOBondCompoundYield(L140,$C$4,T140)*100</f>
        <v>#VALUE!</v>
      </c>
      <c r="AG140" s="65" t="e">
        <f t="shared" ca="1" si="22"/>
        <v>#VALUE!</v>
      </c>
      <c r="AH140" s="35" t="e">
        <f t="shared" ca="1" si="23"/>
        <v>#VALUE!</v>
      </c>
      <c r="AI140" s="63" t="str">
        <f ca="1">_xll.BDP($B140,AI$6, "PX_ASK="&amp;T140)</f>
        <v>#N/A Invalid Override</v>
      </c>
      <c r="AJ140" s="35" t="e">
        <f t="shared" ca="1" si="24"/>
        <v>#VALUE!</v>
      </c>
    </row>
    <row r="141" spans="2:36">
      <c r="B141" s="15" t="s">
        <v>1044</v>
      </c>
      <c r="C141" s="15" t="s">
        <v>1045</v>
      </c>
      <c r="D141" s="15" t="s">
        <v>1045</v>
      </c>
      <c r="E141" s="16">
        <v>41120</v>
      </c>
      <c r="F141" s="19">
        <v>41080</v>
      </c>
      <c r="G141" s="18"/>
      <c r="H141" s="16">
        <v>41263</v>
      </c>
      <c r="I141" s="16">
        <v>48202</v>
      </c>
      <c r="J141" s="17">
        <v>1.4999999999999999E-2</v>
      </c>
      <c r="K141" s="16">
        <v>48385</v>
      </c>
      <c r="L141" s="20" t="str">
        <f ca="1">_xll.meLWOBondCreateFromGeneratorLVB(C141,$L$4,_xll.meUtilityLVBFromKeysValues($C$6:$K$6,C141:K141))</f>
        <v>JP1201381C70:1</v>
      </c>
      <c r="M141" s="92">
        <f ca="1">_xll.BDP($B141,$M$5)</f>
        <v>0.31500000000000067</v>
      </c>
      <c r="N141" s="37">
        <f ca="1">_xll.meLWOBondCleanPrice($L141,$C$4,$M141%)</f>
        <v>115.53155415352812</v>
      </c>
      <c r="O141" s="37">
        <f ca="1">_xll.meLWOBondDirtyPrice($L141,$C$4,$M141%)</f>
        <v>121</v>
      </c>
      <c r="P141" s="87">
        <f ca="1">_xll.meLWOBondYield($L141,$C$4,N141)</f>
        <v>3.1500000000000837E-3</v>
      </c>
      <c r="Q141" s="89">
        <f ca="1">_xll.meLWOBondModifiedDuration($L141,$C$4,$M141%)</f>
        <v>12.501115136420243</v>
      </c>
      <c r="R141" s="23">
        <f ca="1">_xll.meLWOBondDV01($L141,$C$4,$M141%)</f>
        <v>1512.6349315068494</v>
      </c>
      <c r="S141" s="85">
        <f t="shared" ca="1" si="25"/>
        <v>0.31500000000000067</v>
      </c>
      <c r="T141" s="22" t="str">
        <f ca="1">_xll.BDP($B141,T$6, "YAS_BOND_SPL_YLD="&amp;S141,"YAS_YLD_CONV=2")</f>
        <v>#N/A Requesting Data...</v>
      </c>
      <c r="U141" s="23">
        <f t="shared" ca="1" si="26"/>
        <v>115.53155415352812</v>
      </c>
      <c r="V141" s="23">
        <f t="shared" ca="1" si="18"/>
        <v>115.53100000000001</v>
      </c>
      <c r="W141" s="24" t="e">
        <f t="shared" ca="1" si="19"/>
        <v>#VALUE!</v>
      </c>
      <c r="X141" s="23">
        <f ca="1">_xll.meLWOBondDV01($L141,$C$4,$S141%)</f>
        <v>1512.6349315068494</v>
      </c>
      <c r="Y141" s="22" t="e">
        <f ca="1">_xll.BDP($B141,Y$6, "YLD_YTM_ASK="&amp;$S141,"YAS_YLD_CONV=3")*$Y$3*0.0001</f>
        <v>#VALUE!</v>
      </c>
      <c r="Z141" s="24" t="e">
        <f t="shared" ca="1" si="20"/>
        <v>#VALUE!</v>
      </c>
      <c r="AA141" s="23">
        <f ca="1">_xll.meLWOBondModifiedDuration($L141,$C$4,$S141%)</f>
        <v>12.501115136420243</v>
      </c>
      <c r="AB141" s="22" t="str">
        <f ca="1">_xll.BDP($B141,AB$6, "YLD_YTM_ASK="&amp;$S141,"YAS_YLD_CONV=3")</f>
        <v>#N/A Requesting Data...</v>
      </c>
      <c r="AC141" s="24" t="e">
        <f t="shared" ca="1" si="21"/>
        <v>#VALUE!</v>
      </c>
      <c r="AD141" s="23">
        <f ca="1">_xll.meLWOBondDV01Numerical($L141,$C$4,$S141%, 0.5, "CENTRAL")</f>
        <v>1514.2492492928739</v>
      </c>
      <c r="AE141" s="63" t="str">
        <f ca="1">_xll.BDP($B141,AE$6, "YAS_BOND_PX="&amp;T141)</f>
        <v>#N/A Invalid Override</v>
      </c>
      <c r="AF141" s="64" t="e">
        <f ca="1">_xll.meLWOBondCompoundYield(L141,$C$4,T141)*100</f>
        <v>#VALUE!</v>
      </c>
      <c r="AG141" s="65" t="e">
        <f t="shared" ca="1" si="22"/>
        <v>#VALUE!</v>
      </c>
      <c r="AH141" s="35" t="e">
        <f t="shared" ca="1" si="23"/>
        <v>#VALUE!</v>
      </c>
      <c r="AI141" s="63" t="str">
        <f ca="1">_xll.BDP($B141,AI$6, "PX_ASK="&amp;T141)</f>
        <v>#N/A Invalid Override</v>
      </c>
      <c r="AJ141" s="35" t="e">
        <f t="shared" ca="1" si="24"/>
        <v>#VALUE!</v>
      </c>
    </row>
    <row r="142" spans="2:36">
      <c r="B142" s="15" t="s">
        <v>1046</v>
      </c>
      <c r="C142" s="15" t="s">
        <v>1047</v>
      </c>
      <c r="D142" s="15" t="s">
        <v>1047</v>
      </c>
      <c r="E142" s="16">
        <v>41080</v>
      </c>
      <c r="F142" s="19">
        <v>41080</v>
      </c>
      <c r="G142" s="18"/>
      <c r="H142" s="16">
        <v>41263</v>
      </c>
      <c r="I142" s="16">
        <v>48202</v>
      </c>
      <c r="J142" s="17">
        <v>1.7000000000000001E-2</v>
      </c>
      <c r="K142" s="16">
        <v>48385</v>
      </c>
      <c r="L142" s="20" t="str">
        <f ca="1">_xll.meLWOBondCreateFromGeneratorLVB(C142,$L$4,_xll.meUtilityLVBFromKeysValues($C$6:$K$6,C142:K142))</f>
        <v>JP1201371C64:1</v>
      </c>
      <c r="M142" s="92">
        <f ca="1">_xll.BDP($B142,$M$5)</f>
        <v>0.30999999999999917</v>
      </c>
      <c r="N142" s="37">
        <f ca="1">_xll.meLWOBondCleanPrice($L142,$C$4,$M142%)</f>
        <v>118.23039459193785</v>
      </c>
      <c r="O142" s="37">
        <f ca="1">_xll.meLWOBondDirtyPrice($L142,$C$4,$M142%)</f>
        <v>123.8</v>
      </c>
      <c r="P142" s="87">
        <f ca="1">_xll.meLWOBondYield($L142,$C$4,N142)</f>
        <v>3.0999999999999062E-3</v>
      </c>
      <c r="Q142" s="89">
        <f ca="1">_xll.meLWOBondModifiedDuration($L142,$C$4,$M142%)</f>
        <v>12.374945227609709</v>
      </c>
      <c r="R142" s="23">
        <f ca="1">_xll.meLWOBondDV01($L142,$C$4,$M142%)</f>
        <v>1532.0182191780821</v>
      </c>
      <c r="S142" s="85">
        <f t="shared" ca="1" si="25"/>
        <v>0.30999999999999917</v>
      </c>
      <c r="T142" s="22" t="str">
        <f ca="1">_xll.BDP($B142,T$6, "YAS_BOND_SPL_YLD="&amp;S142,"YAS_YLD_CONV=2")</f>
        <v>#N/A Requesting Data...</v>
      </c>
      <c r="U142" s="23">
        <f t="shared" ca="1" si="26"/>
        <v>118.23039459193785</v>
      </c>
      <c r="V142" s="23">
        <f t="shared" ca="1" si="18"/>
        <v>118.23</v>
      </c>
      <c r="W142" s="24" t="e">
        <f t="shared" ca="1" si="19"/>
        <v>#VALUE!</v>
      </c>
      <c r="X142" s="23">
        <f ca="1">_xll.meLWOBondDV01($L142,$C$4,$S142%)</f>
        <v>1532.0182191780821</v>
      </c>
      <c r="Y142" s="22" t="e">
        <f ca="1">_xll.BDP($B142,Y$6, "YLD_YTM_ASK="&amp;$S142,"YAS_YLD_CONV=3")*$Y$3*0.0001</f>
        <v>#VALUE!</v>
      </c>
      <c r="Z142" s="24" t="e">
        <f t="shared" ca="1" si="20"/>
        <v>#VALUE!</v>
      </c>
      <c r="AA142" s="23">
        <f ca="1">_xll.meLWOBondModifiedDuration($L142,$C$4,$S142%)</f>
        <v>12.374945227609709</v>
      </c>
      <c r="AB142" s="22" t="str">
        <f ca="1">_xll.BDP($B142,AB$6, "YLD_YTM_ASK="&amp;$S142,"YAS_YLD_CONV=3")</f>
        <v>#N/A Requesting Data...</v>
      </c>
      <c r="AC142" s="24" t="e">
        <f t="shared" ca="1" si="21"/>
        <v>#VALUE!</v>
      </c>
      <c r="AD142" s="23">
        <f ca="1">_xll.meLWOBondDV01Numerical($L142,$C$4,$S142%, 0.5, "CENTRAL")</f>
        <v>1550.6386137130335</v>
      </c>
      <c r="AE142" s="63" t="str">
        <f ca="1">_xll.BDP($B142,AE$6, "YAS_BOND_PX="&amp;T142)</f>
        <v>#N/A Invalid Override</v>
      </c>
      <c r="AF142" s="64" t="e">
        <f ca="1">_xll.meLWOBondCompoundYield(L142,$C$4,T142)*100</f>
        <v>#VALUE!</v>
      </c>
      <c r="AG142" s="65" t="e">
        <f t="shared" ca="1" si="22"/>
        <v>#VALUE!</v>
      </c>
      <c r="AH142" s="35" t="e">
        <f t="shared" ca="1" si="23"/>
        <v>#VALUE!</v>
      </c>
      <c r="AI142" s="63" t="str">
        <f ca="1">_xll.BDP($B142,AI$6, "PX_ASK="&amp;T142)</f>
        <v>#N/A Invalid Override</v>
      </c>
      <c r="AJ142" s="35" t="e">
        <f t="shared" ca="1" si="24"/>
        <v>#VALUE!</v>
      </c>
    </row>
    <row r="143" spans="2:36">
      <c r="B143" s="15" t="s">
        <v>1048</v>
      </c>
      <c r="C143" s="15" t="s">
        <v>1049</v>
      </c>
      <c r="D143" s="15" t="s">
        <v>1049</v>
      </c>
      <c r="E143" s="16">
        <v>41172</v>
      </c>
      <c r="F143" s="19">
        <v>41172</v>
      </c>
      <c r="G143" s="18"/>
      <c r="H143" s="16">
        <v>41353</v>
      </c>
      <c r="I143" s="16">
        <v>48293</v>
      </c>
      <c r="J143" s="17">
        <v>1.7000000000000001E-2</v>
      </c>
      <c r="K143" s="16">
        <v>48477</v>
      </c>
      <c r="L143" s="20" t="str">
        <f ca="1">_xll.meLWOBondCreateFromGeneratorLVB(C143,$L$4,_xll.meUtilityLVBFromKeysValues($C$6:$K$6,C143:K143))</f>
        <v>JP1201401C92:1</v>
      </c>
      <c r="M143" s="92">
        <f ca="1">_xll.BDP($B143,$M$5)</f>
        <v>0.32499999999999957</v>
      </c>
      <c r="N143" s="37">
        <f ca="1">_xll.meLWOBondCleanPrice($L143,$C$4,$M143%)</f>
        <v>118.31572160050744</v>
      </c>
      <c r="O143" s="37">
        <f ca="1">_xll.meLWOBondDirtyPrice($L143,$C$4,$M143%)</f>
        <v>123.8</v>
      </c>
      <c r="P143" s="87">
        <f ca="1">_xll.meLWOBondYield($L143,$C$4,N143)</f>
        <v>3.2500000000002839E-3</v>
      </c>
      <c r="Q143" s="89">
        <f ca="1">_xll.meLWOBondModifiedDuration($L143,$C$4,$M143%)</f>
        <v>12.621520570075464</v>
      </c>
      <c r="R143" s="23">
        <f ca="1">_xll.meLWOBondDV01($L143,$C$4,$M143%)</f>
        <v>1562.5442465753424</v>
      </c>
      <c r="S143" s="85">
        <f t="shared" ca="1" si="25"/>
        <v>0.32499999999999957</v>
      </c>
      <c r="T143" s="22" t="str">
        <f ca="1">_xll.BDP($B143,T$6, "YAS_BOND_SPL_YLD="&amp;S143,"YAS_YLD_CONV=2")</f>
        <v>#N/A Requesting Data...</v>
      </c>
      <c r="U143" s="23">
        <f t="shared" ca="1" si="26"/>
        <v>118.31572160050744</v>
      </c>
      <c r="V143" s="23">
        <f t="shared" ca="1" si="18"/>
        <v>118.315</v>
      </c>
      <c r="W143" s="24" t="e">
        <f t="shared" ca="1" si="19"/>
        <v>#VALUE!</v>
      </c>
      <c r="X143" s="23">
        <f ca="1">_xll.meLWOBondDV01($L143,$C$4,$S143%)</f>
        <v>1562.5442465753424</v>
      </c>
      <c r="Y143" s="22" t="e">
        <f ca="1">_xll.BDP($B143,Y$6, "YLD_YTM_ASK="&amp;$S143,"YAS_YLD_CONV=3")*$Y$3*0.0001</f>
        <v>#VALUE!</v>
      </c>
      <c r="Z143" s="24" t="e">
        <f t="shared" ca="1" si="20"/>
        <v>#VALUE!</v>
      </c>
      <c r="AA143" s="23">
        <f ca="1">_xll.meLWOBondModifiedDuration($L143,$C$4,$S143%)</f>
        <v>12.621520570075464</v>
      </c>
      <c r="AB143" s="22" t="str">
        <f ca="1">_xll.BDP($B143,AB$6, "YLD_YTM_ASK="&amp;$S143,"YAS_YLD_CONV=3")</f>
        <v>#N/A Requesting Data...</v>
      </c>
      <c r="AC143" s="24" t="e">
        <f t="shared" ca="1" si="21"/>
        <v>#VALUE!</v>
      </c>
      <c r="AD143" s="23">
        <f ca="1">_xll.meLWOBondDV01Numerical($L143,$C$4,$S143%, 0.5, "CENTRAL")</f>
        <v>1576.0282029651764</v>
      </c>
      <c r="AE143" s="63" t="str">
        <f ca="1">_xll.BDP($B143,AE$6, "YAS_BOND_PX="&amp;T143)</f>
        <v>#N/A Invalid Override</v>
      </c>
      <c r="AF143" s="64" t="e">
        <f ca="1">_xll.meLWOBondCompoundYield(L143,$C$4,T143)*100</f>
        <v>#VALUE!</v>
      </c>
      <c r="AG143" s="65" t="e">
        <f t="shared" ca="1" si="22"/>
        <v>#VALUE!</v>
      </c>
      <c r="AH143" s="35" t="e">
        <f t="shared" ca="1" si="23"/>
        <v>#VALUE!</v>
      </c>
      <c r="AI143" s="63" t="str">
        <f ca="1">_xll.BDP($B143,AI$6, "PX_ASK="&amp;T143)</f>
        <v>#N/A Invalid Override</v>
      </c>
      <c r="AJ143" s="35" t="e">
        <f t="shared" ca="1" si="24"/>
        <v>#VALUE!</v>
      </c>
    </row>
    <row r="144" spans="2:36">
      <c r="B144" s="15" t="s">
        <v>1050</v>
      </c>
      <c r="C144" s="15" t="s">
        <v>1051</v>
      </c>
      <c r="D144" s="15" t="s">
        <v>1051</v>
      </c>
      <c r="E144" s="16">
        <v>37580</v>
      </c>
      <c r="F144" s="19">
        <v>37580</v>
      </c>
      <c r="G144" s="18"/>
      <c r="H144" s="16">
        <v>37761</v>
      </c>
      <c r="I144" s="16">
        <v>48354</v>
      </c>
      <c r="J144" s="17">
        <v>1.8000000000000002E-2</v>
      </c>
      <c r="K144" s="16">
        <v>48540</v>
      </c>
      <c r="L144" s="20" t="str">
        <f ca="1">_xll.meLWOBondCreateFromGeneratorLVB(C144,$L$4,_xll.meUtilityLVBFromKeysValues($C$6:$K$6,C144:K144))</f>
        <v>JP13000812B5:1</v>
      </c>
      <c r="M144" s="92">
        <f ca="1">_xll.BDP($B144,$M$5)</f>
        <v>0.32800000000000001</v>
      </c>
      <c r="N144" s="37">
        <f ca="1">_xll.meLWOBondCleanPrice($L144,$C$4,$M144%)</f>
        <v>119.83221761222764</v>
      </c>
      <c r="O144" s="37">
        <f ca="1">_xll.meLWOBondDirtyPrice($L144,$C$4,$M144%)</f>
        <v>126.10986301369861</v>
      </c>
      <c r="P144" s="87">
        <f ca="1">_xll.meLWOBondYield($L144,$C$4,N144)</f>
        <v>3.2799999999997766E-3</v>
      </c>
      <c r="Q144" s="89">
        <f ca="1">_xll.meLWOBondModifiedDuration($L144,$C$4,$M144%)</f>
        <v>12.641674154074229</v>
      </c>
      <c r="R144" s="23">
        <f ca="1">_xll.meLWOBondDV01($L144,$C$4,$M144%)</f>
        <v>1594.2397958341153</v>
      </c>
      <c r="S144" s="85">
        <f t="shared" ca="1" si="25"/>
        <v>0.32800000000000001</v>
      </c>
      <c r="T144" s="22" t="str">
        <f ca="1">_xll.BDP($B144,T$6, "YAS_BOND_SPL_YLD="&amp;S144,"YAS_YLD_CONV=2")</f>
        <v>#N/A Requesting Data...</v>
      </c>
      <c r="U144" s="23">
        <f t="shared" ca="1" si="26"/>
        <v>119.83221761222764</v>
      </c>
      <c r="V144" s="23">
        <f t="shared" ca="1" si="18"/>
        <v>119.83199999999999</v>
      </c>
      <c r="W144" s="24" t="e">
        <f t="shared" ca="1" si="19"/>
        <v>#VALUE!</v>
      </c>
      <c r="X144" s="23">
        <f ca="1">_xll.meLWOBondDV01($L144,$C$4,$S144%)</f>
        <v>1594.2397958341153</v>
      </c>
      <c r="Y144" s="22" t="e">
        <f ca="1">_xll.BDP($B144,Y$6, "YLD_YTM_ASK="&amp;$S144,"YAS_YLD_CONV=3")*$Y$3*0.0001</f>
        <v>#VALUE!</v>
      </c>
      <c r="Z144" s="24" t="e">
        <f t="shared" ca="1" si="20"/>
        <v>#VALUE!</v>
      </c>
      <c r="AA144" s="23">
        <f ca="1">_xll.meLWOBondModifiedDuration($L144,$C$4,$S144%)</f>
        <v>12.641674154074229</v>
      </c>
      <c r="AB144" s="22" t="str">
        <f ca="1">_xll.BDP($B144,AB$6, "YLD_YTM_ASK="&amp;$S144,"YAS_YLD_CONV=3")</f>
        <v>#N/A Requesting Data...</v>
      </c>
      <c r="AC144" s="24" t="e">
        <f t="shared" ca="1" si="21"/>
        <v>#VALUE!</v>
      </c>
      <c r="AD144" s="23">
        <f ca="1">_xll.meLWOBondDV01Numerical($L144,$C$4,$S144%, 0.5, "CENTRAL")</f>
        <v>1614.4970754901067</v>
      </c>
      <c r="AE144" s="63" t="str">
        <f ca="1">_xll.BDP($B144,AE$6, "YAS_BOND_PX="&amp;T144)</f>
        <v>#N/A Invalid Override</v>
      </c>
      <c r="AF144" s="64" t="e">
        <f ca="1">_xll.meLWOBondCompoundYield(L144,$C$4,T144)*100</f>
        <v>#VALUE!</v>
      </c>
      <c r="AG144" s="65" t="e">
        <f t="shared" ca="1" si="22"/>
        <v>#VALUE!</v>
      </c>
      <c r="AH144" s="35" t="e">
        <f t="shared" ca="1" si="23"/>
        <v>#VALUE!</v>
      </c>
      <c r="AI144" s="63" t="str">
        <f ca="1">_xll.BDP($B144,AI$6, "PX_ASK="&amp;T144)</f>
        <v>#N/A Invalid Override</v>
      </c>
      <c r="AJ144" s="35" t="e">
        <f t="shared" ca="1" si="24"/>
        <v>#VALUE!</v>
      </c>
    </row>
    <row r="145" spans="2:36">
      <c r="B145" s="15" t="s">
        <v>1052</v>
      </c>
      <c r="C145" s="15" t="s">
        <v>1053</v>
      </c>
      <c r="D145" s="15" t="s">
        <v>1053</v>
      </c>
      <c r="E145" s="16">
        <v>41330</v>
      </c>
      <c r="F145" s="19">
        <v>41263</v>
      </c>
      <c r="G145" s="18"/>
      <c r="H145" s="16">
        <v>41445</v>
      </c>
      <c r="I145" s="16">
        <v>48385</v>
      </c>
      <c r="J145" s="17">
        <v>1.8000000000000002E-2</v>
      </c>
      <c r="K145" s="16">
        <v>48568</v>
      </c>
      <c r="L145" s="20" t="str">
        <f ca="1">_xll.meLWOBondCreateFromGeneratorLVB(C145,$L$4,_xll.meUtilityLVBFromKeysValues($C$6:$K$6,C145:K145))</f>
        <v>JP1201421D22:1</v>
      </c>
      <c r="M145" s="92">
        <f ca="1">_xll.BDP($B145,$M$5)</f>
        <v>0.33600000000000041</v>
      </c>
      <c r="N145" s="37">
        <f ca="1">_xll.meLWOBondCleanPrice($L145,$C$4,$M145%)</f>
        <v>119.80555115041196</v>
      </c>
      <c r="O145" s="37">
        <f ca="1">_xll.meLWOBondDirtyPrice($L145,$C$4,$M145%)</f>
        <v>126.1</v>
      </c>
      <c r="P145" s="87">
        <f ca="1">_xll.meLWOBondYield($L145,$C$4,N145)</f>
        <v>3.3599999999999772E-3</v>
      </c>
      <c r="Q145" s="89">
        <f ca="1">_xll.meLWOBondModifiedDuration($L145,$C$4,$M145%)</f>
        <v>12.723752620772819</v>
      </c>
      <c r="R145" s="23">
        <f ca="1">_xll.meLWOBondDV01($L145,$C$4,$M145%)</f>
        <v>1604.4652054794524</v>
      </c>
      <c r="S145" s="85">
        <f t="shared" ca="1" si="25"/>
        <v>0.33600000000000041</v>
      </c>
      <c r="T145" s="22" t="str">
        <f ca="1">_xll.BDP($B145,T$6, "YAS_BOND_SPL_YLD="&amp;S145,"YAS_YLD_CONV=2")</f>
        <v>#N/A Requesting Data...</v>
      </c>
      <c r="U145" s="23">
        <f t="shared" ca="1" si="26"/>
        <v>119.80555115041196</v>
      </c>
      <c r="V145" s="23">
        <f t="shared" ca="1" si="18"/>
        <v>119.80500000000001</v>
      </c>
      <c r="W145" s="24" t="e">
        <f t="shared" ca="1" si="19"/>
        <v>#VALUE!</v>
      </c>
      <c r="X145" s="23">
        <f ca="1">_xll.meLWOBondDV01($L145,$C$4,$S145%)</f>
        <v>1604.4652054794524</v>
      </c>
      <c r="Y145" s="22" t="e">
        <f ca="1">_xll.BDP($B145,Y$6, "YLD_YTM_ASK="&amp;$S145,"YAS_YLD_CONV=3")*$Y$3*0.0001</f>
        <v>#VALUE!</v>
      </c>
      <c r="Z145" s="24" t="e">
        <f t="shared" ca="1" si="20"/>
        <v>#VALUE!</v>
      </c>
      <c r="AA145" s="23">
        <f ca="1">_xll.meLWOBondModifiedDuration($L145,$C$4,$S145%)</f>
        <v>12.723752620772819</v>
      </c>
      <c r="AB145" s="22" t="str">
        <f ca="1">_xll.BDP($B145,AB$6, "YLD_YTM_ASK="&amp;$S145,"YAS_YLD_CONV=3")</f>
        <v>#N/A Requesting Data...</v>
      </c>
      <c r="AC145" s="24" t="e">
        <f t="shared" ca="1" si="21"/>
        <v>#VALUE!</v>
      </c>
      <c r="AD145" s="23">
        <f ca="1">_xll.meLWOBondDV01Numerical($L145,$C$4,$S145%, 0.5, "CENTRAL")</f>
        <v>1620.7759952716574</v>
      </c>
      <c r="AE145" s="63" t="str">
        <f ca="1">_xll.BDP($B145,AE$6, "YAS_BOND_PX="&amp;T145)</f>
        <v>#N/A Invalid Override</v>
      </c>
      <c r="AF145" s="64" t="e">
        <f ca="1">_xll.meLWOBondCompoundYield(L145,$C$4,T145)*100</f>
        <v>#VALUE!</v>
      </c>
      <c r="AG145" s="65" t="e">
        <f t="shared" ca="1" si="22"/>
        <v>#VALUE!</v>
      </c>
      <c r="AH145" s="35" t="e">
        <f t="shared" ca="1" si="23"/>
        <v>#VALUE!</v>
      </c>
      <c r="AI145" s="63" t="str">
        <f ca="1">_xll.BDP($B145,AI$6, "PX_ASK="&amp;T145)</f>
        <v>#N/A Invalid Override</v>
      </c>
      <c r="AJ145" s="35" t="e">
        <f t="shared" ca="1" si="24"/>
        <v>#VALUE!</v>
      </c>
    </row>
    <row r="146" spans="2:36">
      <c r="B146" s="15" t="s">
        <v>1054</v>
      </c>
      <c r="C146" s="15" t="s">
        <v>1055</v>
      </c>
      <c r="D146" s="15" t="s">
        <v>1055</v>
      </c>
      <c r="E146" s="16">
        <v>41263</v>
      </c>
      <c r="F146" s="19">
        <v>41263</v>
      </c>
      <c r="G146" s="18"/>
      <c r="H146" s="16">
        <v>41445</v>
      </c>
      <c r="I146" s="16">
        <v>48385</v>
      </c>
      <c r="J146" s="17">
        <v>1.7000000000000001E-2</v>
      </c>
      <c r="K146" s="16">
        <v>48568</v>
      </c>
      <c r="L146" s="20" t="str">
        <f ca="1">_xll.meLWOBondCreateFromGeneratorLVB(C146,$L$4,_xll.meUtilityLVBFromKeysValues($C$6:$K$6,C146:K146))</f>
        <v>JP1201411CC4:1</v>
      </c>
      <c r="M146" s="92">
        <f ca="1">_xll.BDP($B146,$M$5)</f>
        <v>0.3350000000000003</v>
      </c>
      <c r="N146" s="37">
        <f ca="1">_xll.meLWOBondCleanPrice($L146,$C$4,$M146%)</f>
        <v>118.46873986067779</v>
      </c>
      <c r="O146" s="37">
        <f ca="1">_xll.meLWOBondDirtyPrice($L146,$C$4,$M146%)</f>
        <v>124.64999999999999</v>
      </c>
      <c r="P146" s="87">
        <f ca="1">_xll.meLWOBondYield($L146,$C$4,N146)</f>
        <v>3.3499999999998683E-3</v>
      </c>
      <c r="Q146" s="89">
        <f ca="1">_xll.meLWOBondModifiedDuration($L146,$C$4,$M146%)</f>
        <v>12.788326767002401</v>
      </c>
      <c r="R146" s="23">
        <f ca="1">_xll.meLWOBondDV01($L146,$C$4,$M146%)</f>
        <v>1594.0649315068492</v>
      </c>
      <c r="S146" s="85">
        <f t="shared" ca="1" si="25"/>
        <v>0.3350000000000003</v>
      </c>
      <c r="T146" s="22" t="str">
        <f ca="1">_xll.BDP($B146,T$6, "YAS_BOND_SPL_YLD="&amp;S146,"YAS_YLD_CONV=2")</f>
        <v>#N/A Requesting Data...</v>
      </c>
      <c r="U146" s="23">
        <f t="shared" ca="1" si="26"/>
        <v>118.46873986067779</v>
      </c>
      <c r="V146" s="23">
        <f t="shared" ca="1" si="18"/>
        <v>118.468</v>
      </c>
      <c r="W146" s="24" t="e">
        <f t="shared" ca="1" si="19"/>
        <v>#VALUE!</v>
      </c>
      <c r="X146" s="23">
        <f ca="1">_xll.meLWOBondDV01($L146,$C$4,$S146%)</f>
        <v>1594.0649315068492</v>
      </c>
      <c r="Y146" s="22" t="e">
        <f ca="1">_xll.BDP($B146,Y$6, "YLD_YTM_ASK="&amp;$S146,"YAS_YLD_CONV=3")*$Y$3*0.0001</f>
        <v>#VALUE!</v>
      </c>
      <c r="Z146" s="24" t="e">
        <f t="shared" ca="1" si="20"/>
        <v>#VALUE!</v>
      </c>
      <c r="AA146" s="23">
        <f ca="1">_xll.meLWOBondModifiedDuration($L146,$C$4,$S146%)</f>
        <v>12.788326767002401</v>
      </c>
      <c r="AB146" s="22" t="str">
        <f ca="1">_xll.BDP($B146,AB$6, "YLD_YTM_ASK="&amp;$S146,"YAS_YLD_CONV=3")</f>
        <v>#N/A Requesting Data...</v>
      </c>
      <c r="AC146" s="24" t="e">
        <f t="shared" ca="1" si="21"/>
        <v>#VALUE!</v>
      </c>
      <c r="AD146" s="23">
        <f ca="1">_xll.meLWOBondDV01Numerical($L146,$C$4,$S146%, 0.5, "CENTRAL")</f>
        <v>1602.9079410034797</v>
      </c>
      <c r="AE146" s="63" t="str">
        <f ca="1">_xll.BDP($B146,AE$6, "YAS_BOND_PX="&amp;T146)</f>
        <v>#N/A Invalid Override</v>
      </c>
      <c r="AF146" s="64" t="e">
        <f ca="1">_xll.meLWOBondCompoundYield(L146,$C$4,T146)*100</f>
        <v>#VALUE!</v>
      </c>
      <c r="AG146" s="65" t="e">
        <f t="shared" ca="1" si="22"/>
        <v>#VALUE!</v>
      </c>
      <c r="AH146" s="35" t="e">
        <f t="shared" ca="1" si="23"/>
        <v>#VALUE!</v>
      </c>
      <c r="AI146" s="63" t="str">
        <f ca="1">_xll.BDP($B146,AI$6, "PX_ASK="&amp;T146)</f>
        <v>#N/A Invalid Override</v>
      </c>
      <c r="AJ146" s="35" t="e">
        <f t="shared" ca="1" si="24"/>
        <v>#VALUE!</v>
      </c>
    </row>
    <row r="147" spans="2:36">
      <c r="B147" s="15" t="s">
        <v>1056</v>
      </c>
      <c r="C147" s="15" t="s">
        <v>1057</v>
      </c>
      <c r="D147" s="15" t="s">
        <v>1057</v>
      </c>
      <c r="E147" s="16">
        <v>37651</v>
      </c>
      <c r="F147" s="19">
        <v>37610</v>
      </c>
      <c r="G147" s="18"/>
      <c r="H147" s="16">
        <v>37792</v>
      </c>
      <c r="I147" s="16">
        <v>48385</v>
      </c>
      <c r="J147" s="17">
        <v>1.3999999999999999E-2</v>
      </c>
      <c r="K147" s="16">
        <v>48568</v>
      </c>
      <c r="L147" s="20" t="str">
        <f ca="1">_xll.meLWOBondCreateFromGeneratorLVB(C147,$L$4,_xll.meUtilityLVBFromKeysValues($C$6:$K$6,C147:K147))</f>
        <v>JP1300091319:1</v>
      </c>
      <c r="M147" s="92">
        <f ca="1">_xll.BDP($B147,$M$5)</f>
        <v>0.33700000000000035</v>
      </c>
      <c r="N147" s="37">
        <f ca="1">_xll.meLWOBondCleanPrice($L147,$C$4,$M147%)</f>
        <v>114.37872478633578</v>
      </c>
      <c r="O147" s="37">
        <f ca="1">_xll.meLWOBondDirtyPrice($L147,$C$4,$M147%)</f>
        <v>120.30000000000001</v>
      </c>
      <c r="P147" s="87">
        <f ca="1">_xll.meLWOBondYield($L147,$C$4,N147)</f>
        <v>3.3699999999998636E-3</v>
      </c>
      <c r="Q147" s="89">
        <f ca="1">_xll.meLWOBondModifiedDuration($L147,$C$4,$M147%)</f>
        <v>12.991389107140826</v>
      </c>
      <c r="R147" s="23">
        <f ca="1">_xll.meLWOBondDV01($L147,$C$4,$M147%)</f>
        <v>1562.8641095890414</v>
      </c>
      <c r="S147" s="85">
        <f t="shared" ca="1" si="25"/>
        <v>0.33700000000000035</v>
      </c>
      <c r="T147" s="22" t="str">
        <f ca="1">_xll.BDP($B147,T$6, "YAS_BOND_SPL_YLD="&amp;S147,"YAS_YLD_CONV=2")</f>
        <v>#N/A Requesting Data...</v>
      </c>
      <c r="U147" s="23">
        <f t="shared" ca="1" si="26"/>
        <v>114.37872478633578</v>
      </c>
      <c r="V147" s="23">
        <f t="shared" ca="1" si="18"/>
        <v>114.378</v>
      </c>
      <c r="W147" s="24" t="e">
        <f t="shared" ca="1" si="19"/>
        <v>#VALUE!</v>
      </c>
      <c r="X147" s="23">
        <f ca="1">_xll.meLWOBondDV01($L147,$C$4,$S147%)</f>
        <v>1562.8641095890414</v>
      </c>
      <c r="Y147" s="22" t="e">
        <f ca="1">_xll.BDP($B147,Y$6, "YLD_YTM_ASK="&amp;$S147,"YAS_YLD_CONV=3")*$Y$3*0.0001</f>
        <v>#VALUE!</v>
      </c>
      <c r="Z147" s="24" t="e">
        <f t="shared" ca="1" si="20"/>
        <v>#VALUE!</v>
      </c>
      <c r="AA147" s="23">
        <f ca="1">_xll.meLWOBondModifiedDuration($L147,$C$4,$S147%)</f>
        <v>12.991389107140826</v>
      </c>
      <c r="AB147" s="22" t="str">
        <f ca="1">_xll.BDP($B147,AB$6, "YLD_YTM_ASK="&amp;$S147,"YAS_YLD_CONV=3")</f>
        <v>#N/A Requesting Data...</v>
      </c>
      <c r="AC147" s="24" t="e">
        <f t="shared" ca="1" si="21"/>
        <v>#VALUE!</v>
      </c>
      <c r="AD147" s="23">
        <f ca="1">_xll.meLWOBondDV01Numerical($L147,$C$4,$S147%, 0.5, "CENTRAL")</f>
        <v>1547.1504773242373</v>
      </c>
      <c r="AE147" s="63" t="str">
        <f ca="1">_xll.BDP($B147,AE$6, "YAS_BOND_PX="&amp;T147)</f>
        <v>#N/A Invalid Override</v>
      </c>
      <c r="AF147" s="64" t="e">
        <f ca="1">_xll.meLWOBondCompoundYield(L147,$C$4,T147)*100</f>
        <v>#VALUE!</v>
      </c>
      <c r="AG147" s="65" t="e">
        <f t="shared" ca="1" si="22"/>
        <v>#VALUE!</v>
      </c>
      <c r="AH147" s="35" t="e">
        <f t="shared" ca="1" si="23"/>
        <v>#VALUE!</v>
      </c>
      <c r="AI147" s="63" t="str">
        <f ca="1">_xll.BDP($B147,AI$6, "PX_ASK="&amp;T147)</f>
        <v>#N/A Invalid Override</v>
      </c>
      <c r="AJ147" s="35" t="e">
        <f t="shared" ca="1" si="24"/>
        <v>#VALUE!</v>
      </c>
    </row>
    <row r="148" spans="2:36">
      <c r="B148" s="15" t="s">
        <v>1058</v>
      </c>
      <c r="C148" s="15" t="s">
        <v>1059</v>
      </c>
      <c r="D148" s="15" t="s">
        <v>1059</v>
      </c>
      <c r="E148" s="16">
        <v>41386</v>
      </c>
      <c r="F148" s="19">
        <v>41353</v>
      </c>
      <c r="G148" s="18"/>
      <c r="H148" s="16">
        <v>41537</v>
      </c>
      <c r="I148" s="16">
        <v>48477</v>
      </c>
      <c r="J148" s="17">
        <v>1.4999999999999999E-2</v>
      </c>
      <c r="K148" s="16">
        <v>48658</v>
      </c>
      <c r="L148" s="20" t="str">
        <f ca="1">_xll.meLWOBondCreateFromGeneratorLVB(C148,$L$4,_xll.meUtilityLVBFromKeysValues($C$6:$K$6,C148:K148))</f>
        <v>JP1201441D44:1</v>
      </c>
      <c r="M148" s="92">
        <f ca="1">_xll.BDP($B148,$M$5)</f>
        <v>0.34999999999999976</v>
      </c>
      <c r="N148" s="37">
        <f ca="1">_xll.meLWOBondCleanPrice($L148,$C$4,$M148%)</f>
        <v>115.78541053490881</v>
      </c>
      <c r="O148" s="37">
        <f ca="1">_xll.meLWOBondDirtyPrice($L148,$C$4,$M148%)</f>
        <v>121.75</v>
      </c>
      <c r="P148" s="87">
        <f ca="1">_xll.meLWOBondYield($L148,$C$4,N148)</f>
        <v>3.4999999999998726E-3</v>
      </c>
      <c r="Q148" s="89">
        <f ca="1">_xll.meLWOBondModifiedDuration($L148,$C$4,$M148%)</f>
        <v>13.168664735169195</v>
      </c>
      <c r="R148" s="23">
        <f ca="1">_xll.meLWOBondDV01($L148,$C$4,$M148%)</f>
        <v>1603.2849315068495</v>
      </c>
      <c r="S148" s="85">
        <f t="shared" ca="1" si="25"/>
        <v>0.34999999999999976</v>
      </c>
      <c r="T148" s="22" t="str">
        <f ca="1">_xll.BDP($B148,T$6, "YAS_BOND_SPL_YLD="&amp;S148,"YAS_YLD_CONV=2")</f>
        <v>#N/A Requesting Data...</v>
      </c>
      <c r="U148" s="23">
        <f t="shared" ca="1" si="26"/>
        <v>115.78541053490881</v>
      </c>
      <c r="V148" s="23">
        <f t="shared" ca="1" si="18"/>
        <v>115.785</v>
      </c>
      <c r="W148" s="24" t="e">
        <f t="shared" ca="1" si="19"/>
        <v>#VALUE!</v>
      </c>
      <c r="X148" s="23">
        <f ca="1">_xll.meLWOBondDV01($L148,$C$4,$S148%)</f>
        <v>1603.2849315068495</v>
      </c>
      <c r="Y148" s="22" t="e">
        <f ca="1">_xll.BDP($B148,Y$6, "YLD_YTM_ASK="&amp;$S148,"YAS_YLD_CONV=3")*$Y$3*0.0001</f>
        <v>#VALUE!</v>
      </c>
      <c r="Z148" s="24" t="e">
        <f t="shared" ca="1" si="20"/>
        <v>#VALUE!</v>
      </c>
      <c r="AA148" s="23">
        <f ca="1">_xll.meLWOBondModifiedDuration($L148,$C$4,$S148%)</f>
        <v>13.168664735169195</v>
      </c>
      <c r="AB148" s="22" t="str">
        <f ca="1">_xll.BDP($B148,AB$6, "YLD_YTM_ASK="&amp;$S148,"YAS_YLD_CONV=3")</f>
        <v>#N/A Requesting Data...</v>
      </c>
      <c r="AC148" s="24" t="e">
        <f t="shared" ca="1" si="21"/>
        <v>#VALUE!</v>
      </c>
      <c r="AD148" s="23">
        <f ca="1">_xll.meLWOBondDV01Numerical($L148,$C$4,$S148%, 0.5, "CENTRAL")</f>
        <v>1589.3226958021955</v>
      </c>
      <c r="AE148" s="63" t="str">
        <f ca="1">_xll.BDP($B148,AE$6, "YAS_BOND_PX="&amp;T148)</f>
        <v>#N/A Invalid Override</v>
      </c>
      <c r="AF148" s="64" t="e">
        <f ca="1">_xll.meLWOBondCompoundYield(L148,$C$4,T148)*100</f>
        <v>#VALUE!</v>
      </c>
      <c r="AG148" s="65" t="e">
        <f t="shared" ca="1" si="22"/>
        <v>#VALUE!</v>
      </c>
      <c r="AH148" s="35" t="e">
        <f t="shared" ca="1" si="23"/>
        <v>#VALUE!</v>
      </c>
      <c r="AI148" s="63" t="str">
        <f ca="1">_xll.BDP($B148,AI$6, "PX_ASK="&amp;T148)</f>
        <v>#N/A Invalid Override</v>
      </c>
      <c r="AJ148" s="35" t="e">
        <f t="shared" ca="1" si="24"/>
        <v>#VALUE!</v>
      </c>
    </row>
    <row r="149" spans="2:36">
      <c r="B149" s="15" t="s">
        <v>1060</v>
      </c>
      <c r="C149" s="15" t="s">
        <v>1061</v>
      </c>
      <c r="D149" s="15" t="s">
        <v>1061</v>
      </c>
      <c r="E149" s="16">
        <v>41354</v>
      </c>
      <c r="F149" s="19">
        <v>41353</v>
      </c>
      <c r="G149" s="18"/>
      <c r="H149" s="16">
        <v>41537</v>
      </c>
      <c r="I149" s="16">
        <v>48477</v>
      </c>
      <c r="J149" s="17">
        <v>1.6E-2</v>
      </c>
      <c r="K149" s="16">
        <v>48658</v>
      </c>
      <c r="L149" s="20" t="str">
        <f ca="1">_xll.meLWOBondCreateFromGeneratorLVB(C149,$L$4,_xll.meUtilityLVBFromKeysValues($C$6:$K$6,C149:K149))</f>
        <v>JP1201431D38:1</v>
      </c>
      <c r="M149" s="92">
        <f ca="1">_xll.BDP($B149,$M$5)</f>
        <v>0.3499999999999997</v>
      </c>
      <c r="N149" s="37">
        <f ca="1">_xll.meLWOBondCleanPrice($L149,$C$4,$M149%)</f>
        <v>117.15805492924869</v>
      </c>
      <c r="O149" s="37">
        <f ca="1">_xll.meLWOBondDirtyPrice($L149,$C$4,$M149%)</f>
        <v>123.2</v>
      </c>
      <c r="P149" s="87">
        <f ca="1">_xll.meLWOBondYield($L149,$C$4,N149)</f>
        <v>3.4999999999998093E-3</v>
      </c>
      <c r="Q149" s="89">
        <f ca="1">_xll.meLWOBondModifiedDuration($L149,$C$4,$M149%)</f>
        <v>13.100996264009964</v>
      </c>
      <c r="R149" s="23">
        <f ca="1">_xll.meLWOBondDV01($L149,$C$4,$M149%)</f>
        <v>1614.0427397260275</v>
      </c>
      <c r="S149" s="85">
        <f t="shared" ca="1" si="25"/>
        <v>0.3499999999999997</v>
      </c>
      <c r="T149" s="22" t="str">
        <f ca="1">_xll.BDP($B149,T$6, "YAS_BOND_SPL_YLD="&amp;S149,"YAS_YLD_CONV=2")</f>
        <v>#N/A Requesting Data...</v>
      </c>
      <c r="U149" s="23">
        <f t="shared" ca="1" si="26"/>
        <v>117.15805492924869</v>
      </c>
      <c r="V149" s="23">
        <f t="shared" ca="1" si="18"/>
        <v>117.158</v>
      </c>
      <c r="W149" s="24" t="e">
        <f t="shared" ca="1" si="19"/>
        <v>#VALUE!</v>
      </c>
      <c r="X149" s="23">
        <f ca="1">_xll.meLWOBondDV01($L149,$C$4,$S149%)</f>
        <v>1614.0427397260275</v>
      </c>
      <c r="Y149" s="22" t="e">
        <f ca="1">_xll.BDP($B149,Y$6, "YLD_YTM_ASK="&amp;$S149,"YAS_YLD_CONV=3")*$Y$3*0.0001</f>
        <v>#VALUE!</v>
      </c>
      <c r="Z149" s="24" t="e">
        <f t="shared" ca="1" si="20"/>
        <v>#VALUE!</v>
      </c>
      <c r="AA149" s="23">
        <f ca="1">_xll.meLWOBondModifiedDuration($L149,$C$4,$S149%)</f>
        <v>13.100996264009964</v>
      </c>
      <c r="AB149" s="22" t="str">
        <f ca="1">_xll.BDP($B149,AB$6, "YLD_YTM_ASK="&amp;$S149,"YAS_YLD_CONV=3")</f>
        <v>#N/A Requesting Data...</v>
      </c>
      <c r="AC149" s="24" t="e">
        <f t="shared" ca="1" si="21"/>
        <v>#VALUE!</v>
      </c>
      <c r="AD149" s="23">
        <f ca="1">_xll.meLWOBondDV01Numerical($L149,$C$4,$S149%, 0.5, "CENTRAL")</f>
        <v>1608.1642310103916</v>
      </c>
      <c r="AE149" s="63" t="str">
        <f ca="1">_xll.BDP($B149,AE$6, "YAS_BOND_PX="&amp;T149)</f>
        <v>#N/A Invalid Override</v>
      </c>
      <c r="AF149" s="64" t="e">
        <f ca="1">_xll.meLWOBondCompoundYield(L149,$C$4,T149)*100</f>
        <v>#VALUE!</v>
      </c>
      <c r="AG149" s="65" t="e">
        <f t="shared" ca="1" si="22"/>
        <v>#VALUE!</v>
      </c>
      <c r="AH149" s="35" t="e">
        <f t="shared" ca="1" si="23"/>
        <v>#VALUE!</v>
      </c>
      <c r="AI149" s="63" t="str">
        <f ca="1">_xll.BDP($B149,AI$6, "PX_ASK="&amp;T149)</f>
        <v>#N/A Invalid Override</v>
      </c>
      <c r="AJ149" s="35" t="e">
        <f t="shared" ca="1" si="24"/>
        <v>#VALUE!</v>
      </c>
    </row>
    <row r="150" spans="2:36">
      <c r="B150" s="15" t="s">
        <v>1062</v>
      </c>
      <c r="C150" s="15" t="s">
        <v>1063</v>
      </c>
      <c r="D150" s="15" t="s">
        <v>1063</v>
      </c>
      <c r="E150" s="16">
        <v>37767</v>
      </c>
      <c r="F150" s="19">
        <v>37700</v>
      </c>
      <c r="G150" s="18"/>
      <c r="H150" s="16">
        <v>37884</v>
      </c>
      <c r="I150" s="16">
        <v>48477</v>
      </c>
      <c r="J150" s="17">
        <v>1.1000000000000001E-2</v>
      </c>
      <c r="K150" s="16">
        <v>48658</v>
      </c>
      <c r="L150" s="20" t="str">
        <f ca="1">_xll.meLWOBondCreateFromGeneratorLVB(C150,$L$4,_xll.meUtilityLVBFromKeysValues($C$6:$K$6,C150:K150))</f>
        <v>JP1300101357:1</v>
      </c>
      <c r="M150" s="92">
        <f ca="1">_xll.BDP($B150,$M$5)</f>
        <v>0.3579999999999996</v>
      </c>
      <c r="N150" s="37">
        <f ca="1">_xll.meLWOBondCleanPrice($L150,$C$4,$M150%)</f>
        <v>110.17384934418509</v>
      </c>
      <c r="O150" s="37">
        <f ca="1">_xll.meLWOBondDirtyPrice($L150,$C$4,$M150%)</f>
        <v>115.95</v>
      </c>
      <c r="P150" s="87">
        <f ca="1">_xll.meLWOBondYield($L150,$C$4,N150)</f>
        <v>3.5800000000000666E-3</v>
      </c>
      <c r="Q150" s="89">
        <f ca="1">_xll.meLWOBondModifiedDuration($L150,$C$4,$M150%)</f>
        <v>13.45626303260144</v>
      </c>
      <c r="R150" s="23">
        <f ca="1">_xll.meLWOBondDV01($L150,$C$4,$M150%)</f>
        <v>1560.253698630137</v>
      </c>
      <c r="S150" s="85">
        <f t="shared" ca="1" si="25"/>
        <v>0.3579999999999996</v>
      </c>
      <c r="T150" s="22" t="str">
        <f ca="1">_xll.BDP($B150,T$6, "YAS_BOND_SPL_YLD="&amp;S150,"YAS_YLD_CONV=2")</f>
        <v>#N/A Requesting Data...</v>
      </c>
      <c r="U150" s="23">
        <f t="shared" ca="1" si="26"/>
        <v>110.17384934418509</v>
      </c>
      <c r="V150" s="23">
        <f t="shared" ca="1" si="18"/>
        <v>110.173</v>
      </c>
      <c r="W150" s="24" t="e">
        <f t="shared" ca="1" si="19"/>
        <v>#VALUE!</v>
      </c>
      <c r="X150" s="23">
        <f ca="1">_xll.meLWOBondDV01($L150,$C$4,$S150%)</f>
        <v>1560.253698630137</v>
      </c>
      <c r="Y150" s="22" t="e">
        <f ca="1">_xll.BDP($B150,Y$6, "YLD_YTM_ASK="&amp;$S150,"YAS_YLD_CONV=3")*$Y$3*0.0001</f>
        <v>#VALUE!</v>
      </c>
      <c r="Z150" s="24" t="e">
        <f t="shared" ca="1" si="20"/>
        <v>#VALUE!</v>
      </c>
      <c r="AA150" s="23">
        <f ca="1">_xll.meLWOBondModifiedDuration($L150,$C$4,$S150%)</f>
        <v>13.45626303260144</v>
      </c>
      <c r="AB150" s="22" t="str">
        <f ca="1">_xll.BDP($B150,AB$6, "YLD_YTM_ASK="&amp;$S150,"YAS_YLD_CONV=3")</f>
        <v>#N/A Requesting Data...</v>
      </c>
      <c r="AC150" s="24" t="e">
        <f t="shared" ca="1" si="21"/>
        <v>#VALUE!</v>
      </c>
      <c r="AD150" s="23">
        <f ca="1">_xll.meLWOBondDV01Numerical($L150,$C$4,$S150%, 0.5, "CENTRAL")</f>
        <v>1510.6370238845557</v>
      </c>
      <c r="AE150" s="63" t="str">
        <f ca="1">_xll.BDP($B150,AE$6, "YAS_BOND_PX="&amp;T150)</f>
        <v>#N/A Invalid Override</v>
      </c>
      <c r="AF150" s="64" t="e">
        <f ca="1">_xll.meLWOBondCompoundYield(L150,$C$4,T150)*100</f>
        <v>#VALUE!</v>
      </c>
      <c r="AG150" s="65" t="e">
        <f t="shared" ca="1" si="22"/>
        <v>#VALUE!</v>
      </c>
      <c r="AH150" s="35" t="e">
        <f t="shared" ca="1" si="23"/>
        <v>#VALUE!</v>
      </c>
      <c r="AI150" s="63" t="str">
        <f ca="1">_xll.BDP($B150,AI$6, "PX_ASK="&amp;T150)</f>
        <v>#N/A Invalid Override</v>
      </c>
      <c r="AJ150" s="35" t="e">
        <f t="shared" ca="1" si="24"/>
        <v>#VALUE!</v>
      </c>
    </row>
    <row r="151" spans="2:36">
      <c r="B151" s="15" t="s">
        <v>1064</v>
      </c>
      <c r="C151" s="15" t="s">
        <v>1065</v>
      </c>
      <c r="D151" s="15" t="s">
        <v>1065</v>
      </c>
      <c r="E151" s="16">
        <v>41445</v>
      </c>
      <c r="F151" s="19">
        <v>41445</v>
      </c>
      <c r="G151" s="18"/>
      <c r="H151" s="16">
        <v>41628</v>
      </c>
      <c r="I151" s="16">
        <v>48568</v>
      </c>
      <c r="J151" s="17">
        <v>1.7000000000000001E-2</v>
      </c>
      <c r="K151" s="16">
        <v>48750</v>
      </c>
      <c r="L151" s="20" t="str">
        <f ca="1">_xll.meLWOBondCreateFromGeneratorLVB(C151,$L$4,_xll.meUtilityLVBFromKeysValues($C$6:$K$6,C151:K151))</f>
        <v>JP1201451D66:1</v>
      </c>
      <c r="M151" s="92">
        <f ca="1">_xll.BDP($B151,$M$5)</f>
        <v>0.36000000000000004</v>
      </c>
      <c r="N151" s="37">
        <f ca="1">_xll.meLWOBondCleanPrice($L151,$C$4,$M151%)</f>
        <v>118.67320013115504</v>
      </c>
      <c r="O151" s="37">
        <f ca="1">_xll.meLWOBondDirtyPrice($L151,$C$4,$M151%)</f>
        <v>125.49999999999999</v>
      </c>
      <c r="P151" s="87">
        <f ca="1">_xll.meLWOBondYield($L151,$C$4,N151)</f>
        <v>3.6000000000000316E-3</v>
      </c>
      <c r="Q151" s="89">
        <f ca="1">_xll.meLWOBondModifiedDuration($L151,$C$4,$M151%)</f>
        <v>13.199495170004912</v>
      </c>
      <c r="R151" s="23">
        <f ca="1">_xll.meLWOBondDV01($L151,$C$4,$M151%)</f>
        <v>1656.5366438356164</v>
      </c>
      <c r="S151" s="85">
        <f t="shared" ca="1" si="25"/>
        <v>0.36000000000000004</v>
      </c>
      <c r="T151" s="22" t="str">
        <f ca="1">_xll.BDP($B151,T$6, "YAS_BOND_SPL_YLD="&amp;S151,"YAS_YLD_CONV=2")</f>
        <v>#N/A Requesting Data...</v>
      </c>
      <c r="U151" s="23">
        <f t="shared" ca="1" si="26"/>
        <v>118.67320013115504</v>
      </c>
      <c r="V151" s="23">
        <f t="shared" ca="1" si="18"/>
        <v>118.673</v>
      </c>
      <c r="W151" s="24" t="e">
        <f t="shared" ca="1" si="19"/>
        <v>#VALUE!</v>
      </c>
      <c r="X151" s="23">
        <f ca="1">_xll.meLWOBondDV01($L151,$C$4,$S151%)</f>
        <v>1656.5366438356164</v>
      </c>
      <c r="Y151" s="22" t="e">
        <f ca="1">_xll.BDP($B151,Y$6, "YLD_YTM_ASK="&amp;$S151,"YAS_YLD_CONV=3")*$Y$3*0.0001</f>
        <v>#VALUE!</v>
      </c>
      <c r="Z151" s="24" t="e">
        <f t="shared" ca="1" si="20"/>
        <v>#VALUE!</v>
      </c>
      <c r="AA151" s="23">
        <f ca="1">_xll.meLWOBondModifiedDuration($L151,$C$4,$S151%)</f>
        <v>13.199495170004912</v>
      </c>
      <c r="AB151" s="22" t="str">
        <f ca="1">_xll.BDP($B151,AB$6, "YLD_YTM_ASK="&amp;$S151,"YAS_YLD_CONV=3")</f>
        <v>#N/A Requesting Data...</v>
      </c>
      <c r="AC151" s="24" t="e">
        <f t="shared" ca="1" si="21"/>
        <v>#VALUE!</v>
      </c>
      <c r="AD151" s="23">
        <f ca="1">_xll.meLWOBondDV01Numerical($L151,$C$4,$S151%, 0.5, "CENTRAL")</f>
        <v>1653.7384269206259</v>
      </c>
      <c r="AE151" s="63" t="str">
        <f ca="1">_xll.BDP($B151,AE$6, "YAS_BOND_PX="&amp;T151)</f>
        <v>#N/A Invalid Override</v>
      </c>
      <c r="AF151" s="64" t="e">
        <f ca="1">_xll.meLWOBondCompoundYield(L151,$C$4,T151)*100</f>
        <v>#VALUE!</v>
      </c>
      <c r="AG151" s="65" t="e">
        <f t="shared" ca="1" si="22"/>
        <v>#VALUE!</v>
      </c>
      <c r="AH151" s="35" t="e">
        <f t="shared" ca="1" si="23"/>
        <v>#VALUE!</v>
      </c>
      <c r="AI151" s="63" t="str">
        <f ca="1">_xll.BDP($B151,AI$6, "PX_ASK="&amp;T151)</f>
        <v>#N/A Invalid Override</v>
      </c>
      <c r="AJ151" s="35" t="e">
        <f t="shared" ca="1" si="24"/>
        <v>#VALUE!</v>
      </c>
    </row>
    <row r="152" spans="2:36">
      <c r="B152" s="15" t="s">
        <v>1066</v>
      </c>
      <c r="C152" s="15" t="s">
        <v>1067</v>
      </c>
      <c r="D152" s="15" t="s">
        <v>1067</v>
      </c>
      <c r="E152" s="16">
        <v>37832</v>
      </c>
      <c r="F152" s="19">
        <v>37792</v>
      </c>
      <c r="G152" s="18"/>
      <c r="H152" s="16">
        <v>37975</v>
      </c>
      <c r="I152" s="16">
        <v>48568</v>
      </c>
      <c r="J152" s="17">
        <v>1.7000000000000001E-2</v>
      </c>
      <c r="K152" s="16">
        <v>48750</v>
      </c>
      <c r="L152" s="20" t="str">
        <f ca="1">_xll.meLWOBondCreateFromGeneratorLVB(C152,$L$4,_xll.meUtilityLVBFromKeysValues($C$6:$K$6,C152:K152))</f>
        <v>JP1300111372:1</v>
      </c>
      <c r="M152" s="92">
        <f ca="1">_xll.BDP($B152,$M$5)</f>
        <v>0.35800000000000037</v>
      </c>
      <c r="N152" s="37">
        <f ca="1">_xll.meLWOBondCleanPrice($L152,$C$4,$M152%)</f>
        <v>118.70628410428797</v>
      </c>
      <c r="O152" s="37">
        <f ca="1">_xll.meLWOBondDirtyPrice($L152,$C$4,$M152%)</f>
        <v>125.49999999999999</v>
      </c>
      <c r="P152" s="87">
        <f ca="1">_xll.meLWOBondYield($L152,$C$4,N152)</f>
        <v>3.5799999999999764E-3</v>
      </c>
      <c r="Q152" s="89">
        <f ca="1">_xll.meLWOBondModifiedDuration($L152,$C$4,$M152%)</f>
        <v>13.199495170004912</v>
      </c>
      <c r="R152" s="23">
        <f ca="1">_xll.meLWOBondDV01($L152,$C$4,$M152%)</f>
        <v>1656.5366438356164</v>
      </c>
      <c r="S152" s="85">
        <f t="shared" ca="1" si="25"/>
        <v>0.35800000000000037</v>
      </c>
      <c r="T152" s="22" t="str">
        <f ca="1">_xll.BDP($B152,T$6, "YAS_BOND_SPL_YLD="&amp;S152,"YAS_YLD_CONV=2")</f>
        <v>#N/A Requesting Data...</v>
      </c>
      <c r="U152" s="23">
        <f t="shared" ca="1" si="26"/>
        <v>118.70628410428797</v>
      </c>
      <c r="V152" s="23">
        <f t="shared" ca="1" si="18"/>
        <v>118.706</v>
      </c>
      <c r="W152" s="24" t="e">
        <f t="shared" ca="1" si="19"/>
        <v>#VALUE!</v>
      </c>
      <c r="X152" s="23">
        <f ca="1">_xll.meLWOBondDV01($L152,$C$4,$S152%)</f>
        <v>1656.5366438356164</v>
      </c>
      <c r="Y152" s="22" t="e">
        <f ca="1">_xll.BDP($B152,Y$6, "YLD_YTM_ASK="&amp;$S152,"YAS_YLD_CONV=3")*$Y$3*0.0001</f>
        <v>#VALUE!</v>
      </c>
      <c r="Z152" s="24" t="e">
        <f t="shared" ca="1" si="20"/>
        <v>#VALUE!</v>
      </c>
      <c r="AA152" s="23">
        <f ca="1">_xll.meLWOBondModifiedDuration($L152,$C$4,$S152%)</f>
        <v>13.199495170004912</v>
      </c>
      <c r="AB152" s="22" t="str">
        <f ca="1">_xll.BDP($B152,AB$6, "YLD_YTM_ASK="&amp;$S152,"YAS_YLD_CONV=3")</f>
        <v>#N/A Requesting Data...</v>
      </c>
      <c r="AC152" s="24" t="e">
        <f t="shared" ca="1" si="21"/>
        <v>#VALUE!</v>
      </c>
      <c r="AD152" s="23">
        <f ca="1">_xll.meLWOBondDV01Numerical($L152,$C$4,$S152%, 0.5, "CENTRAL")</f>
        <v>1654.6606214953385</v>
      </c>
      <c r="AE152" s="63" t="str">
        <f ca="1">_xll.BDP($B152,AE$6, "YAS_BOND_PX="&amp;T152)</f>
        <v>#N/A Invalid Override</v>
      </c>
      <c r="AF152" s="64" t="e">
        <f ca="1">_xll.meLWOBondCompoundYield(L152,$C$4,T152)*100</f>
        <v>#VALUE!</v>
      </c>
      <c r="AG152" s="65" t="e">
        <f t="shared" ca="1" si="22"/>
        <v>#VALUE!</v>
      </c>
      <c r="AH152" s="35" t="e">
        <f t="shared" ca="1" si="23"/>
        <v>#VALUE!</v>
      </c>
      <c r="AI152" s="63" t="str">
        <f ca="1">_xll.BDP($B152,AI$6, "PX_ASK="&amp;T152)</f>
        <v>#N/A Invalid Override</v>
      </c>
      <c r="AJ152" s="35" t="e">
        <f t="shared" ca="1" si="24"/>
        <v>#VALUE!</v>
      </c>
    </row>
    <row r="153" spans="2:36">
      <c r="B153" s="15" t="s">
        <v>1068</v>
      </c>
      <c r="C153" s="15" t="s">
        <v>1069</v>
      </c>
      <c r="D153" s="15" t="s">
        <v>1069</v>
      </c>
      <c r="E153" s="16">
        <v>41537</v>
      </c>
      <c r="F153" s="19">
        <v>41537</v>
      </c>
      <c r="G153" s="18"/>
      <c r="H153" s="16">
        <v>41718</v>
      </c>
      <c r="I153" s="16">
        <v>48658</v>
      </c>
      <c r="J153" s="17">
        <v>1.7000000000000001E-2</v>
      </c>
      <c r="K153" s="16">
        <v>48842</v>
      </c>
      <c r="L153" s="20" t="str">
        <f ca="1">_xll.meLWOBondCreateFromGeneratorLVB(C153,$L$4,_xll.meUtilityLVBFromKeysValues($C$6:$K$6,C153:K153))</f>
        <v>JP1201461D98:1</v>
      </c>
      <c r="M153" s="92">
        <f ca="1">_xll.BDP($B153,$M$5)</f>
        <v>0.37499999999999961</v>
      </c>
      <c r="N153" s="37">
        <f ca="1">_xll.meLWOBondCleanPrice($L153,$C$4,$M153%)</f>
        <v>118.72543709723973</v>
      </c>
      <c r="O153" s="37">
        <f ca="1">_xll.meLWOBondDirtyPrice($L153,$C$4,$M153%)</f>
        <v>125.49999999999999</v>
      </c>
      <c r="P153" s="87">
        <f ca="1">_xll.meLWOBondYield($L153,$C$4,N153)</f>
        <v>3.7499999999998468E-3</v>
      </c>
      <c r="Q153" s="89">
        <f ca="1">_xll.meLWOBondModifiedDuration($L153,$C$4,$M153%)</f>
        <v>13.446070512470667</v>
      </c>
      <c r="R153" s="23">
        <f ca="1">_xll.meLWOBondDV01($L153,$C$4,$M153%)</f>
        <v>1687.4818493150685</v>
      </c>
      <c r="S153" s="85">
        <f t="shared" ca="1" si="25"/>
        <v>0.37499999999999961</v>
      </c>
      <c r="T153" s="22" t="str">
        <f ca="1">_xll.BDP($B153,T$6, "YAS_BOND_SPL_YLD="&amp;S153,"YAS_YLD_CONV=2")</f>
        <v>#N/A Requesting Data...</v>
      </c>
      <c r="U153" s="23">
        <f t="shared" ca="1" si="26"/>
        <v>118.72543709723973</v>
      </c>
      <c r="V153" s="23">
        <f t="shared" ca="1" si="18"/>
        <v>118.72499999999999</v>
      </c>
      <c r="W153" s="24" t="e">
        <f t="shared" ca="1" si="19"/>
        <v>#VALUE!</v>
      </c>
      <c r="X153" s="23">
        <f ca="1">_xll.meLWOBondDV01($L153,$C$4,$S153%)</f>
        <v>1687.4818493150685</v>
      </c>
      <c r="Y153" s="22" t="e">
        <f ca="1">_xll.BDP($B153,Y$6, "YLD_YTM_ASK="&amp;$S153,"YAS_YLD_CONV=3")*$Y$3*0.0001</f>
        <v>#VALUE!</v>
      </c>
      <c r="Z153" s="24" t="e">
        <f t="shared" ca="1" si="20"/>
        <v>#VALUE!</v>
      </c>
      <c r="AA153" s="23">
        <f ca="1">_xll.meLWOBondModifiedDuration($L153,$C$4,$S153%)</f>
        <v>13.446070512470667</v>
      </c>
      <c r="AB153" s="22" t="str">
        <f ca="1">_xll.BDP($B153,AB$6, "YLD_YTM_ASK="&amp;$S153,"YAS_YLD_CONV=3")</f>
        <v>#N/A Requesting Data...</v>
      </c>
      <c r="AC153" s="24" t="e">
        <f t="shared" ca="1" si="21"/>
        <v>#VALUE!</v>
      </c>
      <c r="AD153" s="23">
        <f ca="1">_xll.meLWOBondDV01Numerical($L153,$C$4,$S153%, 0.5, "CENTRAL")</f>
        <v>1677.8768409592715</v>
      </c>
      <c r="AE153" s="63" t="str">
        <f ca="1">_xll.BDP($B153,AE$6, "YAS_BOND_PX="&amp;T153)</f>
        <v>#N/A Invalid Override</v>
      </c>
      <c r="AF153" s="64" t="e">
        <f ca="1">_xll.meLWOBondCompoundYield(L153,$C$4,T153)*100</f>
        <v>#VALUE!</v>
      </c>
      <c r="AG153" s="65" t="e">
        <f t="shared" ca="1" si="22"/>
        <v>#VALUE!</v>
      </c>
      <c r="AH153" s="35" t="e">
        <f t="shared" ca="1" si="23"/>
        <v>#VALUE!</v>
      </c>
      <c r="AI153" s="63" t="str">
        <f ca="1">_xll.BDP($B153,AI$6, "PX_ASK="&amp;T153)</f>
        <v>#N/A Invalid Override</v>
      </c>
      <c r="AJ153" s="35" t="e">
        <f t="shared" ca="1" si="24"/>
        <v>#VALUE!</v>
      </c>
    </row>
    <row r="154" spans="2:36">
      <c r="B154" s="15" t="s">
        <v>1070</v>
      </c>
      <c r="C154" s="15" t="s">
        <v>1071</v>
      </c>
      <c r="D154" s="15" t="s">
        <v>1071</v>
      </c>
      <c r="E154" s="16">
        <v>37945</v>
      </c>
      <c r="F154" s="19">
        <v>37884</v>
      </c>
      <c r="G154" s="18"/>
      <c r="H154" s="16">
        <v>38066</v>
      </c>
      <c r="I154" s="16">
        <v>48658</v>
      </c>
      <c r="J154" s="17">
        <v>2.1000000000000001E-2</v>
      </c>
      <c r="K154" s="16">
        <v>48842</v>
      </c>
      <c r="L154" s="20" t="str">
        <f ca="1">_xll.meLWOBondCreateFromGeneratorLVB(C154,$L$4,_xll.meUtilityLVBFromKeysValues($C$6:$K$6,C154:K154))</f>
        <v>JP13001213B5:1</v>
      </c>
      <c r="M154" s="92">
        <f ca="1">_xll.BDP($B154,$M$5)</f>
        <v>0.3639999999999996</v>
      </c>
      <c r="N154" s="37">
        <f ca="1">_xll.meLWOBondCleanPrice($L154,$C$4,$M154%)</f>
        <v>124.57205454460221</v>
      </c>
      <c r="O154" s="37">
        <f ca="1">_xll.meLWOBondDirtyPrice($L154,$C$4,$M154%)</f>
        <v>131.5</v>
      </c>
      <c r="P154" s="87">
        <f ca="1">_xll.meLWOBondYield($L154,$C$4,N154)</f>
        <v>3.6400000000001249E-3</v>
      </c>
      <c r="Q154" s="89">
        <f ca="1">_xll.meLWOBondModifiedDuration($L154,$C$4,$M154%)</f>
        <v>13.182486066982655</v>
      </c>
      <c r="R154" s="23">
        <f ca="1">_xll.meLWOBondDV01($L154,$C$4,$M154%)</f>
        <v>1733.4969178082192</v>
      </c>
      <c r="S154" s="85">
        <f t="shared" ca="1" si="25"/>
        <v>0.3639999999999996</v>
      </c>
      <c r="T154" s="22" t="str">
        <f ca="1">_xll.BDP($B154,T$6, "YAS_BOND_SPL_YLD="&amp;S154,"YAS_YLD_CONV=2")</f>
        <v>#N/A Requesting Data...</v>
      </c>
      <c r="U154" s="23">
        <f t="shared" ca="1" si="26"/>
        <v>124.57205454460221</v>
      </c>
      <c r="V154" s="23">
        <f t="shared" ca="1" si="18"/>
        <v>124.572</v>
      </c>
      <c r="W154" s="24" t="e">
        <f t="shared" ca="1" si="19"/>
        <v>#VALUE!</v>
      </c>
      <c r="X154" s="23">
        <f ca="1">_xll.meLWOBondDV01($L154,$C$4,$S154%)</f>
        <v>1733.4969178082192</v>
      </c>
      <c r="Y154" s="22" t="e">
        <f ca="1">_xll.BDP($B154,Y$6, "YLD_YTM_ASK="&amp;$S154,"YAS_YLD_CONV=3")*$Y$3*0.0001</f>
        <v>#VALUE!</v>
      </c>
      <c r="Z154" s="24" t="e">
        <f t="shared" ca="1" si="20"/>
        <v>#VALUE!</v>
      </c>
      <c r="AA154" s="23">
        <f ca="1">_xll.meLWOBondModifiedDuration($L154,$C$4,$S154%)</f>
        <v>13.182486066982655</v>
      </c>
      <c r="AB154" s="22" t="str">
        <f ca="1">_xll.BDP($B154,AB$6, "YLD_YTM_ASK="&amp;$S154,"YAS_YLD_CONV=3")</f>
        <v>#N/A Requesting Data...</v>
      </c>
      <c r="AC154" s="24" t="e">
        <f t="shared" ca="1" si="21"/>
        <v>#VALUE!</v>
      </c>
      <c r="AD154" s="23">
        <f ca="1">_xll.meLWOBondDV01Numerical($L154,$C$4,$S154%, 0.5, "CENTRAL")</f>
        <v>1763.24473050542</v>
      </c>
      <c r="AE154" s="63" t="str">
        <f ca="1">_xll.BDP($B154,AE$6, "YAS_BOND_PX="&amp;T154)</f>
        <v>#N/A Invalid Override</v>
      </c>
      <c r="AF154" s="64" t="e">
        <f ca="1">_xll.meLWOBondCompoundYield(L154,$C$4,T154)*100</f>
        <v>#VALUE!</v>
      </c>
      <c r="AG154" s="65" t="e">
        <f t="shared" ca="1" si="22"/>
        <v>#VALUE!</v>
      </c>
      <c r="AH154" s="35" t="e">
        <f t="shared" ca="1" si="23"/>
        <v>#VALUE!</v>
      </c>
      <c r="AI154" s="63" t="str">
        <f ca="1">_xll.BDP($B154,AI$6, "PX_ASK="&amp;T154)</f>
        <v>#N/A Invalid Override</v>
      </c>
      <c r="AJ154" s="35" t="e">
        <f t="shared" ca="1" si="24"/>
        <v>#VALUE!</v>
      </c>
    </row>
    <row r="155" spans="2:36">
      <c r="B155" s="15" t="s">
        <v>1072</v>
      </c>
      <c r="C155" s="15" t="s">
        <v>1073</v>
      </c>
      <c r="D155" s="15" t="s">
        <v>1073</v>
      </c>
      <c r="E155" s="16">
        <v>41628</v>
      </c>
      <c r="F155" s="19">
        <v>41628</v>
      </c>
      <c r="G155" s="18"/>
      <c r="H155" s="16">
        <v>41810</v>
      </c>
      <c r="I155" s="16">
        <v>48750</v>
      </c>
      <c r="J155" s="17">
        <v>1.6E-2</v>
      </c>
      <c r="K155" s="16">
        <v>48933</v>
      </c>
      <c r="L155" s="20" t="str">
        <f ca="1">_xll.meLWOBondCreateFromGeneratorLVB(C155,$L$4,_xll.meUtilityLVBFromKeysValues($C$6:$K$6,C155:K155))</f>
        <v>JP1201471DC6:1</v>
      </c>
      <c r="M155" s="92">
        <f ca="1">_xll.BDP($B155,$M$5)</f>
        <v>0.38900000000000001</v>
      </c>
      <c r="N155" s="37">
        <f ca="1">_xll.meLWOBondCleanPrice($L155,$C$4,$M155%)</f>
        <v>117.3500001888536</v>
      </c>
      <c r="O155" s="37">
        <f ca="1">_xll.meLWOBondDirtyPrice($L155,$C$4,$M155%)</f>
        <v>124.8</v>
      </c>
      <c r="P155" s="87">
        <f ca="1">_xll.meLWOBondYield($L155,$C$4,N155)</f>
        <v>3.8899999999997608E-3</v>
      </c>
      <c r="Q155" s="89">
        <f ca="1">_xll.meLWOBondModifiedDuration($L155,$C$4,$M155%)</f>
        <v>13.682218124341412</v>
      </c>
      <c r="R155" s="23">
        <f ca="1">_xll.meLWOBondDV01($L155,$C$4,$M155%)</f>
        <v>1707.5408219178082</v>
      </c>
      <c r="S155" s="85">
        <f t="shared" ca="1" si="25"/>
        <v>0.38900000000000001</v>
      </c>
      <c r="T155" s="22" t="str">
        <f ca="1">_xll.BDP($B155,T$6, "YAS_BOND_SPL_YLD="&amp;S155,"YAS_YLD_CONV=2")</f>
        <v>#N/A Requesting Data...</v>
      </c>
      <c r="U155" s="23">
        <f t="shared" ca="1" si="26"/>
        <v>117.3500001888536</v>
      </c>
      <c r="V155" s="23">
        <f t="shared" ca="1" si="18"/>
        <v>117.35</v>
      </c>
      <c r="W155" s="24" t="e">
        <f t="shared" ca="1" si="19"/>
        <v>#VALUE!</v>
      </c>
      <c r="X155" s="23">
        <f ca="1">_xll.meLWOBondDV01($L155,$C$4,$S155%)</f>
        <v>1707.5408219178082</v>
      </c>
      <c r="Y155" s="22" t="e">
        <f ca="1">_xll.BDP($B155,Y$6, "YLD_YTM_ASK="&amp;$S155,"YAS_YLD_CONV=3")*$Y$3*0.0001</f>
        <v>#VALUE!</v>
      </c>
      <c r="Z155" s="24" t="e">
        <f t="shared" ca="1" si="20"/>
        <v>#VALUE!</v>
      </c>
      <c r="AA155" s="23">
        <f ca="1">_xll.meLWOBondModifiedDuration($L155,$C$4,$S155%)</f>
        <v>13.682218124341412</v>
      </c>
      <c r="AB155" s="22" t="str">
        <f ca="1">_xll.BDP($B155,AB$6, "YLD_YTM_ASK="&amp;$S155,"YAS_YLD_CONV=3")</f>
        <v>#N/A Requesting Data...</v>
      </c>
      <c r="AC155" s="24" t="e">
        <f t="shared" ca="1" si="21"/>
        <v>#VALUE!</v>
      </c>
      <c r="AD155" s="23">
        <f ca="1">_xll.meLWOBondDV01Numerical($L155,$C$4,$S155%, 0.5, "CENTRAL")</f>
        <v>1681.2746244754353</v>
      </c>
      <c r="AE155" s="63" t="str">
        <f ca="1">_xll.BDP($B155,AE$6, "YAS_BOND_PX="&amp;T155)</f>
        <v>#N/A Invalid Override</v>
      </c>
      <c r="AF155" s="64" t="e">
        <f ca="1">_xll.meLWOBondCompoundYield(L155,$C$4,T155)*100</f>
        <v>#VALUE!</v>
      </c>
      <c r="AG155" s="65" t="e">
        <f t="shared" ca="1" si="22"/>
        <v>#VALUE!</v>
      </c>
      <c r="AH155" s="35" t="e">
        <f t="shared" ca="1" si="23"/>
        <v>#VALUE!</v>
      </c>
      <c r="AI155" s="63" t="str">
        <f ca="1">_xll.BDP($B155,AI$6, "PX_ASK="&amp;T155)</f>
        <v>#N/A Invalid Override</v>
      </c>
      <c r="AJ155" s="35" t="e">
        <f t="shared" ca="1" si="24"/>
        <v>#VALUE!</v>
      </c>
    </row>
    <row r="156" spans="2:36">
      <c r="B156" s="15" t="s">
        <v>1074</v>
      </c>
      <c r="C156" s="15" t="s">
        <v>1075</v>
      </c>
      <c r="D156" s="15" t="s">
        <v>1075</v>
      </c>
      <c r="E156" s="16">
        <v>38044</v>
      </c>
      <c r="F156" s="19">
        <v>37975</v>
      </c>
      <c r="G156" s="18"/>
      <c r="H156" s="16">
        <v>38158</v>
      </c>
      <c r="I156" s="16">
        <v>48750</v>
      </c>
      <c r="J156" s="17">
        <v>0.02</v>
      </c>
      <c r="K156" s="16">
        <v>48933</v>
      </c>
      <c r="L156" s="20" t="str">
        <f ca="1">_xll.meLWOBondCreateFromGeneratorLVB(C156,$L$4,_xll.meUtilityLVBFromKeysValues($C$6:$K$6,C156:K156))</f>
        <v>JP1300131420:1</v>
      </c>
      <c r="M156" s="92">
        <f ca="1">_xll.BDP($B156,$M$5)</f>
        <v>0.37899999999999973</v>
      </c>
      <c r="N156" s="37">
        <f ca="1">_xll.meLWOBondCleanPrice($L156,$C$4,$M156%)</f>
        <v>123.25739214032565</v>
      </c>
      <c r="O156" s="37">
        <f ca="1">_xll.meLWOBondDirtyPrice($L156,$C$4,$M156%)</f>
        <v>131</v>
      </c>
      <c r="P156" s="87">
        <f ca="1">_xll.meLWOBondYield($L156,$C$4,N156)</f>
        <v>3.7899999999997987E-3</v>
      </c>
      <c r="Q156" s="89">
        <f ca="1">_xll.meLWOBondModifiedDuration($L156,$C$4,$M156%)</f>
        <v>13.397793579420684</v>
      </c>
      <c r="R156" s="23">
        <f ca="1">_xll.meLWOBondDV01($L156,$C$4,$M156%)</f>
        <v>1755.1109589041096</v>
      </c>
      <c r="S156" s="85">
        <f t="shared" ca="1" si="25"/>
        <v>0.37899999999999973</v>
      </c>
      <c r="T156" s="22" t="str">
        <f ca="1">_xll.BDP($B156,T$6, "YAS_BOND_SPL_YLD="&amp;S156,"YAS_YLD_CONV=2")</f>
        <v>#N/A Requesting Data...</v>
      </c>
      <c r="U156" s="23">
        <f t="shared" ca="1" si="26"/>
        <v>123.25739214032565</v>
      </c>
      <c r="V156" s="23">
        <f t="shared" ca="1" si="18"/>
        <v>123.25700000000001</v>
      </c>
      <c r="W156" s="24" t="e">
        <f t="shared" ca="1" si="19"/>
        <v>#VALUE!</v>
      </c>
      <c r="X156" s="23">
        <f ca="1">_xll.meLWOBondDV01($L156,$C$4,$S156%)</f>
        <v>1755.1109589041096</v>
      </c>
      <c r="Y156" s="22" t="e">
        <f ca="1">_xll.BDP($B156,Y$6, "YLD_YTM_ASK="&amp;$S156,"YAS_YLD_CONV=3")*$Y$3*0.0001</f>
        <v>#VALUE!</v>
      </c>
      <c r="Z156" s="24" t="e">
        <f t="shared" ca="1" si="20"/>
        <v>#VALUE!</v>
      </c>
      <c r="AA156" s="23">
        <f ca="1">_xll.meLWOBondModifiedDuration($L156,$C$4,$S156%)</f>
        <v>13.397793579420684</v>
      </c>
      <c r="AB156" s="22" t="str">
        <f ca="1">_xll.BDP($B156,AB$6, "YLD_YTM_ASK="&amp;$S156,"YAS_YLD_CONV=3")</f>
        <v>#N/A Requesting Data...</v>
      </c>
      <c r="AC156" s="24" t="e">
        <f t="shared" ca="1" si="21"/>
        <v>#VALUE!</v>
      </c>
      <c r="AD156" s="23">
        <f ca="1">_xll.meLWOBondDV01Numerical($L156,$C$4,$S156%, 0.5, "CENTRAL")</f>
        <v>1768.4435400786926</v>
      </c>
      <c r="AE156" s="63" t="str">
        <f ca="1">_xll.BDP($B156,AE$6, "YAS_BOND_PX="&amp;T156)</f>
        <v>#N/A Invalid Override</v>
      </c>
      <c r="AF156" s="64" t="e">
        <f ca="1">_xll.meLWOBondCompoundYield(L156,$C$4,T156)*100</f>
        <v>#VALUE!</v>
      </c>
      <c r="AG156" s="65" t="e">
        <f t="shared" ca="1" si="22"/>
        <v>#VALUE!</v>
      </c>
      <c r="AH156" s="35" t="e">
        <f t="shared" ca="1" si="23"/>
        <v>#VALUE!</v>
      </c>
      <c r="AI156" s="63" t="str">
        <f ca="1">_xll.BDP($B156,AI$6, "PX_ASK="&amp;T156)</f>
        <v>#N/A Invalid Override</v>
      </c>
      <c r="AJ156" s="35" t="e">
        <f t="shared" ca="1" si="24"/>
        <v>#VALUE!</v>
      </c>
    </row>
    <row r="157" spans="2:36">
      <c r="B157" s="15" t="s">
        <v>1076</v>
      </c>
      <c r="C157" s="15" t="s">
        <v>1077</v>
      </c>
      <c r="D157" s="15" t="s">
        <v>1077</v>
      </c>
      <c r="E157" s="16">
        <v>41718</v>
      </c>
      <c r="F157" s="19">
        <v>41718</v>
      </c>
      <c r="G157" s="18"/>
      <c r="H157" s="16">
        <v>41902</v>
      </c>
      <c r="I157" s="16">
        <v>48842</v>
      </c>
      <c r="J157" s="17">
        <v>1.4999999999999999E-2</v>
      </c>
      <c r="K157" s="16">
        <v>49023</v>
      </c>
      <c r="L157" s="20" t="str">
        <f ca="1">_xll.meLWOBondCreateFromGeneratorLVB(C157,$L$4,_xll.meUtilityLVBFromKeysValues($C$6:$K$6,C157:K157))</f>
        <v>JP1201481E36:1</v>
      </c>
      <c r="M157" s="92">
        <f ca="1">_xll.BDP($B157,$M$5)</f>
        <v>0.40400000000000075</v>
      </c>
      <c r="N157" s="37">
        <f ca="1">_xll.meLWOBondCleanPrice($L157,$C$4,$M157%)</f>
        <v>115.90842785441848</v>
      </c>
      <c r="O157" s="37">
        <f ca="1">_xll.meLWOBondDirtyPrice($L157,$C$4,$M157%)</f>
        <v>123.25</v>
      </c>
      <c r="P157" s="87">
        <f ca="1">_xll.meLWOBondYield($L157,$C$4,N157)</f>
        <v>4.0400000000002873E-3</v>
      </c>
      <c r="Q157" s="89">
        <f ca="1">_xll.meLWOBondModifiedDuration($L157,$C$4,$M157%)</f>
        <v>14.004370779960544</v>
      </c>
      <c r="R157" s="23">
        <f ca="1">_xll.meLWOBondDV01($L157,$C$4,$M157%)</f>
        <v>1726.0386986301371</v>
      </c>
      <c r="S157" s="85">
        <f t="shared" ca="1" si="25"/>
        <v>0.40400000000000075</v>
      </c>
      <c r="T157" s="22" t="str">
        <f ca="1">_xll.BDP($B157,T$6, "YAS_BOND_SPL_YLD="&amp;S157,"YAS_YLD_CONV=2")</f>
        <v>#N/A Requesting Data...</v>
      </c>
      <c r="U157" s="23">
        <f t="shared" ca="1" si="26"/>
        <v>115.90842785441848</v>
      </c>
      <c r="V157" s="23">
        <f t="shared" ca="1" si="18"/>
        <v>115.908</v>
      </c>
      <c r="W157" s="24" t="e">
        <f t="shared" ca="1" si="19"/>
        <v>#VALUE!</v>
      </c>
      <c r="X157" s="23">
        <f ca="1">_xll.meLWOBondDV01($L157,$C$4,$S157%)</f>
        <v>1726.0386986301371</v>
      </c>
      <c r="Y157" s="22" t="e">
        <f ca="1">_xll.BDP($B157,Y$6, "YLD_YTM_ASK="&amp;$S157,"YAS_YLD_CONV=3")*$Y$3*0.0001</f>
        <v>#VALUE!</v>
      </c>
      <c r="Z157" s="24" t="e">
        <f t="shared" ca="1" si="20"/>
        <v>#VALUE!</v>
      </c>
      <c r="AA157" s="23">
        <f ca="1">_xll.meLWOBondModifiedDuration($L157,$C$4,$S157%)</f>
        <v>14.004370779960544</v>
      </c>
      <c r="AB157" s="22" t="str">
        <f ca="1">_xll.BDP($B157,AB$6, "YLD_YTM_ASK="&amp;$S157,"YAS_YLD_CONV=3")</f>
        <v>#N/A Requesting Data...</v>
      </c>
      <c r="AC157" s="24" t="e">
        <f t="shared" ca="1" si="21"/>
        <v>#VALUE!</v>
      </c>
      <c r="AD157" s="23">
        <f ca="1">_xll.meLWOBondDV01Numerical($L157,$C$4,$S157%, 0.5, "CENTRAL")</f>
        <v>1682.4104319866251</v>
      </c>
      <c r="AE157" s="63" t="str">
        <f ca="1">_xll.BDP($B157,AE$6, "YAS_BOND_PX="&amp;T157)</f>
        <v>#N/A Invalid Override</v>
      </c>
      <c r="AF157" s="64" t="e">
        <f ca="1">_xll.meLWOBondCompoundYield(L157,$C$4,T157)*100</f>
        <v>#VALUE!</v>
      </c>
      <c r="AG157" s="65" t="e">
        <f t="shared" ca="1" si="22"/>
        <v>#VALUE!</v>
      </c>
      <c r="AH157" s="35" t="e">
        <f t="shared" ca="1" si="23"/>
        <v>#VALUE!</v>
      </c>
      <c r="AI157" s="63" t="str">
        <f ca="1">_xll.BDP($B157,AI$6, "PX_ASK="&amp;T157)</f>
        <v>#N/A Invalid Override</v>
      </c>
      <c r="AJ157" s="35" t="e">
        <f t="shared" ca="1" si="24"/>
        <v>#VALUE!</v>
      </c>
    </row>
    <row r="158" spans="2:36">
      <c r="B158" s="15" t="s">
        <v>1078</v>
      </c>
      <c r="C158" s="15" t="s">
        <v>1079</v>
      </c>
      <c r="D158" s="15" t="s">
        <v>1079</v>
      </c>
      <c r="E158" s="16">
        <v>38097</v>
      </c>
      <c r="F158" s="19">
        <v>38066</v>
      </c>
      <c r="G158" s="18"/>
      <c r="H158" s="16">
        <v>38250</v>
      </c>
      <c r="I158" s="16">
        <v>48842</v>
      </c>
      <c r="J158" s="17">
        <v>2.4E-2</v>
      </c>
      <c r="K158" s="16">
        <v>49023</v>
      </c>
      <c r="L158" s="20" t="str">
        <f ca="1">_xll.meLWOBondCreateFromGeneratorLVB(C158,$L$4,_xll.meUtilityLVBFromKeysValues($C$6:$K$6,C158:K158))</f>
        <v>JP1300141445:1</v>
      </c>
      <c r="M158" s="92">
        <f ca="1">_xll.BDP($B158,$M$5)</f>
        <v>0.38400000000000079</v>
      </c>
      <c r="N158" s="37">
        <f ca="1">_xll.meLWOBondCleanPrice($L158,$C$4,$M158%)</f>
        <v>129.34741313450772</v>
      </c>
      <c r="O158" s="37">
        <f ca="1">_xll.meLWOBondDirtyPrice($L158,$C$4,$M158%)</f>
        <v>137.20000000000002</v>
      </c>
      <c r="P158" s="87">
        <f ca="1">_xll.meLWOBondYield($L158,$C$4,N158)</f>
        <v>3.8399999999998574E-3</v>
      </c>
      <c r="Q158" s="89">
        <f ca="1">_xll.meLWOBondModifiedDuration($L158,$C$4,$M158%)</f>
        <v>13.385650385398776</v>
      </c>
      <c r="R158" s="23">
        <f ca="1">_xll.meLWOBondDV01($L158,$C$4,$M158%)</f>
        <v>1836.5112328767123</v>
      </c>
      <c r="S158" s="85">
        <f t="shared" ca="1" si="25"/>
        <v>0.38400000000000079</v>
      </c>
      <c r="T158" s="22" t="str">
        <f ca="1">_xll.BDP($B158,T$6, "YAS_BOND_SPL_YLD="&amp;S158,"YAS_YLD_CONV=2")</f>
        <v>#N/A Requesting Data...</v>
      </c>
      <c r="U158" s="23">
        <f t="shared" ca="1" si="26"/>
        <v>129.34741313450772</v>
      </c>
      <c r="V158" s="23">
        <f t="shared" ca="1" si="18"/>
        <v>129.34700000000001</v>
      </c>
      <c r="W158" s="24" t="e">
        <f t="shared" ca="1" si="19"/>
        <v>#VALUE!</v>
      </c>
      <c r="X158" s="23">
        <f ca="1">_xll.meLWOBondDV01($L158,$C$4,$S158%)</f>
        <v>1836.5112328767123</v>
      </c>
      <c r="Y158" s="22" t="e">
        <f ca="1">_xll.BDP($B158,Y$6, "YLD_YTM_ASK="&amp;$S158,"YAS_YLD_CONV=3")*$Y$3*0.0001</f>
        <v>#VALUE!</v>
      </c>
      <c r="Z158" s="24" t="e">
        <f t="shared" ca="1" si="20"/>
        <v>#VALUE!</v>
      </c>
      <c r="AA158" s="23">
        <f ca="1">_xll.meLWOBondModifiedDuration($L158,$C$4,$S158%)</f>
        <v>13.385650385398776</v>
      </c>
      <c r="AB158" s="22" t="str">
        <f ca="1">_xll.BDP($B158,AB$6, "YLD_YTM_ASK="&amp;$S158,"YAS_YLD_CONV=3")</f>
        <v>#N/A Requesting Data...</v>
      </c>
      <c r="AC158" s="24" t="e">
        <f t="shared" ca="1" si="21"/>
        <v>#VALUE!</v>
      </c>
      <c r="AD158" s="23">
        <f ca="1">_xll.meLWOBondDV01Numerical($L158,$C$4,$S158%, 0.5, "CENTRAL")</f>
        <v>1882.9434435539838</v>
      </c>
      <c r="AE158" s="63" t="str">
        <f ca="1">_xll.BDP($B158,AE$6, "YAS_BOND_PX="&amp;T158)</f>
        <v>#N/A Invalid Override</v>
      </c>
      <c r="AF158" s="64" t="e">
        <f ca="1">_xll.meLWOBondCompoundYield(L158,$C$4,T158)*100</f>
        <v>#VALUE!</v>
      </c>
      <c r="AG158" s="65" t="e">
        <f t="shared" ca="1" si="22"/>
        <v>#VALUE!</v>
      </c>
      <c r="AH158" s="35" t="e">
        <f t="shared" ca="1" si="23"/>
        <v>#VALUE!</v>
      </c>
      <c r="AI158" s="63" t="str">
        <f ca="1">_xll.BDP($B158,AI$6, "PX_ASK="&amp;T158)</f>
        <v>#N/A Invalid Override</v>
      </c>
      <c r="AJ158" s="35" t="e">
        <f t="shared" ca="1" si="24"/>
        <v>#VALUE!</v>
      </c>
    </row>
    <row r="159" spans="2:36">
      <c r="B159" s="15" t="s">
        <v>1080</v>
      </c>
      <c r="C159" s="15" t="s">
        <v>1081</v>
      </c>
      <c r="D159" s="15" t="s">
        <v>1081</v>
      </c>
      <c r="E159" s="16">
        <v>41810</v>
      </c>
      <c r="F159" s="19">
        <v>41810</v>
      </c>
      <c r="G159" s="18"/>
      <c r="H159" s="16">
        <v>41993</v>
      </c>
      <c r="I159" s="16">
        <v>48933</v>
      </c>
      <c r="J159" s="17">
        <v>1.4999999999999999E-2</v>
      </c>
      <c r="K159" s="16">
        <v>49115</v>
      </c>
      <c r="L159" s="20" t="str">
        <f ca="1">_xll.meLWOBondCreateFromGeneratorLVB(C159,$L$4,_xll.meUtilityLVBFromKeysValues($C$6:$K$6,C159:K159))</f>
        <v>JP1201491E67:1</v>
      </c>
      <c r="M159" s="92">
        <f ca="1">_xll.BDP($B159,$M$5)</f>
        <v>0.41900000000000082</v>
      </c>
      <c r="N159" s="37">
        <f ca="1">_xll.meLWOBondCleanPrice($L159,$C$4,$M159%)</f>
        <v>115.89678090777926</v>
      </c>
      <c r="O159" s="37">
        <f ca="1">_xll.meLWOBondDirtyPrice($L159,$C$4,$M159%)</f>
        <v>124</v>
      </c>
      <c r="P159" s="87">
        <f ca="1">_xll.meLWOBondYield($L159,$C$4,N159)</f>
        <v>4.1900000000001597E-3</v>
      </c>
      <c r="Q159" s="89">
        <f ca="1">_xll.meLWOBondModifiedDuration($L159,$C$4,$M159%)</f>
        <v>14.172602739726027</v>
      </c>
      <c r="R159" s="23">
        <f ca="1">_xll.meLWOBondDV01($L159,$C$4,$M159%)</f>
        <v>1757.4027397260274</v>
      </c>
      <c r="S159" s="85">
        <f t="shared" ca="1" si="25"/>
        <v>0.41900000000000082</v>
      </c>
      <c r="T159" s="22" t="str">
        <f ca="1">_xll.BDP($B159,T$6, "YAS_BOND_SPL_YLD="&amp;S159,"YAS_YLD_CONV=2")</f>
        <v>#N/A Requesting Data...</v>
      </c>
      <c r="U159" s="23">
        <f t="shared" ca="1" si="26"/>
        <v>115.89678090777926</v>
      </c>
      <c r="V159" s="23">
        <f t="shared" ca="1" si="18"/>
        <v>115.896</v>
      </c>
      <c r="W159" s="24" t="e">
        <f t="shared" ca="1" si="19"/>
        <v>#VALUE!</v>
      </c>
      <c r="X159" s="23">
        <f ca="1">_xll.meLWOBondDV01($L159,$C$4,$S159%)</f>
        <v>1757.4027397260274</v>
      </c>
      <c r="Y159" s="22" t="e">
        <f ca="1">_xll.BDP($B159,Y$6, "YLD_YTM_ASK="&amp;$S159,"YAS_YLD_CONV=3")*$Y$3*0.0001</f>
        <v>#VALUE!</v>
      </c>
      <c r="Z159" s="24" t="e">
        <f t="shared" ca="1" si="20"/>
        <v>#VALUE!</v>
      </c>
      <c r="AA159" s="23">
        <f ca="1">_xll.meLWOBondModifiedDuration($L159,$C$4,$S159%)</f>
        <v>14.172602739726027</v>
      </c>
      <c r="AB159" s="22" t="str">
        <f ca="1">_xll.BDP($B159,AB$6, "YLD_YTM_ASK="&amp;$S159,"YAS_YLD_CONV=3")</f>
        <v>#N/A Requesting Data...</v>
      </c>
      <c r="AC159" s="24" t="e">
        <f t="shared" ca="1" si="21"/>
        <v>#VALUE!</v>
      </c>
      <c r="AD159" s="23">
        <f ca="1">_xll.meLWOBondDV01Numerical($L159,$C$4,$S159%, 0.5, "CENTRAL")</f>
        <v>1704.3355504839042</v>
      </c>
      <c r="AE159" s="63" t="str">
        <f ca="1">_xll.BDP($B159,AE$6, "YAS_BOND_PX="&amp;T159)</f>
        <v>#N/A Invalid Override</v>
      </c>
      <c r="AF159" s="64" t="e">
        <f ca="1">_xll.meLWOBondCompoundYield(L159,$C$4,T159)*100</f>
        <v>#VALUE!</v>
      </c>
      <c r="AG159" s="65" t="e">
        <f t="shared" ca="1" si="22"/>
        <v>#VALUE!</v>
      </c>
      <c r="AH159" s="35" t="e">
        <f t="shared" ca="1" si="23"/>
        <v>#VALUE!</v>
      </c>
      <c r="AI159" s="63" t="str">
        <f ca="1">_xll.BDP($B159,AI$6, "PX_ASK="&amp;T159)</f>
        <v>#N/A Invalid Override</v>
      </c>
      <c r="AJ159" s="35" t="e">
        <f t="shared" ca="1" si="24"/>
        <v>#VALUE!</v>
      </c>
    </row>
    <row r="160" spans="2:36">
      <c r="B160" s="15" t="s">
        <v>1082</v>
      </c>
      <c r="C160" s="15" t="s">
        <v>1083</v>
      </c>
      <c r="D160" s="15" t="s">
        <v>1083</v>
      </c>
      <c r="E160" s="16">
        <v>38219</v>
      </c>
      <c r="F160" s="19">
        <v>38158</v>
      </c>
      <c r="G160" s="18"/>
      <c r="H160" s="16">
        <v>38341</v>
      </c>
      <c r="I160" s="16">
        <v>48933</v>
      </c>
      <c r="J160" s="17">
        <v>2.5000000000000001E-2</v>
      </c>
      <c r="K160" s="16">
        <v>49115</v>
      </c>
      <c r="L160" s="20" t="str">
        <f ca="1">_xll.meLWOBondCreateFromGeneratorLVB(C160,$L$4,_xll.meUtilityLVBFromKeysValues($C$6:$K$6,C160:K160))</f>
        <v>JP1300151485:1</v>
      </c>
      <c r="M160" s="92">
        <f ca="1">_xll.BDP($B160,$M$5)</f>
        <v>0.39699999999999985</v>
      </c>
      <c r="N160" s="37">
        <f ca="1">_xll.meLWOBondCleanPrice($L160,$C$4,$M160%)</f>
        <v>131.02630740009758</v>
      </c>
      <c r="O160" s="37">
        <f ca="1">_xll.meLWOBondDirtyPrice($L160,$C$4,$M160%)</f>
        <v>140</v>
      </c>
      <c r="P160" s="87">
        <f ca="1">_xll.meLWOBondYield($L160,$C$4,N160)</f>
        <v>3.9699999999997905E-3</v>
      </c>
      <c r="Q160" s="89">
        <f ca="1">_xll.meLWOBondModifiedDuration($L160,$C$4,$M160%)</f>
        <v>13.458317025440314</v>
      </c>
      <c r="R160" s="23">
        <f ca="1">_xll.meLWOBondDV01($L160,$C$4,$M160%)</f>
        <v>1884.1643835616439</v>
      </c>
      <c r="S160" s="85">
        <f t="shared" ca="1" si="25"/>
        <v>0.39699999999999985</v>
      </c>
      <c r="T160" s="22" t="str">
        <f ca="1">_xll.BDP($B160,T$6, "YAS_BOND_SPL_YLD="&amp;S160,"YAS_YLD_CONV=2")</f>
        <v>#N/A Requesting Data...</v>
      </c>
      <c r="U160" s="23">
        <f t="shared" ca="1" si="26"/>
        <v>131.02630740009758</v>
      </c>
      <c r="V160" s="23">
        <f t="shared" ca="1" si="18"/>
        <v>131.02600000000001</v>
      </c>
      <c r="W160" s="24" t="e">
        <f t="shared" ca="1" si="19"/>
        <v>#VALUE!</v>
      </c>
      <c r="X160" s="23">
        <f ca="1">_xll.meLWOBondDV01($L160,$C$4,$S160%)</f>
        <v>1884.1643835616439</v>
      </c>
      <c r="Y160" s="22" t="e">
        <f ca="1">_xll.BDP($B160,Y$6, "YLD_YTM_ASK="&amp;$S160,"YAS_YLD_CONV=3")*$Y$3*0.0001</f>
        <v>#VALUE!</v>
      </c>
      <c r="Z160" s="24" t="e">
        <f t="shared" ca="1" si="20"/>
        <v>#VALUE!</v>
      </c>
      <c r="AA160" s="23">
        <f ca="1">_xll.meLWOBondModifiedDuration($L160,$C$4,$S160%)</f>
        <v>13.458317025440314</v>
      </c>
      <c r="AB160" s="22" t="str">
        <f ca="1">_xll.BDP($B160,AB$6, "YLD_YTM_ASK="&amp;$S160,"YAS_YLD_CONV=3")</f>
        <v>#N/A Requesting Data...</v>
      </c>
      <c r="AC160" s="24" t="e">
        <f t="shared" ca="1" si="21"/>
        <v>#VALUE!</v>
      </c>
      <c r="AD160" s="23">
        <f ca="1">_xll.meLWOBondDV01Numerical($L160,$C$4,$S160%, 0.5, "CENTRAL")</f>
        <v>1933.0787936397087</v>
      </c>
      <c r="AE160" s="63" t="str">
        <f ca="1">_xll.BDP($B160,AE$6, "YAS_BOND_PX="&amp;T160)</f>
        <v>#N/A Invalid Override</v>
      </c>
      <c r="AF160" s="64" t="e">
        <f ca="1">_xll.meLWOBondCompoundYield(L160,$C$4,T160)*100</f>
        <v>#VALUE!</v>
      </c>
      <c r="AG160" s="65" t="e">
        <f t="shared" ca="1" si="22"/>
        <v>#VALUE!</v>
      </c>
      <c r="AH160" s="35" t="e">
        <f t="shared" ca="1" si="23"/>
        <v>#VALUE!</v>
      </c>
      <c r="AI160" s="63" t="str">
        <f ca="1">_xll.BDP($B160,AI$6, "PX_ASK="&amp;T160)</f>
        <v>#N/A Invalid Override</v>
      </c>
      <c r="AJ160" s="35" t="e">
        <f t="shared" ca="1" si="24"/>
        <v>#VALUE!</v>
      </c>
    </row>
    <row r="161" spans="2:36">
      <c r="B161" s="15" t="s">
        <v>1084</v>
      </c>
      <c r="C161" s="15" t="s">
        <v>1085</v>
      </c>
      <c r="D161" s="15" t="s">
        <v>1085</v>
      </c>
      <c r="E161" s="16">
        <v>41904</v>
      </c>
      <c r="F161" s="19">
        <v>41902</v>
      </c>
      <c r="G161" s="18"/>
      <c r="H161" s="16">
        <v>42083</v>
      </c>
      <c r="I161" s="16">
        <v>49023</v>
      </c>
      <c r="J161" s="17">
        <v>1.3999999999999999E-2</v>
      </c>
      <c r="K161" s="16">
        <v>49207</v>
      </c>
      <c r="L161" s="20" t="str">
        <f ca="1">_xll.meLWOBondCreateFromGeneratorLVB(C161,$L$4,_xll.meUtilityLVBFromKeysValues($C$6:$K$6,C161:K161))</f>
        <v>JP1201501E99:1</v>
      </c>
      <c r="M161" s="92">
        <f ca="1">_xll.BDP($B161,$M$5)</f>
        <v>0.43300000000000072</v>
      </c>
      <c r="N161" s="37">
        <f ca="1">_xll.meLWOBondCleanPrice($L161,$C$4,$M161%)</f>
        <v>114.40464975468386</v>
      </c>
      <c r="O161" s="37">
        <f ca="1">_xll.meLWOBondDirtyPrice($L161,$C$4,$M161%)</f>
        <v>122.39999999999999</v>
      </c>
      <c r="P161" s="87">
        <f ca="1">_xll.meLWOBondYield($L161,$C$4,N161)</f>
        <v>4.3299999999999294E-3</v>
      </c>
      <c r="Q161" s="89">
        <f ca="1">_xll.meLWOBondModifiedDuration($L161,$C$4,$M161%)</f>
        <v>14.500877428597011</v>
      </c>
      <c r="R161" s="23">
        <f ca="1">_xll.meLWOBondDV01($L161,$C$4,$M161%)</f>
        <v>1774.9073972602741</v>
      </c>
      <c r="S161" s="85">
        <f t="shared" ca="1" si="25"/>
        <v>0.43300000000000072</v>
      </c>
      <c r="T161" s="22" t="str">
        <f ca="1">_xll.BDP($B161,T$6, "YAS_BOND_SPL_YLD="&amp;S161,"YAS_YLD_CONV=2")</f>
        <v>#N/A Requesting Data...</v>
      </c>
      <c r="U161" s="23">
        <f t="shared" ca="1" si="26"/>
        <v>114.40464975468386</v>
      </c>
      <c r="V161" s="23">
        <f t="shared" ca="1" si="18"/>
        <v>114.404</v>
      </c>
      <c r="W161" s="24" t="e">
        <f t="shared" ca="1" si="19"/>
        <v>#VALUE!</v>
      </c>
      <c r="X161" s="23">
        <f ca="1">_xll.meLWOBondDV01($L161,$C$4,$S161%)</f>
        <v>1774.9073972602741</v>
      </c>
      <c r="Y161" s="22" t="e">
        <f ca="1">_xll.BDP($B161,Y$6, "YLD_YTM_ASK="&amp;$S161,"YAS_YLD_CONV=3")*$Y$3*0.0001</f>
        <v>#VALUE!</v>
      </c>
      <c r="Z161" s="24" t="e">
        <f t="shared" ca="1" si="20"/>
        <v>#VALUE!</v>
      </c>
      <c r="AA161" s="23">
        <f ca="1">_xll.meLWOBondModifiedDuration($L161,$C$4,$S161%)</f>
        <v>14.500877428597011</v>
      </c>
      <c r="AB161" s="22" t="str">
        <f ca="1">_xll.BDP($B161,AB$6, "YLD_YTM_ASK="&amp;$S161,"YAS_YLD_CONV=3")</f>
        <v>#N/A Requesting Data...</v>
      </c>
      <c r="AC161" s="24" t="e">
        <f t="shared" ca="1" si="21"/>
        <v>#VALUE!</v>
      </c>
      <c r="AD161" s="23">
        <f ca="1">_xll.meLWOBondDV01Numerical($L161,$C$4,$S161%, 0.5, "CENTRAL")</f>
        <v>1704.1983704436348</v>
      </c>
      <c r="AE161" s="63" t="str">
        <f ca="1">_xll.BDP($B161,AE$6, "YAS_BOND_PX="&amp;T161)</f>
        <v>#N/A Invalid Override</v>
      </c>
      <c r="AF161" s="64" t="e">
        <f ca="1">_xll.meLWOBondCompoundYield(L161,$C$4,T161)*100</f>
        <v>#VALUE!</v>
      </c>
      <c r="AG161" s="65" t="e">
        <f t="shared" ca="1" si="22"/>
        <v>#VALUE!</v>
      </c>
      <c r="AH161" s="35" t="e">
        <f t="shared" ca="1" si="23"/>
        <v>#VALUE!</v>
      </c>
      <c r="AI161" s="63" t="str">
        <f ca="1">_xll.BDP($B161,AI$6, "PX_ASK="&amp;T161)</f>
        <v>#N/A Invalid Override</v>
      </c>
      <c r="AJ161" s="35" t="e">
        <f t="shared" ca="1" si="24"/>
        <v>#VALUE!</v>
      </c>
    </row>
    <row r="162" spans="2:36">
      <c r="B162" s="15" t="s">
        <v>1086</v>
      </c>
      <c r="C162" s="15" t="s">
        <v>1087</v>
      </c>
      <c r="D162" s="15" t="s">
        <v>1087</v>
      </c>
      <c r="E162" s="16">
        <v>38285</v>
      </c>
      <c r="F162" s="19">
        <v>38250</v>
      </c>
      <c r="G162" s="18"/>
      <c r="H162" s="16">
        <v>38431</v>
      </c>
      <c r="I162" s="16">
        <v>49023</v>
      </c>
      <c r="J162" s="17">
        <v>2.5000000000000001E-2</v>
      </c>
      <c r="K162" s="16">
        <v>49207</v>
      </c>
      <c r="L162" s="20" t="str">
        <f ca="1">_xll.meLWOBondCreateFromGeneratorLVB(C162,$L$4,_xll.meUtilityLVBFromKeysValues($C$6:$K$6,C162:K162))</f>
        <v>JP13001614A6:1</v>
      </c>
      <c r="M162" s="92">
        <f ca="1">_xll.BDP($B162,$M$5)</f>
        <v>0.4080000000000007</v>
      </c>
      <c r="N162" s="37">
        <f ca="1">_xll.meLWOBondCleanPrice($L162,$C$4,$M162%)</f>
        <v>131.27938929538135</v>
      </c>
      <c r="O162" s="37">
        <f ca="1">_xll.meLWOBondDirtyPrice($L162,$C$4,$M162%)</f>
        <v>140</v>
      </c>
      <c r="P162" s="87">
        <f ca="1">_xll.meLWOBondYield($L162,$C$4,N162)</f>
        <v>4.0800000000001755E-3</v>
      </c>
      <c r="Q162" s="89">
        <f ca="1">_xll.meLWOBondModifiedDuration($L162,$C$4,$M162%)</f>
        <v>13.704892367906069</v>
      </c>
      <c r="R162" s="23">
        <f ca="1">_xll.meLWOBondDV01($L162,$C$4,$M162%)</f>
        <v>1918.6849315068496</v>
      </c>
      <c r="S162" s="85">
        <f t="shared" ca="1" si="25"/>
        <v>0.4080000000000007</v>
      </c>
      <c r="T162" s="22" t="str">
        <f ca="1">_xll.BDP($B162,T$6, "YAS_BOND_SPL_YLD="&amp;S162,"YAS_YLD_CONV=2")</f>
        <v>#N/A Requesting Data...</v>
      </c>
      <c r="U162" s="23">
        <f t="shared" ca="1" si="26"/>
        <v>131.27938929538135</v>
      </c>
      <c r="V162" s="23">
        <f t="shared" ca="1" si="18"/>
        <v>131.279</v>
      </c>
      <c r="W162" s="24" t="e">
        <f t="shared" ca="1" si="19"/>
        <v>#VALUE!</v>
      </c>
      <c r="X162" s="23">
        <f ca="1">_xll.meLWOBondDV01($L162,$C$4,$S162%)</f>
        <v>1918.6849315068496</v>
      </c>
      <c r="Y162" s="22" t="e">
        <f ca="1">_xll.BDP($B162,Y$6, "YLD_YTM_ASK="&amp;$S162,"YAS_YLD_CONV=3")*$Y$3*0.0001</f>
        <v>#VALUE!</v>
      </c>
      <c r="Z162" s="24" t="e">
        <f t="shared" ca="1" si="20"/>
        <v>#VALUE!</v>
      </c>
      <c r="AA162" s="23">
        <f ca="1">_xll.meLWOBondModifiedDuration($L162,$C$4,$S162%)</f>
        <v>13.704892367906069</v>
      </c>
      <c r="AB162" s="22" t="str">
        <f ca="1">_xll.BDP($B162,AB$6, "YLD_YTM_ASK="&amp;$S162,"YAS_YLD_CONV=3")</f>
        <v>#N/A Requesting Data...</v>
      </c>
      <c r="AC162" s="24" t="e">
        <f t="shared" ca="1" si="21"/>
        <v>#VALUE!</v>
      </c>
      <c r="AD162" s="23">
        <f ca="1">_xll.meLWOBondDV01Numerical($L162,$C$4,$S162%, 0.5, "CENTRAL")</f>
        <v>1962.878307485312</v>
      </c>
      <c r="AE162" s="63" t="str">
        <f ca="1">_xll.BDP($B162,AE$6, "YAS_BOND_PX="&amp;T162)</f>
        <v>#N/A Invalid Override</v>
      </c>
      <c r="AF162" s="64" t="e">
        <f ca="1">_xll.meLWOBondCompoundYield(L162,$C$4,T162)*100</f>
        <v>#VALUE!</v>
      </c>
      <c r="AG162" s="65" t="e">
        <f t="shared" ca="1" si="22"/>
        <v>#VALUE!</v>
      </c>
      <c r="AH162" s="35" t="e">
        <f t="shared" ca="1" si="23"/>
        <v>#VALUE!</v>
      </c>
      <c r="AI162" s="63" t="str">
        <f ca="1">_xll.BDP($B162,AI$6, "PX_ASK="&amp;T162)</f>
        <v>#N/A Invalid Override</v>
      </c>
      <c r="AJ162" s="35" t="e">
        <f t="shared" ca="1" si="24"/>
        <v>#VALUE!</v>
      </c>
    </row>
    <row r="163" spans="2:36">
      <c r="B163" s="15" t="s">
        <v>1088</v>
      </c>
      <c r="C163" s="15" t="s">
        <v>1089</v>
      </c>
      <c r="D163" s="15" t="s">
        <v>1089</v>
      </c>
      <c r="E163" s="16">
        <v>41995</v>
      </c>
      <c r="F163" s="19">
        <v>41993</v>
      </c>
      <c r="G163" s="18"/>
      <c r="H163" s="16">
        <v>42175</v>
      </c>
      <c r="I163" s="16">
        <v>49115</v>
      </c>
      <c r="J163" s="17">
        <v>1.2E-2</v>
      </c>
      <c r="K163" s="16">
        <v>49298</v>
      </c>
      <c r="L163" s="20" t="str">
        <f ca="1">_xll.meLWOBondCreateFromGeneratorLVB(C163,$L$4,_xll.meUtilityLVBFromKeysValues($C$6:$K$6,C163:K163))</f>
        <v>JP1201511EC7:1</v>
      </c>
      <c r="M163" s="92">
        <f ca="1">_xll.BDP($B163,$M$5)</f>
        <v>0.45099999999999946</v>
      </c>
      <c r="N163" s="37">
        <f ca="1">_xll.meLWOBondCleanPrice($L163,$C$4,$M163%)</f>
        <v>111.28981777427362</v>
      </c>
      <c r="O163" s="37">
        <f ca="1">_xll.meLWOBondDirtyPrice($L163,$C$4,$M163%)</f>
        <v>119.8</v>
      </c>
      <c r="P163" s="87">
        <f ca="1">_xll.meLWOBondYield($L163,$C$4,N163)</f>
        <v>4.5099999999997677E-3</v>
      </c>
      <c r="Q163" s="89">
        <f ca="1">_xll.meLWOBondModifiedDuration($L163,$C$4,$M163%)</f>
        <v>14.850399066938047</v>
      </c>
      <c r="R163" s="23">
        <f ca="1">_xll.meLWOBondDV01($L163,$C$4,$M163%)</f>
        <v>1779.077808219178</v>
      </c>
      <c r="S163" s="85">
        <f t="shared" ca="1" si="25"/>
        <v>0.45099999999999946</v>
      </c>
      <c r="T163" s="22" t="str">
        <f ca="1">_xll.BDP($B163,T$6, "YAS_BOND_SPL_YLD="&amp;S163,"YAS_YLD_CONV=2")</f>
        <v>#N/A Requesting Data...</v>
      </c>
      <c r="U163" s="23">
        <f t="shared" ca="1" si="26"/>
        <v>111.28981777427362</v>
      </c>
      <c r="V163" s="23">
        <f t="shared" ca="1" si="18"/>
        <v>111.289</v>
      </c>
      <c r="W163" s="24" t="e">
        <f t="shared" ca="1" si="19"/>
        <v>#VALUE!</v>
      </c>
      <c r="X163" s="23">
        <f ca="1">_xll.meLWOBondDV01($L163,$C$4,$S163%)</f>
        <v>1779.077808219178</v>
      </c>
      <c r="Y163" s="22" t="e">
        <f ca="1">_xll.BDP($B163,Y$6, "YLD_YTM_ASK="&amp;$S163,"YAS_YLD_CONV=3")*$Y$3*0.0001</f>
        <v>#VALUE!</v>
      </c>
      <c r="Z163" s="24" t="e">
        <f t="shared" ca="1" si="20"/>
        <v>#VALUE!</v>
      </c>
      <c r="AA163" s="23">
        <f ca="1">_xll.meLWOBondModifiedDuration($L163,$C$4,$S163%)</f>
        <v>14.850399066938047</v>
      </c>
      <c r="AB163" s="22" t="str">
        <f ca="1">_xll.BDP($B163,AB$6, "YLD_YTM_ASK="&amp;$S163,"YAS_YLD_CONV=3")</f>
        <v>#N/A Requesting Data...</v>
      </c>
      <c r="AC163" s="24" t="e">
        <f t="shared" ca="1" si="21"/>
        <v>#VALUE!</v>
      </c>
      <c r="AD163" s="23">
        <f ca="1">_xll.meLWOBondDV01Numerical($L163,$C$4,$S163%, 0.5, "CENTRAL")</f>
        <v>1677.4932930121624</v>
      </c>
      <c r="AE163" s="63" t="str">
        <f ca="1">_xll.BDP($B163,AE$6, "YAS_BOND_PX="&amp;T163)</f>
        <v>#N/A Invalid Override</v>
      </c>
      <c r="AF163" s="64" t="e">
        <f ca="1">_xll.meLWOBondCompoundYield(L163,$C$4,T163)*100</f>
        <v>#VALUE!</v>
      </c>
      <c r="AG163" s="65" t="e">
        <f t="shared" ca="1" si="22"/>
        <v>#VALUE!</v>
      </c>
      <c r="AH163" s="35" t="e">
        <f t="shared" ca="1" si="23"/>
        <v>#VALUE!</v>
      </c>
      <c r="AI163" s="63" t="str">
        <f ca="1">_xll.BDP($B163,AI$6, "PX_ASK="&amp;T163)</f>
        <v>#N/A Invalid Override</v>
      </c>
      <c r="AJ163" s="35" t="e">
        <f t="shared" ca="1" si="24"/>
        <v>#VALUE!</v>
      </c>
    </row>
    <row r="164" spans="2:36">
      <c r="B164" s="15" t="s">
        <v>1090</v>
      </c>
      <c r="C164" s="15" t="s">
        <v>1091</v>
      </c>
      <c r="D164" s="15" t="s">
        <v>1091</v>
      </c>
      <c r="E164" s="16">
        <v>38404</v>
      </c>
      <c r="F164" s="19">
        <v>38341</v>
      </c>
      <c r="G164" s="18"/>
      <c r="H164" s="16">
        <v>38523</v>
      </c>
      <c r="I164" s="16">
        <v>49115</v>
      </c>
      <c r="J164" s="17">
        <v>2.4E-2</v>
      </c>
      <c r="K164" s="16">
        <v>49298</v>
      </c>
      <c r="L164" s="20" t="str">
        <f ca="1">_xll.meLWOBondCreateFromGeneratorLVB(C164,$L$4,_xll.meUtilityLVBFromKeysValues($C$6:$K$6,C164:K164))</f>
        <v>JP1300171525:1</v>
      </c>
      <c r="M164" s="92">
        <f ca="1">_xll.BDP($B164,$M$5)</f>
        <v>0.4200000000000001</v>
      </c>
      <c r="N164" s="37">
        <f ca="1">_xll.meLWOBondCleanPrice($L164,$C$4,$M164%)</f>
        <v>129.98502280443495</v>
      </c>
      <c r="O164" s="37">
        <f ca="1">_xll.meLWOBondDirtyPrice($L164,$C$4,$M164%)</f>
        <v>139.6</v>
      </c>
      <c r="P164" s="87">
        <f ca="1">_xll.meLWOBondYield($L164,$C$4,N164)</f>
        <v>4.1999999999999841E-3</v>
      </c>
      <c r="Q164" s="89">
        <f ca="1">_xll.meLWOBondModifiedDuration($L164,$C$4,$M164%)</f>
        <v>13.903261765513996</v>
      </c>
      <c r="R164" s="23">
        <f ca="1">_xll.meLWOBondDV01($L164,$C$4,$M164%)</f>
        <v>1940.8953424657536</v>
      </c>
      <c r="S164" s="85">
        <f t="shared" ca="1" si="25"/>
        <v>0.4200000000000001</v>
      </c>
      <c r="T164" s="22" t="str">
        <f ca="1">_xll.BDP($B164,T$6, "YAS_BOND_SPL_YLD="&amp;S164,"YAS_YLD_CONV=2")</f>
        <v>#N/A Requesting Data...</v>
      </c>
      <c r="U164" s="23">
        <f t="shared" ca="1" si="26"/>
        <v>129.98502280443495</v>
      </c>
      <c r="V164" s="23">
        <f t="shared" ca="1" si="18"/>
        <v>129.98500000000001</v>
      </c>
      <c r="W164" s="24" t="e">
        <f t="shared" ca="1" si="19"/>
        <v>#VALUE!</v>
      </c>
      <c r="X164" s="23">
        <f ca="1">_xll.meLWOBondDV01($L164,$C$4,$S164%)</f>
        <v>1940.8953424657536</v>
      </c>
      <c r="Y164" s="22" t="e">
        <f ca="1">_xll.BDP($B164,Y$6, "YLD_YTM_ASK="&amp;$S164,"YAS_YLD_CONV=3")*$Y$3*0.0001</f>
        <v>#VALUE!</v>
      </c>
      <c r="Z164" s="24" t="e">
        <f t="shared" ca="1" si="20"/>
        <v>#VALUE!</v>
      </c>
      <c r="AA164" s="23">
        <f ca="1">_xll.meLWOBondModifiedDuration($L164,$C$4,$S164%)</f>
        <v>13.903261765513996</v>
      </c>
      <c r="AB164" s="22" t="str">
        <f ca="1">_xll.BDP($B164,AB$6, "YLD_YTM_ASK="&amp;$S164,"YAS_YLD_CONV=3")</f>
        <v>#N/A Requesting Data...</v>
      </c>
      <c r="AC164" s="24" t="e">
        <f t="shared" ca="1" si="21"/>
        <v>#VALUE!</v>
      </c>
      <c r="AD164" s="23">
        <f ca="1">_xll.meLWOBondDV01Numerical($L164,$C$4,$S164%, 0.5, "CENTRAL")</f>
        <v>1968.4879331873619</v>
      </c>
      <c r="AE164" s="63" t="str">
        <f ca="1">_xll.BDP($B164,AE$6, "YAS_BOND_PX="&amp;T164)</f>
        <v>#N/A Invalid Override</v>
      </c>
      <c r="AF164" s="64" t="e">
        <f ca="1">_xll.meLWOBondCompoundYield(L164,$C$4,T164)*100</f>
        <v>#VALUE!</v>
      </c>
      <c r="AG164" s="65" t="e">
        <f t="shared" ca="1" si="22"/>
        <v>#VALUE!</v>
      </c>
      <c r="AH164" s="35" t="e">
        <f t="shared" ca="1" si="23"/>
        <v>#VALUE!</v>
      </c>
      <c r="AI164" s="63" t="str">
        <f ca="1">_xll.BDP($B164,AI$6, "PX_ASK="&amp;T164)</f>
        <v>#N/A Invalid Override</v>
      </c>
      <c r="AJ164" s="35" t="e">
        <f t="shared" ca="1" si="24"/>
        <v>#VALUE!</v>
      </c>
    </row>
    <row r="165" spans="2:36">
      <c r="B165" s="15" t="s">
        <v>1092</v>
      </c>
      <c r="C165" s="15" t="s">
        <v>1093</v>
      </c>
      <c r="D165" s="15" t="s">
        <v>1093</v>
      </c>
      <c r="E165" s="16">
        <v>42083</v>
      </c>
      <c r="F165" s="19">
        <v>42083</v>
      </c>
      <c r="G165" s="18"/>
      <c r="H165" s="16">
        <v>42267</v>
      </c>
      <c r="I165" s="16">
        <v>49207</v>
      </c>
      <c r="J165" s="17">
        <v>1.2E-2</v>
      </c>
      <c r="K165" s="16">
        <v>49388</v>
      </c>
      <c r="L165" s="20" t="str">
        <f ca="1">_xll.meLWOBondCreateFromGeneratorLVB(C165,$L$4,_xll.meUtilityLVBFromKeysValues($C$6:$K$6,C165:K165))</f>
        <v>JP1201521F37:1</v>
      </c>
      <c r="M165" s="92">
        <f ca="1">_xll.BDP($B165,$M$5)</f>
        <v>0.46599999999999941</v>
      </c>
      <c r="N165" s="37">
        <f ca="1">_xll.meLWOBondCleanPrice($L165,$C$4,$M165%)</f>
        <v>111.19510175137199</v>
      </c>
      <c r="O165" s="37">
        <f ca="1">_xll.meLWOBondDirtyPrice($L165,$C$4,$M165%)</f>
        <v>119.8</v>
      </c>
      <c r="P165" s="87">
        <f ca="1">_xll.meLWOBondYield($L165,$C$4,N165)</f>
        <v>4.6599999999999862E-3</v>
      </c>
      <c r="Q165" s="89">
        <f ca="1">_xll.meLWOBondModifiedDuration($L165,$C$4,$M165%)</f>
        <v>15.096974409403803</v>
      </c>
      <c r="R165" s="23">
        <f ca="1">_xll.meLWOBondDV01($L165,$C$4,$M165%)</f>
        <v>1808.6175342465756</v>
      </c>
      <c r="S165" s="85">
        <f t="shared" ca="1" si="25"/>
        <v>0.46599999999999941</v>
      </c>
      <c r="T165" s="22" t="str">
        <f ca="1">_xll.BDP($B165,T$6, "YAS_BOND_SPL_YLD="&amp;S165,"YAS_YLD_CONV=2")</f>
        <v>#N/A Requesting Data...</v>
      </c>
      <c r="U165" s="23">
        <f t="shared" ca="1" si="26"/>
        <v>111.19510175137199</v>
      </c>
      <c r="V165" s="23">
        <f t="shared" ca="1" si="18"/>
        <v>111.19499999999999</v>
      </c>
      <c r="W165" s="24" t="e">
        <f t="shared" ca="1" si="19"/>
        <v>#VALUE!</v>
      </c>
      <c r="X165" s="23">
        <f ca="1">_xll.meLWOBondDV01($L165,$C$4,$S165%)</f>
        <v>1808.6175342465756</v>
      </c>
      <c r="Y165" s="22" t="e">
        <f ca="1">_xll.BDP($B165,Y$6, "YLD_YTM_ASK="&amp;$S165,"YAS_YLD_CONV=3")*$Y$3*0.0001</f>
        <v>#VALUE!</v>
      </c>
      <c r="Z165" s="24" t="e">
        <f t="shared" ca="1" si="20"/>
        <v>#VALUE!</v>
      </c>
      <c r="AA165" s="23">
        <f ca="1">_xll.meLWOBondModifiedDuration($L165,$C$4,$S165%)</f>
        <v>15.096974409403803</v>
      </c>
      <c r="AB165" s="22" t="str">
        <f ca="1">_xll.BDP($B165,AB$6, "YLD_YTM_ASK="&amp;$S165,"YAS_YLD_CONV=3")</f>
        <v>#N/A Requesting Data...</v>
      </c>
      <c r="AC165" s="24" t="e">
        <f t="shared" ca="1" si="21"/>
        <v>#VALUE!</v>
      </c>
      <c r="AD165" s="23">
        <f ca="1">_xll.meLWOBondDV01Numerical($L165,$C$4,$S165%, 0.5, "CENTRAL")</f>
        <v>1695.9689404991709</v>
      </c>
      <c r="AE165" s="63" t="str">
        <f ca="1">_xll.BDP($B165,AE$6, "YAS_BOND_PX="&amp;T165)</f>
        <v>#N/A Invalid Override</v>
      </c>
      <c r="AF165" s="64" t="e">
        <f ca="1">_xll.meLWOBondCompoundYield(L165,$C$4,T165)*100</f>
        <v>#VALUE!</v>
      </c>
      <c r="AG165" s="65" t="e">
        <f t="shared" ca="1" si="22"/>
        <v>#VALUE!</v>
      </c>
      <c r="AH165" s="35" t="e">
        <f t="shared" ca="1" si="23"/>
        <v>#VALUE!</v>
      </c>
      <c r="AI165" s="63" t="str">
        <f ca="1">_xll.BDP($B165,AI$6, "PX_ASK="&amp;T165)</f>
        <v>#N/A Invalid Override</v>
      </c>
      <c r="AJ165" s="35" t="e">
        <f t="shared" ca="1" si="24"/>
        <v>#VALUE!</v>
      </c>
    </row>
    <row r="166" spans="2:36">
      <c r="B166" s="15" t="s">
        <v>1094</v>
      </c>
      <c r="C166" s="15" t="s">
        <v>1095</v>
      </c>
      <c r="D166" s="15" t="s">
        <v>1095</v>
      </c>
      <c r="E166" s="16">
        <v>38462</v>
      </c>
      <c r="F166" s="19">
        <v>38431</v>
      </c>
      <c r="G166" s="18"/>
      <c r="H166" s="16">
        <v>38615</v>
      </c>
      <c r="I166" s="16">
        <v>49207</v>
      </c>
      <c r="J166" s="17">
        <v>2.3E-2</v>
      </c>
      <c r="K166" s="16">
        <v>49388</v>
      </c>
      <c r="L166" s="20" t="str">
        <f ca="1">_xll.meLWOBondCreateFromGeneratorLVB(C166,$L$4,_xll.meUtilityLVBFromKeysValues($C$6:$K$6,C166:K166))</f>
        <v>JP1300181540:1</v>
      </c>
      <c r="M166" s="92">
        <f ca="1">_xll.BDP($B166,$M$5)</f>
        <v>0.43500000000000028</v>
      </c>
      <c r="N166" s="37">
        <f ca="1">_xll.meLWOBondCleanPrice($L166,$C$4,$M166%)</f>
        <v>128.58045327231434</v>
      </c>
      <c r="O166" s="37">
        <f ca="1">_xll.meLWOBondDirtyPrice($L166,$C$4,$M166%)</f>
        <v>137.94999999999999</v>
      </c>
      <c r="P166" s="87">
        <f ca="1">_xll.meLWOBondYield($L166,$C$4,N166)</f>
        <v>4.350000000000174E-3</v>
      </c>
      <c r="Q166" s="89">
        <f ca="1">_xll.meLWOBondModifiedDuration($L166,$C$4,$M166%)</f>
        <v>14.218380691832959</v>
      </c>
      <c r="R166" s="23">
        <f ca="1">_xll.meLWOBondDV01($L166,$C$4,$M166%)</f>
        <v>1961.4256164383564</v>
      </c>
      <c r="S166" s="85">
        <f t="shared" ca="1" si="25"/>
        <v>0.43500000000000028</v>
      </c>
      <c r="T166" s="22" t="str">
        <f ca="1">_xll.BDP($B166,T$6, "YAS_BOND_SPL_YLD="&amp;S166,"YAS_YLD_CONV=2")</f>
        <v>#N/A Requesting Data...</v>
      </c>
      <c r="U166" s="23">
        <f t="shared" ca="1" si="26"/>
        <v>128.58045327231434</v>
      </c>
      <c r="V166" s="23">
        <f t="shared" ca="1" si="18"/>
        <v>128.58000000000001</v>
      </c>
      <c r="W166" s="24" t="e">
        <f t="shared" ca="1" si="19"/>
        <v>#VALUE!</v>
      </c>
      <c r="X166" s="23">
        <f ca="1">_xll.meLWOBondDV01($L166,$C$4,$S166%)</f>
        <v>1961.4256164383564</v>
      </c>
      <c r="Y166" s="22" t="e">
        <f ca="1">_xll.BDP($B166,Y$6, "YLD_YTM_ASK="&amp;$S166,"YAS_YLD_CONV=3")*$Y$3*0.0001</f>
        <v>#VALUE!</v>
      </c>
      <c r="Z166" s="24" t="e">
        <f t="shared" ca="1" si="20"/>
        <v>#VALUE!</v>
      </c>
      <c r="AA166" s="23">
        <f ca="1">_xll.meLWOBondModifiedDuration($L166,$C$4,$S166%)</f>
        <v>14.218380691832959</v>
      </c>
      <c r="AB166" s="22" t="str">
        <f ca="1">_xll.BDP($B166,AB$6, "YLD_YTM_ASK="&amp;$S166,"YAS_YLD_CONV=3")</f>
        <v>#N/A Requesting Data...</v>
      </c>
      <c r="AC166" s="24" t="e">
        <f t="shared" ca="1" si="21"/>
        <v>#VALUE!</v>
      </c>
      <c r="AD166" s="23">
        <f ca="1">_xll.meLWOBondDV01Numerical($L166,$C$4,$S166%, 0.5, "CENTRAL")</f>
        <v>1970.450291716759</v>
      </c>
      <c r="AE166" s="63" t="str">
        <f ca="1">_xll.BDP($B166,AE$6, "YAS_BOND_PX="&amp;T166)</f>
        <v>#N/A Invalid Override</v>
      </c>
      <c r="AF166" s="64" t="e">
        <f ca="1">_xll.meLWOBondCompoundYield(L166,$C$4,T166)*100</f>
        <v>#VALUE!</v>
      </c>
      <c r="AG166" s="65" t="e">
        <f t="shared" ca="1" si="22"/>
        <v>#VALUE!</v>
      </c>
      <c r="AH166" s="35" t="e">
        <f t="shared" ca="1" si="23"/>
        <v>#VALUE!</v>
      </c>
      <c r="AI166" s="63" t="str">
        <f ca="1">_xll.BDP($B166,AI$6, "PX_ASK="&amp;T166)</f>
        <v>#N/A Invalid Override</v>
      </c>
      <c r="AJ166" s="35" t="e">
        <f t="shared" ca="1" si="24"/>
        <v>#VALUE!</v>
      </c>
    </row>
    <row r="167" spans="2:36">
      <c r="B167" s="15" t="s">
        <v>1096</v>
      </c>
      <c r="C167" s="15" t="s">
        <v>1097</v>
      </c>
      <c r="D167" s="15" t="s">
        <v>1097</v>
      </c>
      <c r="E167" s="16">
        <v>42177</v>
      </c>
      <c r="F167" s="19">
        <v>42175</v>
      </c>
      <c r="G167" s="18"/>
      <c r="H167" s="16">
        <v>42358</v>
      </c>
      <c r="I167" s="16">
        <v>49298</v>
      </c>
      <c r="J167" s="17">
        <v>1.3000000000000001E-2</v>
      </c>
      <c r="K167" s="16">
        <v>49480</v>
      </c>
      <c r="L167" s="20" t="str">
        <f ca="1">_xll.meLWOBondCreateFromGeneratorLVB(C167,$L$4,_xll.meUtilityLVBFromKeysValues($C$6:$K$6,C167:K167))</f>
        <v>JP1201531F68:1</v>
      </c>
      <c r="M167" s="92">
        <f ca="1">_xll.BDP($B167,$M$5)</f>
        <v>0.47500000000000009</v>
      </c>
      <c r="N167" s="37">
        <f ca="1">_xll.meLWOBondCleanPrice($L167,$C$4,$M167%)</f>
        <v>112.74454736721852</v>
      </c>
      <c r="O167" s="37">
        <f ca="1">_xll.meLWOBondDirtyPrice($L167,$C$4,$M167%)</f>
        <v>122.10000000000001</v>
      </c>
      <c r="P167" s="87">
        <f ca="1">_xll.meLWOBondYield($L167,$C$4,N167)</f>
        <v>4.7499999999997215E-3</v>
      </c>
      <c r="Q167" s="89">
        <f ca="1">_xll.meLWOBondModifiedDuration($L167,$C$4,$M167%)</f>
        <v>15.179359496482784</v>
      </c>
      <c r="R167" s="23">
        <f ca="1">_xll.meLWOBondDV01($L167,$C$4,$M167%)</f>
        <v>1853.3997945205481</v>
      </c>
      <c r="S167" s="85">
        <f t="shared" ca="1" si="25"/>
        <v>0.47500000000000009</v>
      </c>
      <c r="T167" s="22" t="str">
        <f ca="1">_xll.BDP($B167,T$6, "YAS_BOND_SPL_YLD="&amp;S167,"YAS_YLD_CONV=2")</f>
        <v>#N/A Requesting Data...</v>
      </c>
      <c r="U167" s="23">
        <f t="shared" ca="1" si="26"/>
        <v>112.74454736721852</v>
      </c>
      <c r="V167" s="23">
        <f t="shared" ca="1" si="18"/>
        <v>112.744</v>
      </c>
      <c r="W167" s="24" t="e">
        <f t="shared" ca="1" si="19"/>
        <v>#VALUE!</v>
      </c>
      <c r="X167" s="23">
        <f ca="1">_xll.meLWOBondDV01($L167,$C$4,$S167%)</f>
        <v>1853.3997945205481</v>
      </c>
      <c r="Y167" s="22" t="e">
        <f ca="1">_xll.BDP($B167,Y$6, "YLD_YTM_ASK="&amp;$S167,"YAS_YLD_CONV=3")*$Y$3*0.0001</f>
        <v>#VALUE!</v>
      </c>
      <c r="Z167" s="24" t="e">
        <f t="shared" ca="1" si="20"/>
        <v>#VALUE!</v>
      </c>
      <c r="AA167" s="23">
        <f ca="1">_xll.meLWOBondModifiedDuration($L167,$C$4,$S167%)</f>
        <v>15.179359496482784</v>
      </c>
      <c r="AB167" s="22" t="str">
        <f ca="1">_xll.BDP($B167,AB$6, "YLD_YTM_ASK="&amp;$S167,"YAS_YLD_CONV=3")</f>
        <v>#N/A Requesting Data...</v>
      </c>
      <c r="AC167" s="24" t="e">
        <f t="shared" ca="1" si="21"/>
        <v>#VALUE!</v>
      </c>
      <c r="AD167" s="23">
        <f ca="1">_xll.meLWOBondDV01Numerical($L167,$C$4,$S167%, 0.5, "CENTRAL")</f>
        <v>1741.6716140054689</v>
      </c>
      <c r="AE167" s="63" t="str">
        <f ca="1">_xll.BDP($B167,AE$6, "YAS_BOND_PX="&amp;T167)</f>
        <v>#N/A Invalid Override</v>
      </c>
      <c r="AF167" s="64" t="e">
        <f ca="1">_xll.meLWOBondCompoundYield(L167,$C$4,T167)*100</f>
        <v>#VALUE!</v>
      </c>
      <c r="AG167" s="65" t="e">
        <f t="shared" ca="1" si="22"/>
        <v>#VALUE!</v>
      </c>
      <c r="AH167" s="35" t="e">
        <f t="shared" ca="1" si="23"/>
        <v>#VALUE!</v>
      </c>
      <c r="AI167" s="63" t="str">
        <f ca="1">_xll.BDP($B167,AI$6, "PX_ASK="&amp;T167)</f>
        <v>#N/A Invalid Override</v>
      </c>
      <c r="AJ167" s="35" t="e">
        <f t="shared" ca="1" si="24"/>
        <v>#VALUE!</v>
      </c>
    </row>
    <row r="168" spans="2:36">
      <c r="B168" s="15" t="s">
        <v>1098</v>
      </c>
      <c r="C168" s="15" t="s">
        <v>1099</v>
      </c>
      <c r="D168" s="15" t="s">
        <v>1099</v>
      </c>
      <c r="E168" s="16">
        <v>38553</v>
      </c>
      <c r="F168" s="19">
        <v>38523</v>
      </c>
      <c r="G168" s="18"/>
      <c r="H168" s="16">
        <v>38706</v>
      </c>
      <c r="I168" s="16">
        <v>49298</v>
      </c>
      <c r="J168" s="17">
        <v>2.3E-2</v>
      </c>
      <c r="K168" s="16">
        <v>49480</v>
      </c>
      <c r="L168" s="20" t="str">
        <f ca="1">_xll.meLWOBondCreateFromGeneratorLVB(C168,$L$4,_xll.meUtilityLVBFromKeysValues($C$6:$K$6,C168:K168))</f>
        <v>JP1300191572:1</v>
      </c>
      <c r="M168" s="92">
        <f ca="1">_xll.BDP($B168,$M$5)</f>
        <v>0.44999999999999957</v>
      </c>
      <c r="N168" s="37">
        <f ca="1">_xll.meLWOBondCleanPrice($L168,$C$4,$M168%)</f>
        <v>128.68948029027797</v>
      </c>
      <c r="O168" s="37">
        <f ca="1">_xll.meLWOBondDirtyPrice($L168,$C$4,$M168%)</f>
        <v>139.1</v>
      </c>
      <c r="P168" s="87">
        <f ca="1">_xll.meLWOBondYield($L168,$C$4,N168)</f>
        <v>4.4999999999999884E-3</v>
      </c>
      <c r="Q168" s="89">
        <f ca="1">_xll.meLWOBondModifiedDuration($L168,$C$4,$M168%)</f>
        <v>14.353587642673549</v>
      </c>
      <c r="R168" s="23">
        <f ca="1">_xll.meLWOBondDV01($L168,$C$4,$M168%)</f>
        <v>1996.5840410958906</v>
      </c>
      <c r="S168" s="85">
        <f t="shared" ca="1" si="25"/>
        <v>0.44999999999999957</v>
      </c>
      <c r="T168" s="22" t="str">
        <f ca="1">_xll.BDP($B168,T$6, "YAS_BOND_SPL_YLD="&amp;S168,"YAS_YLD_CONV=2")</f>
        <v>#N/A Requesting Data...</v>
      </c>
      <c r="U168" s="23">
        <f t="shared" ca="1" si="26"/>
        <v>128.68948029027797</v>
      </c>
      <c r="V168" s="23">
        <f t="shared" ca="1" si="18"/>
        <v>128.68899999999999</v>
      </c>
      <c r="W168" s="24" t="e">
        <f t="shared" ca="1" si="19"/>
        <v>#VALUE!</v>
      </c>
      <c r="X168" s="23">
        <f ca="1">_xll.meLWOBondDV01($L168,$C$4,$S168%)</f>
        <v>1996.5840410958906</v>
      </c>
      <c r="Y168" s="22" t="e">
        <f ca="1">_xll.BDP($B168,Y$6, "YLD_YTM_ASK="&amp;$S168,"YAS_YLD_CONV=3")*$Y$3*0.0001</f>
        <v>#VALUE!</v>
      </c>
      <c r="Z168" s="24" t="e">
        <f t="shared" ca="1" si="20"/>
        <v>#VALUE!</v>
      </c>
      <c r="AA168" s="23">
        <f ca="1">_xll.meLWOBondModifiedDuration($L168,$C$4,$S168%)</f>
        <v>14.353587642673549</v>
      </c>
      <c r="AB168" s="22" t="str">
        <f ca="1">_xll.BDP($B168,AB$6, "YLD_YTM_ASK="&amp;$S168,"YAS_YLD_CONV=3")</f>
        <v>#N/A Requesting Data...</v>
      </c>
      <c r="AC168" s="24" t="e">
        <f t="shared" ca="1" si="21"/>
        <v>#VALUE!</v>
      </c>
      <c r="AD168" s="23">
        <f ca="1">_xll.meLWOBondDV01Numerical($L168,$C$4,$S168%, 0.5, "CENTRAL")</f>
        <v>1995.6954206074329</v>
      </c>
      <c r="AE168" s="63" t="str">
        <f ca="1">_xll.BDP($B168,AE$6, "YAS_BOND_PX="&amp;T168)</f>
        <v>#N/A Invalid Override</v>
      </c>
      <c r="AF168" s="64" t="e">
        <f ca="1">_xll.meLWOBondCompoundYield(L168,$C$4,T168)*100</f>
        <v>#VALUE!</v>
      </c>
      <c r="AG168" s="65" t="e">
        <f t="shared" ca="1" si="22"/>
        <v>#VALUE!</v>
      </c>
      <c r="AH168" s="35" t="e">
        <f t="shared" ca="1" si="23"/>
        <v>#VALUE!</v>
      </c>
      <c r="AI168" s="63" t="str">
        <f ca="1">_xll.BDP($B168,AI$6, "PX_ASK="&amp;T168)</f>
        <v>#N/A Invalid Override</v>
      </c>
      <c r="AJ168" s="35" t="e">
        <f t="shared" ca="1" si="24"/>
        <v>#VALUE!</v>
      </c>
    </row>
    <row r="169" spans="2:36">
      <c r="B169" s="15" t="s">
        <v>1100</v>
      </c>
      <c r="C169" s="15" t="s">
        <v>1101</v>
      </c>
      <c r="D169" s="15" t="s">
        <v>1101</v>
      </c>
      <c r="E169" s="16">
        <v>42271</v>
      </c>
      <c r="F169" s="19">
        <v>42267</v>
      </c>
      <c r="G169" s="18"/>
      <c r="H169" s="16">
        <v>42449</v>
      </c>
      <c r="I169" s="16">
        <v>49388</v>
      </c>
      <c r="J169" s="17">
        <v>1.2E-2</v>
      </c>
      <c r="K169" s="16">
        <v>49572</v>
      </c>
      <c r="L169" s="20" t="str">
        <f ca="1">_xll.meLWOBondCreateFromGeneratorLVB(C169,$L$4,_xll.meUtilityLVBFromKeysValues($C$6:$K$6,C169:K169))</f>
        <v>JP1201541F90:1</v>
      </c>
      <c r="M169" s="92">
        <f ca="1">_xll.BDP($B169,$M$5)</f>
        <v>0.4920000000000001</v>
      </c>
      <c r="N169" s="37">
        <f ca="1">_xll.meLWOBondCleanPrice($L169,$C$4,$M169%)</f>
        <v>111.06074182194003</v>
      </c>
      <c r="O169" s="37">
        <f ca="1">_xll.meLWOBondDirtyPrice($L169,$C$4,$M169%)</f>
        <v>120.39999999999999</v>
      </c>
      <c r="P169" s="87">
        <f ca="1">_xll.meLWOBondYield($L169,$C$4,N169)</f>
        <v>4.920000000000019E-3</v>
      </c>
      <c r="Q169" s="89">
        <f ca="1">_xll.meLWOBondModifiedDuration($L169,$C$4,$M169%)</f>
        <v>15.521337550630317</v>
      </c>
      <c r="R169" s="23">
        <f ca="1">_xll.meLWOBondDV01($L169,$C$4,$M169%)</f>
        <v>1868.7690410958901</v>
      </c>
      <c r="S169" s="85">
        <f t="shared" ca="1" si="25"/>
        <v>0.4920000000000001</v>
      </c>
      <c r="T169" s="22" t="str">
        <f ca="1">_xll.BDP($B169,T$6, "YAS_BOND_SPL_YLD="&amp;S169,"YAS_YLD_CONV=2")</f>
        <v>#N/A Requesting Data...</v>
      </c>
      <c r="U169" s="23">
        <f t="shared" ca="1" si="26"/>
        <v>111.06074182194003</v>
      </c>
      <c r="V169" s="23">
        <f t="shared" ca="1" si="18"/>
        <v>111.06</v>
      </c>
      <c r="W169" s="24" t="e">
        <f t="shared" ca="1" si="19"/>
        <v>#VALUE!</v>
      </c>
      <c r="X169" s="23">
        <f ca="1">_xll.meLWOBondDV01($L169,$C$4,$S169%)</f>
        <v>1868.7690410958901</v>
      </c>
      <c r="Y169" s="22" t="e">
        <f ca="1">_xll.BDP($B169,Y$6, "YLD_YTM_ASK="&amp;$S169,"YAS_YLD_CONV=3")*$Y$3*0.0001</f>
        <v>#VALUE!</v>
      </c>
      <c r="Z169" s="24" t="e">
        <f t="shared" ca="1" si="20"/>
        <v>#VALUE!</v>
      </c>
      <c r="AA169" s="23">
        <f ca="1">_xll.meLWOBondModifiedDuration($L169,$C$4,$S169%)</f>
        <v>15.521337550630317</v>
      </c>
      <c r="AB169" s="22" t="str">
        <f ca="1">_xll.BDP($B169,AB$6, "YLD_YTM_ASK="&amp;$S169,"YAS_YLD_CONV=3")</f>
        <v>#N/A Requesting Data...</v>
      </c>
      <c r="AC169" s="24" t="e">
        <f t="shared" ca="1" si="21"/>
        <v>#VALUE!</v>
      </c>
      <c r="AD169" s="23">
        <f ca="1">_xll.meLWOBondDV01Numerical($L169,$C$4,$S169%, 0.5, "CENTRAL")</f>
        <v>1735.0493522208412</v>
      </c>
      <c r="AE169" s="63" t="str">
        <f ca="1">_xll.BDP($B169,AE$6, "YAS_BOND_PX="&amp;T169)</f>
        <v>#N/A Invalid Override</v>
      </c>
      <c r="AF169" s="64" t="e">
        <f ca="1">_xll.meLWOBondCompoundYield(L169,$C$4,T169)*100</f>
        <v>#VALUE!</v>
      </c>
      <c r="AG169" s="65" t="e">
        <f t="shared" ca="1" si="22"/>
        <v>#VALUE!</v>
      </c>
      <c r="AH169" s="35" t="e">
        <f t="shared" ca="1" si="23"/>
        <v>#VALUE!</v>
      </c>
      <c r="AI169" s="63" t="str">
        <f ca="1">_xll.BDP($B169,AI$6, "PX_ASK="&amp;T169)</f>
        <v>#N/A Invalid Override</v>
      </c>
      <c r="AJ169" s="35" t="e">
        <f t="shared" ca="1" si="24"/>
        <v>#VALUE!</v>
      </c>
    </row>
    <row r="170" spans="2:36">
      <c r="B170" s="15" t="s">
        <v>1102</v>
      </c>
      <c r="C170" s="15" t="s">
        <v>1103</v>
      </c>
      <c r="D170" s="15" t="s">
        <v>1103</v>
      </c>
      <c r="E170" s="16">
        <v>38650</v>
      </c>
      <c r="F170" s="19">
        <v>38615</v>
      </c>
      <c r="G170" s="18"/>
      <c r="H170" s="16">
        <v>38796</v>
      </c>
      <c r="I170" s="16">
        <v>49388</v>
      </c>
      <c r="J170" s="17">
        <v>2.5000000000000001E-2</v>
      </c>
      <c r="K170" s="16">
        <v>49572</v>
      </c>
      <c r="L170" s="20" t="str">
        <f ca="1">_xll.meLWOBondCreateFromGeneratorLVB(C170,$L$4,_xll.meUtilityLVBFromKeysValues($C$6:$K$6,C170:K170))</f>
        <v>JP13002015A5:1</v>
      </c>
      <c r="M170" s="92">
        <f ca="1">_xll.BDP($B170,$M$5)</f>
        <v>0.45800000000000113</v>
      </c>
      <c r="N170" s="37">
        <f ca="1">_xll.meLWOBondCleanPrice($L170,$C$4,$M170%)</f>
        <v>132.07153203180567</v>
      </c>
      <c r="O170" s="37">
        <f ca="1">_xll.meLWOBondDirtyPrice($L170,$C$4,$M170%)</f>
        <v>142.5</v>
      </c>
      <c r="P170" s="87">
        <f ca="1">_xll.meLWOBondYield($L170,$C$4,N170)</f>
        <v>4.5799999999998568E-3</v>
      </c>
      <c r="Q170" s="89">
        <f ca="1">_xll.meLWOBondModifiedDuration($L170,$C$4,$M170%)</f>
        <v>14.458651766402308</v>
      </c>
      <c r="R170" s="23">
        <f ca="1">_xll.meLWOBondDV01($L170,$C$4,$M170%)</f>
        <v>2060.357876712329</v>
      </c>
      <c r="S170" s="85">
        <f t="shared" ca="1" si="25"/>
        <v>0.45800000000000113</v>
      </c>
      <c r="T170" s="22" t="str">
        <f ca="1">_xll.BDP($B170,T$6, "YAS_BOND_SPL_YLD="&amp;S170,"YAS_YLD_CONV=2")</f>
        <v>#N/A Requesting Data...</v>
      </c>
      <c r="U170" s="23">
        <f t="shared" ca="1" si="26"/>
        <v>132.07153203180567</v>
      </c>
      <c r="V170" s="23">
        <f t="shared" ca="1" si="18"/>
        <v>132.071</v>
      </c>
      <c r="W170" s="24" t="e">
        <f t="shared" ca="1" si="19"/>
        <v>#VALUE!</v>
      </c>
      <c r="X170" s="23">
        <f ca="1">_xll.meLWOBondDV01($L170,$C$4,$S170%)</f>
        <v>2060.357876712329</v>
      </c>
      <c r="Y170" s="22" t="e">
        <f ca="1">_xll.BDP($B170,Y$6, "YLD_YTM_ASK="&amp;$S170,"YAS_YLD_CONV=3")*$Y$3*0.0001</f>
        <v>#VALUE!</v>
      </c>
      <c r="Z170" s="24" t="e">
        <f t="shared" ca="1" si="20"/>
        <v>#VALUE!</v>
      </c>
      <c r="AA170" s="23">
        <f ca="1">_xll.meLWOBondModifiedDuration($L170,$C$4,$S170%)</f>
        <v>14.458651766402308</v>
      </c>
      <c r="AB170" s="22" t="str">
        <f ca="1">_xll.BDP($B170,AB$6, "YLD_YTM_ASK="&amp;$S170,"YAS_YLD_CONV=3")</f>
        <v>#N/A Requesting Data...</v>
      </c>
      <c r="AC170" s="24" t="e">
        <f t="shared" ca="1" si="21"/>
        <v>#VALUE!</v>
      </c>
      <c r="AD170" s="23">
        <f ca="1">_xll.meLWOBondDV01Numerical($L170,$C$4,$S170%, 0.5, "CENTRAL")</f>
        <v>2074.3090020528143</v>
      </c>
      <c r="AE170" s="63" t="str">
        <f ca="1">_xll.BDP($B170,AE$6, "YAS_BOND_PX="&amp;T170)</f>
        <v>#N/A Invalid Override</v>
      </c>
      <c r="AF170" s="64" t="e">
        <f ca="1">_xll.meLWOBondCompoundYield(L170,$C$4,T170)*100</f>
        <v>#VALUE!</v>
      </c>
      <c r="AG170" s="65" t="e">
        <f t="shared" ca="1" si="22"/>
        <v>#VALUE!</v>
      </c>
      <c r="AH170" s="35" t="e">
        <f t="shared" ca="1" si="23"/>
        <v>#VALUE!</v>
      </c>
      <c r="AI170" s="63" t="str">
        <f ca="1">_xll.BDP($B170,AI$6, "PX_ASK="&amp;T170)</f>
        <v>#N/A Invalid Override</v>
      </c>
      <c r="AJ170" s="35" t="e">
        <f t="shared" ca="1" si="24"/>
        <v>#VALUE!</v>
      </c>
    </row>
    <row r="171" spans="2:36">
      <c r="B171" s="15" t="s">
        <v>1104</v>
      </c>
      <c r="C171" s="15" t="s">
        <v>1105</v>
      </c>
      <c r="D171" s="15" t="s">
        <v>1105</v>
      </c>
      <c r="E171" s="16">
        <v>42359</v>
      </c>
      <c r="F171" s="19">
        <v>42358</v>
      </c>
      <c r="G171" s="18"/>
      <c r="H171" s="16">
        <v>42541</v>
      </c>
      <c r="I171" s="16">
        <v>49480</v>
      </c>
      <c r="J171" s="17">
        <v>0.01</v>
      </c>
      <c r="K171" s="16">
        <v>49663</v>
      </c>
      <c r="L171" s="20" t="str">
        <f ca="1">_xll.meLWOBondCreateFromGeneratorLVB(C171,$L$4,_xll.meUtilityLVBFromKeysValues($C$6:$K$6,C171:K171))</f>
        <v>JP1201551FC0:1</v>
      </c>
      <c r="M171" s="92">
        <f ca="1">_xll.BDP($B171,$M$5)</f>
        <v>0.51199999999999957</v>
      </c>
      <c r="N171" s="37">
        <f ca="1">_xll.meLWOBondCleanPrice($L171,$C$4,$M171%)</f>
        <v>107.70295741925501</v>
      </c>
      <c r="O171" s="37">
        <f ca="1">_xll.meLWOBondDirtyPrice($L171,$C$4,$M171%)</f>
        <v>117.5</v>
      </c>
      <c r="P171" s="87">
        <f ca="1">_xll.meLWOBondYield($L171,$C$4,N171)</f>
        <v>5.1200000000000091E-3</v>
      </c>
      <c r="Q171" s="89">
        <f ca="1">_xll.meLWOBondModifiedDuration($L171,$C$4,$M171%)</f>
        <v>15.906645292917519</v>
      </c>
      <c r="R171" s="23">
        <f ca="1">_xll.meLWOBondDV01($L171,$C$4,$M171%)</f>
        <v>1869.0308219178085</v>
      </c>
      <c r="S171" s="85">
        <f t="shared" ca="1" si="25"/>
        <v>0.51199999999999957</v>
      </c>
      <c r="T171" s="22" t="str">
        <f ca="1">_xll.BDP($B171,T$6, "YAS_BOND_SPL_YLD="&amp;S171,"YAS_YLD_CONV=2")</f>
        <v>#N/A Requesting Data...</v>
      </c>
      <c r="U171" s="23">
        <f t="shared" ca="1" si="26"/>
        <v>107.70295741925501</v>
      </c>
      <c r="V171" s="23">
        <f t="shared" ca="1" si="18"/>
        <v>107.702</v>
      </c>
      <c r="W171" s="24" t="e">
        <f t="shared" ca="1" si="19"/>
        <v>#VALUE!</v>
      </c>
      <c r="X171" s="23">
        <f ca="1">_xll.meLWOBondDV01($L171,$C$4,$S171%)</f>
        <v>1869.0308219178085</v>
      </c>
      <c r="Y171" s="22" t="e">
        <f ca="1">_xll.BDP($B171,Y$6, "YLD_YTM_ASK="&amp;$S171,"YAS_YLD_CONV=3")*$Y$3*0.0001</f>
        <v>#VALUE!</v>
      </c>
      <c r="Z171" s="24" t="e">
        <f t="shared" ca="1" si="20"/>
        <v>#VALUE!</v>
      </c>
      <c r="AA171" s="23">
        <f ca="1">_xll.meLWOBondModifiedDuration($L171,$C$4,$S171%)</f>
        <v>15.906645292917519</v>
      </c>
      <c r="AB171" s="22" t="str">
        <f ca="1">_xll.BDP($B171,AB$6, "YLD_YTM_ASK="&amp;$S171,"YAS_YLD_CONV=3")</f>
        <v>#N/A Requesting Data...</v>
      </c>
      <c r="AC171" s="24" t="e">
        <f t="shared" ca="1" si="21"/>
        <v>#VALUE!</v>
      </c>
      <c r="AD171" s="23">
        <f ca="1">_xll.meLWOBondDV01Numerical($L171,$C$4,$S171%, 0.5, "CENTRAL")</f>
        <v>1700.0651879148168</v>
      </c>
      <c r="AE171" s="63" t="str">
        <f ca="1">_xll.BDP($B171,AE$6, "YAS_BOND_PX="&amp;T171)</f>
        <v>#N/A Invalid Override</v>
      </c>
      <c r="AF171" s="64" t="e">
        <f ca="1">_xll.meLWOBondCompoundYield(L171,$C$4,T171)*100</f>
        <v>#VALUE!</v>
      </c>
      <c r="AG171" s="65" t="e">
        <f t="shared" ca="1" si="22"/>
        <v>#VALUE!</v>
      </c>
      <c r="AH171" s="35" t="e">
        <f t="shared" ca="1" si="23"/>
        <v>#VALUE!</v>
      </c>
      <c r="AI171" s="63" t="str">
        <f ca="1">_xll.BDP($B171,AI$6, "PX_ASK="&amp;T171)</f>
        <v>#N/A Invalid Override</v>
      </c>
      <c r="AJ171" s="35" t="e">
        <f t="shared" ca="1" si="24"/>
        <v>#VALUE!</v>
      </c>
    </row>
    <row r="172" spans="2:36">
      <c r="B172" s="15" t="s">
        <v>1106</v>
      </c>
      <c r="C172" s="15" t="s">
        <v>1107</v>
      </c>
      <c r="D172" s="15" t="s">
        <v>1107</v>
      </c>
      <c r="E172" s="16">
        <v>38742</v>
      </c>
      <c r="F172" s="19">
        <v>38706</v>
      </c>
      <c r="G172" s="18"/>
      <c r="H172" s="16">
        <v>38888</v>
      </c>
      <c r="I172" s="16">
        <v>49480</v>
      </c>
      <c r="J172" s="17">
        <v>2.3E-2</v>
      </c>
      <c r="K172" s="16">
        <v>49663</v>
      </c>
      <c r="L172" s="20" t="str">
        <f ca="1">_xll.meLWOBondCreateFromGeneratorLVB(C172,$L$4,_xll.meUtilityLVBFromKeysValues($C$6:$K$6,C172:K172))</f>
        <v>JP1300211610:1</v>
      </c>
      <c r="M172" s="92">
        <f ca="1">_xll.BDP($B172,$M$5)</f>
        <v>0.47200000000000031</v>
      </c>
      <c r="N172" s="37">
        <f ca="1">_xll.meLWOBondCleanPrice($L172,$C$4,$M172%)</f>
        <v>129.03786297379403</v>
      </c>
      <c r="O172" s="37">
        <f ca="1">_xll.meLWOBondDirtyPrice($L172,$C$4,$M172%)</f>
        <v>140.25</v>
      </c>
      <c r="P172" s="87">
        <f ca="1">_xll.meLWOBondYield($L172,$C$4,N172)</f>
        <v>4.7200000000000115E-3</v>
      </c>
      <c r="Q172" s="89">
        <f ca="1">_xll.meLWOBondModifiedDuration($L172,$C$4,$M172%)</f>
        <v>14.733208800332086</v>
      </c>
      <c r="R172" s="23">
        <f ca="1">_xll.meLWOBondDV01($L172,$C$4,$M172%)</f>
        <v>2066.3325342465751</v>
      </c>
      <c r="S172" s="85">
        <f t="shared" ca="1" si="25"/>
        <v>0.47200000000000031</v>
      </c>
      <c r="T172" s="22" t="str">
        <f ca="1">_xll.BDP($B172,T$6, "YAS_BOND_SPL_YLD="&amp;S172,"YAS_YLD_CONV=2")</f>
        <v>#N/A Requesting Data...</v>
      </c>
      <c r="U172" s="23">
        <f t="shared" ca="1" si="26"/>
        <v>129.03786297379403</v>
      </c>
      <c r="V172" s="23">
        <f t="shared" ca="1" si="18"/>
        <v>129.03700000000001</v>
      </c>
      <c r="W172" s="24" t="e">
        <f t="shared" ca="1" si="19"/>
        <v>#VALUE!</v>
      </c>
      <c r="X172" s="23">
        <f ca="1">_xll.meLWOBondDV01($L172,$C$4,$S172%)</f>
        <v>2066.3325342465751</v>
      </c>
      <c r="Y172" s="22" t="e">
        <f ca="1">_xll.BDP($B172,Y$6, "YLD_YTM_ASK="&amp;$S172,"YAS_YLD_CONV=3")*$Y$3*0.0001</f>
        <v>#VALUE!</v>
      </c>
      <c r="Z172" s="24" t="e">
        <f t="shared" ca="1" si="20"/>
        <v>#VALUE!</v>
      </c>
      <c r="AA172" s="23">
        <f ca="1">_xll.meLWOBondModifiedDuration($L172,$C$4,$S172%)</f>
        <v>14.733208800332086</v>
      </c>
      <c r="AB172" s="22" t="str">
        <f ca="1">_xll.BDP($B172,AB$6, "YLD_YTM_ASK="&amp;$S172,"YAS_YLD_CONV=3")</f>
        <v>#N/A Requesting Data...</v>
      </c>
      <c r="AC172" s="24" t="e">
        <f t="shared" ca="1" si="21"/>
        <v>#VALUE!</v>
      </c>
      <c r="AD172" s="23">
        <f ca="1">_xll.meLWOBondDV01Numerical($L172,$C$4,$S172%, 0.5, "CENTRAL")</f>
        <v>2049.7736035014213</v>
      </c>
      <c r="AE172" s="63" t="str">
        <f ca="1">_xll.BDP($B172,AE$6, "YAS_BOND_PX="&amp;T172)</f>
        <v>#N/A Invalid Override</v>
      </c>
      <c r="AF172" s="64" t="e">
        <f ca="1">_xll.meLWOBondCompoundYield(L172,$C$4,T172)*100</f>
        <v>#VALUE!</v>
      </c>
      <c r="AG172" s="65" t="e">
        <f t="shared" ca="1" si="22"/>
        <v>#VALUE!</v>
      </c>
      <c r="AH172" s="35" t="e">
        <f t="shared" ca="1" si="23"/>
        <v>#VALUE!</v>
      </c>
      <c r="AI172" s="63" t="str">
        <f ca="1">_xll.BDP($B172,AI$6, "PX_ASK="&amp;T172)</f>
        <v>#N/A Invalid Override</v>
      </c>
      <c r="AJ172" s="35" t="e">
        <f t="shared" ca="1" si="24"/>
        <v>#VALUE!</v>
      </c>
    </row>
    <row r="173" spans="2:36">
      <c r="B173" s="15" t="s">
        <v>1108</v>
      </c>
      <c r="C173" s="15" t="s">
        <v>1109</v>
      </c>
      <c r="D173" s="15" t="s">
        <v>1109</v>
      </c>
      <c r="E173" s="16">
        <v>42451</v>
      </c>
      <c r="F173" s="19">
        <v>42449</v>
      </c>
      <c r="G173" s="18"/>
      <c r="H173" s="16">
        <v>42633</v>
      </c>
      <c r="I173" s="16">
        <v>49572</v>
      </c>
      <c r="J173" s="17">
        <v>4.0000000000000001E-3</v>
      </c>
      <c r="K173" s="16">
        <v>49754</v>
      </c>
      <c r="L173" s="20" t="str">
        <f ca="1">_xll.meLWOBondCreateFromGeneratorLVB(C173,$L$4,_xll.meUtilityLVBFromKeysValues($C$6:$K$6,C173:K173))</f>
        <v>JP1201561G37:1</v>
      </c>
      <c r="M173" s="92">
        <f ca="1">_xll.BDP($B173,$M$5)</f>
        <v>0.5499999999999996</v>
      </c>
      <c r="N173" s="37">
        <f ca="1">_xll.meLWOBondCleanPrice($L173,$C$4,$M173%)</f>
        <v>97.615565206303486</v>
      </c>
      <c r="O173" s="37">
        <f ca="1">_xll.meLWOBondDirtyPrice($L173,$C$4,$M173%)</f>
        <v>107</v>
      </c>
      <c r="P173" s="87">
        <f ca="1">_xll.meLWOBondYield($L173,$C$4,N173)</f>
        <v>5.4999999999999919E-3</v>
      </c>
      <c r="Q173" s="89">
        <f ca="1">_xll.meLWOBondModifiedDuration($L173,$C$4,$M173%)</f>
        <v>16.863103315836643</v>
      </c>
      <c r="R173" s="23">
        <f ca="1">_xll.meLWOBondDV01($L173,$C$4,$M173%)</f>
        <v>1804.3520547945207</v>
      </c>
      <c r="S173" s="85">
        <f t="shared" ca="1" si="25"/>
        <v>0.5499999999999996</v>
      </c>
      <c r="T173" s="22" t="str">
        <f ca="1">_xll.BDP($B173,T$6, "YAS_BOND_SPL_YLD="&amp;S173,"YAS_YLD_CONV=2")</f>
        <v>#N/A Requesting Data...</v>
      </c>
      <c r="U173" s="23">
        <f t="shared" ca="1" si="26"/>
        <v>97.615565206303486</v>
      </c>
      <c r="V173" s="23">
        <f t="shared" ca="1" si="18"/>
        <v>97.614999999999995</v>
      </c>
      <c r="W173" s="24" t="e">
        <f t="shared" ca="1" si="19"/>
        <v>#VALUE!</v>
      </c>
      <c r="X173" s="23">
        <f ca="1">_xll.meLWOBondDV01($L173,$C$4,$S173%)</f>
        <v>1804.3520547945207</v>
      </c>
      <c r="Y173" s="22" t="e">
        <f ca="1">_xll.BDP($B173,Y$6, "YLD_YTM_ASK="&amp;$S173,"YAS_YLD_CONV=3")*$Y$3*0.0001</f>
        <v>#VALUE!</v>
      </c>
      <c r="Z173" s="24" t="e">
        <f t="shared" ca="1" si="20"/>
        <v>#VALUE!</v>
      </c>
      <c r="AA173" s="23">
        <f ca="1">_xll.meLWOBondModifiedDuration($L173,$C$4,$S173%)</f>
        <v>16.863103315836643</v>
      </c>
      <c r="AB173" s="22" t="str">
        <f ca="1">_xll.BDP($B173,AB$6, "YLD_YTM_ASK="&amp;$S173,"YAS_YLD_CONV=3")</f>
        <v>#N/A Requesting Data...</v>
      </c>
      <c r="AC173" s="24" t="e">
        <f t="shared" ca="1" si="21"/>
        <v>#VALUE!</v>
      </c>
      <c r="AD173" s="23">
        <f ca="1">_xll.meLWOBondDV01Numerical($L173,$C$4,$S173%, 0.5, "CENTRAL")</f>
        <v>1551.720647489816</v>
      </c>
      <c r="AE173" s="63" t="str">
        <f ca="1">_xll.BDP($B173,AE$6, "YAS_BOND_PX="&amp;T173)</f>
        <v>#N/A Invalid Override</v>
      </c>
      <c r="AF173" s="64" t="e">
        <f ca="1">_xll.meLWOBondCompoundYield(L173,$C$4,T173)*100</f>
        <v>#VALUE!</v>
      </c>
      <c r="AG173" s="65" t="e">
        <f t="shared" ca="1" si="22"/>
        <v>#VALUE!</v>
      </c>
      <c r="AH173" s="35" t="e">
        <f t="shared" ca="1" si="23"/>
        <v>#VALUE!</v>
      </c>
      <c r="AI173" s="63" t="str">
        <f ca="1">_xll.BDP($B173,AI$6, "PX_ASK="&amp;T173)</f>
        <v>#N/A Invalid Override</v>
      </c>
      <c r="AJ173" s="35" t="e">
        <f t="shared" ca="1" si="24"/>
        <v>#VALUE!</v>
      </c>
    </row>
    <row r="174" spans="2:36">
      <c r="B174" s="15" t="s">
        <v>1110</v>
      </c>
      <c r="C174" s="15" t="s">
        <v>1111</v>
      </c>
      <c r="D174" s="15" t="s">
        <v>1111</v>
      </c>
      <c r="E174" s="16">
        <v>38832</v>
      </c>
      <c r="F174" s="19">
        <v>38796</v>
      </c>
      <c r="G174" s="18"/>
      <c r="H174" s="16">
        <v>38980</v>
      </c>
      <c r="I174" s="16">
        <v>49572</v>
      </c>
      <c r="J174" s="17">
        <v>2.5000000000000001E-2</v>
      </c>
      <c r="K174" s="16">
        <v>49754</v>
      </c>
      <c r="L174" s="20" t="str">
        <f ca="1">_xll.meLWOBondCreateFromGeneratorLVB(C174,$L$4,_xll.meUtilityLVBFromKeysValues($C$6:$K$6,C174:K174))</f>
        <v>JP1300221643:1</v>
      </c>
      <c r="M174" s="92">
        <f ca="1">_xll.BDP($B174,$M$5)</f>
        <v>0.47999999999999959</v>
      </c>
      <c r="N174" s="37">
        <f ca="1">_xll.meLWOBondCleanPrice($L174,$C$4,$M174%)</f>
        <v>132.47171307327295</v>
      </c>
      <c r="O174" s="37">
        <f ca="1">_xll.meLWOBondDirtyPrice($L174,$C$4,$M174%)</f>
        <v>143.75</v>
      </c>
      <c r="P174" s="87">
        <f ca="1">_xll.meLWOBondYield($L174,$C$4,N174)</f>
        <v>4.7999999999999727E-3</v>
      </c>
      <c r="Q174" s="89">
        <f ca="1">_xll.meLWOBondModifiedDuration($L174,$C$4,$M174%)</f>
        <v>14.832221560452654</v>
      </c>
      <c r="R174" s="23">
        <f ca="1">_xll.meLWOBondDV01($L174,$C$4,$M174%)</f>
        <v>2132.1318493150688</v>
      </c>
      <c r="S174" s="85">
        <f t="shared" ca="1" si="25"/>
        <v>0.47999999999999959</v>
      </c>
      <c r="T174" s="22" t="str">
        <f ca="1">_xll.BDP($B174,T$6, "YAS_BOND_SPL_YLD="&amp;S174,"YAS_YLD_CONV=2")</f>
        <v>#N/A Requesting Data...</v>
      </c>
      <c r="U174" s="23">
        <f t="shared" ca="1" si="26"/>
        <v>132.47171307327295</v>
      </c>
      <c r="V174" s="23">
        <f t="shared" ca="1" si="18"/>
        <v>132.471</v>
      </c>
      <c r="W174" s="24" t="e">
        <f t="shared" ca="1" si="19"/>
        <v>#VALUE!</v>
      </c>
      <c r="X174" s="23">
        <f ca="1">_xll.meLWOBondDV01($L174,$C$4,$S174%)</f>
        <v>2132.1318493150688</v>
      </c>
      <c r="Y174" s="22" t="e">
        <f ca="1">_xll.BDP($B174,Y$6, "YLD_YTM_ASK="&amp;$S174,"YAS_YLD_CONV=3")*$Y$3*0.0001</f>
        <v>#VALUE!</v>
      </c>
      <c r="Z174" s="24" t="e">
        <f t="shared" ca="1" si="20"/>
        <v>#VALUE!</v>
      </c>
      <c r="AA174" s="23">
        <f ca="1">_xll.meLWOBondModifiedDuration($L174,$C$4,$S174%)</f>
        <v>14.832221560452654</v>
      </c>
      <c r="AB174" s="22" t="str">
        <f ca="1">_xll.BDP($B174,AB$6, "YLD_YTM_ASK="&amp;$S174,"YAS_YLD_CONV=3")</f>
        <v>#N/A Requesting Data...</v>
      </c>
      <c r="AC174" s="24" t="e">
        <f t="shared" ca="1" si="21"/>
        <v>#VALUE!</v>
      </c>
      <c r="AD174" s="23">
        <f ca="1">_xll.meLWOBondDV01Numerical($L174,$C$4,$S174%, 0.5, "CENTRAL")</f>
        <v>2129.4981367137211</v>
      </c>
      <c r="AE174" s="63" t="str">
        <f ca="1">_xll.BDP($B174,AE$6, "YAS_BOND_PX="&amp;T174)</f>
        <v>#N/A Invalid Override</v>
      </c>
      <c r="AF174" s="64" t="e">
        <f ca="1">_xll.meLWOBondCompoundYield(L174,$C$4,T174)*100</f>
        <v>#VALUE!</v>
      </c>
      <c r="AG174" s="65" t="e">
        <f t="shared" ca="1" si="22"/>
        <v>#VALUE!</v>
      </c>
      <c r="AH174" s="35" t="e">
        <f t="shared" ca="1" si="23"/>
        <v>#VALUE!</v>
      </c>
      <c r="AI174" s="63" t="str">
        <f ca="1">_xll.BDP($B174,AI$6, "PX_ASK="&amp;T174)</f>
        <v>#N/A Invalid Override</v>
      </c>
      <c r="AJ174" s="35" t="e">
        <f t="shared" ca="1" si="24"/>
        <v>#VALUE!</v>
      </c>
    </row>
    <row r="175" spans="2:36">
      <c r="B175" s="15" t="s">
        <v>1112</v>
      </c>
      <c r="C175" s="15" t="s">
        <v>1113</v>
      </c>
      <c r="D175" s="15" t="s">
        <v>1113</v>
      </c>
      <c r="E175" s="16">
        <v>42548</v>
      </c>
      <c r="F175" s="19">
        <v>42541</v>
      </c>
      <c r="G175" s="18"/>
      <c r="H175" s="16">
        <v>42724</v>
      </c>
      <c r="I175" s="16">
        <v>49663</v>
      </c>
      <c r="J175" s="17">
        <v>2E-3</v>
      </c>
      <c r="K175" s="16">
        <v>49846</v>
      </c>
      <c r="L175" s="20" t="str">
        <f ca="1">_xll.meLWOBondCreateFromGeneratorLVB(C175,$L$4,_xll.meUtilityLVBFromKeysValues($C$6:$K$6,C175:K175))</f>
        <v>JP1201571G68:1</v>
      </c>
      <c r="M175" s="92">
        <f ca="1">_xll.BDP($B175,$M$5)</f>
        <v>0.57600000000000018</v>
      </c>
      <c r="N175" s="37">
        <f ca="1">_xll.meLWOBondCleanPrice($L175,$C$4,$M175%)</f>
        <v>93.969444389186179</v>
      </c>
      <c r="O175" s="37">
        <f ca="1">_xll.meLWOBondDirtyPrice($L175,$C$4,$M175%)</f>
        <v>103.60000000000001</v>
      </c>
      <c r="P175" s="87">
        <f ca="1">_xll.meLWOBondYield($L175,$C$4,N175)</f>
        <v>5.75999999999999E-3</v>
      </c>
      <c r="Q175" s="89">
        <f ca="1">_xll.meLWOBondModifiedDuration($L175,$C$4,$M175%)</f>
        <v>17.368548685671975</v>
      </c>
      <c r="R175" s="23">
        <f ca="1">_xll.meLWOBondDV01($L175,$C$4,$M175%)</f>
        <v>1799.3816438356166</v>
      </c>
      <c r="S175" s="85">
        <f t="shared" ca="1" si="25"/>
        <v>0.57600000000000018</v>
      </c>
      <c r="T175" s="22" t="str">
        <f ca="1">_xll.BDP($B175,T$6, "YAS_BOND_SPL_YLD="&amp;S175,"YAS_YLD_CONV=2")</f>
        <v>#N/A Requesting Data...</v>
      </c>
      <c r="U175" s="23">
        <f t="shared" ca="1" si="26"/>
        <v>93.969444389186179</v>
      </c>
      <c r="V175" s="23">
        <f t="shared" ca="1" si="18"/>
        <v>93.968999999999994</v>
      </c>
      <c r="W175" s="24" t="e">
        <f t="shared" ca="1" si="19"/>
        <v>#VALUE!</v>
      </c>
      <c r="X175" s="23">
        <f ca="1">_xll.meLWOBondDV01($L175,$C$4,$S175%)</f>
        <v>1799.3816438356166</v>
      </c>
      <c r="Y175" s="22" t="e">
        <f ca="1">_xll.BDP($B175,Y$6, "YLD_YTM_ASK="&amp;$S175,"YAS_YLD_CONV=3")*$Y$3*0.0001</f>
        <v>#VALUE!</v>
      </c>
      <c r="Z175" s="24" t="e">
        <f t="shared" ca="1" si="20"/>
        <v>#VALUE!</v>
      </c>
      <c r="AA175" s="23">
        <f ca="1">_xll.meLWOBondModifiedDuration($L175,$C$4,$S175%)</f>
        <v>17.368548685671975</v>
      </c>
      <c r="AB175" s="22" t="str">
        <f ca="1">_xll.BDP($B175,AB$6, "YLD_YTM_ASK="&amp;$S175,"YAS_YLD_CONV=3")</f>
        <v>#N/A Requesting Data...</v>
      </c>
      <c r="AC175" s="24" t="e">
        <f t="shared" ca="1" si="21"/>
        <v>#VALUE!</v>
      </c>
      <c r="AD175" s="23">
        <f ca="1">_xll.meLWOBondDV01Numerical($L175,$C$4,$S175%, 0.5, "CENTRAL")</f>
        <v>1507.1497993190521</v>
      </c>
      <c r="AE175" s="63" t="str">
        <f ca="1">_xll.BDP($B175,AE$6, "YAS_BOND_PX="&amp;T175)</f>
        <v>#N/A Invalid Override</v>
      </c>
      <c r="AF175" s="64" t="e">
        <f ca="1">_xll.meLWOBondCompoundYield(L175,$C$4,T175)*100</f>
        <v>#VALUE!</v>
      </c>
      <c r="AG175" s="65" t="e">
        <f t="shared" ca="1" si="22"/>
        <v>#VALUE!</v>
      </c>
      <c r="AH175" s="35" t="e">
        <f t="shared" ca="1" si="23"/>
        <v>#VALUE!</v>
      </c>
      <c r="AI175" s="63" t="str">
        <f ca="1">_xll.BDP($B175,AI$6, "PX_ASK="&amp;T175)</f>
        <v>#N/A Invalid Override</v>
      </c>
      <c r="AJ175" s="35" t="e">
        <f t="shared" ca="1" si="24"/>
        <v>#VALUE!</v>
      </c>
    </row>
    <row r="176" spans="2:36">
      <c r="B176" s="15" t="s">
        <v>1114</v>
      </c>
      <c r="C176" s="15" t="s">
        <v>1115</v>
      </c>
      <c r="D176" s="15" t="s">
        <v>1115</v>
      </c>
      <c r="E176" s="16">
        <v>38918</v>
      </c>
      <c r="F176" s="19">
        <v>38888</v>
      </c>
      <c r="G176" s="18"/>
      <c r="H176" s="16">
        <v>39071</v>
      </c>
      <c r="I176" s="16">
        <v>49663</v>
      </c>
      <c r="J176" s="17">
        <v>2.5000000000000001E-2</v>
      </c>
      <c r="K176" s="16">
        <v>49846</v>
      </c>
      <c r="L176" s="20" t="str">
        <f ca="1">_xll.meLWOBondCreateFromGeneratorLVB(C176,$L$4,_xll.meUtilityLVBFromKeysValues($C$6:$K$6,C176:K176))</f>
        <v>JP1300231675:1</v>
      </c>
      <c r="M176" s="92">
        <f ca="1">_xll.BDP($B176,$M$5)</f>
        <v>0.49099999999999927</v>
      </c>
      <c r="N176" s="37">
        <f ca="1">_xll.meLWOBondCleanPrice($L176,$C$4,$M176%)</f>
        <v>132.66711960460788</v>
      </c>
      <c r="O176" s="37">
        <f ca="1">_xll.meLWOBondDirtyPrice($L176,$C$4,$M176%)</f>
        <v>145</v>
      </c>
      <c r="P176" s="87">
        <f ca="1">_xll.meLWOBondYield($L176,$C$4,N176)</f>
        <v>4.9099999999999413E-3</v>
      </c>
      <c r="Q176" s="89">
        <f ca="1">_xll.meLWOBondModifiedDuration($L176,$C$4,$M176%)</f>
        <v>14.957085498346721</v>
      </c>
      <c r="R176" s="23">
        <f ca="1">_xll.meLWOBondDV01($L176,$C$4,$M176%)</f>
        <v>2168.7773972602745</v>
      </c>
      <c r="S176" s="85">
        <f t="shared" ca="1" si="25"/>
        <v>0.49099999999999927</v>
      </c>
      <c r="T176" s="22" t="str">
        <f ca="1">_xll.BDP($B176,T$6, "YAS_BOND_SPL_YLD="&amp;S176,"YAS_YLD_CONV=2")</f>
        <v>#N/A Requesting Data...</v>
      </c>
      <c r="U176" s="23">
        <f t="shared" ca="1" si="26"/>
        <v>132.66711960460788</v>
      </c>
      <c r="V176" s="23">
        <f t="shared" ca="1" si="18"/>
        <v>132.667</v>
      </c>
      <c r="W176" s="24" t="e">
        <f t="shared" ca="1" si="19"/>
        <v>#VALUE!</v>
      </c>
      <c r="X176" s="23">
        <f ca="1">_xll.meLWOBondDV01($L176,$C$4,$S176%)</f>
        <v>2168.7773972602745</v>
      </c>
      <c r="Y176" s="22" t="e">
        <f ca="1">_xll.BDP($B176,Y$6, "YLD_YTM_ASK="&amp;$S176,"YAS_YLD_CONV=3")*$Y$3*0.0001</f>
        <v>#VALUE!</v>
      </c>
      <c r="Z176" s="24" t="e">
        <f t="shared" ca="1" si="20"/>
        <v>#VALUE!</v>
      </c>
      <c r="AA176" s="23">
        <f ca="1">_xll.meLWOBondModifiedDuration($L176,$C$4,$S176%)</f>
        <v>14.957085498346721</v>
      </c>
      <c r="AB176" s="22" t="str">
        <f ca="1">_xll.BDP($B176,AB$6, "YLD_YTM_ASK="&amp;$S176,"YAS_YLD_CONV=3")</f>
        <v>#N/A Requesting Data...</v>
      </c>
      <c r="AC176" s="24" t="e">
        <f t="shared" ca="1" si="21"/>
        <v>#VALUE!</v>
      </c>
      <c r="AD176" s="23">
        <f ca="1">_xll.meLWOBondDV01Numerical($L176,$C$4,$S176%, 0.5, "CENTRAL")</f>
        <v>2157.2202729734618</v>
      </c>
      <c r="AE176" s="63" t="str">
        <f ca="1">_xll.BDP($B176,AE$6, "YAS_BOND_PX="&amp;T176)</f>
        <v>#N/A Invalid Override</v>
      </c>
      <c r="AF176" s="64" t="e">
        <f ca="1">_xll.meLWOBondCompoundYield(L176,$C$4,T176)*100</f>
        <v>#VALUE!</v>
      </c>
      <c r="AG176" s="65" t="e">
        <f t="shared" ca="1" si="22"/>
        <v>#VALUE!</v>
      </c>
      <c r="AH176" s="35" t="e">
        <f t="shared" ca="1" si="23"/>
        <v>#VALUE!</v>
      </c>
      <c r="AI176" s="63" t="str">
        <f ca="1">_xll.BDP($B176,AI$6, "PX_ASK="&amp;T176)</f>
        <v>#N/A Invalid Override</v>
      </c>
      <c r="AJ176" s="35" t="e">
        <f t="shared" ca="1" si="24"/>
        <v>#VALUE!</v>
      </c>
    </row>
    <row r="177" spans="2:36">
      <c r="B177" s="15" t="s">
        <v>1116</v>
      </c>
      <c r="C177" s="15" t="s">
        <v>1117</v>
      </c>
      <c r="D177" s="15" t="s">
        <v>1117</v>
      </c>
      <c r="E177" s="16">
        <v>42633</v>
      </c>
      <c r="F177" s="19">
        <v>42633</v>
      </c>
      <c r="G177" s="18"/>
      <c r="H177" s="16">
        <v>42814</v>
      </c>
      <c r="I177" s="16">
        <v>49754</v>
      </c>
      <c r="J177" s="17">
        <v>5.0000000000000001E-3</v>
      </c>
      <c r="K177" s="16">
        <v>49938</v>
      </c>
      <c r="L177" s="20" t="str">
        <f ca="1">_xll.meLWOBondCreateFromGeneratorLVB(C177,$L$4,_xll.meUtilityLVBFromKeysValues($C$6:$K$6,C177:K177))</f>
        <v>JP1201581G90:1</v>
      </c>
      <c r="M177" s="92">
        <f ca="1">_xll.BDP($B177,$M$5)</f>
        <v>0.57600000000000073</v>
      </c>
      <c r="N177" s="37">
        <f ca="1">_xll.meLWOBondCleanPrice($L177,$C$4,$M177%)</f>
        <v>98.765298427105918</v>
      </c>
      <c r="O177" s="37">
        <f ca="1">_xll.meLWOBondDirtyPrice($L177,$C$4,$M177%)</f>
        <v>109.00000000000001</v>
      </c>
      <c r="P177" s="87">
        <f ca="1">_xll.meLWOBondYield($L177,$C$4,N177)</f>
        <v>5.7600000000000229E-3</v>
      </c>
      <c r="Q177" s="89">
        <f ca="1">_xll.meLWOBondModifiedDuration($L177,$C$4,$M177%)</f>
        <v>17.196701017971595</v>
      </c>
      <c r="R177" s="23">
        <f ca="1">_xll.meLWOBondDV01($L177,$C$4,$M177%)</f>
        <v>1874.4404109589041</v>
      </c>
      <c r="S177" s="85">
        <f t="shared" ca="1" si="25"/>
        <v>0.57600000000000073</v>
      </c>
      <c r="T177" s="22" t="str">
        <f ca="1">_xll.BDP($B177,T$6, "YAS_BOND_SPL_YLD="&amp;S177,"YAS_YLD_CONV=2")</f>
        <v>#N/A Requesting Data...</v>
      </c>
      <c r="U177" s="23">
        <f t="shared" ca="1" si="26"/>
        <v>98.765298427105918</v>
      </c>
      <c r="V177" s="23">
        <f t="shared" ca="1" si="18"/>
        <v>98.765000000000001</v>
      </c>
      <c r="W177" s="24" t="e">
        <f t="shared" ca="1" si="19"/>
        <v>#VALUE!</v>
      </c>
      <c r="X177" s="23">
        <f ca="1">_xll.meLWOBondDV01($L177,$C$4,$S177%)</f>
        <v>1874.4404109589041</v>
      </c>
      <c r="Y177" s="22" t="e">
        <f ca="1">_xll.BDP($B177,Y$6, "YLD_YTM_ASK="&amp;$S177,"YAS_YLD_CONV=3")*$Y$3*0.0001</f>
        <v>#VALUE!</v>
      </c>
      <c r="Z177" s="24" t="e">
        <f t="shared" ca="1" si="20"/>
        <v>#VALUE!</v>
      </c>
      <c r="AA177" s="23">
        <f ca="1">_xll.meLWOBondModifiedDuration($L177,$C$4,$S177%)</f>
        <v>17.196701017971595</v>
      </c>
      <c r="AB177" s="22" t="str">
        <f ca="1">_xll.BDP($B177,AB$6, "YLD_YTM_ASK="&amp;$S177,"YAS_YLD_CONV=3")</f>
        <v>#N/A Requesting Data...</v>
      </c>
      <c r="AC177" s="24" t="e">
        <f t="shared" ca="1" si="21"/>
        <v>#VALUE!</v>
      </c>
      <c r="AD177" s="23">
        <f ca="1">_xll.meLWOBondDV01Numerical($L177,$C$4,$S177%, 0.5, "CENTRAL")</f>
        <v>1604.5493392059032</v>
      </c>
      <c r="AE177" s="63" t="str">
        <f ca="1">_xll.BDP($B177,AE$6, "YAS_BOND_PX="&amp;T177)</f>
        <v>#N/A Invalid Override</v>
      </c>
      <c r="AF177" s="64" t="e">
        <f ca="1">_xll.meLWOBondCompoundYield(L177,$C$4,T177)*100</f>
        <v>#VALUE!</v>
      </c>
      <c r="AG177" s="65" t="e">
        <f t="shared" ca="1" si="22"/>
        <v>#VALUE!</v>
      </c>
      <c r="AH177" s="35" t="e">
        <f t="shared" ca="1" si="23"/>
        <v>#VALUE!</v>
      </c>
      <c r="AI177" s="63" t="str">
        <f ca="1">_xll.BDP($B177,AI$6, "PX_ASK="&amp;T177)</f>
        <v>#N/A Invalid Override</v>
      </c>
      <c r="AJ177" s="35" t="e">
        <f t="shared" ca="1" si="24"/>
        <v>#VALUE!</v>
      </c>
    </row>
    <row r="178" spans="2:36">
      <c r="B178" s="15" t="s">
        <v>1118</v>
      </c>
      <c r="C178" s="15" t="s">
        <v>1119</v>
      </c>
      <c r="D178" s="15" t="s">
        <v>1119</v>
      </c>
      <c r="E178" s="16">
        <v>39010</v>
      </c>
      <c r="F178" s="19">
        <v>38980</v>
      </c>
      <c r="G178" s="18"/>
      <c r="H178" s="16">
        <v>39161</v>
      </c>
      <c r="I178" s="16">
        <v>49754</v>
      </c>
      <c r="J178" s="17">
        <v>2.5000000000000001E-2</v>
      </c>
      <c r="K178" s="16">
        <v>49938</v>
      </c>
      <c r="L178" s="20" t="str">
        <f ca="1">_xll.meLWOBondCreateFromGeneratorLVB(C178,$L$4,_xll.meUtilityLVBFromKeysValues($C$6:$K$6,C178:K178))</f>
        <v>JP13002416A5:1</v>
      </c>
      <c r="M178" s="92">
        <f ca="1">_xll.BDP($B178,$M$5)</f>
        <v>0.50199999999999989</v>
      </c>
      <c r="N178" s="37">
        <f ca="1">_xll.meLWOBondCleanPrice($L178,$C$4,$M178%)</f>
        <v>132.85463603987969</v>
      </c>
      <c r="O178" s="37">
        <f ca="1">_xll.meLWOBondDirtyPrice($L178,$C$4,$M178%)</f>
        <v>145</v>
      </c>
      <c r="P178" s="87">
        <f ca="1">_xll.meLWOBondYield($L178,$C$4,N178)</f>
        <v>5.0199999999998458E-3</v>
      </c>
      <c r="Q178" s="89">
        <f ca="1">_xll.meLWOBondModifiedDuration($L178,$C$4,$M178%)</f>
        <v>15.203660840812473</v>
      </c>
      <c r="R178" s="23">
        <f ca="1">_xll.meLWOBondDV01($L178,$C$4,$M178%)</f>
        <v>2204.5308219178087</v>
      </c>
      <c r="S178" s="85">
        <f t="shared" ca="1" si="25"/>
        <v>0.50199999999999989</v>
      </c>
      <c r="T178" s="22" t="str">
        <f ca="1">_xll.BDP($B178,T$6, "YAS_BOND_SPL_YLD="&amp;S178,"YAS_YLD_CONV=2")</f>
        <v>#N/A Requesting Data...</v>
      </c>
      <c r="U178" s="23">
        <f t="shared" ca="1" si="26"/>
        <v>132.85463603987969</v>
      </c>
      <c r="V178" s="23">
        <f t="shared" ca="1" si="18"/>
        <v>132.85400000000001</v>
      </c>
      <c r="W178" s="24" t="e">
        <f t="shared" ca="1" si="19"/>
        <v>#VALUE!</v>
      </c>
      <c r="X178" s="23">
        <f ca="1">_xll.meLWOBondDV01($L178,$C$4,$S178%)</f>
        <v>2204.5308219178087</v>
      </c>
      <c r="Y178" s="22" t="e">
        <f ca="1">_xll.BDP($B178,Y$6, "YLD_YTM_ASK="&amp;$S178,"YAS_YLD_CONV=3")*$Y$3*0.0001</f>
        <v>#VALUE!</v>
      </c>
      <c r="Z178" s="24" t="e">
        <f t="shared" ca="1" si="20"/>
        <v>#VALUE!</v>
      </c>
      <c r="AA178" s="23">
        <f ca="1">_xll.meLWOBondModifiedDuration($L178,$C$4,$S178%)</f>
        <v>15.203660840812473</v>
      </c>
      <c r="AB178" s="22" t="str">
        <f ca="1">_xll.BDP($B178,AB$6, "YLD_YTM_ASK="&amp;$S178,"YAS_YLD_CONV=3")</f>
        <v>#N/A Requesting Data...</v>
      </c>
      <c r="AC178" s="24" t="e">
        <f t="shared" ca="1" si="21"/>
        <v>#VALUE!</v>
      </c>
      <c r="AD178" s="23">
        <f ca="1">_xll.meLWOBondDV01Numerical($L178,$C$4,$S178%, 0.5, "CENTRAL")</f>
        <v>2184.6314634331065</v>
      </c>
      <c r="AE178" s="63" t="str">
        <f ca="1">_xll.BDP($B178,AE$6, "YAS_BOND_PX="&amp;T178)</f>
        <v>#N/A Invalid Override</v>
      </c>
      <c r="AF178" s="64" t="e">
        <f ca="1">_xll.meLWOBondCompoundYield(L178,$C$4,T178)*100</f>
        <v>#VALUE!</v>
      </c>
      <c r="AG178" s="65" t="e">
        <f t="shared" ca="1" si="22"/>
        <v>#VALUE!</v>
      </c>
      <c r="AH178" s="35" t="e">
        <f t="shared" ca="1" si="23"/>
        <v>#VALUE!</v>
      </c>
      <c r="AI178" s="63" t="str">
        <f ca="1">_xll.BDP($B178,AI$6, "PX_ASK="&amp;T178)</f>
        <v>#N/A Invalid Override</v>
      </c>
      <c r="AJ178" s="35" t="e">
        <f t="shared" ca="1" si="24"/>
        <v>#VALUE!</v>
      </c>
    </row>
    <row r="179" spans="2:36">
      <c r="B179" s="15" t="s">
        <v>1120</v>
      </c>
      <c r="C179" s="15" t="s">
        <v>1121</v>
      </c>
      <c r="D179" s="15" t="s">
        <v>1121</v>
      </c>
      <c r="E179" s="16">
        <v>42724</v>
      </c>
      <c r="F179" s="19">
        <v>42724</v>
      </c>
      <c r="G179" s="18"/>
      <c r="H179" s="16">
        <v>42906</v>
      </c>
      <c r="I179" s="16">
        <v>49846</v>
      </c>
      <c r="J179" s="17">
        <v>6.0000000000000001E-3</v>
      </c>
      <c r="K179" s="16">
        <v>50029</v>
      </c>
      <c r="L179" s="20" t="str">
        <f ca="1">_xll.meLWOBondCreateFromGeneratorLVB(C179,$L$4,_xll.meUtilityLVBFromKeysValues($C$6:$K$6,C179:K179))</f>
        <v>JP1201591GC4:1</v>
      </c>
      <c r="M179" s="92">
        <f ca="1">_xll.BDP($B179,$M$5)</f>
        <v>0.58600000000000008</v>
      </c>
      <c r="N179" s="37">
        <f ca="1">_xll.meLWOBondCleanPrice($L179,$C$4,$M179%)</f>
        <v>100.2299307761336</v>
      </c>
      <c r="O179" s="37">
        <f ca="1">_xll.meLWOBondDirtyPrice($L179,$C$4,$M179%)</f>
        <v>111.1</v>
      </c>
      <c r="P179" s="87">
        <f ca="1">_xll.meLWOBondYield($L179,$C$4,N179)</f>
        <v>5.8599999999997647E-3</v>
      </c>
      <c r="Q179" s="89">
        <f ca="1">_xll.meLWOBondModifiedDuration($L179,$C$4,$M179%)</f>
        <v>17.27341282073413</v>
      </c>
      <c r="R179" s="23">
        <f ca="1">_xll.meLWOBondDV01($L179,$C$4,$M179%)</f>
        <v>1919.0761643835617</v>
      </c>
      <c r="S179" s="85">
        <f t="shared" ca="1" si="25"/>
        <v>0.58600000000000008</v>
      </c>
      <c r="T179" s="22" t="str">
        <f ca="1">_xll.BDP($B179,T$6, "YAS_BOND_SPL_YLD="&amp;S179,"YAS_YLD_CONV=2")</f>
        <v>#N/A Requesting Data...</v>
      </c>
      <c r="U179" s="23">
        <f t="shared" ca="1" si="26"/>
        <v>100.2299307761336</v>
      </c>
      <c r="V179" s="23">
        <f t="shared" ca="1" si="18"/>
        <v>100.229</v>
      </c>
      <c r="W179" s="24" t="e">
        <f t="shared" ca="1" si="19"/>
        <v>#VALUE!</v>
      </c>
      <c r="X179" s="23">
        <f ca="1">_xll.meLWOBondDV01($L179,$C$4,$S179%)</f>
        <v>1919.0761643835617</v>
      </c>
      <c r="Y179" s="22" t="e">
        <f ca="1">_xll.BDP($B179,Y$6, "YLD_YTM_ASK="&amp;$S179,"YAS_YLD_CONV=3")*$Y$3*0.0001</f>
        <v>#VALUE!</v>
      </c>
      <c r="Z179" s="24" t="e">
        <f t="shared" ca="1" si="20"/>
        <v>#VALUE!</v>
      </c>
      <c r="AA179" s="23">
        <f ca="1">_xll.meLWOBondModifiedDuration($L179,$C$4,$S179%)</f>
        <v>17.27341282073413</v>
      </c>
      <c r="AB179" s="22" t="str">
        <f ca="1">_xll.BDP($B179,AB$6, "YLD_YTM_ASK="&amp;$S179,"YAS_YLD_CONV=3")</f>
        <v>#N/A Requesting Data...</v>
      </c>
      <c r="AC179" s="24" t="e">
        <f t="shared" ca="1" si="21"/>
        <v>#VALUE!</v>
      </c>
      <c r="AD179" s="23">
        <f ca="1">_xll.meLWOBondDV01Numerical($L179,$C$4,$S179%, 0.5, "CENTRAL")</f>
        <v>1646.1400939972748</v>
      </c>
      <c r="AE179" s="63" t="str">
        <f ca="1">_xll.BDP($B179,AE$6, "YAS_BOND_PX="&amp;T179)</f>
        <v>#N/A Invalid Override</v>
      </c>
      <c r="AF179" s="64" t="e">
        <f ca="1">_xll.meLWOBondCompoundYield(L179,$C$4,T179)*100</f>
        <v>#VALUE!</v>
      </c>
      <c r="AG179" s="65" t="e">
        <f t="shared" ca="1" si="22"/>
        <v>#VALUE!</v>
      </c>
      <c r="AH179" s="35" t="e">
        <f t="shared" ca="1" si="23"/>
        <v>#VALUE!</v>
      </c>
      <c r="AI179" s="63" t="str">
        <f ca="1">_xll.BDP($B179,AI$6, "PX_ASK="&amp;T179)</f>
        <v>#N/A Invalid Override</v>
      </c>
      <c r="AJ179" s="35" t="e">
        <f t="shared" ca="1" si="24"/>
        <v>#VALUE!</v>
      </c>
    </row>
    <row r="180" spans="2:36">
      <c r="B180" s="15" t="s">
        <v>1122</v>
      </c>
      <c r="C180" s="15" t="s">
        <v>1123</v>
      </c>
      <c r="D180" s="15" t="s">
        <v>1123</v>
      </c>
      <c r="E180" s="16">
        <v>39107</v>
      </c>
      <c r="F180" s="19">
        <v>39071</v>
      </c>
      <c r="G180" s="18"/>
      <c r="H180" s="16">
        <v>39253</v>
      </c>
      <c r="I180" s="16">
        <v>49846</v>
      </c>
      <c r="J180" s="17">
        <v>2.3E-2</v>
      </c>
      <c r="K180" s="16">
        <v>50029</v>
      </c>
      <c r="L180" s="20" t="str">
        <f ca="1">_xll.meLWOBondCreateFromGeneratorLVB(C180,$L$4,_xll.meUtilityLVBFromKeysValues($C$6:$K$6,C180:K180))</f>
        <v>JP1300251715:1</v>
      </c>
      <c r="M180" s="92">
        <f ca="1">_xll.BDP($B180,$M$5)</f>
        <v>0.52000000000000013</v>
      </c>
      <c r="N180" s="37">
        <f ca="1">_xll.meLWOBondCleanPrice($L180,$C$4,$M180%)</f>
        <v>129.55441365976156</v>
      </c>
      <c r="O180" s="37">
        <f ca="1">_xll.meLWOBondDirtyPrice($L180,$C$4,$M180%)</f>
        <v>142.55000000000001</v>
      </c>
      <c r="P180" s="87">
        <f ca="1">_xll.meLWOBondYield($L180,$C$4,N180)</f>
        <v>5.1999999999997968E-3</v>
      </c>
      <c r="Q180" s="89">
        <f ca="1">_xll.meLWOBondModifiedDuration($L180,$C$4,$M180%)</f>
        <v>15.486176924222693</v>
      </c>
      <c r="R180" s="23">
        <f ca="1">_xll.meLWOBondDV01($L180,$C$4,$M180%)</f>
        <v>2207.5545205479452</v>
      </c>
      <c r="S180" s="85">
        <f t="shared" ca="1" si="25"/>
        <v>0.52000000000000013</v>
      </c>
      <c r="T180" s="22" t="str">
        <f ca="1">_xll.BDP($B180,T$6, "YAS_BOND_SPL_YLD="&amp;S180,"YAS_YLD_CONV=2")</f>
        <v>#N/A Requesting Data...</v>
      </c>
      <c r="U180" s="23">
        <f t="shared" ca="1" si="26"/>
        <v>129.55441365976156</v>
      </c>
      <c r="V180" s="23">
        <f t="shared" ca="1" si="18"/>
        <v>129.554</v>
      </c>
      <c r="W180" s="24" t="e">
        <f t="shared" ca="1" si="19"/>
        <v>#VALUE!</v>
      </c>
      <c r="X180" s="23">
        <f ca="1">_xll.meLWOBondDV01($L180,$C$4,$S180%)</f>
        <v>2207.5545205479452</v>
      </c>
      <c r="Y180" s="22" t="e">
        <f ca="1">_xll.BDP($B180,Y$6, "YLD_YTM_ASK="&amp;$S180,"YAS_YLD_CONV=3")*$Y$3*0.0001</f>
        <v>#VALUE!</v>
      </c>
      <c r="Z180" s="24" t="e">
        <f t="shared" ca="1" si="20"/>
        <v>#VALUE!</v>
      </c>
      <c r="AA180" s="23">
        <f ca="1">_xll.meLWOBondModifiedDuration($L180,$C$4,$S180%)</f>
        <v>15.486176924222693</v>
      </c>
      <c r="AB180" s="22" t="str">
        <f ca="1">_xll.BDP($B180,AB$6, "YLD_YTM_ASK="&amp;$S180,"YAS_YLD_CONV=3")</f>
        <v>#N/A Requesting Data...</v>
      </c>
      <c r="AC180" s="24" t="e">
        <f t="shared" ca="1" si="21"/>
        <v>#VALUE!</v>
      </c>
      <c r="AD180" s="23">
        <f ca="1">_xll.meLWOBondDV01Numerical($L180,$C$4,$S180%, 0.5, "CENTRAL")</f>
        <v>2151.0715570943262</v>
      </c>
      <c r="AE180" s="63" t="str">
        <f ca="1">_xll.BDP($B180,AE$6, "YAS_BOND_PX="&amp;T180)</f>
        <v>#N/A Invalid Override</v>
      </c>
      <c r="AF180" s="64" t="e">
        <f ca="1">_xll.meLWOBondCompoundYield(L180,$C$4,T180)*100</f>
        <v>#VALUE!</v>
      </c>
      <c r="AG180" s="65" t="e">
        <f t="shared" ca="1" si="22"/>
        <v>#VALUE!</v>
      </c>
      <c r="AH180" s="35" t="e">
        <f t="shared" ca="1" si="23"/>
        <v>#VALUE!</v>
      </c>
      <c r="AI180" s="63" t="str">
        <f ca="1">_xll.BDP($B180,AI$6, "PX_ASK="&amp;T180)</f>
        <v>#N/A Invalid Override</v>
      </c>
      <c r="AJ180" s="35" t="e">
        <f t="shared" ca="1" si="24"/>
        <v>#VALUE!</v>
      </c>
    </row>
    <row r="181" spans="2:36">
      <c r="B181" s="15" t="s">
        <v>1124</v>
      </c>
      <c r="C181" s="15" t="s">
        <v>1125</v>
      </c>
      <c r="D181" s="15" t="s">
        <v>1125</v>
      </c>
      <c r="E181" s="16">
        <v>42815</v>
      </c>
      <c r="F181" s="19">
        <v>42814</v>
      </c>
      <c r="G181" s="18"/>
      <c r="H181" s="16">
        <v>42998</v>
      </c>
      <c r="I181" s="16">
        <v>49938</v>
      </c>
      <c r="J181" s="17">
        <v>6.9999999999999993E-3</v>
      </c>
      <c r="K181" s="16">
        <v>50119</v>
      </c>
      <c r="L181" s="20" t="str">
        <f ca="1">_xll.meLWOBondCreateFromGeneratorLVB(C181,$L$4,_xll.meUtilityLVBFromKeysValues($C$6:$K$6,C181:K181))</f>
        <v>JP1201601H38:1</v>
      </c>
      <c r="M181" s="92">
        <f ca="1">_xll.BDP($B181,$M$5)</f>
        <v>0.59299999999999942</v>
      </c>
      <c r="N181" s="37">
        <f ca="1">_xll.meLWOBondCleanPrice($L181,$C$4,$M181%)</f>
        <v>101.77678177538579</v>
      </c>
      <c r="O181" s="37">
        <f ca="1">_xll.meLWOBondDirtyPrice($L181,$C$4,$M181%)</f>
        <v>112.94999999999999</v>
      </c>
      <c r="P181" s="87">
        <f ca="1">_xll.meLWOBondYield($L181,$C$4,N181)</f>
        <v>5.9299999999998607E-3</v>
      </c>
      <c r="Q181" s="89">
        <f ca="1">_xll.meLWOBondModifiedDuration($L181,$C$4,$M181%)</f>
        <v>17.387305572231622</v>
      </c>
      <c r="R181" s="23">
        <f ca="1">_xll.meLWOBondDV01($L181,$C$4,$M181%)</f>
        <v>1963.8961643835617</v>
      </c>
      <c r="S181" s="85">
        <f t="shared" ca="1" si="25"/>
        <v>0.59299999999999942</v>
      </c>
      <c r="T181" s="22" t="str">
        <f ca="1">_xll.BDP($B181,T$6, "YAS_BOND_SPL_YLD="&amp;S181,"YAS_YLD_CONV=2")</f>
        <v>#N/A Requesting Data...</v>
      </c>
      <c r="U181" s="23">
        <f t="shared" ca="1" si="26"/>
        <v>101.77678177538579</v>
      </c>
      <c r="V181" s="23">
        <f t="shared" ca="1" si="18"/>
        <v>101.776</v>
      </c>
      <c r="W181" s="24" t="e">
        <f t="shared" ca="1" si="19"/>
        <v>#VALUE!</v>
      </c>
      <c r="X181" s="23">
        <f ca="1">_xll.meLWOBondDV01($L181,$C$4,$S181%)</f>
        <v>1963.8961643835617</v>
      </c>
      <c r="Y181" s="22" t="e">
        <f ca="1">_xll.BDP($B181,Y$6, "YLD_YTM_ASK="&amp;$S181,"YAS_YLD_CONV=3")*$Y$3*0.0001</f>
        <v>#VALUE!</v>
      </c>
      <c r="Z181" s="24" t="e">
        <f t="shared" ca="1" si="20"/>
        <v>#VALUE!</v>
      </c>
      <c r="AA181" s="23">
        <f ca="1">_xll.meLWOBondModifiedDuration($L181,$C$4,$S181%)</f>
        <v>17.387305572231622</v>
      </c>
      <c r="AB181" s="22" t="str">
        <f ca="1">_xll.BDP($B181,AB$6, "YLD_YTM_ASK="&amp;$S181,"YAS_YLD_CONV=3")</f>
        <v>#N/A Requesting Data...</v>
      </c>
      <c r="AC181" s="24" t="e">
        <f t="shared" ca="1" si="21"/>
        <v>#VALUE!</v>
      </c>
      <c r="AD181" s="23">
        <f ca="1">_xll.meLWOBondDV01Numerical($L181,$C$4,$S181%, 0.5, "CENTRAL")</f>
        <v>1690.0491184574664</v>
      </c>
      <c r="AE181" s="63" t="str">
        <f ca="1">_xll.BDP($B181,AE$6, "YAS_BOND_PX="&amp;T181)</f>
        <v>#N/A Invalid Override</v>
      </c>
      <c r="AF181" s="64" t="e">
        <f ca="1">_xll.meLWOBondCompoundYield(L181,$C$4,T181)*100</f>
        <v>#VALUE!</v>
      </c>
      <c r="AG181" s="65" t="e">
        <f t="shared" ca="1" si="22"/>
        <v>#VALUE!</v>
      </c>
      <c r="AH181" s="35" t="e">
        <f t="shared" ca="1" si="23"/>
        <v>#VALUE!</v>
      </c>
      <c r="AI181" s="63" t="str">
        <f ca="1">_xll.BDP($B181,AI$6, "PX_ASK="&amp;T181)</f>
        <v>#N/A Invalid Override</v>
      </c>
      <c r="AJ181" s="35" t="e">
        <f t="shared" ca="1" si="24"/>
        <v>#VALUE!</v>
      </c>
    </row>
    <row r="182" spans="2:36">
      <c r="B182" s="15" t="s">
        <v>1126</v>
      </c>
      <c r="C182" s="15" t="s">
        <v>1127</v>
      </c>
      <c r="D182" s="15" t="s">
        <v>1127</v>
      </c>
      <c r="E182" s="16">
        <v>39192</v>
      </c>
      <c r="F182" s="19">
        <v>39161</v>
      </c>
      <c r="G182" s="18"/>
      <c r="H182" s="16">
        <v>39345</v>
      </c>
      <c r="I182" s="16">
        <v>49938</v>
      </c>
      <c r="J182" s="17">
        <v>2.4E-2</v>
      </c>
      <c r="K182" s="16">
        <v>50119</v>
      </c>
      <c r="L182" s="20" t="str">
        <f ca="1">_xll.meLWOBondCreateFromGeneratorLVB(C182,$L$4,_xll.meUtilityLVBFromKeysValues($C$6:$K$6,C182:K182))</f>
        <v>JP1300261748:1</v>
      </c>
      <c r="M182" s="92">
        <f ca="1">_xll.BDP($B182,$M$5)</f>
        <v>0.52800000000000014</v>
      </c>
      <c r="N182" s="37">
        <f ca="1">_xll.meLWOBondCleanPrice($L182,$C$4,$M182%)</f>
        <v>131.42456041666583</v>
      </c>
      <c r="O182" s="37">
        <f ca="1">_xll.meLWOBondDirtyPrice($L182,$C$4,$M182%)</f>
        <v>144.4</v>
      </c>
      <c r="P182" s="87">
        <f ca="1">_xll.meLWOBondYield($L182,$C$4,N182)</f>
        <v>5.2799999999999262E-3</v>
      </c>
      <c r="Q182" s="89">
        <f ca="1">_xll.meLWOBondModifiedDuration($L182,$C$4,$M182%)</f>
        <v>15.6518650628012</v>
      </c>
      <c r="R182" s="23">
        <f ca="1">_xll.meLWOBondDV01($L182,$C$4,$M182%)</f>
        <v>2260.1293150684933</v>
      </c>
      <c r="S182" s="85">
        <f t="shared" ca="1" si="25"/>
        <v>0.52800000000000014</v>
      </c>
      <c r="T182" s="22" t="str">
        <f ca="1">_xll.BDP($B182,T$6, "YAS_BOND_SPL_YLD="&amp;S182,"YAS_YLD_CONV=2")</f>
        <v>#N/A Requesting Data...</v>
      </c>
      <c r="U182" s="23">
        <f t="shared" ca="1" si="26"/>
        <v>131.42456041666583</v>
      </c>
      <c r="V182" s="23">
        <f t="shared" ca="1" si="18"/>
        <v>131.42400000000001</v>
      </c>
      <c r="W182" s="24" t="e">
        <f t="shared" ca="1" si="19"/>
        <v>#VALUE!</v>
      </c>
      <c r="X182" s="23">
        <f ca="1">_xll.meLWOBondDV01($L182,$C$4,$S182%)</f>
        <v>2260.1293150684933</v>
      </c>
      <c r="Y182" s="22" t="e">
        <f ca="1">_xll.BDP($B182,Y$6, "YLD_YTM_ASK="&amp;$S182,"YAS_YLD_CONV=3")*$Y$3*0.0001</f>
        <v>#VALUE!</v>
      </c>
      <c r="Z182" s="24" t="e">
        <f t="shared" ca="1" si="20"/>
        <v>#VALUE!</v>
      </c>
      <c r="AA182" s="23">
        <f ca="1">_xll.meLWOBondModifiedDuration($L182,$C$4,$S182%)</f>
        <v>15.6518650628012</v>
      </c>
      <c r="AB182" s="22" t="str">
        <f ca="1">_xll.BDP($B182,AB$6, "YLD_YTM_ASK="&amp;$S182,"YAS_YLD_CONV=3")</f>
        <v>#N/A Requesting Data...</v>
      </c>
      <c r="AC182" s="24" t="e">
        <f t="shared" ca="1" si="21"/>
        <v>#VALUE!</v>
      </c>
      <c r="AD182" s="23">
        <f ca="1">_xll.meLWOBondDV01Numerical($L182,$C$4,$S182%, 0.5, "CENTRAL")</f>
        <v>2206.1762545459378</v>
      </c>
      <c r="AE182" s="63" t="str">
        <f ca="1">_xll.BDP($B182,AE$6, "YAS_BOND_PX="&amp;T182)</f>
        <v>#N/A Invalid Override</v>
      </c>
      <c r="AF182" s="64" t="e">
        <f ca="1">_xll.meLWOBondCompoundYield(L182,$C$4,T182)*100</f>
        <v>#VALUE!</v>
      </c>
      <c r="AG182" s="65" t="e">
        <f t="shared" ca="1" si="22"/>
        <v>#VALUE!</v>
      </c>
      <c r="AH182" s="35" t="e">
        <f t="shared" ca="1" si="23"/>
        <v>#VALUE!</v>
      </c>
      <c r="AI182" s="63" t="str">
        <f ca="1">_xll.BDP($B182,AI$6, "PX_ASK="&amp;T182)</f>
        <v>#N/A Invalid Override</v>
      </c>
      <c r="AJ182" s="35" t="e">
        <f t="shared" ca="1" si="24"/>
        <v>#VALUE!</v>
      </c>
    </row>
    <row r="183" spans="2:36">
      <c r="B183" s="15" t="s">
        <v>1128</v>
      </c>
      <c r="C183" s="15" t="s">
        <v>1129</v>
      </c>
      <c r="D183" s="15" t="s">
        <v>1129</v>
      </c>
      <c r="E183" s="16">
        <v>39377</v>
      </c>
      <c r="F183" s="19">
        <v>39345</v>
      </c>
      <c r="G183" s="18"/>
      <c r="H183" s="16">
        <v>39527</v>
      </c>
      <c r="I183" s="16">
        <v>50119</v>
      </c>
      <c r="J183" s="17">
        <v>2.5000000000000001E-2</v>
      </c>
      <c r="K183" s="16">
        <v>50303</v>
      </c>
      <c r="L183" s="20" t="str">
        <f ca="1">_xll.meLWOBondCreateFromGeneratorLVB(C183,$L$4,_xll.meUtilityLVBFromKeysValues($C$6:$K$6,C183:K183))</f>
        <v>JP13002717A6:1</v>
      </c>
      <c r="M183" s="92">
        <f ca="1">_xll.BDP($B183,$M$5)</f>
        <v>0.54699999999999982</v>
      </c>
      <c r="N183" s="37">
        <f ca="1">_xll.meLWOBondCleanPrice($L183,$C$4,$M183%)</f>
        <v>133.49056010024697</v>
      </c>
      <c r="O183" s="37">
        <f ca="1">_xll.meLWOBondDirtyPrice($L183,$C$4,$M183%)</f>
        <v>147.5</v>
      </c>
      <c r="P183" s="87">
        <f ca="1">_xll.meLWOBondYield($L183,$C$4,N183)</f>
        <v>5.4699999999999853E-3</v>
      </c>
      <c r="Q183" s="89">
        <f ca="1">_xll.meLWOBondModifiedDuration($L183,$C$4,$M183%)</f>
        <v>15.940364522869748</v>
      </c>
      <c r="R183" s="23">
        <f ca="1">_xll.meLWOBondDV01($L183,$C$4,$M183%)</f>
        <v>2351.2037671232879</v>
      </c>
      <c r="S183" s="85">
        <f t="shared" ca="1" si="25"/>
        <v>0.54699999999999982</v>
      </c>
      <c r="T183" s="22" t="str">
        <f ca="1">_xll.BDP($B183,T$6, "YAS_BOND_SPL_YLD="&amp;S183,"YAS_YLD_CONV=2")</f>
        <v>#N/A Requesting Data...</v>
      </c>
      <c r="U183" s="23">
        <f t="shared" ca="1" si="26"/>
        <v>133.49056010024697</v>
      </c>
      <c r="V183" s="23">
        <f t="shared" ca="1" si="18"/>
        <v>133.49</v>
      </c>
      <c r="W183" s="24" t="e">
        <f t="shared" ca="1" si="19"/>
        <v>#VALUE!</v>
      </c>
      <c r="X183" s="23">
        <f ca="1">_xll.meLWOBondDV01($L183,$C$4,$S183%)</f>
        <v>2351.2037671232879</v>
      </c>
      <c r="Y183" s="22" t="e">
        <f ca="1">_xll.BDP($B183,Y$6, "YLD_YTM_ASK="&amp;$S183,"YAS_YLD_CONV=3")*$Y$3*0.0001</f>
        <v>#VALUE!</v>
      </c>
      <c r="Z183" s="24" t="e">
        <f t="shared" ca="1" si="20"/>
        <v>#VALUE!</v>
      </c>
      <c r="AA183" s="23">
        <f ca="1">_xll.meLWOBondModifiedDuration($L183,$C$4,$S183%)</f>
        <v>15.940364522869748</v>
      </c>
      <c r="AB183" s="22" t="str">
        <f ca="1">_xll.BDP($B183,AB$6, "YLD_YTM_ASK="&amp;$S183,"YAS_YLD_CONV=3")</f>
        <v>#N/A Requesting Data...</v>
      </c>
      <c r="AC183" s="24" t="e">
        <f t="shared" ca="1" si="21"/>
        <v>#VALUE!</v>
      </c>
      <c r="AD183" s="23">
        <f ca="1">_xll.meLWOBondDV01Numerical($L183,$C$4,$S183%, 0.5, "CENTRAL")</f>
        <v>2289.1330837194346</v>
      </c>
      <c r="AE183" s="63" t="str">
        <f ca="1">_xll.BDP($B183,AE$6, "YAS_BOND_PX="&amp;T183)</f>
        <v>#N/A Invalid Override</v>
      </c>
      <c r="AF183" s="64" t="e">
        <f ca="1">_xll.meLWOBondCompoundYield(L183,$C$4,T183)*100</f>
        <v>#VALUE!</v>
      </c>
      <c r="AG183" s="65" t="e">
        <f t="shared" ca="1" si="22"/>
        <v>#VALUE!</v>
      </c>
      <c r="AH183" s="35" t="e">
        <f t="shared" ca="1" si="23"/>
        <v>#VALUE!</v>
      </c>
      <c r="AI183" s="63" t="str">
        <f ca="1">_xll.BDP($B183,AI$6, "PX_ASK="&amp;T183)</f>
        <v>#N/A Invalid Override</v>
      </c>
      <c r="AJ183" s="35" t="e">
        <f t="shared" ca="1" si="24"/>
        <v>#VALUE!</v>
      </c>
    </row>
    <row r="184" spans="2:36">
      <c r="B184" s="15" t="s">
        <v>1130</v>
      </c>
      <c r="C184" s="15" t="s">
        <v>1131</v>
      </c>
      <c r="D184" s="15" t="s">
        <v>1131</v>
      </c>
      <c r="E184" s="16">
        <v>39556</v>
      </c>
      <c r="F184" s="19">
        <v>39527</v>
      </c>
      <c r="G184" s="18"/>
      <c r="H184" s="16">
        <v>39711</v>
      </c>
      <c r="I184" s="16">
        <v>50303</v>
      </c>
      <c r="J184" s="17">
        <v>2.5000000000000001E-2</v>
      </c>
      <c r="K184" s="16">
        <v>50484</v>
      </c>
      <c r="L184" s="20" t="str">
        <f ca="1">_xll.meLWOBondCreateFromGeneratorLVB(C184,$L$4,_xll.meUtilityLVBFromKeysValues($C$6:$K$6,C184:K184))</f>
        <v>JP1300281845:1</v>
      </c>
      <c r="M184" s="92">
        <f ca="1">_xll.BDP($B184,$M$5)</f>
        <v>0.56900000000000039</v>
      </c>
      <c r="N184" s="37">
        <f ca="1">_xll.meLWOBondCleanPrice($L184,$C$4,$M184%)</f>
        <v>133.76730981555011</v>
      </c>
      <c r="O184" s="37">
        <f ca="1">_xll.meLWOBondDirtyPrice($L184,$C$4,$M184%)</f>
        <v>148.75</v>
      </c>
      <c r="P184" s="87">
        <f ca="1">_xll.meLWOBondYield($L184,$C$4,N184)</f>
        <v>5.690000000000057E-3</v>
      </c>
      <c r="Q184" s="89">
        <f ca="1">_xll.meLWOBondModifiedDuration($L184,$C$4,$M184%)</f>
        <v>16.305732704040526</v>
      </c>
      <c r="R184" s="23">
        <f ca="1">_xll.meLWOBondDV01($L184,$C$4,$M184%)</f>
        <v>2425.4777397260282</v>
      </c>
      <c r="S184" s="85">
        <f t="shared" ca="1" si="25"/>
        <v>0.56900000000000039</v>
      </c>
      <c r="T184" s="22" t="str">
        <f ca="1">_xll.BDP($B184,T$6, "YAS_BOND_SPL_YLD="&amp;S184,"YAS_YLD_CONV=2")</f>
        <v>#N/A Requesting Data...</v>
      </c>
      <c r="U184" s="23">
        <f t="shared" ca="1" si="26"/>
        <v>133.76730981555011</v>
      </c>
      <c r="V184" s="23">
        <f t="shared" ca="1" si="18"/>
        <v>133.767</v>
      </c>
      <c r="W184" s="24" t="e">
        <f t="shared" ca="1" si="19"/>
        <v>#VALUE!</v>
      </c>
      <c r="X184" s="23">
        <f ca="1">_xll.meLWOBondDV01($L184,$C$4,$S184%)</f>
        <v>2425.4777397260282</v>
      </c>
      <c r="Y184" s="22" t="e">
        <f ca="1">_xll.BDP($B184,Y$6, "YLD_YTM_ASK="&amp;$S184,"YAS_YLD_CONV=3")*$Y$3*0.0001</f>
        <v>#VALUE!</v>
      </c>
      <c r="Z184" s="24" t="e">
        <f t="shared" ca="1" si="20"/>
        <v>#VALUE!</v>
      </c>
      <c r="AA184" s="23">
        <f ca="1">_xll.meLWOBondModifiedDuration($L184,$C$4,$S184%)</f>
        <v>16.305732704040526</v>
      </c>
      <c r="AB184" s="22" t="str">
        <f ca="1">_xll.BDP($B184,AB$6, "YLD_YTM_ASK="&amp;$S184,"YAS_YLD_CONV=3")</f>
        <v>#N/A Requesting Data...</v>
      </c>
      <c r="AC184" s="24" t="e">
        <f t="shared" ca="1" si="21"/>
        <v>#VALUE!</v>
      </c>
      <c r="AD184" s="23">
        <f ca="1">_xll.meLWOBondDV01Numerical($L184,$C$4,$S184%, 0.5, "CENTRAL")</f>
        <v>2339.1846954334028</v>
      </c>
      <c r="AE184" s="63" t="str">
        <f ca="1">_xll.BDP($B184,AE$6, "YAS_BOND_PX="&amp;T184)</f>
        <v>#N/A Invalid Override</v>
      </c>
      <c r="AF184" s="64" t="e">
        <f ca="1">_xll.meLWOBondCompoundYield(L184,$C$4,T184)*100</f>
        <v>#VALUE!</v>
      </c>
      <c r="AG184" s="65" t="e">
        <f t="shared" ca="1" si="22"/>
        <v>#VALUE!</v>
      </c>
      <c r="AH184" s="35" t="e">
        <f t="shared" ca="1" si="23"/>
        <v>#VALUE!</v>
      </c>
      <c r="AI184" s="63" t="str">
        <f ca="1">_xll.BDP($B184,AI$6, "PX_ASK="&amp;T184)</f>
        <v>#N/A Invalid Override</v>
      </c>
      <c r="AJ184" s="35" t="e">
        <f t="shared" ca="1" si="24"/>
        <v>#VALUE!</v>
      </c>
    </row>
    <row r="185" spans="2:36">
      <c r="B185" s="15" t="s">
        <v>1132</v>
      </c>
      <c r="C185" s="15" t="s">
        <v>1133</v>
      </c>
      <c r="D185" s="15" t="s">
        <v>1133</v>
      </c>
      <c r="E185" s="16">
        <v>39745</v>
      </c>
      <c r="F185" s="19">
        <v>39711</v>
      </c>
      <c r="G185" s="18"/>
      <c r="H185" s="16">
        <v>39892</v>
      </c>
      <c r="I185" s="16">
        <v>50484</v>
      </c>
      <c r="J185" s="17">
        <v>2.4E-2</v>
      </c>
      <c r="K185" s="16">
        <v>50668</v>
      </c>
      <c r="L185" s="20" t="str">
        <f ca="1">_xll.meLWOBondCreateFromGeneratorLVB(C185,$L$4,_xll.meUtilityLVBFromKeysValues($C$6:$K$6,C185:K185))</f>
        <v>JP13002918A0:1</v>
      </c>
      <c r="M185" s="92">
        <f ca="1">_xll.BDP($B185,$M$5)</f>
        <v>0.58799999999999941</v>
      </c>
      <c r="N185" s="37">
        <f ca="1">_xll.meLWOBondCleanPrice($L185,$C$4,$M185%)</f>
        <v>132.31529498182459</v>
      </c>
      <c r="O185" s="37">
        <f ca="1">_xll.meLWOBondDirtyPrice($L185,$C$4,$M185%)</f>
        <v>148</v>
      </c>
      <c r="P185" s="87">
        <f ca="1">_xll.meLWOBondYield($L185,$C$4,N185)</f>
        <v>5.8799999999998246E-3</v>
      </c>
      <c r="Q185" s="89">
        <f ca="1">_xll.meLWOBondModifiedDuration($L185,$C$4,$M185%)</f>
        <v>16.75701592002962</v>
      </c>
      <c r="R185" s="23">
        <f ca="1">_xll.meLWOBondDV01($L185,$C$4,$M185%)</f>
        <v>2480.0383561643835</v>
      </c>
      <c r="S185" s="85">
        <f t="shared" ca="1" si="25"/>
        <v>0.58799999999999941</v>
      </c>
      <c r="T185" s="22" t="str">
        <f ca="1">_xll.BDP($B185,T$6, "YAS_BOND_SPL_YLD="&amp;S185,"YAS_YLD_CONV=2")</f>
        <v>#N/A Requesting Data...</v>
      </c>
      <c r="U185" s="23">
        <f t="shared" ca="1" si="26"/>
        <v>132.31529498182459</v>
      </c>
      <c r="V185" s="23">
        <f t="shared" ca="1" si="18"/>
        <v>132.315</v>
      </c>
      <c r="W185" s="24" t="e">
        <f t="shared" ca="1" si="19"/>
        <v>#VALUE!</v>
      </c>
      <c r="X185" s="23">
        <f ca="1">_xll.meLWOBondDV01($L185,$C$4,$S185%)</f>
        <v>2480.0383561643835</v>
      </c>
      <c r="Y185" s="22" t="e">
        <f ca="1">_xll.BDP($B185,Y$6, "YLD_YTM_ASK="&amp;$S185,"YAS_YLD_CONV=3")*$Y$3*0.0001</f>
        <v>#VALUE!</v>
      </c>
      <c r="Z185" s="24" t="e">
        <f t="shared" ca="1" si="20"/>
        <v>#VALUE!</v>
      </c>
      <c r="AA185" s="23">
        <f ca="1">_xll.meLWOBondModifiedDuration($L185,$C$4,$S185%)</f>
        <v>16.75701592002962</v>
      </c>
      <c r="AB185" s="22" t="str">
        <f ca="1">_xll.BDP($B185,AB$6, "YLD_YTM_ASK="&amp;$S185,"YAS_YLD_CONV=3")</f>
        <v>#N/A Requesting Data...</v>
      </c>
      <c r="AC185" s="24" t="e">
        <f t="shared" ca="1" si="21"/>
        <v>#VALUE!</v>
      </c>
      <c r="AD185" s="23">
        <f ca="1">_xll.meLWOBondDV01Numerical($L185,$C$4,$S185%, 0.5, "CENTRAL")</f>
        <v>2359.7191985561494</v>
      </c>
      <c r="AE185" s="63" t="str">
        <f ca="1">_xll.BDP($B185,AE$6, "YAS_BOND_PX="&amp;T185)</f>
        <v>#N/A Invalid Override</v>
      </c>
      <c r="AF185" s="64" t="e">
        <f ca="1">_xll.meLWOBondCompoundYield(L185,$C$4,T185)*100</f>
        <v>#VALUE!</v>
      </c>
      <c r="AG185" s="65" t="e">
        <f t="shared" ca="1" si="22"/>
        <v>#VALUE!</v>
      </c>
      <c r="AH185" s="35" t="e">
        <f t="shared" ca="1" si="23"/>
        <v>#VALUE!</v>
      </c>
      <c r="AI185" s="63" t="str">
        <f ca="1">_xll.BDP($B185,AI$6, "PX_ASK="&amp;T185)</f>
        <v>#N/A Invalid Override</v>
      </c>
      <c r="AJ185" s="35" t="e">
        <f t="shared" ca="1" si="24"/>
        <v>#VALUE!</v>
      </c>
    </row>
    <row r="186" spans="2:36">
      <c r="B186" s="15" t="s">
        <v>1134</v>
      </c>
      <c r="C186" s="15" t="s">
        <v>1135</v>
      </c>
      <c r="D186" s="15" t="s">
        <v>1135</v>
      </c>
      <c r="E186" s="16">
        <v>39920</v>
      </c>
      <c r="F186" s="19">
        <v>39892</v>
      </c>
      <c r="G186" s="18"/>
      <c r="H186" s="16">
        <v>40076</v>
      </c>
      <c r="I186" s="16">
        <v>50668</v>
      </c>
      <c r="J186" s="17">
        <v>2.3E-2</v>
      </c>
      <c r="K186" s="16">
        <v>50849</v>
      </c>
      <c r="L186" s="20" t="str">
        <f ca="1">_xll.meLWOBondCreateFromGeneratorLVB(C186,$L$4,_xll.meUtilityLVBFromKeysValues($C$6:$K$6,C186:K186))</f>
        <v>JP1300301940:1</v>
      </c>
      <c r="M186" s="92">
        <f ca="1">_xll.BDP($B186,$M$5)</f>
        <v>0.60899999999999965</v>
      </c>
      <c r="N186" s="37">
        <f ca="1">_xll.meLWOBondCleanPrice($L186,$C$4,$M186%)</f>
        <v>130.70996070384675</v>
      </c>
      <c r="O186" s="37">
        <f ca="1">_xll.meLWOBondDirtyPrice($L186,$C$4,$M186%)</f>
        <v>147.15</v>
      </c>
      <c r="P186" s="87">
        <f ca="1">_xll.meLWOBondYield($L186,$C$4,N186)</f>
        <v>6.0899999999998915E-3</v>
      </c>
      <c r="Q186" s="89">
        <f ca="1">_xll.meLWOBondModifiedDuration($L186,$C$4,$M186%)</f>
        <v>17.214964694492156</v>
      </c>
      <c r="R186" s="23">
        <f ca="1">_xll.meLWOBondDV01($L186,$C$4,$M186%)</f>
        <v>2533.1820547945208</v>
      </c>
      <c r="S186" s="85">
        <f t="shared" ca="1" si="25"/>
        <v>0.60899999999999965</v>
      </c>
      <c r="T186" s="22" t="str">
        <f ca="1">_xll.BDP($B186,T$6, "YAS_BOND_SPL_YLD="&amp;S186,"YAS_YLD_CONV=2")</f>
        <v>#N/A Requesting Data...</v>
      </c>
      <c r="U186" s="23">
        <f t="shared" ca="1" si="26"/>
        <v>130.70996070384675</v>
      </c>
      <c r="V186" s="23">
        <f t="shared" ca="1" si="18"/>
        <v>130.709</v>
      </c>
      <c r="W186" s="24" t="e">
        <f t="shared" ca="1" si="19"/>
        <v>#VALUE!</v>
      </c>
      <c r="X186" s="23">
        <f ca="1">_xll.meLWOBondDV01($L186,$C$4,$S186%)</f>
        <v>2533.1820547945208</v>
      </c>
      <c r="Y186" s="22" t="e">
        <f ca="1">_xll.BDP($B186,Y$6, "YLD_YTM_ASK="&amp;$S186,"YAS_YLD_CONV=3")*$Y$3*0.0001</f>
        <v>#VALUE!</v>
      </c>
      <c r="Z186" s="24" t="e">
        <f t="shared" ca="1" si="20"/>
        <v>#VALUE!</v>
      </c>
      <c r="AA186" s="23">
        <f ca="1">_xll.meLWOBondModifiedDuration($L186,$C$4,$S186%)</f>
        <v>17.214964694492156</v>
      </c>
      <c r="AB186" s="22" t="str">
        <f ca="1">_xll.BDP($B186,AB$6, "YLD_YTM_ASK="&amp;$S186,"YAS_YLD_CONV=3")</f>
        <v>#N/A Requesting Data...</v>
      </c>
      <c r="AC186" s="24" t="e">
        <f t="shared" ca="1" si="21"/>
        <v>#VALUE!</v>
      </c>
      <c r="AD186" s="23">
        <f ca="1">_xll.meLWOBondDV01Numerical($L186,$C$4,$S186%, 0.5, "CENTRAL")</f>
        <v>2373.803114488453</v>
      </c>
      <c r="AE186" s="63" t="str">
        <f ca="1">_xll.BDP($B186,AE$6, "YAS_BOND_PX="&amp;T186)</f>
        <v>#N/A Invalid Override</v>
      </c>
      <c r="AF186" s="64" t="e">
        <f ca="1">_xll.meLWOBondCompoundYield(L186,$C$4,T186)*100</f>
        <v>#VALUE!</v>
      </c>
      <c r="AG186" s="65" t="e">
        <f t="shared" ca="1" si="22"/>
        <v>#VALUE!</v>
      </c>
      <c r="AH186" s="35" t="e">
        <f t="shared" ca="1" si="23"/>
        <v>#VALUE!</v>
      </c>
      <c r="AI186" s="63" t="str">
        <f ca="1">_xll.BDP($B186,AI$6, "PX_ASK="&amp;T186)</f>
        <v>#N/A Invalid Override</v>
      </c>
      <c r="AJ186" s="35" t="e">
        <f t="shared" ca="1" si="24"/>
        <v>#VALUE!</v>
      </c>
    </row>
    <row r="187" spans="2:36">
      <c r="B187" s="15" t="s">
        <v>1136</v>
      </c>
      <c r="C187" s="15" t="s">
        <v>1137</v>
      </c>
      <c r="D187" s="15" t="s">
        <v>1137</v>
      </c>
      <c r="E187" s="16">
        <v>40100</v>
      </c>
      <c r="F187" s="19">
        <v>40076</v>
      </c>
      <c r="G187" s="18"/>
      <c r="H187" s="16">
        <v>40257</v>
      </c>
      <c r="I187" s="16">
        <v>50849</v>
      </c>
      <c r="J187" s="17">
        <v>2.2000000000000002E-2</v>
      </c>
      <c r="K187" s="16">
        <v>51033</v>
      </c>
      <c r="L187" s="20" t="str">
        <f ca="1">_xll.meLWOBondCreateFromGeneratorLVB(C187,$L$4,_xll.meUtilityLVBFromKeysValues($C$6:$K$6,C187:K187))</f>
        <v>JP13003119A4:1</v>
      </c>
      <c r="M187" s="92">
        <f ca="1">_xll.BDP($B187,$M$5)</f>
        <v>0.624</v>
      </c>
      <c r="N187" s="37">
        <f ca="1">_xll.meLWOBondCleanPrice($L187,$C$4,$M187%)</f>
        <v>129.16701724210796</v>
      </c>
      <c r="O187" s="37">
        <f ca="1">_xll.meLWOBondDirtyPrice($L187,$C$4,$M187%)</f>
        <v>146.19999999999999</v>
      </c>
      <c r="P187" s="87">
        <f ca="1">_xll.meLWOBondYield($L187,$C$4,N187)</f>
        <v>6.2399999999999956E-3</v>
      </c>
      <c r="Q187" s="89">
        <f ca="1">_xll.meLWOBondModifiedDuration($L187,$C$4,$M187%)</f>
        <v>17.68012199464048</v>
      </c>
      <c r="R187" s="23">
        <f ca="1">_xll.meLWOBondDV01($L187,$C$4,$M187%)</f>
        <v>2584.8338356164381</v>
      </c>
      <c r="S187" s="85">
        <f t="shared" ca="1" si="25"/>
        <v>0.624</v>
      </c>
      <c r="T187" s="22" t="str">
        <f ca="1">_xll.BDP($B187,T$6, "YAS_BOND_SPL_YLD="&amp;S187,"YAS_YLD_CONV=2")</f>
        <v>#N/A Requesting Data...</v>
      </c>
      <c r="U187" s="23">
        <f t="shared" ca="1" si="26"/>
        <v>129.16701724210796</v>
      </c>
      <c r="V187" s="23">
        <f t="shared" ca="1" si="18"/>
        <v>129.167</v>
      </c>
      <c r="W187" s="24" t="e">
        <f t="shared" ca="1" si="19"/>
        <v>#VALUE!</v>
      </c>
      <c r="X187" s="23">
        <f ca="1">_xll.meLWOBondDV01($L187,$C$4,$S187%)</f>
        <v>2584.8338356164381</v>
      </c>
      <c r="Y187" s="22" t="e">
        <f ca="1">_xll.BDP($B187,Y$6, "YLD_YTM_ASK="&amp;$S187,"YAS_YLD_CONV=3")*$Y$3*0.0001</f>
        <v>#VALUE!</v>
      </c>
      <c r="Z187" s="24" t="e">
        <f t="shared" ca="1" si="20"/>
        <v>#VALUE!</v>
      </c>
      <c r="AA187" s="23">
        <f ca="1">_xll.meLWOBondModifiedDuration($L187,$C$4,$S187%)</f>
        <v>17.68012199464048</v>
      </c>
      <c r="AB187" s="22" t="str">
        <f ca="1">_xll.BDP($B187,AB$6, "YLD_YTM_ASK="&amp;$S187,"YAS_YLD_CONV=3")</f>
        <v>#N/A Requesting Data...</v>
      </c>
      <c r="AC187" s="24" t="e">
        <f t="shared" ca="1" si="21"/>
        <v>#VALUE!</v>
      </c>
      <c r="AD187" s="23">
        <f ca="1">_xll.meLWOBondDV01Numerical($L187,$C$4,$S187%, 0.5, "CENTRAL")</f>
        <v>2390.4948254741498</v>
      </c>
      <c r="AE187" s="63" t="str">
        <f ca="1">_xll.BDP($B187,AE$6, "YAS_BOND_PX="&amp;T187)</f>
        <v>#N/A Invalid Override</v>
      </c>
      <c r="AF187" s="64" t="e">
        <f ca="1">_xll.meLWOBondCompoundYield(L187,$C$4,T187)*100</f>
        <v>#VALUE!</v>
      </c>
      <c r="AG187" s="65" t="e">
        <f t="shared" ca="1" si="22"/>
        <v>#VALUE!</v>
      </c>
      <c r="AH187" s="35" t="e">
        <f t="shared" ca="1" si="23"/>
        <v>#VALUE!</v>
      </c>
      <c r="AI187" s="63" t="str">
        <f ca="1">_xll.BDP($B187,AI$6, "PX_ASK="&amp;T187)</f>
        <v>#N/A Invalid Override</v>
      </c>
      <c r="AJ187" s="35" t="e">
        <f t="shared" ca="1" si="24"/>
        <v>#VALUE!</v>
      </c>
    </row>
    <row r="188" spans="2:36">
      <c r="B188" s="15" t="s">
        <v>1138</v>
      </c>
      <c r="C188" s="15" t="s">
        <v>1139</v>
      </c>
      <c r="D188" s="15" t="s">
        <v>1139</v>
      </c>
      <c r="E188" s="16">
        <v>40260</v>
      </c>
      <c r="F188" s="19">
        <v>40257</v>
      </c>
      <c r="G188" s="18"/>
      <c r="H188" s="16">
        <v>40441</v>
      </c>
      <c r="I188" s="16">
        <v>51033</v>
      </c>
      <c r="J188" s="17">
        <v>2.3E-2</v>
      </c>
      <c r="K188" s="16">
        <v>51215</v>
      </c>
      <c r="L188" s="20" t="str">
        <f ca="1">_xll.meLWOBondCreateFromGeneratorLVB(C188,$L$4,_xll.meUtilityLVBFromKeysValues($C$6:$K$6,C188:K188))</f>
        <v>JP1300321A34:1</v>
      </c>
      <c r="M188" s="92">
        <f ca="1">_xll.BDP($B188,$M$5)</f>
        <v>0.63400000000000023</v>
      </c>
      <c r="N188" s="37">
        <f ca="1">_xll.meLWOBondCleanPrice($L188,$C$4,$M188%)</f>
        <v>131.41787852803793</v>
      </c>
      <c r="O188" s="37">
        <f ca="1">_xll.meLWOBondDirtyPrice($L188,$C$4,$M188%)</f>
        <v>149.44999999999999</v>
      </c>
      <c r="P188" s="87">
        <f ca="1">_xll.meLWOBondYield($L188,$C$4,N188)</f>
        <v>6.3399999999999793E-3</v>
      </c>
      <c r="Q188" s="89">
        <f ca="1">_xll.meLWOBondModifiedDuration($L188,$C$4,$M188%)</f>
        <v>17.944939206313563</v>
      </c>
      <c r="R188" s="23">
        <f ca="1">_xll.meLWOBondDV01($L188,$C$4,$M188%)</f>
        <v>2681.8711643835618</v>
      </c>
      <c r="S188" s="85">
        <f t="shared" ca="1" si="25"/>
        <v>0.63400000000000023</v>
      </c>
      <c r="T188" s="22" t="str">
        <f ca="1">_xll.BDP($B188,T$6, "YAS_BOND_SPL_YLD="&amp;S188,"YAS_YLD_CONV=2")</f>
        <v>#N/A Requesting Data...</v>
      </c>
      <c r="U188" s="23">
        <f t="shared" ca="1" si="26"/>
        <v>131.41787852803793</v>
      </c>
      <c r="V188" s="23">
        <f t="shared" ca="1" si="18"/>
        <v>131.417</v>
      </c>
      <c r="W188" s="24" t="e">
        <f t="shared" ca="1" si="19"/>
        <v>#VALUE!</v>
      </c>
      <c r="X188" s="23">
        <f ca="1">_xll.meLWOBondDV01($L188,$C$4,$S188%)</f>
        <v>2681.8711643835618</v>
      </c>
      <c r="Y188" s="22" t="e">
        <f ca="1">_xll.BDP($B188,Y$6, "YLD_YTM_ASK="&amp;$S188,"YAS_YLD_CONV=3")*$Y$3*0.0001</f>
        <v>#VALUE!</v>
      </c>
      <c r="Z188" s="24" t="e">
        <f t="shared" ca="1" si="20"/>
        <v>#VALUE!</v>
      </c>
      <c r="AA188" s="23">
        <f ca="1">_xll.meLWOBondModifiedDuration($L188,$C$4,$S188%)</f>
        <v>17.944939206313563</v>
      </c>
      <c r="AB188" s="22" t="str">
        <f ca="1">_xll.BDP($B188,AB$6, "YLD_YTM_ASK="&amp;$S188,"YAS_YLD_CONV=3")</f>
        <v>#N/A Requesting Data...</v>
      </c>
      <c r="AC188" s="24" t="e">
        <f t="shared" ca="1" si="21"/>
        <v>#VALUE!</v>
      </c>
      <c r="AD188" s="23">
        <f ca="1">_xll.meLWOBondDV01Numerical($L188,$C$4,$S188%, 0.5, "CENTRAL")</f>
        <v>2478.3160953964516</v>
      </c>
      <c r="AE188" s="63" t="str">
        <f ca="1">_xll.BDP($B188,AE$6, "YAS_BOND_PX="&amp;T188)</f>
        <v>#N/A Invalid Override</v>
      </c>
      <c r="AF188" s="64" t="e">
        <f ca="1">_xll.meLWOBondCompoundYield(L188,$C$4,T188)*100</f>
        <v>#VALUE!</v>
      </c>
      <c r="AG188" s="65" t="e">
        <f t="shared" ca="1" si="22"/>
        <v>#VALUE!</v>
      </c>
      <c r="AH188" s="35" t="e">
        <f t="shared" ca="1" si="23"/>
        <v>#VALUE!</v>
      </c>
      <c r="AI188" s="63" t="str">
        <f ca="1">_xll.BDP($B188,AI$6, "PX_ASK="&amp;T188)</f>
        <v>#N/A Invalid Override</v>
      </c>
      <c r="AJ188" s="35" t="e">
        <f t="shared" ca="1" si="24"/>
        <v>#VALUE!</v>
      </c>
    </row>
    <row r="189" spans="2:36">
      <c r="B189" s="15" t="s">
        <v>1140</v>
      </c>
      <c r="C189" s="15" t="s">
        <v>1141</v>
      </c>
      <c r="D189" s="15" t="s">
        <v>1141</v>
      </c>
      <c r="E189" s="16">
        <v>40442</v>
      </c>
      <c r="F189" s="19">
        <v>40441</v>
      </c>
      <c r="G189" s="18"/>
      <c r="H189" s="16">
        <v>40622</v>
      </c>
      <c r="I189" s="16">
        <v>51215</v>
      </c>
      <c r="J189" s="17">
        <v>0.02</v>
      </c>
      <c r="K189" s="16">
        <v>51399</v>
      </c>
      <c r="L189" s="20" t="str">
        <f ca="1">_xll.meLWOBondCreateFromGeneratorLVB(C189,$L$4,_xll.meUtilityLVBFromKeysValues($C$6:$K$6,C189:K189))</f>
        <v>JP1300331A99:1</v>
      </c>
      <c r="M189" s="92">
        <f ca="1">_xll.BDP($B189,$M$5)</f>
        <v>0.66000000000000036</v>
      </c>
      <c r="N189" s="37">
        <f ca="1">_xll.meLWOBondCleanPrice($L189,$C$4,$M189%)</f>
        <v>125.66381339794914</v>
      </c>
      <c r="O189" s="37">
        <f ca="1">_xll.meLWOBondDirtyPrice($L189,$C$4,$M189%)</f>
        <v>144</v>
      </c>
      <c r="P189" s="87">
        <f ca="1">_xll.meLWOBondYield($L189,$C$4,N189)</f>
        <v>6.6000000000000546E-3</v>
      </c>
      <c r="Q189" s="89">
        <f ca="1">_xll.meLWOBondModifiedDuration($L189,$C$4,$M189%)</f>
        <v>18.634455859969556</v>
      </c>
      <c r="R189" s="23">
        <f ca="1">_xll.meLWOBondDV01($L189,$C$4,$M189%)</f>
        <v>2683.3616438356162</v>
      </c>
      <c r="S189" s="85">
        <f t="shared" ca="1" si="25"/>
        <v>0.66000000000000036</v>
      </c>
      <c r="T189" s="22" t="str">
        <f ca="1">_xll.BDP($B189,T$6, "YAS_BOND_SPL_YLD="&amp;S189,"YAS_YLD_CONV=2")</f>
        <v>#N/A Requesting Data...</v>
      </c>
      <c r="U189" s="23">
        <f t="shared" ca="1" si="26"/>
        <v>125.66381339794914</v>
      </c>
      <c r="V189" s="23">
        <f t="shared" ca="1" si="18"/>
        <v>125.663</v>
      </c>
      <c r="W189" s="24" t="e">
        <f t="shared" ca="1" si="19"/>
        <v>#VALUE!</v>
      </c>
      <c r="X189" s="23">
        <f ca="1">_xll.meLWOBondDV01($L189,$C$4,$S189%)</f>
        <v>2683.3616438356162</v>
      </c>
      <c r="Y189" s="22" t="e">
        <f ca="1">_xll.BDP($B189,Y$6, "YLD_YTM_ASK="&amp;$S189,"YAS_YLD_CONV=3")*$Y$3*0.0001</f>
        <v>#VALUE!</v>
      </c>
      <c r="Z189" s="24" t="e">
        <f t="shared" ca="1" si="20"/>
        <v>#VALUE!</v>
      </c>
      <c r="AA189" s="23">
        <f ca="1">_xll.meLWOBondModifiedDuration($L189,$C$4,$S189%)</f>
        <v>18.634455859969556</v>
      </c>
      <c r="AB189" s="22" t="str">
        <f ca="1">_xll.BDP($B189,AB$6, "YLD_YTM_ASK="&amp;$S189,"YAS_YLD_CONV=3")</f>
        <v>#N/A Requesting Data...</v>
      </c>
      <c r="AC189" s="24" t="e">
        <f t="shared" ca="1" si="21"/>
        <v>#VALUE!</v>
      </c>
      <c r="AD189" s="23">
        <f ca="1">_xll.meLWOBondDV01Numerical($L189,$C$4,$S189%, 0.5, "CENTRAL")</f>
        <v>2406.7280711064141</v>
      </c>
      <c r="AE189" s="63" t="str">
        <f ca="1">_xll.BDP($B189,AE$6, "YAS_BOND_PX="&amp;T189)</f>
        <v>#N/A Invalid Override</v>
      </c>
      <c r="AF189" s="64" t="e">
        <f ca="1">_xll.meLWOBondCompoundYield(L189,$C$4,T189)*100</f>
        <v>#VALUE!</v>
      </c>
      <c r="AG189" s="65" t="e">
        <f t="shared" ca="1" si="22"/>
        <v>#VALUE!</v>
      </c>
      <c r="AH189" s="35" t="e">
        <f t="shared" ca="1" si="23"/>
        <v>#VALUE!</v>
      </c>
      <c r="AI189" s="63" t="str">
        <f ca="1">_xll.BDP($B189,AI$6, "PX_ASK="&amp;T189)</f>
        <v>#N/A Invalid Override</v>
      </c>
      <c r="AJ189" s="35" t="e">
        <f t="shared" ca="1" si="24"/>
        <v>#VALUE!</v>
      </c>
    </row>
    <row r="190" spans="2:36">
      <c r="B190" s="15" t="s">
        <v>1142</v>
      </c>
      <c r="C190" s="15" t="s">
        <v>1143</v>
      </c>
      <c r="D190" s="15" t="s">
        <v>1143</v>
      </c>
      <c r="E190" s="16">
        <v>40624</v>
      </c>
      <c r="F190" s="19">
        <v>40622</v>
      </c>
      <c r="G190" s="18"/>
      <c r="H190" s="16">
        <v>40806</v>
      </c>
      <c r="I190" s="16">
        <v>51399</v>
      </c>
      <c r="J190" s="17">
        <v>2.2000000000000002E-2</v>
      </c>
      <c r="K190" s="16">
        <v>51580</v>
      </c>
      <c r="L190" s="20" t="str">
        <f ca="1">_xll.meLWOBondCreateFromGeneratorLVB(C190,$L$4,_xll.meUtilityLVBFromKeysValues($C$6:$K$6,C190:K190))</f>
        <v>JP1300341B39:1</v>
      </c>
      <c r="M190" s="92">
        <f ca="1">_xll.BDP($B190,$M$5)</f>
        <v>0.66400000000000059</v>
      </c>
      <c r="N190" s="37">
        <f ca="1">_xll.meLWOBondCleanPrice($L190,$C$4,$M190%)</f>
        <v>129.97385003192673</v>
      </c>
      <c r="O190" s="37">
        <f ca="1">_xll.meLWOBondDirtyPrice($L190,$C$4,$M190%)</f>
        <v>149.5</v>
      </c>
      <c r="P190" s="87">
        <f ca="1">_xll.meLWOBondYield($L190,$C$4,N190)</f>
        <v>6.6399999999998986E-3</v>
      </c>
      <c r="Q190" s="89">
        <f ca="1">_xll.meLWOBondModifiedDuration($L190,$C$4,$M190%)</f>
        <v>18.777037613964357</v>
      </c>
      <c r="R190" s="23">
        <f ca="1">_xll.meLWOBondDV01($L190,$C$4,$M190%)</f>
        <v>2807.1671232876711</v>
      </c>
      <c r="S190" s="85">
        <f t="shared" ca="1" si="25"/>
        <v>0.66400000000000059</v>
      </c>
      <c r="T190" s="22" t="str">
        <f ca="1">_xll.BDP($B190,T$6, "YAS_BOND_SPL_YLD="&amp;S190,"YAS_YLD_CONV=2")</f>
        <v>#N/A Requesting Data...</v>
      </c>
      <c r="U190" s="23">
        <f t="shared" ca="1" si="26"/>
        <v>129.97385003192673</v>
      </c>
      <c r="V190" s="23">
        <f t="shared" ca="1" si="18"/>
        <v>129.97300000000001</v>
      </c>
      <c r="W190" s="24" t="e">
        <f t="shared" ca="1" si="19"/>
        <v>#VALUE!</v>
      </c>
      <c r="X190" s="23">
        <f ca="1">_xll.meLWOBondDV01($L190,$C$4,$S190%)</f>
        <v>2807.1671232876711</v>
      </c>
      <c r="Y190" s="22" t="e">
        <f ca="1">_xll.BDP($B190,Y$6, "YLD_YTM_ASK="&amp;$S190,"YAS_YLD_CONV=3")*$Y$3*0.0001</f>
        <v>#VALUE!</v>
      </c>
      <c r="Z190" s="24" t="e">
        <f t="shared" ca="1" si="20"/>
        <v>#VALUE!</v>
      </c>
      <c r="AA190" s="23">
        <f ca="1">_xll.meLWOBondModifiedDuration($L190,$C$4,$S190%)</f>
        <v>18.777037613964357</v>
      </c>
      <c r="AB190" s="22" t="str">
        <f ca="1">_xll.BDP($B190,AB$6, "YLD_YTM_ASK="&amp;$S190,"YAS_YLD_CONV=3")</f>
        <v>#N/A Requesting Data...</v>
      </c>
      <c r="AC190" s="24" t="e">
        <f t="shared" ca="1" si="21"/>
        <v>#VALUE!</v>
      </c>
      <c r="AD190" s="23">
        <f ca="1">_xll.meLWOBondDV01Numerical($L190,$C$4,$S190%, 0.5, "CENTRAL")</f>
        <v>2536.3414048169375</v>
      </c>
      <c r="AE190" s="63" t="str">
        <f ca="1">_xll.BDP($B190,AE$6, "YAS_BOND_PX="&amp;T190)</f>
        <v>#N/A Invalid Override</v>
      </c>
      <c r="AF190" s="64" t="e">
        <f ca="1">_xll.meLWOBondCompoundYield(L190,$C$4,T190)*100</f>
        <v>#VALUE!</v>
      </c>
      <c r="AG190" s="65" t="e">
        <f t="shared" ca="1" si="22"/>
        <v>#VALUE!</v>
      </c>
      <c r="AH190" s="35" t="e">
        <f t="shared" ca="1" si="23"/>
        <v>#VALUE!</v>
      </c>
      <c r="AI190" s="63" t="str">
        <f ca="1">_xll.BDP($B190,AI$6, "PX_ASK="&amp;T190)</f>
        <v>#N/A Invalid Override</v>
      </c>
      <c r="AJ190" s="35" t="e">
        <f t="shared" ca="1" si="24"/>
        <v>#VALUE!</v>
      </c>
    </row>
    <row r="191" spans="2:36">
      <c r="B191" s="15" t="s">
        <v>1144</v>
      </c>
      <c r="C191" s="15" t="s">
        <v>1145</v>
      </c>
      <c r="D191" s="15" t="s">
        <v>1145</v>
      </c>
      <c r="E191" s="16">
        <v>40806</v>
      </c>
      <c r="F191" s="19">
        <v>40806</v>
      </c>
      <c r="G191" s="18"/>
      <c r="H191" s="16">
        <v>40988</v>
      </c>
      <c r="I191" s="16">
        <v>51580</v>
      </c>
      <c r="J191" s="17">
        <v>0.02</v>
      </c>
      <c r="K191" s="16">
        <v>51764</v>
      </c>
      <c r="L191" s="20" t="str">
        <f ca="1">_xll.meLWOBondCreateFromGeneratorLVB(C191,$L$4,_xll.meUtilityLVBFromKeysValues($C$6:$K$6,C191:K191))</f>
        <v>JP1300351B93:1</v>
      </c>
      <c r="M191" s="92">
        <f ca="1">_xll.BDP($B191,$M$5)</f>
        <v>0.68500000000000028</v>
      </c>
      <c r="N191" s="37">
        <f ca="1">_xll.meLWOBondCleanPrice($L191,$C$4,$M191%)</f>
        <v>126.05314127084839</v>
      </c>
      <c r="O191" s="37">
        <f ca="1">_xll.meLWOBondDirtyPrice($L191,$C$4,$M191%)</f>
        <v>146</v>
      </c>
      <c r="P191" s="87">
        <f ca="1">_xll.meLWOBondYield($L191,$C$4,N191)</f>
        <v>6.8500000000001528E-3</v>
      </c>
      <c r="Q191" s="89">
        <f ca="1">_xll.meLWOBondModifiedDuration($L191,$C$4,$M191%)</f>
        <v>19.374657534246573</v>
      </c>
      <c r="R191" s="23">
        <f ca="1">_xll.meLWOBondDV01($L191,$C$4,$M191%)</f>
        <v>2828.7</v>
      </c>
      <c r="S191" s="85">
        <f t="shared" ca="1" si="25"/>
        <v>0.68500000000000028</v>
      </c>
      <c r="T191" s="22" t="str">
        <f ca="1">_xll.BDP($B191,T$6, "YAS_BOND_SPL_YLD="&amp;S191,"YAS_YLD_CONV=2")</f>
        <v>#N/A Requesting Data...</v>
      </c>
      <c r="U191" s="23">
        <f t="shared" ca="1" si="26"/>
        <v>126.05314127084839</v>
      </c>
      <c r="V191" s="23">
        <f t="shared" ca="1" si="18"/>
        <v>126.053</v>
      </c>
      <c r="W191" s="24" t="e">
        <f t="shared" ca="1" si="19"/>
        <v>#VALUE!</v>
      </c>
      <c r="X191" s="23">
        <f ca="1">_xll.meLWOBondDV01($L191,$C$4,$S191%)</f>
        <v>2828.7</v>
      </c>
      <c r="Y191" s="22" t="e">
        <f ca="1">_xll.BDP($B191,Y$6, "YLD_YTM_ASK="&amp;$S191,"YAS_YLD_CONV=3")*$Y$3*0.0001</f>
        <v>#VALUE!</v>
      </c>
      <c r="Z191" s="24" t="e">
        <f t="shared" ca="1" si="20"/>
        <v>#VALUE!</v>
      </c>
      <c r="AA191" s="23">
        <f ca="1">_xll.meLWOBondModifiedDuration($L191,$C$4,$S191%)</f>
        <v>19.374657534246573</v>
      </c>
      <c r="AB191" s="22" t="str">
        <f ca="1">_xll.BDP($B191,AB$6, "YLD_YTM_ASK="&amp;$S191,"YAS_YLD_CONV=3")</f>
        <v>#N/A Requesting Data...</v>
      </c>
      <c r="AC191" s="24" t="e">
        <f t="shared" ca="1" si="21"/>
        <v>#VALUE!</v>
      </c>
      <c r="AD191" s="23">
        <f ca="1">_xll.meLWOBondDV01Numerical($L191,$C$4,$S191%, 0.5, "CENTRAL")</f>
        <v>2497.4019162630157</v>
      </c>
      <c r="AE191" s="63" t="str">
        <f ca="1">_xll.BDP($B191,AE$6, "YAS_BOND_PX="&amp;T191)</f>
        <v>#N/A Invalid Override</v>
      </c>
      <c r="AF191" s="64" t="e">
        <f ca="1">_xll.meLWOBondCompoundYield(L191,$C$4,T191)*100</f>
        <v>#VALUE!</v>
      </c>
      <c r="AG191" s="65" t="e">
        <f t="shared" ca="1" si="22"/>
        <v>#VALUE!</v>
      </c>
      <c r="AH191" s="35" t="e">
        <f t="shared" ca="1" si="23"/>
        <v>#VALUE!</v>
      </c>
      <c r="AI191" s="63" t="str">
        <f ca="1">_xll.BDP($B191,AI$6, "PX_ASK="&amp;T191)</f>
        <v>#N/A Invalid Override</v>
      </c>
      <c r="AJ191" s="35" t="e">
        <f t="shared" ca="1" si="24"/>
        <v>#VALUE!</v>
      </c>
    </row>
    <row r="192" spans="2:36">
      <c r="B192" s="15" t="s">
        <v>1146</v>
      </c>
      <c r="C192" s="15" t="s">
        <v>1147</v>
      </c>
      <c r="D192" s="15" t="s">
        <v>1147</v>
      </c>
      <c r="E192" s="16">
        <v>40989</v>
      </c>
      <c r="F192" s="19">
        <v>40988</v>
      </c>
      <c r="G192" s="18"/>
      <c r="H192" s="16">
        <v>41172</v>
      </c>
      <c r="I192" s="16">
        <v>51764</v>
      </c>
      <c r="J192" s="17">
        <v>0.02</v>
      </c>
      <c r="K192" s="16">
        <v>51945</v>
      </c>
      <c r="L192" s="20" t="str">
        <f ca="1">_xll.meLWOBondCreateFromGeneratorLVB(C192,$L$4,_xll.meUtilityLVBFromKeysValues($C$6:$K$6,C192:K192))</f>
        <v>JP1300361C33:1</v>
      </c>
      <c r="M192" s="92">
        <f ca="1">_xll.BDP($B192,$M$5)</f>
        <v>0.69500000000000006</v>
      </c>
      <c r="N192" s="37">
        <f ca="1">_xll.meLWOBondCleanPrice($L192,$C$4,$M192%)</f>
        <v>126.28396314306544</v>
      </c>
      <c r="O192" s="37">
        <f ca="1">_xll.meLWOBondDirtyPrice($L192,$C$4,$M192%)</f>
        <v>147</v>
      </c>
      <c r="P192" s="87">
        <f ca="1">_xll.meLWOBondYield($L192,$C$4,N192)</f>
        <v>6.9500000000001731E-3</v>
      </c>
      <c r="Q192" s="89">
        <f ca="1">_xll.meLWOBondModifiedDuration($L192,$C$4,$M192%)</f>
        <v>19.742307333892462</v>
      </c>
      <c r="R192" s="23">
        <f ca="1">_xll.meLWOBondDV01($L192,$C$4,$M192%)</f>
        <v>2902.1191780821919</v>
      </c>
      <c r="S192" s="85">
        <f t="shared" ca="1" si="25"/>
        <v>0.69500000000000006</v>
      </c>
      <c r="T192" s="22" t="str">
        <f ca="1">_xll.BDP($B192,T$6, "YAS_BOND_SPL_YLD="&amp;S192,"YAS_YLD_CONV=2")</f>
        <v>#N/A Requesting Data...</v>
      </c>
      <c r="U192" s="23">
        <f t="shared" ca="1" si="26"/>
        <v>126.28396314306544</v>
      </c>
      <c r="V192" s="23">
        <f t="shared" ca="1" si="18"/>
        <v>126.283</v>
      </c>
      <c r="W192" s="24" t="e">
        <f t="shared" ca="1" si="19"/>
        <v>#VALUE!</v>
      </c>
      <c r="X192" s="23">
        <f ca="1">_xll.meLWOBondDV01($L192,$C$4,$S192%)</f>
        <v>2902.1191780821919</v>
      </c>
      <c r="Y192" s="22" t="e">
        <f ca="1">_xll.BDP($B192,Y$6, "YLD_YTM_ASK="&amp;$S192,"YAS_YLD_CONV=3")*$Y$3*0.0001</f>
        <v>#VALUE!</v>
      </c>
      <c r="Z192" s="24" t="e">
        <f t="shared" ca="1" si="20"/>
        <v>#VALUE!</v>
      </c>
      <c r="AA192" s="23">
        <f ca="1">_xll.meLWOBondModifiedDuration($L192,$C$4,$S192%)</f>
        <v>19.742307333892462</v>
      </c>
      <c r="AB192" s="22" t="str">
        <f ca="1">_xll.BDP($B192,AB$6, "YLD_YTM_ASK="&amp;$S192,"YAS_YLD_CONV=3")</f>
        <v>#N/A Requesting Data...</v>
      </c>
      <c r="AC192" s="24" t="e">
        <f t="shared" ca="1" si="21"/>
        <v>#VALUE!</v>
      </c>
      <c r="AD192" s="23">
        <f ca="1">_xll.meLWOBondDV01Numerical($L192,$C$4,$S192%, 0.5, "CENTRAL")</f>
        <v>2543.4838306624383</v>
      </c>
      <c r="AE192" s="63" t="str">
        <f ca="1">_xll.BDP($B192,AE$6, "YAS_BOND_PX="&amp;T192)</f>
        <v>#N/A Invalid Override</v>
      </c>
      <c r="AF192" s="64" t="e">
        <f ca="1">_xll.meLWOBondCompoundYield(L192,$C$4,T192)*100</f>
        <v>#VALUE!</v>
      </c>
      <c r="AG192" s="65" t="e">
        <f t="shared" ca="1" si="22"/>
        <v>#VALUE!</v>
      </c>
      <c r="AH192" s="35" t="e">
        <f t="shared" ca="1" si="23"/>
        <v>#VALUE!</v>
      </c>
      <c r="AI192" s="63" t="str">
        <f ca="1">_xll.BDP($B192,AI$6, "PX_ASK="&amp;T192)</f>
        <v>#N/A Invalid Override</v>
      </c>
      <c r="AJ192" s="35" t="e">
        <f t="shared" ca="1" si="24"/>
        <v>#VALUE!</v>
      </c>
    </row>
    <row r="216" spans="5:5">
      <c r="E216" s="66"/>
    </row>
    <row r="217" spans="5:5">
      <c r="E217" s="66"/>
    </row>
    <row r="218" spans="5:5">
      <c r="E218" s="66"/>
    </row>
    <row r="219" spans="5:5">
      <c r="E219" s="66"/>
    </row>
  </sheetData>
  <autoFilter ref="B6:AJ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U24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1" width="15.7109375" style="1" customWidth="1"/>
    <col min="12" max="12" width="22.7109375" style="32" customWidth="1"/>
    <col min="13" max="13" width="22.7109375" style="76" customWidth="1"/>
    <col min="14" max="15" width="22.7109375" style="115" customWidth="1"/>
    <col min="16" max="18" width="22.7109375" style="82" customWidth="1"/>
    <col min="19" max="19" width="21.28515625" style="67" hidden="1" customWidth="1" outlineLevel="1"/>
    <col min="20" max="20" width="19.140625" style="3" hidden="1" customWidth="1" outlineLevel="1"/>
    <col min="21" max="21" width="15.7109375" style="3" hidden="1" customWidth="1" outlineLevel="1"/>
    <col min="22" max="29" width="18.42578125" style="3" hidden="1" customWidth="1" outlineLevel="1"/>
    <col min="30" max="30" width="9.140625" style="1" collapsed="1"/>
    <col min="31" max="31" width="10.7109375" style="1" bestFit="1" customWidth="1"/>
    <col min="32" max="32" width="9.140625" style="1"/>
    <col min="33" max="33" width="13" style="1" customWidth="1"/>
    <col min="34" max="35" width="9.140625" style="1"/>
    <col min="36" max="36" width="16.85546875" style="1" customWidth="1"/>
    <col min="37" max="37" width="9.140625" style="1"/>
    <col min="38" max="38" width="29.85546875" style="1" customWidth="1"/>
    <col min="39" max="16384" width="9.140625" style="1"/>
  </cols>
  <sheetData>
    <row r="1" spans="2:30">
      <c r="J1" s="5" t="s">
        <v>290</v>
      </c>
      <c r="M1" s="79"/>
      <c r="N1" s="93"/>
      <c r="O1" s="93"/>
      <c r="P1" s="79"/>
      <c r="Q1" s="79"/>
      <c r="R1" s="79"/>
      <c r="AD1" s="5" t="s">
        <v>288</v>
      </c>
    </row>
    <row r="2" spans="2:30">
      <c r="M2" s="79"/>
      <c r="N2" s="106" t="s">
        <v>285</v>
      </c>
      <c r="O2" s="106" t="s">
        <v>285</v>
      </c>
      <c r="P2" s="39" t="s">
        <v>285</v>
      </c>
      <c r="Q2" s="39" t="s">
        <v>285</v>
      </c>
      <c r="R2" s="39" t="s">
        <v>285</v>
      </c>
      <c r="W2" s="8"/>
      <c r="X2" s="70" t="s">
        <v>47</v>
      </c>
      <c r="Z2" s="8"/>
      <c r="AA2" s="8"/>
      <c r="AB2" s="8"/>
      <c r="AC2" s="8"/>
    </row>
    <row r="3" spans="2:30">
      <c r="B3" s="5" t="s">
        <v>9</v>
      </c>
      <c r="C3" s="5" t="s">
        <v>10</v>
      </c>
      <c r="D3" s="4"/>
      <c r="L3" s="5" t="s">
        <v>284</v>
      </c>
      <c r="M3" s="80"/>
      <c r="N3" s="41" t="str">
        <f ca="1">IF(ISNUMBER(SUM(V7:V242)),SUM(V7:V242),"BBG WAIT!")</f>
        <v>BBG WAIT!</v>
      </c>
      <c r="O3" s="42" t="s">
        <v>289</v>
      </c>
      <c r="P3" s="41">
        <f ca="1">IF(ISNUMBER(SUM(M7:M242)),SUM(M7:M242)-SUM(P7:P242)*100,"BBG WAIT!")</f>
        <v>4.3115733205922879E-11</v>
      </c>
      <c r="Q3" s="41">
        <f ca="1">IF(ISNUMBER(SUM(AB7:AB242)),SUM(AB7:AB242),"BBG WAIT!")</f>
        <v>8.8424029845586283E-3</v>
      </c>
      <c r="R3" s="42" t="s">
        <v>289</v>
      </c>
      <c r="W3" s="8"/>
      <c r="X3" s="71">
        <v>1000000</v>
      </c>
      <c r="Z3" s="8"/>
      <c r="AA3" s="8"/>
      <c r="AB3" s="8"/>
      <c r="AC3" s="8"/>
    </row>
    <row r="4" spans="2:30">
      <c r="B4" s="6">
        <f ca="1">TODAY()</f>
        <v>43388</v>
      </c>
      <c r="C4" s="43">
        <f ca="1">_xll.meDateFromTenor($B$4,$D$4,"MOD_FOLLOWING","TGT")</f>
        <v>43390</v>
      </c>
      <c r="D4" s="47" t="s">
        <v>291</v>
      </c>
      <c r="L4" s="33" t="s">
        <v>1575</v>
      </c>
      <c r="M4" s="80"/>
      <c r="N4" s="94"/>
      <c r="O4" s="94"/>
      <c r="P4" s="80"/>
      <c r="Q4" s="80"/>
      <c r="R4" s="80"/>
      <c r="W4" s="8"/>
      <c r="X4" s="67"/>
      <c r="Z4" s="8"/>
      <c r="AA4" s="8"/>
      <c r="AB4" s="8"/>
      <c r="AC4" s="8"/>
    </row>
    <row r="5" spans="2:30">
      <c r="B5" s="4"/>
      <c r="C5" s="4"/>
      <c r="D5" s="4"/>
      <c r="E5" s="4"/>
      <c r="F5" s="4"/>
      <c r="H5" s="4"/>
      <c r="I5" s="4"/>
      <c r="J5" s="4"/>
      <c r="K5" s="4"/>
      <c r="L5" s="1"/>
      <c r="M5" s="10" t="s">
        <v>19</v>
      </c>
      <c r="N5" s="93"/>
      <c r="O5" s="93"/>
      <c r="P5" s="79"/>
      <c r="Q5" s="79"/>
      <c r="R5" s="79"/>
      <c r="S5" s="10" t="s">
        <v>12</v>
      </c>
      <c r="T5" s="11" t="s">
        <v>12</v>
      </c>
      <c r="U5" s="12" t="s">
        <v>13</v>
      </c>
      <c r="V5" s="13" t="s">
        <v>14</v>
      </c>
      <c r="W5" s="12" t="s">
        <v>15</v>
      </c>
      <c r="X5" s="11" t="s">
        <v>16</v>
      </c>
      <c r="Y5" s="13" t="s">
        <v>14</v>
      </c>
      <c r="Z5" s="12" t="s">
        <v>15</v>
      </c>
      <c r="AA5" s="12" t="s">
        <v>16</v>
      </c>
      <c r="AB5" s="11" t="s">
        <v>14</v>
      </c>
      <c r="AC5" s="13" t="s">
        <v>15</v>
      </c>
    </row>
    <row r="6" spans="2:30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18</v>
      </c>
      <c r="M6" s="77" t="s">
        <v>1574</v>
      </c>
      <c r="N6" s="95" t="s">
        <v>286</v>
      </c>
      <c r="O6" s="95" t="s">
        <v>1577</v>
      </c>
      <c r="P6" s="81" t="s">
        <v>1578</v>
      </c>
      <c r="Q6" s="81" t="s">
        <v>287</v>
      </c>
      <c r="R6" s="81" t="s">
        <v>23</v>
      </c>
      <c r="S6" s="10" t="s">
        <v>19</v>
      </c>
      <c r="T6" s="11" t="s">
        <v>20</v>
      </c>
      <c r="U6" s="12" t="s">
        <v>21</v>
      </c>
      <c r="V6" s="13" t="s">
        <v>22</v>
      </c>
      <c r="W6" s="12" t="s">
        <v>23</v>
      </c>
      <c r="X6" s="11" t="s">
        <v>24</v>
      </c>
      <c r="Y6" s="13" t="s">
        <v>22</v>
      </c>
      <c r="Z6" s="12" t="s">
        <v>26</v>
      </c>
      <c r="AA6" s="12" t="s">
        <v>27</v>
      </c>
      <c r="AB6" s="11" t="s">
        <v>22</v>
      </c>
      <c r="AC6" s="13" t="s">
        <v>28</v>
      </c>
    </row>
    <row r="7" spans="2:30">
      <c r="B7" s="15" t="s">
        <v>1158</v>
      </c>
      <c r="C7" s="15" t="s">
        <v>1159</v>
      </c>
      <c r="D7" s="15" t="s">
        <v>1159</v>
      </c>
      <c r="E7" s="16">
        <v>42758</v>
      </c>
      <c r="F7" s="19">
        <v>42425</v>
      </c>
      <c r="G7" s="18"/>
      <c r="H7" s="16">
        <v>42791</v>
      </c>
      <c r="I7" s="16">
        <v>43521</v>
      </c>
      <c r="J7" s="17">
        <v>0</v>
      </c>
      <c r="K7" s="16">
        <v>43886</v>
      </c>
      <c r="L7" s="20" t="str">
        <f ca="1">_xll.meLWOBondCreateFromGeneratorLVB(C7,$L$4,_xll.meUtilityLVBFromKeysValues($C$6:$K$6,C7:K7))</f>
        <v>FR0013232485:0</v>
      </c>
      <c r="M7" s="92">
        <f ca="1">_xll.BDP($B7,$M$5)</f>
        <v>-0.58755455899975884</v>
      </c>
      <c r="N7" s="89">
        <f ca="1">_xll.meLWOBondCleanPrice($L7,$C$4,$M7%)</f>
        <v>100.804</v>
      </c>
      <c r="O7" s="89">
        <f ca="1">_xll.meLWOBondDirtyPrice($L7,$C$4,$M7%)</f>
        <v>100.804</v>
      </c>
      <c r="P7" s="72">
        <f ca="1">_xll.meLWOBondYield($L7,$C$4,N7)</f>
        <v>-5.8755455899974791E-3</v>
      </c>
      <c r="Q7" s="89">
        <f ca="1">_xll.meLWOBondModifiedDuration($L7,$C$4,$M7%)</f>
        <v>1.3669356020374026</v>
      </c>
      <c r="R7" s="23">
        <f ca="1">_xll.meLWOBondDV01($L7,$C$4,$M7%)</f>
        <v>137.79257642777833</v>
      </c>
      <c r="S7" s="21">
        <f ca="1">M7</f>
        <v>-0.58755455899975884</v>
      </c>
      <c r="T7" s="22" t="str">
        <f ca="1">_xll.BDP($B7,T$6, "YAS_BOND_YLD="&amp;S7,"YAS_YLD_CONV=1")</f>
        <v>#N/A Requesting Data...</v>
      </c>
      <c r="U7" s="23">
        <f ca="1">N7</f>
        <v>100.804</v>
      </c>
      <c r="V7" s="24" t="e">
        <f ca="1">ABS(U7-T7)</f>
        <v>#VALUE!</v>
      </c>
      <c r="W7" s="23">
        <f ca="1">_xll.meLWOBondDV01($L7,$C$4,$S7%)</f>
        <v>137.79257642777833</v>
      </c>
      <c r="X7" s="22" t="e">
        <f ca="1">_xll.BDP($B7,X$6, "YLD_YTM_ASK="&amp;$S7,"YAS_YLD_CONV=1")*$X$3*0.0001</f>
        <v>#VALUE!</v>
      </c>
      <c r="Y7" s="24" t="e">
        <f t="shared" ref="Y7:Y70" ca="1" si="0">ABS(X7-W7)</f>
        <v>#VALUE!</v>
      </c>
      <c r="Z7" s="23">
        <f ca="1">_xll.meLWOBondModifiedDuration($L7,$C$4,$S7%)</f>
        <v>1.3669356020374026</v>
      </c>
      <c r="AA7" s="23">
        <f ca="1">_xll.BDP($B7,AA$6, "YLD_YTM_ASK="&amp;$G7,"YAS_YLD_CONV=1")</f>
        <v>1.3669356203024832</v>
      </c>
      <c r="AB7" s="22">
        <f t="shared" ref="AB7:AB70" ca="1" si="1">ABS(AA7-Z7)</f>
        <v>1.826508055913223E-8</v>
      </c>
      <c r="AC7" s="24">
        <f ca="1">_xll.meLWOBondDV01Numerical($L7,$C$4,$S7%, 0.5, "CENTRAL")</f>
        <v>137.79257688796065</v>
      </c>
    </row>
    <row r="8" spans="2:30">
      <c r="B8" s="15" t="s">
        <v>1446</v>
      </c>
      <c r="C8" s="15" t="s">
        <v>1447</v>
      </c>
      <c r="D8" s="15" t="s">
        <v>1447</v>
      </c>
      <c r="E8" s="16">
        <v>41367</v>
      </c>
      <c r="F8" s="19">
        <v>41367</v>
      </c>
      <c r="G8" s="18"/>
      <c r="H8" s="16">
        <v>41732</v>
      </c>
      <c r="I8" s="16">
        <v>43924</v>
      </c>
      <c r="J8" s="17">
        <v>2.2800000000000001E-2</v>
      </c>
      <c r="K8" s="16">
        <v>44289</v>
      </c>
      <c r="L8" s="20" t="str">
        <f ca="1">_xll.meLWOBondCreateFromGeneratorLVB(C8,$L$4,_xll.meUtilityLVBFromKeysValues($C$6:$K$6,C8:K8))</f>
        <v>FR0011438449:0</v>
      </c>
      <c r="M8" s="92">
        <f ca="1">_xll.BDP($B8,$M$5)</f>
        <v>-0.24449059516331287</v>
      </c>
      <c r="N8" s="89">
        <f ca="1">_xll.meLWOBondCleanPrice($L8,$C$4,$M8%)</f>
        <v>106.23800000000288</v>
      </c>
      <c r="O8" s="89">
        <f ca="1">_xll.meLWOBondDirtyPrice($L8,$C$4,$M8%)</f>
        <v>107.46857530000288</v>
      </c>
      <c r="P8" s="72">
        <f ca="1">_xll.meLWOBondYield($L8,$C$4,N8)</f>
        <v>-2.4449059516335617E-3</v>
      </c>
      <c r="Q8" s="89">
        <f ca="1">_xll.meLWOBondModifiedDuration($L8,$C$4,$M8%)</f>
        <v>2.4023772398290166</v>
      </c>
      <c r="R8" s="23">
        <f ca="1">_xll.meLWOBondDV01($L8,$C$4,$M8%)</f>
        <v>258.18005929757777</v>
      </c>
      <c r="S8" s="21">
        <f t="shared" ref="S8:S71" ca="1" si="2">M8</f>
        <v>-0.24449059516331287</v>
      </c>
      <c r="T8" s="22" t="str">
        <f ca="1">_xll.BDP($B8,T$6, "YAS_BOND_YLD="&amp;S8,"YAS_YLD_CONV=1")</f>
        <v>#N/A Requesting Data...</v>
      </c>
      <c r="U8" s="23">
        <f t="shared" ref="U8:U71" ca="1" si="3">N8</f>
        <v>106.23800000000288</v>
      </c>
      <c r="V8" s="24" t="e">
        <f t="shared" ref="V8:V70" ca="1" si="4">ABS(U8-T8)</f>
        <v>#VALUE!</v>
      </c>
      <c r="W8" s="23">
        <f ca="1">_xll.meLWOBondDV01($L8,$C$4,$S8%)</f>
        <v>258.18005929757777</v>
      </c>
      <c r="X8" s="22" t="e">
        <f ca="1">_xll.BDP($B8,X$6, "YLD_YTM_ASK="&amp;$S8,"YAS_YLD_CONV=1")*$X$3*0.0001</f>
        <v>#VALUE!</v>
      </c>
      <c r="Y8" s="24" t="e">
        <f t="shared" ca="1" si="0"/>
        <v>#VALUE!</v>
      </c>
      <c r="Z8" s="23">
        <f ca="1">_xll.meLWOBondModifiedDuration($L8,$C$4,$S8%)</f>
        <v>2.4023772398290166</v>
      </c>
      <c r="AA8" s="23">
        <f ca="1">_xll.BDP($B8,AA$6, "YLD_YTM_ASK="&amp;$G8,"YAS_YLD_CONV=1")</f>
        <v>2.4023773017946541</v>
      </c>
      <c r="AB8" s="22">
        <f t="shared" ca="1" si="1"/>
        <v>6.1965637510041915E-8</v>
      </c>
      <c r="AC8" s="24">
        <f ca="1">_xll.meLWOBondDV01Numerical($L8,$C$4,$S8%, 0.5, "CENTRAL")</f>
        <v>258.18006095093438</v>
      </c>
    </row>
    <row r="9" spans="2:30">
      <c r="B9" s="15" t="s">
        <v>1194</v>
      </c>
      <c r="C9" s="15" t="s">
        <v>1195</v>
      </c>
      <c r="D9" s="15" t="s">
        <v>1195</v>
      </c>
      <c r="E9" s="16">
        <v>38482</v>
      </c>
      <c r="F9" s="19">
        <v>38467</v>
      </c>
      <c r="G9" s="18"/>
      <c r="H9" s="16">
        <v>38832</v>
      </c>
      <c r="I9" s="16">
        <v>43946</v>
      </c>
      <c r="J9" s="17">
        <v>3.7499999999999999E-2</v>
      </c>
      <c r="K9" s="16">
        <v>44311</v>
      </c>
      <c r="L9" s="20" t="str">
        <f ca="1">_xll.meLWOBondCreateFromGeneratorLVB(C9,$L$4,_xll.meUtilityLVBFromKeysValues($C$6:$K$6,C9:K9))</f>
        <v>FR0010192997:0</v>
      </c>
      <c r="M9" s="92">
        <f ca="1">_xll.BDP($B9,$M$5)</f>
        <v>-0.40870080684856169</v>
      </c>
      <c r="N9" s="89">
        <f ca="1">_xll.meLWOBondCleanPrice($L9,$C$4,$M9%)</f>
        <v>110.56000000004518</v>
      </c>
      <c r="O9" s="89">
        <f ca="1">_xll.meLWOBondDirtyPrice($L9,$C$4,$M9%)</f>
        <v>112.35794520004518</v>
      </c>
      <c r="P9" s="72">
        <f ca="1">_xll.meLWOBondYield($L9,$C$4,N9)</f>
        <v>-4.0870080684843532E-3</v>
      </c>
      <c r="Q9" s="89">
        <f ca="1">_xll.meLWOBondModifiedDuration($L9,$C$4,$M9%)</f>
        <v>2.4300020130147422</v>
      </c>
      <c r="R9" s="23">
        <f ca="1">_xll.meLWOBondDV01($L9,$C$4,$M9%)</f>
        <v>273.03003301430988</v>
      </c>
      <c r="S9" s="21">
        <f t="shared" ca="1" si="2"/>
        <v>-0.40870080684856169</v>
      </c>
      <c r="T9" s="22" t="str">
        <f ca="1">_xll.BDP($B9,T$6, "YAS_BOND_YLD="&amp;S9,"YAS_YLD_CONV=1")</f>
        <v>#N/A Requesting Data...</v>
      </c>
      <c r="U9" s="23">
        <f t="shared" ca="1" si="3"/>
        <v>110.56000000004518</v>
      </c>
      <c r="V9" s="24" t="e">
        <f t="shared" ca="1" si="4"/>
        <v>#VALUE!</v>
      </c>
      <c r="W9" s="23">
        <f ca="1">_xll.meLWOBondDV01($L9,$C$4,$S9%)</f>
        <v>273.03003301430988</v>
      </c>
      <c r="X9" s="22" t="e">
        <f ca="1">_xll.BDP($B9,X$6, "YLD_YTM_ASK="&amp;$S9,"YAS_YLD_CONV=1")*$X$3*0.0001</f>
        <v>#VALUE!</v>
      </c>
      <c r="Y9" s="24" t="e">
        <f t="shared" ca="1" si="0"/>
        <v>#VALUE!</v>
      </c>
      <c r="Z9" s="23">
        <f ca="1">_xll.meLWOBondModifiedDuration($L9,$C$4,$S9%)</f>
        <v>2.4300020130147422</v>
      </c>
      <c r="AA9" s="23">
        <f ca="1">_xll.BDP($B9,AA$6, "YLD_YTM_ASK="&amp;$G9,"YAS_YLD_CONV=1")</f>
        <v>2.4300020770868032</v>
      </c>
      <c r="AB9" s="22">
        <f t="shared" ca="1" si="1"/>
        <v>6.4072060990127966E-8</v>
      </c>
      <c r="AC9" s="24">
        <f ca="1">_xll.meLWOBondDV01Numerical($L9,$C$4,$S9%, 0.5, "CENTRAL")</f>
        <v>273.03003481264909</v>
      </c>
    </row>
    <row r="10" spans="2:30">
      <c r="B10" s="15" t="s">
        <v>1284</v>
      </c>
      <c r="C10" s="15" t="s">
        <v>1285</v>
      </c>
      <c r="D10" s="15" t="s">
        <v>1285</v>
      </c>
      <c r="E10" s="16">
        <v>40140</v>
      </c>
      <c r="F10" s="19"/>
      <c r="G10" s="18"/>
      <c r="H10" s="16"/>
      <c r="I10" s="16"/>
      <c r="J10" s="17">
        <v>0</v>
      </c>
      <c r="K10" s="16">
        <v>44311</v>
      </c>
      <c r="L10" s="20" t="str">
        <f ca="1">_xll.meLWOBondCreateFromGeneratorLVB(C10,$L$4,_xll.meUtilityLVBFromKeysValues($C$6:$K$6,C10:K10))</f>
        <v>FR0010809814:0</v>
      </c>
      <c r="M10" s="92">
        <f ca="1">_xll.BDP($B10,$M$5)</f>
        <v>-0.41980197892248494</v>
      </c>
      <c r="N10" s="89">
        <f ca="1">_xll.meLWOBondCleanPrice($L10,$C$4,$M10%)</f>
        <v>101.06599999999999</v>
      </c>
      <c r="O10" s="89">
        <f ca="1">_xll.meLWOBondDirtyPrice($L10,$C$4,$M10%)</f>
        <v>101.06599999999999</v>
      </c>
      <c r="P10" s="72">
        <f ca="1">_xll.meLWOBondYield($L10,$C$4,N10)</f>
        <v>-4.1980197892248607E-3</v>
      </c>
      <c r="Q10" s="89">
        <f ca="1">_xll.meLWOBondModifiedDuration($L10,$C$4,$M10%)</f>
        <v>2.5311738631730489</v>
      </c>
      <c r="R10" s="23">
        <f ca="1">_xll.meLWOBondDV01($L10,$C$4,$M10%)</f>
        <v>255.81561765544731</v>
      </c>
      <c r="S10" s="21">
        <f t="shared" ca="1" si="2"/>
        <v>-0.41980197892248494</v>
      </c>
      <c r="T10" s="22" t="str">
        <f ca="1">_xll.BDP($B10,T$6, "YAS_BOND_YLD="&amp;S10,"YAS_YLD_CONV=1")</f>
        <v>#N/A Requesting Data...</v>
      </c>
      <c r="U10" s="23">
        <f t="shared" ca="1" si="3"/>
        <v>101.06599999999999</v>
      </c>
      <c r="V10" s="24" t="e">
        <f t="shared" ca="1" si="4"/>
        <v>#VALUE!</v>
      </c>
      <c r="W10" s="23">
        <f ca="1">_xll.meLWOBondDV01($L10,$C$4,$S10%)</f>
        <v>255.81561765544731</v>
      </c>
      <c r="X10" s="22" t="e">
        <f ca="1">_xll.BDP($B10,X$6, "YLD_YTM_ASK="&amp;$S10,"YAS_YLD_CONV=1")*$X$3*0.0001</f>
        <v>#VALUE!</v>
      </c>
      <c r="Y10" s="24" t="e">
        <f t="shared" ca="1" si="0"/>
        <v>#VALUE!</v>
      </c>
      <c r="Z10" s="23">
        <f ca="1">_xll.meLWOBondModifiedDuration($L10,$C$4,$S10%)</f>
        <v>2.5311738631730489</v>
      </c>
      <c r="AA10" s="23">
        <f ca="1">_xll.BDP($B10,AA$6, "YLD_YTM_ASK="&amp;$G10,"YAS_YLD_CONV=1")</f>
        <v>2.5311739308783832</v>
      </c>
      <c r="AB10" s="22">
        <f t="shared" ca="1" si="1"/>
        <v>6.7705334227952108E-8</v>
      </c>
      <c r="AC10" s="24">
        <f ca="1">_xll.meLWOBondDV01Numerical($L10,$C$4,$S10%, 0.5, "CENTRAL")</f>
        <v>255.81561936618868</v>
      </c>
    </row>
    <row r="11" spans="2:30">
      <c r="B11" s="15" t="s">
        <v>1404</v>
      </c>
      <c r="C11" s="15" t="s">
        <v>1405</v>
      </c>
      <c r="D11" s="15" t="s">
        <v>1405</v>
      </c>
      <c r="E11" s="16">
        <v>33735</v>
      </c>
      <c r="F11" s="19"/>
      <c r="G11" s="18"/>
      <c r="H11" s="16"/>
      <c r="I11" s="16"/>
      <c r="J11" s="17">
        <v>0</v>
      </c>
      <c r="K11" s="16">
        <v>44311</v>
      </c>
      <c r="L11" s="20" t="str">
        <f ca="1">_xll.meLWOBondCreateFromGeneratorLVB(C11,$L$4,_xll.meUtilityLVBFromKeysValues($C$6:$K$6,C11:K11))</f>
        <v>FR0000570996:0</v>
      </c>
      <c r="M11" s="92">
        <f ca="1">_xll.BDP($B11,$M$5)</f>
        <v>-0.3783355089560958</v>
      </c>
      <c r="N11" s="89">
        <f ca="1">_xll.meLWOBondCleanPrice($L11,$C$4,$M11%)</f>
        <v>100.95999999999998</v>
      </c>
      <c r="O11" s="89">
        <f ca="1">_xll.meLWOBondDirtyPrice($L11,$C$4,$M11%)</f>
        <v>100.95999999999998</v>
      </c>
      <c r="P11" s="72">
        <f ca="1">_xll.meLWOBondYield($L11,$C$4,N11)</f>
        <v>-3.7833550895610434E-3</v>
      </c>
      <c r="Q11" s="89">
        <f ca="1">_xll.meLWOBondModifiedDuration($L11,$C$4,$M11%)</f>
        <v>2.5301202886768466</v>
      </c>
      <c r="R11" s="23">
        <f ca="1">_xll.meLWOBondDV01($L11,$C$4,$M11%)</f>
        <v>255.44094434481437</v>
      </c>
      <c r="S11" s="21">
        <f t="shared" ca="1" si="2"/>
        <v>-0.3783355089560958</v>
      </c>
      <c r="T11" s="22" t="str">
        <f ca="1">_xll.BDP($B11,T$6, "YAS_BOND_YLD="&amp;S11,"YAS_YLD_CONV=1")</f>
        <v>#N/A Requesting Data...</v>
      </c>
      <c r="U11" s="23">
        <f t="shared" ca="1" si="3"/>
        <v>100.95999999999998</v>
      </c>
      <c r="V11" s="24" t="e">
        <f t="shared" ca="1" si="4"/>
        <v>#VALUE!</v>
      </c>
      <c r="W11" s="23">
        <f ca="1">_xll.meLWOBondDV01($L11,$C$4,$S11%)</f>
        <v>255.44094434481437</v>
      </c>
      <c r="X11" s="22" t="e">
        <f ca="1">_xll.BDP($B11,X$6, "YLD_YTM_ASK="&amp;$S11,"YAS_YLD_CONV=1")*$X$3*0.0001</f>
        <v>#VALUE!</v>
      </c>
      <c r="Y11" s="24" t="e">
        <f t="shared" ca="1" si="0"/>
        <v>#VALUE!</v>
      </c>
      <c r="Z11" s="23">
        <f ca="1">_xll.meLWOBondModifiedDuration($L11,$C$4,$S11%)</f>
        <v>2.5301202886768466</v>
      </c>
      <c r="AA11" s="23">
        <f ca="1">_xll.BDP($B11,AA$6, "YLD_YTM_ASK="&amp;$G11,"YAS_YLD_CONV=1")</f>
        <v>2.5301203562978878</v>
      </c>
      <c r="AB11" s="22">
        <f t="shared" ca="1" si="1"/>
        <v>6.7621041210941257E-8</v>
      </c>
      <c r="AC11" s="24">
        <f ca="1">_xll.meLWOBondDV01Numerical($L11,$C$4,$S11%, 0.5, "CENTRAL")</f>
        <v>255.44094605152171</v>
      </c>
    </row>
    <row r="12" spans="2:30">
      <c r="B12" s="15" t="s">
        <v>1468</v>
      </c>
      <c r="C12" s="15" t="s">
        <v>1469</v>
      </c>
      <c r="D12" s="15" t="s">
        <v>1469</v>
      </c>
      <c r="E12" s="16">
        <v>38482</v>
      </c>
      <c r="F12" s="19"/>
      <c r="G12" s="18"/>
      <c r="H12" s="16"/>
      <c r="I12" s="16"/>
      <c r="J12" s="17">
        <v>0</v>
      </c>
      <c r="K12" s="16">
        <v>44311</v>
      </c>
      <c r="L12" s="20" t="str">
        <f ca="1">_xll.meLWOBondCreateFromGeneratorLVB(C12,$L$4,_xll.meUtilityLVBFromKeysValues($C$6:$K$6,C12:K12))</f>
        <v>FR0010193003:0</v>
      </c>
      <c r="M12" s="92">
        <f ca="1">_xll.BDP($B12,$M$5)</f>
        <v>-0.37246270081509048</v>
      </c>
      <c r="N12" s="89">
        <f ca="1">_xll.meLWOBondCleanPrice($L12,$C$4,$M12%)</f>
        <v>100.94499999999999</v>
      </c>
      <c r="O12" s="89">
        <f ca="1">_xll.meLWOBondDirtyPrice($L12,$C$4,$M12%)</f>
        <v>100.94499999999999</v>
      </c>
      <c r="P12" s="72">
        <f ca="1">_xll.meLWOBondYield($L12,$C$4,N12)</f>
        <v>-3.7246270081509772E-3</v>
      </c>
      <c r="Q12" s="89">
        <f ca="1">_xll.meLWOBondModifiedDuration($L12,$C$4,$M12%)</f>
        <v>2.5299711440584827</v>
      </c>
      <c r="R12" s="23">
        <f ca="1">_xll.meLWOBondDV01($L12,$C$4,$M12%)</f>
        <v>255.38793713698351</v>
      </c>
      <c r="S12" s="21">
        <f t="shared" ca="1" si="2"/>
        <v>-0.37246270081509048</v>
      </c>
      <c r="T12" s="22" t="str">
        <f ca="1">_xll.BDP($B12,T$6, "YAS_BOND_YLD="&amp;S12,"YAS_YLD_CONV=1")</f>
        <v>#N/A Requesting Data...</v>
      </c>
      <c r="U12" s="23">
        <f t="shared" ca="1" si="3"/>
        <v>100.94499999999999</v>
      </c>
      <c r="V12" s="24" t="e">
        <f t="shared" ca="1" si="4"/>
        <v>#VALUE!</v>
      </c>
      <c r="W12" s="23">
        <f ca="1">_xll.meLWOBondDV01($L12,$C$4,$S12%)</f>
        <v>255.38793713698351</v>
      </c>
      <c r="X12" s="22" t="e">
        <f ca="1">_xll.BDP($B12,X$6, "YLD_YTM_ASK="&amp;$S12,"YAS_YLD_CONV=1")*$X$3*0.0001</f>
        <v>#VALUE!</v>
      </c>
      <c r="Y12" s="24" t="e">
        <f t="shared" ca="1" si="0"/>
        <v>#VALUE!</v>
      </c>
      <c r="Z12" s="23">
        <f ca="1">_xll.meLWOBondModifiedDuration($L12,$C$4,$S12%)</f>
        <v>2.5299711440584827</v>
      </c>
      <c r="AA12" s="23">
        <f ca="1">_xll.BDP($B12,AA$6, "YLD_YTM_ASK="&amp;$G12,"YAS_YLD_CONV=1")</f>
        <v>2.5299712116687969</v>
      </c>
      <c r="AB12" s="22">
        <f t="shared" ca="1" si="1"/>
        <v>6.7610314236077329E-8</v>
      </c>
      <c r="AC12" s="24">
        <f ca="1">_xll.meLWOBondDV01Numerical($L12,$C$4,$S12%, 0.5, "CENTRAL")</f>
        <v>255.38793884308578</v>
      </c>
    </row>
    <row r="13" spans="2:30">
      <c r="B13" s="15" t="s">
        <v>1184</v>
      </c>
      <c r="C13" s="15" t="s">
        <v>1185</v>
      </c>
      <c r="D13" s="15" t="s">
        <v>1185</v>
      </c>
      <c r="E13" s="16">
        <v>42485</v>
      </c>
      <c r="F13" s="19">
        <v>42149</v>
      </c>
      <c r="G13" s="18"/>
      <c r="H13" s="16">
        <v>42515</v>
      </c>
      <c r="I13" s="16">
        <v>43976</v>
      </c>
      <c r="J13" s="17">
        <v>0</v>
      </c>
      <c r="K13" s="16">
        <v>44341</v>
      </c>
      <c r="L13" s="20" t="str">
        <f ca="1">_xll.meLWOBondCreateFromGeneratorLVB(C13,$L$4,_xll.meUtilityLVBFromKeysValues($C$6:$K$6,C13:K13))</f>
        <v>FR0013157096:1</v>
      </c>
      <c r="M13" s="92">
        <f ca="1">_xll.BDP($B13,$M$5)</f>
        <v>-0.38952924962680768</v>
      </c>
      <c r="N13" s="89">
        <f ca="1">_xll.meLWOBondCleanPrice($L13,$C$4,$M13%)</f>
        <v>101.02099999999999</v>
      </c>
      <c r="O13" s="89">
        <f ca="1">_xll.meLWOBondDirtyPrice($L13,$C$4,$M13%)</f>
        <v>101.02099999999999</v>
      </c>
      <c r="P13" s="72">
        <f ca="1">_xll.meLWOBondYield($L13,$C$4,N13)</f>
        <v>-3.8952924962682286E-3</v>
      </c>
      <c r="Q13" s="89">
        <f ca="1">_xll.meLWOBondModifiedDuration($L13,$C$4,$M13%)</f>
        <v>2.612917805147152</v>
      </c>
      <c r="R13" s="23">
        <f ca="1">_xll.meLWOBondDV01($L13,$C$4,$M13%)</f>
        <v>263.95956959377042</v>
      </c>
      <c r="S13" s="21">
        <f t="shared" ca="1" si="2"/>
        <v>-0.38952924962680768</v>
      </c>
      <c r="T13" s="22" t="str">
        <f ca="1">_xll.BDP($B13,T$6, "YAS_BOND_YLD="&amp;S13,"YAS_YLD_CONV=1")</f>
        <v>#N/A Requesting Data...</v>
      </c>
      <c r="U13" s="23">
        <f t="shared" ca="1" si="3"/>
        <v>101.02099999999999</v>
      </c>
      <c r="V13" s="24" t="e">
        <f t="shared" ca="1" si="4"/>
        <v>#VALUE!</v>
      </c>
      <c r="W13" s="23">
        <f ca="1">_xll.meLWOBondDV01($L13,$C$4,$S13%)</f>
        <v>263.95956959377042</v>
      </c>
      <c r="X13" s="22" t="e">
        <f ca="1">_xll.BDP($B13,X$6, "YLD_YTM_ASK="&amp;$S13,"YAS_YLD_CONV=1")*$X$3*0.0001</f>
        <v>#VALUE!</v>
      </c>
      <c r="Y13" s="24" t="e">
        <f t="shared" ca="1" si="0"/>
        <v>#VALUE!</v>
      </c>
      <c r="Z13" s="23">
        <f ca="1">_xll.meLWOBondModifiedDuration($L13,$C$4,$S13%)</f>
        <v>2.612917805147152</v>
      </c>
      <c r="AA13" s="23">
        <f ca="1">_xll.BDP($B13,AA$6, "YLD_YTM_ASK="&amp;$G13,"YAS_YLD_CONV=1")</f>
        <v>2.612917877927428</v>
      </c>
      <c r="AB13" s="22">
        <f t="shared" ca="1" si="1"/>
        <v>7.278027602808379E-8</v>
      </c>
      <c r="AC13" s="24">
        <f ca="1">_xll.meLWOBondDV01Numerical($L13,$C$4,$S13%, 0.5, "CENTRAL")</f>
        <v>263.95957143165566</v>
      </c>
    </row>
    <row r="14" spans="2:30">
      <c r="B14" s="15" t="s">
        <v>1554</v>
      </c>
      <c r="C14" s="15" t="s">
        <v>1555</v>
      </c>
      <c r="D14" s="15" t="s">
        <v>1555</v>
      </c>
      <c r="E14" s="16">
        <v>41368</v>
      </c>
      <c r="F14" s="19"/>
      <c r="G14" s="18"/>
      <c r="H14" s="16"/>
      <c r="I14" s="16"/>
      <c r="J14" s="17">
        <v>0</v>
      </c>
      <c r="K14" s="16">
        <v>44341</v>
      </c>
      <c r="L14" s="20" t="str">
        <f ca="1">_xll.meLWOBondCreateFromGeneratorLVB(C14,$L$4,_xll.meUtilityLVBFromKeysValues($C$6:$K$6,C14:K14))</f>
        <v>FR0011461367:0</v>
      </c>
      <c r="M14" s="92">
        <f ca="1">_xll.BDP($B14,$M$5)</f>
        <v>-0.39142341422817584</v>
      </c>
      <c r="N14" s="89">
        <f ca="1">_xll.meLWOBondCleanPrice($L14,$C$4,$M14%)</f>
        <v>101.026</v>
      </c>
      <c r="O14" s="89">
        <f ca="1">_xll.meLWOBondDirtyPrice($L14,$C$4,$M14%)</f>
        <v>101.026</v>
      </c>
      <c r="P14" s="72">
        <f ca="1">_xll.meLWOBondYield($L14,$C$4,N14)</f>
        <v>-3.9142341422818546E-3</v>
      </c>
      <c r="Q14" s="89">
        <f ca="1">_xll.meLWOBondModifiedDuration($L14,$C$4,$M14%)</f>
        <v>2.6129674925996031</v>
      </c>
      <c r="R14" s="23">
        <f ca="1">_xll.meLWOBondDV01($L14,$C$4,$M14%)</f>
        <v>263.97765390736748</v>
      </c>
      <c r="S14" s="21">
        <f t="shared" ca="1" si="2"/>
        <v>-0.39142341422817584</v>
      </c>
      <c r="T14" s="22" t="str">
        <f ca="1">_xll.BDP($B14,T$6, "YAS_BOND_YLD="&amp;S14,"YAS_YLD_CONV=1")</f>
        <v>#N/A Requesting Data...</v>
      </c>
      <c r="U14" s="23">
        <f t="shared" ca="1" si="3"/>
        <v>101.026</v>
      </c>
      <c r="V14" s="24" t="e">
        <f t="shared" ca="1" si="4"/>
        <v>#VALUE!</v>
      </c>
      <c r="W14" s="23">
        <f ca="1">_xll.meLWOBondDV01($L14,$C$4,$S14%)</f>
        <v>263.97765390736748</v>
      </c>
      <c r="X14" s="22" t="e">
        <f ca="1">_xll.BDP($B14,X$6, "YLD_YTM_ASK="&amp;$S14,"YAS_YLD_CONV=1")*$X$3*0.0001</f>
        <v>#VALUE!</v>
      </c>
      <c r="Y14" s="24" t="e">
        <f t="shared" ca="1" si="0"/>
        <v>#VALUE!</v>
      </c>
      <c r="Z14" s="23">
        <f ca="1">_xll.meLWOBondModifiedDuration($L14,$C$4,$S14%)</f>
        <v>2.6129674925996031</v>
      </c>
      <c r="AA14" s="23">
        <f ca="1">_xll.BDP($B14,AA$6, "YLD_YTM_ASK="&amp;$G14,"YAS_YLD_CONV=1")</f>
        <v>2.6129675653830096</v>
      </c>
      <c r="AB14" s="22">
        <f t="shared" ca="1" si="1"/>
        <v>7.2783406412924023E-8</v>
      </c>
      <c r="AC14" s="24">
        <f ca="1">_xll.meLWOBondDV01Numerical($L14,$C$4,$S14%, 0.5, "CENTRAL")</f>
        <v>263.97765574557752</v>
      </c>
    </row>
    <row r="15" spans="2:30">
      <c r="B15" s="15" t="s">
        <v>1184</v>
      </c>
      <c r="C15" s="15" t="s">
        <v>1185</v>
      </c>
      <c r="D15" s="15" t="s">
        <v>1185</v>
      </c>
      <c r="E15" s="16">
        <v>42485</v>
      </c>
      <c r="F15" s="19">
        <v>42149</v>
      </c>
      <c r="G15" s="18"/>
      <c r="H15" s="16">
        <v>42515</v>
      </c>
      <c r="I15" s="16">
        <v>43976</v>
      </c>
      <c r="J15" s="17">
        <v>0</v>
      </c>
      <c r="K15" s="16">
        <v>44341</v>
      </c>
      <c r="L15" s="20" t="str">
        <f ca="1">_xll.meLWOBondCreateFromGeneratorLVB(C15,$L$4,_xll.meUtilityLVBFromKeysValues($C$6:$K$6,C15:K15))</f>
        <v>FR0013157096:2</v>
      </c>
      <c r="M15" s="92">
        <f ca="1">_xll.BDP($B15,$M$5)</f>
        <v>-0.38952924962680768</v>
      </c>
      <c r="N15" s="89">
        <f ca="1">_xll.meLWOBondCleanPrice($L15,$C$4,$M15%)</f>
        <v>101.02099999999999</v>
      </c>
      <c r="O15" s="89">
        <f ca="1">_xll.meLWOBondDirtyPrice($L15,$C$4,$M15%)</f>
        <v>101.02099999999999</v>
      </c>
      <c r="P15" s="72">
        <f ca="1">_xll.meLWOBondYield($L15,$C$4,N15)</f>
        <v>-3.8952924962682286E-3</v>
      </c>
      <c r="Q15" s="89">
        <f ca="1">_xll.meLWOBondModifiedDuration($L15,$C$4,$M15%)</f>
        <v>2.612917805147152</v>
      </c>
      <c r="R15" s="23">
        <f ca="1">_xll.meLWOBondDV01($L15,$C$4,$M15%)</f>
        <v>263.95956959377042</v>
      </c>
      <c r="S15" s="21">
        <f t="shared" ca="1" si="2"/>
        <v>-0.38952924962680768</v>
      </c>
      <c r="T15" s="22" t="str">
        <f ca="1">_xll.BDP($B15,T$6, "YAS_BOND_YLD="&amp;S15,"YAS_YLD_CONV=1")</f>
        <v>#N/A Requesting Data...</v>
      </c>
      <c r="U15" s="23">
        <f t="shared" ca="1" si="3"/>
        <v>101.02099999999999</v>
      </c>
      <c r="V15" s="24" t="e">
        <f t="shared" ca="1" si="4"/>
        <v>#VALUE!</v>
      </c>
      <c r="W15" s="23">
        <f ca="1">_xll.meLWOBondDV01($L15,$C$4,$S15%)</f>
        <v>263.95956959377042</v>
      </c>
      <c r="X15" s="22" t="e">
        <f ca="1">_xll.BDP($B15,X$6, "YLD_YTM_ASK="&amp;$S15,"YAS_YLD_CONV=1")*$X$3*0.0001</f>
        <v>#VALUE!</v>
      </c>
      <c r="Y15" s="24" t="e">
        <f t="shared" ca="1" si="0"/>
        <v>#VALUE!</v>
      </c>
      <c r="Z15" s="23">
        <f ca="1">_xll.meLWOBondModifiedDuration($L15,$C$4,$S15%)</f>
        <v>2.612917805147152</v>
      </c>
      <c r="AA15" s="23">
        <f ca="1">_xll.BDP($B15,AA$6, "YLD_YTM_ASK="&amp;$G15,"YAS_YLD_CONV=1")</f>
        <v>2.612917877927428</v>
      </c>
      <c r="AB15" s="22">
        <f t="shared" ca="1" si="1"/>
        <v>7.278027602808379E-8</v>
      </c>
      <c r="AC15" s="24">
        <f ca="1">_xll.meLWOBondDV01Numerical($L15,$C$4,$S15%, 0.5, "CENTRAL")</f>
        <v>263.95957143165566</v>
      </c>
    </row>
    <row r="16" spans="2:30">
      <c r="B16" s="15" t="s">
        <v>1184</v>
      </c>
      <c r="C16" s="15" t="s">
        <v>1185</v>
      </c>
      <c r="D16" s="15" t="s">
        <v>1185</v>
      </c>
      <c r="E16" s="16">
        <v>42485</v>
      </c>
      <c r="F16" s="19">
        <v>42149</v>
      </c>
      <c r="G16" s="18"/>
      <c r="H16" s="16">
        <v>42515</v>
      </c>
      <c r="I16" s="16">
        <v>43976</v>
      </c>
      <c r="J16" s="17">
        <v>0</v>
      </c>
      <c r="K16" s="16">
        <v>44341</v>
      </c>
      <c r="L16" s="20" t="str">
        <f ca="1">_xll.meLWOBondCreateFromGeneratorLVB(C16,$L$4,_xll.meUtilityLVBFromKeysValues($C$6:$K$6,C16:K16))</f>
        <v>FR0013157096:0</v>
      </c>
      <c r="M16" s="92">
        <f ca="1">_xll.BDP($B16,$M$5)</f>
        <v>-0.38952924962680768</v>
      </c>
      <c r="N16" s="89">
        <f ca="1">_xll.meLWOBondCleanPrice($L16,$C$4,$M16%)</f>
        <v>101.02099999999999</v>
      </c>
      <c r="O16" s="89">
        <f ca="1">_xll.meLWOBondDirtyPrice($L16,$C$4,$M16%)</f>
        <v>101.02099999999999</v>
      </c>
      <c r="P16" s="72">
        <f ca="1">_xll.meLWOBondYield($L16,$C$4,N16)</f>
        <v>-3.8952924962682286E-3</v>
      </c>
      <c r="Q16" s="89">
        <f ca="1">_xll.meLWOBondModifiedDuration($L16,$C$4,$M16%)</f>
        <v>2.612917805147152</v>
      </c>
      <c r="R16" s="23">
        <f ca="1">_xll.meLWOBondDV01($L16,$C$4,$M16%)</f>
        <v>263.95956959377042</v>
      </c>
      <c r="S16" s="21">
        <f t="shared" ca="1" si="2"/>
        <v>-0.38952924962680768</v>
      </c>
      <c r="T16" s="22" t="str">
        <f ca="1">_xll.BDP($B16,T$6, "YAS_BOND_YLD="&amp;S16,"YAS_YLD_CONV=1")</f>
        <v>#N/A Requesting Data...</v>
      </c>
      <c r="U16" s="23">
        <f t="shared" ca="1" si="3"/>
        <v>101.02099999999999</v>
      </c>
      <c r="V16" s="24" t="e">
        <f t="shared" ca="1" si="4"/>
        <v>#VALUE!</v>
      </c>
      <c r="W16" s="23">
        <f ca="1">_xll.meLWOBondDV01($L16,$C$4,$S16%)</f>
        <v>263.95956959377042</v>
      </c>
      <c r="X16" s="22" t="e">
        <f ca="1">_xll.BDP($B16,X$6, "YLD_YTM_ASK="&amp;$S16,"YAS_YLD_CONV=1")*$X$3*0.0001</f>
        <v>#VALUE!</v>
      </c>
      <c r="Y16" s="24" t="e">
        <f t="shared" ca="1" si="0"/>
        <v>#VALUE!</v>
      </c>
      <c r="Z16" s="23">
        <f ca="1">_xll.meLWOBondModifiedDuration($L16,$C$4,$S16%)</f>
        <v>2.612917805147152</v>
      </c>
      <c r="AA16" s="23">
        <f ca="1">_xll.BDP($B16,AA$6, "YLD_YTM_ASK="&amp;$G16,"YAS_YLD_CONV=1")</f>
        <v>2.612917877927428</v>
      </c>
      <c r="AB16" s="22">
        <f t="shared" ca="1" si="1"/>
        <v>7.278027602808379E-8</v>
      </c>
      <c r="AC16" s="24">
        <f ca="1">_xll.meLWOBondDV01Numerical($L16,$C$4,$S16%, 0.5, "CENTRAL")</f>
        <v>263.95957143165566</v>
      </c>
    </row>
    <row r="17" spans="2:33">
      <c r="B17" s="15" t="s">
        <v>1188</v>
      </c>
      <c r="C17" s="15" t="s">
        <v>1189</v>
      </c>
      <c r="D17" s="15" t="s">
        <v>1189</v>
      </c>
      <c r="E17" s="16">
        <v>40701</v>
      </c>
      <c r="F17" s="19">
        <v>40476</v>
      </c>
      <c r="G17" s="18"/>
      <c r="H17" s="16">
        <v>40841</v>
      </c>
      <c r="I17" s="16">
        <v>44129</v>
      </c>
      <c r="J17" s="17">
        <v>3.2500000000000001E-2</v>
      </c>
      <c r="K17" s="16">
        <v>44494</v>
      </c>
      <c r="L17" s="20" t="str">
        <f ca="1">_xll.meLWOBondCreateFromGeneratorLVB(C17,$L$4,_xll.meUtilityLVBFromKeysValues($C$6:$K$6,C17:K17))</f>
        <v>FR0011059088:0</v>
      </c>
      <c r="M17" s="92">
        <f ca="1">_xll.BDP($B17,$M$5)</f>
        <v>-0.32240551611984669</v>
      </c>
      <c r="N17" s="89">
        <f ca="1">_xll.meLWOBondCleanPrice($L17,$C$4,$M17%)</f>
        <v>110.86600000008725</v>
      </c>
      <c r="O17" s="89">
        <f ca="1">_xll.meLWOBondDirtyPrice($L17,$C$4,$M17%)</f>
        <v>114.04476710008726</v>
      </c>
      <c r="P17" s="72">
        <f ca="1">_xll.meLWOBondYield($L17,$C$4,N17)</f>
        <v>-3.2240551611974746E-3</v>
      </c>
      <c r="Q17" s="89">
        <f ca="1">_xll.meLWOBondModifiedDuration($L17,$C$4,$M17%)</f>
        <v>2.8597712553037691</v>
      </c>
      <c r="R17" s="23">
        <f ca="1">_xll.meLWOBondDV01($L17,$C$4,$M17%)</f>
        <v>326.14194677064251</v>
      </c>
      <c r="S17" s="21">
        <f t="shared" ca="1" si="2"/>
        <v>-0.32240551611984669</v>
      </c>
      <c r="T17" s="22" t="str">
        <f ca="1">_xll.BDP($B17,T$6, "YAS_BOND_YLD="&amp;S17,"YAS_YLD_CONV=1")</f>
        <v>#N/A Requesting Data...</v>
      </c>
      <c r="U17" s="23">
        <f t="shared" ca="1" si="3"/>
        <v>110.86600000008725</v>
      </c>
      <c r="V17" s="24" t="e">
        <f t="shared" ca="1" si="4"/>
        <v>#VALUE!</v>
      </c>
      <c r="W17" s="23">
        <f ca="1">_xll.meLWOBondDV01($L17,$C$4,$S17%)</f>
        <v>326.14194677064251</v>
      </c>
      <c r="X17" s="22" t="e">
        <f ca="1">_xll.BDP($B17,X$6, "YLD_YTM_ASK="&amp;$S17,"YAS_YLD_CONV=1")*$X$3*0.0001</f>
        <v>#VALUE!</v>
      </c>
      <c r="Y17" s="24" t="e">
        <f t="shared" ca="1" si="0"/>
        <v>#VALUE!</v>
      </c>
      <c r="Z17" s="23">
        <f ca="1">_xll.meLWOBondModifiedDuration($L17,$C$4,$S17%)</f>
        <v>2.8597712553037691</v>
      </c>
      <c r="AA17" s="23">
        <f ca="1">_xll.BDP($B17,AA$6, "YLD_YTM_ASK="&amp;$G17,"YAS_YLD_CONV=1")</f>
        <v>2.859771350925834</v>
      </c>
      <c r="AB17" s="22">
        <f t="shared" ca="1" si="1"/>
        <v>9.56220649328543E-8</v>
      </c>
      <c r="AC17" s="24">
        <f ca="1">_xll.meLWOBondDV01Numerical($L17,$C$4,$S17%, 0.5, "CENTRAL")</f>
        <v>326.14194949061925</v>
      </c>
    </row>
    <row r="18" spans="2:33">
      <c r="B18" s="15" t="s">
        <v>1380</v>
      </c>
      <c r="C18" s="15" t="s">
        <v>1381</v>
      </c>
      <c r="D18" s="15" t="s">
        <v>1381</v>
      </c>
      <c r="E18" s="16">
        <v>40140</v>
      </c>
      <c r="F18" s="19"/>
      <c r="G18" s="18"/>
      <c r="H18" s="16"/>
      <c r="I18" s="16"/>
      <c r="J18" s="17">
        <v>0</v>
      </c>
      <c r="K18" s="16">
        <v>44494</v>
      </c>
      <c r="L18" s="20" t="str">
        <f ca="1">_xll.meLWOBondCreateFromGeneratorLVB(C18,$L$4,_xll.meUtilityLVBFromKeysValues($C$6:$K$6,C18:K18))</f>
        <v>FR0010809848:0</v>
      </c>
      <c r="M18" s="92">
        <f ca="1">_xll.BDP($B18,$M$5)</f>
        <v>-0.33721971266758022</v>
      </c>
      <c r="N18" s="89">
        <f ca="1">_xll.meLWOBondCleanPrice($L18,$C$4,$M18%)</f>
        <v>101.026</v>
      </c>
      <c r="O18" s="89">
        <f ca="1">_xll.meLWOBondDirtyPrice($L18,$C$4,$M18%)</f>
        <v>101.026</v>
      </c>
      <c r="P18" s="72">
        <f ca="1">_xll.meLWOBondYield($L18,$C$4,N18)</f>
        <v>-3.3721971266757428E-3</v>
      </c>
      <c r="Q18" s="89">
        <f ca="1">_xll.meLWOBondModifiedDuration($L18,$C$4,$M18%)</f>
        <v>3.0321427914281025</v>
      </c>
      <c r="R18" s="23">
        <f ca="1">_xll.meLWOBondDV01($L18,$C$4,$M18%)</f>
        <v>306.32525764681549</v>
      </c>
      <c r="S18" s="21">
        <f t="shared" ca="1" si="2"/>
        <v>-0.33721971266758022</v>
      </c>
      <c r="T18" s="22" t="str">
        <f ca="1">_xll.BDP($B18,T$6, "YAS_BOND_YLD="&amp;S18,"YAS_YLD_CONV=1")</f>
        <v>#N/A Requesting Data...</v>
      </c>
      <c r="U18" s="23">
        <f t="shared" ca="1" si="3"/>
        <v>101.026</v>
      </c>
      <c r="V18" s="24" t="e">
        <f t="shared" ca="1" si="4"/>
        <v>#VALUE!</v>
      </c>
      <c r="W18" s="23">
        <f ca="1">_xll.meLWOBondDV01($L18,$C$4,$S18%)</f>
        <v>306.32525764681549</v>
      </c>
      <c r="X18" s="22" t="e">
        <f ca="1">_xll.BDP($B18,X$6, "YLD_YTM_ASK="&amp;$S18,"YAS_YLD_CONV=1")*$X$3*0.0001</f>
        <v>#VALUE!</v>
      </c>
      <c r="Y18" s="24" t="e">
        <f t="shared" ca="1" si="0"/>
        <v>#VALUE!</v>
      </c>
      <c r="Z18" s="23">
        <f ca="1">_xll.meLWOBondModifiedDuration($L18,$C$4,$S18%)</f>
        <v>3.0321427914281025</v>
      </c>
      <c r="AA18" s="23">
        <f ca="1">_xll.BDP($B18,AA$6, "YLD_YTM_ASK="&amp;$G18,"YAS_YLD_CONV=1")</f>
        <v>3.0321428941903412</v>
      </c>
      <c r="AB18" s="22">
        <f t="shared" ca="1" si="1"/>
        <v>1.0276223871841239E-7</v>
      </c>
      <c r="AC18" s="24">
        <f ca="1">_xll.meLWOBondDV01Numerical($L18,$C$4,$S18%, 0.5, "CENTRAL")</f>
        <v>306.32526024206192</v>
      </c>
    </row>
    <row r="19" spans="2:33">
      <c r="B19" s="15" t="s">
        <v>1522</v>
      </c>
      <c r="C19" s="15" t="s">
        <v>1523</v>
      </c>
      <c r="D19" s="15" t="s">
        <v>1523</v>
      </c>
      <c r="E19" s="16">
        <v>34450</v>
      </c>
      <c r="F19" s="19"/>
      <c r="G19" s="18"/>
      <c r="H19" s="16"/>
      <c r="I19" s="16"/>
      <c r="J19" s="17">
        <v>0</v>
      </c>
      <c r="K19" s="16">
        <v>44494</v>
      </c>
      <c r="L19" s="20" t="str">
        <f ca="1">_xll.meLWOBondCreateFromGeneratorLVB(C19,$L$4,_xll.meUtilityLVBFromKeysValues($C$6:$K$6,C19:K19))</f>
        <v>FR0000571002:0</v>
      </c>
      <c r="M19" s="92">
        <f ca="1">_xll.BDP($B19,$M$5)</f>
        <v>-0.34896914067515938</v>
      </c>
      <c r="N19" s="89">
        <f ca="1">_xll.meLWOBondCleanPrice($L19,$C$4,$M19%)</f>
        <v>101.06199999999998</v>
      </c>
      <c r="O19" s="89">
        <f ca="1">_xll.meLWOBondDirtyPrice($L19,$C$4,$M19%)</f>
        <v>101.06199999999998</v>
      </c>
      <c r="P19" s="72">
        <f ca="1">_xll.meLWOBondYield($L19,$C$4,N19)</f>
        <v>-3.4896914067516472E-3</v>
      </c>
      <c r="Q19" s="89">
        <f ca="1">_xll.meLWOBondModifiedDuration($L19,$C$4,$M19%)</f>
        <v>3.0325002984516565</v>
      </c>
      <c r="R19" s="23">
        <f ca="1">_xll.meLWOBondDV01($L19,$C$4,$M19%)</f>
        <v>306.47054516212125</v>
      </c>
      <c r="S19" s="21">
        <f t="shared" ca="1" si="2"/>
        <v>-0.34896914067515938</v>
      </c>
      <c r="T19" s="22" t="str">
        <f ca="1">_xll.BDP($B19,T$6, "YAS_BOND_YLD="&amp;S19,"YAS_YLD_CONV=1")</f>
        <v>#N/A Requesting Data...</v>
      </c>
      <c r="U19" s="23">
        <f t="shared" ca="1" si="3"/>
        <v>101.06199999999998</v>
      </c>
      <c r="V19" s="24" t="e">
        <f t="shared" ca="1" si="4"/>
        <v>#VALUE!</v>
      </c>
      <c r="W19" s="23">
        <f ca="1">_xll.meLWOBondDV01($L19,$C$4,$S19%)</f>
        <v>306.47054516212125</v>
      </c>
      <c r="X19" s="22" t="e">
        <f ca="1">_xll.BDP($B19,X$6, "YLD_YTM_ASK="&amp;$S19,"YAS_YLD_CONV=1")*$X$3*0.0001</f>
        <v>#VALUE!</v>
      </c>
      <c r="Y19" s="24" t="e">
        <f t="shared" ca="1" si="0"/>
        <v>#VALUE!</v>
      </c>
      <c r="Z19" s="23">
        <f ca="1">_xll.meLWOBondModifiedDuration($L19,$C$4,$S19%)</f>
        <v>3.0325002984516565</v>
      </c>
      <c r="AA19" s="23">
        <f ca="1">_xll.BDP($B19,AA$6, "YLD_YTM_ASK="&amp;$G19,"YAS_YLD_CONV=1")</f>
        <v>3.0325004012501613</v>
      </c>
      <c r="AB19" s="22">
        <f t="shared" ca="1" si="1"/>
        <v>1.0279850481964559E-7</v>
      </c>
      <c r="AC19" s="24">
        <f ca="1">_xll.meLWOBondDV01Numerical($L19,$C$4,$S19%, 0.5, "CENTRAL")</f>
        <v>306.47054775926108</v>
      </c>
    </row>
    <row r="20" spans="2:33">
      <c r="B20" s="15" t="s">
        <v>1520</v>
      </c>
      <c r="C20" s="15" t="s">
        <v>1521</v>
      </c>
      <c r="D20" s="15" t="s">
        <v>1521</v>
      </c>
      <c r="E20" s="16">
        <v>41800</v>
      </c>
      <c r="F20" s="19"/>
      <c r="G20" s="18"/>
      <c r="H20" s="16"/>
      <c r="I20" s="16"/>
      <c r="J20" s="17">
        <v>0</v>
      </c>
      <c r="K20" s="16">
        <v>44525</v>
      </c>
      <c r="L20" s="20" t="str">
        <f ca="1">_xll.meLWOBondCreateFromGeneratorLVB(C20,$L$4,_xll.meUtilityLVBFromKeysValues($C$6:$K$6,C20:K20))</f>
        <v>FR0011962471:0</v>
      </c>
      <c r="M20" s="92">
        <f ca="1">_xll.BDP($B20,$M$5)</f>
        <v>-0.28479029501362607</v>
      </c>
      <c r="N20" s="89">
        <f ca="1">_xll.meLWOBondCleanPrice($L20,$C$4,$M20%)</f>
        <v>100.88999999999999</v>
      </c>
      <c r="O20" s="89">
        <f ca="1">_xll.meLWOBondDirtyPrice($L20,$C$4,$M20%)</f>
        <v>100.88999999999999</v>
      </c>
      <c r="P20" s="72">
        <f ca="1">_xll.meLWOBondYield($L20,$C$4,N20)</f>
        <v>-2.8479029501363184E-3</v>
      </c>
      <c r="Q20" s="89">
        <f ca="1">_xll.meLWOBondModifiedDuration($L20,$C$4,$M20%)</f>
        <v>3.115722590626143</v>
      </c>
      <c r="R20" s="23">
        <f ca="1">_xll.meLWOBondDV01($L20,$C$4,$M20%)</f>
        <v>314.34525216827154</v>
      </c>
      <c r="S20" s="21">
        <f t="shared" ca="1" si="2"/>
        <v>-0.28479029501362607</v>
      </c>
      <c r="T20" s="22" t="str">
        <f ca="1">_xll.BDP($B20,T$6, "YAS_BOND_YLD="&amp;S20,"YAS_YLD_CONV=1")</f>
        <v>#N/A Requesting Data...</v>
      </c>
      <c r="U20" s="23">
        <f t="shared" ca="1" si="3"/>
        <v>100.88999999999999</v>
      </c>
      <c r="V20" s="24" t="e">
        <f t="shared" ca="1" si="4"/>
        <v>#VALUE!</v>
      </c>
      <c r="W20" s="23">
        <f ca="1">_xll.meLWOBondDV01($L20,$C$4,$S20%)</f>
        <v>314.34525216827154</v>
      </c>
      <c r="X20" s="22" t="e">
        <f ca="1">_xll.BDP($B20,X$6, "YLD_YTM_ASK="&amp;$S20,"YAS_YLD_CONV=1")*$X$3*0.0001</f>
        <v>#VALUE!</v>
      </c>
      <c r="Y20" s="24" t="e">
        <f t="shared" ca="1" si="0"/>
        <v>#VALUE!</v>
      </c>
      <c r="Z20" s="23">
        <f ca="1">_xll.meLWOBondModifiedDuration($L20,$C$4,$S20%)</f>
        <v>3.115722590626143</v>
      </c>
      <c r="AA20" s="23">
        <f ca="1">_xll.BDP($B20,AA$6, "YLD_YTM_ASK="&amp;$G20,"YAS_YLD_CONV=1")</f>
        <v>3.1157227001602417</v>
      </c>
      <c r="AB20" s="22">
        <f t="shared" ca="1" si="1"/>
        <v>1.0953409868008634E-7</v>
      </c>
      <c r="AC20" s="24">
        <f ca="1">_xll.meLWOBondDV01Numerical($L20,$C$4,$S20%, 0.5, "CENTRAL")</f>
        <v>314.34525493068583</v>
      </c>
    </row>
    <row r="21" spans="2:33">
      <c r="B21" s="15" t="s">
        <v>1444</v>
      </c>
      <c r="C21" s="15" t="s">
        <v>1445</v>
      </c>
      <c r="D21" s="15" t="s">
        <v>1445</v>
      </c>
      <c r="E21" s="16">
        <v>40997</v>
      </c>
      <c r="F21" s="19">
        <v>40997</v>
      </c>
      <c r="G21" s="18"/>
      <c r="H21" s="16">
        <v>41362</v>
      </c>
      <c r="I21" s="16">
        <v>44284</v>
      </c>
      <c r="J21" s="17">
        <v>3.7499999999999999E-2</v>
      </c>
      <c r="K21" s="16">
        <v>44649</v>
      </c>
      <c r="L21" s="20" t="str">
        <f ca="1">_xll.meLWOBondCreateFromGeneratorLVB(C21,$L$4,_xll.meUtilityLVBFromKeysValues($C$6:$K$6,C21:K21))</f>
        <v>FR0011217603:0</v>
      </c>
      <c r="M21" s="92">
        <f ca="1">_xll.BDP($B21,$M$5)</f>
        <v>1.2160888681510565E-2</v>
      </c>
      <c r="N21" s="89">
        <f ca="1">_xll.meLWOBondCleanPrice($L21,$C$4,$M21%)</f>
        <v>112.8792053723883</v>
      </c>
      <c r="O21" s="89">
        <f ca="1">_xll.meLWOBondDirtyPrice($L21,$C$4,$M21%)</f>
        <v>114.9545478723883</v>
      </c>
      <c r="P21" s="72">
        <f ca="1">_xll.meLWOBondYield($L21,$C$4,N21)</f>
        <v>1.2160888681628946E-4</v>
      </c>
      <c r="Q21" s="89">
        <f ca="1">_xll.meLWOBondModifiedDuration($L21,$C$4,$M21%)</f>
        <v>3.2504770160042131</v>
      </c>
      <c r="R21" s="23">
        <f ca="1">_xll.meLWOBondDV01($L21,$C$4,$M21%)</f>
        <v>373.6571157443542</v>
      </c>
      <c r="S21" s="21">
        <f t="shared" ca="1" si="2"/>
        <v>1.2160888681510565E-2</v>
      </c>
      <c r="T21" s="22" t="str">
        <f ca="1">_xll.BDP($B21,T$6, "YAS_BOND_YLD="&amp;S21,"YAS_YLD_CONV=1")</f>
        <v>#N/A Requesting Data...</v>
      </c>
      <c r="U21" s="23">
        <f t="shared" ca="1" si="3"/>
        <v>112.8792053723883</v>
      </c>
      <c r="V21" s="24" t="e">
        <f t="shared" ca="1" si="4"/>
        <v>#VALUE!</v>
      </c>
      <c r="W21" s="23">
        <f ca="1">_xll.meLWOBondDV01($L21,$C$4,$S21%)</f>
        <v>373.6571157443542</v>
      </c>
      <c r="X21" s="22" t="e">
        <f ca="1">_xll.BDP($B21,X$6, "YLD_YTM_ASK="&amp;$S21,"YAS_YLD_CONV=1")*$X$3*0.0001</f>
        <v>#VALUE!</v>
      </c>
      <c r="Y21" s="24" t="e">
        <f t="shared" ca="1" si="0"/>
        <v>#VALUE!</v>
      </c>
      <c r="Z21" s="23">
        <f ca="1">_xll.meLWOBondModifiedDuration($L21,$C$4,$S21%)</f>
        <v>3.2504770160042131</v>
      </c>
      <c r="AA21" s="23">
        <f ca="1">_xll.BDP($B21,AA$6, "YLD_YTM_ASK="&amp;$G21,"YAS_YLD_CONV=1")</f>
        <v>3.2539013830004815</v>
      </c>
      <c r="AB21" s="22">
        <f t="shared" ca="1" si="1"/>
        <v>3.4243669962683576E-3</v>
      </c>
      <c r="AC21" s="24">
        <f ca="1">_xll.meLWOBondDV01Numerical($L21,$C$4,$S21%, 0.5, "CENTRAL")</f>
        <v>373.65711942996427</v>
      </c>
    </row>
    <row r="22" spans="2:33">
      <c r="B22" s="15" t="s">
        <v>1168</v>
      </c>
      <c r="C22" s="15" t="s">
        <v>1169</v>
      </c>
      <c r="D22" s="15" t="s">
        <v>1169</v>
      </c>
      <c r="E22" s="16">
        <v>40946</v>
      </c>
      <c r="F22" s="19">
        <v>40658</v>
      </c>
      <c r="G22" s="18"/>
      <c r="H22" s="16">
        <v>41024</v>
      </c>
      <c r="I22" s="16">
        <v>44311</v>
      </c>
      <c r="J22" s="17">
        <v>0.03</v>
      </c>
      <c r="K22" s="16">
        <v>44676</v>
      </c>
      <c r="L22" s="20" t="str">
        <f ca="1">_xll.meLWOBondCreateFromGeneratorLVB(C22,$L$4,_xll.meUtilityLVBFromKeysValues($C$6:$K$6,C22:K22))</f>
        <v>FR0011196856:0</v>
      </c>
      <c r="M22" s="92">
        <f ca="1">_xll.BDP($B22,$M$5)</f>
        <v>-0.21484489004592305</v>
      </c>
      <c r="N22" s="89">
        <f ca="1">_xll.meLWOBondCleanPrice($L22,$C$4,$M22%)</f>
        <v>111.37400000017229</v>
      </c>
      <c r="O22" s="89">
        <f ca="1">_xll.meLWOBondDirtyPrice($L22,$C$4,$M22%)</f>
        <v>112.81235620017229</v>
      </c>
      <c r="P22" s="72">
        <f ca="1">_xll.meLWOBondYield($L22,$C$4,N22)</f>
        <v>-2.1484489004584689E-3</v>
      </c>
      <c r="Q22" s="89">
        <f ca="1">_xll.meLWOBondModifiedDuration($L22,$C$4,$M22%)</f>
        <v>3.3678183996208779</v>
      </c>
      <c r="R22" s="23">
        <f ca="1">_xll.meLWOBondDV01($L22,$C$4,$M22%)</f>
        <v>379.93152891552467</v>
      </c>
      <c r="S22" s="21">
        <f t="shared" ca="1" si="2"/>
        <v>-0.21484489004592305</v>
      </c>
      <c r="T22" s="22" t="str">
        <f ca="1">_xll.BDP($B22,T$6, "YAS_BOND_YLD="&amp;S22,"YAS_YLD_CONV=1")</f>
        <v>#N/A Requesting Data...</v>
      </c>
      <c r="U22" s="23">
        <f t="shared" ca="1" si="3"/>
        <v>111.37400000017229</v>
      </c>
      <c r="V22" s="24" t="e">
        <f t="shared" ca="1" si="4"/>
        <v>#VALUE!</v>
      </c>
      <c r="W22" s="23">
        <f ca="1">_xll.meLWOBondDV01($L22,$C$4,$S22%)</f>
        <v>379.93152891552467</v>
      </c>
      <c r="X22" s="22" t="e">
        <f ca="1">_xll.BDP($B22,X$6, "YLD_YTM_ASK="&amp;$S22,"YAS_YLD_CONV=1")*$X$3*0.0001</f>
        <v>#VALUE!</v>
      </c>
      <c r="Y22" s="24" t="e">
        <f t="shared" ca="1" si="0"/>
        <v>#VALUE!</v>
      </c>
      <c r="Z22" s="23">
        <f ca="1">_xll.meLWOBondModifiedDuration($L22,$C$4,$S22%)</f>
        <v>3.3678183996208779</v>
      </c>
      <c r="AA22" s="23">
        <f ca="1">_xll.BDP($B22,AA$6, "YLD_YTM_ASK="&amp;$G22,"YAS_YLD_CONV=1")</f>
        <v>3.367818537334601</v>
      </c>
      <c r="AB22" s="22">
        <f t="shared" ca="1" si="1"/>
        <v>1.3771372309179242E-7</v>
      </c>
      <c r="AC22" s="24">
        <f ca="1">_xll.meLWOBondDV01Numerical($L22,$C$4,$S22%, 0.5, "CENTRAL")</f>
        <v>379.93153280993397</v>
      </c>
    </row>
    <row r="23" spans="2:33">
      <c r="B23" s="15" t="s">
        <v>1214</v>
      </c>
      <c r="C23" s="15" t="s">
        <v>1215</v>
      </c>
      <c r="D23" s="15" t="s">
        <v>1215</v>
      </c>
      <c r="E23" s="16">
        <v>33646</v>
      </c>
      <c r="F23" s="19">
        <v>33646</v>
      </c>
      <c r="G23" s="18"/>
      <c r="H23" s="16">
        <v>33719</v>
      </c>
      <c r="I23" s="16">
        <v>44311</v>
      </c>
      <c r="J23" s="17">
        <v>8.2500000000000004E-2</v>
      </c>
      <c r="K23" s="16">
        <v>44676</v>
      </c>
      <c r="L23" s="20" t="str">
        <f ca="1">_xll.meLWOBondCreateFromGeneratorLVB(C23,$L$4,_xll.meUtilityLVBFromKeysValues($C$6:$K$6,C23:K23))</f>
        <v>FR0000571044:0</v>
      </c>
      <c r="M23" s="92">
        <f ca="1">_xll.BDP($B23,$M$5)</f>
        <v>-0.24501292888866877</v>
      </c>
      <c r="N23" s="89">
        <f ca="1">_xll.meLWOBondCleanPrice($L23,$C$4,$M23%)</f>
        <v>130.07599999999994</v>
      </c>
      <c r="O23" s="89">
        <f ca="1">_xll.meLWOBondDirtyPrice($L23,$C$4,$M23%)</f>
        <v>134.03147949999993</v>
      </c>
      <c r="P23" s="72">
        <f ca="1">_xll.meLWOBondYield($L23,$C$4,N23)</f>
        <v>-2.4501292888860497E-3</v>
      </c>
      <c r="Q23" s="89">
        <f ca="1">_xll.meLWOBondModifiedDuration($L23,$C$4,$M23%)</f>
        <v>3.1578911789051443</v>
      </c>
      <c r="R23" s="23">
        <f ca="1">_xll.meLWOBondDV01($L23,$C$4,$M23%)</f>
        <v>423.25682680865549</v>
      </c>
      <c r="S23" s="21">
        <f t="shared" ca="1" si="2"/>
        <v>-0.24501292888866877</v>
      </c>
      <c r="T23" s="22" t="str">
        <f ca="1">_xll.BDP($B23,T$6, "YAS_BOND_YLD="&amp;S23,"YAS_YLD_CONV=1")</f>
        <v>#N/A Requesting Data...</v>
      </c>
      <c r="U23" s="23">
        <f t="shared" ca="1" si="3"/>
        <v>130.07599999999994</v>
      </c>
      <c r="V23" s="24" t="e">
        <f t="shared" ca="1" si="4"/>
        <v>#VALUE!</v>
      </c>
      <c r="W23" s="23">
        <f ca="1">_xll.meLWOBondDV01($L23,$C$4,$S23%)</f>
        <v>423.25682680865549</v>
      </c>
      <c r="X23" s="22" t="e">
        <f ca="1">_xll.BDP($B23,X$6, "YLD_YTM_ASK="&amp;$S23,"YAS_YLD_CONV=1")*$X$3*0.0001</f>
        <v>#VALUE!</v>
      </c>
      <c r="Y23" s="24" t="e">
        <f t="shared" ca="1" si="0"/>
        <v>#VALUE!</v>
      </c>
      <c r="Z23" s="23">
        <f ca="1">_xll.meLWOBondModifiedDuration($L23,$C$4,$S23%)</f>
        <v>3.1578911789051443</v>
      </c>
      <c r="AA23" s="23">
        <f ca="1">_xll.BDP($B23,AA$6, "YLD_YTM_ASK="&amp;$G23,"YAS_YLD_CONV=1")</f>
        <v>3.1578913044199255</v>
      </c>
      <c r="AB23" s="22">
        <f t="shared" ca="1" si="1"/>
        <v>1.2551478123512538E-7</v>
      </c>
      <c r="AC23" s="24">
        <f ca="1">_xll.meLWOBondDV01Numerical($L23,$C$4,$S23%, 0.5, "CENTRAL")</f>
        <v>423.25683102887984</v>
      </c>
    </row>
    <row r="24" spans="2:33">
      <c r="B24" s="15" t="s">
        <v>1272</v>
      </c>
      <c r="C24" s="15" t="s">
        <v>1273</v>
      </c>
      <c r="D24" s="15" t="s">
        <v>1273</v>
      </c>
      <c r="E24" s="16">
        <v>40140</v>
      </c>
      <c r="F24" s="19"/>
      <c r="G24" s="18"/>
      <c r="H24" s="16"/>
      <c r="I24" s="16"/>
      <c r="J24" s="17">
        <v>0</v>
      </c>
      <c r="K24" s="16">
        <v>44676</v>
      </c>
      <c r="L24" s="20" t="str">
        <f ca="1">_xll.meLWOBondCreateFromGeneratorLVB(C24,$L$4,_xll.meUtilityLVBFromKeysValues($C$6:$K$6,C24:K24))</f>
        <v>FR0010809871:0</v>
      </c>
      <c r="M24" s="92">
        <f ca="1">_xll.BDP($B24,$M$5)</f>
        <v>-0.22860753551303681</v>
      </c>
      <c r="N24" s="89">
        <f ca="1">_xll.meLWOBondCleanPrice($L24,$C$4,$M24%)</f>
        <v>100.809</v>
      </c>
      <c r="O24" s="89">
        <f ca="1">_xll.meLWOBondDirtyPrice($L24,$C$4,$M24%)</f>
        <v>100.809</v>
      </c>
      <c r="P24" s="72">
        <f ca="1">_xll.meLWOBondYield($L24,$C$4,N24)</f>
        <v>-2.2860753551304409E-3</v>
      </c>
      <c r="Q24" s="89">
        <f ca="1">_xll.meLWOBondModifiedDuration($L24,$C$4,$M24%)</f>
        <v>3.5286146241354679</v>
      </c>
      <c r="R24" s="23">
        <f ca="1">_xll.meLWOBondDV01($L24,$C$4,$M24%)</f>
        <v>355.71611164447239</v>
      </c>
      <c r="S24" s="21">
        <f t="shared" ca="1" si="2"/>
        <v>-0.22860753551303681</v>
      </c>
      <c r="T24" s="22" t="str">
        <f ca="1">_xll.BDP($B24,T$6, "YAS_BOND_YLD="&amp;S24,"YAS_YLD_CONV=1")</f>
        <v>#N/A Requesting Data...</v>
      </c>
      <c r="U24" s="23">
        <f t="shared" ca="1" si="3"/>
        <v>100.809</v>
      </c>
      <c r="V24" s="24" t="e">
        <f t="shared" ca="1" si="4"/>
        <v>#VALUE!</v>
      </c>
      <c r="W24" s="23">
        <f ca="1">_xll.meLWOBondDV01($L24,$C$4,$S24%)</f>
        <v>355.71611164447239</v>
      </c>
      <c r="X24" s="22" t="e">
        <f ca="1">_xll.BDP($B24,X$6, "YLD_YTM_ASK="&amp;$S24,"YAS_YLD_CONV=1")*$X$3*0.0001</f>
        <v>#VALUE!</v>
      </c>
      <c r="Y24" s="24" t="e">
        <f t="shared" ca="1" si="0"/>
        <v>#VALUE!</v>
      </c>
      <c r="Z24" s="23">
        <f ca="1">_xll.meLWOBondModifiedDuration($L24,$C$4,$S24%)</f>
        <v>3.5286146241354679</v>
      </c>
      <c r="AA24" s="23">
        <f ca="1">_xll.BDP($B24,AA$6, "YLD_YTM_ASK="&amp;$G24,"YAS_YLD_CONV=1")</f>
        <v>3.5286147715742673</v>
      </c>
      <c r="AB24" s="22">
        <f t="shared" ca="1" si="1"/>
        <v>1.474387993916082E-7</v>
      </c>
      <c r="AC24" s="24">
        <f ca="1">_xll.meLWOBondDV01Numerical($L24,$C$4,$S24%, 0.5, "CENTRAL")</f>
        <v>355.71611536013847</v>
      </c>
    </row>
    <row r="25" spans="2:33">
      <c r="B25" s="15" t="s">
        <v>1300</v>
      </c>
      <c r="C25" s="15" t="s">
        <v>1301</v>
      </c>
      <c r="D25" s="15" t="s">
        <v>1301</v>
      </c>
      <c r="E25" s="16">
        <v>33735</v>
      </c>
      <c r="F25" s="19"/>
      <c r="G25" s="18"/>
      <c r="H25" s="16"/>
      <c r="I25" s="16"/>
      <c r="J25" s="17">
        <v>0</v>
      </c>
      <c r="K25" s="16">
        <v>44676</v>
      </c>
      <c r="L25" s="20" t="str">
        <f ca="1">_xll.meLWOBondCreateFromGeneratorLVB(C25,$L$4,_xll.meUtilityLVBFromKeysValues($C$6:$K$6,C25:K25))</f>
        <v>FR0000571010:0</v>
      </c>
      <c r="M25" s="92">
        <f ca="1">_xll.BDP($B25,$M$5)</f>
        <v>-0.25894795934099379</v>
      </c>
      <c r="N25" s="89">
        <f ca="1">_xll.meLWOBondCleanPrice($L25,$C$4,$M25%)</f>
        <v>100.91699999999999</v>
      </c>
      <c r="O25" s="89">
        <f ca="1">_xll.meLWOBondDirtyPrice($L25,$C$4,$M25%)</f>
        <v>100.91699999999999</v>
      </c>
      <c r="P25" s="72">
        <f ca="1">_xll.meLWOBondYield($L25,$C$4,N25)</f>
        <v>-2.5894795934099917E-3</v>
      </c>
      <c r="Q25" s="89">
        <f ca="1">_xll.meLWOBondModifiedDuration($L25,$C$4,$M25%)</f>
        <v>3.5296880002532394</v>
      </c>
      <c r="R25" s="23">
        <f ca="1">_xll.meLWOBondDV01($L25,$C$4,$M25%)</f>
        <v>356.20552392155611</v>
      </c>
      <c r="S25" s="21">
        <f t="shared" ca="1" si="2"/>
        <v>-0.25894795934099379</v>
      </c>
      <c r="T25" s="22" t="str">
        <f ca="1">_xll.BDP($B25,T$6, "YAS_BOND_YLD="&amp;S25,"YAS_YLD_CONV=1")</f>
        <v>#N/A Requesting Data...</v>
      </c>
      <c r="U25" s="23">
        <f t="shared" ca="1" si="3"/>
        <v>100.91699999999999</v>
      </c>
      <c r="V25" s="24" t="e">
        <f t="shared" ca="1" si="4"/>
        <v>#VALUE!</v>
      </c>
      <c r="W25" s="23">
        <f ca="1">_xll.meLWOBondDV01($L25,$C$4,$S25%)</f>
        <v>356.20552392155611</v>
      </c>
      <c r="X25" s="22" t="e">
        <f ca="1">_xll.BDP($B25,X$6, "YLD_YTM_ASK="&amp;$S25,"YAS_YLD_CONV=1")*$X$3*0.0001</f>
        <v>#VALUE!</v>
      </c>
      <c r="Y25" s="24" t="e">
        <f t="shared" ca="1" si="0"/>
        <v>#VALUE!</v>
      </c>
      <c r="Z25" s="23">
        <f ca="1">_xll.meLWOBondModifiedDuration($L25,$C$4,$S25%)</f>
        <v>3.5296880002532394</v>
      </c>
      <c r="AA25" s="23">
        <f ca="1">_xll.BDP($B25,AA$6, "YLD_YTM_ASK="&amp;$G25,"YAS_YLD_CONV=1")</f>
        <v>3.5296881478273603</v>
      </c>
      <c r="AB25" s="22">
        <f t="shared" ca="1" si="1"/>
        <v>1.4757412092336608E-7</v>
      </c>
      <c r="AC25" s="24">
        <f ca="1">_xll.meLWOBondDV01Numerical($L25,$C$4,$S25%, 0.5, "CENTRAL")</f>
        <v>356.20552764470409</v>
      </c>
    </row>
    <row r="26" spans="2:33">
      <c r="B26" s="15" t="s">
        <v>1350</v>
      </c>
      <c r="C26" s="15" t="s">
        <v>1351</v>
      </c>
      <c r="D26" s="15" t="s">
        <v>1351</v>
      </c>
      <c r="E26" s="16">
        <v>34354</v>
      </c>
      <c r="F26" s="19"/>
      <c r="G26" s="18"/>
      <c r="H26" s="16"/>
      <c r="I26" s="16"/>
      <c r="J26" s="17">
        <v>0</v>
      </c>
      <c r="K26" s="16">
        <v>44676</v>
      </c>
      <c r="L26" s="20" t="str">
        <f ca="1">_xll.meLWOBondCreateFromGeneratorLVB(C26,$L$4,_xll.meUtilityLVBFromKeysValues($C$6:$K$6,C26:K26))</f>
        <v>FR0000571036:0</v>
      </c>
      <c r="M26" s="92">
        <f ca="1">_xll.BDP($B26,$M$5)</f>
        <v>1.136478642689287E-2</v>
      </c>
      <c r="N26" s="89">
        <f ca="1">_xll.meLWOBondCleanPrice($L26,$C$4,$M26%)</f>
        <v>99.960000000000022</v>
      </c>
      <c r="O26" s="89">
        <f ca="1">_xll.meLWOBondDirtyPrice($L26,$C$4,$M26%)</f>
        <v>99.960000000000022</v>
      </c>
      <c r="P26" s="72">
        <f ca="1">_xll.meLWOBondYield($L26,$C$4,N26)</f>
        <v>1.1364786427017055E-4</v>
      </c>
      <c r="Q26" s="89">
        <f ca="1">_xll.meLWOBondModifiedDuration($L26,$C$4,$M26%)</f>
        <v>3.5201478879161066</v>
      </c>
      <c r="R26" s="23">
        <f ca="1">_xll.meLWOBondDV01($L26,$C$4,$M26%)</f>
        <v>351.87398287609409</v>
      </c>
      <c r="S26" s="21">
        <f t="shared" ca="1" si="2"/>
        <v>1.136478642689287E-2</v>
      </c>
      <c r="T26" s="22" t="str">
        <f ca="1">_xll.BDP($B26,T$6, "YAS_BOND_YLD="&amp;S26,"YAS_YLD_CONV=1")</f>
        <v>#N/A Requesting Data...</v>
      </c>
      <c r="U26" s="23">
        <f t="shared" ca="1" si="3"/>
        <v>99.960000000000022</v>
      </c>
      <c r="V26" s="24" t="e">
        <f t="shared" ca="1" si="4"/>
        <v>#VALUE!</v>
      </c>
      <c r="W26" s="23">
        <f ca="1">_xll.meLWOBondDV01($L26,$C$4,$S26%)</f>
        <v>351.87398287609409</v>
      </c>
      <c r="X26" s="22" t="e">
        <f ca="1">_xll.BDP($B26,X$6, "YLD_YTM_ASK="&amp;$S26,"YAS_YLD_CONV=1")*$X$3*0.0001</f>
        <v>#VALUE!</v>
      </c>
      <c r="Y26" s="24" t="e">
        <f t="shared" ca="1" si="0"/>
        <v>#VALUE!</v>
      </c>
      <c r="Z26" s="23">
        <f ca="1">_xll.meLWOBondModifiedDuration($L26,$C$4,$S26%)</f>
        <v>3.5201478879161066</v>
      </c>
      <c r="AA26" s="23">
        <f ca="1">_xll.BDP($B26,AA$6, "YLD_YTM_ASK="&amp;$G26,"YAS_YLD_CONV=1")</f>
        <v>3.5201480342947922</v>
      </c>
      <c r="AB26" s="22">
        <f t="shared" ca="1" si="1"/>
        <v>1.4637868561706568E-7</v>
      </c>
      <c r="AC26" s="24">
        <f ca="1">_xll.meLWOBondDV01Numerical($L26,$C$4,$S26%, 0.5, "CENTRAL")</f>
        <v>351.87398653491186</v>
      </c>
    </row>
    <row r="27" spans="2:33">
      <c r="B27" s="15" t="s">
        <v>1152</v>
      </c>
      <c r="C27" s="15" t="s">
        <v>1153</v>
      </c>
      <c r="D27" s="15" t="s">
        <v>1153</v>
      </c>
      <c r="E27" s="16">
        <v>42695</v>
      </c>
      <c r="F27" s="19">
        <v>42515</v>
      </c>
      <c r="G27" s="18"/>
      <c r="H27" s="16">
        <v>42880</v>
      </c>
      <c r="I27" s="16">
        <v>44341</v>
      </c>
      <c r="J27" s="17">
        <v>0</v>
      </c>
      <c r="K27" s="16">
        <v>44706</v>
      </c>
      <c r="L27" s="20" t="str">
        <f ca="1">_xll.meLWOBondCreateFromGeneratorLVB(C27,$L$4,_xll.meUtilityLVBFromKeysValues($C$6:$K$6,C27:K27))</f>
        <v>FR0013219177:2</v>
      </c>
      <c r="M27" s="92">
        <f ca="1">_xll.BDP($B27,$M$5)</f>
        <v>-0.18682887567148532</v>
      </c>
      <c r="N27" s="89">
        <f ca="1">_xll.meLWOBondCleanPrice($L27,$C$4,$M27%)</f>
        <v>100.67600000000002</v>
      </c>
      <c r="O27" s="89">
        <f ca="1">_xll.meLWOBondDirtyPrice($L27,$C$4,$M27%)</f>
        <v>100.67600000000002</v>
      </c>
      <c r="P27" s="72">
        <f ca="1">_xll.meLWOBondYield($L27,$C$4,N27)</f>
        <v>-1.8682887568762065E-3</v>
      </c>
      <c r="Q27" s="89">
        <f ca="1">_xll.meLWOBondModifiedDuration($L27,$C$4,$M27%)</f>
        <v>3.6094832830626937</v>
      </c>
      <c r="R27" s="23">
        <f ca="1">_xll.meLWOBondDV01($L27,$C$4,$M27%)</f>
        <v>363.3883390056198</v>
      </c>
      <c r="S27" s="21">
        <f t="shared" ca="1" si="2"/>
        <v>-0.18682887567148532</v>
      </c>
      <c r="T27" s="22" t="str">
        <f ca="1">_xll.BDP($B27,T$6, "YAS_BOND_YLD="&amp;S27,"YAS_YLD_CONV=1")</f>
        <v>#N/A Requesting Data...</v>
      </c>
      <c r="U27" s="23">
        <f t="shared" ca="1" si="3"/>
        <v>100.67600000000002</v>
      </c>
      <c r="V27" s="24" t="e">
        <f t="shared" ca="1" si="4"/>
        <v>#VALUE!</v>
      </c>
      <c r="W27" s="23">
        <f ca="1">_xll.meLWOBondDV01($L27,$C$4,$S27%)</f>
        <v>363.3883390056198</v>
      </c>
      <c r="X27" s="22" t="e">
        <f ca="1">_xll.BDP($B27,X$6, "YLD_YTM_ASK="&amp;$S27,"YAS_YLD_CONV=1")*$X$3*0.0001</f>
        <v>#VALUE!</v>
      </c>
      <c r="Y27" s="24" t="e">
        <f t="shared" ca="1" si="0"/>
        <v>#VALUE!</v>
      </c>
      <c r="Z27" s="23">
        <f ca="1">_xll.meLWOBondModifiedDuration($L27,$C$4,$S27%)</f>
        <v>3.6094832830626937</v>
      </c>
      <c r="AA27" s="23">
        <f ca="1">_xll.BDP($B27,AA$6, "YLD_YTM_ASK="&amp;$G27,"YAS_YLD_CONV=1")</f>
        <v>3.6094834387795505</v>
      </c>
      <c r="AB27" s="22">
        <f t="shared" ca="1" si="1"/>
        <v>1.5571685674231617E-7</v>
      </c>
      <c r="AC27" s="24">
        <f ca="1">_xll.meLWOBondDV01Numerical($L27,$C$4,$S27%, 0.5, "CENTRAL")</f>
        <v>363.38834292479311</v>
      </c>
    </row>
    <row r="28" spans="2:33">
      <c r="B28" s="15" t="s">
        <v>1408</v>
      </c>
      <c r="C28" s="15" t="s">
        <v>1409</v>
      </c>
      <c r="D28" s="15" t="s">
        <v>1409</v>
      </c>
      <c r="E28" s="16">
        <v>41368</v>
      </c>
      <c r="F28" s="19"/>
      <c r="G28" s="18"/>
      <c r="H28" s="16"/>
      <c r="I28" s="16"/>
      <c r="J28" s="17">
        <v>0</v>
      </c>
      <c r="K28" s="16">
        <v>44706</v>
      </c>
      <c r="L28" s="20" t="str">
        <f ca="1">_xll.meLWOBondCreateFromGeneratorLVB(C28,$L$4,_xll.meUtilityLVBFromKeysValues($C$6:$K$6,C28:K28))</f>
        <v>FR0011461375:0</v>
      </c>
      <c r="M28" s="92">
        <f ca="1">_xll.BDP($B28,$M$5)</f>
        <v>-0.18297590565653499</v>
      </c>
      <c r="N28" s="89">
        <f ca="1">_xll.meLWOBondCleanPrice($L28,$C$4,$M28%)</f>
        <v>100.66200000000001</v>
      </c>
      <c r="O28" s="89">
        <f ca="1">_xll.meLWOBondDirtyPrice($L28,$C$4,$M28%)</f>
        <v>100.66200000000001</v>
      </c>
      <c r="P28" s="72">
        <f ca="1">_xll.meLWOBondYield($L28,$C$4,N28)</f>
        <v>-1.8297590566793379E-3</v>
      </c>
      <c r="Q28" s="89">
        <f ca="1">_xll.meLWOBondModifiedDuration($L28,$C$4,$M28%)</f>
        <v>3.6093439558188161</v>
      </c>
      <c r="R28" s="23">
        <f ca="1">_xll.meLWOBondDV01($L28,$C$4,$M28%)</f>
        <v>363.32378128063368</v>
      </c>
      <c r="S28" s="21">
        <f t="shared" ca="1" si="2"/>
        <v>-0.18297590565653499</v>
      </c>
      <c r="T28" s="22" t="str">
        <f ca="1">_xll.BDP($B28,T$6, "YAS_BOND_YLD="&amp;S28,"YAS_YLD_CONV=1")</f>
        <v>#N/A Requesting Data...</v>
      </c>
      <c r="U28" s="23">
        <f t="shared" ca="1" si="3"/>
        <v>100.66200000000001</v>
      </c>
      <c r="V28" s="24" t="e">
        <f t="shared" ca="1" si="4"/>
        <v>#VALUE!</v>
      </c>
      <c r="W28" s="23">
        <f ca="1">_xll.meLWOBondDV01($L28,$C$4,$S28%)</f>
        <v>363.32378128063368</v>
      </c>
      <c r="X28" s="22" t="e">
        <f ca="1">_xll.BDP($B28,X$6, "YLD_YTM_ASK="&amp;$S28,"YAS_YLD_CONV=1")*$X$3*0.0001</f>
        <v>#VALUE!</v>
      </c>
      <c r="Y28" s="24" t="e">
        <f t="shared" ca="1" si="0"/>
        <v>#VALUE!</v>
      </c>
      <c r="Z28" s="23">
        <f ca="1">_xll.meLWOBondModifiedDuration($L28,$C$4,$S28%)</f>
        <v>3.6093439558188161</v>
      </c>
      <c r="AA28" s="23">
        <f ca="1">_xll.BDP($B28,AA$6, "YLD_YTM_ASK="&amp;$G28,"YAS_YLD_CONV=1")</f>
        <v>3.6093441115169869</v>
      </c>
      <c r="AB28" s="22">
        <f t="shared" ca="1" si="1"/>
        <v>1.5569817080063331E-7</v>
      </c>
      <c r="AC28" s="24">
        <f ca="1">_xll.meLWOBondDV01Numerical($L28,$C$4,$S28%, 0.5, "CENTRAL")</f>
        <v>363.32378519887249</v>
      </c>
    </row>
    <row r="29" spans="2:33">
      <c r="B29" s="15" t="s">
        <v>1152</v>
      </c>
      <c r="C29" s="15" t="s">
        <v>1153</v>
      </c>
      <c r="D29" s="15" t="s">
        <v>1153</v>
      </c>
      <c r="E29" s="16">
        <v>42695</v>
      </c>
      <c r="F29" s="19">
        <v>42515</v>
      </c>
      <c r="G29" s="18"/>
      <c r="H29" s="16">
        <v>42880</v>
      </c>
      <c r="I29" s="16">
        <v>44341</v>
      </c>
      <c r="J29" s="17">
        <v>0</v>
      </c>
      <c r="K29" s="16">
        <v>44706</v>
      </c>
      <c r="L29" s="20" t="str">
        <f ca="1">_xll.meLWOBondCreateFromGeneratorLVB(C29,$L$4,_xll.meUtilityLVBFromKeysValues($C$6:$K$6,C29:K29))</f>
        <v>FR0013219177:1</v>
      </c>
      <c r="M29" s="92">
        <f ca="1">_xll.BDP($B29,$M$5)</f>
        <v>-0.18682887567148532</v>
      </c>
      <c r="N29" s="89">
        <f ca="1">_xll.meLWOBondCleanPrice($L29,$C$4,$M29%)</f>
        <v>100.67600000000002</v>
      </c>
      <c r="O29" s="89">
        <f ca="1">_xll.meLWOBondDirtyPrice($L29,$C$4,$M29%)</f>
        <v>100.67600000000002</v>
      </c>
      <c r="P29" s="72">
        <f ca="1">_xll.meLWOBondYield($L29,$C$4,N29)</f>
        <v>-1.8682887568762065E-3</v>
      </c>
      <c r="Q29" s="89">
        <f ca="1">_xll.meLWOBondModifiedDuration($L29,$C$4,$M29%)</f>
        <v>3.6094832830626937</v>
      </c>
      <c r="R29" s="23">
        <f ca="1">_xll.meLWOBondDV01($L29,$C$4,$M29%)</f>
        <v>363.3883390056198</v>
      </c>
      <c r="S29" s="21">
        <f t="shared" ca="1" si="2"/>
        <v>-0.18682887567148532</v>
      </c>
      <c r="T29" s="22" t="str">
        <f ca="1">_xll.BDP($B29,T$6, "YAS_BOND_YLD="&amp;S29,"YAS_YLD_CONV=1")</f>
        <v>#N/A Requesting Data...</v>
      </c>
      <c r="U29" s="23">
        <f t="shared" ca="1" si="3"/>
        <v>100.67600000000002</v>
      </c>
      <c r="V29" s="24" t="e">
        <f t="shared" ca="1" si="4"/>
        <v>#VALUE!</v>
      </c>
      <c r="W29" s="23">
        <f ca="1">_xll.meLWOBondDV01($L29,$C$4,$S29%)</f>
        <v>363.3883390056198</v>
      </c>
      <c r="X29" s="22" t="e">
        <f ca="1">_xll.BDP($B29,X$6, "YLD_YTM_ASK="&amp;$S29,"YAS_YLD_CONV=1")*$X$3*0.0001</f>
        <v>#VALUE!</v>
      </c>
      <c r="Y29" s="24" t="e">
        <f t="shared" ca="1" si="0"/>
        <v>#VALUE!</v>
      </c>
      <c r="Z29" s="23">
        <f ca="1">_xll.meLWOBondModifiedDuration($L29,$C$4,$S29%)</f>
        <v>3.6094832830626937</v>
      </c>
      <c r="AA29" s="23">
        <f ca="1">_xll.BDP($B29,AA$6, "YLD_YTM_ASK="&amp;$G29,"YAS_YLD_CONV=1")</f>
        <v>3.6094834387795505</v>
      </c>
      <c r="AB29" s="22">
        <f t="shared" ca="1" si="1"/>
        <v>1.5571685674231617E-7</v>
      </c>
      <c r="AC29" s="24">
        <f ca="1">_xll.meLWOBondDV01Numerical($L29,$C$4,$S29%, 0.5, "CENTRAL")</f>
        <v>363.38834292479311</v>
      </c>
    </row>
    <row r="30" spans="2:33">
      <c r="B30" s="15" t="s">
        <v>1152</v>
      </c>
      <c r="C30" s="15" t="s">
        <v>1153</v>
      </c>
      <c r="D30" s="15" t="s">
        <v>1153</v>
      </c>
      <c r="E30" s="16">
        <v>42695</v>
      </c>
      <c r="F30" s="19">
        <v>42515</v>
      </c>
      <c r="G30" s="18"/>
      <c r="H30" s="16">
        <v>42880</v>
      </c>
      <c r="I30" s="16">
        <v>44341</v>
      </c>
      <c r="J30" s="17">
        <v>0</v>
      </c>
      <c r="K30" s="16">
        <v>44706</v>
      </c>
      <c r="L30" s="20" t="str">
        <f ca="1">_xll.meLWOBondCreateFromGeneratorLVB(C30,$L$4,_xll.meUtilityLVBFromKeysValues($C$6:$K$6,C30:K30))</f>
        <v>FR0013219177:0</v>
      </c>
      <c r="M30" s="92">
        <f ca="1">_xll.BDP($B30,$M$5)</f>
        <v>-0.18682887567148532</v>
      </c>
      <c r="N30" s="89">
        <f ca="1">_xll.meLWOBondCleanPrice($L30,$C$4,$M30%)</f>
        <v>100.67600000000002</v>
      </c>
      <c r="O30" s="89">
        <f ca="1">_xll.meLWOBondDirtyPrice($L30,$C$4,$M30%)</f>
        <v>100.67600000000002</v>
      </c>
      <c r="P30" s="72">
        <f ca="1">_xll.meLWOBondYield($L30,$C$4,N30)</f>
        <v>-1.8682887568762065E-3</v>
      </c>
      <c r="Q30" s="89">
        <f ca="1">_xll.meLWOBondModifiedDuration($L30,$C$4,$M30%)</f>
        <v>3.6094832830626937</v>
      </c>
      <c r="R30" s="23">
        <f ca="1">_xll.meLWOBondDV01($L30,$C$4,$M30%)</f>
        <v>363.3883390056198</v>
      </c>
      <c r="S30" s="21">
        <f t="shared" ca="1" si="2"/>
        <v>-0.18682887567148532</v>
      </c>
      <c r="T30" s="22" t="str">
        <f ca="1">_xll.BDP($B30,T$6, "YAS_BOND_YLD="&amp;S30,"YAS_YLD_CONV=1")</f>
        <v>#N/A Requesting Data...</v>
      </c>
      <c r="U30" s="23">
        <f t="shared" ca="1" si="3"/>
        <v>100.67600000000002</v>
      </c>
      <c r="V30" s="24" t="e">
        <f t="shared" ca="1" si="4"/>
        <v>#VALUE!</v>
      </c>
      <c r="W30" s="23">
        <f ca="1">_xll.meLWOBondDV01($L30,$C$4,$S30%)</f>
        <v>363.3883390056198</v>
      </c>
      <c r="X30" s="22" t="e">
        <f ca="1">_xll.BDP($B30,X$6, "YLD_YTM_ASK="&amp;$S30,"YAS_YLD_CONV=1")*$X$3*0.0001</f>
        <v>#VALUE!</v>
      </c>
      <c r="Y30" s="24" t="e">
        <f t="shared" ca="1" si="0"/>
        <v>#VALUE!</v>
      </c>
      <c r="Z30" s="23">
        <f ca="1">_xll.meLWOBondModifiedDuration($L30,$C$4,$S30%)</f>
        <v>3.6094832830626937</v>
      </c>
      <c r="AA30" s="23">
        <f ca="1">_xll.BDP($B30,AA$6, "YLD_YTM_ASK="&amp;$G30,"YAS_YLD_CONV=1")</f>
        <v>3.6094834387795505</v>
      </c>
      <c r="AB30" s="22">
        <f t="shared" ca="1" si="1"/>
        <v>1.5571685674231617E-7</v>
      </c>
      <c r="AC30" s="24">
        <f ca="1">_xll.meLWOBondDV01Numerical($L30,$C$4,$S30%, 0.5, "CENTRAL")</f>
        <v>363.38834292479311</v>
      </c>
    </row>
    <row r="31" spans="2:33">
      <c r="B31" s="15" t="s">
        <v>1180</v>
      </c>
      <c r="C31" s="15" t="s">
        <v>1181</v>
      </c>
      <c r="D31" s="15" t="s">
        <v>1181</v>
      </c>
      <c r="E31" s="16">
        <v>41191</v>
      </c>
      <c r="F31" s="19">
        <v>40841</v>
      </c>
      <c r="G31" s="18"/>
      <c r="H31" s="16">
        <v>41207</v>
      </c>
      <c r="I31" s="16">
        <v>44494</v>
      </c>
      <c r="J31" s="17">
        <v>2.2499999999999999E-2</v>
      </c>
      <c r="K31" s="16">
        <v>44859</v>
      </c>
      <c r="L31" s="20" t="str">
        <f ca="1">_xll.meLWOBondCreateFromGeneratorLVB(C31,$L$4,_xll.meUtilityLVBFromKeysValues($C$6:$K$6,C31:K31))</f>
        <v>FR0011337880:0</v>
      </c>
      <c r="M31" s="92">
        <f ca="1">_xll.BDP($B31,$M$5)</f>
        <v>-0.11233393413628986</v>
      </c>
      <c r="N31" s="89">
        <f ca="1">_xll.meLWOBondCleanPrice($L31,$C$4,$M31%)</f>
        <v>109.52800000010733</v>
      </c>
      <c r="O31" s="89">
        <f ca="1">_xll.meLWOBondDirtyPrice($L31,$C$4,$M31%)</f>
        <v>111.72868490010733</v>
      </c>
      <c r="P31" s="72">
        <f ca="1">_xll.meLWOBondYield($L31,$C$4,N31)</f>
        <v>-1.1233393413621327E-3</v>
      </c>
      <c r="Q31" s="89">
        <f ca="1">_xll.meLWOBondModifiedDuration($L31,$C$4,$M31%)</f>
        <v>3.8246018736194469</v>
      </c>
      <c r="R31" s="23">
        <f ca="1">_xll.meLWOBondDV01($L31,$C$4,$M31%)</f>
        <v>427.3177376059873</v>
      </c>
      <c r="S31" s="21">
        <f t="shared" ca="1" si="2"/>
        <v>-0.11233393413628986</v>
      </c>
      <c r="T31" s="22" t="str">
        <f ca="1">_xll.BDP($B31,T$6, "YAS_BOND_YLD="&amp;S31,"YAS_YLD_CONV=1")</f>
        <v>#N/A Requesting Data...</v>
      </c>
      <c r="U31" s="23">
        <f t="shared" ca="1" si="3"/>
        <v>109.52800000010733</v>
      </c>
      <c r="V31" s="24" t="e">
        <f t="shared" ca="1" si="4"/>
        <v>#VALUE!</v>
      </c>
      <c r="W31" s="23">
        <f ca="1">_xll.meLWOBondDV01($L31,$C$4,$S31%)</f>
        <v>427.3177376059873</v>
      </c>
      <c r="X31" s="22" t="e">
        <f ca="1">_xll.BDP($B31,X$6, "YLD_YTM_ASK="&amp;$S31,"YAS_YLD_CONV=1")*$X$3*0.0001</f>
        <v>#VALUE!</v>
      </c>
      <c r="Y31" s="24" t="e">
        <f t="shared" ca="1" si="0"/>
        <v>#VALUE!</v>
      </c>
      <c r="Z31" s="23">
        <f ca="1">_xll.meLWOBondModifiedDuration($L31,$C$4,$S31%)</f>
        <v>3.8246018736194469</v>
      </c>
      <c r="AA31" s="23">
        <f ca="1">_xll.BDP($B31,AA$6, "YLD_YTM_ASK="&amp;$G31,"YAS_YLD_CONV=1")</f>
        <v>3.8246020640547171</v>
      </c>
      <c r="AB31" s="22">
        <f t="shared" ca="1" si="1"/>
        <v>1.904352702197798E-7</v>
      </c>
      <c r="AC31" s="24">
        <f ca="1">_xll.meLWOBondDV01Numerical($L31,$C$4,$S31%, 0.5, "CENTRAL")</f>
        <v>427.31774291567609</v>
      </c>
      <c r="AG31" s="25"/>
    </row>
    <row r="32" spans="2:33">
      <c r="B32" s="15" t="s">
        <v>1280</v>
      </c>
      <c r="C32" s="15" t="s">
        <v>1281</v>
      </c>
      <c r="D32" s="15" t="s">
        <v>1281</v>
      </c>
      <c r="E32" s="16">
        <v>34450</v>
      </c>
      <c r="F32" s="19"/>
      <c r="G32" s="18"/>
      <c r="H32" s="16"/>
      <c r="I32" s="16"/>
      <c r="J32" s="17">
        <v>0</v>
      </c>
      <c r="K32" s="16">
        <v>44859</v>
      </c>
      <c r="L32" s="20" t="str">
        <f ca="1">_xll.meLWOBondCreateFromGeneratorLVB(C32,$L$4,_xll.meUtilityLVBFromKeysValues($C$6:$K$6,C32:K32))</f>
        <v>FR0000571051:0</v>
      </c>
      <c r="M32" s="92">
        <f ca="1">_xll.BDP($B32,$M$5)</f>
        <v>-8.1138916710876696E-2</v>
      </c>
      <c r="N32" s="89">
        <f ca="1">_xll.meLWOBondCleanPrice($L32,$C$4,$M32%)</f>
        <v>100.32700000000001</v>
      </c>
      <c r="O32" s="89">
        <f ca="1">_xll.meLWOBondDirtyPrice($L32,$C$4,$M32%)</f>
        <v>100.32700000000001</v>
      </c>
      <c r="P32" s="72">
        <f ca="1">_xll.meLWOBondYield($L32,$C$4,N32)</f>
        <v>-8.1138916729075724E-4</v>
      </c>
      <c r="Q32" s="89">
        <f ca="1">_xll.meLWOBondModifiedDuration($L32,$C$4,$M32%)</f>
        <v>4.0251837987491044</v>
      </c>
      <c r="R32" s="23">
        <f ca="1">_xll.meLWOBondDV01($L32,$C$4,$M32%)</f>
        <v>403.83461497710147</v>
      </c>
      <c r="S32" s="21">
        <f t="shared" ca="1" si="2"/>
        <v>-8.1138916710876696E-2</v>
      </c>
      <c r="T32" s="22" t="str">
        <f ca="1">_xll.BDP($B32,T$6, "YAS_BOND_YLD="&amp;S32,"YAS_YLD_CONV=1")</f>
        <v>#N/A Requesting Data...</v>
      </c>
      <c r="U32" s="23">
        <f t="shared" ca="1" si="3"/>
        <v>100.32700000000001</v>
      </c>
      <c r="V32" s="24" t="e">
        <f t="shared" ca="1" si="4"/>
        <v>#VALUE!</v>
      </c>
      <c r="W32" s="23">
        <f ca="1">_xll.meLWOBondDV01($L32,$C$4,$S32%)</f>
        <v>403.83461497710147</v>
      </c>
      <c r="X32" s="22" t="e">
        <f ca="1">_xll.BDP($B32,X$6, "YLD_YTM_ASK="&amp;$S32,"YAS_YLD_CONV=1")*$X$3*0.0001</f>
        <v>#VALUE!</v>
      </c>
      <c r="Y32" s="24" t="e">
        <f t="shared" ca="1" si="0"/>
        <v>#VALUE!</v>
      </c>
      <c r="Z32" s="23">
        <f ca="1">_xll.meLWOBondModifiedDuration($L32,$C$4,$S32%)</f>
        <v>4.0251837987491044</v>
      </c>
      <c r="AA32" s="23">
        <f ca="1">_xll.BDP($B32,AA$6, "YLD_YTM_ASK="&amp;$G32,"YAS_YLD_CONV=1")</f>
        <v>4.0251840019572169</v>
      </c>
      <c r="AB32" s="22">
        <f t="shared" ca="1" si="1"/>
        <v>2.0320811255913895E-7</v>
      </c>
      <c r="AC32" s="24">
        <f ca="1">_xll.meLWOBondDV01Numerical($L32,$C$4,$S32%, 0.5, "CENTRAL")</f>
        <v>403.83462007383741</v>
      </c>
    </row>
    <row r="33" spans="2:47">
      <c r="B33" s="15" t="s">
        <v>1362</v>
      </c>
      <c r="C33" s="15" t="s">
        <v>1363</v>
      </c>
      <c r="D33" s="15" t="s">
        <v>1363</v>
      </c>
      <c r="E33" s="16">
        <v>40140</v>
      </c>
      <c r="F33" s="19"/>
      <c r="G33" s="18"/>
      <c r="H33" s="16"/>
      <c r="I33" s="16"/>
      <c r="J33" s="17">
        <v>0</v>
      </c>
      <c r="K33" s="16">
        <v>44859</v>
      </c>
      <c r="L33" s="20" t="str">
        <f ca="1">_xll.meLWOBondCreateFromGeneratorLVB(C33,$L$4,_xll.meUtilityLVBFromKeysValues($C$6:$K$6,C33:K33))</f>
        <v>FR0010809897:0</v>
      </c>
      <c r="M33" s="92">
        <f ca="1">_xll.BDP($B33,$M$5)</f>
        <v>-0.12739119181534031</v>
      </c>
      <c r="N33" s="89">
        <f ca="1">_xll.meLWOBondCleanPrice($L33,$C$4,$M33%)</f>
        <v>100.51400000000001</v>
      </c>
      <c r="O33" s="89">
        <f ca="1">_xll.meLWOBondDirtyPrice($L33,$C$4,$M33%)</f>
        <v>100.51400000000001</v>
      </c>
      <c r="P33" s="72">
        <f ca="1">_xll.meLWOBondYield($L33,$C$4,N33)</f>
        <v>-1.2739119181766994E-3</v>
      </c>
      <c r="Q33" s="89">
        <f ca="1">_xll.meLWOBondModifiedDuration($L33,$C$4,$M33%)</f>
        <v>4.0270479125499499</v>
      </c>
      <c r="R33" s="23">
        <f ca="1">_xll.meLWOBondDV01($L33,$C$4,$M33%)</f>
        <v>404.77469388204571</v>
      </c>
      <c r="S33" s="21">
        <f t="shared" ca="1" si="2"/>
        <v>-0.12739119181534031</v>
      </c>
      <c r="T33" s="22" t="str">
        <f ca="1">_xll.BDP($B33,T$6, "YAS_BOND_YLD="&amp;S33,"YAS_YLD_CONV=1")</f>
        <v>#N/A Requesting Data...</v>
      </c>
      <c r="U33" s="23">
        <f t="shared" ca="1" si="3"/>
        <v>100.51400000000001</v>
      </c>
      <c r="V33" s="24" t="e">
        <f t="shared" ca="1" si="4"/>
        <v>#VALUE!</v>
      </c>
      <c r="W33" s="23">
        <f ca="1">_xll.meLWOBondDV01($L33,$C$4,$S33%)</f>
        <v>404.77469388204571</v>
      </c>
      <c r="X33" s="22" t="e">
        <f ca="1">_xll.BDP($B33,X$6, "YLD_YTM_ASK="&amp;$S33,"YAS_YLD_CONV=1")*$X$3*0.0001</f>
        <v>#VALUE!</v>
      </c>
      <c r="Y33" s="24" t="e">
        <f t="shared" ca="1" si="0"/>
        <v>#VALUE!</v>
      </c>
      <c r="Z33" s="23">
        <f ca="1">_xll.meLWOBondModifiedDuration($L33,$C$4,$S33%)</f>
        <v>4.0270479125499499</v>
      </c>
      <c r="AA33" s="23">
        <f ca="1">_xll.BDP($B33,AA$6, "YLD_YTM_ASK="&amp;$G33,"YAS_YLD_CONV=1")</f>
        <v>4.0270481160411311</v>
      </c>
      <c r="AB33" s="22">
        <f t="shared" ca="1" si="1"/>
        <v>2.0349118123874632E-7</v>
      </c>
      <c r="AC33" s="24">
        <f ca="1">_xll.meLWOBondDV01Numerical($L33,$C$4,$S33%, 0.5, "CENTRAL")</f>
        <v>404.7746989954249</v>
      </c>
    </row>
    <row r="34" spans="2:47">
      <c r="B34" s="15" t="s">
        <v>1496</v>
      </c>
      <c r="C34" s="15" t="s">
        <v>1497</v>
      </c>
      <c r="D34" s="15" t="s">
        <v>1497</v>
      </c>
      <c r="E34" s="16">
        <v>41800</v>
      </c>
      <c r="F34" s="19"/>
      <c r="G34" s="18"/>
      <c r="H34" s="16"/>
      <c r="I34" s="16"/>
      <c r="J34" s="17">
        <v>0</v>
      </c>
      <c r="K34" s="16">
        <v>44890</v>
      </c>
      <c r="L34" s="20" t="str">
        <f ca="1">_xll.meLWOBondCreateFromGeneratorLVB(C34,$L$4,_xll.meUtilityLVBFromKeysValues($C$6:$K$6,C34:K34))</f>
        <v>FR0011962489:0</v>
      </c>
      <c r="M34" s="92">
        <f ca="1">_xll.BDP($B34,$M$5)</f>
        <v>-8.6250672800836092E-2</v>
      </c>
      <c r="N34" s="89">
        <f ca="1">_xll.meLWOBondCleanPrice($L34,$C$4,$M34%)</f>
        <v>100.35499999999999</v>
      </c>
      <c r="O34" s="89">
        <f ca="1">_xll.meLWOBondDirtyPrice($L34,$C$4,$M34%)</f>
        <v>100.35499999999999</v>
      </c>
      <c r="P34" s="72">
        <f ca="1">_xll.meLWOBondYield($L34,$C$4,N34)</f>
        <v>-8.6250672816698816E-4</v>
      </c>
      <c r="Q34" s="89">
        <f ca="1">_xll.meLWOBondModifiedDuration($L34,$C$4,$M34%)</f>
        <v>4.1103945580295633</v>
      </c>
      <c r="R34" s="23">
        <f ca="1">_xll.meLWOBondDV01($L34,$C$4,$M34%)</f>
        <v>412.49864587105679</v>
      </c>
      <c r="S34" s="21">
        <f t="shared" ca="1" si="2"/>
        <v>-8.6250672800836092E-2</v>
      </c>
      <c r="T34" s="22" t="str">
        <f ca="1">_xll.BDP($B34,T$6, "YAS_BOND_YLD="&amp;S34,"YAS_YLD_CONV=1")</f>
        <v>#N/A Requesting Data...</v>
      </c>
      <c r="U34" s="23">
        <f t="shared" ca="1" si="3"/>
        <v>100.35499999999999</v>
      </c>
      <c r="V34" s="24" t="e">
        <f t="shared" ca="1" si="4"/>
        <v>#VALUE!</v>
      </c>
      <c r="W34" s="23">
        <f ca="1">_xll.meLWOBondDV01($L34,$C$4,$S34%)</f>
        <v>412.49864587105679</v>
      </c>
      <c r="X34" s="22" t="e">
        <f ca="1">_xll.BDP($B34,X$6, "YLD_YTM_ASK="&amp;$S34,"YAS_YLD_CONV=1")*$X$3*0.0001</f>
        <v>#VALUE!</v>
      </c>
      <c r="Y34" s="24" t="e">
        <f t="shared" ca="1" si="0"/>
        <v>#VALUE!</v>
      </c>
      <c r="Z34" s="23">
        <f ca="1">_xll.meLWOBondModifiedDuration($L34,$C$4,$S34%)</f>
        <v>4.1103945580295633</v>
      </c>
      <c r="AA34" s="23">
        <f ca="1">_xll.BDP($B34,AA$6, "YLD_YTM_ASK="&amp;$G34,"YAS_YLD_CONV=1")</f>
        <v>4.1103947720472283</v>
      </c>
      <c r="AB34" s="22">
        <f t="shared" ca="1" si="1"/>
        <v>2.1401766492346042E-7</v>
      </c>
      <c r="AC34" s="24">
        <f ca="1">_xll.meLWOBondDV01Numerical($L34,$C$4,$S34%, 0.5, "CENTRAL")</f>
        <v>412.49865124044055</v>
      </c>
    </row>
    <row r="35" spans="2:47">
      <c r="B35" s="15" t="s">
        <v>1552</v>
      </c>
      <c r="C35" s="15" t="s">
        <v>1553</v>
      </c>
      <c r="D35" s="15" t="s">
        <v>1553</v>
      </c>
      <c r="E35" s="16">
        <v>41367</v>
      </c>
      <c r="F35" s="19">
        <v>41367</v>
      </c>
      <c r="G35" s="18"/>
      <c r="H35" s="16">
        <v>41732</v>
      </c>
      <c r="I35" s="16">
        <v>44654</v>
      </c>
      <c r="J35" s="17">
        <v>2.75E-2</v>
      </c>
      <c r="K35" s="16">
        <v>45019</v>
      </c>
      <c r="L35" s="20" t="str">
        <f ca="1">_xll.meLWOBondCreateFromGeneratorLVB(C35,$L$4,_xll.meUtilityLVBFromKeysValues($C$6:$K$6,C35:K35))</f>
        <v>FR0011438373:0</v>
      </c>
      <c r="M35" s="92">
        <f ca="1">_xll.BDP($B35,$M$5)</f>
        <v>0.13401172011145249</v>
      </c>
      <c r="N35" s="89">
        <f ca="1">_xll.meLWOBondCleanPrice($L35,$C$4,$M35%)</f>
        <v>111.62500000045773</v>
      </c>
      <c r="O35" s="89">
        <f ca="1">_xll.meLWOBondDirtyPrice($L35,$C$4,$M35%)</f>
        <v>113.10924660045774</v>
      </c>
      <c r="P35" s="72">
        <f ca="1">_xll.meLWOBondYield($L35,$C$4,N35)</f>
        <v>1.3401172011147204E-3</v>
      </c>
      <c r="Q35" s="89">
        <f ca="1">_xll.meLWOBondModifiedDuration($L35,$C$4,$M35%)</f>
        <v>4.211976436115946</v>
      </c>
      <c r="R35" s="23">
        <f ca="1">_xll.meLWOBondDV01($L35,$C$4,$M35%)</f>
        <v>476.41348138795564</v>
      </c>
      <c r="S35" s="21">
        <f t="shared" ca="1" si="2"/>
        <v>0.13401172011145249</v>
      </c>
      <c r="T35" s="22" t="str">
        <f ca="1">_xll.BDP($B35,T$6, "YAS_BOND_YLD="&amp;S35,"YAS_YLD_CONV=1")</f>
        <v>#N/A Requesting Data...</v>
      </c>
      <c r="U35" s="23">
        <f t="shared" ca="1" si="3"/>
        <v>111.62500000045773</v>
      </c>
      <c r="V35" s="24" t="e">
        <f t="shared" ca="1" si="4"/>
        <v>#VALUE!</v>
      </c>
      <c r="W35" s="23">
        <f ca="1">_xll.meLWOBondDV01($L35,$C$4,$S35%)</f>
        <v>476.41348138795564</v>
      </c>
      <c r="X35" s="22" t="e">
        <f ca="1">_xll.BDP($B35,X$6, "YLD_YTM_ASK="&amp;$S35,"YAS_YLD_CONV=1")*$X$3*0.0001</f>
        <v>#VALUE!</v>
      </c>
      <c r="Y35" s="24" t="e">
        <f t="shared" ca="1" si="0"/>
        <v>#VALUE!</v>
      </c>
      <c r="Z35" s="23">
        <f ca="1">_xll.meLWOBondModifiedDuration($L35,$C$4,$S35%)</f>
        <v>4.211976436115946</v>
      </c>
      <c r="AA35" s="23">
        <f ca="1">_xll.BDP($B35,AA$6, "YLD_YTM_ASK="&amp;$G35,"YAS_YLD_CONV=1")</f>
        <v>4.211976677208785</v>
      </c>
      <c r="AB35" s="22">
        <f t="shared" ca="1" si="1"/>
        <v>2.4109283902618017E-7</v>
      </c>
      <c r="AC35" s="24">
        <f ca="1">_xll.meLWOBondDV01Numerical($L35,$C$4,$S35%, 0.5, "CENTRAL")</f>
        <v>476.41348821187535</v>
      </c>
      <c r="AE35" s="25"/>
    </row>
    <row r="36" spans="2:47">
      <c r="B36" s="15" t="s">
        <v>1212</v>
      </c>
      <c r="C36" s="15" t="s">
        <v>1213</v>
      </c>
      <c r="D36" s="15" t="s">
        <v>1213</v>
      </c>
      <c r="E36" s="16">
        <v>33630</v>
      </c>
      <c r="F36" s="19">
        <v>33630</v>
      </c>
      <c r="G36" s="18"/>
      <c r="H36" s="16">
        <v>33719</v>
      </c>
      <c r="I36" s="16">
        <v>44676</v>
      </c>
      <c r="J36" s="17">
        <v>8.5000000000000006E-2</v>
      </c>
      <c r="K36" s="16">
        <v>45041</v>
      </c>
      <c r="L36" s="20" t="str">
        <f ca="1">_xll.meLWOBondCreateFromGeneratorLVB(C36,$L$4,_xll.meUtilityLVBFromKeysValues($C$6:$K$6,C36:K36))</f>
        <v>FR0000571085:0</v>
      </c>
      <c r="M36" s="92">
        <f ca="1">_xll.BDP($B36,$M$5)</f>
        <v>-3.8828302466862565E-2</v>
      </c>
      <c r="N36" s="89">
        <f ca="1">_xll.meLWOBondCleanPrice($L36,$C$4,$M36%)</f>
        <v>138.64200000000048</v>
      </c>
      <c r="O36" s="89">
        <f ca="1">_xll.meLWOBondDirtyPrice($L36,$C$4,$M36%)</f>
        <v>142.71734250000048</v>
      </c>
      <c r="P36" s="72">
        <f ca="1">_xll.meLWOBondYield($L36,$C$4,N36)</f>
        <v>-3.8828302466725734E-4</v>
      </c>
      <c r="Q36" s="89">
        <f ca="1">_xll.meLWOBondModifiedDuration($L36,$C$4,$M36%)</f>
        <v>3.9261377080151512</v>
      </c>
      <c r="R36" s="23">
        <f ca="1">_xll.meLWOBondDV01($L36,$C$4,$M36%)</f>
        <v>560.32793997696524</v>
      </c>
      <c r="S36" s="21">
        <f t="shared" ca="1" si="2"/>
        <v>-3.8828302466862565E-2</v>
      </c>
      <c r="T36" s="22" t="str">
        <f ca="1">_xll.BDP($B36,T$6, "YAS_BOND_YLD="&amp;S36,"YAS_YLD_CONV=1")</f>
        <v>#N/A Requesting Data...</v>
      </c>
      <c r="U36" s="23">
        <f t="shared" ca="1" si="3"/>
        <v>138.64200000000048</v>
      </c>
      <c r="V36" s="24" t="e">
        <f t="shared" ca="1" si="4"/>
        <v>#VALUE!</v>
      </c>
      <c r="W36" s="23">
        <f ca="1">_xll.meLWOBondDV01($L36,$C$4,$S36%)</f>
        <v>560.32793997696524</v>
      </c>
      <c r="X36" s="22" t="e">
        <f ca="1">_xll.BDP($B36,X$6, "YLD_YTM_ASK="&amp;$S36,"YAS_YLD_CONV=1")*$X$3*0.0001</f>
        <v>#VALUE!</v>
      </c>
      <c r="Y36" s="24" t="e">
        <f t="shared" ca="1" si="0"/>
        <v>#VALUE!</v>
      </c>
      <c r="Z36" s="23">
        <f ca="1">_xll.meLWOBondModifiedDuration($L36,$C$4,$S36%)</f>
        <v>3.9261377080151512</v>
      </c>
      <c r="AA36" s="23">
        <f ca="1">_xll.BDP($B36,AA$6, "YLD_YTM_ASK="&amp;$G36,"YAS_YLD_CONV=1")</f>
        <v>3.926137929901778</v>
      </c>
      <c r="AB36" s="22">
        <f t="shared" ca="1" si="1"/>
        <v>2.218866268499653E-7</v>
      </c>
      <c r="AC36" s="24">
        <f ca="1">_xll.meLWOBondDV01Numerical($L36,$C$4,$S36%, 0.5, "CENTRAL")</f>
        <v>560.32794786403895</v>
      </c>
    </row>
    <row r="37" spans="2:47">
      <c r="B37" s="15" t="s">
        <v>1242</v>
      </c>
      <c r="C37" s="15" t="s">
        <v>1243</v>
      </c>
      <c r="D37" s="15" t="s">
        <v>1243</v>
      </c>
      <c r="E37" s="16">
        <v>33735</v>
      </c>
      <c r="F37" s="19"/>
      <c r="G37" s="18"/>
      <c r="H37" s="16"/>
      <c r="I37" s="16"/>
      <c r="J37" s="17">
        <v>0</v>
      </c>
      <c r="K37" s="16">
        <v>45041</v>
      </c>
      <c r="L37" s="20" t="str">
        <f ca="1">_xll.meLWOBondCreateFromGeneratorLVB(C37,$L$4,_xll.meUtilityLVBFromKeysValues($C$6:$K$6,C37:K37))</f>
        <v>FR0000571077:0</v>
      </c>
      <c r="M37" s="92">
        <f ca="1">_xll.BDP($B37,$M$5)</f>
        <v>3.0774609280737053E-2</v>
      </c>
      <c r="N37" s="89">
        <f ca="1">_xll.meLWOBondCleanPrice($L37,$C$4,$M37%)</f>
        <v>99.861000000000047</v>
      </c>
      <c r="O37" s="89">
        <f ca="1">_xll.meLWOBondDirtyPrice($L37,$C$4,$M37%)</f>
        <v>99.861000000000047</v>
      </c>
      <c r="P37" s="72">
        <f ca="1">_xll.meLWOBondYield($L37,$C$4,N37)</f>
        <v>3.0774609272110815E-4</v>
      </c>
      <c r="Q37" s="89">
        <f ca="1">_xll.meLWOBondModifiedDuration($L37,$C$4,$M37%)</f>
        <v>4.5191571922367872</v>
      </c>
      <c r="R37" s="23">
        <f ca="1">_xll.meLWOBondDV01($L37,$C$4,$M37%)</f>
        <v>451.28755637395801</v>
      </c>
      <c r="S37" s="21">
        <f t="shared" ca="1" si="2"/>
        <v>3.0774609280737053E-2</v>
      </c>
      <c r="T37" s="22" t="str">
        <f ca="1">_xll.BDP($B37,T$6, "YAS_BOND_YLD="&amp;S37,"YAS_YLD_CONV=1")</f>
        <v>#N/A Requesting Data...</v>
      </c>
      <c r="U37" s="23">
        <f t="shared" ca="1" si="3"/>
        <v>99.861000000000047</v>
      </c>
      <c r="V37" s="24" t="e">
        <f t="shared" ca="1" si="4"/>
        <v>#VALUE!</v>
      </c>
      <c r="W37" s="23">
        <f ca="1">_xll.meLWOBondDV01($L37,$C$4,$S37%)</f>
        <v>451.28755637395801</v>
      </c>
      <c r="X37" s="22" t="e">
        <f ca="1">_xll.BDP($B37,X$6, "YLD_YTM_ASK="&amp;$S37,"YAS_YLD_CONV=1")*$X$3*0.0001</f>
        <v>#VALUE!</v>
      </c>
      <c r="Y37" s="24" t="e">
        <f t="shared" ca="1" si="0"/>
        <v>#VALUE!</v>
      </c>
      <c r="Z37" s="23">
        <f ca="1">_xll.meLWOBondModifiedDuration($L37,$C$4,$S37%)</f>
        <v>4.5191571922367872</v>
      </c>
      <c r="AA37" s="23">
        <f ca="1">_xll.BDP($B37,AA$6, "YLD_YTM_ASK="&amp;$G37,"YAS_YLD_CONV=1")</f>
        <v>4.5191574631956</v>
      </c>
      <c r="AB37" s="22">
        <f t="shared" ca="1" si="1"/>
        <v>2.7095881272032329E-7</v>
      </c>
      <c r="AC37" s="24">
        <f ca="1">_xll.meLWOBondDV01Numerical($L37,$C$4,$S37%, 0.5, "CENTRAL")</f>
        <v>451.28756313957297</v>
      </c>
    </row>
    <row r="38" spans="2:47">
      <c r="B38" s="15" t="s">
        <v>1262</v>
      </c>
      <c r="C38" s="15" t="s">
        <v>1263</v>
      </c>
      <c r="D38" s="15" t="s">
        <v>1263</v>
      </c>
      <c r="E38" s="16">
        <v>40140</v>
      </c>
      <c r="F38" s="19"/>
      <c r="G38" s="18"/>
      <c r="H38" s="16"/>
      <c r="I38" s="16"/>
      <c r="J38" s="17">
        <v>0</v>
      </c>
      <c r="K38" s="16">
        <v>45041</v>
      </c>
      <c r="L38" s="20" t="str">
        <f ca="1">_xll.meLWOBondCreateFromGeneratorLVB(C38,$L$4,_xll.meUtilityLVBFromKeysValues($C$6:$K$6,C38:K38))</f>
        <v>FR0010809921:0</v>
      </c>
      <c r="M38" s="92">
        <f ca="1">_xll.BDP($B38,$M$5)</f>
        <v>-1.415204576890039E-2</v>
      </c>
      <c r="N38" s="89">
        <f ca="1">_xll.meLWOBondCleanPrice($L38,$C$4,$M38%)</f>
        <v>100.06399999999999</v>
      </c>
      <c r="O38" s="89">
        <f ca="1">_xll.meLWOBondDirtyPrice($L38,$C$4,$M38%)</f>
        <v>100.06399999999999</v>
      </c>
      <c r="P38" s="72">
        <f ca="1">_xll.meLWOBondYield($L38,$C$4,N38)</f>
        <v>-1.4152045772582294E-4</v>
      </c>
      <c r="Q38" s="89">
        <f ca="1">_xll.meLWOBondModifiedDuration($L38,$C$4,$M38%)</f>
        <v>4.5211877857702198</v>
      </c>
      <c r="R38" s="23">
        <f ca="1">_xll.meLWOBondDV01($L38,$C$4,$M38%)</f>
        <v>452.40813459531125</v>
      </c>
      <c r="S38" s="21">
        <f t="shared" ca="1" si="2"/>
        <v>-1.415204576890039E-2</v>
      </c>
      <c r="T38" s="22" t="str">
        <f ca="1">_xll.BDP($B38,T$6, "YAS_BOND_YLD="&amp;S38,"YAS_YLD_CONV=1")</f>
        <v>#N/A Requesting Data...</v>
      </c>
      <c r="U38" s="23">
        <f t="shared" ca="1" si="3"/>
        <v>100.06399999999999</v>
      </c>
      <c r="V38" s="24" t="e">
        <f t="shared" ca="1" si="4"/>
        <v>#VALUE!</v>
      </c>
      <c r="W38" s="23">
        <f ca="1">_xll.meLWOBondDV01($L38,$C$4,$S38%)</f>
        <v>452.40813459531125</v>
      </c>
      <c r="X38" s="22" t="e">
        <f ca="1">_xll.BDP($B38,X$6, "YLD_YTM_ASK="&amp;$S38,"YAS_YLD_CONV=1")*$X$3*0.0001</f>
        <v>#VALUE!</v>
      </c>
      <c r="Y38" s="24" t="e">
        <f t="shared" ca="1" si="0"/>
        <v>#VALUE!</v>
      </c>
      <c r="Z38" s="23">
        <f ca="1">_xll.meLWOBondModifiedDuration($L38,$C$4,$S38%)</f>
        <v>4.5211877857702198</v>
      </c>
      <c r="AA38" s="23">
        <f ca="1">_xll.BDP($B38,AA$6, "YLD_YTM_ASK="&amp;$G38,"YAS_YLD_CONV=1")</f>
        <v>4.5211880570954284</v>
      </c>
      <c r="AB38" s="22">
        <f t="shared" ca="1" si="1"/>
        <v>2.7132520852291009E-7</v>
      </c>
      <c r="AC38" s="24">
        <f ca="1">_xll.meLWOBondDV01Numerical($L38,$C$4,$S38%, 0.5, "CENTRAL")</f>
        <v>452.40814138281848</v>
      </c>
    </row>
    <row r="39" spans="2:47" s="50" customFormat="1">
      <c r="B39" s="15" t="s">
        <v>1308</v>
      </c>
      <c r="C39" s="15" t="s">
        <v>1309</v>
      </c>
      <c r="D39" s="15" t="s">
        <v>1309</v>
      </c>
      <c r="E39" s="16">
        <v>33735</v>
      </c>
      <c r="F39" s="19"/>
      <c r="G39" s="18"/>
      <c r="H39" s="16"/>
      <c r="I39" s="16"/>
      <c r="J39" s="17">
        <v>0</v>
      </c>
      <c r="K39" s="16">
        <v>45041</v>
      </c>
      <c r="L39" s="20" t="str">
        <f ca="1">_xll.meLWOBondCreateFromGeneratorLVB(C39,$L$4,_xll.meUtilityLVBFromKeysValues($C$6:$K$6,C39:K39))</f>
        <v>FR0000571069:0</v>
      </c>
      <c r="M39" s="92">
        <f ca="1">_xll.BDP($B39,$M$5)</f>
        <v>3.0774609280737053E-2</v>
      </c>
      <c r="N39" s="89">
        <f ca="1">_xll.meLWOBondCleanPrice($L39,$C$4,$M39%)</f>
        <v>99.861000000000047</v>
      </c>
      <c r="O39" s="89">
        <f ca="1">_xll.meLWOBondDirtyPrice($L39,$C$4,$M39%)</f>
        <v>99.861000000000047</v>
      </c>
      <c r="P39" s="72">
        <f ca="1">_xll.meLWOBondYield($L39,$C$4,N39)</f>
        <v>3.0774609272110815E-4</v>
      </c>
      <c r="Q39" s="89">
        <f ca="1">_xll.meLWOBondModifiedDuration($L39,$C$4,$M39%)</f>
        <v>4.5191571922367872</v>
      </c>
      <c r="R39" s="23">
        <f ca="1">_xll.meLWOBondDV01($L39,$C$4,$M39%)</f>
        <v>451.28755637395801</v>
      </c>
      <c r="S39" s="21">
        <f t="shared" ca="1" si="2"/>
        <v>3.0774609280737053E-2</v>
      </c>
      <c r="T39" s="22" t="str">
        <f ca="1">_xll.BDP($B39,T$6, "YAS_BOND_YLD="&amp;S39,"YAS_YLD_CONV=1")</f>
        <v>#N/A Requesting Data...</v>
      </c>
      <c r="U39" s="23">
        <f t="shared" ca="1" si="3"/>
        <v>99.861000000000047</v>
      </c>
      <c r="V39" s="24" t="e">
        <f t="shared" ca="1" si="4"/>
        <v>#VALUE!</v>
      </c>
      <c r="W39" s="23">
        <f ca="1">_xll.meLWOBondDV01($L39,$C$4,$S39%)</f>
        <v>451.28755637395801</v>
      </c>
      <c r="X39" s="22" t="e">
        <f ca="1">_xll.BDP($B39,X$6, "YLD_YTM_ASK="&amp;$S39,"YAS_YLD_CONV=1")*$X$3*0.0001</f>
        <v>#VALUE!</v>
      </c>
      <c r="Y39" s="24" t="e">
        <f t="shared" ca="1" si="0"/>
        <v>#VALUE!</v>
      </c>
      <c r="Z39" s="23">
        <f ca="1">_xll.meLWOBondModifiedDuration($L39,$C$4,$S39%)</f>
        <v>4.5191571922367872</v>
      </c>
      <c r="AA39" s="23">
        <f ca="1">_xll.BDP($B39,AA$6, "YLD_YTM_ASK="&amp;$G39,"YAS_YLD_CONV=1")</f>
        <v>4.5191574631956</v>
      </c>
      <c r="AB39" s="22">
        <f t="shared" ca="1" si="1"/>
        <v>2.7095881272032329E-7</v>
      </c>
      <c r="AC39" s="24">
        <f ca="1">_xll.meLWOBondDV01Numerical($L39,$C$4,$S39%, 0.5, "CENTRAL")</f>
        <v>451.28756313957297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2:47" s="50" customFormat="1">
      <c r="B40" s="15" t="s">
        <v>1178</v>
      </c>
      <c r="C40" s="15" t="s">
        <v>1179</v>
      </c>
      <c r="D40" s="15" t="s">
        <v>1179</v>
      </c>
      <c r="E40" s="16">
        <v>41401</v>
      </c>
      <c r="F40" s="19">
        <v>41054</v>
      </c>
      <c r="G40" s="18"/>
      <c r="H40" s="16">
        <v>41419</v>
      </c>
      <c r="I40" s="16">
        <v>44706</v>
      </c>
      <c r="J40" s="17">
        <v>1.7500000000000002E-2</v>
      </c>
      <c r="K40" s="16">
        <v>45071</v>
      </c>
      <c r="L40" s="20" t="str">
        <f ca="1">_xll.meLWOBondCreateFromGeneratorLVB(C40,$L$4,_xll.meUtilityLVBFromKeysValues($C$6:$K$6,C40:K40))</f>
        <v>FR0011486067:0</v>
      </c>
      <c r="M40" s="92">
        <f ca="1">_xll.BDP($B40,$M$5)</f>
        <v>1.031134399772579E-2</v>
      </c>
      <c r="N40" s="89">
        <f ca="1">_xll.meLWOBondCleanPrice($L40,$C$4,$M40%)</f>
        <v>108.00500000006923</v>
      </c>
      <c r="O40" s="89">
        <f ca="1">_xll.meLWOBondDirtyPrice($L40,$C$4,$M40%)</f>
        <v>108.70020550006923</v>
      </c>
      <c r="P40" s="72">
        <f ca="1">_xll.meLWOBondYield($L40,$C$4,N40)</f>
        <v>1.031134399776339E-4</v>
      </c>
      <c r="Q40" s="89">
        <f ca="1">_xll.meLWOBondModifiedDuration($L40,$C$4,$M40%)</f>
        <v>4.4413151128173149</v>
      </c>
      <c r="R40" s="23">
        <f ca="1">_xll.meLWOBondDV01($L40,$C$4,$M40%)</f>
        <v>482.77186545380533</v>
      </c>
      <c r="S40" s="21">
        <f t="shared" ca="1" si="2"/>
        <v>1.031134399772579E-2</v>
      </c>
      <c r="T40" s="22" t="str">
        <f ca="1">_xll.BDP($B40,T$6, "YAS_BOND_YLD="&amp;S40,"YAS_YLD_CONV=1")</f>
        <v>#N/A Requesting Data...</v>
      </c>
      <c r="U40" s="23">
        <f t="shared" ca="1" si="3"/>
        <v>108.00500000006923</v>
      </c>
      <c r="V40" s="24" t="e">
        <f t="shared" ca="1" si="4"/>
        <v>#VALUE!</v>
      </c>
      <c r="W40" s="23">
        <f ca="1">_xll.meLWOBondDV01($L40,$C$4,$S40%)</f>
        <v>482.77186545380533</v>
      </c>
      <c r="X40" s="22" t="e">
        <f ca="1">_xll.BDP($B40,X$6, "YLD_YTM_ASK="&amp;$S40,"YAS_YLD_CONV=1")*$X$3*0.0001</f>
        <v>#VALUE!</v>
      </c>
      <c r="Y40" s="24" t="e">
        <f t="shared" ca="1" si="0"/>
        <v>#VALUE!</v>
      </c>
      <c r="Z40" s="23">
        <f ca="1">_xll.meLWOBondModifiedDuration($L40,$C$4,$S40%)</f>
        <v>4.4413151128173149</v>
      </c>
      <c r="AA40" s="23">
        <f ca="1">_xll.BDP($B40,AA$6, "YLD_YTM_ASK="&amp;$G40,"YAS_YLD_CONV=1")</f>
        <v>4.4413153910092902</v>
      </c>
      <c r="AB40" s="22">
        <f t="shared" ca="1" si="1"/>
        <v>2.7819197523371031E-7</v>
      </c>
      <c r="AC40" s="24">
        <f ca="1">_xll.meLWOBondDV01Numerical($L40,$C$4,$S40%, 0.5, "CENTRAL")</f>
        <v>482.77187277889766</v>
      </c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2:47" s="50" customFormat="1">
      <c r="B41" s="15" t="s">
        <v>1412</v>
      </c>
      <c r="C41" s="15" t="s">
        <v>1413</v>
      </c>
      <c r="D41" s="15" t="s">
        <v>1413</v>
      </c>
      <c r="E41" s="16">
        <v>41368</v>
      </c>
      <c r="F41" s="19"/>
      <c r="G41" s="18"/>
      <c r="H41" s="16"/>
      <c r="I41" s="16"/>
      <c r="J41" s="17">
        <v>0</v>
      </c>
      <c r="K41" s="16">
        <v>45071</v>
      </c>
      <c r="L41" s="20" t="str">
        <f ca="1">_xll.meLWOBondCreateFromGeneratorLVB(C41,$L$4,_xll.meUtilityLVBFromKeysValues($C$6:$K$6,C41:K41))</f>
        <v>FR0011461383:0</v>
      </c>
      <c r="M41" s="92">
        <f ca="1">_xll.BDP($B41,$M$5)</f>
        <v>-3.0414075181339761E-3</v>
      </c>
      <c r="N41" s="89">
        <f ca="1">_xll.meLWOBondCleanPrice($L41,$C$4,$M41%)</f>
        <v>100.01400000000001</v>
      </c>
      <c r="O41" s="89">
        <f ca="1">_xll.meLWOBondDirtyPrice($L41,$C$4,$M41%)</f>
        <v>100.01400000000001</v>
      </c>
      <c r="P41" s="72">
        <f ca="1">_xll.meLWOBondYield($L41,$C$4,N41)</f>
        <v>-3.0414075187104085E-5</v>
      </c>
      <c r="Q41" s="89">
        <f ca="1">_xll.meLWOBondModifiedDuration($L41,$C$4,$M41%)</f>
        <v>4.6028797183572019</v>
      </c>
      <c r="R41" s="23">
        <f ca="1">_xll.meLWOBondDV01($L41,$C$4,$M41%)</f>
        <v>460.35241215177723</v>
      </c>
      <c r="S41" s="21">
        <f t="shared" ca="1" si="2"/>
        <v>-3.0414075181339761E-3</v>
      </c>
      <c r="T41" s="22" t="str">
        <f ca="1">_xll.BDP($B41,T$6, "YAS_BOND_YLD="&amp;S41,"YAS_YLD_CONV=1")</f>
        <v>#N/A Requesting Data...</v>
      </c>
      <c r="U41" s="23">
        <f t="shared" ca="1" si="3"/>
        <v>100.01400000000001</v>
      </c>
      <c r="V41" s="24" t="e">
        <f t="shared" ca="1" si="4"/>
        <v>#VALUE!</v>
      </c>
      <c r="W41" s="23">
        <f ca="1">_xll.meLWOBondDV01($L41,$C$4,$S41%)</f>
        <v>460.35241215177723</v>
      </c>
      <c r="X41" s="22" t="e">
        <f ca="1">_xll.BDP($B41,X$6, "YLD_YTM_ASK="&amp;$S41,"YAS_YLD_CONV=1")*$X$3*0.0001</f>
        <v>#VALUE!</v>
      </c>
      <c r="Y41" s="24" t="e">
        <f t="shared" ca="1" si="0"/>
        <v>#VALUE!</v>
      </c>
      <c r="Z41" s="23">
        <f ca="1">_xll.meLWOBondModifiedDuration($L41,$C$4,$S41%)</f>
        <v>4.6028797183572019</v>
      </c>
      <c r="AA41" s="23">
        <f ca="1">_xll.BDP($B41,AA$6, "YLD_YTM_ASK="&amp;$G41,"YAS_YLD_CONV=1")</f>
        <v>4.6028800021702034</v>
      </c>
      <c r="AB41" s="22">
        <f t="shared" ca="1" si="1"/>
        <v>2.8381300154478595E-7</v>
      </c>
      <c r="AC41" s="24">
        <f ca="1">_xll.meLWOBondDV01Numerical($L41,$C$4,$S41%, 0.5, "CENTRAL")</f>
        <v>460.35241924798248</v>
      </c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2:47" s="50" customFormat="1">
      <c r="B42" s="15" t="s">
        <v>1178</v>
      </c>
      <c r="C42" s="15" t="s">
        <v>1179</v>
      </c>
      <c r="D42" s="15" t="s">
        <v>1179</v>
      </c>
      <c r="E42" s="16">
        <v>41401</v>
      </c>
      <c r="F42" s="19">
        <v>41054</v>
      </c>
      <c r="G42" s="18"/>
      <c r="H42" s="16">
        <v>41419</v>
      </c>
      <c r="I42" s="16">
        <v>44706</v>
      </c>
      <c r="J42" s="17">
        <v>1.7500000000000002E-2</v>
      </c>
      <c r="K42" s="16">
        <v>45071</v>
      </c>
      <c r="L42" s="20" t="str">
        <f ca="1">_xll.meLWOBondCreateFromGeneratorLVB(C42,$L$4,_xll.meUtilityLVBFromKeysValues($C$6:$K$6,C42:K42))</f>
        <v>FR0011486067:1</v>
      </c>
      <c r="M42" s="92">
        <f ca="1">_xll.BDP($B42,$M$5)</f>
        <v>1.031134399772579E-2</v>
      </c>
      <c r="N42" s="89">
        <f ca="1">_xll.meLWOBondCleanPrice($L42,$C$4,$M42%)</f>
        <v>108.00500000006923</v>
      </c>
      <c r="O42" s="89">
        <f ca="1">_xll.meLWOBondDirtyPrice($L42,$C$4,$M42%)</f>
        <v>108.70020550006923</v>
      </c>
      <c r="P42" s="72">
        <f ca="1">_xll.meLWOBondYield($L42,$C$4,N42)</f>
        <v>1.031134399776339E-4</v>
      </c>
      <c r="Q42" s="89">
        <f ca="1">_xll.meLWOBondModifiedDuration($L42,$C$4,$M42%)</f>
        <v>4.4413151128173149</v>
      </c>
      <c r="R42" s="23">
        <f ca="1">_xll.meLWOBondDV01($L42,$C$4,$M42%)</f>
        <v>482.77186545380533</v>
      </c>
      <c r="S42" s="21">
        <f t="shared" ca="1" si="2"/>
        <v>1.031134399772579E-2</v>
      </c>
      <c r="T42" s="22" t="str">
        <f ca="1">_xll.BDP($B42,T$6, "YAS_BOND_YLD="&amp;S42,"YAS_YLD_CONV=1")</f>
        <v>#N/A Requesting Data...</v>
      </c>
      <c r="U42" s="23">
        <f t="shared" ca="1" si="3"/>
        <v>108.00500000006923</v>
      </c>
      <c r="V42" s="24" t="e">
        <f t="shared" ca="1" si="4"/>
        <v>#VALUE!</v>
      </c>
      <c r="W42" s="23">
        <f ca="1">_xll.meLWOBondDV01($L42,$C$4,$S42%)</f>
        <v>482.77186545380533</v>
      </c>
      <c r="X42" s="22" t="e">
        <f ca="1">_xll.BDP($B42,X$6, "YLD_YTM_ASK="&amp;$S42,"YAS_YLD_CONV=1")*$X$3*0.0001</f>
        <v>#VALUE!</v>
      </c>
      <c r="Y42" s="24" t="e">
        <f t="shared" ca="1" si="0"/>
        <v>#VALUE!</v>
      </c>
      <c r="Z42" s="23">
        <f ca="1">_xll.meLWOBondModifiedDuration($L42,$C$4,$S42%)</f>
        <v>4.4413151128173149</v>
      </c>
      <c r="AA42" s="23">
        <f ca="1">_xll.BDP($B42,AA$6, "YLD_YTM_ASK="&amp;$G42,"YAS_YLD_CONV=1")</f>
        <v>4.4413153910092902</v>
      </c>
      <c r="AB42" s="22">
        <f t="shared" ca="1" si="1"/>
        <v>2.7819197523371031E-7</v>
      </c>
      <c r="AC42" s="24">
        <f ca="1">_xll.meLWOBondDV01Numerical($L42,$C$4,$S42%, 0.5, "CENTRAL")</f>
        <v>482.77187277889766</v>
      </c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2:47" s="50" customFormat="1">
      <c r="B43" s="15" t="s">
        <v>1178</v>
      </c>
      <c r="C43" s="15" t="s">
        <v>1179</v>
      </c>
      <c r="D43" s="15" t="s">
        <v>1179</v>
      </c>
      <c r="E43" s="16">
        <v>41401</v>
      </c>
      <c r="F43" s="19">
        <v>41054</v>
      </c>
      <c r="G43" s="18"/>
      <c r="H43" s="16">
        <v>41419</v>
      </c>
      <c r="I43" s="16">
        <v>44706</v>
      </c>
      <c r="J43" s="17">
        <v>1.7500000000000002E-2</v>
      </c>
      <c r="K43" s="16">
        <v>45071</v>
      </c>
      <c r="L43" s="20" t="str">
        <f ca="1">_xll.meLWOBondCreateFromGeneratorLVB(C43,$L$4,_xll.meUtilityLVBFromKeysValues($C$6:$K$6,C43:K43))</f>
        <v>FR0011486067:2</v>
      </c>
      <c r="M43" s="92">
        <f ca="1">_xll.BDP($B43,$M$5)</f>
        <v>1.031134399772579E-2</v>
      </c>
      <c r="N43" s="89">
        <f ca="1">_xll.meLWOBondCleanPrice($L43,$C$4,$M43%)</f>
        <v>108.00500000006923</v>
      </c>
      <c r="O43" s="89">
        <f ca="1">_xll.meLWOBondDirtyPrice($L43,$C$4,$M43%)</f>
        <v>108.70020550006923</v>
      </c>
      <c r="P43" s="72">
        <f ca="1">_xll.meLWOBondYield($L43,$C$4,N43)</f>
        <v>1.031134399776339E-4</v>
      </c>
      <c r="Q43" s="89">
        <f ca="1">_xll.meLWOBondModifiedDuration($L43,$C$4,$M43%)</f>
        <v>4.4413151128173149</v>
      </c>
      <c r="R43" s="23">
        <f ca="1">_xll.meLWOBondDV01($L43,$C$4,$M43%)</f>
        <v>482.77186545380533</v>
      </c>
      <c r="S43" s="21">
        <f t="shared" ca="1" si="2"/>
        <v>1.031134399772579E-2</v>
      </c>
      <c r="T43" s="22" t="str">
        <f ca="1">_xll.BDP($B43,T$6, "YAS_BOND_YLD="&amp;S43,"YAS_YLD_CONV=1")</f>
        <v>#N/A Requesting Data...</v>
      </c>
      <c r="U43" s="23">
        <f t="shared" ca="1" si="3"/>
        <v>108.00500000006923</v>
      </c>
      <c r="V43" s="24" t="e">
        <f t="shared" ca="1" si="4"/>
        <v>#VALUE!</v>
      </c>
      <c r="W43" s="23">
        <f ca="1">_xll.meLWOBondDV01($L43,$C$4,$S43%)</f>
        <v>482.77186545380533</v>
      </c>
      <c r="X43" s="22" t="e">
        <f ca="1">_xll.BDP($B43,X$6, "YLD_YTM_ASK="&amp;$S43,"YAS_YLD_CONV=1")*$X$3*0.0001</f>
        <v>#VALUE!</v>
      </c>
      <c r="Y43" s="24" t="e">
        <f t="shared" ca="1" si="0"/>
        <v>#VALUE!</v>
      </c>
      <c r="Z43" s="23">
        <f ca="1">_xll.meLWOBondModifiedDuration($L43,$C$4,$S43%)</f>
        <v>4.4413151128173149</v>
      </c>
      <c r="AA43" s="23">
        <f ca="1">_xll.BDP($B43,AA$6, "YLD_YTM_ASK="&amp;$G43,"YAS_YLD_CONV=1")</f>
        <v>4.4413153910092902</v>
      </c>
      <c r="AB43" s="22">
        <f t="shared" ca="1" si="1"/>
        <v>2.7819197523371031E-7</v>
      </c>
      <c r="AC43" s="24">
        <f ca="1">_xll.meLWOBondDV01Numerical($L43,$C$4,$S43%, 0.5, "CENTRAL")</f>
        <v>482.77187277889766</v>
      </c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2:47" s="50" customFormat="1">
      <c r="B44" s="15" t="s">
        <v>1176</v>
      </c>
      <c r="C44" s="15" t="s">
        <v>1177</v>
      </c>
      <c r="D44" s="15" t="s">
        <v>1177</v>
      </c>
      <c r="E44" s="16">
        <v>39211</v>
      </c>
      <c r="F44" s="19">
        <v>39015</v>
      </c>
      <c r="G44" s="18"/>
      <c r="H44" s="16">
        <v>39380</v>
      </c>
      <c r="I44" s="16">
        <v>44859</v>
      </c>
      <c r="J44" s="17">
        <v>4.2500000000000003E-2</v>
      </c>
      <c r="K44" s="16">
        <v>45224</v>
      </c>
      <c r="L44" s="20" t="str">
        <f ca="1">_xll.meLWOBondCreateFromGeneratorLVB(C44,$L$4,_xll.meUtilityLVBFromKeysValues($C$6:$K$6,C44:K44))</f>
        <v>FR0010466938:0</v>
      </c>
      <c r="M44" s="92">
        <f ca="1">_xll.BDP($B44,$M$5)</f>
        <v>5.5367931229494856E-2</v>
      </c>
      <c r="N44" s="89">
        <f ca="1">_xll.meLWOBondCleanPrice($L44,$C$4,$M44%)</f>
        <v>121.03000000000007</v>
      </c>
      <c r="O44" s="89">
        <f ca="1">_xll.meLWOBondDirtyPrice($L44,$C$4,$M44%)</f>
        <v>125.18684930000008</v>
      </c>
      <c r="P44" s="72">
        <f ca="1">_xll.meLWOBondYield($L44,$C$4,N44)</f>
        <v>5.5367931229588171E-4</v>
      </c>
      <c r="Q44" s="89">
        <f ca="1">_xll.meLWOBondModifiedDuration($L44,$C$4,$M44%)</f>
        <v>4.5105633594659427</v>
      </c>
      <c r="R44" s="23">
        <f ca="1">_xll.meLWOBondDV01($L44,$C$4,$M44%)</f>
        <v>564.66321553956504</v>
      </c>
      <c r="S44" s="21">
        <f t="shared" ca="1" si="2"/>
        <v>5.5367931229494856E-2</v>
      </c>
      <c r="T44" s="22" t="str">
        <f ca="1">_xll.BDP($B44,T$6, "YAS_BOND_YLD="&amp;S44,"YAS_YLD_CONV=1")</f>
        <v>#N/A Requesting Data...</v>
      </c>
      <c r="U44" s="23">
        <f t="shared" ca="1" si="3"/>
        <v>121.03000000000007</v>
      </c>
      <c r="V44" s="24" t="e">
        <f t="shared" ca="1" si="4"/>
        <v>#VALUE!</v>
      </c>
      <c r="W44" s="23">
        <f ca="1">_xll.meLWOBondDV01($L44,$C$4,$S44%)</f>
        <v>564.66321553956504</v>
      </c>
      <c r="X44" s="22" t="e">
        <f ca="1">_xll.BDP($B44,X$6, "YLD_YTM_ASK="&amp;$S44,"YAS_YLD_CONV=1")*$X$3*0.0001</f>
        <v>#VALUE!</v>
      </c>
      <c r="Y44" s="24" t="e">
        <f t="shared" ca="1" si="0"/>
        <v>#VALUE!</v>
      </c>
      <c r="Z44" s="23">
        <f ca="1">_xll.meLWOBondModifiedDuration($L44,$C$4,$S44%)</f>
        <v>4.5105633594659427</v>
      </c>
      <c r="AA44" s="23">
        <f ca="1">_xll.BDP($B44,AA$6, "YLD_YTM_ASK="&amp;$G44,"YAS_YLD_CONV=1")</f>
        <v>4.5105636648092888</v>
      </c>
      <c r="AB44" s="22">
        <f t="shared" ca="1" si="1"/>
        <v>3.0534334616305614E-7</v>
      </c>
      <c r="AC44" s="24">
        <f ca="1">_xll.meLWOBondDV01Numerical($L44,$C$4,$S44%, 0.5, "CENTRAL")</f>
        <v>564.66322509947986</v>
      </c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2:47" s="50" customFormat="1">
      <c r="B45" s="15" t="s">
        <v>1312</v>
      </c>
      <c r="C45" s="15" t="s">
        <v>1313</v>
      </c>
      <c r="D45" s="15" t="s">
        <v>1313</v>
      </c>
      <c r="E45" s="16">
        <v>40140</v>
      </c>
      <c r="F45" s="19"/>
      <c r="G45" s="18"/>
      <c r="H45" s="16"/>
      <c r="I45" s="16"/>
      <c r="J45" s="17">
        <v>0</v>
      </c>
      <c r="K45" s="16">
        <v>45224</v>
      </c>
      <c r="L45" s="20" t="str">
        <f ca="1">_xll.meLWOBondCreateFromGeneratorLVB(C45,$L$4,_xll.meUtilityLVBFromKeysValues($C$6:$K$6,C45:K45))</f>
        <v>FR0010809954:0</v>
      </c>
      <c r="M45" s="92">
        <f ca="1">_xll.BDP($B45,$M$5)</f>
        <v>6.4842718283131262E-2</v>
      </c>
      <c r="N45" s="89">
        <f ca="1">_xll.meLWOBondCleanPrice($L45,$C$4,$M45%)</f>
        <v>99.675000000000026</v>
      </c>
      <c r="O45" s="89">
        <f ca="1">_xll.meLWOBondDirtyPrice($L45,$C$4,$M45%)</f>
        <v>99.675000000000026</v>
      </c>
      <c r="P45" s="72">
        <f ca="1">_xll.meLWOBondYield($L45,$C$4,N45)</f>
        <v>6.4842718283146094E-4</v>
      </c>
      <c r="Q45" s="89">
        <f ca="1">_xll.meLWOBondModifiedDuration($L45,$C$4,$M45%)</f>
        <v>5.0186635703386857</v>
      </c>
      <c r="R45" s="23">
        <f ca="1">_xll.meLWOBondDV01($L45,$C$4,$M45%)</f>
        <v>500.23529137350863</v>
      </c>
      <c r="S45" s="21">
        <f t="shared" ca="1" si="2"/>
        <v>6.4842718283131262E-2</v>
      </c>
      <c r="T45" s="22" t="str">
        <f ca="1">_xll.BDP($B45,T$6, "YAS_BOND_YLD="&amp;S45,"YAS_YLD_CONV=1")</f>
        <v>#N/A Requesting Data...</v>
      </c>
      <c r="U45" s="23">
        <f t="shared" ca="1" si="3"/>
        <v>99.675000000000026</v>
      </c>
      <c r="V45" s="24" t="e">
        <f t="shared" ca="1" si="4"/>
        <v>#VALUE!</v>
      </c>
      <c r="W45" s="23">
        <f ca="1">_xll.meLWOBondDV01($L45,$C$4,$S45%)</f>
        <v>500.23529137350863</v>
      </c>
      <c r="X45" s="22" t="e">
        <f ca="1">_xll.BDP($B45,X$6, "YLD_YTM_ASK="&amp;$S45,"YAS_YLD_CONV=1")*$X$3*0.0001</f>
        <v>#VALUE!</v>
      </c>
      <c r="Y45" s="24" t="e">
        <f t="shared" ca="1" si="0"/>
        <v>#VALUE!</v>
      </c>
      <c r="Z45" s="23">
        <f ca="1">_xll.meLWOBondModifiedDuration($L45,$C$4,$S45%)</f>
        <v>5.0186635703386857</v>
      </c>
      <c r="AA45" s="23">
        <f ca="1">_xll.BDP($B45,AA$6, "YLD_YTM_ASK="&amp;$G45,"YAS_YLD_CONV=1")</f>
        <v>5.0186639235753194</v>
      </c>
      <c r="AB45" s="22">
        <f t="shared" ca="1" si="1"/>
        <v>3.5323663372111014E-7</v>
      </c>
      <c r="AC45" s="24">
        <f ca="1">_xll.meLWOBondDV01Numerical($L45,$C$4,$S45%, 0.5, "CENTRAL")</f>
        <v>500.23530017668355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2:47">
      <c r="B46" s="15" t="s">
        <v>1314</v>
      </c>
      <c r="C46" s="15" t="s">
        <v>1315</v>
      </c>
      <c r="D46" s="15" t="s">
        <v>1315</v>
      </c>
      <c r="E46" s="16">
        <v>34450</v>
      </c>
      <c r="F46" s="19"/>
      <c r="G46" s="18"/>
      <c r="H46" s="16"/>
      <c r="I46" s="16"/>
      <c r="J46" s="17">
        <v>0</v>
      </c>
      <c r="K46" s="16">
        <v>45224</v>
      </c>
      <c r="L46" s="20" t="str">
        <f ca="1">_xll.meLWOBondCreateFromGeneratorLVB(C46,$L$4,_xll.meUtilityLVBFromKeysValues($C$6:$K$6,C46:K46))</f>
        <v>FR0000571093:0</v>
      </c>
      <c r="M46" s="92">
        <f ca="1">_xll.BDP($B46,$M$5)</f>
        <v>8.7447455240829974E-2</v>
      </c>
      <c r="N46" s="89">
        <f ca="1">_xll.meLWOBondCleanPrice($L46,$C$4,$M46%)</f>
        <v>99.561999999999998</v>
      </c>
      <c r="O46" s="89">
        <f ca="1">_xll.meLWOBondDirtyPrice($L46,$C$4,$M46%)</f>
        <v>99.561999999999998</v>
      </c>
      <c r="P46" s="72">
        <f ca="1">_xll.meLWOBondYield($L46,$C$4,N46)</f>
        <v>8.7447455240839548E-4</v>
      </c>
      <c r="Q46" s="89">
        <f ca="1">_xll.meLWOBondModifiedDuration($L46,$C$4,$M46%)</f>
        <v>5.0175301058256911</v>
      </c>
      <c r="R46" s="23">
        <f ca="1">_xll.meLWOBondDV01($L46,$C$4,$M46%)</f>
        <v>499.55533239621747</v>
      </c>
      <c r="S46" s="21">
        <f t="shared" ca="1" si="2"/>
        <v>8.7447455240829974E-2</v>
      </c>
      <c r="T46" s="22" t="str">
        <f ca="1">_xll.BDP($B46,T$6, "YAS_BOND_YLD="&amp;S46,"YAS_YLD_CONV=1")</f>
        <v>#N/A Requesting Data...</v>
      </c>
      <c r="U46" s="23">
        <f t="shared" ca="1" si="3"/>
        <v>99.561999999999998</v>
      </c>
      <c r="V46" s="24" t="e">
        <f t="shared" ca="1" si="4"/>
        <v>#VALUE!</v>
      </c>
      <c r="W46" s="23">
        <f ca="1">_xll.meLWOBondDV01($L46,$C$4,$S46%)</f>
        <v>499.55533239621747</v>
      </c>
      <c r="X46" s="22" t="e">
        <f ca="1">_xll.BDP($B46,X$6, "YLD_YTM_ASK="&amp;$S46,"YAS_YLD_CONV=1")*$X$3*0.0001</f>
        <v>#VALUE!</v>
      </c>
      <c r="Y46" s="24" t="e">
        <f t="shared" ca="1" si="0"/>
        <v>#VALUE!</v>
      </c>
      <c r="Z46" s="23">
        <f ca="1">_xll.meLWOBondModifiedDuration($L46,$C$4,$S46%)</f>
        <v>5.0175301058256911</v>
      </c>
      <c r="AA46" s="23">
        <f ca="1">_xll.BDP($B46,AA$6, "YLD_YTM_ASK="&amp;$G46,"YAS_YLD_CONV=1")</f>
        <v>5.0175304588215512</v>
      </c>
      <c r="AB46" s="22">
        <f t="shared" ca="1" si="1"/>
        <v>3.5299586009784889E-7</v>
      </c>
      <c r="AC46" s="24">
        <f ca="1">_xll.meLWOBondDV01Numerical($L46,$C$4,$S46%, 0.5, "CENTRAL")</f>
        <v>499.55534118353745</v>
      </c>
    </row>
    <row r="47" spans="2:47" s="50" customFormat="1">
      <c r="B47" s="15" t="s">
        <v>1516</v>
      </c>
      <c r="C47" s="15" t="s">
        <v>1517</v>
      </c>
      <c r="D47" s="15" t="s">
        <v>1517</v>
      </c>
      <c r="E47" s="16">
        <v>39211</v>
      </c>
      <c r="F47" s="19"/>
      <c r="G47" s="18"/>
      <c r="H47" s="16"/>
      <c r="I47" s="16"/>
      <c r="J47" s="17">
        <v>0</v>
      </c>
      <c r="K47" s="16">
        <v>45224</v>
      </c>
      <c r="L47" s="20" t="str">
        <f ca="1">_xll.meLWOBondCreateFromGeneratorLVB(C47,$L$4,_xll.meUtilityLVBFromKeysValues($C$6:$K$6,C47:K47))</f>
        <v>FR0010466946:0</v>
      </c>
      <c r="M47" s="92">
        <f ca="1">_xll.BDP($B47,$M$5)</f>
        <v>0.14138274653914262</v>
      </c>
      <c r="N47" s="89">
        <f ca="1">_xll.meLWOBondCleanPrice($L47,$C$4,$M47%)</f>
        <v>99.293000000000049</v>
      </c>
      <c r="O47" s="89">
        <f ca="1">_xll.meLWOBondDirtyPrice($L47,$C$4,$M47%)</f>
        <v>99.293000000000049</v>
      </c>
      <c r="P47" s="72">
        <f ca="1">_xll.meLWOBondYield($L47,$C$4,N47)</f>
        <v>1.4138274653915073E-3</v>
      </c>
      <c r="Q47" s="89">
        <f ca="1">_xll.meLWOBondModifiedDuration($L47,$C$4,$M47%)</f>
        <v>5.0148277070727136</v>
      </c>
      <c r="R47" s="23">
        <f ca="1">_xll.meLWOBondDV01($L47,$C$4,$M47%)</f>
        <v>497.93728751837119</v>
      </c>
      <c r="S47" s="21">
        <f t="shared" ca="1" si="2"/>
        <v>0.14138274653914262</v>
      </c>
      <c r="T47" s="22" t="str">
        <f ca="1">_xll.BDP($B47,T$6, "YAS_BOND_YLD="&amp;S47,"YAS_YLD_CONV=1")</f>
        <v>#N/A Requesting Data...</v>
      </c>
      <c r="U47" s="23">
        <f t="shared" ca="1" si="3"/>
        <v>99.293000000000049</v>
      </c>
      <c r="V47" s="24" t="e">
        <f t="shared" ca="1" si="4"/>
        <v>#VALUE!</v>
      </c>
      <c r="W47" s="23">
        <f ca="1">_xll.meLWOBondDV01($L47,$C$4,$S47%)</f>
        <v>497.93728751837119</v>
      </c>
      <c r="X47" s="22" t="e">
        <f ca="1">_xll.BDP($B47,X$6, "YLD_YTM_ASK="&amp;$S47,"YAS_YLD_CONV=1")*$X$3*0.0001</f>
        <v>#VALUE!</v>
      </c>
      <c r="Y47" s="24" t="e">
        <f t="shared" ca="1" si="0"/>
        <v>#VALUE!</v>
      </c>
      <c r="Z47" s="23">
        <f ca="1">_xll.meLWOBondModifiedDuration($L47,$C$4,$S47%)</f>
        <v>5.0148277070727136</v>
      </c>
      <c r="AA47" s="23">
        <f ca="1">_xll.BDP($B47,AA$6, "YLD_YTM_ASK="&amp;$G47,"YAS_YLD_CONV=1")</f>
        <v>5.0148280594966748</v>
      </c>
      <c r="AB47" s="22">
        <f t="shared" ca="1" si="1"/>
        <v>3.5242396112522556E-7</v>
      </c>
      <c r="AC47" s="24">
        <f ca="1">_xll.meLWOBondDV01Numerical($L47,$C$4,$S47%, 0.5, "CENTRAL")</f>
        <v>497.93729626770755</v>
      </c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2:47" s="50" customFormat="1">
      <c r="B48" s="15" t="s">
        <v>1498</v>
      </c>
      <c r="C48" s="15" t="s">
        <v>1499</v>
      </c>
      <c r="D48" s="15" t="s">
        <v>1499</v>
      </c>
      <c r="E48" s="16">
        <v>41800</v>
      </c>
      <c r="F48" s="19"/>
      <c r="G48" s="18"/>
      <c r="H48" s="16"/>
      <c r="I48" s="16"/>
      <c r="J48" s="17">
        <v>0</v>
      </c>
      <c r="K48" s="16">
        <v>45255</v>
      </c>
      <c r="L48" s="20" t="str">
        <f ca="1">_xll.meLWOBondCreateFromGeneratorLVB(C48,$L$4,_xll.meUtilityLVBFromKeysValues($C$6:$K$6,C48:K48))</f>
        <v>FR0011962497:0</v>
      </c>
      <c r="M48" s="92">
        <f ca="1">_xll.BDP($B48,$M$5)</f>
        <v>0.10391528401170191</v>
      </c>
      <c r="N48" s="89">
        <f ca="1">_xll.meLWOBondCleanPrice($L48,$C$4,$M48%)</f>
        <v>99.47100000000006</v>
      </c>
      <c r="O48" s="89">
        <f ca="1">_xll.meLWOBondDirtyPrice($L48,$C$4,$M48%)</f>
        <v>99.47100000000006</v>
      </c>
      <c r="P48" s="72">
        <f ca="1">_xll.meLWOBondYield($L48,$C$4,N48)</f>
        <v>1.0391528401168522E-3</v>
      </c>
      <c r="Q48" s="89">
        <f ca="1">_xll.meLWOBondModifiedDuration($L48,$C$4,$M48%)</f>
        <v>5.101548026947297</v>
      </c>
      <c r="R48" s="23">
        <f ca="1">_xll.meLWOBondDV01($L48,$C$4,$M48%)</f>
        <v>507.45608378847493</v>
      </c>
      <c r="S48" s="21">
        <f t="shared" ca="1" si="2"/>
        <v>0.10391528401170191</v>
      </c>
      <c r="T48" s="22" t="str">
        <f ca="1">_xll.BDP($B48,T$6, "YAS_BOND_YLD="&amp;S48,"YAS_YLD_CONV=1")</f>
        <v>#N/A Requesting Data...</v>
      </c>
      <c r="U48" s="23">
        <f t="shared" ca="1" si="3"/>
        <v>99.47100000000006</v>
      </c>
      <c r="V48" s="24" t="e">
        <f t="shared" ca="1" si="4"/>
        <v>#VALUE!</v>
      </c>
      <c r="W48" s="23">
        <f ca="1">_xll.meLWOBondDV01($L48,$C$4,$S48%)</f>
        <v>507.45608378847493</v>
      </c>
      <c r="X48" s="22" t="e">
        <f ca="1">_xll.BDP($B48,X$6, "YLD_YTM_ASK="&amp;$S48,"YAS_YLD_CONV=1")*$X$3*0.0001</f>
        <v>#VALUE!</v>
      </c>
      <c r="Y48" s="24" t="e">
        <f t="shared" ca="1" si="0"/>
        <v>#VALUE!</v>
      </c>
      <c r="Z48" s="23">
        <f ca="1">_xll.meLWOBondModifiedDuration($L48,$C$4,$S48%)</f>
        <v>5.101548026947297</v>
      </c>
      <c r="AA48" s="23">
        <f ca="1">_xll.BDP($B48,AA$6, "YLD_YTM_ASK="&amp;$G48,"YAS_YLD_CONV=1")</f>
        <v>5.1015483951971135</v>
      </c>
      <c r="AB48" s="22">
        <f t="shared" ca="1" si="1"/>
        <v>3.6824981641814247E-7</v>
      </c>
      <c r="AC48" s="24">
        <f ca="1">_xll.meLWOBondDV01Numerical($L48,$C$4,$S48%, 0.5, "CENTRAL")</f>
        <v>507.45609294708066</v>
      </c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2:47" s="50" customFormat="1">
      <c r="B49" s="15" t="s">
        <v>1286</v>
      </c>
      <c r="C49" s="15" t="s">
        <v>1287</v>
      </c>
      <c r="D49" s="15" t="s">
        <v>1287</v>
      </c>
      <c r="E49" s="16">
        <v>40140</v>
      </c>
      <c r="F49" s="19"/>
      <c r="G49" s="18"/>
      <c r="H49" s="16"/>
      <c r="I49" s="16"/>
      <c r="J49" s="17">
        <v>0</v>
      </c>
      <c r="K49" s="16">
        <v>45407</v>
      </c>
      <c r="L49" s="20" t="str">
        <f ca="1">_xll.meLWOBondCreateFromGeneratorLVB(C49,$L$4,_xll.meUtilityLVBFromKeysValues($C$6:$K$6,C49:K49))</f>
        <v>FR0010810002:0</v>
      </c>
      <c r="M49" s="92">
        <f ca="1">_xll.BDP($B49,$M$5)</f>
        <v>0.17415576329691262</v>
      </c>
      <c r="N49" s="89">
        <f ca="1">_xll.meLWOBondCleanPrice($L49,$C$4,$M49%)</f>
        <v>99.043999999999969</v>
      </c>
      <c r="O49" s="89">
        <f ca="1">_xll.meLWOBondDirtyPrice($L49,$C$4,$M49%)</f>
        <v>99.043999999999969</v>
      </c>
      <c r="P49" s="72">
        <f ca="1">_xll.meLWOBondYield($L49,$C$4,N49)</f>
        <v>1.7415576329691657E-3</v>
      </c>
      <c r="Q49" s="89">
        <f ca="1">_xll.meLWOBondModifiedDuration($L49,$C$4,$M49%)</f>
        <v>5.5109503076323092</v>
      </c>
      <c r="R49" s="23">
        <f ca="1">_xll.meLWOBondDV01($L49,$C$4,$M49%)</f>
        <v>545.82656226913423</v>
      </c>
      <c r="S49" s="21">
        <f t="shared" ca="1" si="2"/>
        <v>0.17415576329691262</v>
      </c>
      <c r="T49" s="22" t="str">
        <f ca="1">_xll.BDP($B49,T$6, "YAS_BOND_YLD="&amp;S49,"YAS_YLD_CONV=1")</f>
        <v>#N/A Requesting Data...</v>
      </c>
      <c r="U49" s="23">
        <f t="shared" ca="1" si="3"/>
        <v>99.043999999999969</v>
      </c>
      <c r="V49" s="24" t="e">
        <f t="shared" ca="1" si="4"/>
        <v>#VALUE!</v>
      </c>
      <c r="W49" s="23">
        <f ca="1">_xll.meLWOBondDV01($L49,$C$4,$S49%)</f>
        <v>545.82656226913423</v>
      </c>
      <c r="X49" s="22" t="e">
        <f ca="1">_xll.BDP($B49,X$6, "YLD_YTM_ASK="&amp;$S49,"YAS_YLD_CONV=1")*$X$3*0.0001</f>
        <v>#VALUE!</v>
      </c>
      <c r="Y49" s="24" t="e">
        <f t="shared" ca="1" si="0"/>
        <v>#VALUE!</v>
      </c>
      <c r="Z49" s="23">
        <f ca="1">_xll.meLWOBondModifiedDuration($L49,$C$4,$S49%)</f>
        <v>5.5109503076323092</v>
      </c>
      <c r="AA49" s="23">
        <f ca="1">_xll.BDP($B49,AA$6, "YLD_YTM_ASK="&amp;$G49,"YAS_YLD_CONV=1")</f>
        <v>5.5109507564778157</v>
      </c>
      <c r="AB49" s="22">
        <f t="shared" ca="1" si="1"/>
        <v>4.4884550653989663E-7</v>
      </c>
      <c r="AC49" s="24">
        <f ca="1">_xll.meLWOBondDV01Numerical($L49,$C$4,$S49%, 0.5, "CENTRAL")</f>
        <v>545.82657338428942</v>
      </c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2:47" s="50" customFormat="1">
      <c r="B50" s="15" t="s">
        <v>1416</v>
      </c>
      <c r="C50" s="15" t="s">
        <v>1417</v>
      </c>
      <c r="D50" s="15" t="s">
        <v>1417</v>
      </c>
      <c r="E50" s="16">
        <v>35866</v>
      </c>
      <c r="F50" s="19"/>
      <c r="G50" s="18"/>
      <c r="H50" s="16"/>
      <c r="I50" s="16"/>
      <c r="J50" s="17">
        <v>0</v>
      </c>
      <c r="K50" s="16">
        <v>45407</v>
      </c>
      <c r="L50" s="20" t="str">
        <f ca="1">_xll.meLWOBondCreateFromGeneratorLVB(C50,$L$4,_xll.meUtilityLVBFromKeysValues($C$6:$K$6,C50:K50))</f>
        <v>FR0000571101:0</v>
      </c>
      <c r="M50" s="92">
        <f ca="1">_xll.BDP($B50,$M$5)</f>
        <v>0.2011110266694649</v>
      </c>
      <c r="N50" s="89">
        <f ca="1">_xll.meLWOBondCleanPrice($L50,$C$4,$M50%)</f>
        <v>98.896999999999963</v>
      </c>
      <c r="O50" s="89">
        <f ca="1">_xll.meLWOBondDirtyPrice($L50,$C$4,$M50%)</f>
        <v>98.896999999999963</v>
      </c>
      <c r="P50" s="72">
        <f ca="1">_xll.meLWOBondYield($L50,$C$4,N50)</f>
        <v>2.0111102666944946E-3</v>
      </c>
      <c r="Q50" s="89">
        <f ca="1">_xll.meLWOBondModifiedDuration($L50,$C$4,$M50%)</f>
        <v>5.5094677979529934</v>
      </c>
      <c r="R50" s="23">
        <f ca="1">_xll.meLWOBondDV01($L50,$C$4,$M50%)</f>
        <v>544.869836814157</v>
      </c>
      <c r="S50" s="21">
        <f t="shared" ca="1" si="2"/>
        <v>0.2011110266694649</v>
      </c>
      <c r="T50" s="22" t="str">
        <f ca="1">_xll.BDP($B50,T$6, "YAS_BOND_YLD="&amp;S50,"YAS_YLD_CONV=1")</f>
        <v>#N/A Requesting Data...</v>
      </c>
      <c r="U50" s="23">
        <f t="shared" ca="1" si="3"/>
        <v>98.896999999999963</v>
      </c>
      <c r="V50" s="24" t="e">
        <f t="shared" ca="1" si="4"/>
        <v>#VALUE!</v>
      </c>
      <c r="W50" s="23">
        <f ca="1">_xll.meLWOBondDV01($L50,$C$4,$S50%)</f>
        <v>544.869836814157</v>
      </c>
      <c r="X50" s="22" t="e">
        <f ca="1">_xll.BDP($B50,X$6, "YLD_YTM_ASK="&amp;$S50,"YAS_YLD_CONV=1")*$X$3*0.0001</f>
        <v>#VALUE!</v>
      </c>
      <c r="Y50" s="24" t="e">
        <f t="shared" ca="1" si="0"/>
        <v>#VALUE!</v>
      </c>
      <c r="Z50" s="23">
        <f ca="1">_xll.meLWOBondModifiedDuration($L50,$C$4,$S50%)</f>
        <v>5.5094677979529934</v>
      </c>
      <c r="AA50" s="23">
        <f ca="1">_xll.BDP($B50,AA$6, "YLD_YTM_ASK="&amp;$G50,"YAS_YLD_CONV=1")</f>
        <v>5.5094682464360352</v>
      </c>
      <c r="AB50" s="22">
        <f t="shared" ca="1" si="1"/>
        <v>4.4848304181499543E-7</v>
      </c>
      <c r="AC50" s="24">
        <f ca="1">_xll.meLWOBondDV01Numerical($L50,$C$4,$S50%, 0.5, "CENTRAL")</f>
        <v>544.86984790372617</v>
      </c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2:47" s="51" customFormat="1">
      <c r="B51" s="15" t="s">
        <v>1186</v>
      </c>
      <c r="C51" s="15" t="s">
        <v>1187</v>
      </c>
      <c r="D51" s="15" t="s">
        <v>1187</v>
      </c>
      <c r="E51" s="16">
        <v>41590</v>
      </c>
      <c r="F51" s="19">
        <v>41419</v>
      </c>
      <c r="G51" s="18"/>
      <c r="H51" s="16">
        <v>41784</v>
      </c>
      <c r="I51" s="16">
        <v>45071</v>
      </c>
      <c r="J51" s="17">
        <v>2.2499999999999999E-2</v>
      </c>
      <c r="K51" s="16">
        <v>45437</v>
      </c>
      <c r="L51" s="20" t="str">
        <f ca="1">_xll.meLWOBondCreateFromGeneratorLVB(C51,$L$4,_xll.meUtilityLVBFromKeysValues($C$6:$K$6,C51:K51))</f>
        <v>FR0011619436:2</v>
      </c>
      <c r="M51" s="92">
        <f ca="1">_xll.BDP($B51,$M$5)</f>
        <v>0.18177795659416368</v>
      </c>
      <c r="N51" s="89">
        <f ca="1">_xll.meLWOBondCleanPrice($L51,$C$4,$M51%)</f>
        <v>111.51800000083382</v>
      </c>
      <c r="O51" s="89">
        <f ca="1">_xll.meLWOBondDirtyPrice($L51,$C$4,$M51%)</f>
        <v>112.41183560083383</v>
      </c>
      <c r="P51" s="72">
        <f ca="1">_xll.meLWOBondYield($L51,$C$4,N51)</f>
        <v>1.8177795659427476E-3</v>
      </c>
      <c r="Q51" s="89">
        <f ca="1">_xll.meLWOBondModifiedDuration($L51,$C$4,$M51%)</f>
        <v>5.2939342851251805</v>
      </c>
      <c r="R51" s="23">
        <f ca="1">_xll.meLWOBondDV01($L51,$C$4,$M51%)</f>
        <v>595.10087054110954</v>
      </c>
      <c r="S51" s="21">
        <f t="shared" ca="1" si="2"/>
        <v>0.18177795659416368</v>
      </c>
      <c r="T51" s="22" t="str">
        <f ca="1">_xll.BDP($B51,T$6, "YAS_BOND_YLD="&amp;S51,"YAS_YLD_CONV=1")</f>
        <v>#N/A Requesting Data...</v>
      </c>
      <c r="U51" s="23">
        <f t="shared" ca="1" si="3"/>
        <v>111.51800000083382</v>
      </c>
      <c r="V51" s="24" t="e">
        <f t="shared" ca="1" si="4"/>
        <v>#VALUE!</v>
      </c>
      <c r="W51" s="23">
        <f ca="1">_xll.meLWOBondDV01($L51,$C$4,$S51%)</f>
        <v>595.10087054110954</v>
      </c>
      <c r="X51" s="22" t="e">
        <f ca="1">_xll.BDP($B51,X$6, "YLD_YTM_ASK="&amp;$S51,"YAS_YLD_CONV=1")*$X$3*0.0001</f>
        <v>#VALUE!</v>
      </c>
      <c r="Y51" s="24" t="e">
        <f t="shared" ca="1" si="0"/>
        <v>#VALUE!</v>
      </c>
      <c r="Z51" s="23">
        <f ca="1">_xll.meLWOBondModifiedDuration($L51,$C$4,$S51%)</f>
        <v>5.2939342851251805</v>
      </c>
      <c r="AA51" s="23">
        <f ca="1">_xll.BDP($B51,AA$6, "YLD_YTM_ASK="&amp;$G51,"YAS_YLD_CONV=1")</f>
        <v>5.2939347157128145</v>
      </c>
      <c r="AB51" s="22">
        <f t="shared" ca="1" si="1"/>
        <v>4.3058763399272948E-7</v>
      </c>
      <c r="AC51" s="24">
        <f ca="1">_xll.meLWOBondDV01Numerical($L51,$C$4,$S51%, 0.5, "CENTRAL")</f>
        <v>595.10088263778016</v>
      </c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2:47" s="51" customFormat="1">
      <c r="B52" s="15" t="s">
        <v>1392</v>
      </c>
      <c r="C52" s="15" t="s">
        <v>1393</v>
      </c>
      <c r="D52" s="15" t="s">
        <v>1393</v>
      </c>
      <c r="E52" s="16">
        <v>41368</v>
      </c>
      <c r="F52" s="19"/>
      <c r="G52" s="18"/>
      <c r="H52" s="16"/>
      <c r="I52" s="16"/>
      <c r="J52" s="17">
        <v>0</v>
      </c>
      <c r="K52" s="16">
        <v>45437</v>
      </c>
      <c r="L52" s="20" t="str">
        <f ca="1">_xll.meLWOBondCreateFromGeneratorLVB(C52,$L$4,_xll.meUtilityLVBFromKeysValues($C$6:$K$6,C52:K52))</f>
        <v>FR0011461391:0</v>
      </c>
      <c r="M52" s="92">
        <f ca="1">_xll.BDP($B52,$M$5)</f>
        <v>0.1806272119885266</v>
      </c>
      <c r="N52" s="89">
        <f ca="1">_xll.meLWOBondCleanPrice($L52,$C$4,$M52%)</f>
        <v>98.994000000000028</v>
      </c>
      <c r="O52" s="89">
        <f ca="1">_xll.meLWOBondDirtyPrice($L52,$C$4,$M52%)</f>
        <v>98.994000000000028</v>
      </c>
      <c r="P52" s="72">
        <f ca="1">_xll.meLWOBondYield($L52,$C$4,N52)</f>
        <v>1.8062721198853634E-3</v>
      </c>
      <c r="Q52" s="89">
        <f ca="1">_xll.meLWOBondModifiedDuration($L52,$C$4,$M52%)</f>
        <v>5.5926379001118116</v>
      </c>
      <c r="R52" s="23">
        <f ca="1">_xll.meLWOBondDV01($L52,$C$4,$M52%)</f>
        <v>553.63759628366881</v>
      </c>
      <c r="S52" s="21">
        <f t="shared" ca="1" si="2"/>
        <v>0.1806272119885266</v>
      </c>
      <c r="T52" s="22" t="str">
        <f ca="1">_xll.BDP($B52,T$6, "YAS_BOND_YLD="&amp;S52,"YAS_YLD_CONV=1")</f>
        <v>#N/A Requesting Data...</v>
      </c>
      <c r="U52" s="23">
        <f t="shared" ca="1" si="3"/>
        <v>98.994000000000028</v>
      </c>
      <c r="V52" s="24" t="e">
        <f t="shared" ca="1" si="4"/>
        <v>#VALUE!</v>
      </c>
      <c r="W52" s="23">
        <f ca="1">_xll.meLWOBondDV01($L52,$C$4,$S52%)</f>
        <v>553.63759628366881</v>
      </c>
      <c r="X52" s="22" t="e">
        <f ca="1">_xll.BDP($B52,X$6, "YLD_YTM_ASK="&amp;$S52,"YAS_YLD_CONV=1")*$X$3*0.0001</f>
        <v>#VALUE!</v>
      </c>
      <c r="Y52" s="24" t="e">
        <f t="shared" ca="1" si="0"/>
        <v>#VALUE!</v>
      </c>
      <c r="Z52" s="23">
        <f ca="1">_xll.meLWOBondModifiedDuration($L52,$C$4,$S52%)</f>
        <v>5.5926379001118116</v>
      </c>
      <c r="AA52" s="23">
        <f ca="1">_xll.BDP($B52,AA$6, "YLD_YTM_ASK="&amp;$G52,"YAS_YLD_CONV=1")</f>
        <v>5.5926383663311308</v>
      </c>
      <c r="AB52" s="22">
        <f t="shared" ca="1" si="1"/>
        <v>4.6621931915069581E-7</v>
      </c>
      <c r="AC52" s="24">
        <f ca="1">_xll.meLWOBondDV01Numerical($L52,$C$4,$S52%, 0.5, "CENTRAL")</f>
        <v>553.63760782299209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2:47" s="51" customFormat="1">
      <c r="B53" s="15" t="s">
        <v>1186</v>
      </c>
      <c r="C53" s="15" t="s">
        <v>1187</v>
      </c>
      <c r="D53" s="15" t="s">
        <v>1187</v>
      </c>
      <c r="E53" s="16">
        <v>41590</v>
      </c>
      <c r="F53" s="19">
        <v>41419</v>
      </c>
      <c r="G53" s="18"/>
      <c r="H53" s="16">
        <v>41784</v>
      </c>
      <c r="I53" s="16">
        <v>45071</v>
      </c>
      <c r="J53" s="17">
        <v>2.2499999999999999E-2</v>
      </c>
      <c r="K53" s="16">
        <v>45437</v>
      </c>
      <c r="L53" s="20" t="str">
        <f ca="1">_xll.meLWOBondCreateFromGeneratorLVB(C53,$L$4,_xll.meUtilityLVBFromKeysValues($C$6:$K$6,C53:K53))</f>
        <v>FR0011619436:1</v>
      </c>
      <c r="M53" s="92">
        <f ca="1">_xll.BDP($B53,$M$5)</f>
        <v>0.18177795659416368</v>
      </c>
      <c r="N53" s="89">
        <f ca="1">_xll.meLWOBondCleanPrice($L53,$C$4,$M53%)</f>
        <v>111.51800000083382</v>
      </c>
      <c r="O53" s="89">
        <f ca="1">_xll.meLWOBondDirtyPrice($L53,$C$4,$M53%)</f>
        <v>112.41183560083383</v>
      </c>
      <c r="P53" s="72">
        <f ca="1">_xll.meLWOBondYield($L53,$C$4,N53)</f>
        <v>1.8177795659427476E-3</v>
      </c>
      <c r="Q53" s="89">
        <f ca="1">_xll.meLWOBondModifiedDuration($L53,$C$4,$M53%)</f>
        <v>5.2939342851251805</v>
      </c>
      <c r="R53" s="23">
        <f ca="1">_xll.meLWOBondDV01($L53,$C$4,$M53%)</f>
        <v>595.10087054110954</v>
      </c>
      <c r="S53" s="21">
        <f t="shared" ca="1" si="2"/>
        <v>0.18177795659416368</v>
      </c>
      <c r="T53" s="22" t="str">
        <f ca="1">_xll.BDP($B53,T$6, "YAS_BOND_YLD="&amp;S53,"YAS_YLD_CONV=1")</f>
        <v>#N/A Requesting Data...</v>
      </c>
      <c r="U53" s="23">
        <f t="shared" ca="1" si="3"/>
        <v>111.51800000083382</v>
      </c>
      <c r="V53" s="24" t="e">
        <f t="shared" ca="1" si="4"/>
        <v>#VALUE!</v>
      </c>
      <c r="W53" s="23">
        <f ca="1">_xll.meLWOBondDV01($L53,$C$4,$S53%)</f>
        <v>595.10087054110954</v>
      </c>
      <c r="X53" s="22" t="e">
        <f ca="1">_xll.BDP($B53,X$6, "YLD_YTM_ASK="&amp;$S53,"YAS_YLD_CONV=1")*$X$3*0.0001</f>
        <v>#VALUE!</v>
      </c>
      <c r="Y53" s="24" t="e">
        <f t="shared" ca="1" si="0"/>
        <v>#VALUE!</v>
      </c>
      <c r="Z53" s="23">
        <f ca="1">_xll.meLWOBondModifiedDuration($L53,$C$4,$S53%)</f>
        <v>5.2939342851251805</v>
      </c>
      <c r="AA53" s="23">
        <f ca="1">_xll.BDP($B53,AA$6, "YLD_YTM_ASK="&amp;$G53,"YAS_YLD_CONV=1")</f>
        <v>5.2939347157128145</v>
      </c>
      <c r="AB53" s="22">
        <f t="shared" ca="1" si="1"/>
        <v>4.3058763399272948E-7</v>
      </c>
      <c r="AC53" s="24">
        <f ca="1">_xll.meLWOBondDV01Numerical($L53,$C$4,$S53%, 0.5, "CENTRAL")</f>
        <v>595.10088263778016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2:47" s="51" customFormat="1">
      <c r="B54" s="15" t="s">
        <v>1186</v>
      </c>
      <c r="C54" s="15" t="s">
        <v>1187</v>
      </c>
      <c r="D54" s="15" t="s">
        <v>1187</v>
      </c>
      <c r="E54" s="16">
        <v>41590</v>
      </c>
      <c r="F54" s="19">
        <v>41419</v>
      </c>
      <c r="G54" s="18"/>
      <c r="H54" s="16">
        <v>41784</v>
      </c>
      <c r="I54" s="16">
        <v>45071</v>
      </c>
      <c r="J54" s="17">
        <v>2.2499999999999999E-2</v>
      </c>
      <c r="K54" s="16">
        <v>45437</v>
      </c>
      <c r="L54" s="20" t="str">
        <f ca="1">_xll.meLWOBondCreateFromGeneratorLVB(C54,$L$4,_xll.meUtilityLVBFromKeysValues($C$6:$K$6,C54:K54))</f>
        <v>FR0011619436:0</v>
      </c>
      <c r="M54" s="92">
        <f ca="1">_xll.BDP($B54,$M$5)</f>
        <v>0.18177795659416368</v>
      </c>
      <c r="N54" s="89">
        <f ca="1">_xll.meLWOBondCleanPrice($L54,$C$4,$M54%)</f>
        <v>111.51800000083382</v>
      </c>
      <c r="O54" s="89">
        <f ca="1">_xll.meLWOBondDirtyPrice($L54,$C$4,$M54%)</f>
        <v>112.41183560083383</v>
      </c>
      <c r="P54" s="72">
        <f ca="1">_xll.meLWOBondYield($L54,$C$4,N54)</f>
        <v>1.8177795659427476E-3</v>
      </c>
      <c r="Q54" s="89">
        <f ca="1">_xll.meLWOBondModifiedDuration($L54,$C$4,$M54%)</f>
        <v>5.2939342851251805</v>
      </c>
      <c r="R54" s="23">
        <f ca="1">_xll.meLWOBondDV01($L54,$C$4,$M54%)</f>
        <v>595.10087054110954</v>
      </c>
      <c r="S54" s="21">
        <f t="shared" ca="1" si="2"/>
        <v>0.18177795659416368</v>
      </c>
      <c r="T54" s="22" t="str">
        <f ca="1">_xll.BDP($B54,T$6, "YAS_BOND_YLD="&amp;S54,"YAS_YLD_CONV=1")</f>
        <v>#N/A Requesting Data...</v>
      </c>
      <c r="U54" s="23">
        <f t="shared" ca="1" si="3"/>
        <v>111.51800000083382</v>
      </c>
      <c r="V54" s="24" t="e">
        <f t="shared" ca="1" si="4"/>
        <v>#VALUE!</v>
      </c>
      <c r="W54" s="23">
        <f ca="1">_xll.meLWOBondDV01($L54,$C$4,$S54%)</f>
        <v>595.10087054110954</v>
      </c>
      <c r="X54" s="22" t="e">
        <f ca="1">_xll.BDP($B54,X$6, "YLD_YTM_ASK="&amp;$S54,"YAS_YLD_CONV=1")*$X$3*0.0001</f>
        <v>#VALUE!</v>
      </c>
      <c r="Y54" s="24" t="e">
        <f t="shared" ca="1" si="0"/>
        <v>#VALUE!</v>
      </c>
      <c r="Z54" s="23">
        <f ca="1">_xll.meLWOBondModifiedDuration($L54,$C$4,$S54%)</f>
        <v>5.2939342851251805</v>
      </c>
      <c r="AA54" s="23">
        <f ca="1">_xll.BDP($B54,AA$6, "YLD_YTM_ASK="&amp;$G54,"YAS_YLD_CONV=1")</f>
        <v>5.2939347157128145</v>
      </c>
      <c r="AB54" s="22">
        <f t="shared" ca="1" si="1"/>
        <v>4.3058763399272948E-7</v>
      </c>
      <c r="AC54" s="24">
        <f ca="1">_xll.meLWOBondDV01Numerical($L54,$C$4,$S54%, 0.5, "CENTRAL")</f>
        <v>595.10088263778016</v>
      </c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2:47" s="51" customFormat="1">
      <c r="B55" s="15" t="s">
        <v>1328</v>
      </c>
      <c r="C55" s="15" t="s">
        <v>1329</v>
      </c>
      <c r="D55" s="15" t="s">
        <v>1329</v>
      </c>
      <c r="E55" s="16">
        <v>40140</v>
      </c>
      <c r="F55" s="19"/>
      <c r="G55" s="18"/>
      <c r="H55" s="16"/>
      <c r="I55" s="16"/>
      <c r="J55" s="17">
        <v>0</v>
      </c>
      <c r="K55" s="16">
        <v>45590</v>
      </c>
      <c r="L55" s="20" t="str">
        <f ca="1">_xll.meLWOBondCreateFromGeneratorLVB(C55,$L$4,_xll.meUtilityLVBFromKeysValues($C$6:$K$6,C55:K55))</f>
        <v>FR0010810036:0</v>
      </c>
      <c r="M55" s="92">
        <f ca="1">_xll.BDP($B55,$M$5)</f>
        <v>0.25129236328840232</v>
      </c>
      <c r="N55" s="89">
        <f ca="1">_xll.meLWOBondCleanPrice($L55,$C$4,$M55%)</f>
        <v>98.500000000000071</v>
      </c>
      <c r="O55" s="89">
        <f ca="1">_xll.meLWOBondDirtyPrice($L55,$C$4,$M55%)</f>
        <v>98.500000000000071</v>
      </c>
      <c r="P55" s="72">
        <f ca="1">_xll.meLWOBondYield($L55,$C$4,N55)</f>
        <v>2.5129236328839187E-3</v>
      </c>
      <c r="Q55" s="89">
        <f ca="1">_xll.meLWOBondModifiedDuration($L55,$C$4,$M55%)</f>
        <v>6.0068231204412674</v>
      </c>
      <c r="R55" s="23">
        <f ca="1">_xll.meLWOBondDV01($L55,$C$4,$M55%)</f>
        <v>591.67207736346529</v>
      </c>
      <c r="S55" s="21">
        <f t="shared" ca="1" si="2"/>
        <v>0.25129236328840232</v>
      </c>
      <c r="T55" s="22" t="str">
        <f ca="1">_xll.BDP($B55,T$6, "YAS_BOND_YLD="&amp;S55,"YAS_YLD_CONV=1")</f>
        <v>#N/A Requesting Data...</v>
      </c>
      <c r="U55" s="23">
        <f t="shared" ca="1" si="3"/>
        <v>98.500000000000071</v>
      </c>
      <c r="V55" s="24" t="e">
        <f t="shared" ca="1" si="4"/>
        <v>#VALUE!</v>
      </c>
      <c r="W55" s="23">
        <f ca="1">_xll.meLWOBondDV01($L55,$C$4,$S55%)</f>
        <v>591.67207736346529</v>
      </c>
      <c r="X55" s="22" t="e">
        <f ca="1">_xll.BDP($B55,X$6, "YLD_YTM_ASK="&amp;$S55,"YAS_YLD_CONV=1")*$X$3*0.0001</f>
        <v>#VALUE!</v>
      </c>
      <c r="Y55" s="24" t="e">
        <f t="shared" ca="1" si="0"/>
        <v>#VALUE!</v>
      </c>
      <c r="Z55" s="23">
        <f ca="1">_xll.meLWOBondModifiedDuration($L55,$C$4,$S55%)</f>
        <v>6.0068231204412674</v>
      </c>
      <c r="AA55" s="23">
        <f ca="1">_xll.BDP($B55,AA$6, "YLD_YTM_ASK="&amp;$G55,"YAS_YLD_CONV=1")</f>
        <v>6.0068236815497666</v>
      </c>
      <c r="AB55" s="22">
        <f t="shared" ca="1" si="1"/>
        <v>5.6110849921964245E-7</v>
      </c>
      <c r="AC55" s="24">
        <f ca="1">_xll.meLWOBondDV01Numerical($L55,$C$4,$S55%, 0.5, "CENTRAL")</f>
        <v>591.67209118214714</v>
      </c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2:47" s="51" customFormat="1">
      <c r="B56" s="15" t="s">
        <v>1372</v>
      </c>
      <c r="C56" s="15" t="s">
        <v>1373</v>
      </c>
      <c r="D56" s="15" t="s">
        <v>1373</v>
      </c>
      <c r="E56" s="16">
        <v>34450</v>
      </c>
      <c r="F56" s="19"/>
      <c r="G56" s="18"/>
      <c r="H56" s="16"/>
      <c r="I56" s="16"/>
      <c r="J56" s="17">
        <v>0</v>
      </c>
      <c r="K56" s="16">
        <v>45590</v>
      </c>
      <c r="L56" s="20" t="str">
        <f ca="1">_xll.meLWOBondCreateFromGeneratorLVB(C56,$L$4,_xll.meUtilityLVBFromKeysValues($C$6:$K$6,C56:K56))</f>
        <v>FR0000571119:0</v>
      </c>
      <c r="M56" s="92">
        <f ca="1">_xll.BDP($B56,$M$5)</f>
        <v>0.22528813102915546</v>
      </c>
      <c r="N56" s="89">
        <f ca="1">_xll.meLWOBondCleanPrice($L56,$C$4,$M56%)</f>
        <v>98.654000000000025</v>
      </c>
      <c r="O56" s="89">
        <f ca="1">_xll.meLWOBondDirtyPrice($L56,$C$4,$M56%)</f>
        <v>98.654000000000025</v>
      </c>
      <c r="P56" s="72">
        <f ca="1">_xll.meLWOBondYield($L56,$C$4,N56)</f>
        <v>2.2528813102916392E-3</v>
      </c>
      <c r="Q56" s="89">
        <f ca="1">_xll.meLWOBondModifiedDuration($L56,$C$4,$M56%)</f>
        <v>6.0083816375229047</v>
      </c>
      <c r="R56" s="23">
        <f ca="1">_xll.meLWOBondDV01($L56,$C$4,$M56%)</f>
        <v>592.75088206818475</v>
      </c>
      <c r="S56" s="21">
        <f t="shared" ca="1" si="2"/>
        <v>0.22528813102915546</v>
      </c>
      <c r="T56" s="22" t="str">
        <f ca="1">_xll.BDP($B56,T$6, "YAS_BOND_YLD="&amp;S56,"YAS_YLD_CONV=1")</f>
        <v>#N/A Requesting Data...</v>
      </c>
      <c r="U56" s="23">
        <f t="shared" ca="1" si="3"/>
        <v>98.654000000000025</v>
      </c>
      <c r="V56" s="24" t="e">
        <f t="shared" ca="1" si="4"/>
        <v>#VALUE!</v>
      </c>
      <c r="W56" s="23">
        <f ca="1">_xll.meLWOBondDV01($L56,$C$4,$S56%)</f>
        <v>592.75088206818475</v>
      </c>
      <c r="X56" s="22" t="e">
        <f ca="1">_xll.BDP($B56,X$6, "YLD_YTM_ASK="&amp;$S56,"YAS_YLD_CONV=1")*$X$3*0.0001</f>
        <v>#VALUE!</v>
      </c>
      <c r="Y56" s="24" t="e">
        <f t="shared" ca="1" si="0"/>
        <v>#VALUE!</v>
      </c>
      <c r="Z56" s="23">
        <f ca="1">_xll.meLWOBondModifiedDuration($L56,$C$4,$S56%)</f>
        <v>6.0083816375229047</v>
      </c>
      <c r="AA56" s="23">
        <f ca="1">_xll.BDP($B56,AA$6, "YLD_YTM_ASK="&amp;$G56,"YAS_YLD_CONV=1")</f>
        <v>6.0083821990671931</v>
      </c>
      <c r="AB56" s="22">
        <f t="shared" ca="1" si="1"/>
        <v>5.6154428840216042E-7</v>
      </c>
      <c r="AC56" s="24">
        <f ca="1">_xll.meLWOBondDV01Numerical($L56,$C$4,$S56%, 0.5, "CENTRAL")</f>
        <v>592.7508959192096</v>
      </c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2:47">
      <c r="B57" s="15" t="s">
        <v>1182</v>
      </c>
      <c r="C57" s="15" t="s">
        <v>1183</v>
      </c>
      <c r="D57" s="15" t="s">
        <v>1183</v>
      </c>
      <c r="E57" s="16">
        <v>41800</v>
      </c>
      <c r="F57" s="19">
        <v>41603</v>
      </c>
      <c r="G57" s="18"/>
      <c r="H57" s="16">
        <v>41968</v>
      </c>
      <c r="I57" s="16">
        <v>45255</v>
      </c>
      <c r="J57" s="17">
        <v>1.7500000000000002E-2</v>
      </c>
      <c r="K57" s="16">
        <v>45621</v>
      </c>
      <c r="L57" s="20" t="str">
        <f ca="1">_xll.meLWOBondCreateFromGeneratorLVB(C57,$L$4,_xll.meUtilityLVBFromKeysValues($C$6:$K$6,C57:K57))</f>
        <v>FR0011962398:0</v>
      </c>
      <c r="M57" s="92">
        <f ca="1">_xll.BDP($B57,$M$5)</f>
        <v>0.26463290151518226</v>
      </c>
      <c r="N57" s="89">
        <f ca="1">_xll.meLWOBondCleanPrice($L57,$C$4,$M57%)</f>
        <v>108.98600000036552</v>
      </c>
      <c r="O57" s="89">
        <f ca="1">_xll.meLWOBondDirtyPrice($L57,$C$4,$M57%)</f>
        <v>110.54901370036552</v>
      </c>
      <c r="P57" s="72">
        <f ca="1">_xll.meLWOBondYield($L57,$C$4,N57)</f>
        <v>2.6463290151520903E-3</v>
      </c>
      <c r="Q57" s="89">
        <f ca="1">_xll.meLWOBondModifiedDuration($L57,$C$4,$M57%)</f>
        <v>5.7607247424708445</v>
      </c>
      <c r="R57" s="23">
        <f ca="1">_xll.meLWOBondDV01($L57,$C$4,$M57%)</f>
        <v>636.84243847944401</v>
      </c>
      <c r="S57" s="21">
        <f t="shared" ca="1" si="2"/>
        <v>0.26463290151518226</v>
      </c>
      <c r="T57" s="22" t="str">
        <f ca="1">_xll.BDP($B57,T$6, "YAS_BOND_YLD="&amp;S57,"YAS_YLD_CONV=1")</f>
        <v>#N/A Requesting Data...</v>
      </c>
      <c r="U57" s="23">
        <f t="shared" ca="1" si="3"/>
        <v>108.98600000036552</v>
      </c>
      <c r="V57" s="24" t="e">
        <f t="shared" ca="1" si="4"/>
        <v>#VALUE!</v>
      </c>
      <c r="W57" s="23">
        <f ca="1">_xll.meLWOBondDV01($L57,$C$4,$S57%)</f>
        <v>636.84243847944401</v>
      </c>
      <c r="X57" s="22" t="e">
        <f ca="1">_xll.BDP($B57,X$6, "YLD_YTM_ASK="&amp;$S57,"YAS_YLD_CONV=1")*$X$3*0.0001</f>
        <v>#VALUE!</v>
      </c>
      <c r="Y57" s="24" t="e">
        <f t="shared" ca="1" si="0"/>
        <v>#VALUE!</v>
      </c>
      <c r="Z57" s="23">
        <f ca="1">_xll.meLWOBondModifiedDuration($L57,$C$4,$S57%)</f>
        <v>5.7607247424708445</v>
      </c>
      <c r="AA57" s="23">
        <f ca="1">_xll.BDP($B57,AA$6, "YLD_YTM_ASK="&amp;$G57,"YAS_YLD_CONV=1")</f>
        <v>5.7607252809552678</v>
      </c>
      <c r="AB57" s="22">
        <f t="shared" ca="1" si="1"/>
        <v>5.384844232736441E-7</v>
      </c>
      <c r="AC57" s="24">
        <f ca="1">_xll.meLWOBondDV01Numerical($L57,$C$4,$S57%, 0.5, "CENTRAL")</f>
        <v>636.84245336276035</v>
      </c>
    </row>
    <row r="58" spans="2:47">
      <c r="B58" s="15" t="s">
        <v>1448</v>
      </c>
      <c r="C58" s="15" t="s">
        <v>1449</v>
      </c>
      <c r="D58" s="15" t="s">
        <v>1449</v>
      </c>
      <c r="E58" s="16">
        <v>41800</v>
      </c>
      <c r="F58" s="19"/>
      <c r="G58" s="18"/>
      <c r="H58" s="16"/>
      <c r="I58" s="16"/>
      <c r="J58" s="17">
        <v>0</v>
      </c>
      <c r="K58" s="16">
        <v>45621</v>
      </c>
      <c r="L58" s="20" t="str">
        <f ca="1">_xll.meLWOBondCreateFromGeneratorLVB(C58,$L$4,_xll.meUtilityLVBFromKeysValues($C$6:$K$6,C58:K58))</f>
        <v>FR0011962547:0</v>
      </c>
      <c r="M58" s="92">
        <f ca="1">_xll.BDP($B58,$M$5)</f>
        <v>0.27815724400492847</v>
      </c>
      <c r="N58" s="89">
        <f ca="1">_xll.meLWOBondCleanPrice($L58,$C$4,$M58%)</f>
        <v>98.317999999999984</v>
      </c>
      <c r="O58" s="89">
        <f ca="1">_xll.meLWOBondDirtyPrice($L58,$C$4,$M58%)</f>
        <v>98.317999999999984</v>
      </c>
      <c r="P58" s="72">
        <f ca="1">_xll.meLWOBondYield($L58,$C$4,N58)</f>
        <v>2.7815724400492925E-3</v>
      </c>
      <c r="Q58" s="89">
        <f ca="1">_xll.meLWOBondModifiedDuration($L58,$C$4,$M58%)</f>
        <v>6.0899097898347039</v>
      </c>
      <c r="R58" s="23">
        <f ca="1">_xll.meLWOBondDV01($L58,$C$4,$M58%)</f>
        <v>598.74775071696831</v>
      </c>
      <c r="S58" s="21">
        <f t="shared" ca="1" si="2"/>
        <v>0.27815724400492847</v>
      </c>
      <c r="T58" s="22" t="str">
        <f ca="1">_xll.BDP($B58,T$6, "YAS_BOND_YLD="&amp;S58,"YAS_YLD_CONV=1")</f>
        <v>#N/A Requesting Data...</v>
      </c>
      <c r="U58" s="23">
        <f t="shared" ca="1" si="3"/>
        <v>98.317999999999984</v>
      </c>
      <c r="V58" s="24" t="e">
        <f t="shared" ca="1" si="4"/>
        <v>#VALUE!</v>
      </c>
      <c r="W58" s="23">
        <f ca="1">_xll.meLWOBondDV01($L58,$C$4,$S58%)</f>
        <v>598.74775071696831</v>
      </c>
      <c r="X58" s="22" t="e">
        <f ca="1">_xll.BDP($B58,X$6, "YLD_YTM_ASK="&amp;$S58,"YAS_YLD_CONV=1")*$X$3*0.0001</f>
        <v>#VALUE!</v>
      </c>
      <c r="Y58" s="24" t="e">
        <f t="shared" ca="1" si="0"/>
        <v>#VALUE!</v>
      </c>
      <c r="Z58" s="23">
        <f ca="1">_xll.meLWOBondModifiedDuration($L58,$C$4,$S58%)</f>
        <v>6.0899097898347039</v>
      </c>
      <c r="AA58" s="23">
        <f ca="1">_xll.BDP($B58,AA$6, "YLD_YTM_ASK="&amp;$G58,"YAS_YLD_CONV=1")</f>
        <v>6.0899103713693812</v>
      </c>
      <c r="AB58" s="22">
        <f t="shared" ca="1" si="1"/>
        <v>5.8153467730193142E-7</v>
      </c>
      <c r="AC58" s="24">
        <f ca="1">_xll.meLWOBondDV01Numerical($L58,$C$4,$S58%, 0.5, "CENTRAL")</f>
        <v>598.74776501203542</v>
      </c>
    </row>
    <row r="59" spans="2:47">
      <c r="B59" s="15" t="s">
        <v>1278</v>
      </c>
      <c r="C59" s="15" t="s">
        <v>1279</v>
      </c>
      <c r="D59" s="15" t="s">
        <v>1279</v>
      </c>
      <c r="E59" s="16">
        <v>40140</v>
      </c>
      <c r="F59" s="19"/>
      <c r="G59" s="18"/>
      <c r="H59" s="16"/>
      <c r="I59" s="16"/>
      <c r="J59" s="17">
        <v>0</v>
      </c>
      <c r="K59" s="16">
        <v>45772</v>
      </c>
      <c r="L59" s="20" t="str">
        <f ca="1">_xll.meLWOBondCreateFromGeneratorLVB(C59,$L$4,_xll.meUtilityLVBFromKeysValues($C$6:$K$6,C59:K59))</f>
        <v>FR0010810069:0</v>
      </c>
      <c r="M59" s="92">
        <f ca="1">_xll.BDP($B59,$M$5)</f>
        <v>0.33938427102027102</v>
      </c>
      <c r="N59" s="89">
        <f ca="1">_xll.meLWOBondCleanPrice($L59,$C$4,$M59%)</f>
        <v>97.815000000000026</v>
      </c>
      <c r="O59" s="89">
        <f ca="1">_xll.meLWOBondDirtyPrice($L59,$C$4,$M59%)</f>
        <v>97.815000000000026</v>
      </c>
      <c r="P59" s="72">
        <f ca="1">_xll.meLWOBondYield($L59,$C$4,N59)</f>
        <v>3.3938427102027926E-3</v>
      </c>
      <c r="Q59" s="89">
        <f ca="1">_xll.meLWOBondModifiedDuration($L59,$C$4,$M59%)</f>
        <v>6.4984930818324012</v>
      </c>
      <c r="R59" s="23">
        <f ca="1">_xll.meLWOBondDV01($L59,$C$4,$M59%)</f>
        <v>635.65010079943647</v>
      </c>
      <c r="S59" s="21">
        <f t="shared" ca="1" si="2"/>
        <v>0.33938427102027102</v>
      </c>
      <c r="T59" s="22" t="str">
        <f ca="1">_xll.BDP($B59,T$6, "YAS_BOND_YLD="&amp;S59,"YAS_YLD_CONV=1")</f>
        <v>#N/A Requesting Data...</v>
      </c>
      <c r="U59" s="23">
        <f t="shared" ca="1" si="3"/>
        <v>97.815000000000026</v>
      </c>
      <c r="V59" s="24" t="e">
        <f t="shared" ca="1" si="4"/>
        <v>#VALUE!</v>
      </c>
      <c r="W59" s="23">
        <f ca="1">_xll.meLWOBondDV01($L59,$C$4,$S59%)</f>
        <v>635.65010079943647</v>
      </c>
      <c r="X59" s="22" t="e">
        <f ca="1">_xll.BDP($B59,X$6, "YLD_YTM_ASK="&amp;$S59,"YAS_YLD_CONV=1")*$X$3*0.0001</f>
        <v>#VALUE!</v>
      </c>
      <c r="Y59" s="24" t="e">
        <f t="shared" ca="1" si="0"/>
        <v>#VALUE!</v>
      </c>
      <c r="Z59" s="23">
        <f ca="1">_xll.meLWOBondModifiedDuration($L59,$C$4,$S59%)</f>
        <v>6.4984930818324012</v>
      </c>
      <c r="AA59" s="23">
        <f ca="1">_xll.BDP($B59,AA$6, "YLD_YTM_ASK="&amp;$G59,"YAS_YLD_CONV=1")</f>
        <v>6.4984937711751716</v>
      </c>
      <c r="AB59" s="22">
        <f t="shared" ca="1" si="1"/>
        <v>6.8934277042131953E-7</v>
      </c>
      <c r="AC59" s="24">
        <f ca="1">_xll.meLWOBondDV01Numerical($L59,$C$4,$S59%, 0.5, "CENTRAL")</f>
        <v>635.65011765788881</v>
      </c>
    </row>
    <row r="60" spans="2:47">
      <c r="B60" s="15" t="s">
        <v>1476</v>
      </c>
      <c r="C60" s="15" t="s">
        <v>1477</v>
      </c>
      <c r="D60" s="15" t="s">
        <v>1477</v>
      </c>
      <c r="E60" s="16">
        <v>35866</v>
      </c>
      <c r="F60" s="19"/>
      <c r="G60" s="18"/>
      <c r="H60" s="16"/>
      <c r="I60" s="16"/>
      <c r="J60" s="17">
        <v>0</v>
      </c>
      <c r="K60" s="16">
        <v>45772</v>
      </c>
      <c r="L60" s="20" t="str">
        <f ca="1">_xll.meLWOBondCreateFromGeneratorLVB(C60,$L$4,_xll.meUtilityLVBFromKeysValues($C$6:$K$6,C60:K60))</f>
        <v>FR0000571127:0</v>
      </c>
      <c r="M60" s="92">
        <f ca="1">_xll.BDP($B60,$M$5)</f>
        <v>0.30481885346262949</v>
      </c>
      <c r="N60" s="89">
        <f ca="1">_xll.meLWOBondCleanPrice($L60,$C$4,$M60%)</f>
        <v>98.034999999999926</v>
      </c>
      <c r="O60" s="89">
        <f ca="1">_xll.meLWOBondDirtyPrice($L60,$C$4,$M60%)</f>
        <v>98.034999999999926</v>
      </c>
      <c r="P60" s="72">
        <f ca="1">_xll.meLWOBondYield($L60,$C$4,N60)</f>
        <v>3.0481885346264471E-3</v>
      </c>
      <c r="Q60" s="89">
        <f ca="1">_xll.meLWOBondModifiedDuration($L60,$C$4,$M60%)</f>
        <v>6.5007324869720193</v>
      </c>
      <c r="R60" s="23">
        <f ca="1">_xll.meLWOBondDV01($L60,$C$4,$M60%)</f>
        <v>637.29930936030144</v>
      </c>
      <c r="S60" s="21">
        <f t="shared" ca="1" si="2"/>
        <v>0.30481885346262949</v>
      </c>
      <c r="T60" s="22" t="str">
        <f ca="1">_xll.BDP($B60,T$6, "YAS_BOND_YLD="&amp;S60,"YAS_YLD_CONV=1")</f>
        <v>#N/A Requesting Data...</v>
      </c>
      <c r="U60" s="23">
        <f t="shared" ca="1" si="3"/>
        <v>98.034999999999926</v>
      </c>
      <c r="V60" s="24" t="e">
        <f t="shared" ca="1" si="4"/>
        <v>#VALUE!</v>
      </c>
      <c r="W60" s="23">
        <f ca="1">_xll.meLWOBondDV01($L60,$C$4,$S60%)</f>
        <v>637.29930936030144</v>
      </c>
      <c r="X60" s="22" t="e">
        <f ca="1">_xll.BDP($B60,X$6, "YLD_YTM_ASK="&amp;$S60,"YAS_YLD_CONV=1")*$X$3*0.0001</f>
        <v>#VALUE!</v>
      </c>
      <c r="Y60" s="24" t="e">
        <f t="shared" ca="1" si="0"/>
        <v>#VALUE!</v>
      </c>
      <c r="Z60" s="23">
        <f ca="1">_xll.meLWOBondModifiedDuration($L60,$C$4,$S60%)</f>
        <v>6.5007324869720193</v>
      </c>
      <c r="AA60" s="23">
        <f ca="1">_xll.BDP($B60,AA$6, "YLD_YTM_ASK="&amp;$G60,"YAS_YLD_CONV=1")</f>
        <v>6.5007331770276986</v>
      </c>
      <c r="AB60" s="22">
        <f t="shared" ca="1" si="1"/>
        <v>6.9005567926438971E-7</v>
      </c>
      <c r="AC60" s="24">
        <f ca="1">_xll.meLWOBondDV01Numerical($L60,$C$4,$S60%, 0.5, "CENTRAL")</f>
        <v>637.29932627410346</v>
      </c>
    </row>
    <row r="61" spans="2:47">
      <c r="B61" s="15" t="s">
        <v>1172</v>
      </c>
      <c r="C61" s="15" t="s">
        <v>1173</v>
      </c>
      <c r="D61" s="15" t="s">
        <v>1173</v>
      </c>
      <c r="E61" s="16">
        <v>42044</v>
      </c>
      <c r="F61" s="19">
        <v>41784</v>
      </c>
      <c r="G61" s="18"/>
      <c r="H61" s="16">
        <v>42149</v>
      </c>
      <c r="I61" s="16">
        <v>45437</v>
      </c>
      <c r="J61" s="17">
        <v>5.0000000000000001E-3</v>
      </c>
      <c r="K61" s="16">
        <v>45802</v>
      </c>
      <c r="L61" s="20" t="str">
        <f ca="1">_xll.meLWOBondCreateFromGeneratorLVB(C61,$L$4,_xll.meUtilityLVBFromKeysValues($C$6:$K$6,C61:K61))</f>
        <v>FR0012517027:1</v>
      </c>
      <c r="M61" s="92">
        <f ca="1">_xll.BDP($B61,$M$5)</f>
        <v>0.35933539748299059</v>
      </c>
      <c r="N61" s="89">
        <f ca="1">_xll.meLWOBondCleanPrice($L61,$C$4,$M61%)</f>
        <v>100.91600000000001</v>
      </c>
      <c r="O61" s="89">
        <f ca="1">_xll.meLWOBondDirtyPrice($L61,$C$4,$M61%)</f>
        <v>101.11463010000001</v>
      </c>
      <c r="P61" s="72">
        <f ca="1">_xll.meLWOBondYield($L61,$C$4,N61)</f>
        <v>3.5933539748298337E-3</v>
      </c>
      <c r="Q61" s="89">
        <f ca="1">_xll.meLWOBondModifiedDuration($L61,$C$4,$M61%)</f>
        <v>6.4764653470039555</v>
      </c>
      <c r="R61" s="23">
        <f ca="1">_xll.meLWOBondDV01($L61,$C$4,$M61%)</f>
        <v>654.86539791777318</v>
      </c>
      <c r="S61" s="21">
        <f t="shared" ca="1" si="2"/>
        <v>0.35933539748299059</v>
      </c>
      <c r="T61" s="22" t="str">
        <f ca="1">_xll.BDP($B61,T$6, "YAS_BOND_YLD="&amp;S61,"YAS_YLD_CONV=1")</f>
        <v>#N/A Requesting Data...</v>
      </c>
      <c r="U61" s="23">
        <f t="shared" ca="1" si="3"/>
        <v>100.91600000000001</v>
      </c>
      <c r="V61" s="24" t="e">
        <f t="shared" ca="1" si="4"/>
        <v>#VALUE!</v>
      </c>
      <c r="W61" s="23">
        <f ca="1">_xll.meLWOBondDV01($L61,$C$4,$S61%)</f>
        <v>654.86539791777318</v>
      </c>
      <c r="X61" s="22" t="e">
        <f ca="1">_xll.BDP($B61,X$6, "YLD_YTM_ASK="&amp;$S61,"YAS_YLD_CONV=1")*$X$3*0.0001</f>
        <v>#VALUE!</v>
      </c>
      <c r="Y61" s="24" t="e">
        <f t="shared" ca="1" si="0"/>
        <v>#VALUE!</v>
      </c>
      <c r="Z61" s="23">
        <f ca="1">_xll.meLWOBondModifiedDuration($L61,$C$4,$S61%)</f>
        <v>6.4764653470039555</v>
      </c>
      <c r="AA61" s="23">
        <f ca="1">_xll.BDP($B61,AA$6, "YLD_YTM_ASK="&amp;$G61,"YAS_YLD_CONV=1")</f>
        <v>6.4764765594020446</v>
      </c>
      <c r="AB61" s="22">
        <f t="shared" ca="1" si="1"/>
        <v>1.1212398089099906E-5</v>
      </c>
      <c r="AC61" s="24">
        <f ca="1">_xll.meLWOBondDV01Numerical($L61,$C$4,$S61%, 0.5, "CENTRAL")</f>
        <v>654.86541551194944</v>
      </c>
    </row>
    <row r="62" spans="2:47">
      <c r="B62" s="15" t="s">
        <v>1556</v>
      </c>
      <c r="C62" s="15" t="s">
        <v>1557</v>
      </c>
      <c r="D62" s="15" t="s">
        <v>1557</v>
      </c>
      <c r="E62" s="16">
        <v>41368</v>
      </c>
      <c r="F62" s="19"/>
      <c r="G62" s="18"/>
      <c r="H62" s="16"/>
      <c r="I62" s="16"/>
      <c r="J62" s="17">
        <v>0</v>
      </c>
      <c r="K62" s="16">
        <v>45802</v>
      </c>
      <c r="L62" s="20" t="str">
        <f ca="1">_xll.meLWOBondCreateFromGeneratorLVB(C62,$L$4,_xll.meUtilityLVBFromKeysValues($C$6:$K$6,C62:K62))</f>
        <v>FR0011461417:0</v>
      </c>
      <c r="M62" s="92">
        <f ca="1">_xll.BDP($B62,$M$5)</f>
        <v>0.3455653485156418</v>
      </c>
      <c r="N62" s="89">
        <f ca="1">_xll.meLWOBondCleanPrice($L62,$C$4,$M62%)</f>
        <v>97.748000000000033</v>
      </c>
      <c r="O62" s="89">
        <f ca="1">_xll.meLWOBondDirtyPrice($L62,$C$4,$M62%)</f>
        <v>97.748000000000033</v>
      </c>
      <c r="P62" s="72">
        <f ca="1">_xll.meLWOBondYield($L62,$C$4,N62)</f>
        <v>3.4556534851565663E-3</v>
      </c>
      <c r="Q62" s="89">
        <f ca="1">_xll.meLWOBondModifiedDuration($L62,$C$4,$M62%)</f>
        <v>6.5800015208395726</v>
      </c>
      <c r="R62" s="23">
        <f ca="1">_xll.meLWOBondDV01($L62,$C$4,$M62%)</f>
        <v>643.18198865902673</v>
      </c>
      <c r="S62" s="21">
        <f t="shared" ca="1" si="2"/>
        <v>0.3455653485156418</v>
      </c>
      <c r="T62" s="22" t="str">
        <f ca="1">_xll.BDP($B62,T$6, "YAS_BOND_YLD="&amp;S62,"YAS_YLD_CONV=1")</f>
        <v>#N/A Requesting Data...</v>
      </c>
      <c r="U62" s="23">
        <f t="shared" ca="1" si="3"/>
        <v>97.748000000000033</v>
      </c>
      <c r="V62" s="24" t="e">
        <f t="shared" ca="1" si="4"/>
        <v>#VALUE!</v>
      </c>
      <c r="W62" s="23">
        <f ca="1">_xll.meLWOBondDV01($L62,$C$4,$S62%)</f>
        <v>643.18198865902673</v>
      </c>
      <c r="X62" s="22" t="e">
        <f ca="1">_xll.BDP($B62,X$6, "YLD_YTM_ASK="&amp;$S62,"YAS_YLD_CONV=1")*$X$3*0.0001</f>
        <v>#VALUE!</v>
      </c>
      <c r="Y62" s="24" t="e">
        <f t="shared" ca="1" si="0"/>
        <v>#VALUE!</v>
      </c>
      <c r="Z62" s="23">
        <f ca="1">_xll.meLWOBondModifiedDuration($L62,$C$4,$S62%)</f>
        <v>6.5800015208395726</v>
      </c>
      <c r="AA62" s="23">
        <f ca="1">_xll.BDP($B62,AA$6, "YLD_YTM_ASK="&amp;$G62,"YAS_YLD_CONV=1")</f>
        <v>6.5800022331758576</v>
      </c>
      <c r="AB62" s="22">
        <f t="shared" ca="1" si="1"/>
        <v>7.1233628506917057E-7</v>
      </c>
      <c r="AC62" s="24">
        <f ca="1">_xll.meLWOBondDV01Numerical($L62,$C$4,$S62%, 0.5, "CENTRAL")</f>
        <v>643.18200606777509</v>
      </c>
    </row>
    <row r="63" spans="2:47">
      <c r="B63" s="15" t="s">
        <v>1172</v>
      </c>
      <c r="C63" s="15" t="s">
        <v>1173</v>
      </c>
      <c r="D63" s="15" t="s">
        <v>1173</v>
      </c>
      <c r="E63" s="16">
        <v>42044</v>
      </c>
      <c r="F63" s="19">
        <v>41784</v>
      </c>
      <c r="G63" s="18"/>
      <c r="H63" s="16">
        <v>42149</v>
      </c>
      <c r="I63" s="16">
        <v>45437</v>
      </c>
      <c r="J63" s="17">
        <v>5.0000000000000001E-3</v>
      </c>
      <c r="K63" s="16">
        <v>45802</v>
      </c>
      <c r="L63" s="20" t="str">
        <f ca="1">_xll.meLWOBondCreateFromGeneratorLVB(C63,$L$4,_xll.meUtilityLVBFromKeysValues($C$6:$K$6,C63:K63))</f>
        <v>FR0012517027:2</v>
      </c>
      <c r="M63" s="92">
        <f ca="1">_xll.BDP($B63,$M$5)</f>
        <v>0.35933539748299059</v>
      </c>
      <c r="N63" s="89">
        <f ca="1">_xll.meLWOBondCleanPrice($L63,$C$4,$M63%)</f>
        <v>100.91600000000001</v>
      </c>
      <c r="O63" s="89">
        <f ca="1">_xll.meLWOBondDirtyPrice($L63,$C$4,$M63%)</f>
        <v>101.11463010000001</v>
      </c>
      <c r="P63" s="72">
        <f ca="1">_xll.meLWOBondYield($L63,$C$4,N63)</f>
        <v>3.5933539748298337E-3</v>
      </c>
      <c r="Q63" s="89">
        <f ca="1">_xll.meLWOBondModifiedDuration($L63,$C$4,$M63%)</f>
        <v>6.4764653470039555</v>
      </c>
      <c r="R63" s="23">
        <f ca="1">_xll.meLWOBondDV01($L63,$C$4,$M63%)</f>
        <v>654.86539791777318</v>
      </c>
      <c r="S63" s="21">
        <f t="shared" ca="1" si="2"/>
        <v>0.35933539748299059</v>
      </c>
      <c r="T63" s="22" t="str">
        <f ca="1">_xll.BDP($B63,T$6, "YAS_BOND_YLD="&amp;S63,"YAS_YLD_CONV=1")</f>
        <v>#N/A Requesting Data...</v>
      </c>
      <c r="U63" s="23">
        <f t="shared" ca="1" si="3"/>
        <v>100.91600000000001</v>
      </c>
      <c r="V63" s="24" t="e">
        <f t="shared" ca="1" si="4"/>
        <v>#VALUE!</v>
      </c>
      <c r="W63" s="23">
        <f ca="1">_xll.meLWOBondDV01($L63,$C$4,$S63%)</f>
        <v>654.86539791777318</v>
      </c>
      <c r="X63" s="22" t="e">
        <f ca="1">_xll.BDP($B63,X$6, "YLD_YTM_ASK="&amp;$S63,"YAS_YLD_CONV=1")*$X$3*0.0001</f>
        <v>#VALUE!</v>
      </c>
      <c r="Y63" s="24" t="e">
        <f t="shared" ca="1" si="0"/>
        <v>#VALUE!</v>
      </c>
      <c r="Z63" s="23">
        <f ca="1">_xll.meLWOBondModifiedDuration($L63,$C$4,$S63%)</f>
        <v>6.4764653470039555</v>
      </c>
      <c r="AA63" s="23">
        <f ca="1">_xll.BDP($B63,AA$6, "YLD_YTM_ASK="&amp;$G63,"YAS_YLD_CONV=1")</f>
        <v>6.4764765594020446</v>
      </c>
      <c r="AB63" s="22">
        <f t="shared" ca="1" si="1"/>
        <v>1.1212398089099906E-5</v>
      </c>
      <c r="AC63" s="24">
        <f ca="1">_xll.meLWOBondDV01Numerical($L63,$C$4,$S63%, 0.5, "CENTRAL")</f>
        <v>654.86541551194944</v>
      </c>
    </row>
    <row r="64" spans="2:47">
      <c r="B64" s="15" t="s">
        <v>1172</v>
      </c>
      <c r="C64" s="15" t="s">
        <v>1173</v>
      </c>
      <c r="D64" s="15" t="s">
        <v>1173</v>
      </c>
      <c r="E64" s="16">
        <v>42044</v>
      </c>
      <c r="F64" s="19">
        <v>41784</v>
      </c>
      <c r="G64" s="18"/>
      <c r="H64" s="16">
        <v>42149</v>
      </c>
      <c r="I64" s="16">
        <v>45437</v>
      </c>
      <c r="J64" s="17">
        <v>5.0000000000000001E-3</v>
      </c>
      <c r="K64" s="16">
        <v>45802</v>
      </c>
      <c r="L64" s="20" t="str">
        <f ca="1">_xll.meLWOBondCreateFromGeneratorLVB(C64,$L$4,_xll.meUtilityLVBFromKeysValues($C$6:$K$6,C64:K64))</f>
        <v>FR0012517027:0</v>
      </c>
      <c r="M64" s="92">
        <f ca="1">_xll.BDP($B64,$M$5)</f>
        <v>0.35933539748299059</v>
      </c>
      <c r="N64" s="89">
        <f ca="1">_xll.meLWOBondCleanPrice($L64,$C$4,$M64%)</f>
        <v>100.91600000000001</v>
      </c>
      <c r="O64" s="89">
        <f ca="1">_xll.meLWOBondDirtyPrice($L64,$C$4,$M64%)</f>
        <v>101.11463010000001</v>
      </c>
      <c r="P64" s="72">
        <f ca="1">_xll.meLWOBondYield($L64,$C$4,N64)</f>
        <v>3.5933539748298337E-3</v>
      </c>
      <c r="Q64" s="89">
        <f ca="1">_xll.meLWOBondModifiedDuration($L64,$C$4,$M64%)</f>
        <v>6.4764653470039555</v>
      </c>
      <c r="R64" s="23">
        <f ca="1">_xll.meLWOBondDV01($L64,$C$4,$M64%)</f>
        <v>654.86539791777318</v>
      </c>
      <c r="S64" s="21">
        <f t="shared" ca="1" si="2"/>
        <v>0.35933539748299059</v>
      </c>
      <c r="T64" s="22" t="str">
        <f ca="1">_xll.BDP($B64,T$6, "YAS_BOND_YLD="&amp;S64,"YAS_YLD_CONV=1")</f>
        <v>#N/A Requesting Data...</v>
      </c>
      <c r="U64" s="23">
        <f t="shared" ca="1" si="3"/>
        <v>100.91600000000001</v>
      </c>
      <c r="V64" s="24" t="e">
        <f t="shared" ca="1" si="4"/>
        <v>#VALUE!</v>
      </c>
      <c r="W64" s="23">
        <f ca="1">_xll.meLWOBondDV01($L64,$C$4,$S64%)</f>
        <v>654.86539791777318</v>
      </c>
      <c r="X64" s="22" t="e">
        <f ca="1">_xll.BDP($B64,X$6, "YLD_YTM_ASK="&amp;$S64,"YAS_YLD_CONV=1")*$X$3*0.0001</f>
        <v>#VALUE!</v>
      </c>
      <c r="Y64" s="24" t="e">
        <f t="shared" ca="1" si="0"/>
        <v>#VALUE!</v>
      </c>
      <c r="Z64" s="23">
        <f ca="1">_xll.meLWOBondModifiedDuration($L64,$C$4,$S64%)</f>
        <v>6.4764653470039555</v>
      </c>
      <c r="AA64" s="23">
        <f ca="1">_xll.BDP($B64,AA$6, "YLD_YTM_ASK="&amp;$G64,"YAS_YLD_CONV=1")</f>
        <v>6.4764765594020446</v>
      </c>
      <c r="AB64" s="22">
        <f t="shared" ca="1" si="1"/>
        <v>1.1212398089099906E-5</v>
      </c>
      <c r="AC64" s="24">
        <f ca="1">_xll.meLWOBondDV01Numerical($L64,$C$4,$S64%, 0.5, "CENTRAL")</f>
        <v>654.86541551194944</v>
      </c>
    </row>
    <row r="65" spans="2:29">
      <c r="B65" s="15" t="s">
        <v>1210</v>
      </c>
      <c r="C65" s="15" t="s">
        <v>1211</v>
      </c>
      <c r="D65" s="15" t="s">
        <v>1211</v>
      </c>
      <c r="E65" s="16">
        <v>34390</v>
      </c>
      <c r="F65" s="19">
        <v>34267</v>
      </c>
      <c r="G65" s="18"/>
      <c r="H65" s="16">
        <v>34632</v>
      </c>
      <c r="I65" s="16">
        <v>45590</v>
      </c>
      <c r="J65" s="17">
        <v>0.06</v>
      </c>
      <c r="K65" s="16">
        <v>45955</v>
      </c>
      <c r="L65" s="20" t="str">
        <f ca="1">_xll.meLWOBondCreateFromGeneratorLVB(C65,$L$4,_xll.meUtilityLVBFromKeysValues($C$6:$K$6,C65:K65))</f>
        <v>FR0000571150:0</v>
      </c>
      <c r="M65" s="92">
        <f ca="1">_xll.BDP($B65,$M$5)</f>
        <v>0.37412448838656631</v>
      </c>
      <c r="N65" s="89">
        <f ca="1">_xll.meLWOBondCleanPrice($L65,$C$4,$M65%)</f>
        <v>138.91800000000021</v>
      </c>
      <c r="O65" s="89">
        <f ca="1">_xll.meLWOBondDirtyPrice($L65,$C$4,$M65%)</f>
        <v>144.78649320000019</v>
      </c>
      <c r="P65" s="72">
        <f ca="1">_xll.meLWOBondYield($L65,$C$4,N65)</f>
        <v>3.741244883874876E-3</v>
      </c>
      <c r="Q65" s="89">
        <f ca="1">_xll.meLWOBondModifiedDuration($L65,$C$4,$M65%)</f>
        <v>5.8484121083922354</v>
      </c>
      <c r="R65" s="23">
        <f ca="1">_xll.meLWOBondDV01($L65,$C$4,$M65%)</f>
        <v>846.77107996253119</v>
      </c>
      <c r="S65" s="21">
        <f t="shared" ca="1" si="2"/>
        <v>0.37412448838656631</v>
      </c>
      <c r="T65" s="22" t="str">
        <f ca="1">_xll.BDP($B65,T$6, "YAS_BOND_YLD="&amp;S65,"YAS_YLD_CONV=1")</f>
        <v>#N/A Requesting Data...</v>
      </c>
      <c r="U65" s="23">
        <f t="shared" ca="1" si="3"/>
        <v>138.91800000000021</v>
      </c>
      <c r="V65" s="24" t="e">
        <f t="shared" ca="1" si="4"/>
        <v>#VALUE!</v>
      </c>
      <c r="W65" s="23">
        <f ca="1">_xll.meLWOBondDV01($L65,$C$4,$S65%)</f>
        <v>846.77107996253119</v>
      </c>
      <c r="X65" s="22" t="e">
        <f ca="1">_xll.BDP($B65,X$6, "YLD_YTM_ASK="&amp;$S65,"YAS_YLD_CONV=1")*$X$3*0.0001</f>
        <v>#VALUE!</v>
      </c>
      <c r="Y65" s="24" t="e">
        <f t="shared" ca="1" si="0"/>
        <v>#VALUE!</v>
      </c>
      <c r="Z65" s="23">
        <f ca="1">_xll.meLWOBondModifiedDuration($L65,$C$4,$S65%)</f>
        <v>5.8484121083922354</v>
      </c>
      <c r="AA65" s="23">
        <f ca="1">_xll.BDP($B65,AA$6, "YLD_YTM_ASK="&amp;$G65,"YAS_YLD_CONV=1")</f>
        <v>5.8484127571826852</v>
      </c>
      <c r="AB65" s="22">
        <f t="shared" ca="1" si="1"/>
        <v>6.4879044980870049E-7</v>
      </c>
      <c r="AC65" s="24">
        <f ca="1">_xll.meLWOBondDV01Numerical($L65,$C$4,$S65%, 0.5, "CENTRAL")</f>
        <v>846.7711034398917</v>
      </c>
    </row>
    <row r="66" spans="2:29">
      <c r="B66" s="15" t="s">
        <v>1282</v>
      </c>
      <c r="C66" s="15" t="s">
        <v>1283</v>
      </c>
      <c r="D66" s="15" t="s">
        <v>1283</v>
      </c>
      <c r="E66" s="16">
        <v>40140</v>
      </c>
      <c r="F66" s="19"/>
      <c r="G66" s="18"/>
      <c r="H66" s="16"/>
      <c r="I66" s="16"/>
      <c r="J66" s="17">
        <v>0</v>
      </c>
      <c r="K66" s="16">
        <v>45955</v>
      </c>
      <c r="L66" s="20" t="str">
        <f ca="1">_xll.meLWOBondCreateFromGeneratorLVB(C66,$L$4,_xll.meUtilityLVBFromKeysValues($C$6:$K$6,C66:K66))</f>
        <v>FR0010810093:0</v>
      </c>
      <c r="M66" s="92">
        <f ca="1">_xll.BDP($B66,$M$5)</f>
        <v>0.42248280067676003</v>
      </c>
      <c r="N66" s="89">
        <f ca="1">_xll.meLWOBondCleanPrice($L66,$C$4,$M66%)</f>
        <v>97.083000000000041</v>
      </c>
      <c r="O66" s="89">
        <f ca="1">_xll.meLWOBondDirtyPrice($L66,$C$4,$M66%)</f>
        <v>97.083000000000041</v>
      </c>
      <c r="P66" s="72">
        <f ca="1">_xll.meLWOBondYield($L66,$C$4,N66)</f>
        <v>4.2248280067678336E-3</v>
      </c>
      <c r="Q66" s="89">
        <f ca="1">_xll.meLWOBondModifiedDuration($L66,$C$4,$M66%)</f>
        <v>6.9923762213254674</v>
      </c>
      <c r="R66" s="23">
        <f ca="1">_xll.meLWOBondDV01($L66,$C$4,$M66%)</f>
        <v>678.8408606949406</v>
      </c>
      <c r="S66" s="21">
        <f t="shared" ca="1" si="2"/>
        <v>0.42248280067676003</v>
      </c>
      <c r="T66" s="22" t="str">
        <f ca="1">_xll.BDP($B66,T$6, "YAS_BOND_YLD="&amp;S66,"YAS_YLD_CONV=1")</f>
        <v>#N/A Requesting Data...</v>
      </c>
      <c r="U66" s="23">
        <f t="shared" ca="1" si="3"/>
        <v>97.083000000000041</v>
      </c>
      <c r="V66" s="24" t="e">
        <f t="shared" ca="1" si="4"/>
        <v>#VALUE!</v>
      </c>
      <c r="W66" s="23">
        <f ca="1">_xll.meLWOBondDV01($L66,$C$4,$S66%)</f>
        <v>678.8408606949406</v>
      </c>
      <c r="X66" s="22" t="e">
        <f ca="1">_xll.BDP($B66,X$6, "YLD_YTM_ASK="&amp;$S66,"YAS_YLD_CONV=1")*$X$3*0.0001</f>
        <v>#VALUE!</v>
      </c>
      <c r="Y66" s="24" t="e">
        <f t="shared" ca="1" si="0"/>
        <v>#VALUE!</v>
      </c>
      <c r="Z66" s="23">
        <f ca="1">_xll.meLWOBondModifiedDuration($L66,$C$4,$S66%)</f>
        <v>6.9923762213254674</v>
      </c>
      <c r="AA66" s="23">
        <f ca="1">_xll.BDP($B66,AA$6, "YLD_YTM_ASK="&amp;$G66,"YAS_YLD_CONV=1")</f>
        <v>6.992377057676415</v>
      </c>
      <c r="AB66" s="22">
        <f t="shared" ca="1" si="1"/>
        <v>8.3635094760836637E-7</v>
      </c>
      <c r="AC66" s="24">
        <f ca="1">_xll.meLWOBondDV01Numerical($L66,$C$4,$S66%, 0.5, "CENTRAL")</f>
        <v>678.84088099532391</v>
      </c>
    </row>
    <row r="67" spans="2:29">
      <c r="B67" s="15" t="s">
        <v>1320</v>
      </c>
      <c r="C67" s="15" t="s">
        <v>1321</v>
      </c>
      <c r="D67" s="15" t="s">
        <v>1321</v>
      </c>
      <c r="E67" s="16">
        <v>34450</v>
      </c>
      <c r="F67" s="19"/>
      <c r="G67" s="18"/>
      <c r="H67" s="16"/>
      <c r="I67" s="16"/>
      <c r="J67" s="17">
        <v>0</v>
      </c>
      <c r="K67" s="16">
        <v>45955</v>
      </c>
      <c r="L67" s="20" t="str">
        <f ca="1">_xll.meLWOBondCreateFromGeneratorLVB(C67,$L$4,_xll.meUtilityLVBFromKeysValues($C$6:$K$6,C67:K67))</f>
        <v>FR0000571135:0</v>
      </c>
      <c r="M67" s="92">
        <f ca="1">_xll.BDP($B67,$M$5)</f>
        <v>0.45079830347509731</v>
      </c>
      <c r="N67" s="89">
        <f ca="1">_xll.meLWOBondCleanPrice($L67,$C$4,$M67%)</f>
        <v>96.891000000000076</v>
      </c>
      <c r="O67" s="89">
        <f ca="1">_xll.meLWOBondDirtyPrice($L67,$C$4,$M67%)</f>
        <v>96.891000000000076</v>
      </c>
      <c r="P67" s="72">
        <f ca="1">_xll.meLWOBondYield($L67,$C$4,N67)</f>
        <v>4.5079830347512315E-3</v>
      </c>
      <c r="Q67" s="89">
        <f ca="1">_xll.meLWOBondModifiedDuration($L67,$C$4,$M67%)</f>
        <v>6.9904051802605283</v>
      </c>
      <c r="R67" s="23">
        <f ca="1">_xll.meLWOBondDV01($L67,$C$4,$M67%)</f>
        <v>677.30734832062342</v>
      </c>
      <c r="S67" s="21">
        <f t="shared" ca="1" si="2"/>
        <v>0.45079830347509731</v>
      </c>
      <c r="T67" s="22" t="str">
        <f ca="1">_xll.BDP($B67,T$6, "YAS_BOND_YLD="&amp;S67,"YAS_YLD_CONV=1")</f>
        <v>#N/A Requesting Data...</v>
      </c>
      <c r="U67" s="23">
        <f t="shared" ca="1" si="3"/>
        <v>96.891000000000076</v>
      </c>
      <c r="V67" s="24" t="e">
        <f t="shared" ca="1" si="4"/>
        <v>#VALUE!</v>
      </c>
      <c r="W67" s="23">
        <f ca="1">_xll.meLWOBondDV01($L67,$C$4,$S67%)</f>
        <v>677.30734832062342</v>
      </c>
      <c r="X67" s="22" t="e">
        <f ca="1">_xll.BDP($B67,X$6, "YLD_YTM_ASK="&amp;$S67,"YAS_YLD_CONV=1")*$X$3*0.0001</f>
        <v>#VALUE!</v>
      </c>
      <c r="Y67" s="24" t="e">
        <f t="shared" ca="1" si="0"/>
        <v>#VALUE!</v>
      </c>
      <c r="Z67" s="23">
        <f ca="1">_xll.meLWOBondModifiedDuration($L67,$C$4,$S67%)</f>
        <v>6.9904051802605283</v>
      </c>
      <c r="AA67" s="23">
        <f ca="1">_xll.BDP($B67,AA$6, "YLD_YTM_ASK="&amp;$G67,"YAS_YLD_CONV=1")</f>
        <v>6.9904060159040009</v>
      </c>
      <c r="AB67" s="22">
        <f t="shared" ca="1" si="1"/>
        <v>8.3564347264086791E-7</v>
      </c>
      <c r="AC67" s="24">
        <f ca="1">_xll.meLWOBondDV01Numerical($L67,$C$4,$S67%, 0.5, "CENTRAL")</f>
        <v>677.30736856361784</v>
      </c>
    </row>
    <row r="68" spans="2:29">
      <c r="B68" s="15" t="s">
        <v>1564</v>
      </c>
      <c r="C68" s="15" t="s">
        <v>1565</v>
      </c>
      <c r="D68" s="15" t="s">
        <v>1565</v>
      </c>
      <c r="E68" s="16">
        <v>34450</v>
      </c>
      <c r="F68" s="19"/>
      <c r="G68" s="18"/>
      <c r="H68" s="16"/>
      <c r="I68" s="16"/>
      <c r="J68" s="17">
        <v>0</v>
      </c>
      <c r="K68" s="16">
        <v>45955</v>
      </c>
      <c r="L68" s="20" t="str">
        <f ca="1">_xll.meLWOBondCreateFromGeneratorLVB(C68,$L$4,_xll.meUtilityLVBFromKeysValues($C$6:$K$6,C68:K68))</f>
        <v>FR0000571143:0</v>
      </c>
      <c r="M68" s="92">
        <f ca="1">_xll.BDP($B68,$M$5)</f>
        <v>0.44976484190695221</v>
      </c>
      <c r="N68" s="89">
        <f ca="1">_xll.meLWOBondCleanPrice($L68,$C$4,$M68%)</f>
        <v>96.898000000000067</v>
      </c>
      <c r="O68" s="89">
        <f ca="1">_xll.meLWOBondDirtyPrice($L68,$C$4,$M68%)</f>
        <v>96.898000000000067</v>
      </c>
      <c r="P68" s="72">
        <f ca="1">_xll.meLWOBondYield($L68,$C$4,N68)</f>
        <v>4.4976484190698534E-3</v>
      </c>
      <c r="Q68" s="89">
        <f ca="1">_xll.meLWOBondModifiedDuration($L68,$C$4,$M68%)</f>
        <v>6.9904770999420824</v>
      </c>
      <c r="R68" s="23">
        <f ca="1">_xll.meLWOBondDV01($L68,$C$4,$M68%)</f>
        <v>677.3632500301884</v>
      </c>
      <c r="S68" s="21">
        <f t="shared" ca="1" si="2"/>
        <v>0.44976484190695221</v>
      </c>
      <c r="T68" s="22" t="str">
        <f ca="1">_xll.BDP($B68,T$6, "YAS_BOND_YLD="&amp;S68,"YAS_YLD_CONV=1")</f>
        <v>#N/A Requesting Data...</v>
      </c>
      <c r="U68" s="23">
        <f t="shared" ca="1" si="3"/>
        <v>96.898000000000067</v>
      </c>
      <c r="V68" s="24" t="e">
        <f t="shared" ca="1" si="4"/>
        <v>#VALUE!</v>
      </c>
      <c r="W68" s="23">
        <f ca="1">_xll.meLWOBondDV01($L68,$C$4,$S68%)</f>
        <v>677.3632500301884</v>
      </c>
      <c r="X68" s="22" t="e">
        <f ca="1">_xll.BDP($B68,X$6, "YLD_YTM_ASK="&amp;$S68,"YAS_YLD_CONV=1")*$X$3*0.0001</f>
        <v>#VALUE!</v>
      </c>
      <c r="Y68" s="24" t="e">
        <f t="shared" ca="1" si="0"/>
        <v>#VALUE!</v>
      </c>
      <c r="Z68" s="23">
        <f ca="1">_xll.meLWOBondModifiedDuration($L68,$C$4,$S68%)</f>
        <v>6.9904770999420824</v>
      </c>
      <c r="AA68" s="23">
        <f ca="1">_xll.BDP($B68,AA$6, "YLD_YTM_ASK="&amp;$G68,"YAS_YLD_CONV=1")</f>
        <v>6.99047793561106</v>
      </c>
      <c r="AB68" s="22">
        <f t="shared" ca="1" si="1"/>
        <v>8.3566897757236802E-7</v>
      </c>
      <c r="AC68" s="24">
        <f ca="1">_xll.meLWOBondDV01Numerical($L68,$C$4,$S68%, 0.5, "CENTRAL")</f>
        <v>677.36327027532195</v>
      </c>
    </row>
    <row r="69" spans="2:29">
      <c r="B69" s="15" t="s">
        <v>1174</v>
      </c>
      <c r="C69" s="15" t="s">
        <v>1175</v>
      </c>
      <c r="D69" s="15" t="s">
        <v>1175</v>
      </c>
      <c r="E69" s="16">
        <v>42254</v>
      </c>
      <c r="F69" s="19">
        <v>41968</v>
      </c>
      <c r="G69" s="18"/>
      <c r="H69" s="16">
        <v>42333</v>
      </c>
      <c r="I69" s="16">
        <v>45621</v>
      </c>
      <c r="J69" s="17">
        <v>0.01</v>
      </c>
      <c r="K69" s="16">
        <v>45986</v>
      </c>
      <c r="L69" s="20" t="str">
        <f ca="1">_xll.meLWOBondCreateFromGeneratorLVB(C69,$L$4,_xll.meUtilityLVBFromKeysValues($C$6:$K$6,C69:K69))</f>
        <v>FR0012938116:0</v>
      </c>
      <c r="M69" s="92">
        <f ca="1">_xll.BDP($B69,$M$5)</f>
        <v>0.43266014375881201</v>
      </c>
      <c r="N69" s="89">
        <f ca="1">_xll.meLWOBondCleanPrice($L69,$C$4,$M69%)</f>
        <v>103.96200000001767</v>
      </c>
      <c r="O69" s="89">
        <f ca="1">_xll.meLWOBondDirtyPrice($L69,$C$4,$M69%)</f>
        <v>104.85515070001767</v>
      </c>
      <c r="P69" s="72">
        <f ca="1">_xll.meLWOBondYield($L69,$C$4,N69)</f>
        <v>4.3266014375881387E-3</v>
      </c>
      <c r="Q69" s="89">
        <f ca="1">_xll.meLWOBondModifiedDuration($L69,$C$4,$M69%)</f>
        <v>6.8127487263992546</v>
      </c>
      <c r="R69" s="23">
        <f ca="1">_xll.meLWOBondDV01($L69,$C$4,$M69%)</f>
        <v>714.35179438794728</v>
      </c>
      <c r="S69" s="21">
        <f t="shared" ca="1" si="2"/>
        <v>0.43266014375881201</v>
      </c>
      <c r="T69" s="22" t="str">
        <f ca="1">_xll.BDP($B69,T$6, "YAS_BOND_YLD="&amp;S69,"YAS_YLD_CONV=1")</f>
        <v>#N/A Requesting Data...</v>
      </c>
      <c r="U69" s="23">
        <f t="shared" ca="1" si="3"/>
        <v>103.96200000001767</v>
      </c>
      <c r="V69" s="24" t="e">
        <f t="shared" ca="1" si="4"/>
        <v>#VALUE!</v>
      </c>
      <c r="W69" s="23">
        <f ca="1">_xll.meLWOBondDV01($L69,$C$4,$S69%)</f>
        <v>714.35179438794728</v>
      </c>
      <c r="X69" s="22" t="e">
        <f ca="1">_xll.BDP($B69,X$6, "YLD_YTM_ASK="&amp;$S69,"YAS_YLD_CONV=1")*$X$3*0.0001</f>
        <v>#VALUE!</v>
      </c>
      <c r="Y69" s="24" t="e">
        <f t="shared" ca="1" si="0"/>
        <v>#VALUE!</v>
      </c>
      <c r="Z69" s="23">
        <f ca="1">_xll.meLWOBondModifiedDuration($L69,$C$4,$S69%)</f>
        <v>6.8127487263992546</v>
      </c>
      <c r="AA69" s="23">
        <f ca="1">_xll.BDP($B69,AA$6, "YLD_YTM_ASK="&amp;$G69,"YAS_YLD_CONV=1")</f>
        <v>6.8127495448837063</v>
      </c>
      <c r="AB69" s="22">
        <f t="shared" ca="1" si="1"/>
        <v>8.184844517700185E-7</v>
      </c>
      <c r="AC69" s="24">
        <f ca="1">_xll.meLWOBondDV01Numerical($L69,$C$4,$S69%, 0.5, "CENTRAL")</f>
        <v>714.35181584817542</v>
      </c>
    </row>
    <row r="70" spans="2:29">
      <c r="B70" s="15" t="s">
        <v>1506</v>
      </c>
      <c r="C70" s="15" t="s">
        <v>1507</v>
      </c>
      <c r="D70" s="15" t="s">
        <v>1507</v>
      </c>
      <c r="E70" s="16">
        <v>42254</v>
      </c>
      <c r="F70" s="19"/>
      <c r="G70" s="18"/>
      <c r="H70" s="16"/>
      <c r="I70" s="16"/>
      <c r="J70" s="17">
        <v>0</v>
      </c>
      <c r="K70" s="16">
        <v>45986</v>
      </c>
      <c r="L70" s="20" t="str">
        <f ca="1">_xll.meLWOBondCreateFromGeneratorLVB(C70,$L$4,_xll.meUtilityLVBFromKeysValues($C$6:$K$6,C70:K70))</f>
        <v>FR0012938843:0</v>
      </c>
      <c r="M70" s="92">
        <f ca="1">_xll.BDP($B70,$M$5)</f>
        <v>0.48352997395799679</v>
      </c>
      <c r="N70" s="89">
        <f ca="1">_xll.meLWOBondCleanPrice($L70,$C$4,$M70%)</f>
        <v>96.63000000000001</v>
      </c>
      <c r="O70" s="89">
        <f ca="1">_xll.meLWOBondDirtyPrice($L70,$C$4,$M70%)</f>
        <v>96.63000000000001</v>
      </c>
      <c r="P70" s="72">
        <f ca="1">_xll.meLWOBondYield($L70,$C$4,N70)</f>
        <v>4.8352997395802984E-3</v>
      </c>
      <c r="Q70" s="89">
        <f ca="1">_xll.meLWOBondModifiedDuration($L70,$C$4,$M70%)</f>
        <v>7.0726509278787804</v>
      </c>
      <c r="R70" s="23">
        <f ca="1">_xll.meLWOBondDV01($L70,$C$4,$M70%)</f>
        <v>683.43025916092665</v>
      </c>
      <c r="S70" s="21">
        <f t="shared" ca="1" si="2"/>
        <v>0.48352997395799679</v>
      </c>
      <c r="T70" s="22" t="str">
        <f ca="1">_xll.BDP($B70,T$6, "YAS_BOND_YLD="&amp;S70,"YAS_YLD_CONV=1")</f>
        <v>#N/A Requesting Data...</v>
      </c>
      <c r="U70" s="23">
        <f t="shared" ca="1" si="3"/>
        <v>96.63000000000001</v>
      </c>
      <c r="V70" s="24" t="e">
        <f t="shared" ca="1" si="4"/>
        <v>#VALUE!</v>
      </c>
      <c r="W70" s="23">
        <f ca="1">_xll.meLWOBondDV01($L70,$C$4,$S70%)</f>
        <v>683.43025916092665</v>
      </c>
      <c r="X70" s="22" t="e">
        <f ca="1">_xll.BDP($B70,X$6, "YLD_YTM_ASK="&amp;$S70,"YAS_YLD_CONV=1")*$X$3*0.0001</f>
        <v>#VALUE!</v>
      </c>
      <c r="Y70" s="24" t="e">
        <f t="shared" ca="1" si="0"/>
        <v>#VALUE!</v>
      </c>
      <c r="Z70" s="23">
        <f ca="1">_xll.meLWOBondModifiedDuration($L70,$C$4,$S70%)</f>
        <v>7.0726509278787804</v>
      </c>
      <c r="AA70" s="23">
        <f ca="1">_xll.BDP($B70,AA$6, "YLD_YTM_ASK="&amp;$G70,"YAS_YLD_CONV=1")</f>
        <v>7.0726517897870673</v>
      </c>
      <c r="AB70" s="22">
        <f t="shared" ca="1" si="1"/>
        <v>8.6190828696430799E-7</v>
      </c>
      <c r="AC70" s="24">
        <f ca="1">_xll.meLWOBondDV01Numerical($L70,$C$4,$S70%, 0.5, "CENTRAL")</f>
        <v>683.430279983952</v>
      </c>
    </row>
    <row r="71" spans="2:29">
      <c r="B71" s="15" t="s">
        <v>1156</v>
      </c>
      <c r="C71" s="15" t="s">
        <v>1157</v>
      </c>
      <c r="D71" s="15" t="s">
        <v>1157</v>
      </c>
      <c r="E71" s="16">
        <v>40365</v>
      </c>
      <c r="F71" s="19">
        <v>40293</v>
      </c>
      <c r="G71" s="18"/>
      <c r="H71" s="16">
        <v>40658</v>
      </c>
      <c r="I71" s="16">
        <v>45772</v>
      </c>
      <c r="J71" s="17">
        <v>3.5000000000000003E-2</v>
      </c>
      <c r="K71" s="16">
        <v>46137</v>
      </c>
      <c r="L71" s="20" t="str">
        <f ca="1">_xll.meLWOBondCreateFromGeneratorLVB(C71,$L$4,_xll.meUtilityLVBFromKeysValues($C$6:$K$6,C71:K71))</f>
        <v>FR0010916924:0</v>
      </c>
      <c r="M71" s="92">
        <f ca="1">_xll.BDP($B71,$M$5)</f>
        <v>0.44006387736512004</v>
      </c>
      <c r="N71" s="89">
        <f ca="1">_xll.meLWOBondCleanPrice($L71,$C$4,$M71%)</f>
        <v>122.58499999999985</v>
      </c>
      <c r="O71" s="89">
        <f ca="1">_xll.meLWOBondDirtyPrice($L71,$C$4,$M71%)</f>
        <v>124.26308219999986</v>
      </c>
      <c r="P71" s="72">
        <f ca="1">_xll.meLWOBondYield($L71,$C$4,N71)</f>
        <v>4.4006387736595931E-3</v>
      </c>
      <c r="Q71" s="89">
        <f ca="1">_xll.meLWOBondModifiedDuration($L71,$C$4,$M71%)</f>
        <v>6.7110236706173216</v>
      </c>
      <c r="R71" s="23">
        <f ca="1">_xll.meLWOBondDV01($L71,$C$4,$M71%)</f>
        <v>833.932486028065</v>
      </c>
      <c r="S71" s="21">
        <f t="shared" ca="1" si="2"/>
        <v>0.44006387736512004</v>
      </c>
      <c r="T71" s="22" t="str">
        <f ca="1">_xll.BDP($B71,T$6, "YAS_BOND_YLD="&amp;S71,"YAS_YLD_CONV=1")</f>
        <v>#N/A Requesting Data...</v>
      </c>
      <c r="U71" s="23">
        <f t="shared" ca="1" si="3"/>
        <v>122.58499999999985</v>
      </c>
      <c r="V71" s="24" t="e">
        <f t="shared" ref="V71:V134" ca="1" si="5">ABS(U71-T71)</f>
        <v>#VALUE!</v>
      </c>
      <c r="W71" s="23">
        <f ca="1">_xll.meLWOBondDV01($L71,$C$4,$S71%)</f>
        <v>833.932486028065</v>
      </c>
      <c r="X71" s="22" t="e">
        <f ca="1">_xll.BDP($B71,X$6, "YLD_YTM_ASK="&amp;$S71,"YAS_YLD_CONV=1")*$X$3*0.0001</f>
        <v>#VALUE!</v>
      </c>
      <c r="Y71" s="24" t="e">
        <f t="shared" ref="Y71:Y134" ca="1" si="6">ABS(X71-W71)</f>
        <v>#VALUE!</v>
      </c>
      <c r="Z71" s="23">
        <f ca="1">_xll.meLWOBondModifiedDuration($L71,$C$4,$S71%)</f>
        <v>6.7110236706173216</v>
      </c>
      <c r="AA71" s="23">
        <f ca="1">_xll.BDP($B71,AA$6, "YLD_YTM_ASK="&amp;$G71,"YAS_YLD_CONV=1")</f>
        <v>6.7110364613256408</v>
      </c>
      <c r="AB71" s="22">
        <f t="shared" ref="AB71:AB134" ca="1" si="7">ABS(AA71-Z71)</f>
        <v>1.2790708319165844E-5</v>
      </c>
      <c r="AC71" s="24">
        <f ca="1">_xll.meLWOBondDV01Numerical($L71,$C$4,$S71%, 0.5, "CENTRAL")</f>
        <v>833.93251254761935</v>
      </c>
    </row>
    <row r="72" spans="2:29">
      <c r="B72" s="15" t="s">
        <v>1340</v>
      </c>
      <c r="C72" s="15" t="s">
        <v>1341</v>
      </c>
      <c r="D72" s="15" t="s">
        <v>1341</v>
      </c>
      <c r="E72" s="16">
        <v>40140</v>
      </c>
      <c r="F72" s="19"/>
      <c r="G72" s="18"/>
      <c r="H72" s="16"/>
      <c r="I72" s="16"/>
      <c r="J72" s="17">
        <v>0</v>
      </c>
      <c r="K72" s="16">
        <v>46137</v>
      </c>
      <c r="L72" s="20" t="str">
        <f ca="1">_xll.meLWOBondCreateFromGeneratorLVB(C72,$L$4,_xll.meUtilityLVBFromKeysValues($C$6:$K$6,C72:K72))</f>
        <v>FR0010810127:0</v>
      </c>
      <c r="M72" s="92">
        <f ca="1">_xll.BDP($B72,$M$5)</f>
        <v>0.45770019565198883</v>
      </c>
      <c r="N72" s="89">
        <f ca="1">_xll.meLWOBondCleanPrice($L72,$C$4,$M72%)</f>
        <v>96.623999999999924</v>
      </c>
      <c r="O72" s="89">
        <f ca="1">_xll.meLWOBondDirtyPrice($L72,$C$4,$M72%)</f>
        <v>96.623999999999924</v>
      </c>
      <c r="P72" s="72">
        <f ca="1">_xll.meLWOBondYield($L72,$C$4,N72)</f>
        <v>4.5770019565202101E-3</v>
      </c>
      <c r="Q72" s="89">
        <f ca="1">_xll.meLWOBondModifiedDuration($L72,$C$4,$M72%)</f>
        <v>7.4862832122957403</v>
      </c>
      <c r="R72" s="23">
        <f ca="1">_xll.meLWOBondDV01($L72,$C$4,$M72%)</f>
        <v>723.35462910486308</v>
      </c>
      <c r="S72" s="21">
        <f t="shared" ref="S72:S135" ca="1" si="8">M72</f>
        <v>0.45770019565198883</v>
      </c>
      <c r="T72" s="22" t="str">
        <f ca="1">_xll.BDP($B72,T$6, "YAS_BOND_YLD="&amp;S72,"YAS_YLD_CONV=1")</f>
        <v>#N/A Requesting Data...</v>
      </c>
      <c r="U72" s="23">
        <f t="shared" ref="U72:U135" ca="1" si="9">N72</f>
        <v>96.623999999999924</v>
      </c>
      <c r="V72" s="24" t="e">
        <f t="shared" ca="1" si="5"/>
        <v>#VALUE!</v>
      </c>
      <c r="W72" s="23">
        <f ca="1">_xll.meLWOBondDV01($L72,$C$4,$S72%)</f>
        <v>723.35462910486308</v>
      </c>
      <c r="X72" s="22" t="e">
        <f ca="1">_xll.BDP($B72,X$6, "YLD_YTM_ASK="&amp;$S72,"YAS_YLD_CONV=1")*$X$3*0.0001</f>
        <v>#VALUE!</v>
      </c>
      <c r="Y72" s="24" t="e">
        <f t="shared" ca="1" si="6"/>
        <v>#VALUE!</v>
      </c>
      <c r="Z72" s="23">
        <f ca="1">_xll.meLWOBondModifiedDuration($L72,$C$4,$S72%)</f>
        <v>7.4862832122957403</v>
      </c>
      <c r="AA72" s="23">
        <f ca="1">_xll.BDP($B72,AA$6, "YLD_YTM_ASK="&amp;$G72,"YAS_YLD_CONV=1")</f>
        <v>7.4862842152432938</v>
      </c>
      <c r="AB72" s="22">
        <f t="shared" ca="1" si="7"/>
        <v>1.0029475534523158E-6</v>
      </c>
      <c r="AC72" s="24">
        <f ca="1">_xll.meLWOBondDV01Numerical($L72,$C$4,$S72%, 0.5, "CENTRAL")</f>
        <v>723.35465333353</v>
      </c>
    </row>
    <row r="73" spans="2:29">
      <c r="B73" s="15" t="s">
        <v>1566</v>
      </c>
      <c r="C73" s="15" t="s">
        <v>1567</v>
      </c>
      <c r="D73" s="15" t="s">
        <v>1567</v>
      </c>
      <c r="E73" s="16">
        <v>35866</v>
      </c>
      <c r="F73" s="19"/>
      <c r="G73" s="18"/>
      <c r="H73" s="16"/>
      <c r="I73" s="16"/>
      <c r="J73" s="17">
        <v>0</v>
      </c>
      <c r="K73" s="16">
        <v>46137</v>
      </c>
      <c r="L73" s="20" t="str">
        <f ca="1">_xll.meLWOBondCreateFromGeneratorLVB(C73,$L$4,_xll.meUtilityLVBFromKeysValues($C$6:$K$6,C73:K73))</f>
        <v>FR0000571168:0</v>
      </c>
      <c r="M73" s="92">
        <f ca="1">_xll.BDP($B73,$M$5)</f>
        <v>0.47430125047476235</v>
      </c>
      <c r="N73" s="89">
        <f ca="1">_xll.meLWOBondCleanPrice($L73,$C$4,$M73%)</f>
        <v>96.503999999999962</v>
      </c>
      <c r="O73" s="89">
        <f ca="1">_xll.meLWOBondDirtyPrice($L73,$C$4,$M73%)</f>
        <v>96.503999999999962</v>
      </c>
      <c r="P73" s="72">
        <f ca="1">_xll.meLWOBondYield($L73,$C$4,N73)</f>
        <v>4.7430125047480598E-3</v>
      </c>
      <c r="Q73" s="89">
        <f ca="1">_xll.meLWOBondModifiedDuration($L73,$C$4,$M73%)</f>
        <v>7.4850462771145123</v>
      </c>
      <c r="R73" s="23">
        <f ca="1">_xll.meLWOBondDV01($L73,$C$4,$M73%)</f>
        <v>722.33690592665857</v>
      </c>
      <c r="S73" s="21">
        <f t="shared" ca="1" si="8"/>
        <v>0.47430125047476235</v>
      </c>
      <c r="T73" s="22" t="str">
        <f ca="1">_xll.BDP($B73,T$6, "YAS_BOND_YLD="&amp;S73,"YAS_YLD_CONV=1")</f>
        <v>#N/A Requesting Data...</v>
      </c>
      <c r="U73" s="23">
        <f t="shared" ca="1" si="9"/>
        <v>96.503999999999962</v>
      </c>
      <c r="V73" s="24" t="e">
        <f t="shared" ca="1" si="5"/>
        <v>#VALUE!</v>
      </c>
      <c r="W73" s="23">
        <f ca="1">_xll.meLWOBondDV01($L73,$C$4,$S73%)</f>
        <v>722.33690592665857</v>
      </c>
      <c r="X73" s="22" t="e">
        <f ca="1">_xll.BDP($B73,X$6, "YLD_YTM_ASK="&amp;$S73,"YAS_YLD_CONV=1")*$X$3*0.0001</f>
        <v>#VALUE!</v>
      </c>
      <c r="Y73" s="24" t="e">
        <f t="shared" ca="1" si="6"/>
        <v>#VALUE!</v>
      </c>
      <c r="Z73" s="23">
        <f ca="1">_xll.meLWOBondModifiedDuration($L73,$C$4,$S73%)</f>
        <v>7.4850462771145123</v>
      </c>
      <c r="AA73" s="23">
        <f ca="1">_xll.BDP($B73,AA$6, "YLD_YTM_ASK="&amp;$G73,"YAS_YLD_CONV=1")</f>
        <v>7.4850472795635845</v>
      </c>
      <c r="AB73" s="22">
        <f t="shared" ca="1" si="7"/>
        <v>1.0024490721960433E-6</v>
      </c>
      <c r="AC73" s="24">
        <f ca="1">_xll.meLWOBondDV01Numerical($L73,$C$4,$S73%, 0.5, "CENTRAL")</f>
        <v>722.33693011327216</v>
      </c>
    </row>
    <row r="74" spans="2:29">
      <c r="B74" s="15" t="s">
        <v>1162</v>
      </c>
      <c r="C74" s="15" t="s">
        <v>1163</v>
      </c>
      <c r="D74" s="15" t="s">
        <v>1163</v>
      </c>
      <c r="E74" s="16">
        <v>42436</v>
      </c>
      <c r="F74" s="19">
        <v>42149</v>
      </c>
      <c r="G74" s="18"/>
      <c r="H74" s="16">
        <v>42515</v>
      </c>
      <c r="I74" s="16">
        <v>45802</v>
      </c>
      <c r="J74" s="17">
        <v>5.0000000000000001E-3</v>
      </c>
      <c r="K74" s="16">
        <v>46167</v>
      </c>
      <c r="L74" s="20" t="str">
        <f ca="1">_xll.meLWOBondCreateFromGeneratorLVB(C74,$L$4,_xll.meUtilityLVBFromKeysValues($C$6:$K$6,C74:K74))</f>
        <v>FR0013131877:0</v>
      </c>
      <c r="M74" s="92">
        <f ca="1">_xll.BDP($B74,$M$5)</f>
        <v>0.51501838622432261</v>
      </c>
      <c r="N74" s="89">
        <f ca="1">_xll.meLWOBondCleanPrice($L74,$C$4,$M74%)</f>
        <v>99.888000000536195</v>
      </c>
      <c r="O74" s="89">
        <f ca="1">_xll.meLWOBondDirtyPrice($L74,$C$4,$M74%)</f>
        <v>100.0866301005362</v>
      </c>
      <c r="P74" s="72">
        <f ca="1">_xll.meLWOBondYield($L74,$C$4,N74)</f>
        <v>5.150183862246807E-3</v>
      </c>
      <c r="Q74" s="89">
        <f ca="1">_xll.meLWOBondModifiedDuration($L74,$C$4,$M74%)</f>
        <v>7.4264655454283277</v>
      </c>
      <c r="R74" s="23">
        <f ca="1">_xll.meLWOBondDV01($L74,$C$4,$M74%)</f>
        <v>743.28990999966186</v>
      </c>
      <c r="S74" s="21">
        <f t="shared" ca="1" si="8"/>
        <v>0.51501838622432261</v>
      </c>
      <c r="T74" s="22" t="str">
        <f ca="1">_xll.BDP($B74,T$6, "YAS_BOND_YLD="&amp;S74,"YAS_YLD_CONV=1")</f>
        <v>#N/A Requesting Data...</v>
      </c>
      <c r="U74" s="23">
        <f t="shared" ca="1" si="9"/>
        <v>99.888000000536195</v>
      </c>
      <c r="V74" s="24" t="e">
        <f t="shared" ca="1" si="5"/>
        <v>#VALUE!</v>
      </c>
      <c r="W74" s="23">
        <f ca="1">_xll.meLWOBondDV01($L74,$C$4,$S74%)</f>
        <v>743.28990999966186</v>
      </c>
      <c r="X74" s="22" t="e">
        <f ca="1">_xll.BDP($B74,X$6, "YLD_YTM_ASK="&amp;$S74,"YAS_YLD_CONV=1")*$X$3*0.0001</f>
        <v>#VALUE!</v>
      </c>
      <c r="Y74" s="24" t="e">
        <f t="shared" ca="1" si="6"/>
        <v>#VALUE!</v>
      </c>
      <c r="Z74" s="23">
        <f ca="1">_xll.meLWOBondModifiedDuration($L74,$C$4,$S74%)</f>
        <v>7.4264655454283277</v>
      </c>
      <c r="AA74" s="23">
        <f ca="1">_xll.BDP($B74,AA$6, "YLD_YTM_ASK="&amp;$G74,"YAS_YLD_CONV=1")</f>
        <v>7.4264665494679125</v>
      </c>
      <c r="AB74" s="22">
        <f t="shared" ca="1" si="7"/>
        <v>1.0040395848065486E-6</v>
      </c>
      <c r="AC74" s="24">
        <f ca="1">_xll.meLWOBondDV01Numerical($L74,$C$4,$S74%, 0.5, "CENTRAL")</f>
        <v>743.28993511201702</v>
      </c>
    </row>
    <row r="75" spans="2:29">
      <c r="B75" s="15" t="s">
        <v>1480</v>
      </c>
      <c r="C75" s="15" t="s">
        <v>1481</v>
      </c>
      <c r="D75" s="15" t="s">
        <v>1481</v>
      </c>
      <c r="E75" s="16">
        <v>41368</v>
      </c>
      <c r="F75" s="19"/>
      <c r="G75" s="18"/>
      <c r="H75" s="16"/>
      <c r="I75" s="16"/>
      <c r="J75" s="17">
        <v>0</v>
      </c>
      <c r="K75" s="16">
        <v>46167</v>
      </c>
      <c r="L75" s="20" t="str">
        <f ca="1">_xll.meLWOBondCreateFromGeneratorLVB(C75,$L$4,_xll.meUtilityLVBFromKeysValues($C$6:$K$6,C75:K75))</f>
        <v>FR0011461425:0</v>
      </c>
      <c r="M75" s="92">
        <f ca="1">_xll.BDP($B75,$M$5)</f>
        <v>0.49603198261118919</v>
      </c>
      <c r="N75" s="89">
        <f ca="1">_xll.meLWOBondCleanPrice($L75,$C$4,$M75%)</f>
        <v>96.308000000000035</v>
      </c>
      <c r="O75" s="89">
        <f ca="1">_xll.meLWOBondDirtyPrice($L75,$C$4,$M75%)</f>
        <v>96.308000000000035</v>
      </c>
      <c r="P75" s="72">
        <f ca="1">_xll.meLWOBondYield($L75,$C$4,N75)</f>
        <v>4.9603198261123542E-3</v>
      </c>
      <c r="Q75" s="89">
        <f ca="1">_xll.meLWOBondModifiedDuration($L75,$C$4,$M75%)</f>
        <v>7.5652138457993017</v>
      </c>
      <c r="R75" s="23">
        <f ca="1">_xll.meLWOBondDV01($L75,$C$4,$M75%)</f>
        <v>728.59061506123942</v>
      </c>
      <c r="S75" s="21">
        <f t="shared" ca="1" si="8"/>
        <v>0.49603198261118919</v>
      </c>
      <c r="T75" s="22" t="str">
        <f ca="1">_xll.BDP($B75,T$6, "YAS_BOND_YLD="&amp;S75,"YAS_YLD_CONV=1")</f>
        <v>#N/A Requesting Data...</v>
      </c>
      <c r="U75" s="23">
        <f t="shared" ca="1" si="9"/>
        <v>96.308000000000035</v>
      </c>
      <c r="V75" s="24" t="e">
        <f t="shared" ca="1" si="5"/>
        <v>#VALUE!</v>
      </c>
      <c r="W75" s="23">
        <f ca="1">_xll.meLWOBondDV01($L75,$C$4,$S75%)</f>
        <v>728.59061506123942</v>
      </c>
      <c r="X75" s="22" t="e">
        <f ca="1">_xll.BDP($B75,X$6, "YLD_YTM_ASK="&amp;$S75,"YAS_YLD_CONV=1")*$X$3*0.0001</f>
        <v>#VALUE!</v>
      </c>
      <c r="Y75" s="24" t="e">
        <f t="shared" ca="1" si="6"/>
        <v>#VALUE!</v>
      </c>
      <c r="Z75" s="23">
        <f ca="1">_xll.meLWOBondModifiedDuration($L75,$C$4,$S75%)</f>
        <v>7.5652138457993017</v>
      </c>
      <c r="AA75" s="23">
        <f ca="1">_xll.BDP($B75,AA$6, "YLD_YTM_ASK="&amp;$G75,"YAS_YLD_CONV=1")</f>
        <v>7.5652148771448031</v>
      </c>
      <c r="AB75" s="22">
        <f t="shared" ca="1" si="7"/>
        <v>1.0313455014454576E-6</v>
      </c>
      <c r="AC75" s="24">
        <f ca="1">_xll.meLWOBondDV01Numerical($L75,$C$4,$S75%, 0.5, "CENTRAL")</f>
        <v>728.59063989440642</v>
      </c>
    </row>
    <row r="76" spans="2:29">
      <c r="B76" s="15" t="s">
        <v>1162</v>
      </c>
      <c r="C76" s="15" t="s">
        <v>1163</v>
      </c>
      <c r="D76" s="15" t="s">
        <v>1163</v>
      </c>
      <c r="E76" s="16">
        <v>42436</v>
      </c>
      <c r="F76" s="19">
        <v>42149</v>
      </c>
      <c r="G76" s="18"/>
      <c r="H76" s="16">
        <v>42515</v>
      </c>
      <c r="I76" s="16">
        <v>45802</v>
      </c>
      <c r="J76" s="17">
        <v>5.0000000000000001E-3</v>
      </c>
      <c r="K76" s="16">
        <v>46167</v>
      </c>
      <c r="L76" s="20" t="str">
        <f ca="1">_xll.meLWOBondCreateFromGeneratorLVB(C76,$L$4,_xll.meUtilityLVBFromKeysValues($C$6:$K$6,C76:K76))</f>
        <v>FR0013131877:1</v>
      </c>
      <c r="M76" s="92">
        <f ca="1">_xll.BDP($B76,$M$5)</f>
        <v>0.51501838622432261</v>
      </c>
      <c r="N76" s="89">
        <f ca="1">_xll.meLWOBondCleanPrice($L76,$C$4,$M76%)</f>
        <v>99.888000000536195</v>
      </c>
      <c r="O76" s="89">
        <f ca="1">_xll.meLWOBondDirtyPrice($L76,$C$4,$M76%)</f>
        <v>100.0866301005362</v>
      </c>
      <c r="P76" s="72">
        <f ca="1">_xll.meLWOBondYield($L76,$C$4,N76)</f>
        <v>5.150183862246807E-3</v>
      </c>
      <c r="Q76" s="89">
        <f ca="1">_xll.meLWOBondModifiedDuration($L76,$C$4,$M76%)</f>
        <v>7.4264655454283277</v>
      </c>
      <c r="R76" s="23">
        <f ca="1">_xll.meLWOBondDV01($L76,$C$4,$M76%)</f>
        <v>743.28990999966186</v>
      </c>
      <c r="S76" s="21">
        <f t="shared" ca="1" si="8"/>
        <v>0.51501838622432261</v>
      </c>
      <c r="T76" s="22" t="str">
        <f ca="1">_xll.BDP($B76,T$6, "YAS_BOND_YLD="&amp;S76,"YAS_YLD_CONV=1")</f>
        <v>#N/A Requesting Data...</v>
      </c>
      <c r="U76" s="23">
        <f t="shared" ca="1" si="9"/>
        <v>99.888000000536195</v>
      </c>
      <c r="V76" s="24" t="e">
        <f t="shared" ca="1" si="5"/>
        <v>#VALUE!</v>
      </c>
      <c r="W76" s="23">
        <f ca="1">_xll.meLWOBondDV01($L76,$C$4,$S76%)</f>
        <v>743.28990999966186</v>
      </c>
      <c r="X76" s="22" t="e">
        <f ca="1">_xll.BDP($B76,X$6, "YLD_YTM_ASK="&amp;$S76,"YAS_YLD_CONV=1")*$X$3*0.0001</f>
        <v>#VALUE!</v>
      </c>
      <c r="Y76" s="24" t="e">
        <f t="shared" ca="1" si="6"/>
        <v>#VALUE!</v>
      </c>
      <c r="Z76" s="23">
        <f ca="1">_xll.meLWOBondModifiedDuration($L76,$C$4,$S76%)</f>
        <v>7.4264655454283277</v>
      </c>
      <c r="AA76" s="23">
        <f ca="1">_xll.BDP($B76,AA$6, "YLD_YTM_ASK="&amp;$G76,"YAS_YLD_CONV=1")</f>
        <v>7.4264665494679125</v>
      </c>
      <c r="AB76" s="22">
        <f t="shared" ca="1" si="7"/>
        <v>1.0040395848065486E-6</v>
      </c>
      <c r="AC76" s="24">
        <f ca="1">_xll.meLWOBondDV01Numerical($L76,$C$4,$S76%, 0.5, "CENTRAL")</f>
        <v>743.28993511201702</v>
      </c>
    </row>
    <row r="77" spans="2:29">
      <c r="B77" s="15" t="s">
        <v>1162</v>
      </c>
      <c r="C77" s="15" t="s">
        <v>1163</v>
      </c>
      <c r="D77" s="15" t="s">
        <v>1163</v>
      </c>
      <c r="E77" s="16">
        <v>42436</v>
      </c>
      <c r="F77" s="19">
        <v>42149</v>
      </c>
      <c r="G77" s="18"/>
      <c r="H77" s="16">
        <v>42515</v>
      </c>
      <c r="I77" s="16">
        <v>45802</v>
      </c>
      <c r="J77" s="17">
        <v>5.0000000000000001E-3</v>
      </c>
      <c r="K77" s="16">
        <v>46167</v>
      </c>
      <c r="L77" s="20" t="str">
        <f ca="1">_xll.meLWOBondCreateFromGeneratorLVB(C77,$L$4,_xll.meUtilityLVBFromKeysValues($C$6:$K$6,C77:K77))</f>
        <v>FR0013131877:2</v>
      </c>
      <c r="M77" s="92">
        <f ca="1">_xll.BDP($B77,$M$5)</f>
        <v>0.51501838622432261</v>
      </c>
      <c r="N77" s="89">
        <f ca="1">_xll.meLWOBondCleanPrice($L77,$C$4,$M77%)</f>
        <v>99.888000000536195</v>
      </c>
      <c r="O77" s="89">
        <f ca="1">_xll.meLWOBondDirtyPrice($L77,$C$4,$M77%)</f>
        <v>100.0866301005362</v>
      </c>
      <c r="P77" s="72">
        <f ca="1">_xll.meLWOBondYield($L77,$C$4,N77)</f>
        <v>5.150183862246807E-3</v>
      </c>
      <c r="Q77" s="89">
        <f ca="1">_xll.meLWOBondModifiedDuration($L77,$C$4,$M77%)</f>
        <v>7.4264655454283277</v>
      </c>
      <c r="R77" s="23">
        <f ca="1">_xll.meLWOBondDV01($L77,$C$4,$M77%)</f>
        <v>743.28990999966186</v>
      </c>
      <c r="S77" s="21">
        <f t="shared" ca="1" si="8"/>
        <v>0.51501838622432261</v>
      </c>
      <c r="T77" s="22" t="str">
        <f ca="1">_xll.BDP($B77,T$6, "YAS_BOND_YLD="&amp;S77,"YAS_YLD_CONV=1")</f>
        <v>#N/A Requesting Data...</v>
      </c>
      <c r="U77" s="23">
        <f t="shared" ca="1" si="9"/>
        <v>99.888000000536195</v>
      </c>
      <c r="V77" s="24" t="e">
        <f t="shared" ca="1" si="5"/>
        <v>#VALUE!</v>
      </c>
      <c r="W77" s="23">
        <f ca="1">_xll.meLWOBondDV01($L77,$C$4,$S77%)</f>
        <v>743.28990999966186</v>
      </c>
      <c r="X77" s="22" t="e">
        <f ca="1">_xll.BDP($B77,X$6, "YLD_YTM_ASK="&amp;$S77,"YAS_YLD_CONV=1")*$X$3*0.0001</f>
        <v>#VALUE!</v>
      </c>
      <c r="Y77" s="24" t="e">
        <f t="shared" ca="1" si="6"/>
        <v>#VALUE!</v>
      </c>
      <c r="Z77" s="23">
        <f ca="1">_xll.meLWOBondModifiedDuration($L77,$C$4,$S77%)</f>
        <v>7.4264655454283277</v>
      </c>
      <c r="AA77" s="23">
        <f ca="1">_xll.BDP($B77,AA$6, "YLD_YTM_ASK="&amp;$G77,"YAS_YLD_CONV=1")</f>
        <v>7.4264665494679125</v>
      </c>
      <c r="AB77" s="22">
        <f t="shared" ca="1" si="7"/>
        <v>1.0040395848065486E-6</v>
      </c>
      <c r="AC77" s="24">
        <f ca="1">_xll.meLWOBondDV01Numerical($L77,$C$4,$S77%, 0.5, "CENTRAL")</f>
        <v>743.28993511201702</v>
      </c>
    </row>
    <row r="78" spans="2:29">
      <c r="B78" s="15" t="s">
        <v>1354</v>
      </c>
      <c r="C78" s="15" t="s">
        <v>1355</v>
      </c>
      <c r="D78" s="15" t="s">
        <v>1355</v>
      </c>
      <c r="E78" s="16">
        <v>40140</v>
      </c>
      <c r="F78" s="19"/>
      <c r="G78" s="18"/>
      <c r="H78" s="16"/>
      <c r="I78" s="16"/>
      <c r="J78" s="17">
        <v>0</v>
      </c>
      <c r="K78" s="16">
        <v>46320</v>
      </c>
      <c r="L78" s="20" t="str">
        <f ca="1">_xll.meLWOBondCreateFromGeneratorLVB(C78,$L$4,_xll.meUtilityLVBFromKeysValues($C$6:$K$6,C78:K78))</f>
        <v>FR0010810135:0</v>
      </c>
      <c r="M78" s="92">
        <f ca="1">_xll.BDP($B78,$M$5)</f>
        <v>0.56722809578158007</v>
      </c>
      <c r="N78" s="89">
        <f ca="1">_xll.meLWOBondCleanPrice($L78,$C$4,$M78%)</f>
        <v>95.563999999999922</v>
      </c>
      <c r="O78" s="89">
        <f ca="1">_xll.meLWOBondDirtyPrice($L78,$C$4,$M78%)</f>
        <v>95.563999999999922</v>
      </c>
      <c r="P78" s="72">
        <f ca="1">_xll.meLWOBondYield($L78,$C$4,N78)</f>
        <v>5.6722809578166854E-3</v>
      </c>
      <c r="Q78" s="89">
        <f ca="1">_xll.meLWOBondModifiedDuration($L78,$C$4,$M78%)</f>
        <v>7.9766718841837774</v>
      </c>
      <c r="R78" s="23">
        <f ca="1">_xll.meLWOBondDV01($L78,$C$4,$M78%)</f>
        <v>762.2826719401379</v>
      </c>
      <c r="S78" s="21">
        <f t="shared" ca="1" si="8"/>
        <v>0.56722809578158007</v>
      </c>
      <c r="T78" s="22" t="str">
        <f ca="1">_xll.BDP($B78,T$6, "YAS_BOND_YLD="&amp;S78,"YAS_YLD_CONV=1")</f>
        <v>#N/A Requesting Data...</v>
      </c>
      <c r="U78" s="23">
        <f t="shared" ca="1" si="9"/>
        <v>95.563999999999922</v>
      </c>
      <c r="V78" s="24" t="e">
        <f t="shared" ca="1" si="5"/>
        <v>#VALUE!</v>
      </c>
      <c r="W78" s="23">
        <f ca="1">_xll.meLWOBondDV01($L78,$C$4,$S78%)</f>
        <v>762.2826719401379</v>
      </c>
      <c r="X78" s="22" t="e">
        <f ca="1">_xll.BDP($B78,X$6, "YLD_YTM_ASK="&amp;$S78,"YAS_YLD_CONV=1")*$X$3*0.0001</f>
        <v>#VALUE!</v>
      </c>
      <c r="Y78" s="24" t="e">
        <f t="shared" ca="1" si="6"/>
        <v>#VALUE!</v>
      </c>
      <c r="Z78" s="23">
        <f ca="1">_xll.meLWOBondModifiedDuration($L78,$C$4,$S78%)</f>
        <v>7.9766718841837774</v>
      </c>
      <c r="AA78" s="23">
        <f ca="1">_xll.BDP($B78,AA$6, "YLD_YTM_ASK="&amp;$G78,"YAS_YLD_CONV=1")</f>
        <v>7.9766730727046165</v>
      </c>
      <c r="AB78" s="22">
        <f t="shared" ca="1" si="7"/>
        <v>1.1885208390793878E-6</v>
      </c>
      <c r="AC78" s="24">
        <f ca="1">_xll.meLWOBondDV01Numerical($L78,$C$4,$S78%, 0.5, "CENTRAL")</f>
        <v>762.28270033666956</v>
      </c>
    </row>
    <row r="79" spans="2:29">
      <c r="B79" s="15" t="s">
        <v>1356</v>
      </c>
      <c r="C79" s="15" t="s">
        <v>1357</v>
      </c>
      <c r="D79" s="15" t="s">
        <v>1357</v>
      </c>
      <c r="E79" s="16">
        <v>37054</v>
      </c>
      <c r="F79" s="19"/>
      <c r="G79" s="18"/>
      <c r="H79" s="16"/>
      <c r="I79" s="16"/>
      <c r="J79" s="17">
        <v>0</v>
      </c>
      <c r="K79" s="16">
        <v>46320</v>
      </c>
      <c r="L79" s="20" t="str">
        <f ca="1">_xll.meLWOBondCreateFromGeneratorLVB(C79,$L$4,_xll.meUtilityLVBFromKeysValues($C$6:$K$6,C79:K79))</f>
        <v>FR0000578544:0</v>
      </c>
      <c r="M79" s="92">
        <f ca="1">_xll.BDP($B79,$M$5)</f>
        <v>0.56119522179491899</v>
      </c>
      <c r="N79" s="89">
        <f ca="1">_xll.meLWOBondCleanPrice($L79,$C$4,$M79%)</f>
        <v>95.61</v>
      </c>
      <c r="O79" s="89">
        <f ca="1">_xll.meLWOBondDirtyPrice($L79,$C$4,$M79%)</f>
        <v>95.61</v>
      </c>
      <c r="P79" s="72">
        <f ca="1">_xll.meLWOBondYield($L79,$C$4,N79)</f>
        <v>5.6119522179500858E-3</v>
      </c>
      <c r="Q79" s="89">
        <f ca="1">_xll.meLWOBondModifiedDuration($L79,$C$4,$M79%)</f>
        <v>7.9771504212199016</v>
      </c>
      <c r="R79" s="23">
        <f ca="1">_xll.meLWOBondDV01($L79,$C$4,$M79%)</f>
        <v>762.69535177283478</v>
      </c>
      <c r="S79" s="21">
        <f t="shared" ca="1" si="8"/>
        <v>0.56119522179491899</v>
      </c>
      <c r="T79" s="22" t="str">
        <f ca="1">_xll.BDP($B79,T$6, "YAS_BOND_YLD="&amp;S79,"YAS_YLD_CONV=1")</f>
        <v>#N/A Requesting Data...</v>
      </c>
      <c r="U79" s="23">
        <f t="shared" ca="1" si="9"/>
        <v>95.61</v>
      </c>
      <c r="V79" s="24" t="e">
        <f t="shared" ca="1" si="5"/>
        <v>#VALUE!</v>
      </c>
      <c r="W79" s="23">
        <f ca="1">_xll.meLWOBondDV01($L79,$C$4,$S79%)</f>
        <v>762.69535177283478</v>
      </c>
      <c r="X79" s="22" t="e">
        <f ca="1">_xll.BDP($B79,X$6, "YLD_YTM_ASK="&amp;$S79,"YAS_YLD_CONV=1")*$X$3*0.0001</f>
        <v>#VALUE!</v>
      </c>
      <c r="Y79" s="24" t="e">
        <f t="shared" ca="1" si="6"/>
        <v>#VALUE!</v>
      </c>
      <c r="Z79" s="23">
        <f ca="1">_xll.meLWOBondModifiedDuration($L79,$C$4,$S79%)</f>
        <v>7.9771504212199016</v>
      </c>
      <c r="AA79" s="23">
        <f ca="1">_xll.BDP($B79,AA$6, "YLD_YTM_ASK="&amp;$G79,"YAS_YLD_CONV=1")</f>
        <v>7.9771516099545439</v>
      </c>
      <c r="AB79" s="22">
        <f t="shared" ca="1" si="7"/>
        <v>1.1887346422767564E-6</v>
      </c>
      <c r="AC79" s="24">
        <f ca="1">_xll.meLWOBondDV01Numerical($L79,$C$4,$S79%, 0.5, "CENTRAL")</f>
        <v>762.69538018806315</v>
      </c>
    </row>
    <row r="80" spans="2:29">
      <c r="B80" s="15" t="s">
        <v>1148</v>
      </c>
      <c r="C80" s="15" t="s">
        <v>1149</v>
      </c>
      <c r="D80" s="15" t="s">
        <v>1149</v>
      </c>
      <c r="E80" s="16">
        <v>42618</v>
      </c>
      <c r="F80" s="19">
        <v>42333</v>
      </c>
      <c r="G80" s="18" t="s">
        <v>333</v>
      </c>
      <c r="H80" s="16">
        <v>42699</v>
      </c>
      <c r="I80" s="16">
        <v>45986</v>
      </c>
      <c r="J80" s="17">
        <v>2.5000000000000001E-3</v>
      </c>
      <c r="K80" s="16">
        <v>46351</v>
      </c>
      <c r="L80" s="20" t="str">
        <f ca="1">_xll.meLWOBondCreateFromGeneratorLVB(C80,$L$4,_xll.meUtilityLVBFromKeysValues($C$6:$K$6,C80:K80))</f>
        <v>FR0013200813:0</v>
      </c>
      <c r="M80" s="92">
        <f ca="1">_xll.BDP($B80,$M$5)</f>
        <v>0.58526683655753264</v>
      </c>
      <c r="N80" s="89">
        <f ca="1">_xll.meLWOBondCleanPrice($L80,$C$4,$M80%)</f>
        <v>97.352999999999852</v>
      </c>
      <c r="O80" s="89">
        <f ca="1">_xll.meLWOBondDirtyPrice($L80,$C$4,$M80%)</f>
        <v>97.576287699999853</v>
      </c>
      <c r="P80" s="72">
        <f ca="1">_xll.meLWOBondYield($L80,$C$4,N80)</f>
        <v>5.8526683655755448E-3</v>
      </c>
      <c r="Q80" s="89">
        <f ca="1">_xll.meLWOBondModifiedDuration($L80,$C$4,$M80%)</f>
        <v>7.9692704083030854</v>
      </c>
      <c r="R80" s="23">
        <f ca="1">_xll.meLWOBondDV01($L80,$C$4,$M80%)</f>
        <v>777.61182211967719</v>
      </c>
      <c r="S80" s="21">
        <f t="shared" ca="1" si="8"/>
        <v>0.58526683655753264</v>
      </c>
      <c r="T80" s="22" t="str">
        <f ca="1">_xll.BDP($B80,T$6, "YAS_BOND_YLD="&amp;S80,"YAS_YLD_CONV=1")</f>
        <v>#N/A Requesting Data...</v>
      </c>
      <c r="U80" s="23">
        <f t="shared" ca="1" si="9"/>
        <v>97.352999999999852</v>
      </c>
      <c r="V80" s="24" t="e">
        <f t="shared" ca="1" si="5"/>
        <v>#VALUE!</v>
      </c>
      <c r="W80" s="23">
        <f ca="1">_xll.meLWOBondDV01($L80,$C$4,$S80%)</f>
        <v>777.61182211967719</v>
      </c>
      <c r="X80" s="22" t="e">
        <f ca="1">_xll.BDP($B80,X$6, "YLD_YTM_ASK="&amp;$S80,"YAS_YLD_CONV=1")*$X$3*0.0001</f>
        <v>#VALUE!</v>
      </c>
      <c r="Y80" s="24" t="e">
        <f t="shared" ca="1" si="6"/>
        <v>#VALUE!</v>
      </c>
      <c r="Z80" s="23">
        <f ca="1">_xll.meLWOBondModifiedDuration($L80,$C$4,$S80%)</f>
        <v>7.9692704083030854</v>
      </c>
      <c r="AA80" s="23">
        <f ca="1">_xll.BDP($B80,AA$6, "YLD_YTM_ASK="&amp;$G80,"YAS_YLD_CONV=1")</f>
        <v>7.9692716116261817</v>
      </c>
      <c r="AB80" s="22">
        <f t="shared" ca="1" si="7"/>
        <v>1.2033230962771313E-6</v>
      </c>
      <c r="AC80" s="24">
        <f ca="1">_xll.meLWOBondDV01Numerical($L80,$C$4,$S80%, 0.5, "CENTRAL")</f>
        <v>777.61185146258072</v>
      </c>
    </row>
    <row r="81" spans="2:29">
      <c r="B81" s="15" t="s">
        <v>1406</v>
      </c>
      <c r="C81" s="15" t="s">
        <v>1407</v>
      </c>
      <c r="D81" s="15" t="s">
        <v>1407</v>
      </c>
      <c r="E81" s="16">
        <v>42618</v>
      </c>
      <c r="F81" s="19"/>
      <c r="G81" s="18"/>
      <c r="H81" s="16"/>
      <c r="I81" s="16"/>
      <c r="J81" s="17">
        <v>0</v>
      </c>
      <c r="K81" s="16">
        <v>46351</v>
      </c>
      <c r="L81" s="20" t="str">
        <f ca="1">_xll.meLWOBondCreateFromGeneratorLVB(C81,$L$4,_xll.meUtilityLVBFromKeysValues($C$6:$K$6,C81:K81))</f>
        <v>FR0013200987:0</v>
      </c>
      <c r="M81" s="92">
        <f ca="1">_xll.BDP($B81,$M$5)</f>
        <v>0.59350700061886474</v>
      </c>
      <c r="N81" s="89">
        <f ca="1">_xll.meLWOBondCleanPrice($L81,$C$4,$M81%)</f>
        <v>95.315999999999946</v>
      </c>
      <c r="O81" s="89">
        <f ca="1">_xll.meLWOBondDirtyPrice($L81,$C$4,$M81%)</f>
        <v>95.315999999999946</v>
      </c>
      <c r="P81" s="72">
        <f ca="1">_xll.meLWOBondYield($L81,$C$4,N81)</f>
        <v>5.935070006189716E-3</v>
      </c>
      <c r="Q81" s="89">
        <f ca="1">_xll.meLWOBondModifiedDuration($L81,$C$4,$M81%)</f>
        <v>8.0590184762308947</v>
      </c>
      <c r="R81" s="23">
        <f ca="1">_xll.meLWOBondDV01($L81,$C$4,$M81%)</f>
        <v>768.15340508042345</v>
      </c>
      <c r="S81" s="21">
        <f t="shared" ca="1" si="8"/>
        <v>0.59350700061886474</v>
      </c>
      <c r="T81" s="22" t="str">
        <f ca="1">_xll.BDP($B81,T$6, "YAS_BOND_YLD="&amp;S81,"YAS_YLD_CONV=1")</f>
        <v>#N/A Requesting Data...</v>
      </c>
      <c r="U81" s="23">
        <f t="shared" ca="1" si="9"/>
        <v>95.315999999999946</v>
      </c>
      <c r="V81" s="24" t="e">
        <f t="shared" ca="1" si="5"/>
        <v>#VALUE!</v>
      </c>
      <c r="W81" s="23">
        <f ca="1">_xll.meLWOBondDV01($L81,$C$4,$S81%)</f>
        <v>768.15340508042345</v>
      </c>
      <c r="X81" s="22" t="e">
        <f ca="1">_xll.BDP($B81,X$6, "YLD_YTM_ASK="&amp;$S81,"YAS_YLD_CONV=1")*$X$3*0.0001</f>
        <v>#VALUE!</v>
      </c>
      <c r="Y81" s="24" t="e">
        <f t="shared" ca="1" si="6"/>
        <v>#VALUE!</v>
      </c>
      <c r="Z81" s="23">
        <f ca="1">_xll.meLWOBondModifiedDuration($L81,$C$4,$S81%)</f>
        <v>8.0590184762308947</v>
      </c>
      <c r="AA81" s="23">
        <f ca="1">_xll.BDP($B81,AA$6, "YLD_YTM_ASK="&amp;$G81,"YAS_YLD_CONV=1")</f>
        <v>8.0590196979600872</v>
      </c>
      <c r="AB81" s="22">
        <f t="shared" ca="1" si="7"/>
        <v>1.2217291924798701E-6</v>
      </c>
      <c r="AC81" s="24">
        <f ca="1">_xll.meLWOBondDV01Numerical($L81,$C$4,$S81%, 0.5, "CENTRAL")</f>
        <v>768.15343419454507</v>
      </c>
    </row>
    <row r="82" spans="2:29">
      <c r="B82" s="15" t="s">
        <v>1228</v>
      </c>
      <c r="C82" s="15" t="s">
        <v>1229</v>
      </c>
      <c r="D82" s="15" t="s">
        <v>1229</v>
      </c>
      <c r="E82" s="16">
        <v>40140</v>
      </c>
      <c r="F82" s="19"/>
      <c r="G82" s="18"/>
      <c r="H82" s="16"/>
      <c r="I82" s="16"/>
      <c r="J82" s="17">
        <v>0</v>
      </c>
      <c r="K82" s="16">
        <v>46502</v>
      </c>
      <c r="L82" s="20" t="str">
        <f ca="1">_xll.meLWOBondCreateFromGeneratorLVB(C82,$L$4,_xll.meUtilityLVBFromKeysValues($C$6:$K$6,C82:K82))</f>
        <v>FR0010810168:0</v>
      </c>
      <c r="M82" s="92">
        <f ca="1">_xll.BDP($B82,$M$5)</f>
        <v>0.6607629034837581</v>
      </c>
      <c r="N82" s="89">
        <f ca="1">_xll.meLWOBondCleanPrice($L82,$C$4,$M82%)</f>
        <v>94.542999999999921</v>
      </c>
      <c r="O82" s="89">
        <f ca="1">_xll.meLWOBondDirtyPrice($L82,$C$4,$M82%)</f>
        <v>94.542999999999921</v>
      </c>
      <c r="P82" s="72">
        <f ca="1">_xll.meLWOBondYield($L82,$C$4,N82)</f>
        <v>6.6076290348393513E-3</v>
      </c>
      <c r="Q82" s="89">
        <f ca="1">_xll.meLWOBondModifiedDuration($L82,$C$4,$M82%)</f>
        <v>8.4646168968292148</v>
      </c>
      <c r="R82" s="23">
        <f ca="1">_xll.meLWOBondDV01($L82,$C$4,$M82%)</f>
        <v>800.27027527692371</v>
      </c>
      <c r="S82" s="21">
        <f t="shared" ca="1" si="8"/>
        <v>0.6607629034837581</v>
      </c>
      <c r="T82" s="22" t="str">
        <f ca="1">_xll.BDP($B82,T$6, "YAS_BOND_YLD="&amp;S82,"YAS_YLD_CONV=1")</f>
        <v>#N/A Requesting Data...</v>
      </c>
      <c r="U82" s="23">
        <f t="shared" ca="1" si="9"/>
        <v>94.542999999999921</v>
      </c>
      <c r="V82" s="24" t="e">
        <f t="shared" ca="1" si="5"/>
        <v>#VALUE!</v>
      </c>
      <c r="W82" s="23">
        <f ca="1">_xll.meLWOBondDV01($L82,$C$4,$S82%)</f>
        <v>800.27027527692371</v>
      </c>
      <c r="X82" s="22" t="e">
        <f ca="1">_xll.BDP($B82,X$6, "YLD_YTM_ASK="&amp;$S82,"YAS_YLD_CONV=1")*$X$3*0.0001</f>
        <v>#VALUE!</v>
      </c>
      <c r="Y82" s="24" t="e">
        <f t="shared" ca="1" si="6"/>
        <v>#VALUE!</v>
      </c>
      <c r="Z82" s="23">
        <f ca="1">_xll.meLWOBondModifiedDuration($L82,$C$4,$S82%)</f>
        <v>8.4646168968292148</v>
      </c>
      <c r="AA82" s="23">
        <f ca="1">_xll.BDP($B82,AA$6, "YLD_YTM_ASK="&amp;$G82,"YAS_YLD_CONV=1")</f>
        <v>8.4646182913839496</v>
      </c>
      <c r="AB82" s="22">
        <f t="shared" ca="1" si="7"/>
        <v>1.3945547348015452E-6</v>
      </c>
      <c r="AC82" s="24">
        <f ca="1">_xll.meLWOBondDV01Numerical($L82,$C$4,$S82%, 0.5, "CENTRAL")</f>
        <v>800.27030823998757</v>
      </c>
    </row>
    <row r="83" spans="2:29">
      <c r="B83" s="15" t="s">
        <v>1450</v>
      </c>
      <c r="C83" s="15" t="s">
        <v>1451</v>
      </c>
      <c r="D83" s="15" t="s">
        <v>1451</v>
      </c>
      <c r="E83" s="16">
        <v>35866</v>
      </c>
      <c r="F83" s="19"/>
      <c r="G83" s="18"/>
      <c r="H83" s="16"/>
      <c r="I83" s="16"/>
      <c r="J83" s="17">
        <v>0</v>
      </c>
      <c r="K83" s="16">
        <v>46502</v>
      </c>
      <c r="L83" s="20" t="str">
        <f ca="1">_xll.meLWOBondCreateFromGeneratorLVB(C83,$L$4,_xll.meUtilityLVBFromKeysValues($C$6:$K$6,C83:K83))</f>
        <v>FR0000571176:0</v>
      </c>
      <c r="M83" s="92">
        <f ca="1">_xll.BDP($B83,$M$5)</f>
        <v>0.63467893098749784</v>
      </c>
      <c r="N83" s="89">
        <f ca="1">_xll.meLWOBondCleanPrice($L83,$C$4,$M83%)</f>
        <v>94.752000000000052</v>
      </c>
      <c r="O83" s="89">
        <f ca="1">_xll.meLWOBondDirtyPrice($L83,$C$4,$M83%)</f>
        <v>94.752000000000052</v>
      </c>
      <c r="P83" s="72">
        <f ca="1">_xll.meLWOBondYield($L83,$C$4,N83)</f>
        <v>6.3467893098763046E-3</v>
      </c>
      <c r="Q83" s="89">
        <f ca="1">_xll.meLWOBondModifiedDuration($L83,$C$4,$M83%)</f>
        <v>8.4668108804208906</v>
      </c>
      <c r="R83" s="23">
        <f ca="1">_xll.meLWOBondDV01($L83,$C$4,$M83%)</f>
        <v>802.24726454164067</v>
      </c>
      <c r="S83" s="21">
        <f t="shared" ca="1" si="8"/>
        <v>0.63467893098749784</v>
      </c>
      <c r="T83" s="22" t="str">
        <f ca="1">_xll.BDP($B83,T$6, "YAS_BOND_YLD="&amp;S83,"YAS_YLD_CONV=1")</f>
        <v>#N/A Requesting Data...</v>
      </c>
      <c r="U83" s="23">
        <f t="shared" ca="1" si="9"/>
        <v>94.752000000000052</v>
      </c>
      <c r="V83" s="24" t="e">
        <f t="shared" ca="1" si="5"/>
        <v>#VALUE!</v>
      </c>
      <c r="W83" s="23">
        <f ca="1">_xll.meLWOBondDV01($L83,$C$4,$S83%)</f>
        <v>802.24726454164067</v>
      </c>
      <c r="X83" s="22" t="e">
        <f ca="1">_xll.BDP($B83,X$6, "YLD_YTM_ASK="&amp;$S83,"YAS_YLD_CONV=1")*$X$3*0.0001</f>
        <v>#VALUE!</v>
      </c>
      <c r="Y83" s="24" t="e">
        <f t="shared" ca="1" si="6"/>
        <v>#VALUE!</v>
      </c>
      <c r="Z83" s="23">
        <f ca="1">_xll.meLWOBondModifiedDuration($L83,$C$4,$S83%)</f>
        <v>8.4668108804208906</v>
      </c>
      <c r="AA83" s="23">
        <f ca="1">_xll.BDP($B83,AA$6, "YLD_YTM_ASK="&amp;$G83,"YAS_YLD_CONV=1")</f>
        <v>8.4668122760598798</v>
      </c>
      <c r="AB83" s="22">
        <f t="shared" ca="1" si="7"/>
        <v>1.3956389892655352E-6</v>
      </c>
      <c r="AC83" s="24">
        <f ca="1">_xll.meLWOBondDV01Numerical($L83,$C$4,$S83%, 0.5, "CENTRAL")</f>
        <v>802.24729760345781</v>
      </c>
    </row>
    <row r="84" spans="2:29">
      <c r="B84" s="15" t="s">
        <v>1150</v>
      </c>
      <c r="C84" s="15" t="s">
        <v>1151</v>
      </c>
      <c r="D84" s="15" t="s">
        <v>1151</v>
      </c>
      <c r="E84" s="16">
        <v>42835</v>
      </c>
      <c r="F84" s="19">
        <v>42515</v>
      </c>
      <c r="G84" s="18"/>
      <c r="H84" s="16">
        <v>42880</v>
      </c>
      <c r="I84" s="16">
        <v>46167</v>
      </c>
      <c r="J84" s="17">
        <v>0.01</v>
      </c>
      <c r="K84" s="16">
        <v>46532</v>
      </c>
      <c r="L84" s="20" t="str">
        <f ca="1">_xll.meLWOBondCreateFromGeneratorLVB(C84,$L$4,_xll.meUtilityLVBFromKeysValues($C$6:$K$6,C84:K84))</f>
        <v>FR0013250560:1</v>
      </c>
      <c r="M84" s="92">
        <f ca="1">_xll.BDP($B84,$M$5)</f>
        <v>0.66396422430506352</v>
      </c>
      <c r="N84" s="89">
        <f ca="1">_xll.meLWOBondCleanPrice($L84,$C$4,$M84%)</f>
        <v>102.80000000001615</v>
      </c>
      <c r="O84" s="89">
        <f ca="1">_xll.meLWOBondDirtyPrice($L84,$C$4,$M84%)</f>
        <v>103.19726030001615</v>
      </c>
      <c r="P84" s="72">
        <f ca="1">_xll.meLWOBondYield($L84,$C$4,N84)</f>
        <v>6.6396422430512305E-3</v>
      </c>
      <c r="Q84" s="89">
        <f ca="1">_xll.meLWOBondModifiedDuration($L84,$C$4,$M84%)</f>
        <v>8.206091358871376</v>
      </c>
      <c r="R84" s="23">
        <f ca="1">_xll.meLWOBondDV01($L84,$C$4,$M84%)</f>
        <v>846.84614600716259</v>
      </c>
      <c r="S84" s="21">
        <f t="shared" ca="1" si="8"/>
        <v>0.66396422430506352</v>
      </c>
      <c r="T84" s="22" t="str">
        <f ca="1">_xll.BDP($B84,T$6, "YAS_BOND_YLD="&amp;S84,"YAS_YLD_CONV=1")</f>
        <v>#N/A Requesting Data...</v>
      </c>
      <c r="U84" s="23">
        <f t="shared" ca="1" si="9"/>
        <v>102.80000000001615</v>
      </c>
      <c r="V84" s="24" t="e">
        <f t="shared" ca="1" si="5"/>
        <v>#VALUE!</v>
      </c>
      <c r="W84" s="23">
        <f ca="1">_xll.meLWOBondDV01($L84,$C$4,$S84%)</f>
        <v>846.84614600716259</v>
      </c>
      <c r="X84" s="22" t="e">
        <f ca="1">_xll.BDP($B84,X$6, "YLD_YTM_ASK="&amp;$S84,"YAS_YLD_CONV=1")*$X$3*0.0001</f>
        <v>#VALUE!</v>
      </c>
      <c r="Y84" s="24" t="e">
        <f t="shared" ca="1" si="6"/>
        <v>#VALUE!</v>
      </c>
      <c r="Z84" s="23">
        <f ca="1">_xll.meLWOBondModifiedDuration($L84,$C$4,$S84%)</f>
        <v>8.206091358871376</v>
      </c>
      <c r="AA84" s="23">
        <f ca="1">_xll.BDP($B84,AA$6, "YLD_YTM_ASK="&amp;$G84,"YAS_YLD_CONV=1")</f>
        <v>8.2060927069879455</v>
      </c>
      <c r="AB84" s="22">
        <f t="shared" ca="1" si="7"/>
        <v>1.3481165694884112E-6</v>
      </c>
      <c r="AC84" s="24">
        <f ca="1">_xll.meLWOBondDV01Numerical($L84,$C$4,$S84%, 0.5, "CENTRAL")</f>
        <v>846.84618079563734</v>
      </c>
    </row>
    <row r="85" spans="2:29">
      <c r="B85" s="15" t="s">
        <v>1384</v>
      </c>
      <c r="C85" s="15" t="s">
        <v>1385</v>
      </c>
      <c r="D85" s="15" t="s">
        <v>1385</v>
      </c>
      <c r="E85" s="16">
        <v>41368</v>
      </c>
      <c r="F85" s="19"/>
      <c r="G85" s="18"/>
      <c r="H85" s="16"/>
      <c r="I85" s="16"/>
      <c r="J85" s="17">
        <v>0</v>
      </c>
      <c r="K85" s="16">
        <v>46532</v>
      </c>
      <c r="L85" s="20" t="str">
        <f ca="1">_xll.meLWOBondCreateFromGeneratorLVB(C85,$L$4,_xll.meUtilityLVBFromKeysValues($C$6:$K$6,C85:K85))</f>
        <v>FR0011461433:0</v>
      </c>
      <c r="M85" s="92">
        <f ca="1">_xll.BDP($B85,$M$5)</f>
        <v>0.66706000231515628</v>
      </c>
      <c r="N85" s="89">
        <f ca="1">_xll.meLWOBondCleanPrice($L85,$C$4,$M85%)</f>
        <v>94.441000000000059</v>
      </c>
      <c r="O85" s="89">
        <f ca="1">_xll.meLWOBondDirtyPrice($L85,$C$4,$M85%)</f>
        <v>94.441000000000059</v>
      </c>
      <c r="P85" s="72">
        <f ca="1">_xll.meLWOBondYield($L85,$C$4,N85)</f>
        <v>6.6706000231531405E-3</v>
      </c>
      <c r="Q85" s="89">
        <f ca="1">_xll.meLWOBondModifiedDuration($L85,$C$4,$M85%)</f>
        <v>8.545734548947344</v>
      </c>
      <c r="R85" s="23">
        <f ca="1">_xll.meLWOBondDV01($L85,$C$4,$M85%)</f>
        <v>807.06771653713656</v>
      </c>
      <c r="S85" s="21">
        <f t="shared" ca="1" si="8"/>
        <v>0.66706000231515628</v>
      </c>
      <c r="T85" s="22" t="str">
        <f ca="1">_xll.BDP($B85,T$6, "YAS_BOND_YLD="&amp;S85,"YAS_YLD_CONV=1")</f>
        <v>#N/A Requesting Data...</v>
      </c>
      <c r="U85" s="23">
        <f t="shared" ca="1" si="9"/>
        <v>94.441000000000059</v>
      </c>
      <c r="V85" s="24" t="e">
        <f t="shared" ca="1" si="5"/>
        <v>#VALUE!</v>
      </c>
      <c r="W85" s="23">
        <f ca="1">_xll.meLWOBondDV01($L85,$C$4,$S85%)</f>
        <v>807.06771653713656</v>
      </c>
      <c r="X85" s="22" t="e">
        <f ca="1">_xll.BDP($B85,X$6, "YLD_YTM_ASK="&amp;$S85,"YAS_YLD_CONV=1")*$X$3*0.0001</f>
        <v>#VALUE!</v>
      </c>
      <c r="Y85" s="24" t="e">
        <f t="shared" ca="1" si="6"/>
        <v>#VALUE!</v>
      </c>
      <c r="Z85" s="23">
        <f ca="1">_xll.meLWOBondModifiedDuration($L85,$C$4,$S85%)</f>
        <v>8.545734548947344</v>
      </c>
      <c r="AA85" s="23">
        <f ca="1">_xll.BDP($B85,AA$6, "YLD_YTM_ASK="&amp;$G85,"YAS_YLD_CONV=1")</f>
        <v>8.5457359799372412</v>
      </c>
      <c r="AB85" s="22">
        <f t="shared" ca="1" si="7"/>
        <v>1.430989897244217E-6</v>
      </c>
      <c r="AC85" s="24">
        <f ca="1">_xll.meLWOBondDV01Numerical($L85,$C$4,$S85%, 0.5, "CENTRAL")</f>
        <v>807.06775032467704</v>
      </c>
    </row>
    <row r="86" spans="2:29">
      <c r="B86" s="15" t="s">
        <v>1150</v>
      </c>
      <c r="C86" s="15" t="s">
        <v>1151</v>
      </c>
      <c r="D86" s="15" t="s">
        <v>1151</v>
      </c>
      <c r="E86" s="16">
        <v>42835</v>
      </c>
      <c r="F86" s="19">
        <v>42515</v>
      </c>
      <c r="G86" s="18"/>
      <c r="H86" s="16">
        <v>42880</v>
      </c>
      <c r="I86" s="16">
        <v>46167</v>
      </c>
      <c r="J86" s="17">
        <v>0.01</v>
      </c>
      <c r="K86" s="16">
        <v>46532</v>
      </c>
      <c r="L86" s="20" t="str">
        <f ca="1">_xll.meLWOBondCreateFromGeneratorLVB(C86,$L$4,_xll.meUtilityLVBFromKeysValues($C$6:$K$6,C86:K86))</f>
        <v>FR0013250560:0</v>
      </c>
      <c r="M86" s="92">
        <f ca="1">_xll.BDP($B86,$M$5)</f>
        <v>0.66396422430506352</v>
      </c>
      <c r="N86" s="89">
        <f ca="1">_xll.meLWOBondCleanPrice($L86,$C$4,$M86%)</f>
        <v>102.80000000001615</v>
      </c>
      <c r="O86" s="89">
        <f ca="1">_xll.meLWOBondDirtyPrice($L86,$C$4,$M86%)</f>
        <v>103.19726030001615</v>
      </c>
      <c r="P86" s="72">
        <f ca="1">_xll.meLWOBondYield($L86,$C$4,N86)</f>
        <v>6.6396422430512305E-3</v>
      </c>
      <c r="Q86" s="89">
        <f ca="1">_xll.meLWOBondModifiedDuration($L86,$C$4,$M86%)</f>
        <v>8.206091358871376</v>
      </c>
      <c r="R86" s="23">
        <f ca="1">_xll.meLWOBondDV01($L86,$C$4,$M86%)</f>
        <v>846.84614600716259</v>
      </c>
      <c r="S86" s="21">
        <f t="shared" ca="1" si="8"/>
        <v>0.66396422430506352</v>
      </c>
      <c r="T86" s="22" t="str">
        <f ca="1">_xll.BDP($B86,T$6, "YAS_BOND_YLD="&amp;S86,"YAS_YLD_CONV=1")</f>
        <v>#N/A Requesting Data...</v>
      </c>
      <c r="U86" s="23">
        <f t="shared" ca="1" si="9"/>
        <v>102.80000000001615</v>
      </c>
      <c r="V86" s="24" t="e">
        <f t="shared" ca="1" si="5"/>
        <v>#VALUE!</v>
      </c>
      <c r="W86" s="23">
        <f ca="1">_xll.meLWOBondDV01($L86,$C$4,$S86%)</f>
        <v>846.84614600716259</v>
      </c>
      <c r="X86" s="22" t="e">
        <f ca="1">_xll.BDP($B86,X$6, "YLD_YTM_ASK="&amp;$S86,"YAS_YLD_CONV=1")*$X$3*0.0001</f>
        <v>#VALUE!</v>
      </c>
      <c r="Y86" s="24" t="e">
        <f t="shared" ca="1" si="6"/>
        <v>#VALUE!</v>
      </c>
      <c r="Z86" s="23">
        <f ca="1">_xll.meLWOBondModifiedDuration($L86,$C$4,$S86%)</f>
        <v>8.206091358871376</v>
      </c>
      <c r="AA86" s="23">
        <f ca="1">_xll.BDP($B86,AA$6, "YLD_YTM_ASK="&amp;$G86,"YAS_YLD_CONV=1")</f>
        <v>8.2060927069879455</v>
      </c>
      <c r="AB86" s="22">
        <f t="shared" ca="1" si="7"/>
        <v>1.3481165694884112E-6</v>
      </c>
      <c r="AC86" s="24">
        <f ca="1">_xll.meLWOBondDV01Numerical($L86,$C$4,$S86%, 0.5, "CENTRAL")</f>
        <v>846.84618079563734</v>
      </c>
    </row>
    <row r="87" spans="2:29">
      <c r="B87" s="15" t="s">
        <v>1150</v>
      </c>
      <c r="C87" s="15" t="s">
        <v>1151</v>
      </c>
      <c r="D87" s="15" t="s">
        <v>1151</v>
      </c>
      <c r="E87" s="16">
        <v>42835</v>
      </c>
      <c r="F87" s="19">
        <v>42515</v>
      </c>
      <c r="G87" s="18"/>
      <c r="H87" s="16">
        <v>42880</v>
      </c>
      <c r="I87" s="16">
        <v>46167</v>
      </c>
      <c r="J87" s="17">
        <v>0.01</v>
      </c>
      <c r="K87" s="16">
        <v>46532</v>
      </c>
      <c r="L87" s="20" t="str">
        <f ca="1">_xll.meLWOBondCreateFromGeneratorLVB(C87,$L$4,_xll.meUtilityLVBFromKeysValues($C$6:$K$6,C87:K87))</f>
        <v>FR0013250560:2</v>
      </c>
      <c r="M87" s="92">
        <f ca="1">_xll.BDP($B87,$M$5)</f>
        <v>0.66396422430506352</v>
      </c>
      <c r="N87" s="89">
        <f ca="1">_xll.meLWOBondCleanPrice($L87,$C$4,$M87%)</f>
        <v>102.80000000001615</v>
      </c>
      <c r="O87" s="89">
        <f ca="1">_xll.meLWOBondDirtyPrice($L87,$C$4,$M87%)</f>
        <v>103.19726030001615</v>
      </c>
      <c r="P87" s="72">
        <f ca="1">_xll.meLWOBondYield($L87,$C$4,N87)</f>
        <v>6.6396422430512305E-3</v>
      </c>
      <c r="Q87" s="89">
        <f ca="1">_xll.meLWOBondModifiedDuration($L87,$C$4,$M87%)</f>
        <v>8.206091358871376</v>
      </c>
      <c r="R87" s="23">
        <f ca="1">_xll.meLWOBondDV01($L87,$C$4,$M87%)</f>
        <v>846.84614600716259</v>
      </c>
      <c r="S87" s="21">
        <f t="shared" ca="1" si="8"/>
        <v>0.66396422430506352</v>
      </c>
      <c r="T87" s="22" t="str">
        <f ca="1">_xll.BDP($B87,T$6, "YAS_BOND_YLD="&amp;S87,"YAS_YLD_CONV=1")</f>
        <v>#N/A Requesting Data...</v>
      </c>
      <c r="U87" s="23">
        <f t="shared" ca="1" si="9"/>
        <v>102.80000000001615</v>
      </c>
      <c r="V87" s="24" t="e">
        <f t="shared" ca="1" si="5"/>
        <v>#VALUE!</v>
      </c>
      <c r="W87" s="23">
        <f ca="1">_xll.meLWOBondDV01($L87,$C$4,$S87%)</f>
        <v>846.84614600716259</v>
      </c>
      <c r="X87" s="22" t="e">
        <f ca="1">_xll.BDP($B87,X$6, "YLD_YTM_ASK="&amp;$S87,"YAS_YLD_CONV=1")*$X$3*0.0001</f>
        <v>#VALUE!</v>
      </c>
      <c r="Y87" s="24" t="e">
        <f t="shared" ca="1" si="6"/>
        <v>#VALUE!</v>
      </c>
      <c r="Z87" s="23">
        <f ca="1">_xll.meLWOBondModifiedDuration($L87,$C$4,$S87%)</f>
        <v>8.206091358871376</v>
      </c>
      <c r="AA87" s="23">
        <f ca="1">_xll.BDP($B87,AA$6, "YLD_YTM_ASK="&amp;$G87,"YAS_YLD_CONV=1")</f>
        <v>8.2060927069879455</v>
      </c>
      <c r="AB87" s="22">
        <f t="shared" ca="1" si="7"/>
        <v>1.3481165694884112E-6</v>
      </c>
      <c r="AC87" s="24">
        <f ca="1">_xll.meLWOBondDV01Numerical($L87,$C$4,$S87%, 0.5, "CENTRAL")</f>
        <v>846.84618079563734</v>
      </c>
    </row>
    <row r="88" spans="2:29">
      <c r="B88" s="15" t="s">
        <v>1164</v>
      </c>
      <c r="C88" s="15" t="s">
        <v>1165</v>
      </c>
      <c r="D88" s="15" t="s">
        <v>1165</v>
      </c>
      <c r="E88" s="16">
        <v>41163</v>
      </c>
      <c r="F88" s="19">
        <v>40841</v>
      </c>
      <c r="G88" s="18"/>
      <c r="H88" s="16">
        <v>41207</v>
      </c>
      <c r="I88" s="16">
        <v>46320</v>
      </c>
      <c r="J88" s="17">
        <v>2.75E-2</v>
      </c>
      <c r="K88" s="16">
        <v>46685</v>
      </c>
      <c r="L88" s="20" t="str">
        <f ca="1">_xll.meLWOBondCreateFromGeneratorLVB(C88,$L$4,_xll.meUtilityLVBFromKeysValues($C$6:$K$6,C88:K88))</f>
        <v>FR0011317783:0</v>
      </c>
      <c r="M88" s="92">
        <f ca="1">_xll.BDP($B88,$M$5)</f>
        <v>0.67993700466761786</v>
      </c>
      <c r="N88" s="89">
        <f ca="1">_xll.meLWOBondCleanPrice($L88,$C$4,$M88%)</f>
        <v>118.05499999999986</v>
      </c>
      <c r="O88" s="89">
        <f ca="1">_xll.meLWOBondDirtyPrice($L88,$C$4,$M88%)</f>
        <v>120.74472599999986</v>
      </c>
      <c r="P88" s="72">
        <f ca="1">_xll.meLWOBondYield($L88,$C$4,N88)</f>
        <v>6.7993700466862095E-3</v>
      </c>
      <c r="Q88" s="89">
        <f ca="1">_xll.meLWOBondModifiedDuration($L88,$C$4,$M88%)</f>
        <v>7.9612871454429346</v>
      </c>
      <c r="R88" s="23">
        <f ca="1">_xll.meLWOBondDV01($L88,$C$4,$M88%)</f>
        <v>961.2834349838281</v>
      </c>
      <c r="S88" s="21">
        <f t="shared" ca="1" si="8"/>
        <v>0.67993700466761786</v>
      </c>
      <c r="T88" s="22" t="str">
        <f ca="1">_xll.BDP($B88,T$6, "YAS_BOND_YLD="&amp;S88,"YAS_YLD_CONV=1")</f>
        <v>#N/A Requesting Data...</v>
      </c>
      <c r="U88" s="23">
        <f t="shared" ca="1" si="9"/>
        <v>118.05499999999986</v>
      </c>
      <c r="V88" s="24" t="e">
        <f t="shared" ca="1" si="5"/>
        <v>#VALUE!</v>
      </c>
      <c r="W88" s="23">
        <f ca="1">_xll.meLWOBondDV01($L88,$C$4,$S88%)</f>
        <v>961.2834349838281</v>
      </c>
      <c r="X88" s="22" t="e">
        <f ca="1">_xll.BDP($B88,X$6, "YLD_YTM_ASK="&amp;$S88,"YAS_YLD_CONV=1")*$X$3*0.0001</f>
        <v>#VALUE!</v>
      </c>
      <c r="Y88" s="24" t="e">
        <f t="shared" ca="1" si="6"/>
        <v>#VALUE!</v>
      </c>
      <c r="Z88" s="23">
        <f ca="1">_xll.meLWOBondModifiedDuration($L88,$C$4,$S88%)</f>
        <v>7.9612871454429346</v>
      </c>
      <c r="AA88" s="23">
        <f ca="1">_xll.BDP($B88,AA$6, "YLD_YTM_ASK="&amp;$G88,"YAS_YLD_CONV=1")</f>
        <v>7.9612747576801546</v>
      </c>
      <c r="AB88" s="22">
        <f t="shared" ca="1" si="7"/>
        <v>1.2387762780008416E-5</v>
      </c>
      <c r="AC88" s="24">
        <f ca="1">_xll.meLWOBondDV01Numerical($L88,$C$4,$S88%, 0.5, "CENTRAL")</f>
        <v>961.28347645702661</v>
      </c>
    </row>
    <row r="89" spans="2:29">
      <c r="B89" s="15" t="s">
        <v>1298</v>
      </c>
      <c r="C89" s="15" t="s">
        <v>1299</v>
      </c>
      <c r="D89" s="15" t="s">
        <v>1299</v>
      </c>
      <c r="E89" s="16">
        <v>40140</v>
      </c>
      <c r="F89" s="19"/>
      <c r="G89" s="18"/>
      <c r="H89" s="16"/>
      <c r="I89" s="16"/>
      <c r="J89" s="17">
        <v>0</v>
      </c>
      <c r="K89" s="16">
        <v>46685</v>
      </c>
      <c r="L89" s="20" t="str">
        <f ca="1">_xll.meLWOBondCreateFromGeneratorLVB(C89,$L$4,_xll.meUtilityLVBFromKeysValues($C$6:$K$6,C89:K89))</f>
        <v>FR0010810176:0</v>
      </c>
      <c r="M89" s="92">
        <f ca="1">_xll.BDP($B89,$M$5)</f>
        <v>0.70661115173673572</v>
      </c>
      <c r="N89" s="89">
        <f ca="1">_xll.meLWOBondCleanPrice($L89,$C$4,$M89%)</f>
        <v>93.845000000000056</v>
      </c>
      <c r="O89" s="89">
        <f ca="1">_xll.meLWOBondDirtyPrice($L89,$C$4,$M89%)</f>
        <v>93.845000000000056</v>
      </c>
      <c r="P89" s="72">
        <f ca="1">_xll.meLWOBondYield($L89,$C$4,N89)</f>
        <v>7.0661115173695464E-3</v>
      </c>
      <c r="Q89" s="89">
        <f ca="1">_xll.meLWOBondModifiedDuration($L89,$C$4,$M89%)</f>
        <v>8.9586152339350082</v>
      </c>
      <c r="R89" s="23">
        <f ca="1">_xll.meLWOBondDV01($L89,$C$4,$M89%)</f>
        <v>840.72124662863132</v>
      </c>
      <c r="S89" s="21">
        <f t="shared" ca="1" si="8"/>
        <v>0.70661115173673572</v>
      </c>
      <c r="T89" s="22" t="str">
        <f ca="1">_xll.BDP($B89,T$6, "YAS_BOND_YLD="&amp;S89,"YAS_YLD_CONV=1")</f>
        <v>#N/A Requesting Data...</v>
      </c>
      <c r="U89" s="23">
        <f t="shared" ca="1" si="9"/>
        <v>93.845000000000056</v>
      </c>
      <c r="V89" s="24" t="e">
        <f t="shared" ca="1" si="5"/>
        <v>#VALUE!</v>
      </c>
      <c r="W89" s="23">
        <f ca="1">_xll.meLWOBondDV01($L89,$C$4,$S89%)</f>
        <v>840.72124662863132</v>
      </c>
      <c r="X89" s="22" t="e">
        <f ca="1">_xll.BDP($B89,X$6, "YLD_YTM_ASK="&amp;$S89,"YAS_YLD_CONV=1")*$X$3*0.0001</f>
        <v>#VALUE!</v>
      </c>
      <c r="Y89" s="24" t="e">
        <f t="shared" ca="1" si="6"/>
        <v>#VALUE!</v>
      </c>
      <c r="Z89" s="23">
        <f ca="1">_xll.meLWOBondModifiedDuration($L89,$C$4,$S89%)</f>
        <v>8.9586152339350082</v>
      </c>
      <c r="AA89" s="23">
        <f ca="1">_xll.BDP($B89,AA$6, "YLD_YTM_ASK="&amp;$G89,"YAS_YLD_CONV=1")</f>
        <v>8.95861686016333</v>
      </c>
      <c r="AB89" s="22">
        <f t="shared" ca="1" si="7"/>
        <v>1.6262283217827189E-6</v>
      </c>
      <c r="AC89" s="24">
        <f ca="1">_xll.meLWOBondDV01Numerical($L89,$C$4,$S89%, 0.5, "CENTRAL")</f>
        <v>840.72128478382535</v>
      </c>
    </row>
    <row r="90" spans="2:29">
      <c r="B90" s="15" t="s">
        <v>1528</v>
      </c>
      <c r="C90" s="15" t="s">
        <v>1529</v>
      </c>
      <c r="D90" s="15" t="s">
        <v>1529</v>
      </c>
      <c r="E90" s="16">
        <v>37054</v>
      </c>
      <c r="F90" s="19"/>
      <c r="G90" s="18"/>
      <c r="H90" s="16"/>
      <c r="I90" s="16"/>
      <c r="J90" s="17">
        <v>0</v>
      </c>
      <c r="K90" s="16">
        <v>46685</v>
      </c>
      <c r="L90" s="20" t="str">
        <f ca="1">_xll.meLWOBondCreateFromGeneratorLVB(C90,$L$4,_xll.meUtilityLVBFromKeysValues($C$6:$K$6,C90:K90))</f>
        <v>FR0000578551:0</v>
      </c>
      <c r="M90" s="92">
        <f ca="1">_xll.BDP($B90,$M$5)</f>
        <v>0.70589750414331576</v>
      </c>
      <c r="N90" s="89">
        <f ca="1">_xll.meLWOBondCleanPrice($L90,$C$4,$M90%)</f>
        <v>93.851000000000013</v>
      </c>
      <c r="O90" s="89">
        <f ca="1">_xll.meLWOBondDirtyPrice($L90,$C$4,$M90%)</f>
        <v>93.851000000000013</v>
      </c>
      <c r="P90" s="72">
        <f ca="1">_xll.meLWOBondYield($L90,$C$4,N90)</f>
        <v>7.058975041435509E-3</v>
      </c>
      <c r="Q90" s="89">
        <f ca="1">_xll.meLWOBondModifiedDuration($L90,$C$4,$M90%)</f>
        <v>8.9586787187393799</v>
      </c>
      <c r="R90" s="23">
        <f ca="1">_xll.meLWOBondDV01($L90,$C$4,$M90%)</f>
        <v>840.78095643240965</v>
      </c>
      <c r="S90" s="21">
        <f t="shared" ca="1" si="8"/>
        <v>0.70589750414331576</v>
      </c>
      <c r="T90" s="22" t="str">
        <f ca="1">_xll.BDP($B90,T$6, "YAS_BOND_YLD="&amp;S90,"YAS_YLD_CONV=1")</f>
        <v>#N/A Requesting Data...</v>
      </c>
      <c r="U90" s="23">
        <f t="shared" ca="1" si="9"/>
        <v>93.851000000000013</v>
      </c>
      <c r="V90" s="24" t="e">
        <f t="shared" ca="1" si="5"/>
        <v>#VALUE!</v>
      </c>
      <c r="W90" s="23">
        <f ca="1">_xll.meLWOBondDV01($L90,$C$4,$S90%)</f>
        <v>840.78095643240965</v>
      </c>
      <c r="X90" s="22" t="e">
        <f ca="1">_xll.BDP($B90,X$6, "YLD_YTM_ASK="&amp;$S90,"YAS_YLD_CONV=1")*$X$3*0.0001</f>
        <v>#VALUE!</v>
      </c>
      <c r="Y90" s="24" t="e">
        <f t="shared" ca="1" si="6"/>
        <v>#VALUE!</v>
      </c>
      <c r="Z90" s="23">
        <f ca="1">_xll.meLWOBondModifiedDuration($L90,$C$4,$S90%)</f>
        <v>8.9586787187393799</v>
      </c>
      <c r="AA90" s="23">
        <f ca="1">_xll.BDP($B90,AA$6, "YLD_YTM_ASK="&amp;$G90,"YAS_YLD_CONV=1")</f>
        <v>8.9586803450042556</v>
      </c>
      <c r="AB90" s="22">
        <f t="shared" ca="1" si="7"/>
        <v>1.6262648756537601E-6</v>
      </c>
      <c r="AC90" s="24">
        <f ca="1">_xll.meLWOBondDV01Numerical($L90,$C$4,$S90%, 0.5, "CENTRAL")</f>
        <v>840.78099459077293</v>
      </c>
    </row>
    <row r="91" spans="2:29">
      <c r="B91" s="15" t="s">
        <v>1290</v>
      </c>
      <c r="C91" s="15" t="s">
        <v>1291</v>
      </c>
      <c r="D91" s="15" t="s">
        <v>1291</v>
      </c>
      <c r="E91" s="16">
        <v>40140</v>
      </c>
      <c r="F91" s="19"/>
      <c r="G91" s="18"/>
      <c r="H91" s="16"/>
      <c r="I91" s="16"/>
      <c r="J91" s="17">
        <v>0</v>
      </c>
      <c r="K91" s="16">
        <v>46868</v>
      </c>
      <c r="L91" s="20" t="str">
        <f ca="1">_xll.meLWOBondCreateFromGeneratorLVB(C91,$L$4,_xll.meUtilityLVBFromKeysValues($C$6:$K$6,C91:K91))</f>
        <v>FR0010810184:0</v>
      </c>
      <c r="M91" s="92">
        <f ca="1">_xll.BDP($B91,$M$5)</f>
        <v>0.77997209712241666</v>
      </c>
      <c r="N91" s="89">
        <f ca="1">_xll.meLWOBondCleanPrice($L91,$C$4,$M91%)</f>
        <v>92.86999999999999</v>
      </c>
      <c r="O91" s="89">
        <f ca="1">_xll.meLWOBondDirtyPrice($L91,$C$4,$M91%)</f>
        <v>92.86999999999999</v>
      </c>
      <c r="P91" s="72">
        <f ca="1">_xll.meLWOBondYield($L91,$C$4,N91)</f>
        <v>7.7997209712282294E-3</v>
      </c>
      <c r="Q91" s="89">
        <f ca="1">_xll.meLWOBondModifiedDuration($L91,$C$4,$M91%)</f>
        <v>9.4468650338883382</v>
      </c>
      <c r="R91" s="23">
        <f ca="1">_xll.meLWOBondDV01($L91,$C$4,$M91%)</f>
        <v>877.33035569720982</v>
      </c>
      <c r="S91" s="21">
        <f t="shared" ca="1" si="8"/>
        <v>0.77997209712241666</v>
      </c>
      <c r="T91" s="22" t="str">
        <f ca="1">_xll.BDP($B91,T$6, "YAS_BOND_YLD="&amp;S91,"YAS_YLD_CONV=1")</f>
        <v>#N/A Requesting Data...</v>
      </c>
      <c r="U91" s="23">
        <f t="shared" ca="1" si="9"/>
        <v>92.86999999999999</v>
      </c>
      <c r="V91" s="24" t="e">
        <f t="shared" ca="1" si="5"/>
        <v>#VALUE!</v>
      </c>
      <c r="W91" s="23">
        <f ca="1">_xll.meLWOBondDV01($L91,$C$4,$S91%)</f>
        <v>877.33035569720982</v>
      </c>
      <c r="X91" s="22" t="e">
        <f ca="1">_xll.BDP($B91,X$6, "YLD_YTM_ASK="&amp;$S91,"YAS_YLD_CONV=1")*$X$3*0.0001</f>
        <v>#VALUE!</v>
      </c>
      <c r="Y91" s="24" t="e">
        <f t="shared" ca="1" si="6"/>
        <v>#VALUE!</v>
      </c>
      <c r="Z91" s="23">
        <f ca="1">_xll.meLWOBondModifiedDuration($L91,$C$4,$S91%)</f>
        <v>9.4468650338883382</v>
      </c>
      <c r="AA91" s="23">
        <f ca="1">_xll.BDP($B91,AA$6, "YLD_YTM_ASK="&amp;$G91,"YAS_YLD_CONV=1")</f>
        <v>9.4468669127691527</v>
      </c>
      <c r="AB91" s="22">
        <f t="shared" ca="1" si="7"/>
        <v>1.8788808144876157E-6</v>
      </c>
      <c r="AC91" s="24">
        <f ca="1">_xll.meLWOBondDV01Numerical($L91,$C$4,$S91%, 0.5, "CENTRAL")</f>
        <v>877.33039932203394</v>
      </c>
    </row>
    <row r="92" spans="2:29">
      <c r="B92" s="15" t="s">
        <v>1568</v>
      </c>
      <c r="C92" s="15" t="s">
        <v>1569</v>
      </c>
      <c r="D92" s="15" t="s">
        <v>1569</v>
      </c>
      <c r="E92" s="16">
        <v>35866</v>
      </c>
      <c r="F92" s="19"/>
      <c r="G92" s="18"/>
      <c r="H92" s="16"/>
      <c r="I92" s="16"/>
      <c r="J92" s="17">
        <v>0</v>
      </c>
      <c r="K92" s="16">
        <v>46868</v>
      </c>
      <c r="L92" s="20" t="str">
        <f ca="1">_xll.meLWOBondCreateFromGeneratorLVB(C92,$L$4,_xll.meUtilityLVBFromKeysValues($C$6:$K$6,C92:K92))</f>
        <v>FR0000571184:0</v>
      </c>
      <c r="M92" s="92">
        <f ca="1">_xll.BDP($B92,$M$5)</f>
        <v>0.75686162265971024</v>
      </c>
      <c r="N92" s="89">
        <f ca="1">_xll.meLWOBondCleanPrice($L92,$C$4,$M92%)</f>
        <v>93.072999999999922</v>
      </c>
      <c r="O92" s="89">
        <f ca="1">_xll.meLWOBondDirtyPrice($L92,$C$4,$M92%)</f>
        <v>93.072999999999922</v>
      </c>
      <c r="P92" s="72">
        <f ca="1">_xll.meLWOBondYield($L92,$C$4,N92)</f>
        <v>7.5686162266009127E-3</v>
      </c>
      <c r="Q92" s="89">
        <f ca="1">_xll.meLWOBondModifiedDuration($L92,$C$4,$M92%)</f>
        <v>9.4490318494242924</v>
      </c>
      <c r="R92" s="23">
        <f ca="1">_xll.meLWOBondDV01($L92,$C$4,$M92%)</f>
        <v>879.44974132146649</v>
      </c>
      <c r="S92" s="21">
        <f t="shared" ca="1" si="8"/>
        <v>0.75686162265971024</v>
      </c>
      <c r="T92" s="22" t="str">
        <f ca="1">_xll.BDP($B92,T$6, "YAS_BOND_YLD="&amp;S92,"YAS_YLD_CONV=1")</f>
        <v>#N/A Requesting Data...</v>
      </c>
      <c r="U92" s="23">
        <f t="shared" ca="1" si="9"/>
        <v>93.072999999999922</v>
      </c>
      <c r="V92" s="24" t="e">
        <f t="shared" ca="1" si="5"/>
        <v>#VALUE!</v>
      </c>
      <c r="W92" s="23">
        <f ca="1">_xll.meLWOBondDV01($L92,$C$4,$S92%)</f>
        <v>879.44974132146649</v>
      </c>
      <c r="X92" s="22" t="e">
        <f ca="1">_xll.BDP($B92,X$6, "YLD_YTM_ASK="&amp;$S92,"YAS_YLD_CONV=1")*$X$3*0.0001</f>
        <v>#VALUE!</v>
      </c>
      <c r="Y92" s="24" t="e">
        <f t="shared" ca="1" si="6"/>
        <v>#VALUE!</v>
      </c>
      <c r="Z92" s="23">
        <f ca="1">_xll.meLWOBondModifiedDuration($L92,$C$4,$S92%)</f>
        <v>9.4490318494242924</v>
      </c>
      <c r="AA92" s="23">
        <f ca="1">_xll.BDP($B92,AA$6, "YLD_YTM_ASK="&amp;$G92,"YAS_YLD_CONV=1")</f>
        <v>9.4490337295996216</v>
      </c>
      <c r="AB92" s="22">
        <f t="shared" ca="1" si="7"/>
        <v>1.8801753292052581E-6</v>
      </c>
      <c r="AC92" s="24">
        <f ca="1">_xll.meLWOBondDV01Numerical($L92,$C$4,$S92%, 0.5, "CENTRAL")</f>
        <v>879.44978507167104</v>
      </c>
    </row>
    <row r="93" spans="2:29">
      <c r="B93" s="15" t="s">
        <v>1558</v>
      </c>
      <c r="C93" s="15" t="s">
        <v>1559</v>
      </c>
      <c r="D93" s="15" t="s">
        <v>1559</v>
      </c>
      <c r="E93" s="16">
        <v>41368</v>
      </c>
      <c r="F93" s="19"/>
      <c r="G93" s="18"/>
      <c r="H93" s="16"/>
      <c r="I93" s="16"/>
      <c r="J93" s="17">
        <v>0</v>
      </c>
      <c r="K93" s="16">
        <v>46898</v>
      </c>
      <c r="L93" s="20" t="str">
        <f ca="1">_xll.meLWOBondCreateFromGeneratorLVB(C93,$L$4,_xll.meUtilityLVBFromKeysValues($C$6:$K$6,C93:K93))</f>
        <v>FR0011461458:0</v>
      </c>
      <c r="M93" s="92">
        <f ca="1">_xll.BDP($B93,$M$5)</f>
        <v>0.80496291993761293</v>
      </c>
      <c r="N93" s="89">
        <f ca="1">_xll.meLWOBondCleanPrice($L93,$C$4,$M93%)</f>
        <v>92.590000000000018</v>
      </c>
      <c r="O93" s="89">
        <f ca="1">_xll.meLWOBondDirtyPrice($L93,$C$4,$M93%)</f>
        <v>92.590000000000018</v>
      </c>
      <c r="P93" s="72">
        <f ca="1">_xll.meLWOBondYield($L93,$C$4,N93)</f>
        <v>8.0496291993807107E-3</v>
      </c>
      <c r="Q93" s="89">
        <f ca="1">_xll.meLWOBondModifiedDuration($L93,$C$4,$M93%)</f>
        <v>9.5260584874716816</v>
      </c>
      <c r="R93" s="23">
        <f ca="1">_xll.meLWOBondDV01($L93,$C$4,$M93%)</f>
        <v>882.01775535500315</v>
      </c>
      <c r="S93" s="21">
        <f t="shared" ca="1" si="8"/>
        <v>0.80496291993761293</v>
      </c>
      <c r="T93" s="22" t="str">
        <f ca="1">_xll.BDP($B93,T$6, "YAS_BOND_YLD="&amp;S93,"YAS_YLD_CONV=1")</f>
        <v>#N/A Requesting Data...</v>
      </c>
      <c r="U93" s="23">
        <f t="shared" ca="1" si="9"/>
        <v>92.590000000000018</v>
      </c>
      <c r="V93" s="24" t="e">
        <f t="shared" ca="1" si="5"/>
        <v>#VALUE!</v>
      </c>
      <c r="W93" s="23">
        <f ca="1">_xll.meLWOBondDV01($L93,$C$4,$S93%)</f>
        <v>882.01775535500315</v>
      </c>
      <c r="X93" s="22" t="e">
        <f ca="1">_xll.BDP($B93,X$6, "YLD_YTM_ASK="&amp;$S93,"YAS_YLD_CONV=1")*$X$3*0.0001</f>
        <v>#VALUE!</v>
      </c>
      <c r="Y93" s="24" t="e">
        <f t="shared" ca="1" si="6"/>
        <v>#VALUE!</v>
      </c>
      <c r="Z93" s="23">
        <f ca="1">_xll.meLWOBondModifiedDuration($L93,$C$4,$S93%)</f>
        <v>9.5260584874716816</v>
      </c>
      <c r="AA93" s="23">
        <f ca="1">_xll.BDP($B93,AA$6, "YLD_YTM_ASK="&amp;$G93,"YAS_YLD_CONV=1")</f>
        <v>9.5260604095732511</v>
      </c>
      <c r="AB93" s="22">
        <f t="shared" ca="1" si="7"/>
        <v>1.9221015694625976E-6</v>
      </c>
      <c r="AC93" s="24">
        <f ca="1">_xll.meLWOBondDV01Numerical($L93,$C$4,$S93%, 0.5, "CENTRAL")</f>
        <v>882.01779984885331</v>
      </c>
    </row>
    <row r="94" spans="2:29">
      <c r="B94" s="15" t="s">
        <v>1388</v>
      </c>
      <c r="C94" s="15" t="s">
        <v>1389</v>
      </c>
      <c r="D94" s="15" t="s">
        <v>1389</v>
      </c>
      <c r="E94" s="16">
        <v>40140</v>
      </c>
      <c r="F94" s="19"/>
      <c r="G94" s="18"/>
      <c r="H94" s="16"/>
      <c r="I94" s="16"/>
      <c r="J94" s="17">
        <v>0</v>
      </c>
      <c r="K94" s="16">
        <v>47051</v>
      </c>
      <c r="L94" s="20" t="str">
        <f ca="1">_xll.meLWOBondCreateFromGeneratorLVB(C94,$L$4,_xll.meUtilityLVBFromKeysValues($C$6:$K$6,C94:K94))</f>
        <v>FR0010810200:0</v>
      </c>
      <c r="M94" s="92">
        <f ca="1">_xll.BDP($B94,$M$5)</f>
        <v>0.84903442479009605</v>
      </c>
      <c r="N94" s="89">
        <f ca="1">_xll.meLWOBondCleanPrice($L94,$C$4,$M94%)</f>
        <v>91.87599999999992</v>
      </c>
      <c r="O94" s="89">
        <f ca="1">_xll.meLWOBondDirtyPrice($L94,$C$4,$M94%)</f>
        <v>91.87599999999992</v>
      </c>
      <c r="P94" s="72">
        <f ca="1">_xll.meLWOBondYield($L94,$C$4,N94)</f>
        <v>8.4903442479069106E-3</v>
      </c>
      <c r="Q94" s="89">
        <f ca="1">_xll.meLWOBondModifiedDuration($L94,$C$4,$M94%)</f>
        <v>9.9375446333035509</v>
      </c>
      <c r="R94" s="23">
        <f ca="1">_xll.meLWOBondDV01($L94,$C$4,$M94%)</f>
        <v>913.02185072939619</v>
      </c>
      <c r="S94" s="21">
        <f t="shared" ca="1" si="8"/>
        <v>0.84903442479009605</v>
      </c>
      <c r="T94" s="22" t="str">
        <f ca="1">_xll.BDP($B94,T$6, "YAS_BOND_YLD="&amp;S94,"YAS_YLD_CONV=1")</f>
        <v>#N/A Requesting Data...</v>
      </c>
      <c r="U94" s="23">
        <f t="shared" ca="1" si="9"/>
        <v>91.87599999999992</v>
      </c>
      <c r="V94" s="24" t="e">
        <f t="shared" ca="1" si="5"/>
        <v>#VALUE!</v>
      </c>
      <c r="W94" s="23">
        <f ca="1">_xll.meLWOBondDV01($L94,$C$4,$S94%)</f>
        <v>913.02185072939619</v>
      </c>
      <c r="X94" s="22" t="e">
        <f ca="1">_xll.BDP($B94,X$6, "YLD_YTM_ASK="&amp;$S94,"YAS_YLD_CONV=1")*$X$3*0.0001</f>
        <v>#VALUE!</v>
      </c>
      <c r="Y94" s="24" t="e">
        <f t="shared" ca="1" si="6"/>
        <v>#VALUE!</v>
      </c>
      <c r="Z94" s="23">
        <f ca="1">_xll.meLWOBondModifiedDuration($L94,$C$4,$S94%)</f>
        <v>9.9375446333035509</v>
      </c>
      <c r="AA94" s="23">
        <f ca="1">_xll.BDP($B94,AA$6, "YLD_YTM_ASK="&amp;$G94,"YAS_YLD_CONV=1")</f>
        <v>9.9375467911228768</v>
      </c>
      <c r="AB94" s="22">
        <f t="shared" ca="1" si="7"/>
        <v>2.1578193258875444E-6</v>
      </c>
      <c r="AC94" s="24">
        <f ca="1">_xll.meLWOBondDV01Numerical($L94,$C$4,$S94%, 0.5, "CENTRAL")</f>
        <v>913.02190029438179</v>
      </c>
    </row>
    <row r="95" spans="2:29">
      <c r="B95" s="15" t="s">
        <v>1482</v>
      </c>
      <c r="C95" s="15" t="s">
        <v>1483</v>
      </c>
      <c r="D95" s="15" t="s">
        <v>1483</v>
      </c>
      <c r="E95" s="16">
        <v>37054</v>
      </c>
      <c r="F95" s="19"/>
      <c r="G95" s="18"/>
      <c r="H95" s="16"/>
      <c r="I95" s="16"/>
      <c r="J95" s="17">
        <v>0</v>
      </c>
      <c r="K95" s="16">
        <v>47051</v>
      </c>
      <c r="L95" s="20" t="str">
        <f ca="1">_xll.meLWOBondCreateFromGeneratorLVB(C95,$L$4,_xll.meUtilityLVBFromKeysValues($C$6:$K$6,C95:K95))</f>
        <v>FR0000578569:0</v>
      </c>
      <c r="M95" s="92">
        <f ca="1">_xll.BDP($B95,$M$5)</f>
        <v>0.824751815764313</v>
      </c>
      <c r="N95" s="89">
        <f ca="1">_xll.meLWOBondCleanPrice($L95,$C$4,$M95%)</f>
        <v>92.097999999999914</v>
      </c>
      <c r="O95" s="89">
        <f ca="1">_xll.meLWOBondDirtyPrice($L95,$C$4,$M95%)</f>
        <v>92.097999999999914</v>
      </c>
      <c r="P95" s="72">
        <f ca="1">_xll.meLWOBondYield($L95,$C$4,N95)</f>
        <v>8.247518157648499E-3</v>
      </c>
      <c r="Q95" s="89">
        <f ca="1">_xll.meLWOBondModifiedDuration($L95,$C$4,$M95%)</f>
        <v>9.9399379891676709</v>
      </c>
      <c r="R95" s="23">
        <f ca="1">_xll.meLWOBondDV01($L95,$C$4,$M95%)</f>
        <v>915.4484089263633</v>
      </c>
      <c r="S95" s="21">
        <f t="shared" ca="1" si="8"/>
        <v>0.824751815764313</v>
      </c>
      <c r="T95" s="22" t="str">
        <f ca="1">_xll.BDP($B95,T$6, "YAS_BOND_YLD="&amp;S95,"YAS_YLD_CONV=1")</f>
        <v>#N/A Requesting Data...</v>
      </c>
      <c r="U95" s="23">
        <f t="shared" ca="1" si="9"/>
        <v>92.097999999999914</v>
      </c>
      <c r="V95" s="24" t="e">
        <f t="shared" ca="1" si="5"/>
        <v>#VALUE!</v>
      </c>
      <c r="W95" s="23">
        <f ca="1">_xll.meLWOBondDV01($L95,$C$4,$S95%)</f>
        <v>915.4484089263633</v>
      </c>
      <c r="X95" s="22" t="e">
        <f ca="1">_xll.BDP($B95,X$6, "YLD_YTM_ASK="&amp;$S95,"YAS_YLD_CONV=1")*$X$3*0.0001</f>
        <v>#VALUE!</v>
      </c>
      <c r="Y95" s="24" t="e">
        <f t="shared" ca="1" si="6"/>
        <v>#VALUE!</v>
      </c>
      <c r="Z95" s="23">
        <f ca="1">_xll.meLWOBondModifiedDuration($L95,$C$4,$S95%)</f>
        <v>9.9399379891676709</v>
      </c>
      <c r="AA95" s="23">
        <f ca="1">_xll.BDP($B95,AA$6, "YLD_YTM_ASK="&amp;$G95,"YAS_YLD_CONV=1")</f>
        <v>9.9399401485471799</v>
      </c>
      <c r="AB95" s="22">
        <f t="shared" ca="1" si="7"/>
        <v>2.1593795089813739E-6</v>
      </c>
      <c r="AC95" s="24">
        <f ca="1">_xll.meLWOBondDV01Numerical($L95,$C$4,$S95%, 0.5, "CENTRAL")</f>
        <v>915.44845864689262</v>
      </c>
    </row>
    <row r="96" spans="2:29">
      <c r="B96" s="15" t="s">
        <v>1204</v>
      </c>
      <c r="C96" s="15" t="s">
        <v>1205</v>
      </c>
      <c r="D96" s="15" t="s">
        <v>1205</v>
      </c>
      <c r="E96" s="16">
        <v>35866</v>
      </c>
      <c r="F96" s="19">
        <v>35545</v>
      </c>
      <c r="G96" s="18"/>
      <c r="H96" s="16">
        <v>35910</v>
      </c>
      <c r="I96" s="16">
        <v>46868</v>
      </c>
      <c r="J96" s="17">
        <v>5.5E-2</v>
      </c>
      <c r="K96" s="16">
        <v>47233</v>
      </c>
      <c r="L96" s="20" t="str">
        <f ca="1">_xll.meLWOBondCreateFromGeneratorLVB(C96,$L$4,_xll.meUtilityLVBFromKeysValues($C$6:$K$6,C96:K96))</f>
        <v>FR0000571218:0</v>
      </c>
      <c r="M96" s="92">
        <f ca="1">_xll.BDP($B96,$M$5)</f>
        <v>0.8235733672483061</v>
      </c>
      <c r="N96" s="89">
        <f ca="1">_xll.meLWOBondCleanPrice($L96,$C$4,$M96%)</f>
        <v>146.93700000001044</v>
      </c>
      <c r="O96" s="89">
        <f ca="1">_xll.meLWOBondDirtyPrice($L96,$C$4,$M96%)</f>
        <v>149.57398630001043</v>
      </c>
      <c r="P96" s="72">
        <f ca="1">_xll.meLWOBondYield($L96,$C$4,N96)</f>
        <v>8.2357336724832395E-3</v>
      </c>
      <c r="Q96" s="89">
        <f ca="1">_xll.meLWOBondModifiedDuration($L96,$C$4,$M96%)</f>
        <v>8.4854218535172343</v>
      </c>
      <c r="R96" s="23">
        <f ca="1">_xll.meLWOBondDV01($L96,$C$4,$M96%)</f>
        <v>1269.1983720677958</v>
      </c>
      <c r="S96" s="21">
        <f t="shared" ca="1" si="8"/>
        <v>0.8235733672483061</v>
      </c>
      <c r="T96" s="22" t="str">
        <f ca="1">_xll.BDP($B96,T$6, "YAS_BOND_YLD="&amp;S96,"YAS_YLD_CONV=1")</f>
        <v>#N/A Requesting Data...</v>
      </c>
      <c r="U96" s="23">
        <f t="shared" ca="1" si="9"/>
        <v>146.93700000001044</v>
      </c>
      <c r="V96" s="24" t="e">
        <f t="shared" ca="1" si="5"/>
        <v>#VALUE!</v>
      </c>
      <c r="W96" s="23">
        <f ca="1">_xll.meLWOBondDV01($L96,$C$4,$S96%)</f>
        <v>1269.1983720677958</v>
      </c>
      <c r="X96" s="22" t="e">
        <f ca="1">_xll.BDP($B96,X$6, "YLD_YTM_ASK="&amp;$S96,"YAS_YLD_CONV=1")*$X$3*0.0001</f>
        <v>#VALUE!</v>
      </c>
      <c r="Y96" s="24" t="e">
        <f t="shared" ca="1" si="6"/>
        <v>#VALUE!</v>
      </c>
      <c r="Z96" s="23">
        <f ca="1">_xll.meLWOBondModifiedDuration($L96,$C$4,$S96%)</f>
        <v>8.4854218535172343</v>
      </c>
      <c r="AA96" s="23">
        <f ca="1">_xll.BDP($B96,AA$6, "YLD_YTM_ASK="&amp;$G96,"YAS_YLD_CONV=1")</f>
        <v>8.4854236655818038</v>
      </c>
      <c r="AB96" s="22">
        <f t="shared" ca="1" si="7"/>
        <v>1.8120645695063331E-6</v>
      </c>
      <c r="AC96" s="24">
        <f ca="1">_xll.meLWOBondDV01Numerical($L96,$C$4,$S96%, 0.5, "CENTRAL")</f>
        <v>1269.1984393487135</v>
      </c>
    </row>
    <row r="97" spans="2:29">
      <c r="B97" s="15" t="s">
        <v>1234</v>
      </c>
      <c r="C97" s="15" t="s">
        <v>1235</v>
      </c>
      <c r="D97" s="15" t="s">
        <v>1235</v>
      </c>
      <c r="E97" s="16">
        <v>40140</v>
      </c>
      <c r="F97" s="19"/>
      <c r="G97" s="18"/>
      <c r="H97" s="16"/>
      <c r="I97" s="16"/>
      <c r="J97" s="17">
        <v>0</v>
      </c>
      <c r="K97" s="16">
        <v>47233</v>
      </c>
      <c r="L97" s="20" t="str">
        <f ca="1">_xll.meLWOBondCreateFromGeneratorLVB(C97,$L$4,_xll.meUtilityLVBFromKeysValues($C$6:$K$6,C97:K97))</f>
        <v>FR0010810218:0</v>
      </c>
      <c r="M97" s="92">
        <f ca="1">_xll.BDP($B97,$M$5)</f>
        <v>0.92918675755984115</v>
      </c>
      <c r="N97" s="89">
        <f ca="1">_xll.meLWOBondCleanPrice($L97,$C$4,$M97%)</f>
        <v>90.728000000000051</v>
      </c>
      <c r="O97" s="89">
        <f ca="1">_xll.meLWOBondDirtyPrice($L97,$C$4,$M97%)</f>
        <v>90.728000000000051</v>
      </c>
      <c r="P97" s="72">
        <f ca="1">_xll.meLWOBondYield($L97,$C$4,N97)</f>
        <v>9.2918675756070105E-3</v>
      </c>
      <c r="Q97" s="89">
        <f ca="1">_xll.meLWOBondModifiedDuration($L97,$C$4,$M97%)</f>
        <v>10.423692375998924</v>
      </c>
      <c r="R97" s="23">
        <f ca="1">_xll.meLWOBondDV01($L97,$C$4,$M97%)</f>
        <v>945.72076188963081</v>
      </c>
      <c r="S97" s="21">
        <f t="shared" ca="1" si="8"/>
        <v>0.92918675755984115</v>
      </c>
      <c r="T97" s="22" t="str">
        <f ca="1">_xll.BDP($B97,T$6, "YAS_BOND_YLD="&amp;S97,"YAS_YLD_CONV=1")</f>
        <v>#N/A Requesting Data...</v>
      </c>
      <c r="U97" s="23">
        <f t="shared" ca="1" si="9"/>
        <v>90.728000000000051</v>
      </c>
      <c r="V97" s="24" t="e">
        <f t="shared" ca="1" si="5"/>
        <v>#VALUE!</v>
      </c>
      <c r="W97" s="23">
        <f ca="1">_xll.meLWOBondDV01($L97,$C$4,$S97%)</f>
        <v>945.72076188963081</v>
      </c>
      <c r="X97" s="22" t="e">
        <f ca="1">_xll.BDP($B97,X$6, "YLD_YTM_ASK="&amp;$S97,"YAS_YLD_CONV=1")*$X$3*0.0001</f>
        <v>#VALUE!</v>
      </c>
      <c r="Y97" s="24" t="e">
        <f t="shared" ca="1" si="6"/>
        <v>#VALUE!</v>
      </c>
      <c r="Z97" s="23">
        <f ca="1">_xll.meLWOBondModifiedDuration($L97,$C$4,$S97%)</f>
        <v>10.423692375998924</v>
      </c>
      <c r="AA97" s="23">
        <f ca="1">_xll.BDP($B97,AA$6, "YLD_YTM_ASK="&amp;$G97,"YAS_YLD_CONV=1")</f>
        <v>10.423694835986574</v>
      </c>
      <c r="AB97" s="22">
        <f t="shared" ca="1" si="7"/>
        <v>2.4599876500275286E-6</v>
      </c>
      <c r="AC97" s="24">
        <f ca="1">_xll.meLWOBondDV01Numerical($L97,$C$4,$S97%, 0.5, "CENTRAL")</f>
        <v>945.72081768930616</v>
      </c>
    </row>
    <row r="98" spans="2:29">
      <c r="B98" s="15" t="s">
        <v>1236</v>
      </c>
      <c r="C98" s="15" t="s">
        <v>1237</v>
      </c>
      <c r="D98" s="15" t="s">
        <v>1237</v>
      </c>
      <c r="E98" s="16">
        <v>35866</v>
      </c>
      <c r="F98" s="19"/>
      <c r="G98" s="18"/>
      <c r="H98" s="16"/>
      <c r="I98" s="16"/>
      <c r="J98" s="17">
        <v>0</v>
      </c>
      <c r="K98" s="16">
        <v>47233</v>
      </c>
      <c r="L98" s="20" t="str">
        <f ca="1">_xll.meLWOBondCreateFromGeneratorLVB(C98,$L$4,_xll.meUtilityLVBFromKeysValues($C$6:$K$6,C98:K98))</f>
        <v>FR0000571200:0</v>
      </c>
      <c r="M98" s="92">
        <f ca="1">_xll.BDP($B98,$M$5)</f>
        <v>0.90954126327558171</v>
      </c>
      <c r="N98" s="89">
        <f ca="1">_xll.meLWOBondCleanPrice($L98,$C$4,$M98%)</f>
        <v>90.914000000000073</v>
      </c>
      <c r="O98" s="89">
        <f ca="1">_xll.meLWOBondDirtyPrice($L98,$C$4,$M98%)</f>
        <v>90.914000000000073</v>
      </c>
      <c r="P98" s="72">
        <f ca="1">_xll.meLWOBondYield($L98,$C$4,N98)</f>
        <v>9.0954126327638558E-3</v>
      </c>
      <c r="Q98" s="89">
        <f ca="1">_xll.meLWOBondModifiedDuration($L98,$C$4,$M98%)</f>
        <v>10.425721704310497</v>
      </c>
      <c r="R98" s="23">
        <f ca="1">_xll.meLWOBondDV01($L98,$C$4,$M98%)</f>
        <v>947.84406302568527</v>
      </c>
      <c r="S98" s="21">
        <f t="shared" ca="1" si="8"/>
        <v>0.90954126327558171</v>
      </c>
      <c r="T98" s="22" t="str">
        <f ca="1">_xll.BDP($B98,T$6, "YAS_BOND_YLD="&amp;S98,"YAS_YLD_CONV=1")</f>
        <v>#N/A Requesting Data...</v>
      </c>
      <c r="U98" s="23">
        <f t="shared" ca="1" si="9"/>
        <v>90.914000000000073</v>
      </c>
      <c r="V98" s="24" t="e">
        <f t="shared" ca="1" si="5"/>
        <v>#VALUE!</v>
      </c>
      <c r="W98" s="23">
        <f ca="1">_xll.meLWOBondDV01($L98,$C$4,$S98%)</f>
        <v>947.84406302568527</v>
      </c>
      <c r="X98" s="22" t="e">
        <f ca="1">_xll.BDP($B98,X$6, "YLD_YTM_ASK="&amp;$S98,"YAS_YLD_CONV=1")*$X$3*0.0001</f>
        <v>#VALUE!</v>
      </c>
      <c r="Y98" s="24" t="e">
        <f t="shared" ca="1" si="6"/>
        <v>#VALUE!</v>
      </c>
      <c r="Z98" s="23">
        <f ca="1">_xll.meLWOBondModifiedDuration($L98,$C$4,$S98%)</f>
        <v>10.425721704310497</v>
      </c>
      <c r="AA98" s="23">
        <f ca="1">_xll.BDP($B98,AA$6, "YLD_YTM_ASK="&amp;$G98,"YAS_YLD_CONV=1")</f>
        <v>10.425724165736531</v>
      </c>
      <c r="AB98" s="22">
        <f t="shared" ca="1" si="7"/>
        <v>2.4614260336619509E-6</v>
      </c>
      <c r="AC98" s="24">
        <f ca="1">_xll.meLWOBondDV01Numerical($L98,$C$4,$S98%, 0.5, "CENTRAL")</f>
        <v>947.84411897222753</v>
      </c>
    </row>
    <row r="99" spans="2:29">
      <c r="B99" s="15" t="s">
        <v>1344</v>
      </c>
      <c r="C99" s="15" t="s">
        <v>1345</v>
      </c>
      <c r="D99" s="15" t="s">
        <v>1345</v>
      </c>
      <c r="E99" s="16">
        <v>35866</v>
      </c>
      <c r="F99" s="19"/>
      <c r="G99" s="18"/>
      <c r="H99" s="16"/>
      <c r="I99" s="16"/>
      <c r="J99" s="17">
        <v>0</v>
      </c>
      <c r="K99" s="16">
        <v>47233</v>
      </c>
      <c r="L99" s="20" t="str">
        <f ca="1">_xll.meLWOBondCreateFromGeneratorLVB(C99,$L$4,_xll.meUtilityLVBFromKeysValues($C$6:$K$6,C99:K99))</f>
        <v>FR0000571192:0</v>
      </c>
      <c r="M99" s="92">
        <f ca="1">_xll.BDP($B99,$M$5)</f>
        <v>0.95354064899320079</v>
      </c>
      <c r="N99" s="89">
        <f ca="1">_xll.meLWOBondCleanPrice($L99,$C$4,$M99%)</f>
        <v>90.498000000000104</v>
      </c>
      <c r="O99" s="89">
        <f ca="1">_xll.meLWOBondDirtyPrice($L99,$C$4,$M99%)</f>
        <v>90.498000000000104</v>
      </c>
      <c r="P99" s="72">
        <f ca="1">_xll.meLWOBondYield($L99,$C$4,N99)</f>
        <v>9.5354064899413685E-3</v>
      </c>
      <c r="Q99" s="89">
        <f ca="1">_xll.meLWOBondModifiedDuration($L99,$C$4,$M99%)</f>
        <v>10.421177778979066</v>
      </c>
      <c r="R99" s="23">
        <f ca="1">_xll.meLWOBondDV01($L99,$C$4,$M99%)</f>
        <v>943.09574664204865</v>
      </c>
      <c r="S99" s="21">
        <f t="shared" ca="1" si="8"/>
        <v>0.95354064899320079</v>
      </c>
      <c r="T99" s="22" t="str">
        <f ca="1">_xll.BDP($B99,T$6, "YAS_BOND_YLD="&amp;S99,"YAS_YLD_CONV=1")</f>
        <v>#N/A Requesting Data...</v>
      </c>
      <c r="U99" s="23">
        <f t="shared" ca="1" si="9"/>
        <v>90.498000000000104</v>
      </c>
      <c r="V99" s="24" t="e">
        <f t="shared" ca="1" si="5"/>
        <v>#VALUE!</v>
      </c>
      <c r="W99" s="23">
        <f ca="1">_xll.meLWOBondDV01($L99,$C$4,$S99%)</f>
        <v>943.09574664204865</v>
      </c>
      <c r="X99" s="22" t="e">
        <f ca="1">_xll.BDP($B99,X$6, "YLD_YTM_ASK="&amp;$S99,"YAS_YLD_CONV=1")*$X$3*0.0001</f>
        <v>#VALUE!</v>
      </c>
      <c r="Y99" s="24" t="e">
        <f t="shared" ca="1" si="6"/>
        <v>#VALUE!</v>
      </c>
      <c r="Z99" s="23">
        <f ca="1">_xll.meLWOBondModifiedDuration($L99,$C$4,$S99%)</f>
        <v>10.421177778979066</v>
      </c>
      <c r="AA99" s="23">
        <f ca="1">_xll.BDP($B99,AA$6, "YLD_YTM_ASK="&amp;$G99,"YAS_YLD_CONV=1")</f>
        <v>10.421180237187418</v>
      </c>
      <c r="AB99" s="22">
        <f t="shared" ca="1" si="7"/>
        <v>2.4582083515412023E-6</v>
      </c>
      <c r="AC99" s="24">
        <f ca="1">_xll.meLWOBondDV01Numerical($L99,$C$4,$S99%, 0.5, "CENTRAL")</f>
        <v>943.09580225967693</v>
      </c>
    </row>
    <row r="100" spans="2:29">
      <c r="B100" s="15" t="s">
        <v>1492</v>
      </c>
      <c r="C100" s="15" t="s">
        <v>1493</v>
      </c>
      <c r="D100" s="15" t="s">
        <v>1493</v>
      </c>
      <c r="E100" s="16">
        <v>41368</v>
      </c>
      <c r="F100" s="19"/>
      <c r="G100" s="18"/>
      <c r="H100" s="16"/>
      <c r="I100" s="16"/>
      <c r="J100" s="17">
        <v>0</v>
      </c>
      <c r="K100" s="16">
        <v>47263</v>
      </c>
      <c r="L100" s="20" t="str">
        <f ca="1">_xll.meLWOBondCreateFromGeneratorLVB(C100,$L$4,_xll.meUtilityLVBFromKeysValues($C$6:$K$6,C100:K100))</f>
        <v>FR0011461466:0</v>
      </c>
      <c r="M100" s="92">
        <f ca="1">_xll.BDP($B100,$M$5)</f>
        <v>0.95042844009436411</v>
      </c>
      <c r="N100" s="89">
        <f ca="1">_xll.meLWOBondCleanPrice($L100,$C$4,$M100%)</f>
        <v>90.456999999999937</v>
      </c>
      <c r="O100" s="89">
        <f ca="1">_xll.meLWOBondDirtyPrice($L100,$C$4,$M100%)</f>
        <v>90.456999999999937</v>
      </c>
      <c r="P100" s="72">
        <f ca="1">_xll.meLWOBondYield($L100,$C$4,N100)</f>
        <v>9.5042844009530641E-3</v>
      </c>
      <c r="Q100" s="89">
        <f ca="1">_xll.meLWOBondModifiedDuration($L100,$C$4,$M100%)</f>
        <v>10.502917015670951</v>
      </c>
      <c r="R100" s="23">
        <f ca="1">_xll.meLWOBondDV01($L100,$C$4,$M100%)</f>
        <v>950.06236448654647</v>
      </c>
      <c r="S100" s="21">
        <f t="shared" ca="1" si="8"/>
        <v>0.95042844009436411</v>
      </c>
      <c r="T100" s="22" t="str">
        <f ca="1">_xll.BDP($B100,T$6, "YAS_BOND_YLD="&amp;S100,"YAS_YLD_CONV=1")</f>
        <v>#N/A Requesting Data...</v>
      </c>
      <c r="U100" s="23">
        <f t="shared" ca="1" si="9"/>
        <v>90.456999999999937</v>
      </c>
      <c r="V100" s="24" t="e">
        <f t="shared" ca="1" si="5"/>
        <v>#VALUE!</v>
      </c>
      <c r="W100" s="23">
        <f ca="1">_xll.meLWOBondDV01($L100,$C$4,$S100%)</f>
        <v>950.06236448654647</v>
      </c>
      <c r="X100" s="22" t="e">
        <f ca="1">_xll.BDP($B100,X$6, "YLD_YTM_ASK="&amp;$S100,"YAS_YLD_CONV=1")*$X$3*0.0001</f>
        <v>#VALUE!</v>
      </c>
      <c r="Y100" s="24" t="e">
        <f t="shared" ca="1" si="6"/>
        <v>#VALUE!</v>
      </c>
      <c r="Z100" s="23">
        <f ca="1">_xll.meLWOBondModifiedDuration($L100,$C$4,$S100%)</f>
        <v>10.502917015670951</v>
      </c>
      <c r="AA100" s="23">
        <f ca="1">_xll.BDP($B100,AA$6, "YLD_YTM_ASK="&amp;$G100,"YAS_YLD_CONV=1")</f>
        <v>10.502919527369594</v>
      </c>
      <c r="AB100" s="22">
        <f t="shared" ca="1" si="7"/>
        <v>2.5116986428486143E-6</v>
      </c>
      <c r="AC100" s="24">
        <f ca="1">_xll.meLWOBondDV01Numerical($L100,$C$4,$S100%, 0.5, "CENTRAL")</f>
        <v>950.06242128889085</v>
      </c>
    </row>
    <row r="101" spans="2:29">
      <c r="B101" s="15" t="s">
        <v>1414</v>
      </c>
      <c r="C101" s="15" t="s">
        <v>1415</v>
      </c>
      <c r="D101" s="15" t="s">
        <v>1415</v>
      </c>
      <c r="E101" s="16">
        <v>41792</v>
      </c>
      <c r="F101" s="19">
        <v>41792</v>
      </c>
      <c r="G101" s="18"/>
      <c r="H101" s="16">
        <v>42156</v>
      </c>
      <c r="I101" s="16">
        <v>46905</v>
      </c>
      <c r="J101" s="17">
        <v>2.8340000000000001E-2</v>
      </c>
      <c r="K101" s="16">
        <v>47270</v>
      </c>
      <c r="L101" s="20" t="str">
        <f ca="1">_xll.meLWOBondCreateFromGeneratorLVB(C101,$L$4,_xll.meUtilityLVBFromKeysValues($C$6:$K$6,C101:K101))</f>
        <v>FR0011942168:0</v>
      </c>
      <c r="M101" s="92">
        <f ca="1">_xll.BDP($B101,$M$5)</f>
        <v>1.0185593019837416</v>
      </c>
      <c r="N101" s="89">
        <f ca="1">_xll.meLWOBondCleanPrice($L101,$C$4,$M101%)</f>
        <v>118.18599999999994</v>
      </c>
      <c r="O101" s="89">
        <f ca="1">_xll.meLWOBondDirtyPrice($L101,$C$4,$M101%)</f>
        <v>119.25748489999994</v>
      </c>
      <c r="P101" s="72">
        <f ca="1">_xll.meLWOBondYield($L101,$C$4,N101)</f>
        <v>1.0185593019849445E-2</v>
      </c>
      <c r="Q101" s="89">
        <f ca="1">_xll.meLWOBondModifiedDuration($L101,$C$4,$M101%)</f>
        <v>9.2672387080349967</v>
      </c>
      <c r="R101" s="23">
        <f ca="1">_xll.meLWOBondDV01($L101,$C$4,$M101%)</f>
        <v>1105.1875802881787</v>
      </c>
      <c r="S101" s="21">
        <f t="shared" ca="1" si="8"/>
        <v>1.0185593019837416</v>
      </c>
      <c r="T101" s="22" t="str">
        <f ca="1">_xll.BDP($B101,T$6, "YAS_BOND_YLD="&amp;S101,"YAS_YLD_CONV=1")</f>
        <v>#N/A Requesting Data...</v>
      </c>
      <c r="U101" s="23">
        <f t="shared" ca="1" si="9"/>
        <v>118.18599999999994</v>
      </c>
      <c r="V101" s="24" t="e">
        <f t="shared" ca="1" si="5"/>
        <v>#VALUE!</v>
      </c>
      <c r="W101" s="23">
        <f ca="1">_xll.meLWOBondDV01($L101,$C$4,$S101%)</f>
        <v>1105.1875802881787</v>
      </c>
      <c r="X101" s="22" t="e">
        <f ca="1">_xll.BDP($B101,X$6, "YLD_YTM_ASK="&amp;$S101,"YAS_YLD_CONV=1")*$X$3*0.0001</f>
        <v>#VALUE!</v>
      </c>
      <c r="Y101" s="24" t="e">
        <f t="shared" ca="1" si="6"/>
        <v>#VALUE!</v>
      </c>
      <c r="Z101" s="23">
        <f ca="1">_xll.meLWOBondModifiedDuration($L101,$C$4,$S101%)</f>
        <v>9.2672387080349967</v>
      </c>
      <c r="AA101" s="23">
        <f ca="1">_xll.BDP($B101,AA$6, "YLD_YTM_ASK="&amp;$G101,"YAS_YLD_CONV=1")</f>
        <v>9.2672407929120215</v>
      </c>
      <c r="AB101" s="22">
        <f t="shared" ca="1" si="7"/>
        <v>2.0848770247994253E-6</v>
      </c>
      <c r="AC101" s="24">
        <f ca="1">_xll.meLWOBondDV01Numerical($L101,$C$4,$S101%, 0.5, "CENTRAL")</f>
        <v>1105.1876424062357</v>
      </c>
    </row>
    <row r="102" spans="2:29">
      <c r="B102" s="15" t="s">
        <v>1330</v>
      </c>
      <c r="C102" s="15" t="s">
        <v>1331</v>
      </c>
      <c r="D102" s="15" t="s">
        <v>1331</v>
      </c>
      <c r="E102" s="16">
        <v>40140</v>
      </c>
      <c r="F102" s="19"/>
      <c r="G102" s="18"/>
      <c r="H102" s="16"/>
      <c r="I102" s="16"/>
      <c r="J102" s="17">
        <v>0</v>
      </c>
      <c r="K102" s="16">
        <v>47416</v>
      </c>
      <c r="L102" s="20" t="str">
        <f ca="1">_xll.meLWOBondCreateFromGeneratorLVB(C102,$L$4,_xll.meUtilityLVBFromKeysValues($C$6:$K$6,C102:K102))</f>
        <v>FR0010809418:0</v>
      </c>
      <c r="M102" s="92">
        <f ca="1">_xll.BDP($B102,$M$5)</f>
        <v>0.96121413962002578</v>
      </c>
      <c r="N102" s="89">
        <f ca="1">_xll.meLWOBondCleanPrice($L102,$C$4,$M102%)</f>
        <v>89.992999999999967</v>
      </c>
      <c r="O102" s="89">
        <f ca="1">_xll.meLWOBondDirtyPrice($L102,$C$4,$M102%)</f>
        <v>89.992999999999967</v>
      </c>
      <c r="P102" s="72">
        <f ca="1">_xll.meLWOBondYield($L102,$C$4,N102)</f>
        <v>9.6121413962107216E-3</v>
      </c>
      <c r="Q102" s="89">
        <f ca="1">_xll.meLWOBondModifiedDuration($L102,$C$4,$M102%)</f>
        <v>10.916982231391239</v>
      </c>
      <c r="R102" s="23">
        <f ca="1">_xll.meLWOBondDV01($L102,$C$4,$M102%)</f>
        <v>982.45198194959153</v>
      </c>
      <c r="S102" s="21">
        <f t="shared" ca="1" si="8"/>
        <v>0.96121413962002578</v>
      </c>
      <c r="T102" s="22" t="str">
        <f ca="1">_xll.BDP($B102,T$6, "YAS_BOND_YLD="&amp;S102,"YAS_YLD_CONV=1")</f>
        <v>#N/A Requesting Data...</v>
      </c>
      <c r="U102" s="23">
        <f t="shared" ca="1" si="9"/>
        <v>89.992999999999967</v>
      </c>
      <c r="V102" s="24" t="e">
        <f t="shared" ca="1" si="5"/>
        <v>#VALUE!</v>
      </c>
      <c r="W102" s="23">
        <f ca="1">_xll.meLWOBondDV01($L102,$C$4,$S102%)</f>
        <v>982.45198194959153</v>
      </c>
      <c r="X102" s="22" t="e">
        <f ca="1">_xll.BDP($B102,X$6, "YLD_YTM_ASK="&amp;$S102,"YAS_YLD_CONV=1")*$X$3*0.0001</f>
        <v>#VALUE!</v>
      </c>
      <c r="Y102" s="24" t="e">
        <f t="shared" ca="1" si="6"/>
        <v>#VALUE!</v>
      </c>
      <c r="Z102" s="23">
        <f ca="1">_xll.meLWOBondModifiedDuration($L102,$C$4,$S102%)</f>
        <v>10.916982231391239</v>
      </c>
      <c r="AA102" s="23">
        <f ca="1">_xll.BDP($B102,AA$6, "YLD_YTM_ASK="&amp;$G102,"YAS_YLD_CONV=1")</f>
        <v>10.916985025806085</v>
      </c>
      <c r="AB102" s="22">
        <f t="shared" ca="1" si="7"/>
        <v>2.7944148452974105E-6</v>
      </c>
      <c r="AC102" s="24">
        <f ca="1">_xll.meLWOBondDV01Numerical($L102,$C$4,$S102%, 0.5, "CENTRAL")</f>
        <v>982.45204482111603</v>
      </c>
    </row>
    <row r="103" spans="2:29">
      <c r="B103" s="15" t="s">
        <v>1530</v>
      </c>
      <c r="C103" s="15" t="s">
        <v>1531</v>
      </c>
      <c r="D103" s="15" t="s">
        <v>1531</v>
      </c>
      <c r="E103" s="16">
        <v>37054</v>
      </c>
      <c r="F103" s="19"/>
      <c r="G103" s="18"/>
      <c r="H103" s="16"/>
      <c r="I103" s="16"/>
      <c r="J103" s="17">
        <v>0</v>
      </c>
      <c r="K103" s="16">
        <v>47416</v>
      </c>
      <c r="L103" s="20" t="str">
        <f ca="1">_xll.meLWOBondCreateFromGeneratorLVB(C103,$L$4,_xll.meUtilityLVBFromKeysValues($C$6:$K$6,C103:K103))</f>
        <v>FR0000578577:0</v>
      </c>
      <c r="M103" s="92">
        <f ca="1">_xll.BDP($B103,$M$5)</f>
        <v>0.99364466426106191</v>
      </c>
      <c r="N103" s="89">
        <f ca="1">_xll.meLWOBondCleanPrice($L103,$C$4,$M103%)</f>
        <v>89.674999999999997</v>
      </c>
      <c r="O103" s="89">
        <f ca="1">_xll.meLWOBondDirtyPrice($L103,$C$4,$M103%)</f>
        <v>89.674999999999997</v>
      </c>
      <c r="P103" s="72">
        <f ca="1">_xll.meLWOBondYield($L103,$C$4,N103)</f>
        <v>9.9364466426221151E-3</v>
      </c>
      <c r="Q103" s="89">
        <f ca="1">_xll.meLWOBondModifiedDuration($L103,$C$4,$M103%)</f>
        <v>10.913476629999808</v>
      </c>
      <c r="R103" s="23">
        <f ca="1">_xll.meLWOBondDV01($L103,$C$4,$M103%)</f>
        <v>978.66601679523274</v>
      </c>
      <c r="S103" s="21">
        <f t="shared" ca="1" si="8"/>
        <v>0.99364466426106191</v>
      </c>
      <c r="T103" s="22" t="str">
        <f ca="1">_xll.BDP($B103,T$6, "YAS_BOND_YLD="&amp;S103,"YAS_YLD_CONV=1")</f>
        <v>#N/A Requesting Data...</v>
      </c>
      <c r="U103" s="23">
        <f t="shared" ca="1" si="9"/>
        <v>89.674999999999997</v>
      </c>
      <c r="V103" s="24" t="e">
        <f t="shared" ca="1" si="5"/>
        <v>#VALUE!</v>
      </c>
      <c r="W103" s="23">
        <f ca="1">_xll.meLWOBondDV01($L103,$C$4,$S103%)</f>
        <v>978.66601679523274</v>
      </c>
      <c r="X103" s="22" t="e">
        <f ca="1">_xll.BDP($B103,X$6, "YLD_YTM_ASK="&amp;$S103,"YAS_YLD_CONV=1")*$X$3*0.0001</f>
        <v>#VALUE!</v>
      </c>
      <c r="Y103" s="24" t="e">
        <f t="shared" ca="1" si="6"/>
        <v>#VALUE!</v>
      </c>
      <c r="Z103" s="23">
        <f ca="1">_xll.meLWOBondModifiedDuration($L103,$C$4,$S103%)</f>
        <v>10.913476629999808</v>
      </c>
      <c r="AA103" s="23">
        <f ca="1">_xll.BDP($B103,AA$6, "YLD_YTM_ASK="&amp;$G103,"YAS_YLD_CONV=1")</f>
        <v>10.913479421722867</v>
      </c>
      <c r="AB103" s="22">
        <f t="shared" ca="1" si="7"/>
        <v>2.7917230589480369E-6</v>
      </c>
      <c r="AC103" s="24">
        <f ca="1">_xll.meLWOBondDV01Numerical($L103,$C$4,$S103%, 0.5, "CENTRAL")</f>
        <v>978.66607938414074</v>
      </c>
    </row>
    <row r="104" spans="2:29">
      <c r="B104" s="15" t="s">
        <v>1478</v>
      </c>
      <c r="C104" s="15" t="s">
        <v>1479</v>
      </c>
      <c r="D104" s="15" t="s">
        <v>1479</v>
      </c>
      <c r="E104" s="16">
        <v>40140</v>
      </c>
      <c r="F104" s="19"/>
      <c r="G104" s="18"/>
      <c r="H104" s="16"/>
      <c r="I104" s="16"/>
      <c r="J104" s="17">
        <v>0</v>
      </c>
      <c r="K104" s="16">
        <v>47598</v>
      </c>
      <c r="L104" s="20" t="str">
        <f ca="1">_xll.meLWOBondCreateFromGeneratorLVB(C104,$L$4,_xll.meUtilityLVBFromKeysValues($C$6:$K$6,C104:K104))</f>
        <v>FR0010809277:0</v>
      </c>
      <c r="M104" s="92">
        <f ca="1">_xll.BDP($B104,$M$5)</f>
        <v>1.0044560190483942</v>
      </c>
      <c r="N104" s="89">
        <f ca="1">_xll.meLWOBondCleanPrice($L104,$C$4,$M104%)</f>
        <v>89.12400000000008</v>
      </c>
      <c r="O104" s="89">
        <f ca="1">_xll.meLWOBondDirtyPrice($L104,$C$4,$M104%)</f>
        <v>89.12400000000008</v>
      </c>
      <c r="P104" s="72">
        <f ca="1">_xll.meLWOBondYield($L104,$C$4,N104)</f>
        <v>1.004456019049664E-2</v>
      </c>
      <c r="Q104" s="89">
        <f ca="1">_xll.meLWOBondModifiedDuration($L104,$C$4,$M104%)</f>
        <v>11.405979893632438</v>
      </c>
      <c r="R104" s="23">
        <f ca="1">_xll.meLWOBondDV01($L104,$C$4,$M104%)</f>
        <v>1016.5465520400983</v>
      </c>
      <c r="S104" s="21">
        <f t="shared" ca="1" si="8"/>
        <v>1.0044560190483942</v>
      </c>
      <c r="T104" s="22" t="str">
        <f ca="1">_xll.BDP($B104,T$6, "YAS_BOND_YLD="&amp;S104,"YAS_YLD_CONV=1")</f>
        <v>#N/A Requesting Data...</v>
      </c>
      <c r="U104" s="23">
        <f t="shared" ca="1" si="9"/>
        <v>89.12400000000008</v>
      </c>
      <c r="V104" s="24" t="e">
        <f t="shared" ca="1" si="5"/>
        <v>#VALUE!</v>
      </c>
      <c r="W104" s="23">
        <f ca="1">_xll.meLWOBondDV01($L104,$C$4,$S104%)</f>
        <v>1016.5465520400983</v>
      </c>
      <c r="X104" s="22" t="e">
        <f ca="1">_xll.BDP($B104,X$6, "YLD_YTM_ASK="&amp;$S104,"YAS_YLD_CONV=1")*$X$3*0.0001</f>
        <v>#VALUE!</v>
      </c>
      <c r="Y104" s="24" t="e">
        <f t="shared" ca="1" si="6"/>
        <v>#VALUE!</v>
      </c>
      <c r="Z104" s="23">
        <f ca="1">_xll.meLWOBondModifiedDuration($L104,$C$4,$S104%)</f>
        <v>11.405979893632438</v>
      </c>
      <c r="AA104" s="23">
        <f ca="1">_xll.BDP($B104,AA$6, "YLD_YTM_ASK="&amp;$G104,"YAS_YLD_CONV=1")</f>
        <v>11.405983048040516</v>
      </c>
      <c r="AB104" s="22">
        <f t="shared" ca="1" si="7"/>
        <v>3.1544080787426765E-6</v>
      </c>
      <c r="AC104" s="24">
        <f ca="1">_xll.meLWOBondDV01Numerical($L104,$C$4,$S104%, 0.5, "CENTRAL")</f>
        <v>1016.5466223232045</v>
      </c>
    </row>
    <row r="105" spans="2:29">
      <c r="B105" s="15" t="s">
        <v>1484</v>
      </c>
      <c r="C105" s="15" t="s">
        <v>1485</v>
      </c>
      <c r="D105" s="15" t="s">
        <v>1485</v>
      </c>
      <c r="E105" s="16">
        <v>38083</v>
      </c>
      <c r="F105" s="19"/>
      <c r="G105" s="18"/>
      <c r="H105" s="16"/>
      <c r="I105" s="16"/>
      <c r="J105" s="17">
        <v>0</v>
      </c>
      <c r="K105" s="16">
        <v>47598</v>
      </c>
      <c r="L105" s="20" t="str">
        <f ca="1">_xll.meLWOBondCreateFromGeneratorLVB(C105,$L$4,_xll.meUtilityLVBFromKeysValues($C$6:$K$6,C105:K105))</f>
        <v>FR0010070086:0</v>
      </c>
      <c r="M105" s="92">
        <f ca="1">_xll.BDP($B105,$M$5)</f>
        <v>1.0320473833288935</v>
      </c>
      <c r="N105" s="89">
        <f ca="1">_xll.meLWOBondCleanPrice($L105,$C$4,$M105%)</f>
        <v>88.843999999999994</v>
      </c>
      <c r="O105" s="89">
        <f ca="1">_xll.meLWOBondDirtyPrice($L105,$C$4,$M105%)</f>
        <v>88.843999999999994</v>
      </c>
      <c r="P105" s="72">
        <f ca="1">_xll.meLWOBondYield($L105,$C$4,N105)</f>
        <v>1.032047383330241E-2</v>
      </c>
      <c r="Q105" s="89">
        <f ca="1">_xll.meLWOBondModifiedDuration($L105,$C$4,$M105%)</f>
        <v>11.40286497560027</v>
      </c>
      <c r="R105" s="23">
        <f ca="1">_xll.meLWOBondDV01($L105,$C$4,$M105%)</f>
        <v>1013.0761358922304</v>
      </c>
      <c r="S105" s="21">
        <f t="shared" ca="1" si="8"/>
        <v>1.0320473833288935</v>
      </c>
      <c r="T105" s="22" t="str">
        <f ca="1">_xll.BDP($B105,T$6, "YAS_BOND_YLD="&amp;S105,"YAS_YLD_CONV=1")</f>
        <v>#N/A Requesting Data...</v>
      </c>
      <c r="U105" s="23">
        <f t="shared" ca="1" si="9"/>
        <v>88.843999999999994</v>
      </c>
      <c r="V105" s="24" t="e">
        <f t="shared" ca="1" si="5"/>
        <v>#VALUE!</v>
      </c>
      <c r="W105" s="23">
        <f ca="1">_xll.meLWOBondDV01($L105,$C$4,$S105%)</f>
        <v>1013.0761358922304</v>
      </c>
      <c r="X105" s="22" t="e">
        <f ca="1">_xll.BDP($B105,X$6, "YLD_YTM_ASK="&amp;$S105,"YAS_YLD_CONV=1")*$X$3*0.0001</f>
        <v>#VALUE!</v>
      </c>
      <c r="Y105" s="24" t="e">
        <f t="shared" ca="1" si="6"/>
        <v>#VALUE!</v>
      </c>
      <c r="Z105" s="23">
        <f ca="1">_xll.meLWOBondModifiedDuration($L105,$C$4,$S105%)</f>
        <v>11.40286497560027</v>
      </c>
      <c r="AA105" s="23">
        <f ca="1">_xll.BDP($B105,AA$6, "YLD_YTM_ASK="&amp;$G105,"YAS_YLD_CONV=1")</f>
        <v>11.402868127423741</v>
      </c>
      <c r="AB105" s="22">
        <f t="shared" ca="1" si="7"/>
        <v>3.1518234706595649E-6</v>
      </c>
      <c r="AC105" s="24">
        <f ca="1">_xll.meLWOBondDV01Numerical($L105,$C$4,$S105%, 0.5, "CENTRAL")</f>
        <v>1013.076205897221</v>
      </c>
    </row>
    <row r="106" spans="2:29">
      <c r="B106" s="15" t="s">
        <v>1198</v>
      </c>
      <c r="C106" s="15" t="s">
        <v>1199</v>
      </c>
      <c r="D106" s="15" t="s">
        <v>1199</v>
      </c>
      <c r="E106" s="16">
        <v>41765</v>
      </c>
      <c r="F106" s="19">
        <v>41419</v>
      </c>
      <c r="G106" s="18"/>
      <c r="H106" s="16">
        <v>41784</v>
      </c>
      <c r="I106" s="16">
        <v>47263</v>
      </c>
      <c r="J106" s="17">
        <v>2.5000000000000001E-2</v>
      </c>
      <c r="K106" s="16">
        <v>47628</v>
      </c>
      <c r="L106" s="20" t="str">
        <f ca="1">_xll.meLWOBondCreateFromGeneratorLVB(C106,$L$4,_xll.meUtilityLVBFromKeysValues($C$6:$K$6,C106:K106))</f>
        <v>FR0011883966:0</v>
      </c>
      <c r="M106" s="92">
        <f ca="1">_xll.BDP($B106,$M$5)</f>
        <v>0.95873864379303964</v>
      </c>
      <c r="N106" s="89">
        <f ca="1">_xll.meLWOBondCleanPrice($L106,$C$4,$M106%)</f>
        <v>116.84499999999998</v>
      </c>
      <c r="O106" s="89">
        <f ca="1">_xll.meLWOBondDirtyPrice($L106,$C$4,$M106%)</f>
        <v>117.83815069999999</v>
      </c>
      <c r="P106" s="72">
        <f ca="1">_xll.meLWOBondYield($L106,$C$4,N106)</f>
        <v>9.5873864379453343E-3</v>
      </c>
      <c r="Q106" s="89">
        <f ca="1">_xll.meLWOBondModifiedDuration($L106,$C$4,$M106%)</f>
        <v>10.156313169411797</v>
      </c>
      <c r="R106" s="23">
        <f ca="1">_xll.meLWOBondDV01($L106,$C$4,$M106%)</f>
        <v>1196.801161813542</v>
      </c>
      <c r="S106" s="21">
        <f t="shared" ca="1" si="8"/>
        <v>0.95873864379303964</v>
      </c>
      <c r="T106" s="22" t="str">
        <f ca="1">_xll.BDP($B106,T$6, "YAS_BOND_YLD="&amp;S106,"YAS_YLD_CONV=1")</f>
        <v>#N/A Requesting Data...</v>
      </c>
      <c r="U106" s="23">
        <f t="shared" ca="1" si="9"/>
        <v>116.84499999999998</v>
      </c>
      <c r="V106" s="24" t="e">
        <f t="shared" ca="1" si="5"/>
        <v>#VALUE!</v>
      </c>
      <c r="W106" s="23">
        <f ca="1">_xll.meLWOBondDV01($L106,$C$4,$S106%)</f>
        <v>1196.801161813542</v>
      </c>
      <c r="X106" s="22" t="e">
        <f ca="1">_xll.BDP($B106,X$6, "YLD_YTM_ASK="&amp;$S106,"YAS_YLD_CONV=1")*$X$3*0.0001</f>
        <v>#VALUE!</v>
      </c>
      <c r="Y106" s="24" t="e">
        <f t="shared" ca="1" si="6"/>
        <v>#VALUE!</v>
      </c>
      <c r="Z106" s="23">
        <f ca="1">_xll.meLWOBondModifiedDuration($L106,$C$4,$S106%)</f>
        <v>10.156313169411797</v>
      </c>
      <c r="AA106" s="23">
        <f ca="1">_xll.BDP($B106,AA$6, "YLD_YTM_ASK="&amp;$G106,"YAS_YLD_CONV=1")</f>
        <v>10.15633131348247</v>
      </c>
      <c r="AB106" s="22">
        <f t="shared" ca="1" si="7"/>
        <v>1.8144070672576618E-5</v>
      </c>
      <c r="AC106" s="24">
        <f ca="1">_xll.meLWOBondDV01Numerical($L106,$C$4,$S106%, 0.5, "CENTRAL")</f>
        <v>1196.8012406286732</v>
      </c>
    </row>
    <row r="107" spans="2:29">
      <c r="B107" s="15" t="s">
        <v>1434</v>
      </c>
      <c r="C107" s="15" t="s">
        <v>1435</v>
      </c>
      <c r="D107" s="15" t="s">
        <v>1435</v>
      </c>
      <c r="E107" s="16">
        <v>41368</v>
      </c>
      <c r="F107" s="19"/>
      <c r="G107" s="18"/>
      <c r="H107" s="16"/>
      <c r="I107" s="16"/>
      <c r="J107" s="17">
        <v>0</v>
      </c>
      <c r="K107" s="16">
        <v>47628</v>
      </c>
      <c r="L107" s="20" t="str">
        <f ca="1">_xll.meLWOBondCreateFromGeneratorLVB(C107,$L$4,_xll.meUtilityLVBFromKeysValues($C$6:$K$6,C107:K107))</f>
        <v>FR0011461482:0</v>
      </c>
      <c r="M107" s="92">
        <f ca="1">_xll.BDP($B107,$M$5)</f>
        <v>1.0040472271618306</v>
      </c>
      <c r="N107" s="89">
        <f ca="1">_xll.meLWOBondCleanPrice($L107,$C$4,$M107%)</f>
        <v>89.055000000000121</v>
      </c>
      <c r="O107" s="89">
        <f ca="1">_xll.meLWOBondDirtyPrice($L107,$C$4,$M107%)</f>
        <v>89.055000000000121</v>
      </c>
      <c r="P107" s="72">
        <f ca="1">_xll.meLWOBondYield($L107,$C$4,N107)</f>
        <v>1.0040472271631174E-2</v>
      </c>
      <c r="Q107" s="89">
        <f ca="1">_xll.meLWOBondModifiedDuration($L107,$C$4,$M107%)</f>
        <v>11.487400796853622</v>
      </c>
      <c r="R107" s="23">
        <f ca="1">_xll.meLWOBondDV01($L107,$C$4,$M107%)</f>
        <v>1023.0104779638008</v>
      </c>
      <c r="S107" s="21">
        <f t="shared" ca="1" si="8"/>
        <v>1.0040472271618306</v>
      </c>
      <c r="T107" s="22" t="str">
        <f ca="1">_xll.BDP($B107,T$6, "YAS_BOND_YLD="&amp;S107,"YAS_YLD_CONV=1")</f>
        <v>#N/A Requesting Data...</v>
      </c>
      <c r="U107" s="23">
        <f t="shared" ca="1" si="9"/>
        <v>89.055000000000121</v>
      </c>
      <c r="V107" s="24" t="e">
        <f t="shared" ca="1" si="5"/>
        <v>#VALUE!</v>
      </c>
      <c r="W107" s="23">
        <f ca="1">_xll.meLWOBondDV01($L107,$C$4,$S107%)</f>
        <v>1023.0104779638008</v>
      </c>
      <c r="X107" s="22" t="e">
        <f ca="1">_xll.BDP($B107,X$6, "YLD_YTM_ASK="&amp;$S107,"YAS_YLD_CONV=1")*$X$3*0.0001</f>
        <v>#VALUE!</v>
      </c>
      <c r="Y107" s="24" t="e">
        <f t="shared" ca="1" si="6"/>
        <v>#VALUE!</v>
      </c>
      <c r="Z107" s="23">
        <f ca="1">_xll.meLWOBondModifiedDuration($L107,$C$4,$S107%)</f>
        <v>11.487400796853622</v>
      </c>
      <c r="AA107" s="23">
        <f ca="1">_xll.BDP($B107,AA$6, "YLD_YTM_ASK="&amp;$G107,"YAS_YLD_CONV=1")</f>
        <v>11.487404014097546</v>
      </c>
      <c r="AB107" s="22">
        <f t="shared" ca="1" si="7"/>
        <v>3.2172439237143635E-6</v>
      </c>
      <c r="AC107" s="24">
        <f ca="1">_xll.meLWOBondDV01Numerical($L107,$C$4,$S107%, 0.5, "CENTRAL")</f>
        <v>1023.0105495915609</v>
      </c>
    </row>
    <row r="108" spans="2:29">
      <c r="B108" s="15" t="s">
        <v>1316</v>
      </c>
      <c r="C108" s="15" t="s">
        <v>1317</v>
      </c>
      <c r="D108" s="15" t="s">
        <v>1317</v>
      </c>
      <c r="E108" s="16">
        <v>40140</v>
      </c>
      <c r="F108" s="19"/>
      <c r="G108" s="18"/>
      <c r="H108" s="16"/>
      <c r="I108" s="16"/>
      <c r="J108" s="17">
        <v>0</v>
      </c>
      <c r="K108" s="16">
        <v>47781</v>
      </c>
      <c r="L108" s="20" t="str">
        <f ca="1">_xll.meLWOBondCreateFromGeneratorLVB(C108,$L$4,_xll.meUtilityLVBFromKeysValues($C$6:$K$6,C108:K108))</f>
        <v>FR0010809434:0</v>
      </c>
      <c r="M108" s="92">
        <f ca="1">_xll.BDP($B108,$M$5)</f>
        <v>1.0425913148192967</v>
      </c>
      <c r="N108" s="89">
        <f ca="1">_xll.meLWOBondCleanPrice($L108,$C$4,$M108%)</f>
        <v>88.276999999999973</v>
      </c>
      <c r="O108" s="89">
        <f ca="1">_xll.meLWOBondDirtyPrice($L108,$C$4,$M108%)</f>
        <v>88.276999999999973</v>
      </c>
      <c r="P108" s="72">
        <f ca="1">_xll.meLWOBondYield($L108,$C$4,N108)</f>
        <v>1.0425913148207688E-2</v>
      </c>
      <c r="Q108" s="89">
        <f ca="1">_xll.meLWOBondModifiedDuration($L108,$C$4,$M108%)</f>
        <v>11.897871631936262</v>
      </c>
      <c r="R108" s="23">
        <f ca="1">_xll.meLWOBondDV01($L108,$C$4,$M108%)</f>
        <v>1050.308414052437</v>
      </c>
      <c r="S108" s="21">
        <f t="shared" ca="1" si="8"/>
        <v>1.0425913148192967</v>
      </c>
      <c r="T108" s="22" t="str">
        <f ca="1">_xll.BDP($B108,T$6, "YAS_BOND_YLD="&amp;S108,"YAS_YLD_CONV=1")</f>
        <v>#N/A Requesting Data...</v>
      </c>
      <c r="U108" s="23">
        <f t="shared" ca="1" si="9"/>
        <v>88.276999999999973</v>
      </c>
      <c r="V108" s="24" t="e">
        <f t="shared" ca="1" si="5"/>
        <v>#VALUE!</v>
      </c>
      <c r="W108" s="23">
        <f ca="1">_xll.meLWOBondDV01($L108,$C$4,$S108%)</f>
        <v>1050.308414052437</v>
      </c>
      <c r="X108" s="22" t="e">
        <f ca="1">_xll.BDP($B108,X$6, "YLD_YTM_ASK="&amp;$S108,"YAS_YLD_CONV=1")*$X$3*0.0001</f>
        <v>#VALUE!</v>
      </c>
      <c r="Y108" s="24" t="e">
        <f t="shared" ca="1" si="6"/>
        <v>#VALUE!</v>
      </c>
      <c r="Z108" s="23">
        <f ca="1">_xll.meLWOBondModifiedDuration($L108,$C$4,$S108%)</f>
        <v>11.897871631936262</v>
      </c>
      <c r="AA108" s="23">
        <f ca="1">_xll.BDP($B108,AA$6, "YLD_YTM_ASK="&amp;$G108,"YAS_YLD_CONV=1")</f>
        <v>11.897875178366249</v>
      </c>
      <c r="AB108" s="22">
        <f t="shared" ca="1" si="7"/>
        <v>3.5464299870113791E-6</v>
      </c>
      <c r="AC108" s="24">
        <f ca="1">_xll.meLWOBondDV01Numerical($L108,$C$4,$S108%, 0.5, "CENTRAL")</f>
        <v>1050.308492319374</v>
      </c>
    </row>
    <row r="109" spans="2:29">
      <c r="B109" s="15" t="s">
        <v>1532</v>
      </c>
      <c r="C109" s="15" t="s">
        <v>1533</v>
      </c>
      <c r="D109" s="15" t="s">
        <v>1533</v>
      </c>
      <c r="E109" s="16">
        <v>37054</v>
      </c>
      <c r="F109" s="19"/>
      <c r="G109" s="18"/>
      <c r="H109" s="16"/>
      <c r="I109" s="16"/>
      <c r="J109" s="17">
        <v>0</v>
      </c>
      <c r="K109" s="16">
        <v>47781</v>
      </c>
      <c r="L109" s="20" t="str">
        <f ca="1">_xll.meLWOBondCreateFromGeneratorLVB(C109,$L$4,_xll.meUtilityLVBFromKeysValues($C$6:$K$6,C109:K109))</f>
        <v>FR0000578585:0</v>
      </c>
      <c r="M109" s="92">
        <f ca="1">_xll.BDP($B109,$M$5)</f>
        <v>1.0713026118298385</v>
      </c>
      <c r="N109" s="89">
        <f ca="1">_xll.meLWOBondCleanPrice($L109,$C$4,$M109%)</f>
        <v>87.976000000000099</v>
      </c>
      <c r="O109" s="89">
        <f ca="1">_xll.meLWOBondDirtyPrice($L109,$C$4,$M109%)</f>
        <v>87.976000000000099</v>
      </c>
      <c r="P109" s="72">
        <f ca="1">_xll.meLWOBondYield($L109,$C$4,N109)</f>
        <v>1.0713026118313838E-2</v>
      </c>
      <c r="Q109" s="89">
        <f ca="1">_xll.meLWOBondModifiedDuration($L109,$C$4,$M109%)</f>
        <v>11.894491806828736</v>
      </c>
      <c r="R109" s="23">
        <f ca="1">_xll.meLWOBondDV01($L109,$C$4,$M109%)</f>
        <v>1046.4298111975661</v>
      </c>
      <c r="S109" s="21">
        <f t="shared" ca="1" si="8"/>
        <v>1.0713026118298385</v>
      </c>
      <c r="T109" s="22" t="str">
        <f ca="1">_xll.BDP($B109,T$6, "YAS_BOND_YLD="&amp;S109,"YAS_YLD_CONV=1")</f>
        <v>#N/A Requesting Data...</v>
      </c>
      <c r="U109" s="23">
        <f t="shared" ca="1" si="9"/>
        <v>87.976000000000099</v>
      </c>
      <c r="V109" s="24" t="e">
        <f t="shared" ca="1" si="5"/>
        <v>#VALUE!</v>
      </c>
      <c r="W109" s="23">
        <f ca="1">_xll.meLWOBondDV01($L109,$C$4,$S109%)</f>
        <v>1046.4298111975661</v>
      </c>
      <c r="X109" s="22" t="e">
        <f ca="1">_xll.BDP($B109,X$6, "YLD_YTM_ASK="&amp;$S109,"YAS_YLD_CONV=1")*$X$3*0.0001</f>
        <v>#VALUE!</v>
      </c>
      <c r="Y109" s="24" t="e">
        <f t="shared" ca="1" si="6"/>
        <v>#VALUE!</v>
      </c>
      <c r="Z109" s="23">
        <f ca="1">_xll.meLWOBondModifiedDuration($L109,$C$4,$S109%)</f>
        <v>11.894491806828736</v>
      </c>
      <c r="AA109" s="23">
        <f ca="1">_xll.BDP($B109,AA$6, "YLD_YTM_ASK="&amp;$G109,"YAS_YLD_CONV=1")</f>
        <v>11.894495350236165</v>
      </c>
      <c r="AB109" s="22">
        <f t="shared" ca="1" si="7"/>
        <v>3.5434074288076545E-6</v>
      </c>
      <c r="AC109" s="24">
        <f ca="1">_xll.meLWOBondDV01Numerical($L109,$C$4,$S109%, 0.5, "CENTRAL")</f>
        <v>1046.4298891312753</v>
      </c>
    </row>
    <row r="110" spans="2:29">
      <c r="B110" s="15" t="s">
        <v>1292</v>
      </c>
      <c r="C110" s="15" t="s">
        <v>1293</v>
      </c>
      <c r="D110" s="15" t="s">
        <v>1293</v>
      </c>
      <c r="E110" s="16">
        <v>40140</v>
      </c>
      <c r="F110" s="19"/>
      <c r="G110" s="18"/>
      <c r="H110" s="16"/>
      <c r="I110" s="16"/>
      <c r="J110" s="17">
        <v>0</v>
      </c>
      <c r="K110" s="16">
        <v>47963</v>
      </c>
      <c r="L110" s="20" t="str">
        <f ca="1">_xll.meLWOBondCreateFromGeneratorLVB(C110,$L$4,_xll.meUtilityLVBFromKeysValues($C$6:$K$6,C110:K110))</f>
        <v>FR0010809400:0</v>
      </c>
      <c r="M110" s="92">
        <f ca="1">_xll.BDP($B110,$M$5)</f>
        <v>1.0858719076387802</v>
      </c>
      <c r="N110" s="89">
        <f ca="1">_xll.meLWOBondCleanPrice($L110,$C$4,$M110%)</f>
        <v>87.352000000000018</v>
      </c>
      <c r="O110" s="89">
        <f ca="1">_xll.meLWOBondDirtyPrice($L110,$C$4,$M110%)</f>
        <v>87.352000000000018</v>
      </c>
      <c r="P110" s="72">
        <f ca="1">_xll.meLWOBondYield($L110,$C$4,N110)</f>
        <v>1.0858719076404325E-2</v>
      </c>
      <c r="Q110" s="89">
        <f ca="1">_xll.meLWOBondModifiedDuration($L110,$C$4,$M110%)</f>
        <v>12.386051293741016</v>
      </c>
      <c r="R110" s="23">
        <f ca="1">_xll.meLWOBondDV01($L110,$C$4,$M110%)</f>
        <v>1081.9463526108655</v>
      </c>
      <c r="S110" s="21">
        <f t="shared" ca="1" si="8"/>
        <v>1.0858719076387802</v>
      </c>
      <c r="T110" s="22" t="str">
        <f ca="1">_xll.BDP($B110,T$6, "YAS_BOND_YLD="&amp;S110,"YAS_YLD_CONV=1")</f>
        <v>#N/A Requesting Data...</v>
      </c>
      <c r="U110" s="23">
        <f t="shared" ca="1" si="9"/>
        <v>87.352000000000018</v>
      </c>
      <c r="V110" s="24" t="e">
        <f t="shared" ca="1" si="5"/>
        <v>#VALUE!</v>
      </c>
      <c r="W110" s="23">
        <f ca="1">_xll.meLWOBondDV01($L110,$C$4,$S110%)</f>
        <v>1081.9463526108655</v>
      </c>
      <c r="X110" s="22" t="e">
        <f ca="1">_xll.BDP($B110,X$6, "YLD_YTM_ASK="&amp;$S110,"YAS_YLD_CONV=1")*$X$3*0.0001</f>
        <v>#VALUE!</v>
      </c>
      <c r="Y110" s="24" t="e">
        <f t="shared" ca="1" si="6"/>
        <v>#VALUE!</v>
      </c>
      <c r="Z110" s="23">
        <f ca="1">_xll.meLWOBondModifiedDuration($L110,$C$4,$S110%)</f>
        <v>12.386051293741016</v>
      </c>
      <c r="AA110" s="23">
        <f ca="1">_xll.BDP($B110,AA$6, "YLD_YTM_ASK="&amp;$G110,"YAS_YLD_CONV=1")</f>
        <v>12.386077909675091</v>
      </c>
      <c r="AB110" s="22">
        <f t="shared" ca="1" si="7"/>
        <v>2.661593407538021E-5</v>
      </c>
      <c r="AC110" s="24">
        <f ca="1">_xll.meLWOBondDV01Numerical($L110,$C$4,$S110%, 0.5, "CENTRAL")</f>
        <v>1081.9464392277212</v>
      </c>
    </row>
    <row r="111" spans="2:29">
      <c r="B111" s="15" t="s">
        <v>1430</v>
      </c>
      <c r="C111" s="15" t="s">
        <v>1431</v>
      </c>
      <c r="D111" s="15" t="s">
        <v>1431</v>
      </c>
      <c r="E111" s="16">
        <v>38083</v>
      </c>
      <c r="F111" s="19"/>
      <c r="G111" s="18"/>
      <c r="H111" s="16"/>
      <c r="I111" s="16"/>
      <c r="J111" s="17">
        <v>0</v>
      </c>
      <c r="K111" s="16">
        <v>47963</v>
      </c>
      <c r="L111" s="20" t="str">
        <f ca="1">_xll.meLWOBondCreateFromGeneratorLVB(C111,$L$4,_xll.meUtilityLVBFromKeysValues($C$6:$K$6,C111:K111))</f>
        <v>FR0010070102:0</v>
      </c>
      <c r="M111" s="92">
        <f ca="1">_xll.BDP($B111,$M$5)</f>
        <v>1.1086433499360782</v>
      </c>
      <c r="N111" s="89">
        <f ca="1">_xll.meLWOBondCleanPrice($L111,$C$4,$M111%)</f>
        <v>87.105999999999938</v>
      </c>
      <c r="O111" s="89">
        <f ca="1">_xll.meLWOBondDirtyPrice($L111,$C$4,$M111%)</f>
        <v>87.105999999999938</v>
      </c>
      <c r="P111" s="72">
        <f ca="1">_xll.meLWOBondYield($L111,$C$4,N111)</f>
        <v>1.1086433499377494E-2</v>
      </c>
      <c r="Q111" s="89">
        <f ca="1">_xll.meLWOBondModifiedDuration($L111,$C$4,$M111%)</f>
        <v>12.383261737448084</v>
      </c>
      <c r="R111" s="23">
        <f ca="1">_xll.meLWOBondDV01($L111,$C$4,$M111%)</f>
        <v>1078.656396902152</v>
      </c>
      <c r="S111" s="21">
        <f t="shared" ca="1" si="8"/>
        <v>1.1086433499360782</v>
      </c>
      <c r="T111" s="22" t="str">
        <f ca="1">_xll.BDP($B111,T$6, "YAS_BOND_YLD="&amp;S111,"YAS_YLD_CONV=1")</f>
        <v>#N/A Requesting Data...</v>
      </c>
      <c r="U111" s="23">
        <f t="shared" ca="1" si="9"/>
        <v>87.105999999999938</v>
      </c>
      <c r="V111" s="24" t="e">
        <f t="shared" ca="1" si="5"/>
        <v>#VALUE!</v>
      </c>
      <c r="W111" s="23">
        <f ca="1">_xll.meLWOBondDV01($L111,$C$4,$S111%)</f>
        <v>1078.656396902152</v>
      </c>
      <c r="X111" s="22" t="e">
        <f ca="1">_xll.BDP($B111,X$6, "YLD_YTM_ASK="&amp;$S111,"YAS_YLD_CONV=1")*$X$3*0.0001</f>
        <v>#VALUE!</v>
      </c>
      <c r="Y111" s="24" t="e">
        <f t="shared" ca="1" si="6"/>
        <v>#VALUE!</v>
      </c>
      <c r="Z111" s="23">
        <f ca="1">_xll.meLWOBondModifiedDuration($L111,$C$4,$S111%)</f>
        <v>12.383261737448084</v>
      </c>
      <c r="AA111" s="23">
        <f ca="1">_xll.BDP($B111,AA$6, "YLD_YTM_ASK="&amp;$G111,"YAS_YLD_CONV=1")</f>
        <v>12.383265700998745</v>
      </c>
      <c r="AB111" s="22">
        <f t="shared" ca="1" si="7"/>
        <v>3.9635506610125049E-6</v>
      </c>
      <c r="AC111" s="24">
        <f ca="1">_xll.meLWOBondDV01Numerical($L111,$C$4,$S111%, 0.5, "CENTRAL")</f>
        <v>1078.6564832143597</v>
      </c>
    </row>
    <row r="112" spans="2:29">
      <c r="B112" s="15" t="s">
        <v>1160</v>
      </c>
      <c r="C112" s="15" t="s">
        <v>1161</v>
      </c>
      <c r="D112" s="15" t="s">
        <v>1161</v>
      </c>
      <c r="E112" s="16">
        <v>42282</v>
      </c>
      <c r="F112" s="19">
        <v>42149</v>
      </c>
      <c r="G112" s="18"/>
      <c r="H112" s="16">
        <v>42515</v>
      </c>
      <c r="I112" s="16">
        <v>47628</v>
      </c>
      <c r="J112" s="17">
        <v>1.4999999999999999E-2</v>
      </c>
      <c r="K112" s="16">
        <v>47993</v>
      </c>
      <c r="L112" s="20" t="str">
        <f ca="1">_xll.meLWOBondCreateFromGeneratorLVB(C112,$L$4,_xll.meUtilityLVBFromKeysValues($C$6:$K$6,C112:K112))</f>
        <v>FR0012993103:2</v>
      </c>
      <c r="M112" s="92">
        <f ca="1">_xll.BDP($B112,$M$5)</f>
        <v>1.0587864237230329</v>
      </c>
      <c r="N112" s="89">
        <f ca="1">_xll.meLWOBondCleanPrice($L112,$C$4,$M112%)</f>
        <v>105.17800000000003</v>
      </c>
      <c r="O112" s="89">
        <f ca="1">_xll.meLWOBondDirtyPrice($L112,$C$4,$M112%)</f>
        <v>105.77389040000003</v>
      </c>
      <c r="P112" s="72">
        <f ca="1">_xll.meLWOBondYield($L112,$C$4,N112)</f>
        <v>1.0587864237234235E-2</v>
      </c>
      <c r="Q112" s="89">
        <f ca="1">_xll.meLWOBondModifiedDuration($L112,$C$4,$M112%)</f>
        <v>11.423791092925091</v>
      </c>
      <c r="R112" s="23">
        <f ca="1">_xll.meLWOBondDV01($L112,$C$4,$M112%)</f>
        <v>1208.3388270155551</v>
      </c>
      <c r="S112" s="21">
        <f t="shared" ca="1" si="8"/>
        <v>1.0587864237230329</v>
      </c>
      <c r="T112" s="22" t="str">
        <f ca="1">_xll.BDP($B112,T$6, "YAS_BOND_YLD="&amp;S112,"YAS_YLD_CONV=1")</f>
        <v>#N/A Requesting Data...</v>
      </c>
      <c r="U112" s="23">
        <f t="shared" ca="1" si="9"/>
        <v>105.17800000000003</v>
      </c>
      <c r="V112" s="24" t="e">
        <f t="shared" ca="1" si="5"/>
        <v>#VALUE!</v>
      </c>
      <c r="W112" s="23">
        <f ca="1">_xll.meLWOBondDV01($L112,$C$4,$S112%)</f>
        <v>1208.3388270155551</v>
      </c>
      <c r="X112" s="22" t="e">
        <f ca="1">_xll.BDP($B112,X$6, "YLD_YTM_ASK="&amp;$S112,"YAS_YLD_CONV=1")*$X$3*0.0001</f>
        <v>#VALUE!</v>
      </c>
      <c r="Y112" s="24" t="e">
        <f t="shared" ca="1" si="6"/>
        <v>#VALUE!</v>
      </c>
      <c r="Z112" s="23">
        <f ca="1">_xll.meLWOBondModifiedDuration($L112,$C$4,$S112%)</f>
        <v>11.423791092925091</v>
      </c>
      <c r="AA112" s="23">
        <f ca="1">_xll.BDP($B112,AA$6, "YLD_YTM_ASK="&amp;$G112,"YAS_YLD_CONV=1")</f>
        <v>11.42377897154233</v>
      </c>
      <c r="AB112" s="22">
        <f t="shared" ca="1" si="7"/>
        <v>1.2121382761520749E-5</v>
      </c>
      <c r="AC112" s="24">
        <f ca="1">_xll.meLWOBondDV01Numerical($L112,$C$4,$S112%, 0.5, "CENTRAL")</f>
        <v>1208.3389208241615</v>
      </c>
    </row>
    <row r="113" spans="2:29">
      <c r="B113" s="15" t="s">
        <v>1494</v>
      </c>
      <c r="C113" s="15" t="s">
        <v>1495</v>
      </c>
      <c r="D113" s="15" t="s">
        <v>1495</v>
      </c>
      <c r="E113" s="16">
        <v>41368</v>
      </c>
      <c r="F113" s="19"/>
      <c r="G113" s="18"/>
      <c r="H113" s="16"/>
      <c r="I113" s="16"/>
      <c r="J113" s="17">
        <v>0</v>
      </c>
      <c r="K113" s="16">
        <v>47993</v>
      </c>
      <c r="L113" s="20" t="str">
        <f ca="1">_xll.meLWOBondCreateFromGeneratorLVB(C113,$L$4,_xll.meUtilityLVBFromKeysValues($C$6:$K$6,C113:K113))</f>
        <v>FR0011461490:0</v>
      </c>
      <c r="M113" s="92">
        <f ca="1">_xll.BDP($B113,$M$5)</f>
        <v>1.0808641600450031</v>
      </c>
      <c r="N113" s="89">
        <f ca="1">_xll.meLWOBondCleanPrice($L113,$C$4,$M113%)</f>
        <v>87.328999999999908</v>
      </c>
      <c r="O113" s="89">
        <f ca="1">_xll.meLWOBondDirtyPrice($L113,$C$4,$M113%)</f>
        <v>87.328999999999908</v>
      </c>
      <c r="P113" s="72">
        <f ca="1">_xll.meLWOBondYield($L113,$C$4,N113)</f>
        <v>1.080864160046663E-2</v>
      </c>
      <c r="Q113" s="89">
        <f ca="1">_xll.meLWOBondModifiedDuration($L113,$C$4,$M113%)</f>
        <v>12.467977822264187</v>
      </c>
      <c r="R113" s="23">
        <f ca="1">_xll.meLWOBondDV01($L113,$C$4,$M113%)</f>
        <v>1088.816035240508</v>
      </c>
      <c r="S113" s="21">
        <f t="shared" ca="1" si="8"/>
        <v>1.0808641600450031</v>
      </c>
      <c r="T113" s="22" t="str">
        <f ca="1">_xll.BDP($B113,T$6, "YAS_BOND_YLD="&amp;S113,"YAS_YLD_CONV=1")</f>
        <v>#N/A Requesting Data...</v>
      </c>
      <c r="U113" s="23">
        <f t="shared" ca="1" si="9"/>
        <v>87.328999999999908</v>
      </c>
      <c r="V113" s="24" t="e">
        <f t="shared" ca="1" si="5"/>
        <v>#VALUE!</v>
      </c>
      <c r="W113" s="23">
        <f ca="1">_xll.meLWOBondDV01($L113,$C$4,$S113%)</f>
        <v>1088.816035240508</v>
      </c>
      <c r="X113" s="22" t="e">
        <f ca="1">_xll.BDP($B113,X$6, "YLD_YTM_ASK="&amp;$S113,"YAS_YLD_CONV=1")*$X$3*0.0001</f>
        <v>#VALUE!</v>
      </c>
      <c r="Y113" s="24" t="e">
        <f t="shared" ca="1" si="6"/>
        <v>#VALUE!</v>
      </c>
      <c r="Z113" s="23">
        <f ca="1">_xll.meLWOBondModifiedDuration($L113,$C$4,$S113%)</f>
        <v>12.467977822264187</v>
      </c>
      <c r="AA113" s="23">
        <f ca="1">_xll.BDP($B113,AA$6, "YLD_YTM_ASK="&amp;$G113,"YAS_YLD_CONV=1")</f>
        <v>12.467981862135591</v>
      </c>
      <c r="AB113" s="22">
        <f t="shared" ca="1" si="7"/>
        <v>4.0398714045153383E-6</v>
      </c>
      <c r="AC113" s="24">
        <f ca="1">_xll.meLWOBondDV01Numerical($L113,$C$4,$S113%, 0.5, "CENTRAL")</f>
        <v>1088.8161234399263</v>
      </c>
    </row>
    <row r="114" spans="2:29">
      <c r="B114" s="15" t="s">
        <v>1160</v>
      </c>
      <c r="C114" s="15" t="s">
        <v>1161</v>
      </c>
      <c r="D114" s="15" t="s">
        <v>1161</v>
      </c>
      <c r="E114" s="16">
        <v>42282</v>
      </c>
      <c r="F114" s="19">
        <v>42149</v>
      </c>
      <c r="G114" s="18"/>
      <c r="H114" s="16">
        <v>42515</v>
      </c>
      <c r="I114" s="16">
        <v>47628</v>
      </c>
      <c r="J114" s="17">
        <v>1.4999999999999999E-2</v>
      </c>
      <c r="K114" s="16">
        <v>47993</v>
      </c>
      <c r="L114" s="20" t="str">
        <f ca="1">_xll.meLWOBondCreateFromGeneratorLVB(C114,$L$4,_xll.meUtilityLVBFromKeysValues($C$6:$K$6,C114:K114))</f>
        <v>FR0012993103:1</v>
      </c>
      <c r="M114" s="92">
        <f ca="1">_xll.BDP($B114,$M$5)</f>
        <v>1.0587864237230329</v>
      </c>
      <c r="N114" s="89">
        <f ca="1">_xll.meLWOBondCleanPrice($L114,$C$4,$M114%)</f>
        <v>105.17800000000003</v>
      </c>
      <c r="O114" s="89">
        <f ca="1">_xll.meLWOBondDirtyPrice($L114,$C$4,$M114%)</f>
        <v>105.77389040000003</v>
      </c>
      <c r="P114" s="72">
        <f ca="1">_xll.meLWOBondYield($L114,$C$4,N114)</f>
        <v>1.0587864237234235E-2</v>
      </c>
      <c r="Q114" s="89">
        <f ca="1">_xll.meLWOBondModifiedDuration($L114,$C$4,$M114%)</f>
        <v>11.423791092925091</v>
      </c>
      <c r="R114" s="23">
        <f ca="1">_xll.meLWOBondDV01($L114,$C$4,$M114%)</f>
        <v>1208.3388270155551</v>
      </c>
      <c r="S114" s="21">
        <f t="shared" ca="1" si="8"/>
        <v>1.0587864237230329</v>
      </c>
      <c r="T114" s="22" t="str">
        <f ca="1">_xll.BDP($B114,T$6, "YAS_BOND_YLD="&amp;S114,"YAS_YLD_CONV=1")</f>
        <v>#N/A Requesting Data...</v>
      </c>
      <c r="U114" s="23">
        <f t="shared" ca="1" si="9"/>
        <v>105.17800000000003</v>
      </c>
      <c r="V114" s="24" t="e">
        <f t="shared" ca="1" si="5"/>
        <v>#VALUE!</v>
      </c>
      <c r="W114" s="23">
        <f ca="1">_xll.meLWOBondDV01($L114,$C$4,$S114%)</f>
        <v>1208.3388270155551</v>
      </c>
      <c r="X114" s="22" t="e">
        <f ca="1">_xll.BDP($B114,X$6, "YLD_YTM_ASK="&amp;$S114,"YAS_YLD_CONV=1")*$X$3*0.0001</f>
        <v>#VALUE!</v>
      </c>
      <c r="Y114" s="24" t="e">
        <f t="shared" ca="1" si="6"/>
        <v>#VALUE!</v>
      </c>
      <c r="Z114" s="23">
        <f ca="1">_xll.meLWOBondModifiedDuration($L114,$C$4,$S114%)</f>
        <v>11.423791092925091</v>
      </c>
      <c r="AA114" s="23">
        <f ca="1">_xll.BDP($B114,AA$6, "YLD_YTM_ASK="&amp;$G114,"YAS_YLD_CONV=1")</f>
        <v>11.42377897154233</v>
      </c>
      <c r="AB114" s="22">
        <f t="shared" ca="1" si="7"/>
        <v>1.2121382761520749E-5</v>
      </c>
      <c r="AC114" s="24">
        <f ca="1">_xll.meLWOBondDV01Numerical($L114,$C$4,$S114%, 0.5, "CENTRAL")</f>
        <v>1208.3389208241615</v>
      </c>
    </row>
    <row r="115" spans="2:29">
      <c r="B115" s="15" t="s">
        <v>1160</v>
      </c>
      <c r="C115" s="15" t="s">
        <v>1161</v>
      </c>
      <c r="D115" s="15" t="s">
        <v>1161</v>
      </c>
      <c r="E115" s="16">
        <v>42282</v>
      </c>
      <c r="F115" s="19">
        <v>42149</v>
      </c>
      <c r="G115" s="18"/>
      <c r="H115" s="16">
        <v>42515</v>
      </c>
      <c r="I115" s="16">
        <v>47628</v>
      </c>
      <c r="J115" s="17">
        <v>1.4999999999999999E-2</v>
      </c>
      <c r="K115" s="16">
        <v>47993</v>
      </c>
      <c r="L115" s="20" t="str">
        <f ca="1">_xll.meLWOBondCreateFromGeneratorLVB(C115,$L$4,_xll.meUtilityLVBFromKeysValues($C$6:$K$6,C115:K115))</f>
        <v>FR0012993103:0</v>
      </c>
      <c r="M115" s="92">
        <f ca="1">_xll.BDP($B115,$M$5)</f>
        <v>1.0587864237230329</v>
      </c>
      <c r="N115" s="89">
        <f ca="1">_xll.meLWOBondCleanPrice($L115,$C$4,$M115%)</f>
        <v>105.17800000000003</v>
      </c>
      <c r="O115" s="89">
        <f ca="1">_xll.meLWOBondDirtyPrice($L115,$C$4,$M115%)</f>
        <v>105.77389040000003</v>
      </c>
      <c r="P115" s="72">
        <f ca="1">_xll.meLWOBondYield($L115,$C$4,N115)</f>
        <v>1.0587864237234235E-2</v>
      </c>
      <c r="Q115" s="89">
        <f ca="1">_xll.meLWOBondModifiedDuration($L115,$C$4,$M115%)</f>
        <v>11.423791092925091</v>
      </c>
      <c r="R115" s="23">
        <f ca="1">_xll.meLWOBondDV01($L115,$C$4,$M115%)</f>
        <v>1208.3388270155551</v>
      </c>
      <c r="S115" s="21">
        <f t="shared" ca="1" si="8"/>
        <v>1.0587864237230329</v>
      </c>
      <c r="T115" s="22" t="str">
        <f ca="1">_xll.BDP($B115,T$6, "YAS_BOND_YLD="&amp;S115,"YAS_YLD_CONV=1")</f>
        <v>#N/A Requesting Data...</v>
      </c>
      <c r="U115" s="23">
        <f t="shared" ca="1" si="9"/>
        <v>105.17800000000003</v>
      </c>
      <c r="V115" s="24" t="e">
        <f t="shared" ca="1" si="5"/>
        <v>#VALUE!</v>
      </c>
      <c r="W115" s="23">
        <f ca="1">_xll.meLWOBondDV01($L115,$C$4,$S115%)</f>
        <v>1208.3388270155551</v>
      </c>
      <c r="X115" s="22" t="e">
        <f ca="1">_xll.BDP($B115,X$6, "YLD_YTM_ASK="&amp;$S115,"YAS_YLD_CONV=1")*$X$3*0.0001</f>
        <v>#VALUE!</v>
      </c>
      <c r="Y115" s="24" t="e">
        <f t="shared" ca="1" si="6"/>
        <v>#VALUE!</v>
      </c>
      <c r="Z115" s="23">
        <f ca="1">_xll.meLWOBondModifiedDuration($L115,$C$4,$S115%)</f>
        <v>11.423791092925091</v>
      </c>
      <c r="AA115" s="23">
        <f ca="1">_xll.BDP($B115,AA$6, "YLD_YTM_ASK="&amp;$G115,"YAS_YLD_CONV=1")</f>
        <v>11.42377897154233</v>
      </c>
      <c r="AB115" s="22">
        <f t="shared" ca="1" si="7"/>
        <v>1.2121382761520749E-5</v>
      </c>
      <c r="AC115" s="24">
        <f ca="1">_xll.meLWOBondDV01Numerical($L115,$C$4,$S115%, 0.5, "CENTRAL")</f>
        <v>1208.3389208241615</v>
      </c>
    </row>
    <row r="116" spans="2:29">
      <c r="B116" s="15" t="s">
        <v>1370</v>
      </c>
      <c r="C116" s="15" t="s">
        <v>1371</v>
      </c>
      <c r="D116" s="15" t="s">
        <v>1371</v>
      </c>
      <c r="E116" s="16">
        <v>40140</v>
      </c>
      <c r="F116" s="19"/>
      <c r="G116" s="18"/>
      <c r="H116" s="16"/>
      <c r="I116" s="16"/>
      <c r="J116" s="17">
        <v>0</v>
      </c>
      <c r="K116" s="16">
        <v>48146</v>
      </c>
      <c r="L116" s="20" t="str">
        <f ca="1">_xll.meLWOBondCreateFromGeneratorLVB(C116,$L$4,_xll.meUtilityLVBFromKeysValues($C$6:$K$6,C116:K116))</f>
        <v>FR0010809442:0</v>
      </c>
      <c r="M116" s="92">
        <f ca="1">_xll.BDP($B116,$M$5)</f>
        <v>1.1225338414143193</v>
      </c>
      <c r="N116" s="89">
        <f ca="1">_xll.meLWOBondCleanPrice($L116,$C$4,$M116%)</f>
        <v>86.471000000000117</v>
      </c>
      <c r="O116" s="89">
        <f ca="1">_xll.meLWOBondDirtyPrice($L116,$C$4,$M116%)</f>
        <v>86.471000000000117</v>
      </c>
      <c r="P116" s="72">
        <f ca="1">_xll.meLWOBondYield($L116,$C$4,N116)</f>
        <v>1.1225338414160353E-2</v>
      </c>
      <c r="Q116" s="89">
        <f ca="1">_xll.meLWOBondModifiedDuration($L116,$C$4,$M116%)</f>
        <v>12.877365027898566</v>
      </c>
      <c r="R116" s="23">
        <f ca="1">_xll.meLWOBondDV01($L116,$C$4,$M116%)</f>
        <v>1113.5186313274185</v>
      </c>
      <c r="S116" s="21">
        <f t="shared" ca="1" si="8"/>
        <v>1.1225338414143193</v>
      </c>
      <c r="T116" s="22" t="str">
        <f ca="1">_xll.BDP($B116,T$6, "YAS_BOND_YLD="&amp;S116,"YAS_YLD_CONV=1")</f>
        <v>#N/A Requesting Data...</v>
      </c>
      <c r="U116" s="23">
        <f t="shared" ca="1" si="9"/>
        <v>86.471000000000117</v>
      </c>
      <c r="V116" s="24" t="e">
        <f t="shared" ca="1" si="5"/>
        <v>#VALUE!</v>
      </c>
      <c r="W116" s="23">
        <f ca="1">_xll.meLWOBondDV01($L116,$C$4,$S116%)</f>
        <v>1113.5186313274185</v>
      </c>
      <c r="X116" s="22" t="e">
        <f ca="1">_xll.BDP($B116,X$6, "YLD_YTM_ASK="&amp;$S116,"YAS_YLD_CONV=1")*$X$3*0.0001</f>
        <v>#VALUE!</v>
      </c>
      <c r="Y116" s="24" t="e">
        <f t="shared" ca="1" si="6"/>
        <v>#VALUE!</v>
      </c>
      <c r="Z116" s="23">
        <f ca="1">_xll.meLWOBondModifiedDuration($L116,$C$4,$S116%)</f>
        <v>12.877365027898566</v>
      </c>
      <c r="AA116" s="23">
        <f ca="1">_xll.BDP($B116,AA$6, "YLD_YTM_ASK="&amp;$G116,"YAS_YLD_CONV=1")</f>
        <v>12.877369448819085</v>
      </c>
      <c r="AB116" s="22">
        <f t="shared" ca="1" si="7"/>
        <v>4.4209205185552491E-6</v>
      </c>
      <c r="AC116" s="24">
        <f ca="1">_xll.meLWOBondDV01Numerical($L116,$C$4,$S116%, 0.5, "CENTRAL")</f>
        <v>1113.5187268976667</v>
      </c>
    </row>
    <row r="117" spans="2:29">
      <c r="B117" s="15" t="s">
        <v>1534</v>
      </c>
      <c r="C117" s="15" t="s">
        <v>1535</v>
      </c>
      <c r="D117" s="15" t="s">
        <v>1535</v>
      </c>
      <c r="E117" s="16">
        <v>37054</v>
      </c>
      <c r="F117" s="19"/>
      <c r="G117" s="18"/>
      <c r="H117" s="16"/>
      <c r="I117" s="16"/>
      <c r="J117" s="17">
        <v>0</v>
      </c>
      <c r="K117" s="16">
        <v>48146</v>
      </c>
      <c r="L117" s="20" t="str">
        <f ca="1">_xll.meLWOBondCreateFromGeneratorLVB(C117,$L$4,_xll.meUtilityLVBFromKeysValues($C$6:$K$6,C117:K117))</f>
        <v>FR0000578593:0</v>
      </c>
      <c r="M117" s="92">
        <f ca="1">_xll.BDP($B117,$M$5)</f>
        <v>1.1390769960956337</v>
      </c>
      <c r="N117" s="89">
        <f ca="1">_xll.meLWOBondCleanPrice($L117,$C$4,$M117%)</f>
        <v>86.286999999999949</v>
      </c>
      <c r="O117" s="89">
        <f ca="1">_xll.meLWOBondDirtyPrice($L117,$C$4,$M117%)</f>
        <v>86.286999999999949</v>
      </c>
      <c r="P117" s="72">
        <f ca="1">_xll.meLWOBondYield($L117,$C$4,N117)</f>
        <v>1.1390769960973208E-2</v>
      </c>
      <c r="Q117" s="89">
        <f ca="1">_xll.meLWOBondModifiedDuration($L117,$C$4,$M117%)</f>
        <v>12.875258698200177</v>
      </c>
      <c r="R117" s="23">
        <f ca="1">_xll.meLWOBondDV01($L117,$C$4,$M117%)</f>
        <v>1110.9674472915981</v>
      </c>
      <c r="S117" s="21">
        <f t="shared" ca="1" si="8"/>
        <v>1.1390769960956337</v>
      </c>
      <c r="T117" s="22" t="str">
        <f ca="1">_xll.BDP($B117,T$6, "YAS_BOND_YLD="&amp;S117,"YAS_YLD_CONV=1")</f>
        <v>#N/A Requesting Data...</v>
      </c>
      <c r="U117" s="23">
        <f t="shared" ca="1" si="9"/>
        <v>86.286999999999949</v>
      </c>
      <c r="V117" s="24" t="e">
        <f t="shared" ca="1" si="5"/>
        <v>#VALUE!</v>
      </c>
      <c r="W117" s="23">
        <f ca="1">_xll.meLWOBondDV01($L117,$C$4,$S117%)</f>
        <v>1110.9674472915981</v>
      </c>
      <c r="X117" s="22" t="e">
        <f ca="1">_xll.BDP($B117,X$6, "YLD_YTM_ASK="&amp;$S117,"YAS_YLD_CONV=1")*$X$3*0.0001</f>
        <v>#VALUE!</v>
      </c>
      <c r="Y117" s="24" t="e">
        <f t="shared" ca="1" si="6"/>
        <v>#VALUE!</v>
      </c>
      <c r="Z117" s="23">
        <f ca="1">_xll.meLWOBondModifiedDuration($L117,$C$4,$S117%)</f>
        <v>12.875258698200177</v>
      </c>
      <c r="AA117" s="23">
        <f ca="1">_xll.BDP($B117,AA$6, "YLD_YTM_ASK="&amp;$G117,"YAS_YLD_CONV=1")</f>
        <v>12.875263116952224</v>
      </c>
      <c r="AB117" s="22">
        <f t="shared" ca="1" si="7"/>
        <v>4.4187520469307628E-6</v>
      </c>
      <c r="AC117" s="24">
        <f ca="1">_xll.meLWOBondDV01Numerical($L117,$C$4,$S117%, 0.5, "CENTRAL")</f>
        <v>1110.9675426116894</v>
      </c>
    </row>
    <row r="118" spans="2:29">
      <c r="B118" s="15" t="s">
        <v>1318</v>
      </c>
      <c r="C118" s="15" t="s">
        <v>1319</v>
      </c>
      <c r="D118" s="15" t="s">
        <v>1319</v>
      </c>
      <c r="E118" s="16">
        <v>40140</v>
      </c>
      <c r="F118" s="19"/>
      <c r="G118" s="18"/>
      <c r="H118" s="16"/>
      <c r="I118" s="16"/>
      <c r="J118" s="17">
        <v>0</v>
      </c>
      <c r="K118" s="16">
        <v>48329</v>
      </c>
      <c r="L118" s="20" t="str">
        <f ca="1">_xll.meLWOBondCreateFromGeneratorLVB(C118,$L$4,_xll.meUtilityLVBFromKeysValues($C$6:$K$6,C118:K118))</f>
        <v>FR0010809426:0</v>
      </c>
      <c r="M118" s="92">
        <f ca="1">_xll.BDP($B118,$M$5)</f>
        <v>1.1679991220054919</v>
      </c>
      <c r="N118" s="89">
        <f ca="1">_xll.meLWOBondCleanPrice($L118,$C$4,$M118%)</f>
        <v>85.469999999999942</v>
      </c>
      <c r="O118" s="89">
        <f ca="1">_xll.meLWOBondDirtyPrice($L118,$C$4,$M118%)</f>
        <v>85.469999999999942</v>
      </c>
      <c r="P118" s="72">
        <f ca="1">_xll.meLWOBondYield($L118,$C$4,N118)</f>
        <v>1.1679991220069142E-2</v>
      </c>
      <c r="Q118" s="89">
        <f ca="1">_xll.meLWOBondModifiedDuration($L118,$C$4,$M118%)</f>
        <v>13.364451271691271</v>
      </c>
      <c r="R118" s="23">
        <f ca="1">_xll.meLWOBondDV01($L118,$C$4,$M118%)</f>
        <v>1142.2596501914522</v>
      </c>
      <c r="S118" s="21">
        <f t="shared" ca="1" si="8"/>
        <v>1.1679991220054919</v>
      </c>
      <c r="T118" s="22" t="str">
        <f ca="1">_xll.BDP($B118,T$6, "YAS_BOND_YLD="&amp;S118,"YAS_YLD_CONV=1")</f>
        <v>#N/A Requesting Data...</v>
      </c>
      <c r="U118" s="23">
        <f t="shared" ca="1" si="9"/>
        <v>85.469999999999942</v>
      </c>
      <c r="V118" s="24" t="e">
        <f t="shared" ca="1" si="5"/>
        <v>#VALUE!</v>
      </c>
      <c r="W118" s="23">
        <f ca="1">_xll.meLWOBondDV01($L118,$C$4,$S118%)</f>
        <v>1142.2596501914522</v>
      </c>
      <c r="X118" s="22" t="e">
        <f ca="1">_xll.BDP($B118,X$6, "YLD_YTM_ASK="&amp;$S118,"YAS_YLD_CONV=1")*$X$3*0.0001</f>
        <v>#VALUE!</v>
      </c>
      <c r="Y118" s="24" t="e">
        <f t="shared" ca="1" si="6"/>
        <v>#VALUE!</v>
      </c>
      <c r="Z118" s="23">
        <f ca="1">_xll.meLWOBondModifiedDuration($L118,$C$4,$S118%)</f>
        <v>13.364451271691271</v>
      </c>
      <c r="AA118" s="23">
        <f ca="1">_xll.BDP($B118,AA$6, "YLD_YTM_ASK="&amp;$G118,"YAS_YLD_CONV=1")</f>
        <v>13.364479305931534</v>
      </c>
      <c r="AB118" s="22">
        <f t="shared" ca="1" si="7"/>
        <v>2.8034240262542198E-5</v>
      </c>
      <c r="AC118" s="24">
        <f ca="1">_xll.meLWOBondDV01Numerical($L118,$C$4,$S118%, 0.5, "CENTRAL")</f>
        <v>1142.2597549902491</v>
      </c>
    </row>
    <row r="119" spans="2:29">
      <c r="B119" s="15" t="s">
        <v>1360</v>
      </c>
      <c r="C119" s="15" t="s">
        <v>1361</v>
      </c>
      <c r="D119" s="15" t="s">
        <v>1361</v>
      </c>
      <c r="E119" s="16">
        <v>38083</v>
      </c>
      <c r="F119" s="19"/>
      <c r="G119" s="18"/>
      <c r="H119" s="16"/>
      <c r="I119" s="16"/>
      <c r="J119" s="17">
        <v>0</v>
      </c>
      <c r="K119" s="16">
        <v>48329</v>
      </c>
      <c r="L119" s="20" t="str">
        <f ca="1">_xll.meLWOBondCreateFromGeneratorLVB(C119,$L$4,_xll.meUtilityLVBFromKeysValues($C$6:$K$6,C119:K119))</f>
        <v>FR0010070110:0</v>
      </c>
      <c r="M119" s="92">
        <f ca="1">_xll.BDP($B119,$M$5)</f>
        <v>1.1864958087691724</v>
      </c>
      <c r="N119" s="89">
        <f ca="1">_xll.meLWOBondCleanPrice($L119,$C$4,$M119%)</f>
        <v>85.259000000000114</v>
      </c>
      <c r="O119" s="89">
        <f ca="1">_xll.meLWOBondDirtyPrice($L119,$C$4,$M119%)</f>
        <v>85.259000000000114</v>
      </c>
      <c r="P119" s="72">
        <f ca="1">_xll.meLWOBondYield($L119,$C$4,N119)</f>
        <v>1.1864958087704028E-2</v>
      </c>
      <c r="Q119" s="89">
        <f ca="1">_xll.meLWOBondModifiedDuration($L119,$C$4,$M119%)</f>
        <v>13.362008277031116</v>
      </c>
      <c r="R119" s="23">
        <f ca="1">_xll.meLWOBondDV01($L119,$C$4,$M119%)</f>
        <v>1139.2314636913975</v>
      </c>
      <c r="S119" s="21">
        <f t="shared" ca="1" si="8"/>
        <v>1.1864958087691724</v>
      </c>
      <c r="T119" s="22" t="str">
        <f ca="1">_xll.BDP($B119,T$6, "YAS_BOND_YLD="&amp;S119,"YAS_YLD_CONV=1")</f>
        <v>#N/A Requesting Data...</v>
      </c>
      <c r="U119" s="23">
        <f t="shared" ca="1" si="9"/>
        <v>85.259000000000114</v>
      </c>
      <c r="V119" s="24" t="e">
        <f t="shared" ca="1" si="5"/>
        <v>#VALUE!</v>
      </c>
      <c r="W119" s="23">
        <f ca="1">_xll.meLWOBondDV01($L119,$C$4,$S119%)</f>
        <v>1139.2314636913975</v>
      </c>
      <c r="X119" s="22" t="e">
        <f ca="1">_xll.BDP($B119,X$6, "YLD_YTM_ASK="&amp;$S119,"YAS_YLD_CONV=1")*$X$3*0.0001</f>
        <v>#VALUE!</v>
      </c>
      <c r="Y119" s="24" t="e">
        <f t="shared" ca="1" si="6"/>
        <v>#VALUE!</v>
      </c>
      <c r="Z119" s="23">
        <f ca="1">_xll.meLWOBondModifiedDuration($L119,$C$4,$S119%)</f>
        <v>13.362008277031116</v>
      </c>
      <c r="AA119" s="23">
        <f ca="1">_xll.BDP($B119,AA$6, "YLD_YTM_ASK="&amp;$G119,"YAS_YLD_CONV=1")</f>
        <v>13.362013178940822</v>
      </c>
      <c r="AB119" s="22">
        <f t="shared" ca="1" si="7"/>
        <v>4.9019097065894357E-6</v>
      </c>
      <c r="AC119" s="24">
        <f ca="1">_xll.meLWOBondDV01Numerical($L119,$C$4,$S119%, 0.5, "CENTRAL")</f>
        <v>1139.2315681743526</v>
      </c>
    </row>
    <row r="120" spans="2:29">
      <c r="B120" s="15" t="s">
        <v>1422</v>
      </c>
      <c r="C120" s="15" t="s">
        <v>1423</v>
      </c>
      <c r="D120" s="15" t="s">
        <v>1423</v>
      </c>
      <c r="E120" s="16">
        <v>41368</v>
      </c>
      <c r="F120" s="19"/>
      <c r="G120" s="18"/>
      <c r="H120" s="16"/>
      <c r="I120" s="16"/>
      <c r="J120" s="17">
        <v>0</v>
      </c>
      <c r="K120" s="16">
        <v>48359</v>
      </c>
      <c r="L120" s="20" t="str">
        <f ca="1">_xll.meLWOBondCreateFromGeneratorLVB(C120,$L$4,_xll.meUtilityLVBFromKeysValues($C$6:$K$6,C120:K120))</f>
        <v>FR0011461516:0</v>
      </c>
      <c r="M120" s="92">
        <f ca="1">_xll.BDP($B120,$M$5)</f>
        <v>1.1833861248810251</v>
      </c>
      <c r="N120" s="89">
        <f ca="1">_xll.meLWOBondCleanPrice($L120,$C$4,$M120%)</f>
        <v>85.212000000000003</v>
      </c>
      <c r="O120" s="89">
        <f ca="1">_xll.meLWOBondDirtyPrice($L120,$C$4,$M120%)</f>
        <v>85.212000000000003</v>
      </c>
      <c r="P120" s="72">
        <f ca="1">_xll.meLWOBondYield($L120,$C$4,N120)</f>
        <v>1.183386124882274E-2</v>
      </c>
      <c r="Q120" s="89">
        <f ca="1">_xll.meLWOBondModifiedDuration($L120,$C$4,$M120%)</f>
        <v>13.443649443831452</v>
      </c>
      <c r="R120" s="23">
        <f ca="1">_xll.meLWOBondDV01($L120,$C$4,$M120%)</f>
        <v>1145.5602564077658</v>
      </c>
      <c r="S120" s="21">
        <f t="shared" ca="1" si="8"/>
        <v>1.1833861248810251</v>
      </c>
      <c r="T120" s="22" t="str">
        <f ca="1">_xll.BDP($B120,T$6, "YAS_BOND_YLD="&amp;S120,"YAS_YLD_CONV=1")</f>
        <v>#N/A Requesting Data...</v>
      </c>
      <c r="U120" s="23">
        <f t="shared" ca="1" si="9"/>
        <v>85.212000000000003</v>
      </c>
      <c r="V120" s="24" t="e">
        <f t="shared" ca="1" si="5"/>
        <v>#VALUE!</v>
      </c>
      <c r="W120" s="23">
        <f ca="1">_xll.meLWOBondDV01($L120,$C$4,$S120%)</f>
        <v>1145.5602564077658</v>
      </c>
      <c r="X120" s="22" t="e">
        <f ca="1">_xll.BDP($B120,X$6, "YLD_YTM_ASK="&amp;$S120,"YAS_YLD_CONV=1")*$X$3*0.0001</f>
        <v>#VALUE!</v>
      </c>
      <c r="Y120" s="24" t="e">
        <f t="shared" ca="1" si="6"/>
        <v>#VALUE!</v>
      </c>
      <c r="Z120" s="23">
        <f ca="1">_xll.meLWOBondModifiedDuration($L120,$C$4,$S120%)</f>
        <v>13.443649443831452</v>
      </c>
      <c r="AA120" s="23">
        <f ca="1">_xll.BDP($B120,AA$6, "YLD_YTM_ASK="&amp;$G120,"YAS_YLD_CONV=1")</f>
        <v>13.443654430179713</v>
      </c>
      <c r="AB120" s="22">
        <f t="shared" ca="1" si="7"/>
        <v>4.986348260516138E-6</v>
      </c>
      <c r="AC120" s="24">
        <f ca="1">_xll.meLWOBondDV01Numerical($L120,$C$4,$S120%, 0.5, "CENTRAL")</f>
        <v>1145.5603626318123</v>
      </c>
    </row>
    <row r="121" spans="2:29">
      <c r="B121" s="15" t="s">
        <v>1200</v>
      </c>
      <c r="C121" s="15" t="s">
        <v>1201</v>
      </c>
      <c r="D121" s="15" t="s">
        <v>1201</v>
      </c>
      <c r="E121" s="16">
        <v>37054</v>
      </c>
      <c r="F121" s="19">
        <v>36824</v>
      </c>
      <c r="G121" s="18"/>
      <c r="H121" s="16">
        <v>37189</v>
      </c>
      <c r="I121" s="16">
        <v>48146</v>
      </c>
      <c r="J121" s="17">
        <v>5.7500000000000002E-2</v>
      </c>
      <c r="K121" s="16">
        <v>48512</v>
      </c>
      <c r="L121" s="20" t="str">
        <f ca="1">_xll.meLWOBondCreateFromGeneratorLVB(C121,$L$4,_xll.meUtilityLVBFromKeysValues($C$6:$K$6,C121:K121))</f>
        <v>FR0000187635:0</v>
      </c>
      <c r="M121" s="92">
        <f ca="1">_xll.BDP($B121,$M$5)</f>
        <v>1.0621223942606322</v>
      </c>
      <c r="N121" s="89">
        <f ca="1">_xll.meLWOBondCleanPrice($L121,$C$4,$M121%)</f>
        <v>160.77300000113908</v>
      </c>
      <c r="O121" s="89">
        <f ca="1">_xll.meLWOBondDirtyPrice($L121,$C$4,$M121%)</f>
        <v>166.39697260113908</v>
      </c>
      <c r="P121" s="72">
        <f ca="1">_xll.meLWOBondYield($L121,$C$4,N121)</f>
        <v>1.0621223942606303E-2</v>
      </c>
      <c r="Q121" s="89">
        <f ca="1">_xll.meLWOBondModifiedDuration($L121,$C$4,$M121%)</f>
        <v>10.44357629609226</v>
      </c>
      <c r="R121" s="23">
        <f ca="1">_xll.meLWOBondDV01($L121,$C$4,$M121%)</f>
        <v>1737.7794787987696</v>
      </c>
      <c r="S121" s="21">
        <f t="shared" ca="1" si="8"/>
        <v>1.0621223942606322</v>
      </c>
      <c r="T121" s="22" t="str">
        <f ca="1">_xll.BDP($B121,T$6, "YAS_BOND_YLD="&amp;S121,"YAS_YLD_CONV=1")</f>
        <v>#N/A Requesting Data...</v>
      </c>
      <c r="U121" s="23">
        <f t="shared" ca="1" si="9"/>
        <v>160.77300000113908</v>
      </c>
      <c r="V121" s="24" t="e">
        <f t="shared" ca="1" si="5"/>
        <v>#VALUE!</v>
      </c>
      <c r="W121" s="23">
        <f ca="1">_xll.meLWOBondDV01($L121,$C$4,$S121%)</f>
        <v>1737.7794787987696</v>
      </c>
      <c r="X121" s="22" t="e">
        <f ca="1">_xll.BDP($B121,X$6, "YLD_YTM_ASK="&amp;$S121,"YAS_YLD_CONV=1")*$X$3*0.0001</f>
        <v>#VALUE!</v>
      </c>
      <c r="Y121" s="24" t="e">
        <f t="shared" ca="1" si="6"/>
        <v>#VALUE!</v>
      </c>
      <c r="Z121" s="23">
        <f ca="1">_xll.meLWOBondModifiedDuration($L121,$C$4,$S121%)</f>
        <v>10.44357629609226</v>
      </c>
      <c r="AA121" s="23">
        <f ca="1">_xll.BDP($B121,AA$6, "YLD_YTM_ASK="&amp;$G121,"YAS_YLD_CONV=1")</f>
        <v>10.443579830531238</v>
      </c>
      <c r="AB121" s="22">
        <f t="shared" ca="1" si="7"/>
        <v>3.5344389779368157E-6</v>
      </c>
      <c r="AC121" s="24">
        <f ca="1">_xll.meLWOBondDV01Numerical($L121,$C$4,$S121%, 0.5, "CENTRAL")</f>
        <v>1737.7796258264766</v>
      </c>
    </row>
    <row r="122" spans="2:29">
      <c r="B122" s="15" t="s">
        <v>1226</v>
      </c>
      <c r="C122" s="15" t="s">
        <v>1227</v>
      </c>
      <c r="D122" s="15" t="s">
        <v>1227</v>
      </c>
      <c r="E122" s="16">
        <v>37054</v>
      </c>
      <c r="F122" s="19"/>
      <c r="G122" s="18"/>
      <c r="H122" s="16"/>
      <c r="I122" s="16"/>
      <c r="J122" s="17">
        <v>0</v>
      </c>
      <c r="K122" s="16">
        <v>48512</v>
      </c>
      <c r="L122" s="20" t="str">
        <f ca="1">_xll.meLWOBondCreateFromGeneratorLVB(C122,$L$4,_xll.meUtilityLVBFromKeysValues($C$6:$K$6,C122:K122))</f>
        <v>FR0000578536:0</v>
      </c>
      <c r="M122" s="92">
        <f ca="1">_xll.BDP($B122,$M$5)</f>
        <v>1.1801378774339844</v>
      </c>
      <c r="N122" s="89">
        <f ca="1">_xll.meLWOBondCleanPrice($L122,$C$4,$M122%)</f>
        <v>84.830999999999932</v>
      </c>
      <c r="O122" s="89">
        <f ca="1">_xll.meLWOBondDirtyPrice($L122,$C$4,$M122%)</f>
        <v>84.830999999999932</v>
      </c>
      <c r="P122" s="72">
        <f ca="1">_xll.meLWOBondYield($L122,$C$4,N122)</f>
        <v>1.1801378774351159E-2</v>
      </c>
      <c r="Q122" s="89">
        <f ca="1">_xll.meLWOBondModifiedDuration($L122,$C$4,$M122%)</f>
        <v>13.858369935416404</v>
      </c>
      <c r="R122" s="23">
        <f ca="1">_xll.meLWOBondDV01($L122,$C$4,$M122%)</f>
        <v>1175.6193799913081</v>
      </c>
      <c r="S122" s="21">
        <f t="shared" ca="1" si="8"/>
        <v>1.1801378774339844</v>
      </c>
      <c r="T122" s="22" t="str">
        <f ca="1">_xll.BDP($B122,T$6, "YAS_BOND_YLD="&amp;S122,"YAS_YLD_CONV=1")</f>
        <v>#N/A Requesting Data...</v>
      </c>
      <c r="U122" s="23">
        <f t="shared" ca="1" si="9"/>
        <v>84.830999999999932</v>
      </c>
      <c r="V122" s="24" t="e">
        <f t="shared" ca="1" si="5"/>
        <v>#VALUE!</v>
      </c>
      <c r="W122" s="23">
        <f ca="1">_xll.meLWOBondDV01($L122,$C$4,$S122%)</f>
        <v>1175.6193799913081</v>
      </c>
      <c r="X122" s="22" t="e">
        <f ca="1">_xll.BDP($B122,X$6, "YLD_YTM_ASK="&amp;$S122,"YAS_YLD_CONV=1")*$X$3*0.0001</f>
        <v>#VALUE!</v>
      </c>
      <c r="Y122" s="24" t="e">
        <f t="shared" ca="1" si="6"/>
        <v>#VALUE!</v>
      </c>
      <c r="Z122" s="23">
        <f ca="1">_xll.meLWOBondModifiedDuration($L122,$C$4,$S122%)</f>
        <v>13.858369935416404</v>
      </c>
      <c r="AA122" s="23">
        <f ca="1">_xll.BDP($B122,AA$6, "YLD_YTM_ASK="&amp;$G122,"YAS_YLD_CONV=1")</f>
        <v>13.858375365545243</v>
      </c>
      <c r="AB122" s="22">
        <f t="shared" ca="1" si="7"/>
        <v>5.4301288390234959E-6</v>
      </c>
      <c r="AC122" s="24">
        <f ca="1">_xll.meLWOBondDV01Numerical($L122,$C$4,$S122%, 0.5, "CENTRAL")</f>
        <v>1175.6194951520629</v>
      </c>
    </row>
    <row r="123" spans="2:29">
      <c r="B123" s="15" t="s">
        <v>1240</v>
      </c>
      <c r="C123" s="15" t="s">
        <v>1241</v>
      </c>
      <c r="D123" s="15" t="s">
        <v>1241</v>
      </c>
      <c r="E123" s="16">
        <v>40140</v>
      </c>
      <c r="F123" s="19"/>
      <c r="G123" s="18"/>
      <c r="H123" s="16"/>
      <c r="I123" s="16"/>
      <c r="J123" s="17">
        <v>0</v>
      </c>
      <c r="K123" s="16">
        <v>48512</v>
      </c>
      <c r="L123" s="20" t="str">
        <f ca="1">_xll.meLWOBondCreateFromGeneratorLVB(C123,$L$4,_xll.meUtilityLVBFromKeysValues($C$6:$K$6,C123:K123))</f>
        <v>FR0010809996:0</v>
      </c>
      <c r="M123" s="92">
        <f ca="1">_xll.BDP($B123,$M$5)</f>
        <v>1.2028023347539607</v>
      </c>
      <c r="N123" s="89">
        <f ca="1">_xll.meLWOBondCleanPrice($L123,$C$4,$M123%)</f>
        <v>84.564999999999984</v>
      </c>
      <c r="O123" s="89">
        <f ca="1">_xll.meLWOBondDirtyPrice($L123,$C$4,$M123%)</f>
        <v>84.564999999999984</v>
      </c>
      <c r="P123" s="72">
        <f ca="1">_xll.meLWOBondYield($L123,$C$4,N123)</f>
        <v>1.2028023347547386E-2</v>
      </c>
      <c r="Q123" s="89">
        <f ca="1">_xll.meLWOBondModifiedDuration($L123,$C$4,$M123%)</f>
        <v>13.855266341181073</v>
      </c>
      <c r="R123" s="23">
        <f ca="1">_xll.meLWOBondDV01($L123,$C$4,$M123%)</f>
        <v>1171.6705981419773</v>
      </c>
      <c r="S123" s="21">
        <f t="shared" ca="1" si="8"/>
        <v>1.2028023347539607</v>
      </c>
      <c r="T123" s="22" t="str">
        <f ca="1">_xll.BDP($B123,T$6, "YAS_BOND_YLD="&amp;S123,"YAS_YLD_CONV=1")</f>
        <v>#N/A Requesting Data...</v>
      </c>
      <c r="U123" s="23">
        <f t="shared" ca="1" si="9"/>
        <v>84.564999999999984</v>
      </c>
      <c r="V123" s="24" t="e">
        <f t="shared" ca="1" si="5"/>
        <v>#VALUE!</v>
      </c>
      <c r="W123" s="23">
        <f ca="1">_xll.meLWOBondDV01($L123,$C$4,$S123%)</f>
        <v>1171.6705981419773</v>
      </c>
      <c r="X123" s="22" t="e">
        <f ca="1">_xll.BDP($B123,X$6, "YLD_YTM_ASK="&amp;$S123,"YAS_YLD_CONV=1")*$X$3*0.0001</f>
        <v>#VALUE!</v>
      </c>
      <c r="Y123" s="24" t="e">
        <f t="shared" ca="1" si="6"/>
        <v>#VALUE!</v>
      </c>
      <c r="Z123" s="23">
        <f ca="1">_xll.meLWOBondModifiedDuration($L123,$C$4,$S123%)</f>
        <v>13.855266341181073</v>
      </c>
      <c r="AA123" s="23">
        <f ca="1">_xll.BDP($B123,AA$6, "YLD_YTM_ASK="&amp;$G123,"YAS_YLD_CONV=1")</f>
        <v>13.8552717676634</v>
      </c>
      <c r="AB123" s="22">
        <f t="shared" ca="1" si="7"/>
        <v>5.4264823265981477E-6</v>
      </c>
      <c r="AC123" s="24">
        <f ca="1">_xll.meLWOBondDV01Numerical($L123,$C$4,$S123%, 0.5, "CENTRAL")</f>
        <v>1171.6707128644543</v>
      </c>
    </row>
    <row r="124" spans="2:29">
      <c r="B124" s="15" t="s">
        <v>1536</v>
      </c>
      <c r="C124" s="15" t="s">
        <v>1537</v>
      </c>
      <c r="D124" s="15" t="s">
        <v>1537</v>
      </c>
      <c r="E124" s="16">
        <v>37054</v>
      </c>
      <c r="F124" s="19"/>
      <c r="G124" s="18"/>
      <c r="H124" s="16"/>
      <c r="I124" s="16"/>
      <c r="J124" s="17">
        <v>0</v>
      </c>
      <c r="K124" s="16">
        <v>48512</v>
      </c>
      <c r="L124" s="20" t="str">
        <f ca="1">_xll.meLWOBondCreateFromGeneratorLVB(C124,$L$4,_xll.meUtilityLVBFromKeysValues($C$6:$K$6,C124:K124))</f>
        <v>FR0000578601:0</v>
      </c>
      <c r="M124" s="92">
        <f ca="1">_xll.BDP($B124,$M$5)</f>
        <v>1.2258002118418654</v>
      </c>
      <c r="N124" s="89">
        <f ca="1">_xll.meLWOBondCleanPrice($L124,$C$4,$M124%)</f>
        <v>84.295999999999992</v>
      </c>
      <c r="O124" s="89">
        <f ca="1">_xll.meLWOBondDirtyPrice($L124,$C$4,$M124%)</f>
        <v>84.295999999999992</v>
      </c>
      <c r="P124" s="72">
        <f ca="1">_xll.meLWOBondYield($L124,$C$4,N124)</f>
        <v>1.2258002118421776E-2</v>
      </c>
      <c r="Q124" s="89">
        <f ca="1">_xll.meLWOBondModifiedDuration($L124,$C$4,$M124%)</f>
        <v>13.852118510176846</v>
      </c>
      <c r="R124" s="23">
        <f ca="1">_xll.meLWOBondDV01($L124,$C$4,$M124%)</f>
        <v>1167.6781819338673</v>
      </c>
      <c r="S124" s="21">
        <f t="shared" ca="1" si="8"/>
        <v>1.2258002118418654</v>
      </c>
      <c r="T124" s="22" t="str">
        <f ca="1">_xll.BDP($B124,T$6, "YAS_BOND_YLD="&amp;S124,"YAS_YLD_CONV=1")</f>
        <v>#N/A Requesting Data...</v>
      </c>
      <c r="U124" s="23">
        <f t="shared" ca="1" si="9"/>
        <v>84.295999999999992</v>
      </c>
      <c r="V124" s="24" t="e">
        <f t="shared" ca="1" si="5"/>
        <v>#VALUE!</v>
      </c>
      <c r="W124" s="23">
        <f ca="1">_xll.meLWOBondDV01($L124,$C$4,$S124%)</f>
        <v>1167.6781819338673</v>
      </c>
      <c r="X124" s="22" t="e">
        <f ca="1">_xll.BDP($B124,X$6, "YLD_YTM_ASK="&amp;$S124,"YAS_YLD_CONV=1")*$X$3*0.0001</f>
        <v>#VALUE!</v>
      </c>
      <c r="Y124" s="24" t="e">
        <f t="shared" ca="1" si="6"/>
        <v>#VALUE!</v>
      </c>
      <c r="Z124" s="23">
        <f ca="1">_xll.meLWOBondModifiedDuration($L124,$C$4,$S124%)</f>
        <v>13.852118510176846</v>
      </c>
      <c r="AA124" s="23">
        <f ca="1">_xll.BDP($B124,AA$6, "YLD_YTM_ASK="&amp;$G124,"YAS_YLD_CONV=1")</f>
        <v>13.852123932962686</v>
      </c>
      <c r="AB124" s="22">
        <f t="shared" ca="1" si="7"/>
        <v>5.4227858399258366E-6</v>
      </c>
      <c r="AC124" s="24">
        <f ca="1">_xll.meLWOBondDV01Numerical($L124,$C$4,$S124%, 0.5, "CENTRAL")</f>
        <v>1167.6782962135235</v>
      </c>
    </row>
    <row r="125" spans="2:29">
      <c r="B125" s="15" t="s">
        <v>1390</v>
      </c>
      <c r="C125" s="15" t="s">
        <v>1391</v>
      </c>
      <c r="D125" s="15" t="s">
        <v>1391</v>
      </c>
      <c r="E125" s="16">
        <v>40140</v>
      </c>
      <c r="F125" s="19"/>
      <c r="G125" s="18"/>
      <c r="H125" s="16"/>
      <c r="I125" s="16"/>
      <c r="J125" s="17">
        <v>0</v>
      </c>
      <c r="K125" s="16">
        <v>48694</v>
      </c>
      <c r="L125" s="20" t="str">
        <f ca="1">_xll.meLWOBondCreateFromGeneratorLVB(C125,$L$4,_xll.meUtilityLVBFromKeysValues($C$6:$K$6,C125:K125))</f>
        <v>FR0010809459:0</v>
      </c>
      <c r="M125" s="92">
        <f ca="1">_xll.BDP($B125,$M$5)</f>
        <v>1.2226766736094463</v>
      </c>
      <c r="N125" s="89">
        <f ca="1">_xll.meLWOBondCleanPrice($L125,$C$4,$M125%)</f>
        <v>83.823000000000064</v>
      </c>
      <c r="O125" s="89">
        <f ca="1">_xll.meLWOBondDirtyPrice($L125,$C$4,$M125%)</f>
        <v>83.823000000000064</v>
      </c>
      <c r="P125" s="72">
        <f ca="1">_xll.meLWOBondYield($L125,$C$4,N125)</f>
        <v>1.2226766736093736E-2</v>
      </c>
      <c r="Q125" s="89">
        <f ca="1">_xll.meLWOBondModifiedDuration($L125,$C$4,$M125%)</f>
        <v>14.345153104404364</v>
      </c>
      <c r="R125" s="23">
        <f ca="1">_xll.meLWOBondDV01($L125,$C$4,$M125%)</f>
        <v>1202.453768670488</v>
      </c>
      <c r="S125" s="21">
        <f t="shared" ca="1" si="8"/>
        <v>1.2226766736094463</v>
      </c>
      <c r="T125" s="22" t="str">
        <f ca="1">_xll.BDP($B125,T$6, "YAS_BOND_YLD="&amp;S125,"YAS_YLD_CONV=1")</f>
        <v>#N/A Requesting Data...</v>
      </c>
      <c r="U125" s="23">
        <f t="shared" ca="1" si="9"/>
        <v>83.823000000000064</v>
      </c>
      <c r="V125" s="24" t="e">
        <f t="shared" ca="1" si="5"/>
        <v>#VALUE!</v>
      </c>
      <c r="W125" s="23">
        <f ca="1">_xll.meLWOBondDV01($L125,$C$4,$S125%)</f>
        <v>1202.453768670488</v>
      </c>
      <c r="X125" s="22" t="e">
        <f ca="1">_xll.BDP($B125,X$6, "YLD_YTM_ASK="&amp;$S125,"YAS_YLD_CONV=1")*$X$3*0.0001</f>
        <v>#VALUE!</v>
      </c>
      <c r="Y125" s="24" t="e">
        <f t="shared" ca="1" si="6"/>
        <v>#VALUE!</v>
      </c>
      <c r="Z125" s="23">
        <f ca="1">_xll.meLWOBondModifiedDuration($L125,$C$4,$S125%)</f>
        <v>14.345153104404364</v>
      </c>
      <c r="AA125" s="23">
        <f ca="1">_xll.BDP($B125,AA$6, "YLD_YTM_ASK="&amp;$G125,"YAS_YLD_CONV=1")</f>
        <v>14.34515908755319</v>
      </c>
      <c r="AB125" s="22">
        <f t="shared" ca="1" si="7"/>
        <v>5.9831488261608001E-6</v>
      </c>
      <c r="AC125" s="24">
        <f ca="1">_xll.meLWOBondDV01Numerical($L125,$C$4,$S125%, 0.5, "CENTRAL")</f>
        <v>1202.4538940517004</v>
      </c>
    </row>
    <row r="126" spans="2:29">
      <c r="B126" s="15" t="s">
        <v>1538</v>
      </c>
      <c r="C126" s="15" t="s">
        <v>1539</v>
      </c>
      <c r="D126" s="15" t="s">
        <v>1539</v>
      </c>
      <c r="E126" s="16">
        <v>38083</v>
      </c>
      <c r="F126" s="19"/>
      <c r="G126" s="18"/>
      <c r="H126" s="16"/>
      <c r="I126" s="16"/>
      <c r="J126" s="17">
        <v>0</v>
      </c>
      <c r="K126" s="16">
        <v>48694</v>
      </c>
      <c r="L126" s="20" t="str">
        <f ca="1">_xll.meLWOBondCreateFromGeneratorLVB(C126,$L$4,_xll.meUtilityLVBFromKeysValues($C$6:$K$6,C126:K126))</f>
        <v>FR0010070128:0</v>
      </c>
      <c r="M126" s="92">
        <f ca="1">_xll.BDP($B126,$M$5)</f>
        <v>1.2494268665463881</v>
      </c>
      <c r="N126" s="89">
        <f ca="1">_xll.meLWOBondCleanPrice($L126,$C$4,$M126%)</f>
        <v>83.501999999999981</v>
      </c>
      <c r="O126" s="89">
        <f ca="1">_xll.meLWOBondDirtyPrice($L126,$C$4,$M126%)</f>
        <v>83.501999999999981</v>
      </c>
      <c r="P126" s="72">
        <f ca="1">_xll.meLWOBondYield($L126,$C$4,N126)</f>
        <v>1.2494268665454715E-2</v>
      </c>
      <c r="Q126" s="89">
        <f ca="1">_xll.meLWOBondModifiedDuration($L126,$C$4,$M126%)</f>
        <v>14.341363101585301</v>
      </c>
      <c r="R126" s="23">
        <f ca="1">_xll.meLWOBondDV01($L126,$C$4,$M126%)</f>
        <v>1197.5325017085756</v>
      </c>
      <c r="S126" s="21">
        <f t="shared" ca="1" si="8"/>
        <v>1.2494268665463881</v>
      </c>
      <c r="T126" s="22" t="str">
        <f ca="1">_xll.BDP($B126,T$6, "YAS_BOND_YLD="&amp;S126,"YAS_YLD_CONV=1")</f>
        <v>#N/A Requesting Data...</v>
      </c>
      <c r="U126" s="23">
        <f t="shared" ca="1" si="9"/>
        <v>83.501999999999981</v>
      </c>
      <c r="V126" s="24" t="e">
        <f t="shared" ca="1" si="5"/>
        <v>#VALUE!</v>
      </c>
      <c r="W126" s="23">
        <f ca="1">_xll.meLWOBondDV01($L126,$C$4,$S126%)</f>
        <v>1197.5325017085756</v>
      </c>
      <c r="X126" s="22" t="e">
        <f ca="1">_xll.BDP($B126,X$6, "YLD_YTM_ASK="&amp;$S126,"YAS_YLD_CONV=1")*$X$3*0.0001</f>
        <v>#VALUE!</v>
      </c>
      <c r="Y126" s="24" t="e">
        <f t="shared" ca="1" si="6"/>
        <v>#VALUE!</v>
      </c>
      <c r="Z126" s="23">
        <f ca="1">_xll.meLWOBondModifiedDuration($L126,$C$4,$S126%)</f>
        <v>14.341363101585301</v>
      </c>
      <c r="AA126" s="23">
        <f ca="1">_xll.BDP($B126,AA$6, "YLD_YTM_ASK="&amp;$G126,"YAS_YLD_CONV=1")</f>
        <v>14.341369079991448</v>
      </c>
      <c r="AB126" s="22">
        <f t="shared" ca="1" si="7"/>
        <v>5.978406147022497E-6</v>
      </c>
      <c r="AC126" s="24">
        <f ca="1">_xll.meLWOBondDV01Numerical($L126,$C$4,$S126%, 0.5, "CENTRAL")</f>
        <v>1197.5326265105934</v>
      </c>
    </row>
    <row r="127" spans="2:29">
      <c r="B127" s="15" t="s">
        <v>1560</v>
      </c>
      <c r="C127" s="15" t="s">
        <v>1561</v>
      </c>
      <c r="D127" s="15" t="s">
        <v>1561</v>
      </c>
      <c r="E127" s="16">
        <v>41368</v>
      </c>
      <c r="F127" s="19"/>
      <c r="G127" s="18"/>
      <c r="H127" s="16"/>
      <c r="I127" s="16"/>
      <c r="J127" s="17">
        <v>0</v>
      </c>
      <c r="K127" s="16">
        <v>48724</v>
      </c>
      <c r="L127" s="20" t="str">
        <f ca="1">_xll.meLWOBondCreateFromGeneratorLVB(C127,$L$4,_xll.meUtilityLVBFromKeysValues($C$6:$K$6,C127:K127))</f>
        <v>FR0011461524:0</v>
      </c>
      <c r="M127" s="92">
        <f ca="1">_xll.BDP($B127,$M$5)</f>
        <v>1.2401925408773051</v>
      </c>
      <c r="N127" s="89">
        <f ca="1">_xll.meLWOBondCleanPrice($L127,$C$4,$M127%)</f>
        <v>83.52800000000002</v>
      </c>
      <c r="O127" s="89">
        <f ca="1">_xll.meLWOBondDirtyPrice($L127,$C$4,$M127%)</f>
        <v>83.52800000000002</v>
      </c>
      <c r="P127" s="72">
        <f ca="1">_xll.meLWOBondYield($L127,$C$4,N127)</f>
        <v>1.240192540876604E-2</v>
      </c>
      <c r="Q127" s="89">
        <f ca="1">_xll.meLWOBondModifiedDuration($L127,$C$4,$M127%)</f>
        <v>14.423856138095861</v>
      </c>
      <c r="R127" s="23">
        <f ca="1">_xll.meLWOBondDV01($L127,$C$4,$M127%)</f>
        <v>1204.7958555028713</v>
      </c>
      <c r="S127" s="21">
        <f t="shared" ca="1" si="8"/>
        <v>1.2401925408773051</v>
      </c>
      <c r="T127" s="22" t="str">
        <f ca="1">_xll.BDP($B127,T$6, "YAS_BOND_YLD="&amp;S127,"YAS_YLD_CONV=1")</f>
        <v>#N/A Requesting Data...</v>
      </c>
      <c r="U127" s="23">
        <f t="shared" ca="1" si="9"/>
        <v>83.52800000000002</v>
      </c>
      <c r="V127" s="24" t="e">
        <f t="shared" ca="1" si="5"/>
        <v>#VALUE!</v>
      </c>
      <c r="W127" s="23">
        <f ca="1">_xll.meLWOBondDV01($L127,$C$4,$S127%)</f>
        <v>1204.7958555028713</v>
      </c>
      <c r="X127" s="22" t="e">
        <f ca="1">_xll.BDP($B127,X$6, "YLD_YTM_ASK="&amp;$S127,"YAS_YLD_CONV=1")*$X$3*0.0001</f>
        <v>#VALUE!</v>
      </c>
      <c r="Y127" s="24" t="e">
        <f t="shared" ca="1" si="6"/>
        <v>#VALUE!</v>
      </c>
      <c r="Z127" s="23">
        <f ca="1">_xll.meLWOBondModifiedDuration($L127,$C$4,$S127%)</f>
        <v>14.423856138095861</v>
      </c>
      <c r="AA127" s="23">
        <f ca="1">_xll.BDP($B127,AA$6, "YLD_YTM_ASK="&amp;$G127,"YAS_YLD_CONV=1")</f>
        <v>14.423862213913997</v>
      </c>
      <c r="AB127" s="22">
        <f t="shared" ca="1" si="7"/>
        <v>6.0758181366082908E-6</v>
      </c>
      <c r="AC127" s="24">
        <f ca="1">_xll.meLWOBondDV01Numerical($L127,$C$4,$S127%, 0.5, "CENTRAL")</f>
        <v>1204.7959823779311</v>
      </c>
    </row>
    <row r="128" spans="2:29">
      <c r="B128" s="15" t="s">
        <v>1524</v>
      </c>
      <c r="C128" s="15" t="s">
        <v>1525</v>
      </c>
      <c r="D128" s="15" t="s">
        <v>1525</v>
      </c>
      <c r="E128" s="16">
        <v>40140</v>
      </c>
      <c r="F128" s="19"/>
      <c r="G128" s="18"/>
      <c r="H128" s="16"/>
      <c r="I128" s="16"/>
      <c r="J128" s="17">
        <v>0</v>
      </c>
      <c r="K128" s="16">
        <v>48877</v>
      </c>
      <c r="L128" s="20" t="str">
        <f ca="1">_xll.meLWOBondCreateFromGeneratorLVB(C128,$L$4,_xll.meUtilityLVBFromKeysValues($C$6:$K$6,C128:K128))</f>
        <v>FR0010809939:0</v>
      </c>
      <c r="M128" s="92">
        <f ca="1">_xll.BDP($B128,$M$5)</f>
        <v>1.2495712921722024</v>
      </c>
      <c r="N128" s="89">
        <f ca="1">_xll.meLWOBondCleanPrice($L128,$C$4,$M128%)</f>
        <v>82.981999999999871</v>
      </c>
      <c r="O128" s="89">
        <f ca="1">_xll.meLWOBondDirtyPrice($L128,$C$4,$M128%)</f>
        <v>82.981999999999871</v>
      </c>
      <c r="P128" s="72">
        <f ca="1">_xll.meLWOBondYield($L128,$C$4,N128)</f>
        <v>1.2495712921704887E-2</v>
      </c>
      <c r="Q128" s="89">
        <f ca="1">_xll.meLWOBondModifiedDuration($L128,$C$4,$M128%)</f>
        <v>14.836524852901334</v>
      </c>
      <c r="R128" s="23">
        <f ca="1">_xll.meLWOBondDV01($L128,$C$4,$M128%)</f>
        <v>1231.1645053434565</v>
      </c>
      <c r="S128" s="21">
        <f t="shared" ca="1" si="8"/>
        <v>1.2495712921722024</v>
      </c>
      <c r="T128" s="22" t="str">
        <f ca="1">_xll.BDP($B128,T$6, "YAS_BOND_YLD="&amp;S128,"YAS_YLD_CONV=1")</f>
        <v>#N/A Requesting Data...</v>
      </c>
      <c r="U128" s="23">
        <f t="shared" ca="1" si="9"/>
        <v>82.981999999999871</v>
      </c>
      <c r="V128" s="24" t="e">
        <f t="shared" ca="1" si="5"/>
        <v>#VALUE!</v>
      </c>
      <c r="W128" s="23">
        <f ca="1">_xll.meLWOBondDV01($L128,$C$4,$S128%)</f>
        <v>1231.1645053434565</v>
      </c>
      <c r="X128" s="22" t="e">
        <f ca="1">_xll.BDP($B128,X$6, "YLD_YTM_ASK="&amp;$S128,"YAS_YLD_CONV=1")*$X$3*0.0001</f>
        <v>#VALUE!</v>
      </c>
      <c r="Y128" s="24" t="e">
        <f t="shared" ca="1" si="6"/>
        <v>#VALUE!</v>
      </c>
      <c r="Z128" s="23">
        <f ca="1">_xll.meLWOBondModifiedDuration($L128,$C$4,$S128%)</f>
        <v>14.836524852901334</v>
      </c>
      <c r="AA128" s="23">
        <f ca="1">_xll.BDP($B128,AA$6, "YLD_YTM_ASK="&amp;$G128,"YAS_YLD_CONV=1")</f>
        <v>14.836531431258951</v>
      </c>
      <c r="AB128" s="22">
        <f t="shared" ca="1" si="7"/>
        <v>6.5783576168598756E-6</v>
      </c>
      <c r="AC128" s="24">
        <f ca="1">_xll.meLWOBondDV01Numerical($L128,$C$4,$S128%, 0.5, "CENTRAL")</f>
        <v>1231.1646418147859</v>
      </c>
    </row>
    <row r="129" spans="2:29">
      <c r="B129" s="15" t="s">
        <v>1548</v>
      </c>
      <c r="C129" s="15" t="s">
        <v>1549</v>
      </c>
      <c r="D129" s="15" t="s">
        <v>1549</v>
      </c>
      <c r="E129" s="16">
        <v>38972</v>
      </c>
      <c r="F129" s="19"/>
      <c r="G129" s="18"/>
      <c r="H129" s="16"/>
      <c r="I129" s="16"/>
      <c r="J129" s="17">
        <v>0</v>
      </c>
      <c r="K129" s="16">
        <v>48877</v>
      </c>
      <c r="L129" s="20" t="str">
        <f ca="1">_xll.meLWOBondCreateFromGeneratorLVB(C129,$L$4,_xll.meUtilityLVBFromKeysValues($C$6:$K$6,C129:K129))</f>
        <v>FR0010372045:0</v>
      </c>
      <c r="M129" s="92">
        <f ca="1">_xll.BDP($B129,$M$5)</f>
        <v>1.3120970504187035</v>
      </c>
      <c r="N129" s="89">
        <f ca="1">_xll.meLWOBondCleanPrice($L129,$C$4,$M129%)</f>
        <v>82.216000000000051</v>
      </c>
      <c r="O129" s="89">
        <f ca="1">_xll.meLWOBondDirtyPrice($L129,$C$4,$M129%)</f>
        <v>82.216000000000051</v>
      </c>
      <c r="P129" s="72">
        <f ca="1">_xll.meLWOBondYield($L129,$C$4,N129)</f>
        <v>1.3120970504132743E-2</v>
      </c>
      <c r="Q129" s="89">
        <f ca="1">_xll.meLWOBondModifiedDuration($L129,$C$4,$M129%)</f>
        <v>14.827368345503119</v>
      </c>
      <c r="R129" s="23">
        <f ca="1">_xll.meLWOBondDV01($L129,$C$4,$M129%)</f>
        <v>1219.0469158938852</v>
      </c>
      <c r="S129" s="21">
        <f t="shared" ca="1" si="8"/>
        <v>1.3120970504187035</v>
      </c>
      <c r="T129" s="22" t="str">
        <f ca="1">_xll.BDP($B129,T$6, "YAS_BOND_YLD="&amp;S129,"YAS_YLD_CONV=1")</f>
        <v>#N/A Requesting Data...</v>
      </c>
      <c r="U129" s="23">
        <f t="shared" ca="1" si="9"/>
        <v>82.216000000000051</v>
      </c>
      <c r="V129" s="24" t="e">
        <f t="shared" ca="1" si="5"/>
        <v>#VALUE!</v>
      </c>
      <c r="W129" s="23">
        <f ca="1">_xll.meLWOBondDV01($L129,$C$4,$S129%)</f>
        <v>1219.0469158938852</v>
      </c>
      <c r="X129" s="22" t="e">
        <f ca="1">_xll.BDP($B129,X$6, "YLD_YTM_ASK="&amp;$S129,"YAS_YLD_CONV=1")*$X$3*0.0001</f>
        <v>#VALUE!</v>
      </c>
      <c r="Y129" s="24" t="e">
        <f t="shared" ca="1" si="6"/>
        <v>#VALUE!</v>
      </c>
      <c r="Z129" s="23">
        <f ca="1">_xll.meLWOBondModifiedDuration($L129,$C$4,$S129%)</f>
        <v>14.827368345503119</v>
      </c>
      <c r="AA129" s="23">
        <f ca="1">_xll.BDP($B129,AA$6, "YLD_YTM_ASK="&amp;$G129,"YAS_YLD_CONV=1")</f>
        <v>14.827374911689917</v>
      </c>
      <c r="AB129" s="22">
        <f t="shared" ca="1" si="7"/>
        <v>6.5661867978406008E-6</v>
      </c>
      <c r="AC129" s="24">
        <f ca="1">_xll.meLWOBondDV01Numerical($L129,$C$4,$S129%, 0.5, "CENTRAL")</f>
        <v>1219.0470508552664</v>
      </c>
    </row>
    <row r="130" spans="2:29">
      <c r="B130" s="15" t="s">
        <v>1342</v>
      </c>
      <c r="C130" s="15" t="s">
        <v>1343</v>
      </c>
      <c r="D130" s="15" t="s">
        <v>1343</v>
      </c>
      <c r="E130" s="16">
        <v>40140</v>
      </c>
      <c r="F130" s="19"/>
      <c r="G130" s="18"/>
      <c r="H130" s="16"/>
      <c r="I130" s="16"/>
      <c r="J130" s="17">
        <v>0</v>
      </c>
      <c r="K130" s="16">
        <v>49059</v>
      </c>
      <c r="L130" s="20" t="str">
        <f ca="1">_xll.meLWOBondCreateFromGeneratorLVB(C130,$L$4,_xll.meUtilityLVBFromKeysValues($C$6:$K$6,C130:K130))</f>
        <v>FR0010809475:0</v>
      </c>
      <c r="M130" s="92">
        <f ca="1">_xll.BDP($B130,$M$5)</f>
        <v>1.2738843803909328</v>
      </c>
      <c r="N130" s="89">
        <f ca="1">_xll.meLWOBondCleanPrice($L130,$C$4,$M130%)</f>
        <v>82.163000000000139</v>
      </c>
      <c r="O130" s="89">
        <f ca="1">_xll.meLWOBondDirtyPrice($L130,$C$4,$M130%)</f>
        <v>82.163000000000139</v>
      </c>
      <c r="P130" s="72">
        <f ca="1">_xll.meLWOBondYield($L130,$C$4,N130)</f>
        <v>1.273884380386745E-2</v>
      </c>
      <c r="Q130" s="89">
        <f ca="1">_xll.meLWOBondModifiedDuration($L130,$C$4,$M130%)</f>
        <v>15.325321073801563</v>
      </c>
      <c r="R130" s="23">
        <f ca="1">_xll.meLWOBondDV01($L130,$C$4,$M130%)</f>
        <v>1259.17435538676</v>
      </c>
      <c r="S130" s="21">
        <f t="shared" ca="1" si="8"/>
        <v>1.2738843803909328</v>
      </c>
      <c r="T130" s="22" t="str">
        <f ca="1">_xll.BDP($B130,T$6, "YAS_BOND_YLD="&amp;S130,"YAS_YLD_CONV=1")</f>
        <v>#N/A Requesting Data...</v>
      </c>
      <c r="U130" s="23">
        <f t="shared" ca="1" si="9"/>
        <v>82.163000000000139</v>
      </c>
      <c r="V130" s="24" t="e">
        <f t="shared" ca="1" si="5"/>
        <v>#VALUE!</v>
      </c>
      <c r="W130" s="23">
        <f ca="1">_xll.meLWOBondDV01($L130,$C$4,$S130%)</f>
        <v>1259.17435538676</v>
      </c>
      <c r="X130" s="22" t="e">
        <f ca="1">_xll.BDP($B130,X$6, "YLD_YTM_ASK="&amp;$S130,"YAS_YLD_CONV=1")*$X$3*0.0001</f>
        <v>#VALUE!</v>
      </c>
      <c r="Y130" s="24" t="e">
        <f t="shared" ca="1" si="6"/>
        <v>#VALUE!</v>
      </c>
      <c r="Z130" s="23">
        <f ca="1">_xll.meLWOBondModifiedDuration($L130,$C$4,$S130%)</f>
        <v>15.325321073801563</v>
      </c>
      <c r="AA130" s="23">
        <f ca="1">_xll.BDP($B130,AA$6, "YLD_YTM_ASK="&amp;$G130,"YAS_YLD_CONV=1")</f>
        <v>15.325328282144737</v>
      </c>
      <c r="AB130" s="22">
        <f t="shared" ca="1" si="7"/>
        <v>7.2083431739144999E-6</v>
      </c>
      <c r="AC130" s="24">
        <f ca="1">_xll.meLWOBondDV01Numerical($L130,$C$4,$S130%, 0.5, "CENTRAL")</f>
        <v>1259.1745034515613</v>
      </c>
    </row>
    <row r="131" spans="2:29">
      <c r="B131" s="15" t="s">
        <v>1508</v>
      </c>
      <c r="C131" s="15" t="s">
        <v>1509</v>
      </c>
      <c r="D131" s="15" t="s">
        <v>1509</v>
      </c>
      <c r="E131" s="16">
        <v>38083</v>
      </c>
      <c r="F131" s="19"/>
      <c r="G131" s="18"/>
      <c r="H131" s="16"/>
      <c r="I131" s="16"/>
      <c r="J131" s="17">
        <v>0</v>
      </c>
      <c r="K131" s="16">
        <v>49059</v>
      </c>
      <c r="L131" s="20" t="str">
        <f ca="1">_xll.meLWOBondCreateFromGeneratorLVB(C131,$L$4,_xll.meUtilityLVBFromKeysValues($C$6:$K$6,C131:K131))</f>
        <v>FR0010070136:0</v>
      </c>
      <c r="M131" s="92">
        <f ca="1">_xll.BDP($B131,$M$5)</f>
        <v>1.2990316952430803</v>
      </c>
      <c r="N131" s="89">
        <f ca="1">_xll.meLWOBondCleanPrice($L131,$C$4,$M131%)</f>
        <v>81.846999999999866</v>
      </c>
      <c r="O131" s="89">
        <f ca="1">_xll.meLWOBondDirtyPrice($L131,$C$4,$M131%)</f>
        <v>81.846999999999866</v>
      </c>
      <c r="P131" s="72">
        <f ca="1">_xll.meLWOBondYield($L131,$C$4,N131)</f>
        <v>1.2990316952369831E-2</v>
      </c>
      <c r="Q131" s="89">
        <f ca="1">_xll.meLWOBondModifiedDuration($L131,$C$4,$M131%)</f>
        <v>15.321516588528569</v>
      </c>
      <c r="R131" s="23">
        <f ca="1">_xll.meLWOBondDV01($L131,$C$4,$M131%)</f>
        <v>1254.0201682212958</v>
      </c>
      <c r="S131" s="21">
        <f t="shared" ca="1" si="8"/>
        <v>1.2990316952430803</v>
      </c>
      <c r="T131" s="22" t="str">
        <f ca="1">_xll.BDP($B131,T$6, "YAS_BOND_YLD="&amp;S131,"YAS_YLD_CONV=1")</f>
        <v>#N/A Requesting Data...</v>
      </c>
      <c r="U131" s="23">
        <f t="shared" ca="1" si="9"/>
        <v>81.846999999999866</v>
      </c>
      <c r="V131" s="24" t="e">
        <f t="shared" ca="1" si="5"/>
        <v>#VALUE!</v>
      </c>
      <c r="W131" s="23">
        <f ca="1">_xll.meLWOBondDV01($L131,$C$4,$S131%)</f>
        <v>1254.0201682212958</v>
      </c>
      <c r="X131" s="22" t="e">
        <f ca="1">_xll.BDP($B131,X$6, "YLD_YTM_ASK="&amp;$S131,"YAS_YLD_CONV=1")*$X$3*0.0001</f>
        <v>#VALUE!</v>
      </c>
      <c r="Y131" s="24" t="e">
        <f t="shared" ca="1" si="6"/>
        <v>#VALUE!</v>
      </c>
      <c r="Z131" s="23">
        <f ca="1">_xll.meLWOBondModifiedDuration($L131,$C$4,$S131%)</f>
        <v>15.321516588528569</v>
      </c>
      <c r="AA131" s="23">
        <f ca="1">_xll.BDP($B131,AA$6, "YLD_YTM_ASK="&amp;$G131,"YAS_YLD_CONV=1")</f>
        <v>15.321523791506468</v>
      </c>
      <c r="AB131" s="22">
        <f t="shared" ca="1" si="7"/>
        <v>7.2029778994675553E-6</v>
      </c>
      <c r="AC131" s="24">
        <f ca="1">_xll.meLWOBondDV01Numerical($L131,$C$4,$S131%, 0.5, "CENTRAL")</f>
        <v>1254.0203156095231</v>
      </c>
    </row>
    <row r="132" spans="2:29">
      <c r="B132" s="15" t="s">
        <v>1460</v>
      </c>
      <c r="C132" s="15" t="s">
        <v>1461</v>
      </c>
      <c r="D132" s="15" t="s">
        <v>1461</v>
      </c>
      <c r="E132" s="16">
        <v>41368</v>
      </c>
      <c r="F132" s="19"/>
      <c r="G132" s="18"/>
      <c r="H132" s="16"/>
      <c r="I132" s="16"/>
      <c r="J132" s="17">
        <v>0</v>
      </c>
      <c r="K132" s="16">
        <v>49089</v>
      </c>
      <c r="L132" s="20" t="str">
        <f ca="1">_xll.meLWOBondCreateFromGeneratorLVB(C132,$L$4,_xll.meUtilityLVBFromKeysValues($C$6:$K$6,C132:K132))</f>
        <v>FR0011461540:0</v>
      </c>
      <c r="M132" s="92">
        <f ca="1">_xll.BDP($B132,$M$5)</f>
        <v>1.2763807511227521</v>
      </c>
      <c r="N132" s="89">
        <f ca="1">_xll.meLWOBondCleanPrice($L132,$C$4,$M132%)</f>
        <v>82.046000000000035</v>
      </c>
      <c r="O132" s="89">
        <f ca="1">_xll.meLWOBondDirtyPrice($L132,$C$4,$M132%)</f>
        <v>82.046000000000035</v>
      </c>
      <c r="P132" s="72">
        <f ca="1">_xll.meLWOBondYield($L132,$C$4,N132)</f>
        <v>1.27638075111814E-2</v>
      </c>
      <c r="Q132" s="89">
        <f ca="1">_xll.meLWOBondModifiedDuration($L132,$C$4,$M132%)</f>
        <v>15.406099240818723</v>
      </c>
      <c r="R132" s="23">
        <f ca="1">_xll.meLWOBondDV01($L132,$C$4,$M132%)</f>
        <v>1264.0088183122134</v>
      </c>
      <c r="S132" s="21">
        <f t="shared" ca="1" si="8"/>
        <v>1.2763807511227521</v>
      </c>
      <c r="T132" s="22" t="str">
        <f ca="1">_xll.BDP($B132,T$6, "YAS_BOND_YLD="&amp;S132,"YAS_YLD_CONV=1")</f>
        <v>#N/A Requesting Data...</v>
      </c>
      <c r="U132" s="23">
        <f t="shared" ca="1" si="9"/>
        <v>82.046000000000035</v>
      </c>
      <c r="V132" s="24" t="e">
        <f t="shared" ca="1" si="5"/>
        <v>#VALUE!</v>
      </c>
      <c r="W132" s="23">
        <f ca="1">_xll.meLWOBondDV01($L132,$C$4,$S132%)</f>
        <v>1264.0088183122134</v>
      </c>
      <c r="X132" s="22" t="e">
        <f ca="1">_xll.BDP($B132,X$6, "YLD_YTM_ASK="&amp;$S132,"YAS_YLD_CONV=1")*$X$3*0.0001</f>
        <v>#VALUE!</v>
      </c>
      <c r="Y132" s="24" t="e">
        <f t="shared" ca="1" si="6"/>
        <v>#VALUE!</v>
      </c>
      <c r="Z132" s="23">
        <f ca="1">_xll.meLWOBondModifiedDuration($L132,$C$4,$S132%)</f>
        <v>15.406099240818723</v>
      </c>
      <c r="AA132" s="23">
        <f ca="1">_xll.BDP($B132,AA$6, "YLD_YTM_ASK="&amp;$G132,"YAS_YLD_CONV=1")</f>
        <v>15.406106557011984</v>
      </c>
      <c r="AB132" s="22">
        <f t="shared" ca="1" si="7"/>
        <v>7.3161932618859282E-6</v>
      </c>
      <c r="AC132" s="24">
        <f ca="1">_xll.meLWOBondDV01Numerical($L132,$C$4,$S132%, 0.5, "CENTRAL")</f>
        <v>1264.0089683780786</v>
      </c>
    </row>
    <row r="133" spans="2:29">
      <c r="B133" s="15" t="s">
        <v>1470</v>
      </c>
      <c r="C133" s="15" t="s">
        <v>1471</v>
      </c>
      <c r="D133" s="15" t="s">
        <v>1471</v>
      </c>
      <c r="E133" s="16">
        <v>40140</v>
      </c>
      <c r="F133" s="19"/>
      <c r="G133" s="18"/>
      <c r="H133" s="16"/>
      <c r="I133" s="16"/>
      <c r="J133" s="17">
        <v>0</v>
      </c>
      <c r="K133" s="16">
        <v>49242</v>
      </c>
      <c r="L133" s="20" t="str">
        <f ca="1">_xll.meLWOBondCreateFromGeneratorLVB(C133,$L$4,_xll.meUtilityLVBFromKeysValues($C$6:$K$6,C133:K133))</f>
        <v>FR0010809962:0</v>
      </c>
      <c r="M133" s="92">
        <f ca="1">_xll.BDP($B133,$M$5)</f>
        <v>1.2902584351693447</v>
      </c>
      <c r="N133" s="89">
        <f ca="1">_xll.meLWOBondCleanPrice($L133,$C$4,$M133%)</f>
        <v>81.431999999999931</v>
      </c>
      <c r="O133" s="89">
        <f ca="1">_xll.meLWOBondDirtyPrice($L133,$C$4,$M133%)</f>
        <v>81.431999999999931</v>
      </c>
      <c r="P133" s="72">
        <f ca="1">_xll.meLWOBondYield($L133,$C$4,N133)</f>
        <v>1.2902584351620902E-2</v>
      </c>
      <c r="Q133" s="89">
        <f ca="1">_xll.meLWOBondModifiedDuration($L133,$C$4,$M133%)</f>
        <v>15.817826961586817</v>
      </c>
      <c r="R133" s="23">
        <f ca="1">_xll.meLWOBondDV01($L133,$C$4,$M133%)</f>
        <v>1288.0772851359366</v>
      </c>
      <c r="S133" s="21">
        <f t="shared" ca="1" si="8"/>
        <v>1.2902584351693447</v>
      </c>
      <c r="T133" s="22" t="str">
        <f ca="1">_xll.BDP($B133,T$6, "YAS_BOND_YLD="&amp;S133,"YAS_YLD_CONV=1")</f>
        <v>#N/A Requesting Data...</v>
      </c>
      <c r="U133" s="23">
        <f t="shared" ca="1" si="9"/>
        <v>81.431999999999931</v>
      </c>
      <c r="V133" s="24" t="e">
        <f t="shared" ca="1" si="5"/>
        <v>#VALUE!</v>
      </c>
      <c r="W133" s="23">
        <f ca="1">_xll.meLWOBondDV01($L133,$C$4,$S133%)</f>
        <v>1288.0772851359366</v>
      </c>
      <c r="X133" s="22" t="e">
        <f ca="1">_xll.BDP($B133,X$6, "YLD_YTM_ASK="&amp;$S133,"YAS_YLD_CONV=1")*$X$3*0.0001</f>
        <v>#VALUE!</v>
      </c>
      <c r="Y133" s="24" t="e">
        <f t="shared" ca="1" si="6"/>
        <v>#VALUE!</v>
      </c>
      <c r="Z133" s="23">
        <f ca="1">_xll.meLWOBondModifiedDuration($L133,$C$4,$S133%)</f>
        <v>15.817826961586817</v>
      </c>
      <c r="AA133" s="23">
        <f ca="1">_xll.BDP($B133,AA$6, "YLD_YTM_ASK="&amp;$G133,"YAS_YLD_CONV=1")</f>
        <v>15.81785909146072</v>
      </c>
      <c r="AB133" s="22">
        <f t="shared" ca="1" si="7"/>
        <v>3.212987390277533E-5</v>
      </c>
      <c r="AC133" s="24">
        <f ca="1">_xll.meLWOBondDV01Numerical($L133,$C$4,$S133%, 0.5, "CENTRAL")</f>
        <v>1288.077445609872</v>
      </c>
    </row>
    <row r="134" spans="2:29">
      <c r="B134" s="15" t="s">
        <v>1550</v>
      </c>
      <c r="C134" s="15" t="s">
        <v>1551</v>
      </c>
      <c r="D134" s="15" t="s">
        <v>1551</v>
      </c>
      <c r="E134" s="16">
        <v>38972</v>
      </c>
      <c r="F134" s="19"/>
      <c r="G134" s="18"/>
      <c r="H134" s="16"/>
      <c r="I134" s="16"/>
      <c r="J134" s="17">
        <v>0</v>
      </c>
      <c r="K134" s="16">
        <v>49242</v>
      </c>
      <c r="L134" s="20" t="str">
        <f ca="1">_xll.meLWOBondCreateFromGeneratorLVB(C134,$L$4,_xll.meUtilityLVBFromKeysValues($C$6:$K$6,C134:K134))</f>
        <v>FR0010372052:0</v>
      </c>
      <c r="M134" s="92">
        <f ca="1">_xll.BDP($B134,$M$5)</f>
        <v>1.3570878642891859</v>
      </c>
      <c r="N134" s="89">
        <f ca="1">_xll.meLWOBondCleanPrice($L134,$C$4,$M134%)</f>
        <v>80.57600000000005</v>
      </c>
      <c r="O134" s="89">
        <f ca="1">_xll.meLWOBondDirtyPrice($L134,$C$4,$M134%)</f>
        <v>80.57600000000005</v>
      </c>
      <c r="P134" s="72">
        <f ca="1">_xll.meLWOBondYield($L134,$C$4,N134)</f>
        <v>1.3570878642891807E-2</v>
      </c>
      <c r="Q134" s="89">
        <f ca="1">_xll.meLWOBondModifiedDuration($L134,$C$4,$M134%)</f>
        <v>15.807397534616944</v>
      </c>
      <c r="R134" s="23">
        <f ca="1">_xll.meLWOBondDV01($L134,$C$4,$M134%)</f>
        <v>1273.6968637492957</v>
      </c>
      <c r="S134" s="21">
        <f t="shared" ca="1" si="8"/>
        <v>1.3570878642891859</v>
      </c>
      <c r="T134" s="22" t="str">
        <f ca="1">_xll.BDP($B134,T$6, "YAS_BOND_YLD="&amp;S134,"YAS_YLD_CONV=1")</f>
        <v>#N/A Requesting Data...</v>
      </c>
      <c r="U134" s="23">
        <f t="shared" ca="1" si="9"/>
        <v>80.57600000000005</v>
      </c>
      <c r="V134" s="24" t="e">
        <f t="shared" ca="1" si="5"/>
        <v>#VALUE!</v>
      </c>
      <c r="W134" s="23">
        <f ca="1">_xll.meLWOBondDV01($L134,$C$4,$S134%)</f>
        <v>1273.6968637492957</v>
      </c>
      <c r="X134" s="22" t="e">
        <f ca="1">_xll.BDP($B134,X$6, "YLD_YTM_ASK="&amp;$S134,"YAS_YLD_CONV=1")*$X$3*0.0001</f>
        <v>#VALUE!</v>
      </c>
      <c r="Y134" s="24" t="e">
        <f t="shared" ca="1" si="6"/>
        <v>#VALUE!</v>
      </c>
      <c r="Z134" s="23">
        <f ca="1">_xll.meLWOBondModifiedDuration($L134,$C$4,$S134%)</f>
        <v>15.807397534616944</v>
      </c>
      <c r="AA134" s="23">
        <f ca="1">_xll.BDP($B134,AA$6, "YLD_YTM_ASK="&amp;$G134,"YAS_YLD_CONV=1")</f>
        <v>15.807405401639285</v>
      </c>
      <c r="AB134" s="22">
        <f t="shared" ca="1" si="7"/>
        <v>7.8670223402355077E-6</v>
      </c>
      <c r="AC134" s="24">
        <f ca="1">_xll.meLWOBondDV01Numerical($L134,$C$4,$S134%, 0.5, "CENTRAL")</f>
        <v>1273.6970222223933</v>
      </c>
    </row>
    <row r="135" spans="2:29">
      <c r="B135" s="15" t="s">
        <v>1206</v>
      </c>
      <c r="C135" s="15" t="s">
        <v>1207</v>
      </c>
      <c r="D135" s="15" t="s">
        <v>1207</v>
      </c>
      <c r="E135" s="16">
        <v>38083</v>
      </c>
      <c r="F135" s="19">
        <v>37736</v>
      </c>
      <c r="G135" s="18"/>
      <c r="H135" s="16">
        <v>38102</v>
      </c>
      <c r="I135" s="16">
        <v>49059</v>
      </c>
      <c r="J135" s="17">
        <v>4.7500000000000001E-2</v>
      </c>
      <c r="K135" s="16">
        <v>49424</v>
      </c>
      <c r="L135" s="20" t="str">
        <f ca="1">_xll.meLWOBondCreateFromGeneratorLVB(C135,$L$4,_xll.meUtilityLVBFromKeysValues($C$6:$K$6,C135:K135))</f>
        <v>FR0010070060:0</v>
      </c>
      <c r="M135" s="92">
        <f ca="1">_xll.BDP($B135,$M$5)</f>
        <v>1.1909039387477285</v>
      </c>
      <c r="N135" s="89">
        <f ca="1">_xll.meLWOBondCleanPrice($L135,$C$4,$M135%)</f>
        <v>153.08300000007748</v>
      </c>
      <c r="O135" s="89">
        <f ca="1">_xll.meLWOBondDirtyPrice($L135,$C$4,$M135%)</f>
        <v>155.36039730007747</v>
      </c>
      <c r="P135" s="72">
        <f ca="1">_xll.meLWOBondYield($L135,$C$4,N135)</f>
        <v>1.1909039387477395E-2</v>
      </c>
      <c r="Q135" s="89">
        <f ca="1">_xll.meLWOBondModifiedDuration($L135,$C$4,$M135%)</f>
        <v>12.472938109117898</v>
      </c>
      <c r="R135" s="23">
        <f ca="1">_xll.meLWOBondDV01($L135,$C$4,$M135%)</f>
        <v>1937.8006201318335</v>
      </c>
      <c r="S135" s="21">
        <f t="shared" ca="1" si="8"/>
        <v>1.1909039387477285</v>
      </c>
      <c r="T135" s="22" t="str">
        <f ca="1">_xll.BDP($B135,T$6, "YAS_BOND_YLD="&amp;S135,"YAS_YLD_CONV=1")</f>
        <v>#N/A Requesting Data...</v>
      </c>
      <c r="U135" s="23">
        <f t="shared" ca="1" si="9"/>
        <v>153.08300000007748</v>
      </c>
      <c r="V135" s="24" t="e">
        <f t="shared" ref="V135:V198" ca="1" si="10">ABS(U135-T135)</f>
        <v>#VALUE!</v>
      </c>
      <c r="W135" s="23">
        <f ca="1">_xll.meLWOBondDV01($L135,$C$4,$S135%)</f>
        <v>1937.8006201318335</v>
      </c>
      <c r="X135" s="22" t="e">
        <f ca="1">_xll.BDP($B135,X$6, "YLD_YTM_ASK="&amp;$S135,"YAS_YLD_CONV=1")*$X$3*0.0001</f>
        <v>#VALUE!</v>
      </c>
      <c r="Y135" s="24" t="e">
        <f t="shared" ref="Y135:Y198" ca="1" si="11">ABS(X135-W135)</f>
        <v>#VALUE!</v>
      </c>
      <c r="Z135" s="23">
        <f ca="1">_xll.meLWOBondModifiedDuration($L135,$C$4,$S135%)</f>
        <v>12.472938109117898</v>
      </c>
      <c r="AA135" s="23">
        <f ca="1">_xll.BDP($B135,AA$6, "YLD_YTM_ASK="&amp;$G135,"YAS_YLD_CONV=1")</f>
        <v>12.472902452947617</v>
      </c>
      <c r="AB135" s="22">
        <f t="shared" ref="AB135:AB198" ca="1" si="12">ABS(AA135-Z135)</f>
        <v>3.5656170281228583E-5</v>
      </c>
      <c r="AC135" s="24">
        <f ca="1">_xll.meLWOBondDV01Numerical($L135,$C$4,$S135%, 0.5, "CENTRAL")</f>
        <v>1937.8008400656202</v>
      </c>
    </row>
    <row r="136" spans="2:29">
      <c r="B136" s="15" t="s">
        <v>1232</v>
      </c>
      <c r="C136" s="15" t="s">
        <v>1233</v>
      </c>
      <c r="D136" s="15" t="s">
        <v>1233</v>
      </c>
      <c r="E136" s="16">
        <v>40140</v>
      </c>
      <c r="F136" s="19"/>
      <c r="G136" s="18"/>
      <c r="H136" s="16"/>
      <c r="I136" s="16"/>
      <c r="J136" s="17">
        <v>0</v>
      </c>
      <c r="K136" s="16">
        <v>49424</v>
      </c>
      <c r="L136" s="20" t="str">
        <f ca="1">_xll.meLWOBondCreateFromGeneratorLVB(C136,$L$4,_xll.meUtilityLVBFromKeysValues($C$6:$K$6,C136:K136))</f>
        <v>FR0010809483:0</v>
      </c>
      <c r="M136" s="92">
        <f ca="1">_xll.BDP($B136,$M$5)</f>
        <v>1.3122832602357359</v>
      </c>
      <c r="N136" s="89">
        <f ca="1">_xll.meLWOBondCleanPrice($L136,$C$4,$M136%)</f>
        <v>80.622999999999905</v>
      </c>
      <c r="O136" s="89">
        <f ca="1">_xll.meLWOBondDirtyPrice($L136,$C$4,$M136%)</f>
        <v>80.622999999999905</v>
      </c>
      <c r="P136" s="72">
        <f ca="1">_xll.meLWOBondYield($L136,$C$4,N136)</f>
        <v>1.3122832602357434E-2</v>
      </c>
      <c r="Q136" s="89">
        <f ca="1">_xll.meLWOBondModifiedDuration($L136,$C$4,$M136%)</f>
        <v>16.306559692046406</v>
      </c>
      <c r="R136" s="23">
        <f ca="1">_xll.meLWOBondDV01($L136,$C$4,$M136%)</f>
        <v>1314.6837620518559</v>
      </c>
      <c r="S136" s="21">
        <f t="shared" ref="S136:S199" ca="1" si="13">M136</f>
        <v>1.3122832602357359</v>
      </c>
      <c r="T136" s="22" t="str">
        <f ca="1">_xll.BDP($B136,T$6, "YAS_BOND_YLD="&amp;S136,"YAS_YLD_CONV=1")</f>
        <v>#N/A Requesting Data...</v>
      </c>
      <c r="U136" s="23">
        <f t="shared" ref="U136:U199" ca="1" si="14">N136</f>
        <v>80.622999999999905</v>
      </c>
      <c r="V136" s="24" t="e">
        <f t="shared" ca="1" si="10"/>
        <v>#VALUE!</v>
      </c>
      <c r="W136" s="23">
        <f ca="1">_xll.meLWOBondDV01($L136,$C$4,$S136%)</f>
        <v>1314.6837620518559</v>
      </c>
      <c r="X136" s="22" t="e">
        <f ca="1">_xll.BDP($B136,X$6, "YLD_YTM_ASK="&amp;$S136,"YAS_YLD_CONV=1")*$X$3*0.0001</f>
        <v>#VALUE!</v>
      </c>
      <c r="Y136" s="24" t="e">
        <f t="shared" ca="1" si="11"/>
        <v>#VALUE!</v>
      </c>
      <c r="Z136" s="23">
        <f ca="1">_xll.meLWOBondModifiedDuration($L136,$C$4,$S136%)</f>
        <v>16.306559692046406</v>
      </c>
      <c r="AA136" s="23">
        <f ca="1">_xll.BDP($B136,AA$6, "YLD_YTM_ASK="&amp;$G136,"YAS_YLD_CONV=1")</f>
        <v>16.306568283931508</v>
      </c>
      <c r="AB136" s="22">
        <f t="shared" ca="1" si="12"/>
        <v>8.5918851020494458E-6</v>
      </c>
      <c r="AC136" s="24">
        <f ca="1">_xll.meLWOBondDV01Numerical($L136,$C$4,$S136%, 0.5, "CENTRAL")</f>
        <v>1314.6839352276629</v>
      </c>
    </row>
    <row r="137" spans="2:29">
      <c r="B137" s="15" t="s">
        <v>1258</v>
      </c>
      <c r="C137" s="15" t="s">
        <v>1259</v>
      </c>
      <c r="D137" s="15" t="s">
        <v>1259</v>
      </c>
      <c r="E137" s="16">
        <v>38083</v>
      </c>
      <c r="F137" s="19"/>
      <c r="G137" s="18"/>
      <c r="H137" s="16"/>
      <c r="I137" s="16"/>
      <c r="J137" s="17">
        <v>0</v>
      </c>
      <c r="K137" s="16">
        <v>49424</v>
      </c>
      <c r="L137" s="20" t="str">
        <f ca="1">_xll.meLWOBondCreateFromGeneratorLVB(C137,$L$4,_xll.meUtilityLVBFromKeysValues($C$6:$K$6,C137:K137))</f>
        <v>FR0010070078:0</v>
      </c>
      <c r="M137" s="92">
        <f ca="1">_xll.BDP($B137,$M$5)</f>
        <v>1.2956492110872242</v>
      </c>
      <c r="N137" s="89">
        <f ca="1">_xll.meLWOBondCleanPrice($L137,$C$4,$M137%)</f>
        <v>80.841999999999885</v>
      </c>
      <c r="O137" s="89">
        <f ca="1">_xll.meLWOBondDirtyPrice($L137,$C$4,$M137%)</f>
        <v>80.841999999999885</v>
      </c>
      <c r="P137" s="72">
        <f ca="1">_xll.meLWOBondYield($L137,$C$4,N137)</f>
        <v>1.2956492110872193E-2</v>
      </c>
      <c r="Q137" s="89">
        <f ca="1">_xll.meLWOBondModifiedDuration($L137,$C$4,$M137%)</f>
        <v>16.309237438992827</v>
      </c>
      <c r="R137" s="23">
        <f ca="1">_xll.meLWOBondDV01($L137,$C$4,$M137%)</f>
        <v>1318.4713730430562</v>
      </c>
      <c r="S137" s="21">
        <f t="shared" ca="1" si="13"/>
        <v>1.2956492110872242</v>
      </c>
      <c r="T137" s="22" t="str">
        <f ca="1">_xll.BDP($B137,T$6, "YAS_BOND_YLD="&amp;S137,"YAS_YLD_CONV=1")</f>
        <v>#N/A Requesting Data...</v>
      </c>
      <c r="U137" s="23">
        <f t="shared" ca="1" si="14"/>
        <v>80.841999999999885</v>
      </c>
      <c r="V137" s="24" t="e">
        <f t="shared" ca="1" si="10"/>
        <v>#VALUE!</v>
      </c>
      <c r="W137" s="23">
        <f ca="1">_xll.meLWOBondDV01($L137,$C$4,$S137%)</f>
        <v>1318.4713730430562</v>
      </c>
      <c r="X137" s="22" t="e">
        <f ca="1">_xll.BDP($B137,X$6, "YLD_YTM_ASK="&amp;$S137,"YAS_YLD_CONV=1")*$X$3*0.0001</f>
        <v>#VALUE!</v>
      </c>
      <c r="Y137" s="24" t="e">
        <f t="shared" ca="1" si="11"/>
        <v>#VALUE!</v>
      </c>
      <c r="Z137" s="23">
        <f ca="1">_xll.meLWOBondModifiedDuration($L137,$C$4,$S137%)</f>
        <v>16.309237438992827</v>
      </c>
      <c r="AA137" s="23">
        <f ca="1">_xll.BDP($B137,AA$6, "YLD_YTM_ASK="&amp;$G137,"YAS_YLD_CONV=1")</f>
        <v>16.309246035111421</v>
      </c>
      <c r="AB137" s="22">
        <f t="shared" ca="1" si="12"/>
        <v>8.5961185938288054E-6</v>
      </c>
      <c r="AC137" s="24">
        <f ca="1">_xll.meLWOBondDV01Numerical($L137,$C$4,$S137%, 0.5, "CENTRAL")</f>
        <v>1318.471546774731</v>
      </c>
    </row>
    <row r="138" spans="2:29">
      <c r="B138" s="15" t="s">
        <v>1510</v>
      </c>
      <c r="C138" s="15" t="s">
        <v>1511</v>
      </c>
      <c r="D138" s="15" t="s">
        <v>1511</v>
      </c>
      <c r="E138" s="16">
        <v>38083</v>
      </c>
      <c r="F138" s="19"/>
      <c r="G138" s="18"/>
      <c r="H138" s="16"/>
      <c r="I138" s="16"/>
      <c r="J138" s="17">
        <v>0</v>
      </c>
      <c r="K138" s="16">
        <v>49424</v>
      </c>
      <c r="L138" s="20" t="str">
        <f ca="1">_xll.meLWOBondCreateFromGeneratorLVB(C138,$L$4,_xll.meUtilityLVBFromKeysValues($C$6:$K$6,C138:K138))</f>
        <v>FR0010070144:0</v>
      </c>
      <c r="M138" s="92">
        <f ca="1">_xll.BDP($B138,$M$5)</f>
        <v>1.3834588561997707</v>
      </c>
      <c r="N138" s="89">
        <f ca="1">_xll.meLWOBondCleanPrice($L138,$C$4,$M138%)</f>
        <v>79.692999999999927</v>
      </c>
      <c r="O138" s="89">
        <f ca="1">_xll.meLWOBondDirtyPrice($L138,$C$4,$M138%)</f>
        <v>79.692999999999927</v>
      </c>
      <c r="P138" s="72">
        <f ca="1">_xll.meLWOBondYield($L138,$C$4,N138)</f>
        <v>1.3834588561997667E-2</v>
      </c>
      <c r="Q138" s="89">
        <f ca="1">_xll.meLWOBondModifiedDuration($L138,$C$4,$M138%)</f>
        <v>16.295111778182559</v>
      </c>
      <c r="R138" s="23">
        <f ca="1">_xll.meLWOBondDV01($L138,$C$4,$M138%)</f>
        <v>1298.6063429387016</v>
      </c>
      <c r="S138" s="21">
        <f t="shared" ca="1" si="13"/>
        <v>1.3834588561997707</v>
      </c>
      <c r="T138" s="22" t="str">
        <f ca="1">_xll.BDP($B138,T$6, "YAS_BOND_YLD="&amp;S138,"YAS_YLD_CONV=1")</f>
        <v>#N/A Requesting Data...</v>
      </c>
      <c r="U138" s="23">
        <f t="shared" ca="1" si="14"/>
        <v>79.692999999999927</v>
      </c>
      <c r="V138" s="24" t="e">
        <f t="shared" ca="1" si="10"/>
        <v>#VALUE!</v>
      </c>
      <c r="W138" s="23">
        <f ca="1">_xll.meLWOBondDV01($L138,$C$4,$S138%)</f>
        <v>1298.6063429387016</v>
      </c>
      <c r="X138" s="22" t="e">
        <f ca="1">_xll.BDP($B138,X$6, "YLD_YTM_ASK="&amp;$S138,"YAS_YLD_CONV=1")*$X$3*0.0001</f>
        <v>#VALUE!</v>
      </c>
      <c r="Y138" s="24" t="e">
        <f t="shared" ca="1" si="11"/>
        <v>#VALUE!</v>
      </c>
      <c r="Z138" s="23">
        <f ca="1">_xll.meLWOBondModifiedDuration($L138,$C$4,$S138%)</f>
        <v>16.295111778182559</v>
      </c>
      <c r="AA138" s="23">
        <f ca="1">_xll.BDP($B138,AA$6, "YLD_YTM_ASK="&amp;$G138,"YAS_YLD_CONV=1")</f>
        <v>16.295120351983122</v>
      </c>
      <c r="AB138" s="22">
        <f t="shared" ca="1" si="12"/>
        <v>8.573800563738132E-6</v>
      </c>
      <c r="AC138" s="24">
        <f ca="1">_xll.meLWOBondDV01Numerical($L138,$C$4,$S138%, 0.5, "CENTRAL")</f>
        <v>1298.6065137563685</v>
      </c>
    </row>
    <row r="139" spans="2:29">
      <c r="B139" s="15" t="s">
        <v>1562</v>
      </c>
      <c r="C139" s="15" t="s">
        <v>1563</v>
      </c>
      <c r="D139" s="15" t="s">
        <v>1563</v>
      </c>
      <c r="E139" s="16">
        <v>41368</v>
      </c>
      <c r="F139" s="19"/>
      <c r="G139" s="18"/>
      <c r="H139" s="16"/>
      <c r="I139" s="16"/>
      <c r="J139" s="17">
        <v>0</v>
      </c>
      <c r="K139" s="16">
        <v>49454</v>
      </c>
      <c r="L139" s="20" t="str">
        <f ca="1">_xll.meLWOBondCreateFromGeneratorLVB(C139,$L$4,_xll.meUtilityLVBFromKeysValues($C$6:$K$6,C139:K139))</f>
        <v>FR0011461565:0</v>
      </c>
      <c r="M139" s="92">
        <f ca="1">_xll.BDP($B139,$M$5)</f>
        <v>1.3538520657165654</v>
      </c>
      <c r="N139" s="89">
        <f ca="1">_xll.meLWOBondCleanPrice($L139,$C$4,$M139%)</f>
        <v>79.989999999999867</v>
      </c>
      <c r="O139" s="89">
        <f ca="1">_xll.meLWOBondDirtyPrice($L139,$C$4,$M139%)</f>
        <v>79.989999999999867</v>
      </c>
      <c r="P139" s="72">
        <f ca="1">_xll.meLWOBondYield($L139,$C$4,N139)</f>
        <v>1.3538520657165553E-2</v>
      </c>
      <c r="Q139" s="89">
        <f ca="1">_xll.meLWOBondModifiedDuration($L139,$C$4,$M139%)</f>
        <v>16.380965683733844</v>
      </c>
      <c r="R139" s="23">
        <f ca="1">_xll.meLWOBondDV01($L139,$C$4,$M139%)</f>
        <v>1310.3134450418681</v>
      </c>
      <c r="S139" s="21">
        <f t="shared" ca="1" si="13"/>
        <v>1.3538520657165654</v>
      </c>
      <c r="T139" s="22" t="str">
        <f ca="1">_xll.BDP($B139,T$6, "YAS_BOND_YLD="&amp;S139,"YAS_YLD_CONV=1")</f>
        <v>#N/A Requesting Data...</v>
      </c>
      <c r="U139" s="23">
        <f t="shared" ca="1" si="14"/>
        <v>79.989999999999867</v>
      </c>
      <c r="V139" s="24" t="e">
        <f t="shared" ca="1" si="10"/>
        <v>#VALUE!</v>
      </c>
      <c r="W139" s="23">
        <f ca="1">_xll.meLWOBondDV01($L139,$C$4,$S139%)</f>
        <v>1310.3134450418681</v>
      </c>
      <c r="X139" s="22" t="e">
        <f ca="1">_xll.BDP($B139,X$6, "YLD_YTM_ASK="&amp;$S139,"YAS_YLD_CONV=1")*$X$3*0.0001</f>
        <v>#VALUE!</v>
      </c>
      <c r="Y139" s="24" t="e">
        <f t="shared" ca="1" si="11"/>
        <v>#VALUE!</v>
      </c>
      <c r="Z139" s="23">
        <f ca="1">_xll.meLWOBondModifiedDuration($L139,$C$4,$S139%)</f>
        <v>16.380965683733844</v>
      </c>
      <c r="AA139" s="23">
        <f ca="1">_xll.BDP($B139,AA$6, "YLD_YTM_ASK="&amp;$G139,"YAS_YLD_CONV=1")</f>
        <v>16.380974386652113</v>
      </c>
      <c r="AB139" s="22">
        <f t="shared" ca="1" si="12"/>
        <v>8.7029182687103912E-6</v>
      </c>
      <c r="AC139" s="24">
        <f ca="1">_xll.meLWOBondDV01Numerical($L139,$C$4,$S139%, 0.5, "CENTRAL")</f>
        <v>1310.3136190783007</v>
      </c>
    </row>
    <row r="140" spans="2:29">
      <c r="B140" s="15" t="s">
        <v>1358</v>
      </c>
      <c r="C140" s="15" t="s">
        <v>1359</v>
      </c>
      <c r="D140" s="15" t="s">
        <v>1359</v>
      </c>
      <c r="E140" s="16">
        <v>40140</v>
      </c>
      <c r="F140" s="19"/>
      <c r="G140" s="18"/>
      <c r="H140" s="16"/>
      <c r="I140" s="16"/>
      <c r="J140" s="17">
        <v>0</v>
      </c>
      <c r="K140" s="16">
        <v>49607</v>
      </c>
      <c r="L140" s="20" t="str">
        <f ca="1">_xll.meLWOBondCreateFromGeneratorLVB(C140,$L$4,_xll.meUtilityLVBFromKeysValues($C$6:$K$6,C140:K140))</f>
        <v>FR0010810010:0</v>
      </c>
      <c r="M140" s="92">
        <f ca="1">_xll.BDP($B140,$M$5)</f>
        <v>1.3462490276911598</v>
      </c>
      <c r="N140" s="89">
        <f ca="1">_xll.meLWOBondCleanPrice($L140,$C$4,$M140%)</f>
        <v>79.641999999999967</v>
      </c>
      <c r="O140" s="89">
        <f ca="1">_xll.meLWOBondDirtyPrice($L140,$C$4,$M140%)</f>
        <v>79.641999999999967</v>
      </c>
      <c r="P140" s="72">
        <f ca="1">_xll.meLWOBondYield($L140,$C$4,N140)</f>
        <v>1.3462490276911635E-2</v>
      </c>
      <c r="Q140" s="89">
        <f ca="1">_xll.meLWOBondModifiedDuration($L140,$C$4,$M140%)</f>
        <v>16.79580445406344</v>
      </c>
      <c r="R140" s="23">
        <f ca="1">_xll.meLWOBondDV01($L140,$C$4,$M140%)</f>
        <v>1337.65145833052</v>
      </c>
      <c r="S140" s="21">
        <f t="shared" ca="1" si="13"/>
        <v>1.3462490276911598</v>
      </c>
      <c r="T140" s="22" t="str">
        <f ca="1">_xll.BDP($B140,T$6, "YAS_BOND_YLD="&amp;S140,"YAS_YLD_CONV=1")</f>
        <v>#N/A Requesting Data...</v>
      </c>
      <c r="U140" s="23">
        <f t="shared" ca="1" si="14"/>
        <v>79.641999999999967</v>
      </c>
      <c r="V140" s="24" t="e">
        <f t="shared" ca="1" si="10"/>
        <v>#VALUE!</v>
      </c>
      <c r="W140" s="23">
        <f ca="1">_xll.meLWOBondDV01($L140,$C$4,$S140%)</f>
        <v>1337.65145833052</v>
      </c>
      <c r="X140" s="22" t="e">
        <f ca="1">_xll.BDP($B140,X$6, "YLD_YTM_ASK="&amp;$S140,"YAS_YLD_CONV=1")*$X$3*0.0001</f>
        <v>#VALUE!</v>
      </c>
      <c r="Y140" s="24" t="e">
        <f t="shared" ca="1" si="11"/>
        <v>#VALUE!</v>
      </c>
      <c r="Z140" s="23">
        <f ca="1">_xll.meLWOBondModifiedDuration($L140,$C$4,$S140%)</f>
        <v>16.79580445406344</v>
      </c>
      <c r="AA140" s="23">
        <f ca="1">_xll.BDP($B140,AA$6, "YLD_YTM_ASK="&amp;$G140,"YAS_YLD_CONV=1")</f>
        <v>16.795813797133082</v>
      </c>
      <c r="AB140" s="22">
        <f t="shared" ca="1" si="12"/>
        <v>9.3430696423979498E-6</v>
      </c>
      <c r="AC140" s="24">
        <f ca="1">_xll.meLWOBondDV01Numerical($L140,$C$4,$S140%, 0.5, "CENTRAL")</f>
        <v>1337.6516443584308</v>
      </c>
    </row>
    <row r="141" spans="2:29">
      <c r="B141" s="15" t="s">
        <v>1432</v>
      </c>
      <c r="C141" s="15" t="s">
        <v>1433</v>
      </c>
      <c r="D141" s="15" t="s">
        <v>1433</v>
      </c>
      <c r="E141" s="16">
        <v>38972</v>
      </c>
      <c r="F141" s="19"/>
      <c r="G141" s="18"/>
      <c r="H141" s="16"/>
      <c r="I141" s="16"/>
      <c r="J141" s="17">
        <v>0</v>
      </c>
      <c r="K141" s="16">
        <v>49607</v>
      </c>
      <c r="L141" s="20" t="str">
        <f ca="1">_xll.meLWOBondCreateFromGeneratorLVB(C141,$L$4,_xll.meUtilityLVBFromKeysValues($C$6:$K$6,C141:K141))</f>
        <v>FR0010372060:0</v>
      </c>
      <c r="M141" s="92">
        <f ca="1">_xll.BDP($B141,$M$5)</f>
        <v>1.3962594623765812</v>
      </c>
      <c r="N141" s="89">
        <f ca="1">_xll.meLWOBondCleanPrice($L141,$C$4,$M141%)</f>
        <v>78.976000000000141</v>
      </c>
      <c r="O141" s="89">
        <f ca="1">_xll.meLWOBondDirtyPrice($L141,$C$4,$M141%)</f>
        <v>78.976000000000141</v>
      </c>
      <c r="P141" s="72">
        <f ca="1">_xll.meLWOBondYield($L141,$C$4,N141)</f>
        <v>1.3962594623765772E-2</v>
      </c>
      <c r="Q141" s="89">
        <f ca="1">_xll.meLWOBondModifiedDuration($L141,$C$4,$M141%)</f>
        <v>16.787520465225068</v>
      </c>
      <c r="R141" s="23">
        <f ca="1">_xll.meLWOBondDV01($L141,$C$4,$M141%)</f>
        <v>1325.8112162616173</v>
      </c>
      <c r="S141" s="21">
        <f t="shared" ca="1" si="13"/>
        <v>1.3962594623765812</v>
      </c>
      <c r="T141" s="22" t="str">
        <f ca="1">_xll.BDP($B141,T$6, "YAS_BOND_YLD="&amp;S141,"YAS_YLD_CONV=1")</f>
        <v>#N/A Requesting Data...</v>
      </c>
      <c r="U141" s="23">
        <f t="shared" ca="1" si="14"/>
        <v>78.976000000000141</v>
      </c>
      <c r="V141" s="24" t="e">
        <f t="shared" ca="1" si="10"/>
        <v>#VALUE!</v>
      </c>
      <c r="W141" s="23">
        <f ca="1">_xll.meLWOBondDV01($L141,$C$4,$S141%)</f>
        <v>1325.8112162616173</v>
      </c>
      <c r="X141" s="22" t="e">
        <f ca="1">_xll.BDP($B141,X$6, "YLD_YTM_ASK="&amp;$S141,"YAS_YLD_CONV=1")*$X$3*0.0001</f>
        <v>#VALUE!</v>
      </c>
      <c r="Y141" s="24" t="e">
        <f t="shared" ca="1" si="11"/>
        <v>#VALUE!</v>
      </c>
      <c r="Z141" s="23">
        <f ca="1">_xll.meLWOBondModifiedDuration($L141,$C$4,$S141%)</f>
        <v>16.787520465225068</v>
      </c>
      <c r="AA141" s="23">
        <f ca="1">_xll.BDP($B141,AA$6, "YLD_YTM_ASK="&amp;$G141,"YAS_YLD_CONV=1")</f>
        <v>16.787529794474793</v>
      </c>
      <c r="AB141" s="22">
        <f t="shared" ca="1" si="12"/>
        <v>9.3292497247432493E-6</v>
      </c>
      <c r="AC141" s="24">
        <f ca="1">_xll.meLWOBondDV01Numerical($L141,$C$4,$S141%, 0.5, "CENTRAL")</f>
        <v>1325.81140045815</v>
      </c>
    </row>
    <row r="142" spans="2:29">
      <c r="B142" s="15" t="s">
        <v>1268</v>
      </c>
      <c r="C142" s="15" t="s">
        <v>1269</v>
      </c>
      <c r="D142" s="15" t="s">
        <v>1269</v>
      </c>
      <c r="E142" s="16">
        <v>40140</v>
      </c>
      <c r="F142" s="19"/>
      <c r="G142" s="18"/>
      <c r="H142" s="16"/>
      <c r="I142" s="16"/>
      <c r="J142" s="17">
        <v>0</v>
      </c>
      <c r="K142" s="16">
        <v>49790</v>
      </c>
      <c r="L142" s="20" t="str">
        <f ca="1">_xll.meLWOBondCreateFromGeneratorLVB(C142,$L$4,_xll.meUtilityLVBFromKeysValues($C$6:$K$6,C142:K142))</f>
        <v>FR0010809673:0</v>
      </c>
      <c r="M142" s="92">
        <f ca="1">_xll.BDP($B142,$M$5)</f>
        <v>1.3793030196670442</v>
      </c>
      <c r="N142" s="89">
        <f ca="1">_xll.meLWOBondCleanPrice($L142,$C$4,$M142%)</f>
        <v>78.662000000000091</v>
      </c>
      <c r="O142" s="89">
        <f ca="1">_xll.meLWOBondDirtyPrice($L142,$C$4,$M142%)</f>
        <v>78.662000000000091</v>
      </c>
      <c r="P142" s="72">
        <f ca="1">_xll.meLWOBondYield($L142,$C$4,N142)</f>
        <v>1.3793030196670331E-2</v>
      </c>
      <c r="Q142" s="89">
        <f ca="1">_xll.meLWOBondModifiedDuration($L142,$C$4,$M142%)</f>
        <v>17.282174391953145</v>
      </c>
      <c r="R142" s="23">
        <f ca="1">_xll.meLWOBondDV01($L142,$C$4,$M142%)</f>
        <v>1359.4504020198199</v>
      </c>
      <c r="S142" s="21">
        <f t="shared" ca="1" si="13"/>
        <v>1.3793030196670442</v>
      </c>
      <c r="T142" s="22" t="str">
        <f ca="1">_xll.BDP($B142,T$6, "YAS_BOND_YLD="&amp;S142,"YAS_YLD_CONV=1")</f>
        <v>#N/A Requesting Data...</v>
      </c>
      <c r="U142" s="23">
        <f t="shared" ca="1" si="14"/>
        <v>78.662000000000091</v>
      </c>
      <c r="V142" s="24" t="e">
        <f t="shared" ca="1" si="10"/>
        <v>#VALUE!</v>
      </c>
      <c r="W142" s="23">
        <f ca="1">_xll.meLWOBondDV01($L142,$C$4,$S142%)</f>
        <v>1359.4504020198199</v>
      </c>
      <c r="X142" s="22" t="e">
        <f ca="1">_xll.BDP($B142,X$6, "YLD_YTM_ASK="&amp;$S142,"YAS_YLD_CONV=1")*$X$3*0.0001</f>
        <v>#VALUE!</v>
      </c>
      <c r="Y142" s="24" t="e">
        <f t="shared" ca="1" si="11"/>
        <v>#VALUE!</v>
      </c>
      <c r="Z142" s="23">
        <f ca="1">_xll.meLWOBondModifiedDuration($L142,$C$4,$S142%)</f>
        <v>17.282174391953145</v>
      </c>
      <c r="AA142" s="23">
        <f ca="1">_xll.BDP($B142,AA$6, "YLD_YTM_ASK="&amp;$G142,"YAS_YLD_CONV=1")</f>
        <v>17.282184523933743</v>
      </c>
      <c r="AB142" s="22">
        <f t="shared" ca="1" si="12"/>
        <v>1.0131980598515611E-5</v>
      </c>
      <c r="AC142" s="24">
        <f ca="1">_xll.meLWOBondDV01Numerical($L142,$C$4,$S142%, 0.5, "CENTRAL")</f>
        <v>1359.4506012702823</v>
      </c>
    </row>
    <row r="143" spans="2:29">
      <c r="B143" s="15" t="s">
        <v>1540</v>
      </c>
      <c r="C143" s="15" t="s">
        <v>1541</v>
      </c>
      <c r="D143" s="15" t="s">
        <v>1541</v>
      </c>
      <c r="E143" s="16">
        <v>38411</v>
      </c>
      <c r="F143" s="19"/>
      <c r="G143" s="18"/>
      <c r="H143" s="16"/>
      <c r="I143" s="16"/>
      <c r="J143" s="17">
        <v>0</v>
      </c>
      <c r="K143" s="16">
        <v>49790</v>
      </c>
      <c r="L143" s="20" t="str">
        <f ca="1">_xll.meLWOBondCreateFromGeneratorLVB(C143,$L$4,_xll.meUtilityLVBFromKeysValues($C$6:$K$6,C143:K143))</f>
        <v>FR0010172213:0</v>
      </c>
      <c r="M143" s="92">
        <f ca="1">_xll.BDP($B143,$M$5)</f>
        <v>1.4133932632538482</v>
      </c>
      <c r="N143" s="89">
        <f ca="1">_xll.meLWOBondCleanPrice($L143,$C$4,$M143%)</f>
        <v>78.199999999999875</v>
      </c>
      <c r="O143" s="89">
        <f ca="1">_xll.meLWOBondDirtyPrice($L143,$C$4,$M143%)</f>
        <v>78.199999999999875</v>
      </c>
      <c r="P143" s="72">
        <f ca="1">_xll.meLWOBondYield($L143,$C$4,N143)</f>
        <v>1.4133932632538438E-2</v>
      </c>
      <c r="Q143" s="89">
        <f ca="1">_xll.meLWOBondModifiedDuration($L143,$C$4,$M143%)</f>
        <v>17.276364966631959</v>
      </c>
      <c r="R143" s="23">
        <f ca="1">_xll.meLWOBondDV01($L143,$C$4,$M143%)</f>
        <v>1351.011740390617</v>
      </c>
      <c r="S143" s="21">
        <f t="shared" ca="1" si="13"/>
        <v>1.4133932632538482</v>
      </c>
      <c r="T143" s="22" t="str">
        <f ca="1">_xll.BDP($B143,T$6, "YAS_BOND_YLD="&amp;S143,"YAS_YLD_CONV=1")</f>
        <v>#N/A Requesting Data...</v>
      </c>
      <c r="U143" s="23">
        <f t="shared" ca="1" si="14"/>
        <v>78.199999999999875</v>
      </c>
      <c r="V143" s="24" t="e">
        <f t="shared" ca="1" si="10"/>
        <v>#VALUE!</v>
      </c>
      <c r="W143" s="23">
        <f ca="1">_xll.meLWOBondDV01($L143,$C$4,$S143%)</f>
        <v>1351.011740390617</v>
      </c>
      <c r="X143" s="22" t="e">
        <f ca="1">_xll.BDP($B143,X$6, "YLD_YTM_ASK="&amp;$S143,"YAS_YLD_CONV=1")*$X$3*0.0001</f>
        <v>#VALUE!</v>
      </c>
      <c r="Y143" s="24" t="e">
        <f t="shared" ca="1" si="11"/>
        <v>#VALUE!</v>
      </c>
      <c r="Z143" s="23">
        <f ca="1">_xll.meLWOBondModifiedDuration($L143,$C$4,$S143%)</f>
        <v>17.276364966631959</v>
      </c>
      <c r="AA143" s="23">
        <f ca="1">_xll.BDP($B143,AA$6, "YLD_YTM_ASK="&amp;$G143,"YAS_YLD_CONV=1")</f>
        <v>17.276375088399014</v>
      </c>
      <c r="AB143" s="22">
        <f t="shared" ca="1" si="12"/>
        <v>1.0121767054727115E-5</v>
      </c>
      <c r="AC143" s="24">
        <f ca="1">_xll.meLWOBondDV01Numerical($L143,$C$4,$S143%, 0.5, "CENTRAL")</f>
        <v>1351.0119382709718</v>
      </c>
    </row>
    <row r="144" spans="2:29">
      <c r="B144" s="15" t="s">
        <v>1170</v>
      </c>
      <c r="C144" s="15" t="s">
        <v>1171</v>
      </c>
      <c r="D144" s="15" t="s">
        <v>1171</v>
      </c>
      <c r="E144" s="16">
        <v>42479</v>
      </c>
      <c r="F144" s="19">
        <v>42149</v>
      </c>
      <c r="G144" s="18"/>
      <c r="H144" s="16">
        <v>42515</v>
      </c>
      <c r="I144" s="16">
        <v>49454</v>
      </c>
      <c r="J144" s="17">
        <v>1.2500000000000001E-2</v>
      </c>
      <c r="K144" s="16">
        <v>49820</v>
      </c>
      <c r="L144" s="20" t="str">
        <f ca="1">_xll.meLWOBondCreateFromGeneratorLVB(C144,$L$4,_xll.meUtilityLVBFromKeysValues($C$6:$K$6,C144:K144))</f>
        <v>FR0013154044:0</v>
      </c>
      <c r="M144" s="92">
        <f ca="1">_xll.BDP($B144,$M$5)</f>
        <v>1.344272890103831</v>
      </c>
      <c r="N144" s="89">
        <f ca="1">_xll.meLWOBondCleanPrice($L144,$C$4,$M144%)</f>
        <v>98.528999999856566</v>
      </c>
      <c r="O144" s="89">
        <f ca="1">_xll.meLWOBondDirtyPrice($L144,$C$4,$M144%)</f>
        <v>99.02557529985657</v>
      </c>
      <c r="P144" s="72">
        <f ca="1">_xll.meLWOBondYield($L144,$C$4,N144)</f>
        <v>1.3442728901038941E-2</v>
      </c>
      <c r="Q144" s="89">
        <f ca="1">_xll.meLWOBondModifiedDuration($L144,$C$4,$M144%)</f>
        <v>15.606147969208138</v>
      </c>
      <c r="R144" s="23">
        <f ca="1">_xll.meLWOBondDV01($L144,$C$4,$M144%)</f>
        <v>1545.407780865524</v>
      </c>
      <c r="S144" s="21">
        <f t="shared" ca="1" si="13"/>
        <v>1.344272890103831</v>
      </c>
      <c r="T144" s="22" t="str">
        <f ca="1">_xll.BDP($B144,T$6, "YAS_BOND_YLD="&amp;S144,"YAS_YLD_CONV=1")</f>
        <v>#N/A Requesting Data...</v>
      </c>
      <c r="U144" s="23">
        <f t="shared" ca="1" si="14"/>
        <v>98.528999999856566</v>
      </c>
      <c r="V144" s="24" t="e">
        <f t="shared" ca="1" si="10"/>
        <v>#VALUE!</v>
      </c>
      <c r="W144" s="23">
        <f ca="1">_xll.meLWOBondDV01($L144,$C$4,$S144%)</f>
        <v>1545.407780865524</v>
      </c>
      <c r="X144" s="22" t="e">
        <f ca="1">_xll.BDP($B144,X$6, "YLD_YTM_ASK="&amp;$S144,"YAS_YLD_CONV=1")*$X$3*0.0001</f>
        <v>#VALUE!</v>
      </c>
      <c r="Y144" s="24" t="e">
        <f t="shared" ca="1" si="11"/>
        <v>#VALUE!</v>
      </c>
      <c r="Z144" s="23">
        <f ca="1">_xll.meLWOBondModifiedDuration($L144,$C$4,$S144%)</f>
        <v>15.606147969208138</v>
      </c>
      <c r="AA144" s="23">
        <f ca="1">_xll.BDP($B144,AA$6, "YLD_YTM_ASK="&amp;$G144,"YAS_YLD_CONV=1")</f>
        <v>15.606178064427654</v>
      </c>
      <c r="AB144" s="22">
        <f t="shared" ca="1" si="12"/>
        <v>3.0095219516468319E-5</v>
      </c>
      <c r="AC144" s="24">
        <f ca="1">_xll.meLWOBondDV01Numerical($L144,$C$4,$S144%, 0.5, "CENTRAL")</f>
        <v>1545.4079976831283</v>
      </c>
    </row>
    <row r="145" spans="2:29">
      <c r="B145" s="15" t="s">
        <v>1366</v>
      </c>
      <c r="C145" s="15" t="s">
        <v>1367</v>
      </c>
      <c r="D145" s="15" t="s">
        <v>1367</v>
      </c>
      <c r="E145" s="16">
        <v>41368</v>
      </c>
      <c r="F145" s="19"/>
      <c r="G145" s="18"/>
      <c r="H145" s="16"/>
      <c r="I145" s="16"/>
      <c r="J145" s="17">
        <v>0</v>
      </c>
      <c r="K145" s="16">
        <v>49820</v>
      </c>
      <c r="L145" s="20" t="str">
        <f ca="1">_xll.meLWOBondCreateFromGeneratorLVB(C145,$L$4,_xll.meUtilityLVBFromKeysValues($C$6:$K$6,C145:K145))</f>
        <v>FR0011461573:0</v>
      </c>
      <c r="M145" s="92">
        <f ca="1">_xll.BDP($B145,$M$5)</f>
        <v>1.3633095619892677</v>
      </c>
      <c r="N145" s="89">
        <f ca="1">_xll.meLWOBondCleanPrice($L145,$C$4,$M145%)</f>
        <v>78.791999999999945</v>
      </c>
      <c r="O145" s="89">
        <f ca="1">_xll.meLWOBondDirtyPrice($L145,$C$4,$M145%)</f>
        <v>78.791999999999945</v>
      </c>
      <c r="P145" s="72">
        <f ca="1">_xll.meLWOBondYield($L145,$C$4,N145)</f>
        <v>1.3633095619892668E-2</v>
      </c>
      <c r="Q145" s="89">
        <f ca="1">_xll.meLWOBondModifiedDuration($L145,$C$4,$M145%)</f>
        <v>17.365987557127216</v>
      </c>
      <c r="R145" s="23">
        <f ca="1">_xll.meLWOBondDV01($L145,$C$4,$M145%)</f>
        <v>1368.3008916011668</v>
      </c>
      <c r="S145" s="21">
        <f t="shared" ca="1" si="13"/>
        <v>1.3633095619892677</v>
      </c>
      <c r="T145" s="22" t="str">
        <f ca="1">_xll.BDP($B145,T$6, "YAS_BOND_YLD="&amp;S145,"YAS_YLD_CONV=1")</f>
        <v>#N/A Requesting Data...</v>
      </c>
      <c r="U145" s="23">
        <f t="shared" ca="1" si="14"/>
        <v>78.791999999999945</v>
      </c>
      <c r="V145" s="24" t="e">
        <f t="shared" ca="1" si="10"/>
        <v>#VALUE!</v>
      </c>
      <c r="W145" s="23">
        <f ca="1">_xll.meLWOBondDV01($L145,$C$4,$S145%)</f>
        <v>1368.3008916011668</v>
      </c>
      <c r="X145" s="22" t="e">
        <f ca="1">_xll.BDP($B145,X$6, "YLD_YTM_ASK="&amp;$S145,"YAS_YLD_CONV=1")*$X$3*0.0001</f>
        <v>#VALUE!</v>
      </c>
      <c r="Y145" s="24" t="e">
        <f t="shared" ca="1" si="11"/>
        <v>#VALUE!</v>
      </c>
      <c r="Z145" s="23">
        <f ca="1">_xll.meLWOBondModifiedDuration($L145,$C$4,$S145%)</f>
        <v>17.365987557127216</v>
      </c>
      <c r="AA145" s="23">
        <f ca="1">_xll.BDP($B145,AA$6, "YLD_YTM_ASK="&amp;$G145,"YAS_YLD_CONV=1")</f>
        <v>17.365997829725945</v>
      </c>
      <c r="AB145" s="22">
        <f t="shared" ca="1" si="12"/>
        <v>1.0272598728988669E-5</v>
      </c>
      <c r="AC145" s="24">
        <f ca="1">_xll.meLWOBondDV01Numerical($L145,$C$4,$S145%, 0.5, "CENTRAL")</f>
        <v>1368.3010939506346</v>
      </c>
    </row>
    <row r="146" spans="2:29">
      <c r="B146" s="15" t="s">
        <v>1170</v>
      </c>
      <c r="C146" s="15" t="s">
        <v>1171</v>
      </c>
      <c r="D146" s="15" t="s">
        <v>1171</v>
      </c>
      <c r="E146" s="16">
        <v>42479</v>
      </c>
      <c r="F146" s="19">
        <v>42149</v>
      </c>
      <c r="G146" s="18"/>
      <c r="H146" s="16">
        <v>42515</v>
      </c>
      <c r="I146" s="16">
        <v>49454</v>
      </c>
      <c r="J146" s="17">
        <v>1.2500000000000001E-2</v>
      </c>
      <c r="K146" s="16">
        <v>49820</v>
      </c>
      <c r="L146" s="20" t="str">
        <f ca="1">_xll.meLWOBondCreateFromGeneratorLVB(C146,$L$4,_xll.meUtilityLVBFromKeysValues($C$6:$K$6,C146:K146))</f>
        <v>FR0013154044:1</v>
      </c>
      <c r="M146" s="92">
        <f ca="1">_xll.BDP($B146,$M$5)</f>
        <v>1.344272890103831</v>
      </c>
      <c r="N146" s="89">
        <f ca="1">_xll.meLWOBondCleanPrice($L146,$C$4,$M146%)</f>
        <v>98.528999999856566</v>
      </c>
      <c r="O146" s="89">
        <f ca="1">_xll.meLWOBondDirtyPrice($L146,$C$4,$M146%)</f>
        <v>99.02557529985657</v>
      </c>
      <c r="P146" s="72">
        <f ca="1">_xll.meLWOBondYield($L146,$C$4,N146)</f>
        <v>1.3442728901038941E-2</v>
      </c>
      <c r="Q146" s="89">
        <f ca="1">_xll.meLWOBondModifiedDuration($L146,$C$4,$M146%)</f>
        <v>15.606147969208138</v>
      </c>
      <c r="R146" s="23">
        <f ca="1">_xll.meLWOBondDV01($L146,$C$4,$M146%)</f>
        <v>1545.407780865524</v>
      </c>
      <c r="S146" s="21">
        <f t="shared" ca="1" si="13"/>
        <v>1.344272890103831</v>
      </c>
      <c r="T146" s="22" t="str">
        <f ca="1">_xll.BDP($B146,T$6, "YAS_BOND_YLD="&amp;S146,"YAS_YLD_CONV=1")</f>
        <v>#N/A Requesting Data...</v>
      </c>
      <c r="U146" s="23">
        <f t="shared" ca="1" si="14"/>
        <v>98.528999999856566</v>
      </c>
      <c r="V146" s="24" t="e">
        <f t="shared" ca="1" si="10"/>
        <v>#VALUE!</v>
      </c>
      <c r="W146" s="23">
        <f ca="1">_xll.meLWOBondDV01($L146,$C$4,$S146%)</f>
        <v>1545.407780865524</v>
      </c>
      <c r="X146" s="22" t="e">
        <f ca="1">_xll.BDP($B146,X$6, "YLD_YTM_ASK="&amp;$S146,"YAS_YLD_CONV=1")*$X$3*0.0001</f>
        <v>#VALUE!</v>
      </c>
      <c r="Y146" s="24" t="e">
        <f t="shared" ca="1" si="11"/>
        <v>#VALUE!</v>
      </c>
      <c r="Z146" s="23">
        <f ca="1">_xll.meLWOBondModifiedDuration($L146,$C$4,$S146%)</f>
        <v>15.606147969208138</v>
      </c>
      <c r="AA146" s="23">
        <f ca="1">_xll.BDP($B146,AA$6, "YLD_YTM_ASK="&amp;$G146,"YAS_YLD_CONV=1")</f>
        <v>15.606178064427654</v>
      </c>
      <c r="AB146" s="22">
        <f t="shared" ca="1" si="12"/>
        <v>3.0095219516468319E-5</v>
      </c>
      <c r="AC146" s="24">
        <f ca="1">_xll.meLWOBondDV01Numerical($L146,$C$4,$S146%, 0.5, "CENTRAL")</f>
        <v>1545.4079976831283</v>
      </c>
    </row>
    <row r="147" spans="2:29">
      <c r="B147" s="15" t="s">
        <v>1170</v>
      </c>
      <c r="C147" s="15" t="s">
        <v>1171</v>
      </c>
      <c r="D147" s="15" t="s">
        <v>1171</v>
      </c>
      <c r="E147" s="16">
        <v>42479</v>
      </c>
      <c r="F147" s="19">
        <v>42149</v>
      </c>
      <c r="G147" s="18"/>
      <c r="H147" s="16">
        <v>42515</v>
      </c>
      <c r="I147" s="16">
        <v>49454</v>
      </c>
      <c r="J147" s="17">
        <v>1.2500000000000001E-2</v>
      </c>
      <c r="K147" s="16">
        <v>49820</v>
      </c>
      <c r="L147" s="20" t="str">
        <f ca="1">_xll.meLWOBondCreateFromGeneratorLVB(C147,$L$4,_xll.meUtilityLVBFromKeysValues($C$6:$K$6,C147:K147))</f>
        <v>FR0013154044:2</v>
      </c>
      <c r="M147" s="92">
        <f ca="1">_xll.BDP($B147,$M$5)</f>
        <v>1.344272890103831</v>
      </c>
      <c r="N147" s="89">
        <f ca="1">_xll.meLWOBondCleanPrice($L147,$C$4,$M147%)</f>
        <v>98.528999999856566</v>
      </c>
      <c r="O147" s="89">
        <f ca="1">_xll.meLWOBondDirtyPrice($L147,$C$4,$M147%)</f>
        <v>99.02557529985657</v>
      </c>
      <c r="P147" s="72">
        <f ca="1">_xll.meLWOBondYield($L147,$C$4,N147)</f>
        <v>1.3442728901038941E-2</v>
      </c>
      <c r="Q147" s="89">
        <f ca="1">_xll.meLWOBondModifiedDuration($L147,$C$4,$M147%)</f>
        <v>15.606147969208138</v>
      </c>
      <c r="R147" s="23">
        <f ca="1">_xll.meLWOBondDV01($L147,$C$4,$M147%)</f>
        <v>1545.407780865524</v>
      </c>
      <c r="S147" s="21">
        <f t="shared" ca="1" si="13"/>
        <v>1.344272890103831</v>
      </c>
      <c r="T147" s="22" t="str">
        <f ca="1">_xll.BDP($B147,T$6, "YAS_BOND_YLD="&amp;S147,"YAS_YLD_CONV=1")</f>
        <v>#N/A Requesting Data...</v>
      </c>
      <c r="U147" s="23">
        <f t="shared" ca="1" si="14"/>
        <v>98.528999999856566</v>
      </c>
      <c r="V147" s="24" t="e">
        <f t="shared" ca="1" si="10"/>
        <v>#VALUE!</v>
      </c>
      <c r="W147" s="23">
        <f ca="1">_xll.meLWOBondDV01($L147,$C$4,$S147%)</f>
        <v>1545.407780865524</v>
      </c>
      <c r="X147" s="22" t="e">
        <f ca="1">_xll.BDP($B147,X$6, "YLD_YTM_ASK="&amp;$S147,"YAS_YLD_CONV=1")*$X$3*0.0001</f>
        <v>#VALUE!</v>
      </c>
      <c r="Y147" s="24" t="e">
        <f t="shared" ca="1" si="11"/>
        <v>#VALUE!</v>
      </c>
      <c r="Z147" s="23">
        <f ca="1">_xll.meLWOBondModifiedDuration($L147,$C$4,$S147%)</f>
        <v>15.606147969208138</v>
      </c>
      <c r="AA147" s="23">
        <f ca="1">_xll.BDP($B147,AA$6, "YLD_YTM_ASK="&amp;$G147,"YAS_YLD_CONV=1")</f>
        <v>15.606178064427654</v>
      </c>
      <c r="AB147" s="22">
        <f t="shared" ca="1" si="12"/>
        <v>3.0095219516468319E-5</v>
      </c>
      <c r="AC147" s="24">
        <f ca="1">_xll.meLWOBondDV01Numerical($L147,$C$4,$S147%, 0.5, "CENTRAL")</f>
        <v>1545.4079976831283</v>
      </c>
    </row>
    <row r="148" spans="2:29">
      <c r="B148" s="15" t="s">
        <v>1324</v>
      </c>
      <c r="C148" s="15" t="s">
        <v>1325</v>
      </c>
      <c r="D148" s="15" t="s">
        <v>1325</v>
      </c>
      <c r="E148" s="16">
        <v>40140</v>
      </c>
      <c r="F148" s="19"/>
      <c r="G148" s="18"/>
      <c r="H148" s="16"/>
      <c r="I148" s="16"/>
      <c r="J148" s="17">
        <v>0</v>
      </c>
      <c r="K148" s="16">
        <v>49973</v>
      </c>
      <c r="L148" s="20" t="str">
        <f ca="1">_xll.meLWOBondCreateFromGeneratorLVB(C148,$L$4,_xll.meUtilityLVBFromKeysValues($C$6:$K$6,C148:K148))</f>
        <v>FR0010810044:0</v>
      </c>
      <c r="M148" s="92">
        <f ca="1">_xll.BDP($B148,$M$5)</f>
        <v>1.400918835903564</v>
      </c>
      <c r="N148" s="89">
        <f ca="1">_xll.meLWOBondCleanPrice($L148,$C$4,$M148%)</f>
        <v>77.824000000000069</v>
      </c>
      <c r="O148" s="89">
        <f ca="1">_xll.meLWOBondDirtyPrice($L148,$C$4,$M148%)</f>
        <v>77.824000000000069</v>
      </c>
      <c r="P148" s="72">
        <f ca="1">_xll.meLWOBondYield($L148,$C$4,N148)</f>
        <v>1.4009188359035548E-2</v>
      </c>
      <c r="Q148" s="89">
        <f ca="1">_xll.meLWOBondModifiedDuration($L148,$C$4,$M148%)</f>
        <v>17.772933436021354</v>
      </c>
      <c r="R148" s="23">
        <f ca="1">_xll.meLWOBondDV01($L148,$C$4,$M148%)</f>
        <v>1383.1607717249271</v>
      </c>
      <c r="S148" s="21">
        <f t="shared" ca="1" si="13"/>
        <v>1.400918835903564</v>
      </c>
      <c r="T148" s="22" t="str">
        <f ca="1">_xll.BDP($B148,T$6, "YAS_BOND_YLD="&amp;S148,"YAS_YLD_CONV=1")</f>
        <v>#N/A Requesting Data...</v>
      </c>
      <c r="U148" s="23">
        <f t="shared" ca="1" si="14"/>
        <v>77.824000000000069</v>
      </c>
      <c r="V148" s="24" t="e">
        <f t="shared" ca="1" si="10"/>
        <v>#VALUE!</v>
      </c>
      <c r="W148" s="23">
        <f ca="1">_xll.meLWOBondDV01($L148,$C$4,$S148%)</f>
        <v>1383.1607717249271</v>
      </c>
      <c r="X148" s="22" t="e">
        <f ca="1">_xll.BDP($B148,X$6, "YLD_YTM_ASK="&amp;$S148,"YAS_YLD_CONV=1")*$X$3*0.0001</f>
        <v>#VALUE!</v>
      </c>
      <c r="Y148" s="24" t="e">
        <f t="shared" ca="1" si="11"/>
        <v>#VALUE!</v>
      </c>
      <c r="Z148" s="23">
        <f ca="1">_xll.meLWOBondModifiedDuration($L148,$C$4,$S148%)</f>
        <v>17.772933436021354</v>
      </c>
      <c r="AA148" s="23">
        <f ca="1">_xll.BDP($B148,AA$6, "YLD_YTM_ASK="&amp;$G148,"YAS_YLD_CONV=1")</f>
        <v>17.772995094771108</v>
      </c>
      <c r="AB148" s="22">
        <f t="shared" ca="1" si="12"/>
        <v>6.1658749753945585E-5</v>
      </c>
      <c r="AC148" s="24">
        <f ca="1">_xll.meLWOBondDV01Numerical($L148,$C$4,$S148%, 0.5, "CENTRAL")</f>
        <v>1383.1609851949624</v>
      </c>
    </row>
    <row r="149" spans="2:29">
      <c r="B149" s="15" t="s">
        <v>1490</v>
      </c>
      <c r="C149" s="15" t="s">
        <v>1491</v>
      </c>
      <c r="D149" s="15" t="s">
        <v>1491</v>
      </c>
      <c r="E149" s="16">
        <v>38972</v>
      </c>
      <c r="F149" s="19"/>
      <c r="G149" s="18"/>
      <c r="H149" s="16"/>
      <c r="I149" s="16"/>
      <c r="J149" s="17">
        <v>0</v>
      </c>
      <c r="K149" s="16">
        <v>49973</v>
      </c>
      <c r="L149" s="20" t="str">
        <f ca="1">_xll.meLWOBondCreateFromGeneratorLVB(C149,$L$4,_xll.meUtilityLVBFromKeysValues($C$6:$K$6,C149:K149))</f>
        <v>FR0010372078:0</v>
      </c>
      <c r="M149" s="92">
        <f ca="1">_xll.BDP($B149,$M$5)</f>
        <v>1.4251939082283949</v>
      </c>
      <c r="N149" s="89">
        <f ca="1">_xll.meLWOBondCleanPrice($L149,$C$4,$M149%)</f>
        <v>77.488999999999891</v>
      </c>
      <c r="O149" s="89">
        <f ca="1">_xll.meLWOBondDirtyPrice($L149,$C$4,$M149%)</f>
        <v>77.488999999999891</v>
      </c>
      <c r="P149" s="72">
        <f ca="1">_xll.meLWOBondYield($L149,$C$4,N149)</f>
        <v>1.425193908228403E-2</v>
      </c>
      <c r="Q149" s="89">
        <f ca="1">_xll.meLWOBondModifiedDuration($L149,$C$4,$M149%)</f>
        <v>17.768679668017974</v>
      </c>
      <c r="R149" s="23">
        <f ca="1">_xll.meLWOBondDV01($L149,$C$4,$M149%)</f>
        <v>1376.8772187950428</v>
      </c>
      <c r="S149" s="21">
        <f t="shared" ca="1" si="13"/>
        <v>1.4251939082283949</v>
      </c>
      <c r="T149" s="22" t="str">
        <f ca="1">_xll.BDP($B149,T$6, "YAS_BOND_YLD="&amp;S149,"YAS_YLD_CONV=1")</f>
        <v>#N/A Requesting Data...</v>
      </c>
      <c r="U149" s="23">
        <f t="shared" ca="1" si="14"/>
        <v>77.488999999999891</v>
      </c>
      <c r="V149" s="24" t="e">
        <f t="shared" ca="1" si="10"/>
        <v>#VALUE!</v>
      </c>
      <c r="W149" s="23">
        <f ca="1">_xll.meLWOBondDV01($L149,$C$4,$S149%)</f>
        <v>1376.8772187950428</v>
      </c>
      <c r="X149" s="22" t="e">
        <f ca="1">_xll.BDP($B149,X$6, "YLD_YTM_ASK="&amp;$S149,"YAS_YLD_CONV=1")*$X$3*0.0001</f>
        <v>#VALUE!</v>
      </c>
      <c r="Y149" s="24" t="e">
        <f t="shared" ca="1" si="11"/>
        <v>#VALUE!</v>
      </c>
      <c r="Z149" s="23">
        <f ca="1">_xll.meLWOBondModifiedDuration($L149,$C$4,$S149%)</f>
        <v>17.768679668017974</v>
      </c>
      <c r="AA149" s="23">
        <f ca="1">_xll.BDP($B149,AA$6, "YLD_YTM_ASK="&amp;$G149,"YAS_YLD_CONV=1")</f>
        <v>17.768690632098529</v>
      </c>
      <c r="AB149" s="22">
        <f t="shared" ca="1" si="12"/>
        <v>1.0964080555453393E-5</v>
      </c>
      <c r="AC149" s="24">
        <f ca="1">_xll.meLWOBondDV01Numerical($L149,$C$4,$S149%, 0.5, "CENTRAL")</f>
        <v>1376.8774311938614</v>
      </c>
    </row>
    <row r="150" spans="2:29">
      <c r="B150" s="15" t="s">
        <v>1306</v>
      </c>
      <c r="C150" s="15" t="s">
        <v>1307</v>
      </c>
      <c r="D150" s="15" t="s">
        <v>1307</v>
      </c>
      <c r="E150" s="16">
        <v>40140</v>
      </c>
      <c r="F150" s="19"/>
      <c r="G150" s="18"/>
      <c r="H150" s="16"/>
      <c r="I150" s="16"/>
      <c r="J150" s="17">
        <v>0</v>
      </c>
      <c r="K150" s="16">
        <v>50155</v>
      </c>
      <c r="L150" s="20" t="str">
        <f ca="1">_xll.meLWOBondCreateFromGeneratorLVB(C150,$L$4,_xll.meUtilityLVBFromKeysValues($C$6:$K$6,C150:K150))</f>
        <v>FR0010809707:0</v>
      </c>
      <c r="M150" s="92">
        <f ca="1">_xll.BDP($B150,$M$5)</f>
        <v>1.4229268505338899</v>
      </c>
      <c r="N150" s="89">
        <f ca="1">_xll.meLWOBondCleanPrice($L150,$C$4,$M150%)</f>
        <v>76.976000000000028</v>
      </c>
      <c r="O150" s="89">
        <f ca="1">_xll.meLWOBondDirtyPrice($L150,$C$4,$M150%)</f>
        <v>76.976000000000028</v>
      </c>
      <c r="P150" s="72">
        <f ca="1">_xll.meLWOBondYield($L150,$C$4,N150)</f>
        <v>1.4229268505338828E-2</v>
      </c>
      <c r="Q150" s="89">
        <f ca="1">_xll.meLWOBondModifiedDuration($L150,$C$4,$M150%)</f>
        <v>18.260711379882633</v>
      </c>
      <c r="R150" s="23">
        <f ca="1">_xll.meLWOBondDV01($L150,$C$4,$M150%)</f>
        <v>1405.6365191778459</v>
      </c>
      <c r="S150" s="21">
        <f t="shared" ca="1" si="13"/>
        <v>1.4229268505338899</v>
      </c>
      <c r="T150" s="22" t="str">
        <f ca="1">_xll.BDP($B150,T$6, "YAS_BOND_YLD="&amp;S150,"YAS_YLD_CONV=1")</f>
        <v>#N/A Requesting Data...</v>
      </c>
      <c r="U150" s="23">
        <f t="shared" ca="1" si="14"/>
        <v>76.976000000000028</v>
      </c>
      <c r="V150" s="24" t="e">
        <f t="shared" ca="1" si="10"/>
        <v>#VALUE!</v>
      </c>
      <c r="W150" s="23">
        <f ca="1">_xll.meLWOBondDV01($L150,$C$4,$S150%)</f>
        <v>1405.6365191778459</v>
      </c>
      <c r="X150" s="22" t="e">
        <f ca="1">_xll.BDP($B150,X$6, "YLD_YTM_ASK="&amp;$S150,"YAS_YLD_CONV=1")*$X$3*0.0001</f>
        <v>#VALUE!</v>
      </c>
      <c r="Y150" s="24" t="e">
        <f t="shared" ca="1" si="11"/>
        <v>#VALUE!</v>
      </c>
      <c r="Z150" s="23">
        <f ca="1">_xll.meLWOBondModifiedDuration($L150,$C$4,$S150%)</f>
        <v>18.260711379882633</v>
      </c>
      <c r="AA150" s="23">
        <f ca="1">_xll.BDP($B150,AA$6, "YLD_YTM_ASK="&amp;$G150,"YAS_YLD_CONV=1")</f>
        <v>18.260723231431413</v>
      </c>
      <c r="AB150" s="22">
        <f t="shared" ca="1" si="12"/>
        <v>1.1851548780583698E-5</v>
      </c>
      <c r="AC150" s="24">
        <f ca="1">_xll.meLWOBondDV01Numerical($L150,$C$4,$S150%, 0.5, "CENTRAL")</f>
        <v>1405.6367472520037</v>
      </c>
    </row>
    <row r="151" spans="2:29">
      <c r="B151" s="15" t="s">
        <v>1542</v>
      </c>
      <c r="C151" s="15" t="s">
        <v>1543</v>
      </c>
      <c r="D151" s="15" t="s">
        <v>1543</v>
      </c>
      <c r="E151" s="16">
        <v>38411</v>
      </c>
      <c r="F151" s="19"/>
      <c r="G151" s="18"/>
      <c r="H151" s="16"/>
      <c r="I151" s="16"/>
      <c r="J151" s="17">
        <v>0</v>
      </c>
      <c r="K151" s="16">
        <v>50155</v>
      </c>
      <c r="L151" s="20" t="str">
        <f ca="1">_xll.meLWOBondCreateFromGeneratorLVB(C151,$L$4,_xll.meUtilityLVBFromKeysValues($C$6:$K$6,C151:K151))</f>
        <v>FR0010172270:0</v>
      </c>
      <c r="M151" s="92">
        <f ca="1">_xll.BDP($B151,$M$5)</f>
        <v>1.4388871788537871</v>
      </c>
      <c r="N151" s="89">
        <f ca="1">_xll.meLWOBondCleanPrice($L151,$C$4,$M151%)</f>
        <v>76.752000000000137</v>
      </c>
      <c r="O151" s="89">
        <f ca="1">_xll.meLWOBondDirtyPrice($L151,$C$4,$M151%)</f>
        <v>76.752000000000137</v>
      </c>
      <c r="P151" s="72">
        <f ca="1">_xll.meLWOBondYield($L151,$C$4,N151)</f>
        <v>1.4388871788537807E-2</v>
      </c>
      <c r="Q151" s="89">
        <f ca="1">_xll.meLWOBondModifiedDuration($L151,$C$4,$M151%)</f>
        <v>18.257838251469224</v>
      </c>
      <c r="R151" s="23">
        <f ca="1">_xll.meLWOBondDV01($L151,$C$4,$M151%)</f>
        <v>1401.3256014767683</v>
      </c>
      <c r="S151" s="21">
        <f t="shared" ca="1" si="13"/>
        <v>1.4388871788537871</v>
      </c>
      <c r="T151" s="22" t="str">
        <f ca="1">_xll.BDP($B151,T$6, "YAS_BOND_YLD="&amp;S151,"YAS_YLD_CONV=1")</f>
        <v>#N/A Requesting Data...</v>
      </c>
      <c r="U151" s="23">
        <f t="shared" ca="1" si="14"/>
        <v>76.752000000000137</v>
      </c>
      <c r="V151" s="24" t="e">
        <f t="shared" ca="1" si="10"/>
        <v>#VALUE!</v>
      </c>
      <c r="W151" s="23">
        <f ca="1">_xll.meLWOBondDV01($L151,$C$4,$S151%)</f>
        <v>1401.3256014767683</v>
      </c>
      <c r="X151" s="22" t="e">
        <f ca="1">_xll.BDP($B151,X$6, "YLD_YTM_ASK="&amp;$S151,"YAS_YLD_CONV=1")*$X$3*0.0001</f>
        <v>#VALUE!</v>
      </c>
      <c r="Y151" s="24" t="e">
        <f t="shared" ca="1" si="11"/>
        <v>#VALUE!</v>
      </c>
      <c r="Z151" s="23">
        <f ca="1">_xll.meLWOBondModifiedDuration($L151,$C$4,$S151%)</f>
        <v>18.257838251469224</v>
      </c>
      <c r="AA151" s="23">
        <f ca="1">_xll.BDP($B151,AA$6, "YLD_YTM_ASK="&amp;$G151,"YAS_YLD_CONV=1")</f>
        <v>18.257850097425333</v>
      </c>
      <c r="AB151" s="22">
        <f t="shared" ca="1" si="12"/>
        <v>1.1845956109368672E-5</v>
      </c>
      <c r="AC151" s="24">
        <f ca="1">_xll.meLWOBondDV01Numerical($L151,$C$4,$S151%, 0.5, "CENTRAL")</f>
        <v>1401.3258287768338</v>
      </c>
    </row>
    <row r="152" spans="2:29">
      <c r="B152" s="15" t="s">
        <v>1472</v>
      </c>
      <c r="C152" s="15" t="s">
        <v>1473</v>
      </c>
      <c r="D152" s="15" t="s">
        <v>1473</v>
      </c>
      <c r="E152" s="16">
        <v>41368</v>
      </c>
      <c r="F152" s="19"/>
      <c r="G152" s="18"/>
      <c r="H152" s="16"/>
      <c r="I152" s="16"/>
      <c r="J152" s="17">
        <v>0</v>
      </c>
      <c r="K152" s="16">
        <v>50185</v>
      </c>
      <c r="L152" s="20" t="str">
        <f ca="1">_xll.meLWOBondCreateFromGeneratorLVB(C152,$L$4,_xll.meUtilityLVBFromKeysValues($C$6:$K$6,C152:K152))</f>
        <v>FR0011461581:0</v>
      </c>
      <c r="M152" s="92">
        <f ca="1">_xll.BDP($B152,$M$5)</f>
        <v>1.4584083122918257</v>
      </c>
      <c r="N152" s="89">
        <f ca="1">_xll.meLWOBondCleanPrice($L152,$C$4,$M152%)</f>
        <v>76.388000000000133</v>
      </c>
      <c r="O152" s="89">
        <f ca="1">_xll.meLWOBondDirtyPrice($L152,$C$4,$M152%)</f>
        <v>76.388000000000133</v>
      </c>
      <c r="P152" s="72">
        <f ca="1">_xll.meLWOBondYield($L152,$C$4,N152)</f>
        <v>1.4584083122918199E-2</v>
      </c>
      <c r="Q152" s="89">
        <f ca="1">_xll.meLWOBondModifiedDuration($L152,$C$4,$M152%)</f>
        <v>18.335335666579393</v>
      </c>
      <c r="R152" s="23">
        <f ca="1">_xll.meLWOBondDV01($L152,$C$4,$M152%)</f>
        <v>1400.5996208986692</v>
      </c>
      <c r="S152" s="21">
        <f t="shared" ca="1" si="13"/>
        <v>1.4584083122918257</v>
      </c>
      <c r="T152" s="22" t="str">
        <f ca="1">_xll.BDP($B152,T$6, "YAS_BOND_YLD="&amp;S152,"YAS_YLD_CONV=1")</f>
        <v>#N/A Requesting Data...</v>
      </c>
      <c r="U152" s="23">
        <f t="shared" ca="1" si="14"/>
        <v>76.388000000000133</v>
      </c>
      <c r="V152" s="24" t="e">
        <f t="shared" ca="1" si="10"/>
        <v>#VALUE!</v>
      </c>
      <c r="W152" s="23">
        <f ca="1">_xll.meLWOBondDV01($L152,$C$4,$S152%)</f>
        <v>1400.5996208986692</v>
      </c>
      <c r="X152" s="22" t="e">
        <f ca="1">_xll.BDP($B152,X$6, "YLD_YTM_ASK="&amp;$S152,"YAS_YLD_CONV=1")*$X$3*0.0001</f>
        <v>#VALUE!</v>
      </c>
      <c r="Y152" s="24" t="e">
        <f t="shared" ca="1" si="11"/>
        <v>#VALUE!</v>
      </c>
      <c r="Z152" s="23">
        <f ca="1">_xll.meLWOBondModifiedDuration($L152,$C$4,$S152%)</f>
        <v>18.335335666579393</v>
      </c>
      <c r="AA152" s="23">
        <f ca="1">_xll.BDP($B152,AA$6, "YLD_YTM_ASK="&amp;$G152,"YAS_YLD_CONV=1")</f>
        <v>18.335347656142229</v>
      </c>
      <c r="AB152" s="22">
        <f t="shared" ca="1" si="12"/>
        <v>1.1989562835879042E-5</v>
      </c>
      <c r="AC152" s="24">
        <f ca="1">_xll.meLWOBondDV01Numerical($L152,$C$4,$S152%, 0.5, "CENTRAL")</f>
        <v>1400.5998498630847</v>
      </c>
    </row>
    <row r="153" spans="2:29">
      <c r="B153" s="15" t="s">
        <v>1256</v>
      </c>
      <c r="C153" s="15" t="s">
        <v>1257</v>
      </c>
      <c r="D153" s="15" t="s">
        <v>1257</v>
      </c>
      <c r="E153" s="16">
        <v>40140</v>
      </c>
      <c r="F153" s="19"/>
      <c r="G153" s="18"/>
      <c r="H153" s="16"/>
      <c r="I153" s="16"/>
      <c r="J153" s="17">
        <v>0</v>
      </c>
      <c r="K153" s="16">
        <v>50338</v>
      </c>
      <c r="L153" s="20" t="str">
        <f ca="1">_xll.meLWOBondCreateFromGeneratorLVB(C153,$L$4,_xll.meUtilityLVBFromKeysValues($C$6:$K$6,C153:K153))</f>
        <v>FR0010810077:0</v>
      </c>
      <c r="M153" s="92">
        <f ca="1">_xll.BDP($B153,$M$5)</f>
        <v>1.4424720827054927</v>
      </c>
      <c r="N153" s="89">
        <f ca="1">_xll.meLWOBondCleanPrice($L153,$C$4,$M153%)</f>
        <v>76.15300000000002</v>
      </c>
      <c r="O153" s="89">
        <f ca="1">_xll.meLWOBondDirtyPrice($L153,$C$4,$M153%)</f>
        <v>76.15300000000002</v>
      </c>
      <c r="P153" s="72">
        <f ca="1">_xll.meLWOBondYield($L153,$C$4,N153)</f>
        <v>1.4424720827054892E-2</v>
      </c>
      <c r="Q153" s="89">
        <f ca="1">_xll.meLWOBondModifiedDuration($L153,$C$4,$M153%)</f>
        <v>18.751433613241126</v>
      </c>
      <c r="R153" s="23">
        <f ca="1">_xll.meLWOBondDV01($L153,$C$4,$M153%)</f>
        <v>1427.9779239491518</v>
      </c>
      <c r="S153" s="21">
        <f t="shared" ca="1" si="13"/>
        <v>1.4424720827054927</v>
      </c>
      <c r="T153" s="22" t="str">
        <f ca="1">_xll.BDP($B153,T$6, "YAS_BOND_YLD="&amp;S153,"YAS_YLD_CONV=1")</f>
        <v>#N/A Requesting Data...</v>
      </c>
      <c r="U153" s="23">
        <f t="shared" ca="1" si="14"/>
        <v>76.15300000000002</v>
      </c>
      <c r="V153" s="24" t="e">
        <f t="shared" ca="1" si="10"/>
        <v>#VALUE!</v>
      </c>
      <c r="W153" s="23">
        <f ca="1">_xll.meLWOBondDV01($L153,$C$4,$S153%)</f>
        <v>1427.9779239491518</v>
      </c>
      <c r="X153" s="22" t="e">
        <f ca="1">_xll.BDP($B153,X$6, "YLD_YTM_ASK="&amp;$S153,"YAS_YLD_CONV=1")*$X$3*0.0001</f>
        <v>#VALUE!</v>
      </c>
      <c r="Y153" s="24" t="e">
        <f t="shared" ca="1" si="11"/>
        <v>#VALUE!</v>
      </c>
      <c r="Z153" s="23">
        <f ca="1">_xll.meLWOBondModifiedDuration($L153,$C$4,$S153%)</f>
        <v>18.751433613241126</v>
      </c>
      <c r="AA153" s="23">
        <f ca="1">_xll.BDP($B153,AA$6, "YLD_YTM_ASK="&amp;$G153,"YAS_YLD_CONV=1")</f>
        <v>18.751446395911824</v>
      </c>
      <c r="AB153" s="22">
        <f t="shared" ca="1" si="12"/>
        <v>1.2782670697930598E-5</v>
      </c>
      <c r="AC153" s="24">
        <f ca="1">_xll.meLWOBondDV01Numerical($L153,$C$4,$S153%, 0.5, "CENTRAL")</f>
        <v>1427.9781673087655</v>
      </c>
    </row>
    <row r="154" spans="2:29">
      <c r="B154" s="15" t="s">
        <v>1352</v>
      </c>
      <c r="C154" s="15" t="s">
        <v>1353</v>
      </c>
      <c r="D154" s="15" t="s">
        <v>1353</v>
      </c>
      <c r="E154" s="16">
        <v>38972</v>
      </c>
      <c r="F154" s="19"/>
      <c r="G154" s="18"/>
      <c r="H154" s="16"/>
      <c r="I154" s="16"/>
      <c r="J154" s="17">
        <v>0</v>
      </c>
      <c r="K154" s="16">
        <v>50338</v>
      </c>
      <c r="L154" s="20" t="str">
        <f ca="1">_xll.meLWOBondCreateFromGeneratorLVB(C154,$L$4,_xll.meUtilityLVBFromKeysValues($C$6:$K$6,C154:K154))</f>
        <v>FR0010372086:0</v>
      </c>
      <c r="M154" s="92">
        <f ca="1">_xll.BDP($B154,$M$5)</f>
        <v>1.4405116474109025</v>
      </c>
      <c r="N154" s="89">
        <f ca="1">_xll.meLWOBondCleanPrice($L154,$C$4,$M154%)</f>
        <v>76.180999999999969</v>
      </c>
      <c r="O154" s="89">
        <f ca="1">_xll.meLWOBondDirtyPrice($L154,$C$4,$M154%)</f>
        <v>76.180999999999969</v>
      </c>
      <c r="P154" s="72">
        <f ca="1">_xll.meLWOBondYield($L154,$C$4,N154)</f>
        <v>1.440511647410905E-2</v>
      </c>
      <c r="Q154" s="89">
        <f ca="1">_xll.meLWOBondModifiedDuration($L154,$C$4,$M154%)</f>
        <v>18.751796002701528</v>
      </c>
      <c r="R154" s="23">
        <f ca="1">_xll.meLWOBondDV01($L154,$C$4,$M154%)</f>
        <v>1428.5305712818047</v>
      </c>
      <c r="S154" s="21">
        <f t="shared" ca="1" si="13"/>
        <v>1.4405116474109025</v>
      </c>
      <c r="T154" s="22" t="str">
        <f ca="1">_xll.BDP($B154,T$6, "YAS_BOND_YLD="&amp;S154,"YAS_YLD_CONV=1")</f>
        <v>#N/A Requesting Data...</v>
      </c>
      <c r="U154" s="23">
        <f t="shared" ca="1" si="14"/>
        <v>76.180999999999969</v>
      </c>
      <c r="V154" s="24" t="e">
        <f t="shared" ca="1" si="10"/>
        <v>#VALUE!</v>
      </c>
      <c r="W154" s="23">
        <f ca="1">_xll.meLWOBondDV01($L154,$C$4,$S154%)</f>
        <v>1428.5305712818047</v>
      </c>
      <c r="X154" s="22" t="e">
        <f ca="1">_xll.BDP($B154,X$6, "YLD_YTM_ASK="&amp;$S154,"YAS_YLD_CONV=1")*$X$3*0.0001</f>
        <v>#VALUE!</v>
      </c>
      <c r="Y154" s="24" t="e">
        <f t="shared" ca="1" si="11"/>
        <v>#VALUE!</v>
      </c>
      <c r="Z154" s="23">
        <f ca="1">_xll.meLWOBondModifiedDuration($L154,$C$4,$S154%)</f>
        <v>18.751796002701528</v>
      </c>
      <c r="AA154" s="23">
        <f ca="1">_xll.BDP($B154,AA$6, "YLD_YTM_ASK="&amp;$G154,"YAS_YLD_CONV=1")</f>
        <v>18.751808786111319</v>
      </c>
      <c r="AB154" s="22">
        <f t="shared" ca="1" si="12"/>
        <v>1.2783409790273481E-5</v>
      </c>
      <c r="AC154" s="24">
        <f ca="1">_xll.meLWOBondDV01Numerical($L154,$C$4,$S154%, 0.5, "CENTRAL")</f>
        <v>1428.5308147449884</v>
      </c>
    </row>
    <row r="155" spans="2:29">
      <c r="B155" s="15" t="s">
        <v>1224</v>
      </c>
      <c r="C155" s="15" t="s">
        <v>1225</v>
      </c>
      <c r="D155" s="15" t="s">
        <v>1225</v>
      </c>
      <c r="E155" s="16">
        <v>40140</v>
      </c>
      <c r="F155" s="19"/>
      <c r="G155" s="18"/>
      <c r="H155" s="16"/>
      <c r="I155" s="16"/>
      <c r="J155" s="17">
        <v>0</v>
      </c>
      <c r="K155" s="16">
        <v>50520</v>
      </c>
      <c r="L155" s="20" t="str">
        <f ca="1">_xll.meLWOBondCreateFromGeneratorLVB(C155,$L$4,_xll.meUtilityLVBFromKeysValues($C$6:$K$6,C155:K155))</f>
        <v>FR0010809715:0</v>
      </c>
      <c r="M155" s="92">
        <f ca="1">_xll.BDP($B155,$M$5)</f>
        <v>1.4684589192114128</v>
      </c>
      <c r="N155" s="89">
        <f ca="1">_xll.meLWOBondCleanPrice($L155,$C$4,$M155%)</f>
        <v>75.233999999999952</v>
      </c>
      <c r="O155" s="89">
        <f ca="1">_xll.meLWOBondDirtyPrice($L155,$C$4,$M155%)</f>
        <v>75.233999999999952</v>
      </c>
      <c r="P155" s="72">
        <f ca="1">_xll.meLWOBondYield($L155,$C$4,N155)</f>
        <v>1.4684589192114008E-2</v>
      </c>
      <c r="Q155" s="89">
        <f ca="1">_xll.meLWOBondModifiedDuration($L155,$C$4,$M155%)</f>
        <v>19.238045155241419</v>
      </c>
      <c r="R155" s="23">
        <f ca="1">_xll.meLWOBondDV01($L155,$C$4,$M155%)</f>
        <v>1447.355089209432</v>
      </c>
      <c r="S155" s="21">
        <f t="shared" ca="1" si="13"/>
        <v>1.4684589192114128</v>
      </c>
      <c r="T155" s="22" t="str">
        <f ca="1">_xll.BDP($B155,T$6, "YAS_BOND_YLD="&amp;S155,"YAS_YLD_CONV=1")</f>
        <v>#N/A Requesting Data...</v>
      </c>
      <c r="U155" s="23">
        <f t="shared" ca="1" si="14"/>
        <v>75.233999999999952</v>
      </c>
      <c r="V155" s="24" t="e">
        <f t="shared" ca="1" si="10"/>
        <v>#VALUE!</v>
      </c>
      <c r="W155" s="23">
        <f ca="1">_xll.meLWOBondDV01($L155,$C$4,$S155%)</f>
        <v>1447.355089209432</v>
      </c>
      <c r="X155" s="22" t="e">
        <f ca="1">_xll.BDP($B155,X$6, "YLD_YTM_ASK="&amp;$S155,"YAS_YLD_CONV=1")*$X$3*0.0001</f>
        <v>#VALUE!</v>
      </c>
      <c r="Y155" s="24" t="e">
        <f t="shared" ca="1" si="11"/>
        <v>#VALUE!</v>
      </c>
      <c r="Z155" s="23">
        <f ca="1">_xll.meLWOBondModifiedDuration($L155,$C$4,$S155%)</f>
        <v>19.238045155241419</v>
      </c>
      <c r="AA155" s="23">
        <f ca="1">_xll.BDP($B155,AA$6, "YLD_YTM_ASK="&amp;$G155,"YAS_YLD_CONV=1")</f>
        <v>19.238058908001566</v>
      </c>
      <c r="AB155" s="22">
        <f t="shared" ca="1" si="12"/>
        <v>1.3752760146701348E-5</v>
      </c>
      <c r="AC155" s="24">
        <f ca="1">_xll.meLWOBondDV01Numerical($L155,$C$4,$S155%, 0.5, "CENTRAL")</f>
        <v>1447.3553478778456</v>
      </c>
    </row>
    <row r="156" spans="2:29">
      <c r="B156" s="15" t="s">
        <v>1544</v>
      </c>
      <c r="C156" s="15" t="s">
        <v>1545</v>
      </c>
      <c r="D156" s="15" t="s">
        <v>1545</v>
      </c>
      <c r="E156" s="16">
        <v>38411</v>
      </c>
      <c r="F156" s="19"/>
      <c r="G156" s="18"/>
      <c r="H156" s="16"/>
      <c r="I156" s="16"/>
      <c r="J156" s="17">
        <v>0</v>
      </c>
      <c r="K156" s="16">
        <v>50520</v>
      </c>
      <c r="L156" s="20" t="str">
        <f ca="1">_xll.meLWOBondCreateFromGeneratorLVB(C156,$L$4,_xll.meUtilityLVBFromKeysValues($C$6:$K$6,C156:K156))</f>
        <v>FR0010172288:0</v>
      </c>
      <c r="M156" s="92">
        <f ca="1">_xll.BDP($B156,$M$5)</f>
        <v>1.4674917321716663</v>
      </c>
      <c r="N156" s="89">
        <f ca="1">_xll.meLWOBondCleanPrice($L156,$C$4,$M156%)</f>
        <v>75.248000000000062</v>
      </c>
      <c r="O156" s="89">
        <f ca="1">_xll.meLWOBondDirtyPrice($L156,$C$4,$M156%)</f>
        <v>75.248000000000062</v>
      </c>
      <c r="P156" s="72">
        <f ca="1">_xll.meLWOBondYield($L156,$C$4,N156)</f>
        <v>1.4674917321716619E-2</v>
      </c>
      <c r="Q156" s="89">
        <f ca="1">_xll.meLWOBondModifiedDuration($L156,$C$4,$M156%)</f>
        <v>19.238228532080903</v>
      </c>
      <c r="R156" s="23">
        <f ca="1">_xll.meLWOBondDV01($L156,$C$4,$M156%)</f>
        <v>1447.638220582025</v>
      </c>
      <c r="S156" s="21">
        <f t="shared" ca="1" si="13"/>
        <v>1.4674917321716663</v>
      </c>
      <c r="T156" s="22" t="str">
        <f ca="1">_xll.BDP($B156,T$6, "YAS_BOND_YLD="&amp;S156,"YAS_YLD_CONV=1")</f>
        <v>#N/A Requesting Data...</v>
      </c>
      <c r="U156" s="23">
        <f t="shared" ca="1" si="14"/>
        <v>75.248000000000062</v>
      </c>
      <c r="V156" s="24" t="e">
        <f t="shared" ca="1" si="10"/>
        <v>#VALUE!</v>
      </c>
      <c r="W156" s="23">
        <f ca="1">_xll.meLWOBondDV01($L156,$C$4,$S156%)</f>
        <v>1447.638220582025</v>
      </c>
      <c r="X156" s="22" t="e">
        <f ca="1">_xll.BDP($B156,X$6, "YLD_YTM_ASK="&amp;$S156,"YAS_YLD_CONV=1")*$X$3*0.0001</f>
        <v>#VALUE!</v>
      </c>
      <c r="Y156" s="24" t="e">
        <f t="shared" ca="1" si="11"/>
        <v>#VALUE!</v>
      </c>
      <c r="Z156" s="23">
        <f ca="1">_xll.meLWOBondModifiedDuration($L156,$C$4,$S156%)</f>
        <v>19.238228532080903</v>
      </c>
      <c r="AA156" s="23">
        <f ca="1">_xll.BDP($B156,AA$6, "YLD_YTM_ASK="&amp;$G156,"YAS_YLD_CONV=1")</f>
        <v>19.23824228523474</v>
      </c>
      <c r="AB156" s="22">
        <f t="shared" ca="1" si="12"/>
        <v>1.3753153837114951E-5</v>
      </c>
      <c r="AC156" s="24">
        <f ca="1">_xll.meLWOBondDV01Numerical($L156,$C$4,$S156%, 0.5, "CENTRAL")</f>
        <v>1447.6384793061925</v>
      </c>
    </row>
    <row r="157" spans="2:29">
      <c r="B157" s="15" t="s">
        <v>1246</v>
      </c>
      <c r="C157" s="15" t="s">
        <v>1247</v>
      </c>
      <c r="D157" s="15" t="s">
        <v>1247</v>
      </c>
      <c r="E157" s="16">
        <v>41368</v>
      </c>
      <c r="F157" s="19"/>
      <c r="G157" s="18"/>
      <c r="H157" s="16"/>
      <c r="I157" s="16"/>
      <c r="J157" s="17">
        <v>0</v>
      </c>
      <c r="K157" s="16">
        <v>50550</v>
      </c>
      <c r="L157" s="20" t="str">
        <f ca="1">_xll.meLWOBondCreateFromGeneratorLVB(C157,$L$4,_xll.meUtilityLVBFromKeysValues($C$6:$K$6,C157:K157))</f>
        <v>FR0011461599:0</v>
      </c>
      <c r="M157" s="92">
        <f ca="1">_xll.BDP($B157,$M$5)</f>
        <v>1.502183493636533</v>
      </c>
      <c r="N157" s="89">
        <f ca="1">_xll.meLWOBondCleanPrice($L157,$C$4,$M157%)</f>
        <v>74.656000000000034</v>
      </c>
      <c r="O157" s="89">
        <f ca="1">_xll.meLWOBondDirtyPrice($L157,$C$4,$M157%)</f>
        <v>74.656000000000034</v>
      </c>
      <c r="P157" s="72">
        <f ca="1">_xll.meLWOBondYield($L157,$C$4,N157)</f>
        <v>1.5021834936365462E-2</v>
      </c>
      <c r="Q157" s="89">
        <f ca="1">_xll.meLWOBondModifiedDuration($L157,$C$4,$M157%)</f>
        <v>19.312628606907111</v>
      </c>
      <c r="R157" s="23">
        <f ca="1">_xll.meLWOBondDV01($L157,$C$4,$M157%)</f>
        <v>1441.8036012772579</v>
      </c>
      <c r="S157" s="21">
        <f t="shared" ca="1" si="13"/>
        <v>1.502183493636533</v>
      </c>
      <c r="T157" s="22" t="str">
        <f ca="1">_xll.BDP($B157,T$6, "YAS_BOND_YLD="&amp;S157,"YAS_YLD_CONV=1")</f>
        <v>#N/A Requesting Data...</v>
      </c>
      <c r="U157" s="23">
        <f t="shared" ca="1" si="14"/>
        <v>74.656000000000034</v>
      </c>
      <c r="V157" s="24" t="e">
        <f t="shared" ca="1" si="10"/>
        <v>#VALUE!</v>
      </c>
      <c r="W157" s="23">
        <f ca="1">_xll.meLWOBondDV01($L157,$C$4,$S157%)</f>
        <v>1441.8036012772579</v>
      </c>
      <c r="X157" s="22" t="e">
        <f ca="1">_xll.BDP($B157,X$6, "YLD_YTM_ASK="&amp;$S157,"YAS_YLD_CONV=1")*$X$3*0.0001</f>
        <v>#VALUE!</v>
      </c>
      <c r="Y157" s="24" t="e">
        <f t="shared" ca="1" si="11"/>
        <v>#VALUE!</v>
      </c>
      <c r="Z157" s="23">
        <f ca="1">_xll.meLWOBondModifiedDuration($L157,$C$4,$S157%)</f>
        <v>19.312628606907111</v>
      </c>
      <c r="AA157" s="23">
        <f ca="1">_xll.BDP($B157,AA$6, "YLD_YTM_ASK="&amp;$G157,"YAS_YLD_CONV=1")</f>
        <v>19.312642511979085</v>
      </c>
      <c r="AB157" s="22">
        <f t="shared" ca="1" si="12"/>
        <v>1.3905071973852046E-5</v>
      </c>
      <c r="AC157" s="24">
        <f ca="1">_xll.meLWOBondDV01Numerical($L157,$C$4,$S157%, 0.5, "CENTRAL")</f>
        <v>1441.8038608012298</v>
      </c>
    </row>
    <row r="158" spans="2:29">
      <c r="B158" s="15" t="s">
        <v>1196</v>
      </c>
      <c r="C158" s="15" t="s">
        <v>1197</v>
      </c>
      <c r="D158" s="15" t="s">
        <v>1197</v>
      </c>
      <c r="E158" s="16">
        <v>38972</v>
      </c>
      <c r="F158" s="19">
        <v>38650</v>
      </c>
      <c r="G158" s="18"/>
      <c r="H158" s="16">
        <v>39015</v>
      </c>
      <c r="I158" s="16">
        <v>50338</v>
      </c>
      <c r="J158" s="17">
        <v>0.04</v>
      </c>
      <c r="K158" s="16">
        <v>50703</v>
      </c>
      <c r="L158" s="20" t="str">
        <f ca="1">_xll.meLWOBondCreateFromGeneratorLVB(C158,$L$4,_xll.meUtilityLVBFromKeysValues($C$6:$K$6,C158:K158))</f>
        <v>FR0010371401:0</v>
      </c>
      <c r="M158" s="92">
        <f ca="1">_xll.BDP($B158,$M$5)</f>
        <v>1.3566469921109108</v>
      </c>
      <c r="N158" s="89">
        <f ca="1">_xll.meLWOBondCleanPrice($L158,$C$4,$M158%)</f>
        <v>146.07400000000015</v>
      </c>
      <c r="O158" s="89">
        <f ca="1">_xll.meLWOBondDirtyPrice($L158,$C$4,$M158%)</f>
        <v>149.98632880000017</v>
      </c>
      <c r="P158" s="72">
        <f ca="1">_xll.meLWOBondYield($L158,$C$4,N158)</f>
        <v>1.3566469921109126E-2</v>
      </c>
      <c r="Q158" s="89">
        <f ca="1">_xll.meLWOBondModifiedDuration($L158,$C$4,$M158%)</f>
        <v>14.671312128403482</v>
      </c>
      <c r="R158" s="23">
        <f ca="1">_xll.meLWOBondDV01($L158,$C$4,$M158%)</f>
        <v>2200.496244818155</v>
      </c>
      <c r="S158" s="21">
        <f t="shared" ca="1" si="13"/>
        <v>1.3566469921109108</v>
      </c>
      <c r="T158" s="22" t="str">
        <f ca="1">_xll.BDP($B158,T$6, "YAS_BOND_YLD="&amp;S158,"YAS_YLD_CONV=1")</f>
        <v>#N/A Requesting Data...</v>
      </c>
      <c r="U158" s="23">
        <f t="shared" ca="1" si="14"/>
        <v>146.07400000000015</v>
      </c>
      <c r="V158" s="24" t="e">
        <f t="shared" ca="1" si="10"/>
        <v>#VALUE!</v>
      </c>
      <c r="W158" s="23">
        <f ca="1">_xll.meLWOBondDV01($L158,$C$4,$S158%)</f>
        <v>2200.496244818155</v>
      </c>
      <c r="X158" s="22" t="e">
        <f ca="1">_xll.BDP($B158,X$6, "YLD_YTM_ASK="&amp;$S158,"YAS_YLD_CONV=1")*$X$3*0.0001</f>
        <v>#VALUE!</v>
      </c>
      <c r="Y158" s="24" t="e">
        <f t="shared" ca="1" si="11"/>
        <v>#VALUE!</v>
      </c>
      <c r="Z158" s="23">
        <f ca="1">_xll.meLWOBondModifiedDuration($L158,$C$4,$S158%)</f>
        <v>14.671312128403482</v>
      </c>
      <c r="AA158" s="23">
        <f ca="1">_xll.BDP($B158,AA$6, "YLD_YTM_ASK="&amp;$G158,"YAS_YLD_CONV=1")</f>
        <v>14.671401558587924</v>
      </c>
      <c r="AB158" s="22">
        <f t="shared" ca="1" si="12"/>
        <v>8.9430184441852134E-5</v>
      </c>
      <c r="AC158" s="24">
        <f ca="1">_xll.meLWOBondDV01Numerical($L158,$C$4,$S158%, 0.5, "CENTRAL")</f>
        <v>2200.4965967266799</v>
      </c>
    </row>
    <row r="159" spans="2:29">
      <c r="B159" s="15" t="s">
        <v>1222</v>
      </c>
      <c r="C159" s="15" t="s">
        <v>1223</v>
      </c>
      <c r="D159" s="15" t="s">
        <v>1223</v>
      </c>
      <c r="E159" s="16">
        <v>40140</v>
      </c>
      <c r="F159" s="19"/>
      <c r="G159" s="18"/>
      <c r="H159" s="16"/>
      <c r="I159" s="16"/>
      <c r="J159" s="17">
        <v>0</v>
      </c>
      <c r="K159" s="16">
        <v>50703</v>
      </c>
      <c r="L159" s="20" t="str">
        <f ca="1">_xll.meLWOBondCreateFromGeneratorLVB(C159,$L$4,_xll.meUtilityLVBFromKeysValues($C$6:$K$6,C159:K159))</f>
        <v>FR0010810101:0</v>
      </c>
      <c r="M159" s="92">
        <f ca="1">_xll.BDP($B159,$M$5)</f>
        <v>1.4940490430636499</v>
      </c>
      <c r="N159" s="89">
        <f ca="1">_xll.meLWOBondCleanPrice($L159,$C$4,$M159%)</f>
        <v>74.30999999999996</v>
      </c>
      <c r="O159" s="89">
        <f ca="1">_xll.meLWOBondDirtyPrice($L159,$C$4,$M159%)</f>
        <v>74.30999999999996</v>
      </c>
      <c r="P159" s="72">
        <f ca="1">_xll.meLWOBondYield($L159,$C$4,N159)</f>
        <v>1.4940490430636571E-2</v>
      </c>
      <c r="Q159" s="89">
        <f ca="1">_xll.meLWOBondModifiedDuration($L159,$C$4,$M159%)</f>
        <v>19.727184004378358</v>
      </c>
      <c r="R159" s="23">
        <f ca="1">_xll.meLWOBondDV01($L159,$C$4,$M159%)</f>
        <v>1465.9270433653551</v>
      </c>
      <c r="S159" s="21">
        <f t="shared" ca="1" si="13"/>
        <v>1.4940490430636499</v>
      </c>
      <c r="T159" s="22" t="str">
        <f ca="1">_xll.BDP($B159,T$6, "YAS_BOND_YLD="&amp;S159,"YAS_YLD_CONV=1")</f>
        <v>#N/A Requesting Data...</v>
      </c>
      <c r="U159" s="23">
        <f t="shared" ca="1" si="14"/>
        <v>74.30999999999996</v>
      </c>
      <c r="V159" s="24" t="e">
        <f t="shared" ca="1" si="10"/>
        <v>#VALUE!</v>
      </c>
      <c r="W159" s="23">
        <f ca="1">_xll.meLWOBondDV01($L159,$C$4,$S159%)</f>
        <v>1465.9270433653551</v>
      </c>
      <c r="X159" s="22" t="e">
        <f ca="1">_xll.BDP($B159,X$6, "YLD_YTM_ASK="&amp;$S159,"YAS_YLD_CONV=1")*$X$3*0.0001</f>
        <v>#VALUE!</v>
      </c>
      <c r="Y159" s="24" t="e">
        <f t="shared" ca="1" si="11"/>
        <v>#VALUE!</v>
      </c>
      <c r="Z159" s="23">
        <f ca="1">_xll.meLWOBondModifiedDuration($L159,$C$4,$S159%)</f>
        <v>19.727184004378358</v>
      </c>
      <c r="AA159" s="23">
        <f ca="1">_xll.BDP($B159,AA$6, "YLD_YTM_ASK="&amp;$G159,"YAS_YLD_CONV=1")</f>
        <v>19.727198780491573</v>
      </c>
      <c r="AB159" s="22">
        <f t="shared" ca="1" si="12"/>
        <v>1.4776113214765019E-5</v>
      </c>
      <c r="AC159" s="24">
        <f ca="1">_xll.meLWOBondDV01Numerical($L159,$C$4,$S159%, 0.5, "CENTRAL")</f>
        <v>1465.9273178716605</v>
      </c>
    </row>
    <row r="160" spans="2:29">
      <c r="B160" s="15" t="s">
        <v>1288</v>
      </c>
      <c r="C160" s="15" t="s">
        <v>1289</v>
      </c>
      <c r="D160" s="15" t="s">
        <v>1289</v>
      </c>
      <c r="E160" s="16">
        <v>38972</v>
      </c>
      <c r="F160" s="19"/>
      <c r="G160" s="18"/>
      <c r="H160" s="16"/>
      <c r="I160" s="16"/>
      <c r="J160" s="17">
        <v>0</v>
      </c>
      <c r="K160" s="16">
        <v>50703</v>
      </c>
      <c r="L160" s="20" t="str">
        <f ca="1">_xll.meLWOBondCreateFromGeneratorLVB(C160,$L$4,_xll.meUtilityLVBFromKeysValues($C$6:$K$6,C160:K160))</f>
        <v>FR0010371427:0</v>
      </c>
      <c r="M160" s="92">
        <f ca="1">_xll.BDP($B160,$M$5)</f>
        <v>1.4492349985191222</v>
      </c>
      <c r="N160" s="89">
        <f ca="1">_xll.meLWOBondCleanPrice($L160,$C$4,$M160%)</f>
        <v>74.970000000000013</v>
      </c>
      <c r="O160" s="89">
        <f ca="1">_xll.meLWOBondDirtyPrice($L160,$C$4,$M160%)</f>
        <v>74.970000000000013</v>
      </c>
      <c r="P160" s="72">
        <f ca="1">_xll.meLWOBondYield($L160,$C$4,N160)</f>
        <v>1.4492349985191291E-2</v>
      </c>
      <c r="Q160" s="89">
        <f ca="1">_xll.meLWOBondModifiedDuration($L160,$C$4,$M160%)</f>
        <v>19.735898263315089</v>
      </c>
      <c r="R160" s="23">
        <f ca="1">_xll.meLWOBondDV01($L160,$C$4,$M160%)</f>
        <v>1479.6002928007326</v>
      </c>
      <c r="S160" s="21">
        <f t="shared" ca="1" si="13"/>
        <v>1.4492349985191222</v>
      </c>
      <c r="T160" s="22" t="str">
        <f ca="1">_xll.BDP($B160,T$6, "YAS_BOND_YLD="&amp;S160,"YAS_YLD_CONV=1")</f>
        <v>#N/A Requesting Data...</v>
      </c>
      <c r="U160" s="23">
        <f t="shared" ca="1" si="14"/>
        <v>74.970000000000013</v>
      </c>
      <c r="V160" s="24" t="e">
        <f t="shared" ca="1" si="10"/>
        <v>#VALUE!</v>
      </c>
      <c r="W160" s="23">
        <f ca="1">_xll.meLWOBondDV01($L160,$C$4,$S160%)</f>
        <v>1479.6002928007326</v>
      </c>
      <c r="X160" s="22" t="e">
        <f ca="1">_xll.BDP($B160,X$6, "YLD_YTM_ASK="&amp;$S160,"YAS_YLD_CONV=1")*$X$3*0.0001</f>
        <v>#VALUE!</v>
      </c>
      <c r="Y160" s="24" t="e">
        <f t="shared" ca="1" si="11"/>
        <v>#VALUE!</v>
      </c>
      <c r="Z160" s="23">
        <f ca="1">_xll.meLWOBondModifiedDuration($L160,$C$4,$S160%)</f>
        <v>19.735898263315089</v>
      </c>
      <c r="AA160" s="23">
        <f ca="1">_xll.BDP($B160,AA$6, "YLD_YTM_ASK="&amp;$G160,"YAS_YLD_CONV=1")</f>
        <v>19.735913059017186</v>
      </c>
      <c r="AB160" s="22">
        <f t="shared" ca="1" si="12"/>
        <v>1.4795702096392915E-5</v>
      </c>
      <c r="AC160" s="24">
        <f ca="1">_xll.meLWOBondDV01Numerical($L160,$C$4,$S160%, 0.5, "CENTRAL")</f>
        <v>1479.6005701090567</v>
      </c>
    </row>
    <row r="161" spans="2:29">
      <c r="B161" s="15" t="s">
        <v>1386</v>
      </c>
      <c r="C161" s="15" t="s">
        <v>1387</v>
      </c>
      <c r="D161" s="15" t="s">
        <v>1387</v>
      </c>
      <c r="E161" s="16">
        <v>38972</v>
      </c>
      <c r="F161" s="19"/>
      <c r="G161" s="18"/>
      <c r="H161" s="16"/>
      <c r="I161" s="16"/>
      <c r="J161" s="17">
        <v>0</v>
      </c>
      <c r="K161" s="16">
        <v>50703</v>
      </c>
      <c r="L161" s="20" t="str">
        <f ca="1">_xll.meLWOBondCreateFromGeneratorLVB(C161,$L$4,_xll.meUtilityLVBFromKeysValues($C$6:$K$6,C161:K161))</f>
        <v>FR0010372094:0</v>
      </c>
      <c r="M161" s="92">
        <f ca="1">_xll.BDP($B161,$M$5)</f>
        <v>1.4782487640735198</v>
      </c>
      <c r="N161" s="89">
        <f ca="1">_xll.meLWOBondCleanPrice($L161,$C$4,$M161%)</f>
        <v>74.541999999999987</v>
      </c>
      <c r="O161" s="89">
        <f ca="1">_xll.meLWOBondDirtyPrice($L161,$C$4,$M161%)</f>
        <v>74.541999999999987</v>
      </c>
      <c r="P161" s="72">
        <f ca="1">_xll.meLWOBondYield($L161,$C$4,N161)</f>
        <v>1.4782487640735101E-2</v>
      </c>
      <c r="Q161" s="89">
        <f ca="1">_xll.meLWOBondModifiedDuration($L161,$C$4,$M161%)</f>
        <v>19.73025554941146</v>
      </c>
      <c r="R161" s="23">
        <f ca="1">_xll.meLWOBondDV01($L161,$C$4,$M161%)</f>
        <v>1470.7327091642287</v>
      </c>
      <c r="S161" s="21">
        <f t="shared" ca="1" si="13"/>
        <v>1.4782487640735198</v>
      </c>
      <c r="T161" s="22" t="str">
        <f ca="1">_xll.BDP($B161,T$6, "YAS_BOND_YLD="&amp;S161,"YAS_YLD_CONV=1")</f>
        <v>#N/A Requesting Data...</v>
      </c>
      <c r="U161" s="23">
        <f t="shared" ca="1" si="14"/>
        <v>74.541999999999987</v>
      </c>
      <c r="V161" s="24" t="e">
        <f t="shared" ca="1" si="10"/>
        <v>#VALUE!</v>
      </c>
      <c r="W161" s="23">
        <f ca="1">_xll.meLWOBondDV01($L161,$C$4,$S161%)</f>
        <v>1470.7327091642287</v>
      </c>
      <c r="X161" s="22" t="e">
        <f ca="1">_xll.BDP($B161,X$6, "YLD_YTM_ASK="&amp;$S161,"YAS_YLD_CONV=1")*$X$3*0.0001</f>
        <v>#VALUE!</v>
      </c>
      <c r="Y161" s="24" t="e">
        <f t="shared" ca="1" si="11"/>
        <v>#VALUE!</v>
      </c>
      <c r="Z161" s="23">
        <f ca="1">_xll.meLWOBondModifiedDuration($L161,$C$4,$S161%)</f>
        <v>19.73025554941146</v>
      </c>
      <c r="AA161" s="23">
        <f ca="1">_xll.BDP($B161,AA$6, "YLD_YTM_ASK="&amp;$G161,"YAS_YLD_CONV=1")</f>
        <v>19.730270332428308</v>
      </c>
      <c r="AB161" s="22">
        <f t="shared" ca="1" si="12"/>
        <v>1.4783016847985664E-5</v>
      </c>
      <c r="AC161" s="24">
        <f ca="1">_xll.meLWOBondDV01Numerical($L161,$C$4,$S161%, 0.5, "CENTRAL")</f>
        <v>1470.7329846561381</v>
      </c>
    </row>
    <row r="162" spans="2:29">
      <c r="B162" s="15" t="s">
        <v>1378</v>
      </c>
      <c r="C162" s="15" t="s">
        <v>1379</v>
      </c>
      <c r="D162" s="15" t="s">
        <v>1379</v>
      </c>
      <c r="E162" s="16">
        <v>38411</v>
      </c>
      <c r="F162" s="19"/>
      <c r="G162" s="18"/>
      <c r="H162" s="16"/>
      <c r="I162" s="16"/>
      <c r="J162" s="17">
        <v>0</v>
      </c>
      <c r="K162" s="16">
        <v>50885</v>
      </c>
      <c r="L162" s="20" t="str">
        <f ca="1">_xll.meLWOBondCreateFromGeneratorLVB(C162,$L$4,_xll.meUtilityLVBFromKeysValues($C$6:$K$6,C162:K162))</f>
        <v>FR0010172296:0</v>
      </c>
      <c r="M162" s="92">
        <f ca="1">_xll.BDP($B162,$M$5)</f>
        <v>1.5018018925855969</v>
      </c>
      <c r="N162" s="89">
        <f ca="1">_xll.meLWOBondCleanPrice($L162,$C$4,$M162%)</f>
        <v>73.647000000000105</v>
      </c>
      <c r="O162" s="89">
        <f ca="1">_xll.meLWOBondDirtyPrice($L162,$C$4,$M162%)</f>
        <v>73.647000000000105</v>
      </c>
      <c r="P162" s="72">
        <f ca="1">_xll.meLWOBondYield($L162,$C$4,N162)</f>
        <v>1.5018018925855867E-2</v>
      </c>
      <c r="Q162" s="89">
        <f ca="1">_xll.meLWOBondModifiedDuration($L162,$C$4,$M162%)</f>
        <v>20.216929712165481</v>
      </c>
      <c r="R162" s="23">
        <f ca="1">_xll.meLWOBondDV01($L162,$C$4,$M162%)</f>
        <v>1488.9162225118532</v>
      </c>
      <c r="S162" s="21">
        <f t="shared" ca="1" si="13"/>
        <v>1.5018018925855969</v>
      </c>
      <c r="T162" s="22" t="str">
        <f ca="1">_xll.BDP($B162,T$6, "YAS_BOND_YLD="&amp;S162,"YAS_YLD_CONV=1")</f>
        <v>#N/A Requesting Data...</v>
      </c>
      <c r="U162" s="23">
        <f t="shared" ca="1" si="14"/>
        <v>73.647000000000105</v>
      </c>
      <c r="V162" s="24" t="e">
        <f t="shared" ca="1" si="10"/>
        <v>#VALUE!</v>
      </c>
      <c r="W162" s="23">
        <f ca="1">_xll.meLWOBondDV01($L162,$C$4,$S162%)</f>
        <v>1488.9162225118532</v>
      </c>
      <c r="X162" s="22" t="e">
        <f ca="1">_xll.BDP($B162,X$6, "YLD_YTM_ASK="&amp;$S162,"YAS_YLD_CONV=1")*$X$3*0.0001</f>
        <v>#VALUE!</v>
      </c>
      <c r="Y162" s="24" t="e">
        <f t="shared" ca="1" si="11"/>
        <v>#VALUE!</v>
      </c>
      <c r="Z162" s="23">
        <f ca="1">_xll.meLWOBondModifiedDuration($L162,$C$4,$S162%)</f>
        <v>20.216929712165481</v>
      </c>
      <c r="AA162" s="23">
        <f ca="1">_xll.BDP($B162,AA$6, "YLD_YTM_ASK="&amp;$G162,"YAS_YLD_CONV=1")</f>
        <v>20.216945562879651</v>
      </c>
      <c r="AB162" s="22">
        <f t="shared" ca="1" si="12"/>
        <v>1.5850714170539959E-5</v>
      </c>
      <c r="AC162" s="24">
        <f ca="1">_xll.meLWOBondDV01Numerical($L162,$C$4,$S162%, 0.5, "CENTRAL")</f>
        <v>1488.9165143509331</v>
      </c>
    </row>
    <row r="163" spans="2:29">
      <c r="B163" s="15" t="s">
        <v>1382</v>
      </c>
      <c r="C163" s="15" t="s">
        <v>1383</v>
      </c>
      <c r="D163" s="15" t="s">
        <v>1383</v>
      </c>
      <c r="E163" s="16">
        <v>40140</v>
      </c>
      <c r="F163" s="19"/>
      <c r="G163" s="18"/>
      <c r="H163" s="16"/>
      <c r="I163" s="16"/>
      <c r="J163" s="17">
        <v>0</v>
      </c>
      <c r="K163" s="16">
        <v>50885</v>
      </c>
      <c r="L163" s="20" t="str">
        <f ca="1">_xll.meLWOBondCreateFromGeneratorLVB(C163,$L$4,_xll.meUtilityLVBFromKeysValues($C$6:$K$6,C163:K163))</f>
        <v>FR0010809749:0</v>
      </c>
      <c r="M163" s="92">
        <f ca="1">_xll.BDP($B163,$M$5)</f>
        <v>1.523950421085063</v>
      </c>
      <c r="N163" s="89">
        <f ca="1">_xll.meLWOBondCleanPrice($L163,$C$4,$M163%)</f>
        <v>73.317999999999941</v>
      </c>
      <c r="O163" s="89">
        <f ca="1">_xll.meLWOBondDirtyPrice($L163,$C$4,$M163%)</f>
        <v>73.317999999999941</v>
      </c>
      <c r="P163" s="72">
        <f ca="1">_xll.meLWOBondYield($L163,$C$4,N163)</f>
        <v>1.5239504210850564E-2</v>
      </c>
      <c r="Q163" s="89">
        <f ca="1">_xll.meLWOBondModifiedDuration($L163,$C$4,$M163%)</f>
        <v>20.212519174139285</v>
      </c>
      <c r="R163" s="23">
        <f ca="1">_xll.meLWOBondDV01($L163,$C$4,$M163%)</f>
        <v>1481.941480809543</v>
      </c>
      <c r="S163" s="21">
        <f t="shared" ca="1" si="13"/>
        <v>1.523950421085063</v>
      </c>
      <c r="T163" s="22" t="str">
        <f ca="1">_xll.BDP($B163,T$6, "YAS_BOND_YLD="&amp;S163,"YAS_YLD_CONV=1")</f>
        <v>#N/A Requesting Data...</v>
      </c>
      <c r="U163" s="23">
        <f t="shared" ca="1" si="14"/>
        <v>73.317999999999941</v>
      </c>
      <c r="V163" s="24" t="e">
        <f t="shared" ca="1" si="10"/>
        <v>#VALUE!</v>
      </c>
      <c r="W163" s="23">
        <f ca="1">_xll.meLWOBondDV01($L163,$C$4,$S163%)</f>
        <v>1481.941480809543</v>
      </c>
      <c r="X163" s="22" t="e">
        <f ca="1">_xll.BDP($B163,X$6, "YLD_YTM_ASK="&amp;$S163,"YAS_YLD_CONV=1")*$X$3*0.0001</f>
        <v>#VALUE!</v>
      </c>
      <c r="Y163" s="24" t="e">
        <f t="shared" ca="1" si="11"/>
        <v>#VALUE!</v>
      </c>
      <c r="Z163" s="23">
        <f ca="1">_xll.meLWOBondModifiedDuration($L163,$C$4,$S163%)</f>
        <v>20.212519174139285</v>
      </c>
      <c r="AA163" s="23">
        <f ca="1">_xll.BDP($B163,AA$6, "YLD_YTM_ASK="&amp;$G163,"YAS_YLD_CONV=1")</f>
        <v>20.212535014478988</v>
      </c>
      <c r="AB163" s="22">
        <f t="shared" ca="1" si="12"/>
        <v>1.5840339703032669E-5</v>
      </c>
      <c r="AC163" s="24">
        <f ca="1">_xll.meLWOBondDV01Numerical($L163,$C$4,$S163%, 0.5, "CENTRAL")</f>
        <v>1481.9417711549934</v>
      </c>
    </row>
    <row r="164" spans="2:29">
      <c r="B164" s="15" t="s">
        <v>1332</v>
      </c>
      <c r="C164" s="15" t="s">
        <v>1333</v>
      </c>
      <c r="D164" s="15" t="s">
        <v>1333</v>
      </c>
      <c r="E164" s="16">
        <v>41368</v>
      </c>
      <c r="F164" s="19"/>
      <c r="G164" s="18"/>
      <c r="H164" s="16"/>
      <c r="I164" s="16"/>
      <c r="J164" s="17">
        <v>0</v>
      </c>
      <c r="K164" s="16">
        <v>50915</v>
      </c>
      <c r="L164" s="20" t="str">
        <f ca="1">_xll.meLWOBondCreateFromGeneratorLVB(C164,$L$4,_xll.meUtilityLVBFromKeysValues($C$6:$K$6,C164:K164))</f>
        <v>FR0011461607:0</v>
      </c>
      <c r="M164" s="92">
        <f ca="1">_xll.BDP($B164,$M$5)</f>
        <v>1.539582684533447</v>
      </c>
      <c r="N164" s="89">
        <f ca="1">_xll.meLWOBondCleanPrice($L164,$C$4,$M164%)</f>
        <v>72.99500000000009</v>
      </c>
      <c r="O164" s="89">
        <f ca="1">_xll.meLWOBondDirtyPrice($L164,$C$4,$M164%)</f>
        <v>72.99500000000009</v>
      </c>
      <c r="P164" s="72">
        <f ca="1">_xll.meLWOBondYield($L164,$C$4,N164)</f>
        <v>1.5395826845334405E-2</v>
      </c>
      <c r="Q164" s="89">
        <f ca="1">_xll.meLWOBondModifiedDuration($L164,$C$4,$M164%)</f>
        <v>20.290352965145303</v>
      </c>
      <c r="R164" s="23">
        <f ca="1">_xll.meLWOBondDV01($L164,$C$4,$M164%)</f>
        <v>1481.0943146907832</v>
      </c>
      <c r="S164" s="21">
        <f t="shared" ca="1" si="13"/>
        <v>1.539582684533447</v>
      </c>
      <c r="T164" s="22" t="str">
        <f ca="1">_xll.BDP($B164,T$6, "YAS_BOND_YLD="&amp;S164,"YAS_YLD_CONV=1")</f>
        <v>#N/A Requesting Data...</v>
      </c>
      <c r="U164" s="23">
        <f t="shared" ca="1" si="14"/>
        <v>72.99500000000009</v>
      </c>
      <c r="V164" s="24" t="e">
        <f t="shared" ca="1" si="10"/>
        <v>#VALUE!</v>
      </c>
      <c r="W164" s="23">
        <f ca="1">_xll.meLWOBondDV01($L164,$C$4,$S164%)</f>
        <v>1481.0943146907832</v>
      </c>
      <c r="X164" s="22" t="e">
        <f ca="1">_xll.BDP($B164,X$6, "YLD_YTM_ASK="&amp;$S164,"YAS_YLD_CONV=1")*$X$3*0.0001</f>
        <v>#VALUE!</v>
      </c>
      <c r="Y164" s="24" t="e">
        <f t="shared" ca="1" si="11"/>
        <v>#VALUE!</v>
      </c>
      <c r="Z164" s="23">
        <f ca="1">_xll.meLWOBondModifiedDuration($L164,$C$4,$S164%)</f>
        <v>20.290352965145303</v>
      </c>
      <c r="AA164" s="23">
        <f ca="1">_xll.BDP($B164,AA$6, "YLD_YTM_ASK="&amp;$G164,"YAS_YLD_CONV=1")</f>
        <v>20.290368980537494</v>
      </c>
      <c r="AB164" s="22">
        <f t="shared" ca="1" si="12"/>
        <v>1.601539219109327E-5</v>
      </c>
      <c r="AC164" s="24">
        <f ca="1">_xll.meLWOBondDV01Numerical($L164,$C$4,$S164%, 0.5, "CENTRAL")</f>
        <v>1481.0946069513875</v>
      </c>
    </row>
    <row r="165" spans="2:29">
      <c r="B165" s="15" t="s">
        <v>1192</v>
      </c>
      <c r="C165" s="15" t="s">
        <v>1193</v>
      </c>
      <c r="D165" s="15" t="s">
        <v>1193</v>
      </c>
      <c r="E165" s="16">
        <v>42766</v>
      </c>
      <c r="F165" s="19">
        <v>42546</v>
      </c>
      <c r="G165" s="18"/>
      <c r="H165" s="16">
        <v>42911</v>
      </c>
      <c r="I165" s="16">
        <v>50581</v>
      </c>
      <c r="J165" s="17">
        <v>1.7500000000000002E-2</v>
      </c>
      <c r="K165" s="16">
        <v>50946</v>
      </c>
      <c r="L165" s="20" t="str">
        <f ca="1">_xll.meLWOBondCreateFromGeneratorLVB(C165,$L$4,_xll.meUtilityLVBFromKeysValues($C$6:$K$6,C165:K165))</f>
        <v>FR0013234333:0</v>
      </c>
      <c r="M165" s="92">
        <f ca="1">_xll.BDP($B165,$M$5)</f>
        <v>1.4508295832050959</v>
      </c>
      <c r="N165" s="89">
        <f ca="1">_xll.meLWOBondCleanPrice($L165,$C$4,$M165%)</f>
        <v>105.31099999999986</v>
      </c>
      <c r="O165" s="89">
        <f ca="1">_xll.meLWOBondDirtyPrice($L165,$C$4,$M165%)</f>
        <v>105.85757529999987</v>
      </c>
      <c r="P165" s="72">
        <f ca="1">_xll.meLWOBondYield($L165,$C$4,N165)</f>
        <v>1.4508295832064529E-2</v>
      </c>
      <c r="Q165" s="89">
        <f ca="1">_xll.meLWOBondModifiedDuration($L165,$C$4,$M165%)</f>
        <v>17.291608307683539</v>
      </c>
      <c r="R165" s="23">
        <f ca="1">_xll.meLWOBondDV01($L165,$C$4,$M165%)</f>
        <v>1830.4477284887137</v>
      </c>
      <c r="S165" s="21">
        <f t="shared" ca="1" si="13"/>
        <v>1.4508295832050959</v>
      </c>
      <c r="T165" s="22" t="str">
        <f ca="1">_xll.BDP($B165,T$6, "YAS_BOND_YLD="&amp;S165,"YAS_YLD_CONV=1")</f>
        <v>#N/A Requesting Data...</v>
      </c>
      <c r="U165" s="23">
        <f t="shared" ca="1" si="14"/>
        <v>105.31099999999986</v>
      </c>
      <c r="V165" s="24" t="e">
        <f t="shared" ca="1" si="10"/>
        <v>#VALUE!</v>
      </c>
      <c r="W165" s="23">
        <f ca="1">_xll.meLWOBondDV01($L165,$C$4,$S165%)</f>
        <v>1830.4477284887137</v>
      </c>
      <c r="X165" s="22" t="e">
        <f ca="1">_xll.BDP($B165,X$6, "YLD_YTM_ASK="&amp;$S165,"YAS_YLD_CONV=1")*$X$3*0.0001</f>
        <v>#VALUE!</v>
      </c>
      <c r="Y165" s="24" t="e">
        <f t="shared" ca="1" si="11"/>
        <v>#VALUE!</v>
      </c>
      <c r="Z165" s="23">
        <f ca="1">_xll.meLWOBondModifiedDuration($L165,$C$4,$S165%)</f>
        <v>17.291608307683539</v>
      </c>
      <c r="AA165" s="23">
        <f ca="1">_xll.BDP($B165,AA$6, "YLD_YTM_ASK="&amp;$G165,"YAS_YLD_CONV=1")</f>
        <v>17.291648378378103</v>
      </c>
      <c r="AB165" s="22">
        <f t="shared" ca="1" si="12"/>
        <v>4.0070694563354436E-5</v>
      </c>
      <c r="AC165" s="24">
        <f ca="1">_xll.meLWOBondDV01Numerical($L165,$C$4,$S165%, 0.5, "CENTRAL")</f>
        <v>1830.4480631299214</v>
      </c>
    </row>
    <row r="166" spans="2:29">
      <c r="B166" s="15" t="s">
        <v>1274</v>
      </c>
      <c r="C166" s="15" t="s">
        <v>1275</v>
      </c>
      <c r="D166" s="15" t="s">
        <v>1275</v>
      </c>
      <c r="E166" s="16">
        <v>40140</v>
      </c>
      <c r="F166" s="19"/>
      <c r="G166" s="18"/>
      <c r="H166" s="16"/>
      <c r="I166" s="16"/>
      <c r="J166" s="17">
        <v>0</v>
      </c>
      <c r="K166" s="16">
        <v>51251</v>
      </c>
      <c r="L166" s="20" t="str">
        <f ca="1">_xll.meLWOBondCreateFromGeneratorLVB(C166,$L$4,_xll.meUtilityLVBFromKeysValues($C$6:$K$6,C166:K166))</f>
        <v>FR0010809780:0</v>
      </c>
      <c r="M166" s="92">
        <f ca="1">_xll.BDP($B166,$M$5)</f>
        <v>1.5793207353901106</v>
      </c>
      <c r="N166" s="89">
        <f ca="1">_xll.meLWOBondCleanPrice($L166,$C$4,$M166%)</f>
        <v>71.374999999999986</v>
      </c>
      <c r="O166" s="89">
        <f ca="1">_xll.meLWOBondDirtyPrice($L166,$C$4,$M166%)</f>
        <v>71.374999999999986</v>
      </c>
      <c r="P166" s="72">
        <f ca="1">_xll.meLWOBondYield($L166,$C$4,N166)</f>
        <v>1.5793207353901179E-2</v>
      </c>
      <c r="Q166" s="89">
        <f ca="1">_xll.meLWOBondModifiedDuration($L166,$C$4,$M166%)</f>
        <v>21.185953784102974</v>
      </c>
      <c r="R166" s="23">
        <f ca="1">_xll.meLWOBondDV01($L166,$C$4,$M166%)</f>
        <v>1512.1474513403496</v>
      </c>
      <c r="S166" s="21">
        <f t="shared" ca="1" si="13"/>
        <v>1.5793207353901106</v>
      </c>
      <c r="T166" s="22" t="str">
        <f ca="1">_xll.BDP($B166,T$6, "YAS_BOND_YLD="&amp;S166,"YAS_YLD_CONV=1")</f>
        <v>#N/A Requesting Data...</v>
      </c>
      <c r="U166" s="23">
        <f t="shared" ca="1" si="14"/>
        <v>71.374999999999986</v>
      </c>
      <c r="V166" s="24" t="e">
        <f t="shared" ca="1" si="10"/>
        <v>#VALUE!</v>
      </c>
      <c r="W166" s="23">
        <f ca="1">_xll.meLWOBondDV01($L166,$C$4,$S166%)</f>
        <v>1512.1474513403496</v>
      </c>
      <c r="X166" s="22" t="e">
        <f ca="1">_xll.BDP($B166,X$6, "YLD_YTM_ASK="&amp;$S166,"YAS_YLD_CONV=1")*$X$3*0.0001</f>
        <v>#VALUE!</v>
      </c>
      <c r="Y166" s="24" t="e">
        <f t="shared" ca="1" si="11"/>
        <v>#VALUE!</v>
      </c>
      <c r="Z166" s="23">
        <f ca="1">_xll.meLWOBondModifiedDuration($L166,$C$4,$S166%)</f>
        <v>21.185953784102974</v>
      </c>
      <c r="AA166" s="23">
        <f ca="1">_xll.BDP($B166,AA$6, "YLD_YTM_ASK="&amp;$G166,"YAS_YLD_CONV=1")</f>
        <v>21.185971910546275</v>
      </c>
      <c r="AB166" s="22">
        <f t="shared" ca="1" si="12"/>
        <v>1.8126443301014206E-5</v>
      </c>
      <c r="AC166" s="24">
        <f ca="1">_xll.meLWOBondDV01Numerical($L166,$C$4,$S166%, 0.5, "CENTRAL")</f>
        <v>1512.1477747838696</v>
      </c>
    </row>
    <row r="167" spans="2:29">
      <c r="B167" s="15" t="s">
        <v>1458</v>
      </c>
      <c r="C167" s="15" t="s">
        <v>1459</v>
      </c>
      <c r="D167" s="15" t="s">
        <v>1459</v>
      </c>
      <c r="E167" s="16">
        <v>38411</v>
      </c>
      <c r="F167" s="19"/>
      <c r="G167" s="18"/>
      <c r="H167" s="16"/>
      <c r="I167" s="16"/>
      <c r="J167" s="17">
        <v>0</v>
      </c>
      <c r="K167" s="16">
        <v>51251</v>
      </c>
      <c r="L167" s="20" t="str">
        <f ca="1">_xll.meLWOBondCreateFromGeneratorLVB(C167,$L$4,_xll.meUtilityLVBFromKeysValues($C$6:$K$6,C167:K167))</f>
        <v>FR0010172304:0</v>
      </c>
      <c r="M167" s="92">
        <f ca="1">_xll.BDP($B167,$M$5)</f>
        <v>1.5297315148641744</v>
      </c>
      <c r="N167" s="89">
        <f ca="1">_xll.meLWOBondCleanPrice($L167,$C$4,$M167%)</f>
        <v>72.129000000000033</v>
      </c>
      <c r="O167" s="89">
        <f ca="1">_xll.meLWOBondDirtyPrice($L167,$C$4,$M167%)</f>
        <v>72.129000000000033</v>
      </c>
      <c r="P167" s="72">
        <f ca="1">_xll.meLWOBondYield($L167,$C$4,N167)</f>
        <v>1.5297315148641771E-2</v>
      </c>
      <c r="Q167" s="89">
        <f ca="1">_xll.meLWOBondModifiedDuration($L167,$C$4,$M167%)</f>
        <v>21.196301442060669</v>
      </c>
      <c r="R167" s="23">
        <f ca="1">_xll.meLWOBondDV01($L167,$C$4,$M167%)</f>
        <v>1528.8680267143948</v>
      </c>
      <c r="S167" s="21">
        <f t="shared" ca="1" si="13"/>
        <v>1.5297315148641744</v>
      </c>
      <c r="T167" s="22" t="str">
        <f ca="1">_xll.BDP($B167,T$6, "YAS_BOND_YLD="&amp;S167,"YAS_YLD_CONV=1")</f>
        <v>#N/A Requesting Data...</v>
      </c>
      <c r="U167" s="23">
        <f t="shared" ca="1" si="14"/>
        <v>72.129000000000033</v>
      </c>
      <c r="V167" s="24" t="e">
        <f t="shared" ca="1" si="10"/>
        <v>#VALUE!</v>
      </c>
      <c r="W167" s="23">
        <f ca="1">_xll.meLWOBondDV01($L167,$C$4,$S167%)</f>
        <v>1528.8680267143948</v>
      </c>
      <c r="X167" s="22" t="e">
        <f ca="1">_xll.BDP($B167,X$6, "YLD_YTM_ASK="&amp;$S167,"YAS_YLD_CONV=1")*$X$3*0.0001</f>
        <v>#VALUE!</v>
      </c>
      <c r="Y167" s="24" t="e">
        <f t="shared" ca="1" si="11"/>
        <v>#VALUE!</v>
      </c>
      <c r="Z167" s="23">
        <f ca="1">_xll.meLWOBondModifiedDuration($L167,$C$4,$S167%)</f>
        <v>21.196301442060669</v>
      </c>
      <c r="AA167" s="23">
        <f ca="1">_xll.BDP($B167,AA$6, "YLD_YTM_ASK="&amp;$G167,"YAS_YLD_CONV=1")</f>
        <v>21.196319595078432</v>
      </c>
      <c r="AB167" s="22">
        <f t="shared" ca="1" si="12"/>
        <v>1.8153017762756463E-5</v>
      </c>
      <c r="AC167" s="24">
        <f ca="1">_xll.meLWOBondDV01Numerical($L167,$C$4,$S167%, 0.5, "CENTRAL")</f>
        <v>1528.8683540539694</v>
      </c>
    </row>
    <row r="168" spans="2:29">
      <c r="B168" s="15" t="s">
        <v>1474</v>
      </c>
      <c r="C168" s="15" t="s">
        <v>1475</v>
      </c>
      <c r="D168" s="15" t="s">
        <v>1475</v>
      </c>
      <c r="E168" s="16">
        <v>41368</v>
      </c>
      <c r="F168" s="19"/>
      <c r="G168" s="18"/>
      <c r="H168" s="16"/>
      <c r="I168" s="16"/>
      <c r="J168" s="17">
        <v>0</v>
      </c>
      <c r="K168" s="16">
        <v>51281</v>
      </c>
      <c r="L168" s="20" t="str">
        <f ca="1">_xll.meLWOBondCreateFromGeneratorLVB(C168,$L$4,_xll.meUtilityLVBFromKeysValues($C$6:$K$6,C168:K168))</f>
        <v>FR0011461615:0</v>
      </c>
      <c r="M168" s="92">
        <f ca="1">_xll.BDP($B168,$M$5)</f>
        <v>1.6001565400613593</v>
      </c>
      <c r="N168" s="89">
        <f ca="1">_xll.meLWOBondCleanPrice($L168,$C$4,$M168%)</f>
        <v>70.968000000000004</v>
      </c>
      <c r="O168" s="89">
        <f ca="1">_xll.meLWOBondDirtyPrice($L168,$C$4,$M168%)</f>
        <v>70.968000000000004</v>
      </c>
      <c r="P168" s="72">
        <f ca="1">_xll.meLWOBondYield($L168,$C$4,N168)</f>
        <v>1.6001565400613645E-2</v>
      </c>
      <c r="Q168" s="89">
        <f ca="1">_xll.meLWOBondModifiedDuration($L168,$C$4,$M168%)</f>
        <v>21.262506340243039</v>
      </c>
      <c r="R168" s="23">
        <f ca="1">_xll.meLWOBondDV01($L168,$C$4,$M168%)</f>
        <v>1508.957549954368</v>
      </c>
      <c r="S168" s="21">
        <f t="shared" ca="1" si="13"/>
        <v>1.6001565400613593</v>
      </c>
      <c r="T168" s="22" t="str">
        <f ca="1">_xll.BDP($B168,T$6, "YAS_BOND_YLD="&amp;S168,"YAS_YLD_CONV=1")</f>
        <v>#N/A Requesting Data...</v>
      </c>
      <c r="U168" s="23">
        <f t="shared" ca="1" si="14"/>
        <v>70.968000000000004</v>
      </c>
      <c r="V168" s="24" t="e">
        <f t="shared" ca="1" si="10"/>
        <v>#VALUE!</v>
      </c>
      <c r="W168" s="23">
        <f ca="1">_xll.meLWOBondDV01($L168,$C$4,$S168%)</f>
        <v>1508.957549954368</v>
      </c>
      <c r="X168" s="22" t="e">
        <f ca="1">_xll.BDP($B168,X$6, "YLD_YTM_ASK="&amp;$S168,"YAS_YLD_CONV=1")*$X$3*0.0001</f>
        <v>#VALUE!</v>
      </c>
      <c r="Y168" s="24" t="e">
        <f t="shared" ca="1" si="11"/>
        <v>#VALUE!</v>
      </c>
      <c r="Z168" s="23">
        <f ca="1">_xll.meLWOBondModifiedDuration($L168,$C$4,$S168%)</f>
        <v>21.262506340243039</v>
      </c>
      <c r="AA168" s="23">
        <f ca="1">_xll.BDP($B168,AA$6, "YLD_YTM_ASK="&amp;$G168,"YAS_YLD_CONV=1")</f>
        <v>21.262524654867804</v>
      </c>
      <c r="AB168" s="22">
        <f t="shared" ca="1" si="12"/>
        <v>1.8314624764315113E-5</v>
      </c>
      <c r="AC168" s="24">
        <f ca="1">_xll.meLWOBondDV01Numerical($L168,$C$4,$S168%, 0.5, "CENTRAL")</f>
        <v>1508.9578748921897</v>
      </c>
    </row>
    <row r="169" spans="2:29">
      <c r="B169" s="15" t="s">
        <v>1190</v>
      </c>
      <c r="C169" s="15" t="s">
        <v>1191</v>
      </c>
      <c r="D169" s="15" t="s">
        <v>1191</v>
      </c>
      <c r="E169" s="16">
        <v>39994</v>
      </c>
      <c r="F169" s="19">
        <v>39928</v>
      </c>
      <c r="G169" s="18"/>
      <c r="H169" s="16">
        <v>40293</v>
      </c>
      <c r="I169" s="16">
        <v>51251</v>
      </c>
      <c r="J169" s="17">
        <v>4.4999999999999998E-2</v>
      </c>
      <c r="K169" s="16">
        <v>51616</v>
      </c>
      <c r="L169" s="20" t="str">
        <f ca="1">_xll.meLWOBondCreateFromGeneratorLVB(C169,$L$4,_xll.meUtilityLVBFromKeysValues($C$6:$K$6,C169:K169))</f>
        <v>FR0010773192:1</v>
      </c>
      <c r="M169" s="92">
        <f ca="1">_xll.BDP($B169,$M$5)</f>
        <v>1.458778239260899</v>
      </c>
      <c r="N169" s="89">
        <f ca="1">_xll.meLWOBondCleanPrice($L169,$C$4,$M169%)</f>
        <v>158.01200000044753</v>
      </c>
      <c r="O169" s="89">
        <f ca="1">_xll.meLWOBondDirtyPrice($L169,$C$4,$M169%)</f>
        <v>160.16953420044752</v>
      </c>
      <c r="P169" s="72">
        <f ca="1">_xll.meLWOBondYield($L169,$C$4,N169)</f>
        <v>1.4587782392608909E-2</v>
      </c>
      <c r="Q169" s="89">
        <f ca="1">_xll.meLWOBondModifiedDuration($L169,$C$4,$M169%)</f>
        <v>15.89561628156055</v>
      </c>
      <c r="R169" s="23">
        <f ca="1">_xll.meLWOBondDV01($L169,$C$4,$M169%)</f>
        <v>2545.9934556466028</v>
      </c>
      <c r="S169" s="21">
        <f t="shared" ca="1" si="13"/>
        <v>1.458778239260899</v>
      </c>
      <c r="T169" s="22" t="str">
        <f ca="1">_xll.BDP($B169,T$6, "YAS_BOND_YLD="&amp;S169,"YAS_YLD_CONV=1")</f>
        <v>#N/A Requesting Data...</v>
      </c>
      <c r="U169" s="23">
        <f t="shared" ca="1" si="14"/>
        <v>158.01200000044753</v>
      </c>
      <c r="V169" s="24" t="e">
        <f t="shared" ca="1" si="10"/>
        <v>#VALUE!</v>
      </c>
      <c r="W169" s="23">
        <f ca="1">_xll.meLWOBondDV01($L169,$C$4,$S169%)</f>
        <v>2545.9934556466028</v>
      </c>
      <c r="X169" s="22" t="e">
        <f ca="1">_xll.BDP($B169,X$6, "YLD_YTM_ASK="&amp;$S169,"YAS_YLD_CONV=1")*$X$3*0.0001</f>
        <v>#VALUE!</v>
      </c>
      <c r="Y169" s="24" t="e">
        <f t="shared" ca="1" si="11"/>
        <v>#VALUE!</v>
      </c>
      <c r="Z169" s="23">
        <f ca="1">_xll.meLWOBondModifiedDuration($L169,$C$4,$S169%)</f>
        <v>15.89561628156055</v>
      </c>
      <c r="AA169" s="23">
        <f ca="1">_xll.BDP($B169,AA$6, "YLD_YTM_ASK="&amp;$G169,"YAS_YLD_CONV=1")</f>
        <v>15.895684712145053</v>
      </c>
      <c r="AB169" s="22">
        <f t="shared" ca="1" si="12"/>
        <v>6.8430584503786918E-5</v>
      </c>
      <c r="AC169" s="24">
        <f ca="1">_xll.meLWOBondDV01Numerical($L169,$C$4,$S169%, 0.5, "CENTRAL")</f>
        <v>2545.9939440708013</v>
      </c>
    </row>
    <row r="170" spans="2:29">
      <c r="B170" s="15" t="s">
        <v>1238</v>
      </c>
      <c r="C170" s="15" t="s">
        <v>1239</v>
      </c>
      <c r="D170" s="15" t="s">
        <v>1239</v>
      </c>
      <c r="E170" s="16">
        <v>40140</v>
      </c>
      <c r="F170" s="19"/>
      <c r="G170" s="18"/>
      <c r="H170" s="16"/>
      <c r="I170" s="16"/>
      <c r="J170" s="17">
        <v>0</v>
      </c>
      <c r="K170" s="16">
        <v>51616</v>
      </c>
      <c r="L170" s="20" t="str">
        <f ca="1">_xll.meLWOBondCreateFromGeneratorLVB(C170,$L$4,_xll.meUtilityLVBFromKeysValues($C$6:$K$6,C170:K170))</f>
        <v>FR0010809806:0</v>
      </c>
      <c r="M170" s="92">
        <f ca="1">_xll.BDP($B170,$M$5)</f>
        <v>1.6320407323022534</v>
      </c>
      <c r="N170" s="89">
        <f ca="1">_xll.meLWOBondCleanPrice($L170,$C$4,$M170%)</f>
        <v>69.448999999999899</v>
      </c>
      <c r="O170" s="89">
        <f ca="1">_xll.meLWOBondDirtyPrice($L170,$C$4,$M170%)</f>
        <v>69.448999999999899</v>
      </c>
      <c r="P170" s="72">
        <f ca="1">_xll.meLWOBondYield($L170,$C$4,N170)</f>
        <v>1.6320407323022531E-2</v>
      </c>
      <c r="Q170" s="89">
        <f ca="1">_xll.meLWOBondModifiedDuration($L170,$C$4,$M170%)</f>
        <v>22.158905580302548</v>
      </c>
      <c r="R170" s="23">
        <f ca="1">_xll.meLWOBondDV01($L170,$C$4,$M170%)</f>
        <v>1538.9138336464293</v>
      </c>
      <c r="S170" s="21">
        <f t="shared" ca="1" si="13"/>
        <v>1.6320407323022534</v>
      </c>
      <c r="T170" s="22" t="str">
        <f ca="1">_xll.BDP($B170,T$6, "YAS_BOND_YLD="&amp;S170,"YAS_YLD_CONV=1")</f>
        <v>#N/A Requesting Data...</v>
      </c>
      <c r="U170" s="23">
        <f t="shared" ca="1" si="14"/>
        <v>69.448999999999899</v>
      </c>
      <c r="V170" s="24" t="e">
        <f t="shared" ca="1" si="10"/>
        <v>#VALUE!</v>
      </c>
      <c r="W170" s="23">
        <f ca="1">_xll.meLWOBondDV01($L170,$C$4,$S170%)</f>
        <v>1538.9138336464293</v>
      </c>
      <c r="X170" s="22" t="e">
        <f ca="1">_xll.BDP($B170,X$6, "YLD_YTM_ASK="&amp;$S170,"YAS_YLD_CONV=1")*$X$3*0.0001</f>
        <v>#VALUE!</v>
      </c>
      <c r="Y170" s="24" t="e">
        <f t="shared" ca="1" si="11"/>
        <v>#VALUE!</v>
      </c>
      <c r="Z170" s="23">
        <f ca="1">_xll.meLWOBondModifiedDuration($L170,$C$4,$S170%)</f>
        <v>22.158905580302548</v>
      </c>
      <c r="AA170" s="23">
        <f ca="1">_xll.BDP($B170,AA$6, "YLD_YTM_ASK="&amp;$G170,"YAS_YLD_CONV=1")</f>
        <v>22.158954536832084</v>
      </c>
      <c r="AB170" s="22">
        <f t="shared" ca="1" si="12"/>
        <v>4.8956529536070548E-5</v>
      </c>
      <c r="AC170" s="24">
        <f ca="1">_xll.meLWOBondDV01Numerical($L170,$C$4,$S170%, 0.5, "CENTRAL")</f>
        <v>1538.9141916763551</v>
      </c>
    </row>
    <row r="171" spans="2:29">
      <c r="B171" s="15" t="s">
        <v>1260</v>
      </c>
      <c r="C171" s="15" t="s">
        <v>1261</v>
      </c>
      <c r="D171" s="15" t="s">
        <v>1261</v>
      </c>
      <c r="E171" s="16">
        <v>39994</v>
      </c>
      <c r="F171" s="19"/>
      <c r="G171" s="18"/>
      <c r="H171" s="16"/>
      <c r="I171" s="16"/>
      <c r="J171" s="17">
        <v>0</v>
      </c>
      <c r="K171" s="16">
        <v>51616</v>
      </c>
      <c r="L171" s="20" t="str">
        <f ca="1">_xll.meLWOBondCreateFromGeneratorLVB(C171,$L$4,_xll.meUtilityLVBFromKeysValues($C$6:$K$6,C171:K171))</f>
        <v>FR0010773200:0</v>
      </c>
      <c r="M171" s="92">
        <f ca="1">_xll.BDP($B171,$M$5)</f>
        <v>1.4775822354253787</v>
      </c>
      <c r="N171" s="89">
        <f ca="1">_xll.meLWOBondCleanPrice($L171,$C$4,$M171%)</f>
        <v>71.869000000000099</v>
      </c>
      <c r="O171" s="89">
        <f ca="1">_xll.meLWOBondDirtyPrice($L171,$C$4,$M171%)</f>
        <v>71.869000000000099</v>
      </c>
      <c r="P171" s="72">
        <f ca="1">_xll.meLWOBondYield($L171,$C$4,N171)</f>
        <v>1.4775822354253719E-2</v>
      </c>
      <c r="Q171" s="89">
        <f ca="1">_xll.meLWOBondModifiedDuration($L171,$C$4,$M171%)</f>
        <v>22.192633534526262</v>
      </c>
      <c r="R171" s="23">
        <f ca="1">_xll.meLWOBondDV01($L171,$C$4,$M171%)</f>
        <v>1594.96237949287</v>
      </c>
      <c r="S171" s="21">
        <f t="shared" ca="1" si="13"/>
        <v>1.4775822354253787</v>
      </c>
      <c r="T171" s="22" t="str">
        <f ca="1">_xll.BDP($B171,T$6, "YAS_BOND_YLD="&amp;S171,"YAS_YLD_CONV=1")</f>
        <v>#N/A Requesting Data...</v>
      </c>
      <c r="U171" s="23">
        <f t="shared" ca="1" si="14"/>
        <v>71.869000000000099</v>
      </c>
      <c r="V171" s="24" t="e">
        <f t="shared" ca="1" si="10"/>
        <v>#VALUE!</v>
      </c>
      <c r="W171" s="23">
        <f ca="1">_xll.meLWOBondDV01($L171,$C$4,$S171%)</f>
        <v>1594.96237949287</v>
      </c>
      <c r="X171" s="22" t="e">
        <f ca="1">_xll.BDP($B171,X$6, "YLD_YTM_ASK="&amp;$S171,"YAS_YLD_CONV=1")*$X$3*0.0001</f>
        <v>#VALUE!</v>
      </c>
      <c r="Y171" s="24" t="e">
        <f t="shared" ca="1" si="11"/>
        <v>#VALUE!</v>
      </c>
      <c r="Z171" s="23">
        <f ca="1">_xll.meLWOBondModifiedDuration($L171,$C$4,$S171%)</f>
        <v>22.192633534526262</v>
      </c>
      <c r="AA171" s="23">
        <f ca="1">_xll.BDP($B171,AA$6, "YLD_YTM_ASK="&amp;$G171,"YAS_YLD_CONV=1")</f>
        <v>22.192654250009841</v>
      </c>
      <c r="AB171" s="22">
        <f t="shared" ca="1" si="12"/>
        <v>2.0715483579181182E-5</v>
      </c>
      <c r="AC171" s="24">
        <f ca="1">_xll.meLWOBondDV01Numerical($L171,$C$4,$S171%, 0.5, "CENTRAL")</f>
        <v>1594.962751692748</v>
      </c>
    </row>
    <row r="172" spans="2:29">
      <c r="B172" s="15" t="s">
        <v>1486</v>
      </c>
      <c r="C172" s="15" t="s">
        <v>1487</v>
      </c>
      <c r="D172" s="15" t="s">
        <v>1487</v>
      </c>
      <c r="E172" s="16">
        <v>38411</v>
      </c>
      <c r="F172" s="19"/>
      <c r="G172" s="18"/>
      <c r="H172" s="16"/>
      <c r="I172" s="16"/>
      <c r="J172" s="17">
        <v>0</v>
      </c>
      <c r="K172" s="16">
        <v>51616</v>
      </c>
      <c r="L172" s="20" t="str">
        <f ca="1">_xll.meLWOBondCreateFromGeneratorLVB(C172,$L$4,_xll.meUtilityLVBFromKeysValues($C$6:$K$6,C172:K172))</f>
        <v>FR0010172312:0</v>
      </c>
      <c r="M172" s="92">
        <f ca="1">_xll.BDP($B172,$M$5)</f>
        <v>1.5639601860431229</v>
      </c>
      <c r="N172" s="89">
        <f ca="1">_xll.meLWOBondCleanPrice($L172,$C$4,$M172%)</f>
        <v>70.504999999999981</v>
      </c>
      <c r="O172" s="89">
        <f ca="1">_xll.meLWOBondDirtyPrice($L172,$C$4,$M172%)</f>
        <v>70.504999999999981</v>
      </c>
      <c r="P172" s="72">
        <f ca="1">_xll.meLWOBondYield($L172,$C$4,N172)</f>
        <v>1.5639601860431125E-2</v>
      </c>
      <c r="Q172" s="89">
        <f ca="1">_xll.meLWOBondModifiedDuration($L172,$C$4,$M172%)</f>
        <v>22.173759179883032</v>
      </c>
      <c r="R172" s="23">
        <f ca="1">_xll.meLWOBondDV01($L172,$C$4,$M172%)</f>
        <v>1563.3608909776526</v>
      </c>
      <c r="S172" s="21">
        <f t="shared" ca="1" si="13"/>
        <v>1.5639601860431229</v>
      </c>
      <c r="T172" s="22" t="str">
        <f ca="1">_xll.BDP($B172,T$6, "YAS_BOND_YLD="&amp;S172,"YAS_YLD_CONV=1")</f>
        <v>#N/A Requesting Data...</v>
      </c>
      <c r="U172" s="23">
        <f t="shared" ca="1" si="14"/>
        <v>70.504999999999981</v>
      </c>
      <c r="V172" s="24" t="e">
        <f t="shared" ca="1" si="10"/>
        <v>#VALUE!</v>
      </c>
      <c r="W172" s="23">
        <f ca="1">_xll.meLWOBondDV01($L172,$C$4,$S172%)</f>
        <v>1563.3608909776526</v>
      </c>
      <c r="X172" s="22" t="e">
        <f ca="1">_xll.BDP($B172,X$6, "YLD_YTM_ASK="&amp;$S172,"YAS_YLD_CONV=1")*$X$3*0.0001</f>
        <v>#VALUE!</v>
      </c>
      <c r="Y172" s="24" t="e">
        <f t="shared" ca="1" si="11"/>
        <v>#VALUE!</v>
      </c>
      <c r="Z172" s="23">
        <f ca="1">_xll.meLWOBondModifiedDuration($L172,$C$4,$S172%)</f>
        <v>22.173759179883032</v>
      </c>
      <c r="AA172" s="23">
        <f ca="1">_xll.BDP($B172,AA$6, "YLD_YTM_ASK="&amp;$G172,"YAS_YLD_CONV=1")</f>
        <v>22.173779842557231</v>
      </c>
      <c r="AB172" s="22">
        <f t="shared" ca="1" si="12"/>
        <v>2.0662674199201092E-5</v>
      </c>
      <c r="AC172" s="24">
        <f ca="1">_xll.meLWOBondDV01Numerical($L172,$C$4,$S172%, 0.5, "CENTRAL")</f>
        <v>1563.361255182798</v>
      </c>
    </row>
    <row r="173" spans="2:29">
      <c r="B173" s="15" t="s">
        <v>1190</v>
      </c>
      <c r="C173" s="15" t="s">
        <v>1191</v>
      </c>
      <c r="D173" s="15" t="s">
        <v>1191</v>
      </c>
      <c r="E173" s="16">
        <v>39994</v>
      </c>
      <c r="F173" s="19">
        <v>39928</v>
      </c>
      <c r="G173" s="18"/>
      <c r="H173" s="16">
        <v>40293</v>
      </c>
      <c r="I173" s="16">
        <v>51251</v>
      </c>
      <c r="J173" s="17">
        <v>4.4999999999999998E-2</v>
      </c>
      <c r="K173" s="16">
        <v>51616</v>
      </c>
      <c r="L173" s="20" t="str">
        <f ca="1">_xll.meLWOBondCreateFromGeneratorLVB(C173,$L$4,_xll.meUtilityLVBFromKeysValues($C$6:$K$6,C173:K173))</f>
        <v>FR0010773192:2</v>
      </c>
      <c r="M173" s="92">
        <f ca="1">_xll.BDP($B173,$M$5)</f>
        <v>1.458778239260899</v>
      </c>
      <c r="N173" s="89">
        <f ca="1">_xll.meLWOBondCleanPrice($L173,$C$4,$M173%)</f>
        <v>158.01200000044753</v>
      </c>
      <c r="O173" s="89">
        <f ca="1">_xll.meLWOBondDirtyPrice($L173,$C$4,$M173%)</f>
        <v>160.16953420044752</v>
      </c>
      <c r="P173" s="72">
        <f ca="1">_xll.meLWOBondYield($L173,$C$4,N173)</f>
        <v>1.4587782392608909E-2</v>
      </c>
      <c r="Q173" s="89">
        <f ca="1">_xll.meLWOBondModifiedDuration($L173,$C$4,$M173%)</f>
        <v>15.89561628156055</v>
      </c>
      <c r="R173" s="23">
        <f ca="1">_xll.meLWOBondDV01($L173,$C$4,$M173%)</f>
        <v>2545.9934556466028</v>
      </c>
      <c r="S173" s="21">
        <f t="shared" ca="1" si="13"/>
        <v>1.458778239260899</v>
      </c>
      <c r="T173" s="22" t="str">
        <f ca="1">_xll.BDP($B173,T$6, "YAS_BOND_YLD="&amp;S173,"YAS_YLD_CONV=1")</f>
        <v>#N/A Requesting Data...</v>
      </c>
      <c r="U173" s="23">
        <f t="shared" ca="1" si="14"/>
        <v>158.01200000044753</v>
      </c>
      <c r="V173" s="24" t="e">
        <f t="shared" ca="1" si="10"/>
        <v>#VALUE!</v>
      </c>
      <c r="W173" s="23">
        <f ca="1">_xll.meLWOBondDV01($L173,$C$4,$S173%)</f>
        <v>2545.9934556466028</v>
      </c>
      <c r="X173" s="22" t="e">
        <f ca="1">_xll.BDP($B173,X$6, "YLD_YTM_ASK="&amp;$S173,"YAS_YLD_CONV=1")*$X$3*0.0001</f>
        <v>#VALUE!</v>
      </c>
      <c r="Y173" s="24" t="e">
        <f t="shared" ca="1" si="11"/>
        <v>#VALUE!</v>
      </c>
      <c r="Z173" s="23">
        <f ca="1">_xll.meLWOBondModifiedDuration($L173,$C$4,$S173%)</f>
        <v>15.89561628156055</v>
      </c>
      <c r="AA173" s="23">
        <f ca="1">_xll.BDP($B173,AA$6, "YLD_YTM_ASK="&amp;$G173,"YAS_YLD_CONV=1")</f>
        <v>15.895684712145053</v>
      </c>
      <c r="AB173" s="22">
        <f t="shared" ca="1" si="12"/>
        <v>6.8430584503786918E-5</v>
      </c>
      <c r="AC173" s="24">
        <f ca="1">_xll.meLWOBondDV01Numerical($L173,$C$4,$S173%, 0.5, "CENTRAL")</f>
        <v>2545.9939440708013</v>
      </c>
    </row>
    <row r="174" spans="2:29">
      <c r="B174" s="15" t="s">
        <v>1190</v>
      </c>
      <c r="C174" s="15" t="s">
        <v>1191</v>
      </c>
      <c r="D174" s="15" t="s">
        <v>1191</v>
      </c>
      <c r="E174" s="16">
        <v>39994</v>
      </c>
      <c r="F174" s="19">
        <v>39928</v>
      </c>
      <c r="G174" s="18"/>
      <c r="H174" s="16">
        <v>40293</v>
      </c>
      <c r="I174" s="16">
        <v>51251</v>
      </c>
      <c r="J174" s="17">
        <v>4.4999999999999998E-2</v>
      </c>
      <c r="K174" s="16">
        <v>51616</v>
      </c>
      <c r="L174" s="20" t="str">
        <f ca="1">_xll.meLWOBondCreateFromGeneratorLVB(C174,$L$4,_xll.meUtilityLVBFromKeysValues($C$6:$K$6,C174:K174))</f>
        <v>FR0010773192:0</v>
      </c>
      <c r="M174" s="92">
        <f ca="1">_xll.BDP($B174,$M$5)</f>
        <v>1.458778239260899</v>
      </c>
      <c r="N174" s="89">
        <f ca="1">_xll.meLWOBondCleanPrice($L174,$C$4,$M174%)</f>
        <v>158.01200000044753</v>
      </c>
      <c r="O174" s="89">
        <f ca="1">_xll.meLWOBondDirtyPrice($L174,$C$4,$M174%)</f>
        <v>160.16953420044752</v>
      </c>
      <c r="P174" s="72">
        <f ca="1">_xll.meLWOBondYield($L174,$C$4,N174)</f>
        <v>1.4587782392608909E-2</v>
      </c>
      <c r="Q174" s="89">
        <f ca="1">_xll.meLWOBondModifiedDuration($L174,$C$4,$M174%)</f>
        <v>15.89561628156055</v>
      </c>
      <c r="R174" s="23">
        <f ca="1">_xll.meLWOBondDV01($L174,$C$4,$M174%)</f>
        <v>2545.9934556466028</v>
      </c>
      <c r="S174" s="21">
        <f t="shared" ca="1" si="13"/>
        <v>1.458778239260899</v>
      </c>
      <c r="T174" s="22" t="str">
        <f ca="1">_xll.BDP($B174,T$6, "YAS_BOND_YLD="&amp;S174,"YAS_YLD_CONV=1")</f>
        <v>#N/A Requesting Data...</v>
      </c>
      <c r="U174" s="23">
        <f t="shared" ca="1" si="14"/>
        <v>158.01200000044753</v>
      </c>
      <c r="V174" s="24" t="e">
        <f t="shared" ca="1" si="10"/>
        <v>#VALUE!</v>
      </c>
      <c r="W174" s="23">
        <f ca="1">_xll.meLWOBondDV01($L174,$C$4,$S174%)</f>
        <v>2545.9934556466028</v>
      </c>
      <c r="X174" s="22" t="e">
        <f ca="1">_xll.BDP($B174,X$6, "YLD_YTM_ASK="&amp;$S174,"YAS_YLD_CONV=1")*$X$3*0.0001</f>
        <v>#VALUE!</v>
      </c>
      <c r="Y174" s="24" t="e">
        <f t="shared" ca="1" si="11"/>
        <v>#VALUE!</v>
      </c>
      <c r="Z174" s="23">
        <f ca="1">_xll.meLWOBondModifiedDuration($L174,$C$4,$S174%)</f>
        <v>15.89561628156055</v>
      </c>
      <c r="AA174" s="23">
        <f ca="1">_xll.BDP($B174,AA$6, "YLD_YTM_ASK="&amp;$G174,"YAS_YLD_CONV=1")</f>
        <v>15.895684712145053</v>
      </c>
      <c r="AB174" s="22">
        <f t="shared" ca="1" si="12"/>
        <v>6.8430584503786918E-5</v>
      </c>
      <c r="AC174" s="24">
        <f ca="1">_xll.meLWOBondDV01Numerical($L174,$C$4,$S174%, 0.5, "CENTRAL")</f>
        <v>2545.9939440708013</v>
      </c>
    </row>
    <row r="175" spans="2:29">
      <c r="B175" s="15" t="s">
        <v>1436</v>
      </c>
      <c r="C175" s="15" t="s">
        <v>1437</v>
      </c>
      <c r="D175" s="15" t="s">
        <v>1437</v>
      </c>
      <c r="E175" s="16">
        <v>41368</v>
      </c>
      <c r="F175" s="19"/>
      <c r="G175" s="18"/>
      <c r="H175" s="16"/>
      <c r="I175" s="16"/>
      <c r="J175" s="17">
        <v>0</v>
      </c>
      <c r="K175" s="16">
        <v>51646</v>
      </c>
      <c r="L175" s="20" t="str">
        <f ca="1">_xll.meLWOBondCreateFromGeneratorLVB(C175,$L$4,_xll.meUtilityLVBFromKeysValues($C$6:$K$6,C175:K175))</f>
        <v>FR0011461623:0</v>
      </c>
      <c r="M175" s="92">
        <f ca="1">_xll.BDP($B175,$M$5)</f>
        <v>1.6541824552873674</v>
      </c>
      <c r="N175" s="89">
        <f ca="1">_xll.meLWOBondCleanPrice($L175,$C$4,$M175%)</f>
        <v>69.01600000000002</v>
      </c>
      <c r="O175" s="89">
        <f ca="1">_xll.meLWOBondDirtyPrice($L175,$C$4,$M175%)</f>
        <v>69.01600000000002</v>
      </c>
      <c r="P175" s="72">
        <f ca="1">_xll.meLWOBondYield($L175,$C$4,N175)</f>
        <v>1.6541824552873778E-2</v>
      </c>
      <c r="Q175" s="89">
        <f ca="1">_xll.meLWOBondModifiedDuration($L175,$C$4,$M175%)</f>
        <v>22.23493335945053</v>
      </c>
      <c r="R175" s="23">
        <f ca="1">_xll.meLWOBondDV01($L175,$C$4,$M175%)</f>
        <v>1534.5661607358381</v>
      </c>
      <c r="S175" s="21">
        <f t="shared" ca="1" si="13"/>
        <v>1.6541824552873674</v>
      </c>
      <c r="T175" s="22" t="str">
        <f ca="1">_xll.BDP($B175,T$6, "YAS_BOND_YLD="&amp;S175,"YAS_YLD_CONV=1")</f>
        <v>#N/A Requesting Data...</v>
      </c>
      <c r="U175" s="23">
        <f t="shared" ca="1" si="14"/>
        <v>69.01600000000002</v>
      </c>
      <c r="V175" s="24" t="e">
        <f t="shared" ca="1" si="10"/>
        <v>#VALUE!</v>
      </c>
      <c r="W175" s="23">
        <f ca="1">_xll.meLWOBondDV01($L175,$C$4,$S175%)</f>
        <v>1534.5661607358381</v>
      </c>
      <c r="X175" s="22" t="e">
        <f ca="1">_xll.BDP($B175,X$6, "YLD_YTM_ASK="&amp;$S175,"YAS_YLD_CONV=1")*$X$3*0.0001</f>
        <v>#VALUE!</v>
      </c>
      <c r="Y175" s="24" t="e">
        <f t="shared" ca="1" si="11"/>
        <v>#VALUE!</v>
      </c>
      <c r="Z175" s="23">
        <f ca="1">_xll.meLWOBondModifiedDuration($L175,$C$4,$S175%)</f>
        <v>22.23493335945053</v>
      </c>
      <c r="AA175" s="23">
        <f ca="1">_xll.BDP($B175,AA$6, "YLD_YTM_ASK="&amp;$G175,"YAS_YLD_CONV=1")</f>
        <v>22.23495418421378</v>
      </c>
      <c r="AB175" s="22">
        <f t="shared" ca="1" si="12"/>
        <v>2.082476325071525E-5</v>
      </c>
      <c r="AC175" s="24">
        <f ca="1">_xll.meLWOBondDV01Numerical($L175,$C$4,$S175%, 0.5, "CENTRAL")</f>
        <v>1534.5665200462122</v>
      </c>
    </row>
    <row r="176" spans="2:29">
      <c r="B176" s="15" t="s">
        <v>1322</v>
      </c>
      <c r="C176" s="15" t="s">
        <v>1323</v>
      </c>
      <c r="D176" s="15" t="s">
        <v>1323</v>
      </c>
      <c r="E176" s="16">
        <v>40140</v>
      </c>
      <c r="F176" s="19"/>
      <c r="G176" s="18"/>
      <c r="H176" s="16"/>
      <c r="I176" s="16"/>
      <c r="J176" s="17">
        <v>0</v>
      </c>
      <c r="K176" s="16">
        <v>51981</v>
      </c>
      <c r="L176" s="20" t="str">
        <f ca="1">_xll.meLWOBondCreateFromGeneratorLVB(C176,$L$4,_xll.meUtilityLVBFromKeysValues($C$6:$K$6,C176:K176))</f>
        <v>FR0010809830:0</v>
      </c>
      <c r="M176" s="92">
        <f ca="1">_xll.BDP($B176,$M$5)</f>
        <v>1.6700129580387246</v>
      </c>
      <c r="N176" s="89">
        <f ca="1">_xll.meLWOBondCleanPrice($L176,$C$4,$M176%)</f>
        <v>67.735999999999919</v>
      </c>
      <c r="O176" s="89">
        <f ca="1">_xll.meLWOBondDirtyPrice($L176,$C$4,$M176%)</f>
        <v>67.735999999999919</v>
      </c>
      <c r="P176" s="72">
        <f ca="1">_xll.meLWOBondYield($L176,$C$4,N176)</f>
        <v>1.6700129580387264E-2</v>
      </c>
      <c r="Q176" s="89">
        <f ca="1">_xll.meLWOBondModifiedDuration($L176,$C$4,$M176%)</f>
        <v>23.134203744926133</v>
      </c>
      <c r="R176" s="23">
        <f ca="1">_xll.meLWOBondDV01($L176,$C$4,$M176%)</f>
        <v>1567.0184248663147</v>
      </c>
      <c r="S176" s="21">
        <f t="shared" ca="1" si="13"/>
        <v>1.6700129580387246</v>
      </c>
      <c r="T176" s="22" t="str">
        <f ca="1">_xll.BDP($B176,T$6, "YAS_BOND_YLD="&amp;S176,"YAS_YLD_CONV=1")</f>
        <v>#N/A Requesting Data...</v>
      </c>
      <c r="U176" s="23">
        <f t="shared" ca="1" si="14"/>
        <v>67.735999999999919</v>
      </c>
      <c r="V176" s="24" t="e">
        <f t="shared" ca="1" si="10"/>
        <v>#VALUE!</v>
      </c>
      <c r="W176" s="23">
        <f ca="1">_xll.meLWOBondDV01($L176,$C$4,$S176%)</f>
        <v>1567.0184248663147</v>
      </c>
      <c r="X176" s="22" t="e">
        <f ca="1">_xll.BDP($B176,X$6, "YLD_YTM_ASK="&amp;$S176,"YAS_YLD_CONV=1")*$X$3*0.0001</f>
        <v>#VALUE!</v>
      </c>
      <c r="Y176" s="24" t="e">
        <f t="shared" ca="1" si="11"/>
        <v>#VALUE!</v>
      </c>
      <c r="Z176" s="23">
        <f ca="1">_xll.meLWOBondModifiedDuration($L176,$C$4,$S176%)</f>
        <v>23.134203744926133</v>
      </c>
      <c r="AA176" s="23">
        <f ca="1">_xll.BDP($B176,AA$6, "YLD_YTM_ASK="&amp;$G176,"YAS_YLD_CONV=1")</f>
        <v>23.134227086912997</v>
      </c>
      <c r="AB176" s="22">
        <f t="shared" ca="1" si="12"/>
        <v>2.3341986864267028E-5</v>
      </c>
      <c r="AC176" s="24">
        <f ca="1">_xll.meLWOBondDV01Numerical($L176,$C$4,$S176%, 0.5, "CENTRAL")</f>
        <v>1567.0188201393387</v>
      </c>
    </row>
    <row r="177" spans="2:29">
      <c r="B177" s="15" t="s">
        <v>1546</v>
      </c>
      <c r="C177" s="15" t="s">
        <v>1547</v>
      </c>
      <c r="D177" s="15" t="s">
        <v>1547</v>
      </c>
      <c r="E177" s="16">
        <v>38411</v>
      </c>
      <c r="F177" s="19"/>
      <c r="G177" s="18"/>
      <c r="H177" s="16"/>
      <c r="I177" s="16"/>
      <c r="J177" s="17">
        <v>0</v>
      </c>
      <c r="K177" s="16">
        <v>51981</v>
      </c>
      <c r="L177" s="20" t="str">
        <f ca="1">_xll.meLWOBondCreateFromGeneratorLVB(C177,$L$4,_xll.meUtilityLVBFromKeysValues($C$6:$K$6,C177:K177))</f>
        <v>FR0010172320:0</v>
      </c>
      <c r="M177" s="92">
        <f ca="1">_xll.BDP($B177,$M$5)</f>
        <v>1.6261493448743503</v>
      </c>
      <c r="N177" s="89">
        <f ca="1">_xll.meLWOBondCleanPrice($L177,$C$4,$M177%)</f>
        <v>68.427000000000135</v>
      </c>
      <c r="O177" s="89">
        <f ca="1">_xll.meLWOBondDirtyPrice($L177,$C$4,$M177%)</f>
        <v>68.427000000000135</v>
      </c>
      <c r="P177" s="72">
        <f ca="1">_xll.meLWOBondYield($L177,$C$4,N177)</f>
        <v>1.6261493448743593E-2</v>
      </c>
      <c r="Q177" s="89">
        <f ca="1">_xll.meLWOBondModifiedDuration($L177,$C$4,$M177%)</f>
        <v>23.144188869527184</v>
      </c>
      <c r="R177" s="23">
        <f ca="1">_xll.meLWOBondDV01($L177,$C$4,$M177%)</f>
        <v>1583.6874117751397</v>
      </c>
      <c r="S177" s="21">
        <f t="shared" ca="1" si="13"/>
        <v>1.6261493448743503</v>
      </c>
      <c r="T177" s="22" t="str">
        <f ca="1">_xll.BDP($B177,T$6, "YAS_BOND_YLD="&amp;S177,"YAS_YLD_CONV=1")</f>
        <v>#N/A Requesting Data...</v>
      </c>
      <c r="U177" s="23">
        <f t="shared" ca="1" si="14"/>
        <v>68.427000000000135</v>
      </c>
      <c r="V177" s="24" t="e">
        <f t="shared" ca="1" si="10"/>
        <v>#VALUE!</v>
      </c>
      <c r="W177" s="23">
        <f ca="1">_xll.meLWOBondDV01($L177,$C$4,$S177%)</f>
        <v>1583.6874117751397</v>
      </c>
      <c r="X177" s="22" t="e">
        <f ca="1">_xll.BDP($B177,X$6, "YLD_YTM_ASK="&amp;$S177,"YAS_YLD_CONV=1")*$X$3*0.0001</f>
        <v>#VALUE!</v>
      </c>
      <c r="Y177" s="24" t="e">
        <f t="shared" ca="1" si="11"/>
        <v>#VALUE!</v>
      </c>
      <c r="Z177" s="23">
        <f ca="1">_xll.meLWOBondModifiedDuration($L177,$C$4,$S177%)</f>
        <v>23.144188869527184</v>
      </c>
      <c r="AA177" s="23">
        <f ca="1">_xll.BDP($B177,AA$6, "YLD_YTM_ASK="&amp;$G177,"YAS_YLD_CONV=1")</f>
        <v>23.144212241752648</v>
      </c>
      <c r="AB177" s="22">
        <f t="shared" ca="1" si="12"/>
        <v>2.3372225463447194E-5</v>
      </c>
      <c r="AC177" s="24">
        <f ca="1">_xll.meLWOBondDV01Numerical($L177,$C$4,$S177%, 0.5, "CENTRAL")</f>
        <v>1583.6878116012088</v>
      </c>
    </row>
    <row r="178" spans="2:29">
      <c r="B178" s="15" t="s">
        <v>1462</v>
      </c>
      <c r="C178" s="15" t="s">
        <v>1463</v>
      </c>
      <c r="D178" s="15" t="s">
        <v>1463</v>
      </c>
      <c r="E178" s="16">
        <v>41368</v>
      </c>
      <c r="F178" s="19"/>
      <c r="G178" s="18"/>
      <c r="H178" s="16"/>
      <c r="I178" s="16"/>
      <c r="J178" s="17">
        <v>0</v>
      </c>
      <c r="K178" s="16">
        <v>52011</v>
      </c>
      <c r="L178" s="20" t="str">
        <f ca="1">_xll.meLWOBondCreateFromGeneratorLVB(C178,$L$4,_xll.meUtilityLVBFromKeysValues($C$6:$K$6,C178:K178))</f>
        <v>FR0011461631:0</v>
      </c>
      <c r="M178" s="92">
        <f ca="1">_xll.BDP($B178,$M$5)</f>
        <v>1.6826315954055149</v>
      </c>
      <c r="N178" s="89">
        <f ca="1">_xll.meLWOBondCleanPrice($L178,$C$4,$M178%)</f>
        <v>67.44599999999997</v>
      </c>
      <c r="O178" s="89">
        <f ca="1">_xll.meLWOBondDirtyPrice($L178,$C$4,$M178%)</f>
        <v>67.44599999999997</v>
      </c>
      <c r="P178" s="72">
        <f ca="1">_xll.meLWOBondYield($L178,$C$4,N178)</f>
        <v>1.6826315954055229E-2</v>
      </c>
      <c r="Q178" s="89">
        <f ca="1">_xll.meLWOBondModifiedDuration($L178,$C$4,$M178%)</f>
        <v>23.212164511971466</v>
      </c>
      <c r="R178" s="23">
        <f ca="1">_xll.meLWOBondDV01($L178,$C$4,$M178%)</f>
        <v>1565.5676476744268</v>
      </c>
      <c r="S178" s="21">
        <f t="shared" ca="1" si="13"/>
        <v>1.6826315954055149</v>
      </c>
      <c r="T178" s="22" t="str">
        <f ca="1">_xll.BDP($B178,T$6, "YAS_BOND_YLD="&amp;S178,"YAS_YLD_CONV=1")</f>
        <v>#N/A Requesting Data...</v>
      </c>
      <c r="U178" s="23">
        <f t="shared" ca="1" si="14"/>
        <v>67.44599999999997</v>
      </c>
      <c r="V178" s="24" t="e">
        <f t="shared" ca="1" si="10"/>
        <v>#VALUE!</v>
      </c>
      <c r="W178" s="23">
        <f ca="1">_xll.meLWOBondDV01($L178,$C$4,$S178%)</f>
        <v>1565.5676476744268</v>
      </c>
      <c r="X178" s="22" t="e">
        <f ca="1">_xll.BDP($B178,X$6, "YLD_YTM_ASK="&amp;$S178,"YAS_YLD_CONV=1")*$X$3*0.0001</f>
        <v>#VALUE!</v>
      </c>
      <c r="Y178" s="24" t="e">
        <f t="shared" ca="1" si="11"/>
        <v>#VALUE!</v>
      </c>
      <c r="Z178" s="23">
        <f ca="1">_xll.meLWOBondModifiedDuration($L178,$C$4,$S178%)</f>
        <v>23.212164511971466</v>
      </c>
      <c r="AA178" s="23">
        <f ca="1">_xll.BDP($B178,AA$6, "YLD_YTM_ASK="&amp;$G178,"YAS_YLD_CONV=1")</f>
        <v>23.212188080955308</v>
      </c>
      <c r="AB178" s="22">
        <f t="shared" ca="1" si="12"/>
        <v>2.3568983841926183E-5</v>
      </c>
      <c r="AC178" s="24">
        <f ca="1">_xll.meLWOBondDV01Numerical($L178,$C$4,$S178%, 0.5, "CENTRAL")</f>
        <v>1565.5680450825571</v>
      </c>
    </row>
    <row r="179" spans="2:29">
      <c r="B179" s="15" t="s">
        <v>1248</v>
      </c>
      <c r="C179" s="15" t="s">
        <v>1249</v>
      </c>
      <c r="D179" s="15" t="s">
        <v>1249</v>
      </c>
      <c r="E179" s="16">
        <v>40140</v>
      </c>
      <c r="F179" s="19"/>
      <c r="G179" s="18"/>
      <c r="H179" s="16"/>
      <c r="I179" s="16"/>
      <c r="J179" s="17">
        <v>0</v>
      </c>
      <c r="K179" s="16">
        <v>52346</v>
      </c>
      <c r="L179" s="20" t="str">
        <f ca="1">_xll.meLWOBondCreateFromGeneratorLVB(C179,$L$4,_xll.meUtilityLVBFromKeysValues($C$6:$K$6,C179:K179))</f>
        <v>FR0010809863:0</v>
      </c>
      <c r="M179" s="92">
        <f ca="1">_xll.BDP($B179,$M$5)</f>
        <v>1.703409835374825</v>
      </c>
      <c r="N179" s="89">
        <f ca="1">_xll.meLWOBondCleanPrice($L179,$C$4,$M179%)</f>
        <v>66.088999999999984</v>
      </c>
      <c r="O179" s="89">
        <f ca="1">_xll.meLWOBondDirtyPrice($L179,$C$4,$M179%)</f>
        <v>66.088999999999984</v>
      </c>
      <c r="P179" s="72">
        <f ca="1">_xll.meLWOBondYield($L179,$C$4,N179)</f>
        <v>1.7034098353748247E-2</v>
      </c>
      <c r="Q179" s="89">
        <f ca="1">_xll.meLWOBondModifiedDuration($L179,$C$4,$M179%)</f>
        <v>24.10985824850551</v>
      </c>
      <c r="R179" s="23">
        <f ca="1">_xll.meLWOBondDV01($L179,$C$4,$M179%)</f>
        <v>1593.3964217854802</v>
      </c>
      <c r="S179" s="21">
        <f t="shared" ca="1" si="13"/>
        <v>1.703409835374825</v>
      </c>
      <c r="T179" s="22" t="str">
        <f ca="1">_xll.BDP($B179,T$6, "YAS_BOND_YLD="&amp;S179,"YAS_YLD_CONV=1")</f>
        <v>#N/A Requesting Data...</v>
      </c>
      <c r="U179" s="23">
        <f t="shared" ca="1" si="14"/>
        <v>66.088999999999984</v>
      </c>
      <c r="V179" s="24" t="e">
        <f t="shared" ca="1" si="10"/>
        <v>#VALUE!</v>
      </c>
      <c r="W179" s="23">
        <f ca="1">_xll.meLWOBondDV01($L179,$C$4,$S179%)</f>
        <v>1593.3964217854802</v>
      </c>
      <c r="X179" s="22" t="e">
        <f ca="1">_xll.BDP($B179,X$6, "YLD_YTM_ASK="&amp;$S179,"YAS_YLD_CONV=1")*$X$3*0.0001</f>
        <v>#VALUE!</v>
      </c>
      <c r="Y179" s="24" t="e">
        <f t="shared" ca="1" si="11"/>
        <v>#VALUE!</v>
      </c>
      <c r="Z179" s="23">
        <f ca="1">_xll.meLWOBondModifiedDuration($L179,$C$4,$S179%)</f>
        <v>24.10985824850551</v>
      </c>
      <c r="AA179" s="23">
        <f ca="1">_xll.BDP($B179,AA$6, "YLD_YTM_ASK="&amp;$G179,"YAS_YLD_CONV=1")</f>
        <v>24.109854785902691</v>
      </c>
      <c r="AB179" s="22">
        <f t="shared" ca="1" si="12"/>
        <v>3.4626028195816616E-6</v>
      </c>
      <c r="AC179" s="24">
        <f ca="1">_xll.meLWOBondDV01Numerical($L179,$C$4,$S179%, 0.5, "CENTRAL")</f>
        <v>1593.3968562094949</v>
      </c>
    </row>
    <row r="180" spans="2:29">
      <c r="B180" s="15" t="s">
        <v>1512</v>
      </c>
      <c r="C180" s="15" t="s">
        <v>1513</v>
      </c>
      <c r="D180" s="15" t="s">
        <v>1513</v>
      </c>
      <c r="E180" s="16">
        <v>38411</v>
      </c>
      <c r="F180" s="19"/>
      <c r="G180" s="18"/>
      <c r="H180" s="16"/>
      <c r="I180" s="16"/>
      <c r="J180" s="17">
        <v>0</v>
      </c>
      <c r="K180" s="16">
        <v>52346</v>
      </c>
      <c r="L180" s="20" t="str">
        <f ca="1">_xll.meLWOBondCreateFromGeneratorLVB(C180,$L$4,_xll.meUtilityLVBFromKeysValues($C$6:$K$6,C180:K180))</f>
        <v>FR0010172478:0</v>
      </c>
      <c r="M180" s="92">
        <f ca="1">_xll.BDP($B180,$M$5)</f>
        <v>1.4867433008359354</v>
      </c>
      <c r="N180" s="89">
        <f ca="1">_xll.meLWOBondCleanPrice($L180,$C$4,$M180%)</f>
        <v>69.636999999999944</v>
      </c>
      <c r="O180" s="89">
        <f ca="1">_xll.meLWOBondDirtyPrice($L180,$C$4,$M180%)</f>
        <v>69.636999999999944</v>
      </c>
      <c r="P180" s="72">
        <f ca="1">_xll.meLWOBondYield($L180,$C$4,N180)</f>
        <v>1.4867433008359335E-2</v>
      </c>
      <c r="Q180" s="89">
        <f ca="1">_xll.meLWOBondModifiedDuration($L180,$C$4,$M180%)</f>
        <v>24.161330975533939</v>
      </c>
      <c r="R180" s="23">
        <f ca="1">_xll.meLWOBondDV01($L180,$C$4,$M180%)</f>
        <v>1682.5226051432555</v>
      </c>
      <c r="S180" s="21">
        <f t="shared" ca="1" si="13"/>
        <v>1.4867433008359354</v>
      </c>
      <c r="T180" s="22" t="str">
        <f ca="1">_xll.BDP($B180,T$6, "YAS_BOND_YLD="&amp;S180,"YAS_YLD_CONV=1")</f>
        <v>#N/A Requesting Data...</v>
      </c>
      <c r="U180" s="23">
        <f t="shared" ca="1" si="14"/>
        <v>69.636999999999944</v>
      </c>
      <c r="V180" s="24" t="e">
        <f t="shared" ca="1" si="10"/>
        <v>#VALUE!</v>
      </c>
      <c r="W180" s="23">
        <f ca="1">_xll.meLWOBondDV01($L180,$C$4,$S180%)</f>
        <v>1682.5226051432555</v>
      </c>
      <c r="X180" s="22" t="e">
        <f ca="1">_xll.BDP($B180,X$6, "YLD_YTM_ASK="&amp;$S180,"YAS_YLD_CONV=1")*$X$3*0.0001</f>
        <v>#VALUE!</v>
      </c>
      <c r="Y180" s="24" t="e">
        <f t="shared" ca="1" si="11"/>
        <v>#VALUE!</v>
      </c>
      <c r="Z180" s="23">
        <f ca="1">_xll.meLWOBondModifiedDuration($L180,$C$4,$S180%)</f>
        <v>24.161330975533939</v>
      </c>
      <c r="AA180" s="23">
        <f ca="1">_xll.BDP($B180,AA$6, "YLD_YTM_ASK="&amp;$G180,"YAS_YLD_CONV=1")</f>
        <v>24.161357437590947</v>
      </c>
      <c r="AB180" s="22">
        <f t="shared" ca="1" si="12"/>
        <v>2.6462057007847761E-5</v>
      </c>
      <c r="AC180" s="24">
        <f ca="1">_xll.meLWOBondDV01Numerical($L180,$C$4,$S180%, 0.5, "CENTRAL")</f>
        <v>1682.5230658277237</v>
      </c>
    </row>
    <row r="181" spans="2:29">
      <c r="B181" s="15" t="s">
        <v>1402</v>
      </c>
      <c r="C181" s="15" t="s">
        <v>1403</v>
      </c>
      <c r="D181" s="15" t="s">
        <v>1403</v>
      </c>
      <c r="E181" s="16">
        <v>41368</v>
      </c>
      <c r="F181" s="19"/>
      <c r="G181" s="18"/>
      <c r="H181" s="16"/>
      <c r="I181" s="16"/>
      <c r="J181" s="17">
        <v>0</v>
      </c>
      <c r="K181" s="16">
        <v>52376</v>
      </c>
      <c r="L181" s="20" t="str">
        <f ca="1">_xll.meLWOBondCreateFromGeneratorLVB(C181,$L$4,_xll.meUtilityLVBFromKeysValues($C$6:$K$6,C181:K181))</f>
        <v>FR0011461649:0</v>
      </c>
      <c r="M181" s="92">
        <f ca="1">_xll.BDP($B181,$M$5)</f>
        <v>1.7209436644033849</v>
      </c>
      <c r="N181" s="89">
        <f ca="1">_xll.meLWOBondCleanPrice($L181,$C$4,$M181%)</f>
        <v>65.718000000000075</v>
      </c>
      <c r="O181" s="89">
        <f ca="1">_xll.meLWOBondDirtyPrice($L181,$C$4,$M181%)</f>
        <v>65.718000000000075</v>
      </c>
      <c r="P181" s="72">
        <f ca="1">_xll.meLWOBondYield($L181,$C$4,N181)</f>
        <v>1.7209436644033804E-2</v>
      </c>
      <c r="Q181" s="89">
        <f ca="1">_xll.meLWOBondModifiedDuration($L181,$C$4,$M181%)</f>
        <v>24.186503624264919</v>
      </c>
      <c r="R181" s="23">
        <f ca="1">_xll.meLWOBondDV01($L181,$C$4,$M181%)</f>
        <v>1589.4886451794437</v>
      </c>
      <c r="S181" s="21">
        <f t="shared" ca="1" si="13"/>
        <v>1.7209436644033849</v>
      </c>
      <c r="T181" s="22" t="str">
        <f ca="1">_xll.BDP($B181,T$6, "YAS_BOND_YLD="&amp;S181,"YAS_YLD_CONV=1")</f>
        <v>#N/A Requesting Data...</v>
      </c>
      <c r="U181" s="23">
        <f t="shared" ca="1" si="14"/>
        <v>65.718000000000075</v>
      </c>
      <c r="V181" s="24" t="e">
        <f t="shared" ca="1" si="10"/>
        <v>#VALUE!</v>
      </c>
      <c r="W181" s="23">
        <f ca="1">_xll.meLWOBondDV01($L181,$C$4,$S181%)</f>
        <v>1589.4886451794437</v>
      </c>
      <c r="X181" s="22" t="e">
        <f ca="1">_xll.BDP($B181,X$6, "YLD_YTM_ASK="&amp;$S181,"YAS_YLD_CONV=1")*$X$3*0.0001</f>
        <v>#VALUE!</v>
      </c>
      <c r="Y181" s="24" t="e">
        <f t="shared" ca="1" si="11"/>
        <v>#VALUE!</v>
      </c>
      <c r="Z181" s="23">
        <f ca="1">_xll.meLWOBondModifiedDuration($L181,$C$4,$S181%)</f>
        <v>24.186503624264919</v>
      </c>
      <c r="AA181" s="23">
        <f ca="1">_xll.BDP($B181,AA$6, "YLD_YTM_ASK="&amp;$G181,"YAS_YLD_CONV=1")</f>
        <v>24.186530158954774</v>
      </c>
      <c r="AB181" s="22">
        <f t="shared" ca="1" si="12"/>
        <v>2.6534689855139959E-5</v>
      </c>
      <c r="AC181" s="24">
        <f ca="1">_xll.meLWOBondDV01Numerical($L181,$C$4,$S181%, 0.5, "CENTRAL")</f>
        <v>1589.4890811308926</v>
      </c>
    </row>
    <row r="182" spans="2:29">
      <c r="B182" s="15" t="s">
        <v>1296</v>
      </c>
      <c r="C182" s="15" t="s">
        <v>1297</v>
      </c>
      <c r="D182" s="15" t="s">
        <v>1297</v>
      </c>
      <c r="E182" s="16">
        <v>40140</v>
      </c>
      <c r="F182" s="19"/>
      <c r="G182" s="18"/>
      <c r="H182" s="16"/>
      <c r="I182" s="16"/>
      <c r="J182" s="17">
        <v>0</v>
      </c>
      <c r="K182" s="16">
        <v>52712</v>
      </c>
      <c r="L182" s="20" t="str">
        <f ca="1">_xll.meLWOBondCreateFromGeneratorLVB(C182,$L$4,_xll.meUtilityLVBFromKeysValues($C$6:$K$6,C182:K182))</f>
        <v>FR0010809905:0</v>
      </c>
      <c r="M182" s="92">
        <f ca="1">_xll.BDP($B182,$M$5)</f>
        <v>1.7423711755763405</v>
      </c>
      <c r="N182" s="89">
        <f ca="1">_xll.meLWOBondCleanPrice($L182,$C$4,$M182%)</f>
        <v>64.350000000000023</v>
      </c>
      <c r="O182" s="89">
        <f ca="1">_xll.meLWOBondDirtyPrice($L182,$C$4,$M182%)</f>
        <v>64.350000000000023</v>
      </c>
      <c r="P182" s="72">
        <f ca="1">_xll.meLWOBondYield($L182,$C$4,N182)</f>
        <v>1.7423711755763575E-2</v>
      </c>
      <c r="Q182" s="89">
        <f ca="1">_xll.meLWOBondModifiedDuration($L182,$C$4,$M182%)</f>
        <v>25.083500266732319</v>
      </c>
      <c r="R182" s="23">
        <f ca="1">_xll.meLWOBondDV01($L182,$C$4,$M182%)</f>
        <v>1614.1232421642253</v>
      </c>
      <c r="S182" s="21">
        <f t="shared" ca="1" si="13"/>
        <v>1.7423711755763405</v>
      </c>
      <c r="T182" s="22" t="str">
        <f ca="1">_xll.BDP($B182,T$6, "YAS_BOND_YLD="&amp;S182,"YAS_YLD_CONV=1")</f>
        <v>#N/A Requesting Data...</v>
      </c>
      <c r="U182" s="23">
        <f t="shared" ca="1" si="14"/>
        <v>64.350000000000023</v>
      </c>
      <c r="V182" s="24" t="e">
        <f t="shared" ca="1" si="10"/>
        <v>#VALUE!</v>
      </c>
      <c r="W182" s="23">
        <f ca="1">_xll.meLWOBondDV01($L182,$C$4,$S182%)</f>
        <v>1614.1232421642253</v>
      </c>
      <c r="X182" s="22" t="e">
        <f ca="1">_xll.BDP($B182,X$6, "YLD_YTM_ASK="&amp;$S182,"YAS_YLD_CONV=1")*$X$3*0.0001</f>
        <v>#VALUE!</v>
      </c>
      <c r="Y182" s="24" t="e">
        <f t="shared" ca="1" si="11"/>
        <v>#VALUE!</v>
      </c>
      <c r="Z182" s="23">
        <f ca="1">_xll.meLWOBondModifiedDuration($L182,$C$4,$S182%)</f>
        <v>25.083500266732319</v>
      </c>
      <c r="AA182" s="23">
        <f ca="1">_xll.BDP($B182,AA$6, "YLD_YTM_ASK="&amp;$G182,"YAS_YLD_CONV=1")</f>
        <v>25.083529743026084</v>
      </c>
      <c r="AB182" s="22">
        <f t="shared" ca="1" si="12"/>
        <v>2.9476293764929551E-5</v>
      </c>
      <c r="AC182" s="24">
        <f ca="1">_xll.meLWOBondDV01Numerical($L182,$C$4,$S182%, 0.5, "CENTRAL")</f>
        <v>1614.1237163674305</v>
      </c>
    </row>
    <row r="183" spans="2:29">
      <c r="B183" s="15" t="s">
        <v>1334</v>
      </c>
      <c r="C183" s="15" t="s">
        <v>1335</v>
      </c>
      <c r="D183" s="15" t="s">
        <v>1335</v>
      </c>
      <c r="E183" s="16">
        <v>38411</v>
      </c>
      <c r="F183" s="19"/>
      <c r="G183" s="18"/>
      <c r="H183" s="16"/>
      <c r="I183" s="16"/>
      <c r="J183" s="17">
        <v>0</v>
      </c>
      <c r="K183" s="16">
        <v>52712</v>
      </c>
      <c r="L183" s="20" t="str">
        <f ca="1">_xll.meLWOBondCreateFromGeneratorLVB(C183,$L$4,_xll.meUtilityLVBFromKeysValues($C$6:$K$6,C183:K183))</f>
        <v>FR0010172494:0</v>
      </c>
      <c r="M183" s="92">
        <f ca="1">_xll.BDP($B183,$M$5)</f>
        <v>1.5067809751746708</v>
      </c>
      <c r="N183" s="89">
        <f ca="1">_xll.meLWOBondCleanPrice($L183,$C$4,$M183%)</f>
        <v>68.272000000000176</v>
      </c>
      <c r="O183" s="89">
        <f ca="1">_xll.meLWOBondDirtyPrice($L183,$C$4,$M183%)</f>
        <v>68.272000000000176</v>
      </c>
      <c r="P183" s="72">
        <f ca="1">_xll.meLWOBondYield($L183,$C$4,N183)</f>
        <v>1.5067809751746762E-2</v>
      </c>
      <c r="Q183" s="89">
        <f ca="1">_xll.meLWOBondModifiedDuration($L183,$C$4,$M183%)</f>
        <v>25.141717331620431</v>
      </c>
      <c r="R183" s="23">
        <f ca="1">_xll.meLWOBondDV01($L183,$C$4,$M183%)</f>
        <v>1716.4753256643944</v>
      </c>
      <c r="S183" s="21">
        <f t="shared" ca="1" si="13"/>
        <v>1.5067809751746708</v>
      </c>
      <c r="T183" s="22" t="str">
        <f ca="1">_xll.BDP($B183,T$6, "YAS_BOND_YLD="&amp;S183,"YAS_YLD_CONV=1")</f>
        <v>#N/A Requesting Data...</v>
      </c>
      <c r="U183" s="23">
        <f t="shared" ca="1" si="14"/>
        <v>68.272000000000176</v>
      </c>
      <c r="V183" s="24" t="e">
        <f t="shared" ca="1" si="10"/>
        <v>#VALUE!</v>
      </c>
      <c r="W183" s="23">
        <f ca="1">_xll.meLWOBondDV01($L183,$C$4,$S183%)</f>
        <v>1716.4753256643944</v>
      </c>
      <c r="X183" s="22" t="e">
        <f ca="1">_xll.BDP($B183,X$6, "YLD_YTM_ASK="&amp;$S183,"YAS_YLD_CONV=1")*$X$3*0.0001</f>
        <v>#VALUE!</v>
      </c>
      <c r="Y183" s="24" t="e">
        <f t="shared" ca="1" si="11"/>
        <v>#VALUE!</v>
      </c>
      <c r="Z183" s="23">
        <f ca="1">_xll.meLWOBondModifiedDuration($L183,$C$4,$S183%)</f>
        <v>25.141717331620431</v>
      </c>
      <c r="AA183" s="23">
        <f ca="1">_xll.BDP($B183,AA$6, "YLD_YTM_ASK="&amp;$G183,"YAS_YLD_CONV=1")</f>
        <v>25.14174701362834</v>
      </c>
      <c r="AB183" s="22">
        <f t="shared" ca="1" si="12"/>
        <v>2.9682007909315189E-5</v>
      </c>
      <c r="AC183" s="24">
        <f ca="1">_xll.meLWOBondDV01Numerical($L183,$C$4,$S183%, 0.5, "CENTRAL")</f>
        <v>1716.4758322766716</v>
      </c>
    </row>
    <row r="184" spans="2:29">
      <c r="B184" s="15" t="s">
        <v>1348</v>
      </c>
      <c r="C184" s="15" t="s">
        <v>1349</v>
      </c>
      <c r="D184" s="15" t="s">
        <v>1349</v>
      </c>
      <c r="E184" s="16">
        <v>41368</v>
      </c>
      <c r="F184" s="19"/>
      <c r="G184" s="18"/>
      <c r="H184" s="16"/>
      <c r="I184" s="16"/>
      <c r="J184" s="17">
        <v>0</v>
      </c>
      <c r="K184" s="16">
        <v>52742</v>
      </c>
      <c r="L184" s="20" t="str">
        <f ca="1">_xll.meLWOBondCreateFromGeneratorLVB(C184,$L$4,_xll.meUtilityLVBFromKeysValues($C$6:$K$6,C184:K184))</f>
        <v>FR0011461656:0</v>
      </c>
      <c r="M184" s="92">
        <f ca="1">_xll.BDP($B184,$M$5)</f>
        <v>1.7537486857973184</v>
      </c>
      <c r="N184" s="89">
        <f ca="1">_xll.meLWOBondCleanPrice($L184,$C$4,$M184%)</f>
        <v>64.075000000000031</v>
      </c>
      <c r="O184" s="89">
        <f ca="1">_xll.meLWOBondDirtyPrice($L184,$C$4,$M184%)</f>
        <v>64.075000000000031</v>
      </c>
      <c r="P184" s="72">
        <f ca="1">_xll.meLWOBondYield($L184,$C$4,N184)</f>
        <v>1.7537486857973336E-2</v>
      </c>
      <c r="Q184" s="89">
        <f ca="1">_xll.meLWOBondModifiedDuration($L184,$C$4,$M184%)</f>
        <v>25.161470763190668</v>
      </c>
      <c r="R184" s="23">
        <f ca="1">_xll.meLWOBondDV01($L184,$C$4,$M184%)</f>
        <v>1612.2212391514429</v>
      </c>
      <c r="S184" s="21">
        <f t="shared" ca="1" si="13"/>
        <v>1.7537486857973184</v>
      </c>
      <c r="T184" s="22" t="str">
        <f ca="1">_xll.BDP($B184,T$6, "YAS_BOND_YLD="&amp;S184,"YAS_YLD_CONV=1")</f>
        <v>#N/A Requesting Data...</v>
      </c>
      <c r="U184" s="23">
        <f t="shared" ca="1" si="14"/>
        <v>64.075000000000031</v>
      </c>
      <c r="V184" s="24" t="e">
        <f t="shared" ca="1" si="10"/>
        <v>#VALUE!</v>
      </c>
      <c r="W184" s="23">
        <f ca="1">_xll.meLWOBondDV01($L184,$C$4,$S184%)</f>
        <v>1612.2212391514429</v>
      </c>
      <c r="X184" s="22" t="e">
        <f ca="1">_xll.BDP($B184,X$6, "YLD_YTM_ASK="&amp;$S184,"YAS_YLD_CONV=1")*$X$3*0.0001</f>
        <v>#VALUE!</v>
      </c>
      <c r="Y184" s="24" t="e">
        <f t="shared" ca="1" si="11"/>
        <v>#VALUE!</v>
      </c>
      <c r="Z184" s="23">
        <f ca="1">_xll.meLWOBondModifiedDuration($L184,$C$4,$S184%)</f>
        <v>25.161470763190668</v>
      </c>
      <c r="AA184" s="23">
        <f ca="1">_xll.BDP($B184,AA$6, "YLD_YTM_ASK="&amp;$G184,"YAS_YLD_CONV=1")</f>
        <v>25.161500504673359</v>
      </c>
      <c r="AB184" s="22">
        <f t="shared" ca="1" si="12"/>
        <v>2.9741482691747478E-5</v>
      </c>
      <c r="AC184" s="24">
        <f ca="1">_xll.meLWOBondDV01Numerical($L184,$C$4,$S184%, 0.5, "CENTRAL")</f>
        <v>1612.2217155726303</v>
      </c>
    </row>
    <row r="185" spans="2:29">
      <c r="B185" s="15" t="s">
        <v>1270</v>
      </c>
      <c r="C185" s="15" t="s">
        <v>1271</v>
      </c>
      <c r="D185" s="15" t="s">
        <v>1271</v>
      </c>
      <c r="E185" s="16">
        <v>40140</v>
      </c>
      <c r="F185" s="19"/>
      <c r="G185" s="18"/>
      <c r="H185" s="16"/>
      <c r="I185" s="16"/>
      <c r="J185" s="17">
        <v>0</v>
      </c>
      <c r="K185" s="16">
        <v>53077</v>
      </c>
      <c r="L185" s="20" t="str">
        <f ca="1">_xll.meLWOBondCreateFromGeneratorLVB(C185,$L$4,_xll.meUtilityLVBFromKeysValues($C$6:$K$6,C185:K185))</f>
        <v>FR0010809491:0</v>
      </c>
      <c r="M185" s="92">
        <f ca="1">_xll.BDP($B185,$M$5)</f>
        <v>1.7639050442788573</v>
      </c>
      <c r="N185" s="89">
        <f ca="1">_xll.meLWOBondCleanPrice($L185,$C$4,$M185%)</f>
        <v>62.894000000000148</v>
      </c>
      <c r="O185" s="89">
        <f ca="1">_xll.meLWOBondDirtyPrice($L185,$C$4,$M185%)</f>
        <v>62.894000000000148</v>
      </c>
      <c r="P185" s="72">
        <f ca="1">_xll.meLWOBondYield($L185,$C$4,N185)</f>
        <v>1.7639050442788812E-2</v>
      </c>
      <c r="Q185" s="89">
        <f ca="1">_xll.meLWOBondModifiedDuration($L185,$C$4,$M185%)</f>
        <v>26.060859136317568</v>
      </c>
      <c r="R185" s="23">
        <f ca="1">_xll.meLWOBondDV01($L185,$C$4,$M185%)</f>
        <v>1639.0716745195609</v>
      </c>
      <c r="S185" s="21">
        <f t="shared" ca="1" si="13"/>
        <v>1.7639050442788573</v>
      </c>
      <c r="T185" s="22" t="str">
        <f ca="1">_xll.BDP($B185,T$6, "YAS_BOND_YLD="&amp;S185,"YAS_YLD_CONV=1")</f>
        <v>#N/A Requesting Data...</v>
      </c>
      <c r="U185" s="23">
        <f t="shared" ca="1" si="14"/>
        <v>62.894000000000148</v>
      </c>
      <c r="V185" s="24" t="e">
        <f t="shared" ca="1" si="10"/>
        <v>#VALUE!</v>
      </c>
      <c r="W185" s="23">
        <f ca="1">_xll.meLWOBondDV01($L185,$C$4,$S185%)</f>
        <v>1639.0716745195609</v>
      </c>
      <c r="X185" s="22" t="e">
        <f ca="1">_xll.BDP($B185,X$6, "YLD_YTM_ASK="&amp;$S185,"YAS_YLD_CONV=1")*$X$3*0.0001</f>
        <v>#VALUE!</v>
      </c>
      <c r="Y185" s="24" t="e">
        <f t="shared" ca="1" si="11"/>
        <v>#VALUE!</v>
      </c>
      <c r="Z185" s="23">
        <f ca="1">_xll.meLWOBondModifiedDuration($L185,$C$4,$S185%)</f>
        <v>26.060859136317568</v>
      </c>
      <c r="AA185" s="23">
        <f ca="1">_xll.BDP($B185,AA$6, "YLD_YTM_ASK="&amp;$G185,"YAS_YLD_CONV=1")</f>
        <v>26.060892056712447</v>
      </c>
      <c r="AB185" s="22">
        <f t="shared" ca="1" si="12"/>
        <v>3.2920394879454307E-5</v>
      </c>
      <c r="AC185" s="24">
        <f ca="1">_xll.meLWOBondDV01Numerical($L185,$C$4,$S185%, 0.5, "CENTRAL")</f>
        <v>1639.0721921430895</v>
      </c>
    </row>
    <row r="186" spans="2:29">
      <c r="B186" s="15" t="s">
        <v>1302</v>
      </c>
      <c r="C186" s="15" t="s">
        <v>1303</v>
      </c>
      <c r="D186" s="15" t="s">
        <v>1303</v>
      </c>
      <c r="E186" s="16">
        <v>38411</v>
      </c>
      <c r="F186" s="19"/>
      <c r="G186" s="18"/>
      <c r="H186" s="16"/>
      <c r="I186" s="16"/>
      <c r="J186" s="17">
        <v>0</v>
      </c>
      <c r="K186" s="16">
        <v>53077</v>
      </c>
      <c r="L186" s="20" t="str">
        <f ca="1">_xll.meLWOBondCreateFromGeneratorLVB(C186,$L$4,_xll.meUtilityLVBFromKeysValues($C$6:$K$6,C186:K186))</f>
        <v>FR0010172510:0</v>
      </c>
      <c r="M186" s="92">
        <f ca="1">_xll.BDP($B186,$M$5)</f>
        <v>1.6515413452392602</v>
      </c>
      <c r="N186" s="89">
        <f ca="1">_xll.meLWOBondCleanPrice($L186,$C$4,$M186%)</f>
        <v>64.764000000000095</v>
      </c>
      <c r="O186" s="89">
        <f ca="1">_xll.meLWOBondDirtyPrice($L186,$C$4,$M186%)</f>
        <v>64.764000000000095</v>
      </c>
      <c r="P186" s="72">
        <f ca="1">_xll.meLWOBondYield($L186,$C$4,N186)</f>
        <v>1.6515413452392734E-2</v>
      </c>
      <c r="Q186" s="89">
        <f ca="1">_xll.meLWOBondModifiedDuration($L186,$C$4,$M186%)</f>
        <v>26.089666319110417</v>
      </c>
      <c r="R186" s="23">
        <f ca="1">_xll.meLWOBondDV01($L186,$C$4,$M186%)</f>
        <v>1689.6711494908695</v>
      </c>
      <c r="S186" s="21">
        <f t="shared" ca="1" si="13"/>
        <v>1.6515413452392602</v>
      </c>
      <c r="T186" s="22" t="str">
        <f ca="1">_xll.BDP($B186,T$6, "YAS_BOND_YLD="&amp;S186,"YAS_YLD_CONV=1")</f>
        <v>#N/A Requesting Data...</v>
      </c>
      <c r="U186" s="23">
        <f t="shared" ca="1" si="14"/>
        <v>64.764000000000095</v>
      </c>
      <c r="V186" s="24" t="e">
        <f t="shared" ca="1" si="10"/>
        <v>#VALUE!</v>
      </c>
      <c r="W186" s="23">
        <f ca="1">_xll.meLWOBondDV01($L186,$C$4,$S186%)</f>
        <v>1689.6711494908695</v>
      </c>
      <c r="X186" s="22" t="e">
        <f ca="1">_xll.BDP($B186,X$6, "YLD_YTM_ASK="&amp;$S186,"YAS_YLD_CONV=1")*$X$3*0.0001</f>
        <v>#VALUE!</v>
      </c>
      <c r="Y186" s="24" t="e">
        <f t="shared" ca="1" si="11"/>
        <v>#VALUE!</v>
      </c>
      <c r="Z186" s="23">
        <f ca="1">_xll.meLWOBondModifiedDuration($L186,$C$4,$S186%)</f>
        <v>26.089666319110417</v>
      </c>
      <c r="AA186" s="23">
        <f ca="1">_xll.BDP($B186,AA$6, "YLD_YTM_ASK="&amp;$G186,"YAS_YLD_CONV=1")</f>
        <v>26.089699348796017</v>
      </c>
      <c r="AB186" s="22">
        <f t="shared" ca="1" si="12"/>
        <v>3.3029685599927916E-5</v>
      </c>
      <c r="AC186" s="24">
        <f ca="1">_xll.meLWOBondDV01Numerical($L186,$C$4,$S186%, 0.5, "CENTRAL")</f>
        <v>1689.6716842778403</v>
      </c>
    </row>
    <row r="187" spans="2:29">
      <c r="B187" s="15" t="s">
        <v>1154</v>
      </c>
      <c r="C187" s="15" t="s">
        <v>1155</v>
      </c>
      <c r="D187" s="15" t="s">
        <v>1155</v>
      </c>
      <c r="E187" s="16">
        <v>41368</v>
      </c>
      <c r="F187" s="19">
        <v>41054</v>
      </c>
      <c r="G187" s="18"/>
      <c r="H187" s="16">
        <v>41419</v>
      </c>
      <c r="I187" s="16">
        <v>52742</v>
      </c>
      <c r="J187" s="17">
        <v>3.2500000000000001E-2</v>
      </c>
      <c r="K187" s="16">
        <v>53107</v>
      </c>
      <c r="L187" s="20" t="str">
        <f ca="1">_xll.meLWOBondCreateFromGeneratorLVB(C187,$L$4,_xll.meUtilityLVBFromKeysValues($C$6:$K$6,C187:K187))</f>
        <v>FR0011461037:1</v>
      </c>
      <c r="M187" s="92">
        <f ca="1">_xll.BDP($B187,$M$5)</f>
        <v>1.6036825976361981</v>
      </c>
      <c r="N187" s="89">
        <f ca="1">_xll.meLWOBondCleanPrice($L187,$C$4,$M187%)</f>
        <v>135.41899999982726</v>
      </c>
      <c r="O187" s="89">
        <f ca="1">_xll.meLWOBondDirtyPrice($L187,$C$4,$M187%)</f>
        <v>136.71009589982725</v>
      </c>
      <c r="P187" s="72">
        <f ca="1">_xll.meLWOBondYield($L187,$C$4,N187)</f>
        <v>1.6036825976362131E-2</v>
      </c>
      <c r="Q187" s="89">
        <f ca="1">_xll.meLWOBondModifiedDuration($L187,$C$4,$M187%)</f>
        <v>19.024160341415634</v>
      </c>
      <c r="R187" s="23">
        <f ca="1">_xll.meLWOBondDV01($L187,$C$4,$M187%)</f>
        <v>2600.7947846886218</v>
      </c>
      <c r="S187" s="21">
        <f t="shared" ca="1" si="13"/>
        <v>1.6036825976361981</v>
      </c>
      <c r="T187" s="22" t="str">
        <f ca="1">_xll.BDP($B187,T$6, "YAS_BOND_YLD="&amp;S187,"YAS_YLD_CONV=1")</f>
        <v>#N/A Requesting Data...</v>
      </c>
      <c r="U187" s="23">
        <f t="shared" ca="1" si="14"/>
        <v>135.41899999982726</v>
      </c>
      <c r="V187" s="24" t="e">
        <f t="shared" ca="1" si="10"/>
        <v>#VALUE!</v>
      </c>
      <c r="W187" s="23">
        <f ca="1">_xll.meLWOBondDV01($L187,$C$4,$S187%)</f>
        <v>2600.7947846886218</v>
      </c>
      <c r="X187" s="22" t="e">
        <f ca="1">_xll.BDP($B187,X$6, "YLD_YTM_ASK="&amp;$S187,"YAS_YLD_CONV=1")*$X$3*0.0001</f>
        <v>#VALUE!</v>
      </c>
      <c r="Y187" s="24" t="e">
        <f t="shared" ca="1" si="11"/>
        <v>#VALUE!</v>
      </c>
      <c r="Z187" s="23">
        <f ca="1">_xll.meLWOBondModifiedDuration($L187,$C$4,$S187%)</f>
        <v>19.024160341415634</v>
      </c>
      <c r="AA187" s="23">
        <f ca="1">_xll.BDP($B187,AA$6, "YLD_YTM_ASK="&amp;$G187,"YAS_YLD_CONV=1")</f>
        <v>19.02418051234336</v>
      </c>
      <c r="AB187" s="22">
        <f t="shared" ca="1" si="12"/>
        <v>2.0170927726326227E-5</v>
      </c>
      <c r="AC187" s="24">
        <f ca="1">_xll.meLWOBondDV01Numerical($L187,$C$4,$S187%, 0.5, "CENTRAL")</f>
        <v>2600.7954740924788</v>
      </c>
    </row>
    <row r="188" spans="2:29">
      <c r="B188" s="15" t="s">
        <v>1230</v>
      </c>
      <c r="C188" s="15" t="s">
        <v>1231</v>
      </c>
      <c r="D188" s="15" t="s">
        <v>1231</v>
      </c>
      <c r="E188" s="16">
        <v>41368</v>
      </c>
      <c r="F188" s="19"/>
      <c r="G188" s="18"/>
      <c r="H188" s="16"/>
      <c r="I188" s="16"/>
      <c r="J188" s="17">
        <v>0</v>
      </c>
      <c r="K188" s="16">
        <v>53107</v>
      </c>
      <c r="L188" s="20" t="str">
        <f ca="1">_xll.meLWOBondCreateFromGeneratorLVB(C188,$L$4,_xll.meUtilityLVBFromKeysValues($C$6:$K$6,C188:K188))</f>
        <v>FR0011461664:0</v>
      </c>
      <c r="M188" s="92">
        <f ca="1">_xll.BDP($B188,$M$5)</f>
        <v>1.7266758017079109</v>
      </c>
      <c r="N188" s="89">
        <f ca="1">_xll.meLWOBondCleanPrice($L188,$C$4,$M188%)</f>
        <v>63.417999999999999</v>
      </c>
      <c r="O188" s="89">
        <f ca="1">_xll.meLWOBondDirtyPrice($L188,$C$4,$M188%)</f>
        <v>63.417999999999999</v>
      </c>
      <c r="P188" s="72">
        <f ca="1">_xll.meLWOBondYield($L188,$C$4,N188)</f>
        <v>1.7266758017079172E-2</v>
      </c>
      <c r="Q188" s="89">
        <f ca="1">_xll.meLWOBondModifiedDuration($L188,$C$4,$M188%)</f>
        <v>26.151193397770264</v>
      </c>
      <c r="R188" s="23">
        <f ca="1">_xll.meLWOBondDV01($L188,$C$4,$M188%)</f>
        <v>1658.4563828997946</v>
      </c>
      <c r="S188" s="21">
        <f t="shared" ca="1" si="13"/>
        <v>1.7266758017079109</v>
      </c>
      <c r="T188" s="22" t="str">
        <f ca="1">_xll.BDP($B188,T$6, "YAS_BOND_YLD="&amp;S188,"YAS_YLD_CONV=1")</f>
        <v>#N/A Requesting Data...</v>
      </c>
      <c r="U188" s="23">
        <f t="shared" ca="1" si="14"/>
        <v>63.417999999999999</v>
      </c>
      <c r="V188" s="24" t="e">
        <f t="shared" ca="1" si="10"/>
        <v>#VALUE!</v>
      </c>
      <c r="W188" s="23">
        <f ca="1">_xll.meLWOBondDV01($L188,$C$4,$S188%)</f>
        <v>1658.4563828997946</v>
      </c>
      <c r="X188" s="22" t="e">
        <f ca="1">_xll.BDP($B188,X$6, "YLD_YTM_ASK="&amp;$S188,"YAS_YLD_CONV=1")*$X$3*0.0001</f>
        <v>#VALUE!</v>
      </c>
      <c r="Y188" s="24" t="e">
        <f t="shared" ca="1" si="11"/>
        <v>#VALUE!</v>
      </c>
      <c r="Z188" s="23">
        <f ca="1">_xll.meLWOBondModifiedDuration($L188,$C$4,$S188%)</f>
        <v>26.151193397770264</v>
      </c>
      <c r="AA188" s="23">
        <f ca="1">_xll.BDP($B188,AA$6, "YLD_YTM_ASK="&amp;$G188,"YAS_YLD_CONV=1")</f>
        <v>26.151226650746306</v>
      </c>
      <c r="AB188" s="22">
        <f t="shared" ca="1" si="12"/>
        <v>3.325297604206412E-5</v>
      </c>
      <c r="AC188" s="24">
        <f ca="1">_xll.meLWOBondDV01Numerical($L188,$C$4,$S188%, 0.5, "CENTRAL")</f>
        <v>1658.4569101087964</v>
      </c>
    </row>
    <row r="189" spans="2:29">
      <c r="B189" s="15" t="s">
        <v>1154</v>
      </c>
      <c r="C189" s="15" t="s">
        <v>1155</v>
      </c>
      <c r="D189" s="15" t="s">
        <v>1155</v>
      </c>
      <c r="E189" s="16">
        <v>41368</v>
      </c>
      <c r="F189" s="19">
        <v>41054</v>
      </c>
      <c r="G189" s="18"/>
      <c r="H189" s="16">
        <v>41419</v>
      </c>
      <c r="I189" s="16">
        <v>52742</v>
      </c>
      <c r="J189" s="17">
        <v>3.2500000000000001E-2</v>
      </c>
      <c r="K189" s="16">
        <v>53107</v>
      </c>
      <c r="L189" s="20" t="str">
        <f ca="1">_xll.meLWOBondCreateFromGeneratorLVB(C189,$L$4,_xll.meUtilityLVBFromKeysValues($C$6:$K$6,C189:K189))</f>
        <v>FR0011461037:0</v>
      </c>
      <c r="M189" s="92">
        <f ca="1">_xll.BDP($B189,$M$5)</f>
        <v>1.6036825976361981</v>
      </c>
      <c r="N189" s="89">
        <f ca="1">_xll.meLWOBondCleanPrice($L189,$C$4,$M189%)</f>
        <v>135.41899999982726</v>
      </c>
      <c r="O189" s="89">
        <f ca="1">_xll.meLWOBondDirtyPrice($L189,$C$4,$M189%)</f>
        <v>136.71009589982725</v>
      </c>
      <c r="P189" s="72">
        <f ca="1">_xll.meLWOBondYield($L189,$C$4,N189)</f>
        <v>1.6036825976362131E-2</v>
      </c>
      <c r="Q189" s="89">
        <f ca="1">_xll.meLWOBondModifiedDuration($L189,$C$4,$M189%)</f>
        <v>19.024160341415634</v>
      </c>
      <c r="R189" s="23">
        <f ca="1">_xll.meLWOBondDV01($L189,$C$4,$M189%)</f>
        <v>2600.7947846886218</v>
      </c>
      <c r="S189" s="21">
        <f t="shared" ca="1" si="13"/>
        <v>1.6036825976361981</v>
      </c>
      <c r="T189" s="22" t="str">
        <f ca="1">_xll.BDP($B189,T$6, "YAS_BOND_YLD="&amp;S189,"YAS_YLD_CONV=1")</f>
        <v>#N/A Requesting Data...</v>
      </c>
      <c r="U189" s="23">
        <f t="shared" ca="1" si="14"/>
        <v>135.41899999982726</v>
      </c>
      <c r="V189" s="24" t="e">
        <f t="shared" ca="1" si="10"/>
        <v>#VALUE!</v>
      </c>
      <c r="W189" s="23">
        <f ca="1">_xll.meLWOBondDV01($L189,$C$4,$S189%)</f>
        <v>2600.7947846886218</v>
      </c>
      <c r="X189" s="22" t="e">
        <f ca="1">_xll.BDP($B189,X$6, "YLD_YTM_ASK="&amp;$S189,"YAS_YLD_CONV=1")*$X$3*0.0001</f>
        <v>#VALUE!</v>
      </c>
      <c r="Y189" s="24" t="e">
        <f t="shared" ca="1" si="11"/>
        <v>#VALUE!</v>
      </c>
      <c r="Z189" s="23">
        <f ca="1">_xll.meLWOBondModifiedDuration($L189,$C$4,$S189%)</f>
        <v>19.024160341415634</v>
      </c>
      <c r="AA189" s="23">
        <f ca="1">_xll.BDP($B189,AA$6, "YLD_YTM_ASK="&amp;$G189,"YAS_YLD_CONV=1")</f>
        <v>19.02418051234336</v>
      </c>
      <c r="AB189" s="22">
        <f t="shared" ca="1" si="12"/>
        <v>2.0170927726326227E-5</v>
      </c>
      <c r="AC189" s="24">
        <f ca="1">_xll.meLWOBondDV01Numerical($L189,$C$4,$S189%, 0.5, "CENTRAL")</f>
        <v>2600.7954740924788</v>
      </c>
    </row>
    <row r="190" spans="2:29">
      <c r="B190" s="15" t="s">
        <v>1154</v>
      </c>
      <c r="C190" s="15" t="s">
        <v>1155</v>
      </c>
      <c r="D190" s="15" t="s">
        <v>1155</v>
      </c>
      <c r="E190" s="16">
        <v>41368</v>
      </c>
      <c r="F190" s="19">
        <v>41054</v>
      </c>
      <c r="G190" s="18"/>
      <c r="H190" s="16">
        <v>41419</v>
      </c>
      <c r="I190" s="16">
        <v>52742</v>
      </c>
      <c r="J190" s="17">
        <v>3.2500000000000001E-2</v>
      </c>
      <c r="K190" s="16">
        <v>53107</v>
      </c>
      <c r="L190" s="20" t="str">
        <f ca="1">_xll.meLWOBondCreateFromGeneratorLVB(C190,$L$4,_xll.meUtilityLVBFromKeysValues($C$6:$K$6,C190:K190))</f>
        <v>FR0011461037:2</v>
      </c>
      <c r="M190" s="92">
        <f ca="1">_xll.BDP($B190,$M$5)</f>
        <v>1.6036825976361981</v>
      </c>
      <c r="N190" s="89">
        <f ca="1">_xll.meLWOBondCleanPrice($L190,$C$4,$M190%)</f>
        <v>135.41899999982726</v>
      </c>
      <c r="O190" s="89">
        <f ca="1">_xll.meLWOBondDirtyPrice($L190,$C$4,$M190%)</f>
        <v>136.71009589982725</v>
      </c>
      <c r="P190" s="72">
        <f ca="1">_xll.meLWOBondYield($L190,$C$4,N190)</f>
        <v>1.6036825976362131E-2</v>
      </c>
      <c r="Q190" s="89">
        <f ca="1">_xll.meLWOBondModifiedDuration($L190,$C$4,$M190%)</f>
        <v>19.024160341415634</v>
      </c>
      <c r="R190" s="23">
        <f ca="1">_xll.meLWOBondDV01($L190,$C$4,$M190%)</f>
        <v>2600.7947846886218</v>
      </c>
      <c r="S190" s="21">
        <f t="shared" ca="1" si="13"/>
        <v>1.6036825976361981</v>
      </c>
      <c r="T190" s="22" t="str">
        <f ca="1">_xll.BDP($B190,T$6, "YAS_BOND_YLD="&amp;S190,"YAS_YLD_CONV=1")</f>
        <v>#N/A Requesting Data...</v>
      </c>
      <c r="U190" s="23">
        <f t="shared" ca="1" si="14"/>
        <v>135.41899999982726</v>
      </c>
      <c r="V190" s="24" t="e">
        <f t="shared" ca="1" si="10"/>
        <v>#VALUE!</v>
      </c>
      <c r="W190" s="23">
        <f ca="1">_xll.meLWOBondDV01($L190,$C$4,$S190%)</f>
        <v>2600.7947846886218</v>
      </c>
      <c r="X190" s="22" t="e">
        <f ca="1">_xll.BDP($B190,X$6, "YLD_YTM_ASK="&amp;$S190,"YAS_YLD_CONV=1")*$X$3*0.0001</f>
        <v>#VALUE!</v>
      </c>
      <c r="Y190" s="24" t="e">
        <f t="shared" ca="1" si="11"/>
        <v>#VALUE!</v>
      </c>
      <c r="Z190" s="23">
        <f ca="1">_xll.meLWOBondModifiedDuration($L190,$C$4,$S190%)</f>
        <v>19.024160341415634</v>
      </c>
      <c r="AA190" s="23">
        <f ca="1">_xll.BDP($B190,AA$6, "YLD_YTM_ASK="&amp;$G190,"YAS_YLD_CONV=1")</f>
        <v>19.02418051234336</v>
      </c>
      <c r="AB190" s="22">
        <f t="shared" ca="1" si="12"/>
        <v>2.0170927726326227E-5</v>
      </c>
      <c r="AC190" s="24">
        <f ca="1">_xll.meLWOBondDV01Numerical($L190,$C$4,$S190%, 0.5, "CENTRAL")</f>
        <v>2600.7954740924788</v>
      </c>
    </row>
    <row r="191" spans="2:29">
      <c r="B191" s="15" t="s">
        <v>1252</v>
      </c>
      <c r="C191" s="15" t="s">
        <v>1253</v>
      </c>
      <c r="D191" s="15" t="s">
        <v>1253</v>
      </c>
      <c r="E191" s="16">
        <v>40140</v>
      </c>
      <c r="F191" s="19"/>
      <c r="G191" s="18"/>
      <c r="H191" s="16"/>
      <c r="I191" s="16"/>
      <c r="J191" s="17">
        <v>0</v>
      </c>
      <c r="K191" s="16">
        <v>53442</v>
      </c>
      <c r="L191" s="20" t="str">
        <f ca="1">_xll.meLWOBondCreateFromGeneratorLVB(C191,$L$4,_xll.meUtilityLVBFromKeysValues($C$6:$K$6,C191:K191))</f>
        <v>FR0010809517:0</v>
      </c>
      <c r="M191" s="92">
        <f ca="1">_xll.BDP($B191,$M$5)</f>
        <v>1.7895347728919431</v>
      </c>
      <c r="N191" s="89">
        <f ca="1">_xll.meLWOBondCleanPrice($L191,$C$4,$M191%)</f>
        <v>61.377000000000059</v>
      </c>
      <c r="O191" s="89">
        <f ca="1">_xll.meLWOBondDirtyPrice($L191,$C$4,$M191%)</f>
        <v>61.377000000000059</v>
      </c>
      <c r="P191" s="72">
        <f ca="1">_xll.meLWOBondYield($L191,$C$4,N191)</f>
        <v>1.789534772891967E-2</v>
      </c>
      <c r="Q191" s="89">
        <f ca="1">_xll.meLWOBondModifiedDuration($L191,$C$4,$M191%)</f>
        <v>27.036716501954785</v>
      </c>
      <c r="R191" s="23">
        <f ca="1">_xll.meLWOBondDV01($L191,$C$4,$M191%)</f>
        <v>1659.4325487404806</v>
      </c>
      <c r="S191" s="21">
        <f t="shared" ca="1" si="13"/>
        <v>1.7895347728919431</v>
      </c>
      <c r="T191" s="22" t="str">
        <f ca="1">_xll.BDP($B191,T$6, "YAS_BOND_YLD="&amp;S191,"YAS_YLD_CONV=1")</f>
        <v>#N/A Requesting Data...</v>
      </c>
      <c r="U191" s="23">
        <f t="shared" ca="1" si="14"/>
        <v>61.377000000000059</v>
      </c>
      <c r="V191" s="24" t="e">
        <f t="shared" ca="1" si="10"/>
        <v>#VALUE!</v>
      </c>
      <c r="W191" s="23">
        <f ca="1">_xll.meLWOBondDV01($L191,$C$4,$S191%)</f>
        <v>1659.4325487404806</v>
      </c>
      <c r="X191" s="22" t="e">
        <f ca="1">_xll.BDP($B191,X$6, "YLD_YTM_ASK="&amp;$S191,"YAS_YLD_CONV=1")*$X$3*0.0001</f>
        <v>#VALUE!</v>
      </c>
      <c r="Y191" s="24" t="e">
        <f t="shared" ca="1" si="11"/>
        <v>#VALUE!</v>
      </c>
      <c r="Z191" s="23">
        <f ca="1">_xll.meLWOBondModifiedDuration($L191,$C$4,$S191%)</f>
        <v>27.036716501954785</v>
      </c>
      <c r="AA191" s="23">
        <f ca="1">_xll.BDP($B191,AA$6, "YLD_YTM_ASK="&amp;$G191,"YAS_YLD_CONV=1")</f>
        <v>27.036769124877399</v>
      </c>
      <c r="AB191" s="22">
        <f t="shared" ca="1" si="12"/>
        <v>5.2622922613210221E-5</v>
      </c>
      <c r="AC191" s="24">
        <f ca="1">_xll.meLWOBondDV01Numerical($L191,$C$4,$S191%, 0.5, "CENTRAL")</f>
        <v>1659.4331105955007</v>
      </c>
    </row>
    <row r="192" spans="2:29">
      <c r="B192" s="15" t="s">
        <v>1294</v>
      </c>
      <c r="C192" s="15" t="s">
        <v>1295</v>
      </c>
      <c r="D192" s="15" t="s">
        <v>1295</v>
      </c>
      <c r="E192" s="16">
        <v>38411</v>
      </c>
      <c r="F192" s="19"/>
      <c r="G192" s="18"/>
      <c r="H192" s="16"/>
      <c r="I192" s="16"/>
      <c r="J192" s="17">
        <v>0</v>
      </c>
      <c r="K192" s="16">
        <v>53442</v>
      </c>
      <c r="L192" s="20" t="str">
        <f ca="1">_xll.meLWOBondCreateFromGeneratorLVB(C192,$L$4,_xll.meUtilityLVBFromKeysValues($C$6:$K$6,C192:K192))</f>
        <v>FR0010172528:0</v>
      </c>
      <c r="M192" s="92">
        <f ca="1">_xll.BDP($B192,$M$5)</f>
        <v>1.5250395160707253</v>
      </c>
      <c r="N192" s="89">
        <f ca="1">_xll.meLWOBondCleanPrice($L192,$C$4,$M192%)</f>
        <v>65.933000000000192</v>
      </c>
      <c r="O192" s="89">
        <f ca="1">_xll.meLWOBondDirtyPrice($L192,$C$4,$M192%)</f>
        <v>65.933000000000192</v>
      </c>
      <c r="P192" s="72">
        <f ca="1">_xll.meLWOBondYield($L192,$C$4,N192)</f>
        <v>1.5250395160707392E-2</v>
      </c>
      <c r="Q192" s="89">
        <f ca="1">_xll.meLWOBondModifiedDuration($L192,$C$4,$M192%)</f>
        <v>27.107153148016415</v>
      </c>
      <c r="R192" s="23">
        <f ca="1">_xll.meLWOBondDV01($L192,$C$4,$M192%)</f>
        <v>1787.2559285081716</v>
      </c>
      <c r="S192" s="21">
        <f t="shared" ca="1" si="13"/>
        <v>1.5250395160707253</v>
      </c>
      <c r="T192" s="22" t="str">
        <f ca="1">_xll.BDP($B192,T$6, "YAS_BOND_YLD="&amp;S192,"YAS_YLD_CONV=1")</f>
        <v>#N/A Requesting Data...</v>
      </c>
      <c r="U192" s="23">
        <f t="shared" ca="1" si="14"/>
        <v>65.933000000000192</v>
      </c>
      <c r="V192" s="24" t="e">
        <f t="shared" ca="1" si="10"/>
        <v>#VALUE!</v>
      </c>
      <c r="W192" s="23">
        <f ca="1">_xll.meLWOBondDV01($L192,$C$4,$S192%)</f>
        <v>1787.2559285081716</v>
      </c>
      <c r="X192" s="22" t="e">
        <f ca="1">_xll.BDP($B192,X$6, "YLD_YTM_ASK="&amp;$S192,"YAS_YLD_CONV=1")*$X$3*0.0001</f>
        <v>#VALUE!</v>
      </c>
      <c r="Y192" s="24" t="e">
        <f t="shared" ca="1" si="11"/>
        <v>#VALUE!</v>
      </c>
      <c r="Z192" s="23">
        <f ca="1">_xll.meLWOBondModifiedDuration($L192,$C$4,$S192%)</f>
        <v>27.107153148016415</v>
      </c>
      <c r="AA192" s="23">
        <f ca="1">_xll.BDP($B192,AA$6, "YLD_YTM_ASK="&amp;$G192,"YAS_YLD_CONV=1")</f>
        <v>27.107190051619778</v>
      </c>
      <c r="AB192" s="22">
        <f t="shared" ca="1" si="12"/>
        <v>3.6903603362503645E-5</v>
      </c>
      <c r="AC192" s="24">
        <f ca="1">_xll.meLWOBondDV01Numerical($L192,$C$4,$S192%, 0.5, "CENTRAL")</f>
        <v>1787.2565367991911</v>
      </c>
    </row>
    <row r="193" spans="2:29">
      <c r="B193" s="15" t="s">
        <v>1570</v>
      </c>
      <c r="C193" s="15" t="s">
        <v>1571</v>
      </c>
      <c r="D193" s="15" t="s">
        <v>1571</v>
      </c>
      <c r="E193" s="16">
        <v>42479</v>
      </c>
      <c r="F193" s="19"/>
      <c r="G193" s="18"/>
      <c r="H193" s="16"/>
      <c r="I193" s="16"/>
      <c r="J193" s="17">
        <v>0</v>
      </c>
      <c r="K193" s="16">
        <v>53472</v>
      </c>
      <c r="L193" s="20" t="str">
        <f ca="1">_xll.meLWOBondCreateFromGeneratorLVB(C193,$L$4,_xll.meUtilityLVBFromKeysValues($C$6:$K$6,C193:K193))</f>
        <v>FR0013154085:0</v>
      </c>
      <c r="M193" s="92">
        <f ca="1">_xll.BDP($B193,$M$5)</f>
        <v>1.8389499075412763</v>
      </c>
      <c r="N193" s="89">
        <f ca="1">_xll.meLWOBondCleanPrice($L193,$C$4,$M193%)</f>
        <v>60.471999999999845</v>
      </c>
      <c r="O193" s="89">
        <f ca="1">_xll.meLWOBondDirtyPrice($L193,$C$4,$M193%)</f>
        <v>60.471999999999845</v>
      </c>
      <c r="P193" s="72">
        <f ca="1">_xll.meLWOBondYield($L193,$C$4,N193)</f>
        <v>1.8389499075413051E-2</v>
      </c>
      <c r="Q193" s="89">
        <f ca="1">_xll.meLWOBondModifiedDuration($L193,$C$4,$M193%)</f>
        <v>27.104305131865257</v>
      </c>
      <c r="R193" s="23">
        <f ca="1">_xll.meLWOBondDV01($L193,$C$4,$M193%)</f>
        <v>1639.0515399341516</v>
      </c>
      <c r="S193" s="21">
        <f t="shared" ca="1" si="13"/>
        <v>1.8389499075412763</v>
      </c>
      <c r="T193" s="22" t="str">
        <f ca="1">_xll.BDP($B193,T$6, "YAS_BOND_YLD="&amp;S193,"YAS_YLD_CONV=1")</f>
        <v>#N/A Requesting Data...</v>
      </c>
      <c r="U193" s="23">
        <f t="shared" ca="1" si="14"/>
        <v>60.471999999999845</v>
      </c>
      <c r="V193" s="24" t="e">
        <f t="shared" ca="1" si="10"/>
        <v>#VALUE!</v>
      </c>
      <c r="W193" s="23">
        <f ca="1">_xll.meLWOBondDV01($L193,$C$4,$S193%)</f>
        <v>1639.0515399341516</v>
      </c>
      <c r="X193" s="22" t="e">
        <f ca="1">_xll.BDP($B193,X$6, "YLD_YTM_ASK="&amp;$S193,"YAS_YLD_CONV=1")*$X$3*0.0001</f>
        <v>#VALUE!</v>
      </c>
      <c r="Y193" s="24" t="e">
        <f t="shared" ca="1" si="11"/>
        <v>#VALUE!</v>
      </c>
      <c r="Z193" s="23">
        <f ca="1">_xll.meLWOBondModifiedDuration($L193,$C$4,$S193%)</f>
        <v>27.104305131865257</v>
      </c>
      <c r="AA193" s="23">
        <f ca="1">_xll.BDP($B193,AA$6, "YLD_YTM_ASK="&amp;$G193,"YAS_YLD_CONV=1")</f>
        <v>27.104342012544706</v>
      </c>
      <c r="AB193" s="22">
        <f t="shared" ca="1" si="12"/>
        <v>3.6880679449069476E-5</v>
      </c>
      <c r="AC193" s="24">
        <f ca="1">_xll.meLWOBondDV01Numerical($L193,$C$4,$S193%, 0.5, "CENTRAL")</f>
        <v>1639.0520974959345</v>
      </c>
    </row>
    <row r="194" spans="2:29">
      <c r="B194" s="15" t="s">
        <v>1254</v>
      </c>
      <c r="C194" s="15" t="s">
        <v>1255</v>
      </c>
      <c r="D194" s="15" t="s">
        <v>1255</v>
      </c>
      <c r="E194" s="16">
        <v>40140</v>
      </c>
      <c r="F194" s="19"/>
      <c r="G194" s="18"/>
      <c r="H194" s="16"/>
      <c r="I194" s="16"/>
      <c r="J194" s="17">
        <v>0</v>
      </c>
      <c r="K194" s="16">
        <v>53807</v>
      </c>
      <c r="L194" s="20" t="str">
        <f ca="1">_xll.meLWOBondCreateFromGeneratorLVB(C194,$L$4,_xll.meUtilityLVBFromKeysValues($C$6:$K$6,C194:K194))</f>
        <v>FR0010809533:0</v>
      </c>
      <c r="M194" s="92">
        <f ca="1">_xll.BDP($B194,$M$5)</f>
        <v>1.8082268312669125</v>
      </c>
      <c r="N194" s="89">
        <f ca="1">_xll.meLWOBondCleanPrice($L194,$C$4,$M194%)</f>
        <v>59.983000000000189</v>
      </c>
      <c r="O194" s="89">
        <f ca="1">_xll.meLWOBondDirtyPrice($L194,$C$4,$M194%)</f>
        <v>59.983000000000189</v>
      </c>
      <c r="P194" s="72">
        <f ca="1">_xll.meLWOBondYield($L194,$C$4,N194)</f>
        <v>1.808226831266958E-2</v>
      </c>
      <c r="Q194" s="89">
        <f ca="1">_xll.meLWOBondModifiedDuration($L194,$C$4,$M194%)</f>
        <v>28.013991435558893</v>
      </c>
      <c r="R194" s="23">
        <f ca="1">_xll.meLWOBondDV01($L194,$C$4,$M194%)</f>
        <v>1680.3632482791343</v>
      </c>
      <c r="S194" s="21">
        <f t="shared" ca="1" si="13"/>
        <v>1.8082268312669125</v>
      </c>
      <c r="T194" s="22" t="str">
        <f ca="1">_xll.BDP($B194,T$6, "YAS_BOND_YLD="&amp;S194,"YAS_YLD_CONV=1")</f>
        <v>#N/A Requesting Data...</v>
      </c>
      <c r="U194" s="23">
        <f t="shared" ca="1" si="14"/>
        <v>59.983000000000189</v>
      </c>
      <c r="V194" s="24" t="e">
        <f t="shared" ca="1" si="10"/>
        <v>#VALUE!</v>
      </c>
      <c r="W194" s="23">
        <f ca="1">_xll.meLWOBondDV01($L194,$C$4,$S194%)</f>
        <v>1680.3632482791343</v>
      </c>
      <c r="X194" s="22" t="e">
        <f ca="1">_xll.BDP($B194,X$6, "YLD_YTM_ASK="&amp;$S194,"YAS_YLD_CONV=1")*$X$3*0.0001</f>
        <v>#VALUE!</v>
      </c>
      <c r="Y194" s="24" t="e">
        <f t="shared" ca="1" si="11"/>
        <v>#VALUE!</v>
      </c>
      <c r="Z194" s="23">
        <f ca="1">_xll.meLWOBondModifiedDuration($L194,$C$4,$S194%)</f>
        <v>28.013991435558893</v>
      </c>
      <c r="AA194" s="23">
        <f ca="1">_xll.BDP($B194,AA$6, "YLD_YTM_ASK="&amp;$G194,"YAS_YLD_CONV=1")</f>
        <v>28.014032021434588</v>
      </c>
      <c r="AB194" s="22">
        <f t="shared" ca="1" si="12"/>
        <v>4.0585875694887363E-5</v>
      </c>
      <c r="AC194" s="24">
        <f ca="1">_xll.meLWOBondDV01Numerical($L194,$C$4,$S194%, 0.5, "CENTRAL")</f>
        <v>1680.3638568944023</v>
      </c>
    </row>
    <row r="195" spans="2:29">
      <c r="B195" s="15" t="s">
        <v>1514</v>
      </c>
      <c r="C195" s="15" t="s">
        <v>1515</v>
      </c>
      <c r="D195" s="15" t="s">
        <v>1515</v>
      </c>
      <c r="E195" s="16">
        <v>38411</v>
      </c>
      <c r="F195" s="19"/>
      <c r="G195" s="18"/>
      <c r="H195" s="16"/>
      <c r="I195" s="16"/>
      <c r="J195" s="17">
        <v>0</v>
      </c>
      <c r="K195" s="16">
        <v>53807</v>
      </c>
      <c r="L195" s="20" t="str">
        <f ca="1">_xll.meLWOBondCreateFromGeneratorLVB(C195,$L$4,_xll.meUtilityLVBFromKeysValues($C$6:$K$6,C195:K195))</f>
        <v>FR0010172544:0</v>
      </c>
      <c r="M195" s="92">
        <f ca="1">_xll.BDP($B195,$M$5)</f>
        <v>1.5226614260968496</v>
      </c>
      <c r="N195" s="89">
        <f ca="1">_xll.meLWOBondCleanPrice($L195,$C$4,$M195%)</f>
        <v>64.985999999999905</v>
      </c>
      <c r="O195" s="89">
        <f ca="1">_xll.meLWOBondDirtyPrice($L195,$C$4,$M195%)</f>
        <v>64.985999999999905</v>
      </c>
      <c r="P195" s="72">
        <f ca="1">_xll.meLWOBondYield($L195,$C$4,N195)</f>
        <v>1.5226614260968468E-2</v>
      </c>
      <c r="Q195" s="89">
        <f ca="1">_xll.meLWOBondModifiedDuration($L195,$C$4,$M195%)</f>
        <v>28.092789870335434</v>
      </c>
      <c r="R195" s="23">
        <f ca="1">_xll.meLWOBondDV01($L195,$C$4,$M195%)</f>
        <v>1825.6380425136158</v>
      </c>
      <c r="S195" s="21">
        <f t="shared" ca="1" si="13"/>
        <v>1.5226614260968496</v>
      </c>
      <c r="T195" s="22" t="str">
        <f ca="1">_xll.BDP($B195,T$6, "YAS_BOND_YLD="&amp;S195,"YAS_YLD_CONV=1")</f>
        <v>#N/A Requesting Data...</v>
      </c>
      <c r="U195" s="23">
        <f t="shared" ca="1" si="14"/>
        <v>64.985999999999905</v>
      </c>
      <c r="V195" s="24" t="e">
        <f t="shared" ca="1" si="10"/>
        <v>#VALUE!</v>
      </c>
      <c r="W195" s="23">
        <f ca="1">_xll.meLWOBondDV01($L195,$C$4,$S195%)</f>
        <v>1825.6380425136158</v>
      </c>
      <c r="X195" s="22" t="e">
        <f ca="1">_xll.BDP($B195,X$6, "YLD_YTM_ASK="&amp;$S195,"YAS_YLD_CONV=1")*$X$3*0.0001</f>
        <v>#VALUE!</v>
      </c>
      <c r="Y195" s="24" t="e">
        <f t="shared" ca="1" si="11"/>
        <v>#VALUE!</v>
      </c>
      <c r="Z195" s="23">
        <f ca="1">_xll.meLWOBondModifiedDuration($L195,$C$4,$S195%)</f>
        <v>28.092789870335434</v>
      </c>
      <c r="AA195" s="23">
        <f ca="1">_xll.BDP($B195,AA$6, "YLD_YTM_ASK="&amp;$G195,"YAS_YLD_CONV=1")</f>
        <v>28.092830799658721</v>
      </c>
      <c r="AB195" s="22">
        <f t="shared" ca="1" si="12"/>
        <v>4.0929323287031139E-5</v>
      </c>
      <c r="AC195" s="24">
        <f ca="1">_xll.meLWOBondDV01Numerical($L195,$C$4,$S195%, 0.5, "CENTRAL")</f>
        <v>1825.6387074755767</v>
      </c>
    </row>
    <row r="196" spans="2:29">
      <c r="B196" s="15" t="s">
        <v>1452</v>
      </c>
      <c r="C196" s="15" t="s">
        <v>1453</v>
      </c>
      <c r="D196" s="15" t="s">
        <v>1453</v>
      </c>
      <c r="E196" s="16">
        <v>42479</v>
      </c>
      <c r="F196" s="19"/>
      <c r="G196" s="18"/>
      <c r="H196" s="16"/>
      <c r="I196" s="16"/>
      <c r="J196" s="17">
        <v>0</v>
      </c>
      <c r="K196" s="16">
        <v>53837</v>
      </c>
      <c r="L196" s="20" t="str">
        <f ca="1">_xll.meLWOBondCreateFromGeneratorLVB(C196,$L$4,_xll.meUtilityLVBFromKeysValues($C$6:$K$6,C196:K196))</f>
        <v>FR0013154093:0</v>
      </c>
      <c r="M196" s="92">
        <f ca="1">_xll.BDP($B196,$M$5)</f>
        <v>1.8734818949379672</v>
      </c>
      <c r="N196" s="89">
        <f ca="1">_xll.meLWOBondCleanPrice($L196,$C$4,$M196%)</f>
        <v>58.806999999999853</v>
      </c>
      <c r="O196" s="89">
        <f ca="1">_xll.meLWOBondDirtyPrice($L196,$C$4,$M196%)</f>
        <v>58.806999999999853</v>
      </c>
      <c r="P196" s="72">
        <f ca="1">_xll.meLWOBondYield($L196,$C$4,N196)</f>
        <v>1.8734818949380328E-2</v>
      </c>
      <c r="Q196" s="89">
        <f ca="1">_xll.meLWOBondModifiedDuration($L196,$C$4,$M196%)</f>
        <v>28.076727322941</v>
      </c>
      <c r="R196" s="23">
        <f ca="1">_xll.meLWOBondDV01($L196,$C$4,$M196%)</f>
        <v>1651.1081036801872</v>
      </c>
      <c r="S196" s="21">
        <f t="shared" ca="1" si="13"/>
        <v>1.8734818949379672</v>
      </c>
      <c r="T196" s="22" t="str">
        <f ca="1">_xll.BDP($B196,T$6, "YAS_BOND_YLD="&amp;S196,"YAS_YLD_CONV=1")</f>
        <v>#N/A Requesting Data...</v>
      </c>
      <c r="U196" s="23">
        <f t="shared" ca="1" si="14"/>
        <v>58.806999999999853</v>
      </c>
      <c r="V196" s="24" t="e">
        <f t="shared" ca="1" si="10"/>
        <v>#VALUE!</v>
      </c>
      <c r="W196" s="23">
        <f ca="1">_xll.meLWOBondDV01($L196,$C$4,$S196%)</f>
        <v>1651.1081036801872</v>
      </c>
      <c r="X196" s="22" t="e">
        <f ca="1">_xll.BDP($B196,X$6, "YLD_YTM_ASK="&amp;$S196,"YAS_YLD_CONV=1")*$X$3*0.0001</f>
        <v>#VALUE!</v>
      </c>
      <c r="Y196" s="24" t="e">
        <f t="shared" ca="1" si="11"/>
        <v>#VALUE!</v>
      </c>
      <c r="Z196" s="23">
        <f ca="1">_xll.meLWOBondModifiedDuration($L196,$C$4,$S196%)</f>
        <v>28.076727322941</v>
      </c>
      <c r="AA196" s="23">
        <f ca="1">_xll.BDP($B196,AA$6, "YLD_YTM_ASK="&amp;$G196,"YAS_YLD_CONV=1")</f>
        <v>28.0767681704267</v>
      </c>
      <c r="AB196" s="22">
        <f t="shared" ca="1" si="12"/>
        <v>4.0847485699657682E-5</v>
      </c>
      <c r="AC196" s="24">
        <f ca="1">_xll.meLWOBondDV01Numerical($L196,$C$4,$S196%, 0.5, "CENTRAL")</f>
        <v>1651.1087042093918</v>
      </c>
    </row>
    <row r="197" spans="2:29">
      <c r="B197" s="15" t="s">
        <v>1264</v>
      </c>
      <c r="C197" s="15" t="s">
        <v>1265</v>
      </c>
      <c r="D197" s="15" t="s">
        <v>1265</v>
      </c>
      <c r="E197" s="16">
        <v>40140</v>
      </c>
      <c r="F197" s="19"/>
      <c r="G197" s="18"/>
      <c r="H197" s="16"/>
      <c r="I197" s="16"/>
      <c r="J197" s="17">
        <v>0</v>
      </c>
      <c r="K197" s="16">
        <v>54173</v>
      </c>
      <c r="L197" s="20" t="str">
        <f ca="1">_xll.meLWOBondCreateFromGeneratorLVB(C197,$L$4,_xll.meUtilityLVBFromKeysValues($C$6:$K$6,C197:K197))</f>
        <v>FR0010809558:0</v>
      </c>
      <c r="M197" s="92">
        <f ca="1">_xll.BDP($B197,$M$5)</f>
        <v>1.8399647079683445</v>
      </c>
      <c r="N197" s="89">
        <f ca="1">_xll.meLWOBondCleanPrice($L197,$C$4,$M197%)</f>
        <v>58.378000000000007</v>
      </c>
      <c r="O197" s="89">
        <f ca="1">_xll.meLWOBondDirtyPrice($L197,$C$4,$M197%)</f>
        <v>58.378000000000007</v>
      </c>
      <c r="P197" s="72">
        <f ca="1">_xll.meLWOBondYield($L197,$C$4,N197)</f>
        <v>1.8399647079684039E-2</v>
      </c>
      <c r="Q197" s="89">
        <f ca="1">_xll.meLWOBondModifiedDuration($L197,$C$4,$M197%)</f>
        <v>28.987193809284264</v>
      </c>
      <c r="R197" s="23">
        <f ca="1">_xll.meLWOBondDV01($L197,$C$4,$M197%)</f>
        <v>1692.214400198397</v>
      </c>
      <c r="S197" s="21">
        <f t="shared" ca="1" si="13"/>
        <v>1.8399647079683445</v>
      </c>
      <c r="T197" s="22" t="str">
        <f ca="1">_xll.BDP($B197,T$6, "YAS_BOND_YLD="&amp;S197,"YAS_YLD_CONV=1")</f>
        <v>#N/A Requesting Data...</v>
      </c>
      <c r="U197" s="23">
        <f t="shared" ca="1" si="14"/>
        <v>58.378000000000007</v>
      </c>
      <c r="V197" s="24" t="e">
        <f t="shared" ca="1" si="10"/>
        <v>#VALUE!</v>
      </c>
      <c r="W197" s="23">
        <f ca="1">_xll.meLWOBondDV01($L197,$C$4,$S197%)</f>
        <v>1692.214400198397</v>
      </c>
      <c r="X197" s="22" t="e">
        <f ca="1">_xll.BDP($B197,X$6, "YLD_YTM_ASK="&amp;$S197,"YAS_YLD_CONV=1")*$X$3*0.0001</f>
        <v>#VALUE!</v>
      </c>
      <c r="Y197" s="24" t="e">
        <f t="shared" ca="1" si="11"/>
        <v>#VALUE!</v>
      </c>
      <c r="Z197" s="23">
        <f ca="1">_xll.meLWOBondModifiedDuration($L197,$C$4,$S197%)</f>
        <v>28.987193809284264</v>
      </c>
      <c r="AA197" s="23">
        <f ca="1">_xll.BDP($B197,AA$6, "YLD_YTM_ASK="&amp;$G197,"YAS_YLD_CONV=1")</f>
        <v>28.987238622356372</v>
      </c>
      <c r="AB197" s="22">
        <f t="shared" ca="1" si="12"/>
        <v>4.4813072108240704E-5</v>
      </c>
      <c r="AC197" s="24">
        <f ca="1">_xll.meLWOBondDV01Numerical($L197,$C$4,$S197%, 0.5, "CENTRAL")</f>
        <v>1692.2150542224304</v>
      </c>
    </row>
    <row r="198" spans="2:29">
      <c r="B198" s="15" t="s">
        <v>1420</v>
      </c>
      <c r="C198" s="15" t="s">
        <v>1421</v>
      </c>
      <c r="D198" s="15" t="s">
        <v>1421</v>
      </c>
      <c r="E198" s="16">
        <v>38411</v>
      </c>
      <c r="F198" s="19"/>
      <c r="G198" s="18"/>
      <c r="H198" s="16"/>
      <c r="I198" s="16"/>
      <c r="J198" s="17">
        <v>0</v>
      </c>
      <c r="K198" s="16">
        <v>54173</v>
      </c>
      <c r="L198" s="20" t="str">
        <f ca="1">_xll.meLWOBondCreateFromGeneratorLVB(C198,$L$4,_xll.meUtilityLVBFromKeysValues($C$6:$K$6,C198:K198))</f>
        <v>FR0010172577:0</v>
      </c>
      <c r="M198" s="92">
        <f ca="1">_xll.BDP($B198,$M$5)</f>
        <v>1.6448091409158705</v>
      </c>
      <c r="N198" s="89">
        <f ca="1">_xll.meLWOBondCleanPrice($L198,$C$4,$M198%)</f>
        <v>61.779000000000103</v>
      </c>
      <c r="O198" s="89">
        <f ca="1">_xll.meLWOBondDirtyPrice($L198,$C$4,$M198%)</f>
        <v>61.779000000000103</v>
      </c>
      <c r="P198" s="72">
        <f ca="1">_xll.meLWOBondYield($L198,$C$4,N198)</f>
        <v>1.6448091409158858E-2</v>
      </c>
      <c r="Q198" s="89">
        <f ca="1">_xll.meLWOBondModifiedDuration($L198,$C$4,$M198%)</f>
        <v>29.042848517999083</v>
      </c>
      <c r="R198" s="23">
        <f ca="1">_xll.meLWOBondDV01($L198,$C$4,$M198%)</f>
        <v>1794.2381385934684</v>
      </c>
      <c r="S198" s="21">
        <f t="shared" ca="1" si="13"/>
        <v>1.6448091409158705</v>
      </c>
      <c r="T198" s="22" t="str">
        <f ca="1">_xll.BDP($B198,T$6, "YAS_BOND_YLD="&amp;S198,"YAS_YLD_CONV=1")</f>
        <v>#N/A Requesting Data...</v>
      </c>
      <c r="U198" s="23">
        <f t="shared" ca="1" si="14"/>
        <v>61.779000000000103</v>
      </c>
      <c r="V198" s="24" t="e">
        <f t="shared" ca="1" si="10"/>
        <v>#VALUE!</v>
      </c>
      <c r="W198" s="23">
        <f ca="1">_xll.meLWOBondDV01($L198,$C$4,$S198%)</f>
        <v>1794.2381385934684</v>
      </c>
      <c r="X198" s="22" t="e">
        <f ca="1">_xll.BDP($B198,X$6, "YLD_YTM_ASK="&amp;$S198,"YAS_YLD_CONV=1")*$X$3*0.0001</f>
        <v>#VALUE!</v>
      </c>
      <c r="Y198" s="24" t="e">
        <f t="shared" ca="1" si="11"/>
        <v>#VALUE!</v>
      </c>
      <c r="Z198" s="23">
        <f ca="1">_xll.meLWOBondModifiedDuration($L198,$C$4,$S198%)</f>
        <v>29.042848517999083</v>
      </c>
      <c r="AA198" s="23">
        <f ca="1">_xll.BDP($B198,AA$6, "YLD_YTM_ASK="&amp;$G198,"YAS_YLD_CONV=1")</f>
        <v>29.042893589688596</v>
      </c>
      <c r="AB198" s="22">
        <f t="shared" ca="1" si="12"/>
        <v>4.5071689513065394E-5</v>
      </c>
      <c r="AC198" s="24">
        <f ca="1">_xll.meLWOBondDV01Numerical($L198,$C$4,$S198%, 0.5, "CENTRAL")</f>
        <v>1794.2388347180583</v>
      </c>
    </row>
    <row r="199" spans="2:29">
      <c r="B199" s="15" t="s">
        <v>1418</v>
      </c>
      <c r="C199" s="15" t="s">
        <v>1419</v>
      </c>
      <c r="D199" s="15" t="s">
        <v>1419</v>
      </c>
      <c r="E199" s="16">
        <v>42479</v>
      </c>
      <c r="F199" s="19"/>
      <c r="G199" s="18"/>
      <c r="H199" s="16"/>
      <c r="I199" s="16"/>
      <c r="J199" s="17">
        <v>0</v>
      </c>
      <c r="K199" s="16">
        <v>54203</v>
      </c>
      <c r="L199" s="20" t="str">
        <f ca="1">_xll.meLWOBondCreateFromGeneratorLVB(C199,$L$4,_xll.meUtilityLVBFromKeysValues($C$6:$K$6,C199:K199))</f>
        <v>FR0013154101:0</v>
      </c>
      <c r="M199" s="92">
        <f ca="1">_xll.BDP($B199,$M$5)</f>
        <v>1.8029649320366437</v>
      </c>
      <c r="N199" s="89">
        <f ca="1">_xll.meLWOBondCleanPrice($L199,$C$4,$M199%)</f>
        <v>58.920999999999978</v>
      </c>
      <c r="O199" s="89">
        <f ca="1">_xll.meLWOBondDirtyPrice($L199,$C$4,$M199%)</f>
        <v>58.920999999999978</v>
      </c>
      <c r="P199" s="72">
        <f ca="1">_xll.meLWOBondYield($L199,$C$4,N199)</f>
        <v>1.8029649320366898E-2</v>
      </c>
      <c r="Q199" s="89">
        <f ca="1">_xll.meLWOBondModifiedDuration($L199,$C$4,$M199%)</f>
        <v>29.078465195773131</v>
      </c>
      <c r="R199" s="23">
        <f ca="1">_xll.meLWOBondDV01($L199,$C$4,$M199%)</f>
        <v>1713.332247800148</v>
      </c>
      <c r="S199" s="21">
        <f t="shared" ca="1" si="13"/>
        <v>1.8029649320366437</v>
      </c>
      <c r="T199" s="22" t="str">
        <f ca="1">_xll.BDP($B199,T$6, "YAS_BOND_YLD="&amp;S199,"YAS_YLD_CONV=1")</f>
        <v>#N/A Requesting Data...</v>
      </c>
      <c r="U199" s="23">
        <f t="shared" ca="1" si="14"/>
        <v>58.920999999999978</v>
      </c>
      <c r="V199" s="24" t="e">
        <f t="shared" ref="V199:V242" ca="1" si="15">ABS(U199-T199)</f>
        <v>#VALUE!</v>
      </c>
      <c r="W199" s="23">
        <f ca="1">_xll.meLWOBondDV01($L199,$C$4,$S199%)</f>
        <v>1713.332247800148</v>
      </c>
      <c r="X199" s="22" t="e">
        <f ca="1">_xll.BDP($B199,X$6, "YLD_YTM_ASK="&amp;$S199,"YAS_YLD_CONV=1")*$X$3*0.0001</f>
        <v>#VALUE!</v>
      </c>
      <c r="Y199" s="24" t="e">
        <f t="shared" ref="Y199:Y242" ca="1" si="16">ABS(X199-W199)</f>
        <v>#VALUE!</v>
      </c>
      <c r="Z199" s="23">
        <f ca="1">_xll.meLWOBondModifiedDuration($L199,$C$4,$S199%)</f>
        <v>29.078465195773131</v>
      </c>
      <c r="AA199" s="23">
        <f ca="1">_xll.BDP($B199,AA$6, "YLD_YTM_ASK="&amp;$G199,"YAS_YLD_CONV=1")</f>
        <v>29.078510421402065</v>
      </c>
      <c r="AB199" s="22">
        <f t="shared" ref="AB199:AB242" ca="1" si="17">ABS(AA199-Z199)</f>
        <v>4.5225628934275619E-5</v>
      </c>
      <c r="AC199" s="24">
        <f ca="1">_xll.meLWOBondDV01Numerical($L199,$C$4,$S199%, 0.5, "CENTRAL")</f>
        <v>1713.3329139846155</v>
      </c>
    </row>
    <row r="200" spans="2:29">
      <c r="B200" s="15" t="s">
        <v>1244</v>
      </c>
      <c r="C200" s="15" t="s">
        <v>1245</v>
      </c>
      <c r="D200" s="15" t="s">
        <v>1245</v>
      </c>
      <c r="E200" s="16">
        <v>40140</v>
      </c>
      <c r="F200" s="19"/>
      <c r="G200" s="18"/>
      <c r="H200" s="16"/>
      <c r="I200" s="16"/>
      <c r="J200" s="17">
        <v>0</v>
      </c>
      <c r="K200" s="16">
        <v>54538</v>
      </c>
      <c r="L200" s="20" t="str">
        <f ca="1">_xll.meLWOBondCreateFromGeneratorLVB(C200,$L$4,_xll.meUtilityLVBFromKeysValues($C$6:$K$6,C200:K200))</f>
        <v>FR0010809574:0</v>
      </c>
      <c r="M200" s="92">
        <f ca="1">_xll.BDP($B200,$M$5)</f>
        <v>1.8664578259258047</v>
      </c>
      <c r="N200" s="89">
        <f ca="1">_xll.meLWOBondCleanPrice($L200,$C$4,$M200%)</f>
        <v>56.869999999999955</v>
      </c>
      <c r="O200" s="89">
        <f ca="1">_xll.meLWOBondDirtyPrice($L200,$C$4,$M200%)</f>
        <v>56.869999999999955</v>
      </c>
      <c r="P200" s="72">
        <f ca="1">_xll.meLWOBondYield($L200,$C$4,N200)</f>
        <v>1.8664578259259157E-2</v>
      </c>
      <c r="Q200" s="89">
        <f ca="1">_xll.meLWOBondModifiedDuration($L200,$C$4,$M200%)</f>
        <v>29.961332313488725</v>
      </c>
      <c r="R200" s="23">
        <f ca="1">_xll.meLWOBondDV01($L200,$C$4,$M200%)</f>
        <v>1703.9009686681025</v>
      </c>
      <c r="S200" s="21">
        <f t="shared" ref="S200:S242" ca="1" si="18">M200</f>
        <v>1.8664578259258047</v>
      </c>
      <c r="T200" s="22" t="str">
        <f ca="1">_xll.BDP($B200,T$6, "YAS_BOND_YLD="&amp;S200,"YAS_YLD_CONV=1")</f>
        <v>#N/A Requesting Data...</v>
      </c>
      <c r="U200" s="23">
        <f t="shared" ref="U200:U242" ca="1" si="19">N200</f>
        <v>56.869999999999955</v>
      </c>
      <c r="V200" s="24" t="e">
        <f t="shared" ca="1" si="15"/>
        <v>#VALUE!</v>
      </c>
      <c r="W200" s="23">
        <f ca="1">_xll.meLWOBondDV01($L200,$C$4,$S200%)</f>
        <v>1703.9009686681025</v>
      </c>
      <c r="X200" s="22" t="e">
        <f ca="1">_xll.BDP($B200,X$6, "YLD_YTM_ASK="&amp;$S200,"YAS_YLD_CONV=1")*$X$3*0.0001</f>
        <v>#VALUE!</v>
      </c>
      <c r="Y200" s="24" t="e">
        <f t="shared" ca="1" si="16"/>
        <v>#VALUE!</v>
      </c>
      <c r="Z200" s="23">
        <f ca="1">_xll.meLWOBondModifiedDuration($L200,$C$4,$S200%)</f>
        <v>29.961332313488725</v>
      </c>
      <c r="AA200" s="23">
        <f ca="1">_xll.BDP($B200,AA$6, "YLD_YTM_ASK="&amp;$G200,"YAS_YLD_CONV=1")</f>
        <v>29.961295329150563</v>
      </c>
      <c r="AB200" s="22">
        <f t="shared" ca="1" si="17"/>
        <v>3.6984338162682207E-5</v>
      </c>
      <c r="AC200" s="24">
        <f ca="1">_xll.meLWOBondDV01Numerical($L200,$C$4,$S200%, 0.5, "CENTRAL")</f>
        <v>1703.9016699978051</v>
      </c>
    </row>
    <row r="201" spans="2:29">
      <c r="B201" s="15" t="s">
        <v>1466</v>
      </c>
      <c r="C201" s="15" t="s">
        <v>1467</v>
      </c>
      <c r="D201" s="15" t="s">
        <v>1467</v>
      </c>
      <c r="E201" s="16">
        <v>38411</v>
      </c>
      <c r="F201" s="19"/>
      <c r="G201" s="18"/>
      <c r="H201" s="16"/>
      <c r="I201" s="16"/>
      <c r="J201" s="17">
        <v>0</v>
      </c>
      <c r="K201" s="16">
        <v>54538</v>
      </c>
      <c r="L201" s="20" t="str">
        <f ca="1">_xll.meLWOBondCreateFromGeneratorLVB(C201,$L$4,_xll.meUtilityLVBFromKeysValues($C$6:$K$6,C201:K201))</f>
        <v>FR0010172585:0</v>
      </c>
      <c r="M201" s="92">
        <f ca="1">_xll.BDP($B201,$M$5)</f>
        <v>1.6298464591281148</v>
      </c>
      <c r="N201" s="89">
        <f ca="1">_xll.meLWOBondCleanPrice($L201,$C$4,$M201%)</f>
        <v>61.053000000000203</v>
      </c>
      <c r="O201" s="89">
        <f ca="1">_xll.meLWOBondDirtyPrice($L201,$C$4,$M201%)</f>
        <v>61.053000000000203</v>
      </c>
      <c r="P201" s="72">
        <f ca="1">_xll.meLWOBondYield($L201,$C$4,N201)</f>
        <v>1.6298464591281304E-2</v>
      </c>
      <c r="Q201" s="89">
        <f ca="1">_xll.meLWOBondModifiedDuration($L201,$C$4,$M201%)</f>
        <v>30.03108733169222</v>
      </c>
      <c r="R201" s="23">
        <f ca="1">_xll.meLWOBondDV01($L201,$C$4,$M201%)</f>
        <v>1833.4879748618112</v>
      </c>
      <c r="S201" s="21">
        <f t="shared" ca="1" si="18"/>
        <v>1.6298464591281148</v>
      </c>
      <c r="T201" s="22" t="str">
        <f ca="1">_xll.BDP($B201,T$6, "YAS_BOND_YLD="&amp;S201,"YAS_YLD_CONV=1")</f>
        <v>#N/A Requesting Data...</v>
      </c>
      <c r="U201" s="23">
        <f t="shared" ca="1" si="19"/>
        <v>61.053000000000203</v>
      </c>
      <c r="V201" s="24" t="e">
        <f t="shared" ca="1" si="15"/>
        <v>#VALUE!</v>
      </c>
      <c r="W201" s="23">
        <f ca="1">_xll.meLWOBondDV01($L201,$C$4,$S201%)</f>
        <v>1833.4879748618112</v>
      </c>
      <c r="X201" s="22" t="e">
        <f ca="1">_xll.BDP($B201,X$6, "YLD_YTM_ASK="&amp;$S201,"YAS_YLD_CONV=1")*$X$3*0.0001</f>
        <v>#VALUE!</v>
      </c>
      <c r="Y201" s="24" t="e">
        <f t="shared" ca="1" si="16"/>
        <v>#VALUE!</v>
      </c>
      <c r="Z201" s="23">
        <f ca="1">_xll.meLWOBondModifiedDuration($L201,$C$4,$S201%)</f>
        <v>30.03108733169222</v>
      </c>
      <c r="AA201" s="23">
        <f ca="1">_xll.BDP($B201,AA$6, "YLD_YTM_ASK="&amp;$G201,"YAS_YLD_CONV=1")</f>
        <v>30.031137005687039</v>
      </c>
      <c r="AB201" s="22">
        <f t="shared" ca="1" si="17"/>
        <v>4.9673994819698919E-5</v>
      </c>
      <c r="AC201" s="24">
        <f ca="1">_xll.meLWOBondDV01Numerical($L201,$C$4,$S201%, 0.5, "CENTRAL")</f>
        <v>1833.4887330480144</v>
      </c>
    </row>
    <row r="202" spans="2:29">
      <c r="B202" s="15" t="s">
        <v>1424</v>
      </c>
      <c r="C202" s="15" t="s">
        <v>1425</v>
      </c>
      <c r="D202" s="15" t="s">
        <v>1425</v>
      </c>
      <c r="E202" s="16">
        <v>42479</v>
      </c>
      <c r="F202" s="19"/>
      <c r="G202" s="18"/>
      <c r="H202" s="16"/>
      <c r="I202" s="16"/>
      <c r="J202" s="17">
        <v>0</v>
      </c>
      <c r="K202" s="16">
        <v>54568</v>
      </c>
      <c r="L202" s="20" t="str">
        <f ca="1">_xll.meLWOBondCreateFromGeneratorLVB(C202,$L$4,_xll.meUtilityLVBFromKeysValues($C$6:$K$6,C202:K202))</f>
        <v>FR0013154119:0</v>
      </c>
      <c r="M202" s="92">
        <f ca="1">_xll.BDP($B202,$M$5)</f>
        <v>1.9224921198452982</v>
      </c>
      <c r="N202" s="89">
        <f ca="1">_xll.meLWOBondCleanPrice($L202,$C$4,$M202%)</f>
        <v>55.836000000000176</v>
      </c>
      <c r="O202" s="89">
        <f ca="1">_xll.meLWOBondDirtyPrice($L202,$C$4,$M202%)</f>
        <v>55.836000000000176</v>
      </c>
      <c r="P202" s="72">
        <f ca="1">_xll.meLWOBondYield($L202,$C$4,N202)</f>
        <v>1.9224921198454391E-2</v>
      </c>
      <c r="Q202" s="89">
        <f ca="1">_xll.meLWOBondModifiedDuration($L202,$C$4,$M202%)</f>
        <v>30.025501819601555</v>
      </c>
      <c r="R202" s="23">
        <f ca="1">_xll.meLWOBondDV01($L202,$C$4,$M202%)</f>
        <v>1676.5039195992777</v>
      </c>
      <c r="S202" s="21">
        <f t="shared" ca="1" si="18"/>
        <v>1.9224921198452982</v>
      </c>
      <c r="T202" s="22" t="str">
        <f ca="1">_xll.BDP($B202,T$6, "YAS_BOND_YLD="&amp;S202,"YAS_YLD_CONV=1")</f>
        <v>#N/A Requesting Data...</v>
      </c>
      <c r="U202" s="23">
        <f t="shared" ca="1" si="19"/>
        <v>55.836000000000176</v>
      </c>
      <c r="V202" s="24" t="e">
        <f t="shared" ca="1" si="15"/>
        <v>#VALUE!</v>
      </c>
      <c r="W202" s="23">
        <f ca="1">_xll.meLWOBondDV01($L202,$C$4,$S202%)</f>
        <v>1676.5039195992777</v>
      </c>
      <c r="X202" s="22" t="e">
        <f ca="1">_xll.BDP($B202,X$6, "YLD_YTM_ASK="&amp;$S202,"YAS_YLD_CONV=1")*$X$3*0.0001</f>
        <v>#VALUE!</v>
      </c>
      <c r="Y202" s="24" t="e">
        <f t="shared" ca="1" si="16"/>
        <v>#VALUE!</v>
      </c>
      <c r="Z202" s="23">
        <f ca="1">_xll.meLWOBondModifiedDuration($L202,$C$4,$S202%)</f>
        <v>30.025501819601555</v>
      </c>
      <c r="AA202" s="23">
        <f ca="1">_xll.BDP($B202,AA$6, "YLD_YTM_ASK="&amp;$G202,"YAS_YLD_CONV=1")</f>
        <v>30.025551453456213</v>
      </c>
      <c r="AB202" s="22">
        <f t="shared" ca="1" si="17"/>
        <v>4.9633854658281962E-5</v>
      </c>
      <c r="AC202" s="24">
        <f ca="1">_xll.meLWOBondDV01Numerical($L202,$C$4,$S202%, 0.5, "CENTRAL")</f>
        <v>1676.5046124377391</v>
      </c>
    </row>
    <row r="203" spans="2:29">
      <c r="B203" s="15" t="s">
        <v>1326</v>
      </c>
      <c r="C203" s="15" t="s">
        <v>1327</v>
      </c>
      <c r="D203" s="15" t="s">
        <v>1327</v>
      </c>
      <c r="E203" s="16">
        <v>40140</v>
      </c>
      <c r="F203" s="19"/>
      <c r="G203" s="18"/>
      <c r="H203" s="16"/>
      <c r="I203" s="16"/>
      <c r="J203" s="17">
        <v>0</v>
      </c>
      <c r="K203" s="16">
        <v>54903</v>
      </c>
      <c r="L203" s="20" t="str">
        <f ca="1">_xll.meLWOBondCreateFromGeneratorLVB(C203,$L$4,_xll.meUtilityLVBFromKeysValues($C$6:$K$6,C203:K203))</f>
        <v>FR0010809608:0</v>
      </c>
      <c r="M203" s="92">
        <f ca="1">_xll.BDP($B203,$M$5)</f>
        <v>1.8950684252601491</v>
      </c>
      <c r="N203" s="89">
        <f ca="1">_xll.meLWOBondCleanPrice($L203,$C$4,$M203%)</f>
        <v>55.33600000000002</v>
      </c>
      <c r="O203" s="89">
        <f ca="1">_xll.meLWOBondDirtyPrice($L203,$C$4,$M203%)</f>
        <v>55.33600000000002</v>
      </c>
      <c r="P203" s="72">
        <f ca="1">_xll.meLWOBondYield($L203,$C$4,N203)</f>
        <v>1.8950684252603097E-2</v>
      </c>
      <c r="Q203" s="89">
        <f ca="1">_xll.meLWOBondModifiedDuration($L203,$C$4,$M203%)</f>
        <v>30.934321388012759</v>
      </c>
      <c r="R203" s="23">
        <f ca="1">_xll.meLWOBondDV01($L203,$C$4,$M203%)</f>
        <v>1711.7816083270745</v>
      </c>
      <c r="S203" s="21">
        <f t="shared" ca="1" si="18"/>
        <v>1.8950684252601491</v>
      </c>
      <c r="T203" s="22" t="str">
        <f ca="1">_xll.BDP($B203,T$6, "YAS_BOND_YLD="&amp;S203,"YAS_YLD_CONV=1")</f>
        <v>#N/A Requesting Data...</v>
      </c>
      <c r="U203" s="23">
        <f t="shared" ca="1" si="19"/>
        <v>55.33600000000002</v>
      </c>
      <c r="V203" s="24" t="e">
        <f t="shared" ca="1" si="15"/>
        <v>#VALUE!</v>
      </c>
      <c r="W203" s="23">
        <f ca="1">_xll.meLWOBondDV01($L203,$C$4,$S203%)</f>
        <v>1711.7816083270745</v>
      </c>
      <c r="X203" s="22" t="e">
        <f ca="1">_xll.BDP($B203,X$6, "YLD_YTM_ASK="&amp;$S203,"YAS_YLD_CONV=1")*$X$3*0.0001</f>
        <v>#VALUE!</v>
      </c>
      <c r="Y203" s="24" t="e">
        <f t="shared" ca="1" si="16"/>
        <v>#VALUE!</v>
      </c>
      <c r="Z203" s="23">
        <f ca="1">_xll.meLWOBondModifiedDuration($L203,$C$4,$S203%)</f>
        <v>30.934321388012759</v>
      </c>
      <c r="AA203" s="23">
        <f ca="1">_xll.BDP($B203,AA$6, "YLD_YTM_ASK="&amp;$G203,"YAS_YLD_CONV=1")</f>
        <v>30.93428683882529</v>
      </c>
      <c r="AB203" s="22">
        <f t="shared" ca="1" si="17"/>
        <v>3.4549187468257969E-5</v>
      </c>
      <c r="AC203" s="24">
        <f ca="1">_xll.meLWOBondDV01Numerical($L203,$C$4,$S203%, 0.5, "CENTRAL")</f>
        <v>1711.7823571854983</v>
      </c>
    </row>
    <row r="204" spans="2:29">
      <c r="B204" s="15" t="s">
        <v>1488</v>
      </c>
      <c r="C204" s="15" t="s">
        <v>1489</v>
      </c>
      <c r="D204" s="15" t="s">
        <v>1489</v>
      </c>
      <c r="E204" s="16">
        <v>38411</v>
      </c>
      <c r="F204" s="19"/>
      <c r="G204" s="18"/>
      <c r="H204" s="16"/>
      <c r="I204" s="16"/>
      <c r="J204" s="17">
        <v>0</v>
      </c>
      <c r="K204" s="16">
        <v>54903</v>
      </c>
      <c r="L204" s="20" t="str">
        <f ca="1">_xll.meLWOBondCreateFromGeneratorLVB(C204,$L$4,_xll.meUtilityLVBFromKeysValues($C$6:$K$6,C204:K204))</f>
        <v>FR0010172593:0</v>
      </c>
      <c r="M204" s="92">
        <f ca="1">_xll.BDP($B204,$M$5)</f>
        <v>1.6397854108917809</v>
      </c>
      <c r="N204" s="89">
        <f ca="1">_xll.meLWOBondCleanPrice($L204,$C$4,$M204%)</f>
        <v>59.888999999999847</v>
      </c>
      <c r="O204" s="89">
        <f ca="1">_xll.meLWOBondDirtyPrice($L204,$C$4,$M204%)</f>
        <v>59.888999999999847</v>
      </c>
      <c r="P204" s="72">
        <f ca="1">_xll.meLWOBondYield($L204,$C$4,N204)</f>
        <v>1.639785410891817E-2</v>
      </c>
      <c r="Q204" s="89">
        <f ca="1">_xll.meLWOBondModifiedDuration($L204,$C$4,$M204%)</f>
        <v>31.01201740812385</v>
      </c>
      <c r="R204" s="23">
        <f ca="1">_xll.meLWOBondDV01($L204,$C$4,$M204%)</f>
        <v>1857.2787105551245</v>
      </c>
      <c r="S204" s="21">
        <f t="shared" ca="1" si="18"/>
        <v>1.6397854108917809</v>
      </c>
      <c r="T204" s="22" t="str">
        <f ca="1">_xll.BDP($B204,T$6, "YAS_BOND_YLD="&amp;S204,"YAS_YLD_CONV=1")</f>
        <v>#N/A Requesting Data...</v>
      </c>
      <c r="U204" s="23">
        <f t="shared" ca="1" si="19"/>
        <v>59.888999999999847</v>
      </c>
      <c r="V204" s="24" t="e">
        <f t="shared" ca="1" si="15"/>
        <v>#VALUE!</v>
      </c>
      <c r="W204" s="23">
        <f ca="1">_xll.meLWOBondDV01($L204,$C$4,$S204%)</f>
        <v>1857.2787105551245</v>
      </c>
      <c r="X204" s="22" t="e">
        <f ca="1">_xll.BDP($B204,X$6, "YLD_YTM_ASK="&amp;$S204,"YAS_YLD_CONV=1")*$X$3*0.0001</f>
        <v>#VALUE!</v>
      </c>
      <c r="Y204" s="24" t="e">
        <f t="shared" ca="1" si="16"/>
        <v>#VALUE!</v>
      </c>
      <c r="Z204" s="23">
        <f ca="1">_xll.meLWOBondModifiedDuration($L204,$C$4,$S204%)</f>
        <v>31.01201740812385</v>
      </c>
      <c r="AA204" s="23">
        <f ca="1">_xll.BDP($B204,AA$6, "YLD_YTM_ASK="&amp;$G204,"YAS_YLD_CONV=1")</f>
        <v>31.012071948795249</v>
      </c>
      <c r="AB204" s="22">
        <f t="shared" ca="1" si="17"/>
        <v>5.4540671399649909E-5</v>
      </c>
      <c r="AC204" s="24">
        <f ca="1">_xll.meLWOBondDV01Numerical($L204,$C$4,$S204%, 0.5, "CENTRAL")</f>
        <v>1857.279527151192</v>
      </c>
    </row>
    <row r="205" spans="2:29">
      <c r="B205" s="15" t="s">
        <v>1454</v>
      </c>
      <c r="C205" s="15" t="s">
        <v>1455</v>
      </c>
      <c r="D205" s="15" t="s">
        <v>1455</v>
      </c>
      <c r="E205" s="16">
        <v>42479</v>
      </c>
      <c r="F205" s="19"/>
      <c r="G205" s="18"/>
      <c r="H205" s="16"/>
      <c r="I205" s="16"/>
      <c r="J205" s="17">
        <v>0</v>
      </c>
      <c r="K205" s="16">
        <v>54933</v>
      </c>
      <c r="L205" s="20" t="str">
        <f ca="1">_xll.meLWOBondCreateFromGeneratorLVB(C205,$L$4,_xll.meUtilityLVBFromKeysValues($C$6:$K$6,C205:K205))</f>
        <v>FR0013154127:0</v>
      </c>
      <c r="M205" s="92">
        <f ca="1">_xll.BDP($B205,$M$5)</f>
        <v>1.9621749346203421</v>
      </c>
      <c r="N205" s="89">
        <f ca="1">_xll.meLWOBondCleanPrice($L205,$C$4,$M205%)</f>
        <v>54.113000000000063</v>
      </c>
      <c r="O205" s="89">
        <f ca="1">_xll.meLWOBondDirtyPrice($L205,$C$4,$M205%)</f>
        <v>54.113000000000063</v>
      </c>
      <c r="P205" s="72">
        <f ca="1">_xll.meLWOBondYield($L205,$C$4,N205)</f>
        <v>1.9621749346205954E-2</v>
      </c>
      <c r="Q205" s="89">
        <f ca="1">_xll.meLWOBondModifiedDuration($L205,$C$4,$M205%)</f>
        <v>30.994572003089921</v>
      </c>
      <c r="R205" s="23">
        <f ca="1">_xll.meLWOBondDV01($L205,$C$4,$M205%)</f>
        <v>1677.2092748032069</v>
      </c>
      <c r="S205" s="21">
        <f t="shared" ca="1" si="18"/>
        <v>1.9621749346203421</v>
      </c>
      <c r="T205" s="22" t="str">
        <f ca="1">_xll.BDP($B205,T$6, "YAS_BOND_YLD="&amp;S205,"YAS_YLD_CONV=1")</f>
        <v>#N/A Requesting Data...</v>
      </c>
      <c r="U205" s="23">
        <f t="shared" ca="1" si="19"/>
        <v>54.113000000000063</v>
      </c>
      <c r="V205" s="24" t="e">
        <f t="shared" ca="1" si="15"/>
        <v>#VALUE!</v>
      </c>
      <c r="W205" s="23">
        <f ca="1">_xll.meLWOBondDV01($L205,$C$4,$S205%)</f>
        <v>1677.2092748032069</v>
      </c>
      <c r="X205" s="22" t="e">
        <f ca="1">_xll.BDP($B205,X$6, "YLD_YTM_ASK="&amp;$S205,"YAS_YLD_CONV=1")*$X$3*0.0001</f>
        <v>#VALUE!</v>
      </c>
      <c r="Y205" s="24" t="e">
        <f t="shared" ca="1" si="16"/>
        <v>#VALUE!</v>
      </c>
      <c r="Z205" s="23">
        <f ca="1">_xll.meLWOBondModifiedDuration($L205,$C$4,$S205%)</f>
        <v>30.994572003089921</v>
      </c>
      <c r="AA205" s="23">
        <f ca="1">_xll.BDP($B205,AA$6, "YLD_YTM_ASK="&amp;$G205,"YAS_YLD_CONV=1")</f>
        <v>30.99462643896808</v>
      </c>
      <c r="AB205" s="22">
        <f t="shared" ca="1" si="17"/>
        <v>5.4435878158898277E-5</v>
      </c>
      <c r="AC205" s="24">
        <f ca="1">_xll.meLWOBondDV01Numerical($L205,$C$4,$S205%, 0.5, "CENTRAL")</f>
        <v>1677.2100112248722</v>
      </c>
    </row>
    <row r="206" spans="2:29">
      <c r="B206" s="15" t="s">
        <v>1346</v>
      </c>
      <c r="C206" s="15" t="s">
        <v>1347</v>
      </c>
      <c r="D206" s="15" t="s">
        <v>1347</v>
      </c>
      <c r="E206" s="16">
        <v>40140</v>
      </c>
      <c r="F206" s="19"/>
      <c r="G206" s="18"/>
      <c r="H206" s="16"/>
      <c r="I206" s="16"/>
      <c r="J206" s="17">
        <v>0</v>
      </c>
      <c r="K206" s="16">
        <v>55268</v>
      </c>
      <c r="L206" s="20" t="str">
        <f ca="1">_xll.meLWOBondCreateFromGeneratorLVB(C206,$L$4,_xll.meUtilityLVBFromKeysValues($C$6:$K$6,C206:K206))</f>
        <v>FR0010809624:0</v>
      </c>
      <c r="M206" s="92">
        <f ca="1">_xll.BDP($B206,$M$5)</f>
        <v>1.9313930886515118</v>
      </c>
      <c r="N206" s="89">
        <f ca="1">_xll.meLWOBondCleanPrice($L206,$C$4,$M206%)</f>
        <v>53.681000000000054</v>
      </c>
      <c r="O206" s="89">
        <f ca="1">_xll.meLWOBondDirtyPrice($L206,$C$4,$M206%)</f>
        <v>53.681000000000054</v>
      </c>
      <c r="P206" s="72">
        <f ca="1">_xll.meLWOBondYield($L206,$C$4,N206)</f>
        <v>1.9313930886517928E-2</v>
      </c>
      <c r="Q206" s="89">
        <f ca="1">_xll.meLWOBondModifiedDuration($L206,$C$4,$M206%)</f>
        <v>31.904349543149873</v>
      </c>
      <c r="R206" s="23">
        <f ca="1">_xll.meLWOBondDV01($L206,$C$4,$M206%)</f>
        <v>1712.65738782583</v>
      </c>
      <c r="S206" s="21">
        <f t="shared" ca="1" si="18"/>
        <v>1.9313930886515118</v>
      </c>
      <c r="T206" s="22" t="str">
        <f ca="1">_xll.BDP($B206,T$6, "YAS_BOND_YLD="&amp;S206,"YAS_YLD_CONV=1")</f>
        <v>#N/A Requesting Data...</v>
      </c>
      <c r="U206" s="23">
        <f t="shared" ca="1" si="19"/>
        <v>53.681000000000054</v>
      </c>
      <c r="V206" s="24" t="e">
        <f t="shared" ca="1" si="15"/>
        <v>#VALUE!</v>
      </c>
      <c r="W206" s="23">
        <f ca="1">_xll.meLWOBondDV01($L206,$C$4,$S206%)</f>
        <v>1712.65738782583</v>
      </c>
      <c r="X206" s="22" t="e">
        <f ca="1">_xll.BDP($B206,X$6, "YLD_YTM_ASK="&amp;$S206,"YAS_YLD_CONV=1")*$X$3*0.0001</f>
        <v>#VALUE!</v>
      </c>
      <c r="Y206" s="24" t="e">
        <f t="shared" ca="1" si="16"/>
        <v>#VALUE!</v>
      </c>
      <c r="Z206" s="23">
        <f ca="1">_xll.meLWOBondModifiedDuration($L206,$C$4,$S206%)</f>
        <v>31.904349543149873</v>
      </c>
      <c r="AA206" s="23">
        <f ca="1">_xll.BDP($B206,AA$6, "YLD_YTM_ASK="&amp;$G206,"YAS_YLD_CONV=1")</f>
        <v>31.904372211561366</v>
      </c>
      <c r="AB206" s="22">
        <f t="shared" ca="1" si="17"/>
        <v>2.2668411492787754E-5</v>
      </c>
      <c r="AC206" s="24">
        <f ca="1">_xll.meLWOBondDV01Numerical($L206,$C$4,$S206%, 0.5, "CENTRAL")</f>
        <v>1712.6581825787214</v>
      </c>
    </row>
    <row r="207" spans="2:29">
      <c r="B207" s="15" t="s">
        <v>1368</v>
      </c>
      <c r="C207" s="15" t="s">
        <v>1369</v>
      </c>
      <c r="D207" s="15" t="s">
        <v>1369</v>
      </c>
      <c r="E207" s="16">
        <v>38411</v>
      </c>
      <c r="F207" s="19"/>
      <c r="G207" s="18"/>
      <c r="H207" s="16"/>
      <c r="I207" s="16"/>
      <c r="J207" s="17">
        <v>0</v>
      </c>
      <c r="K207" s="16">
        <v>55268</v>
      </c>
      <c r="L207" s="20" t="str">
        <f ca="1">_xll.meLWOBondCreateFromGeneratorLVB(C207,$L$4,_xll.meUtilityLVBFromKeysValues($C$6:$K$6,C207:K207))</f>
        <v>FR0010172601:0</v>
      </c>
      <c r="M207" s="92">
        <f ca="1">_xll.BDP($B207,$M$5)</f>
        <v>1.6120543985707059</v>
      </c>
      <c r="N207" s="89">
        <f ca="1">_xll.meLWOBondCleanPrice($L207,$C$4,$M207%)</f>
        <v>59.448000000000015</v>
      </c>
      <c r="O207" s="89">
        <f ca="1">_xll.meLWOBondDirtyPrice($L207,$C$4,$M207%)</f>
        <v>59.448000000000015</v>
      </c>
      <c r="P207" s="72">
        <f ca="1">_xll.meLWOBondYield($L207,$C$4,N207)</f>
        <v>1.6120543985707524E-2</v>
      </c>
      <c r="Q207" s="89">
        <f ca="1">_xll.meLWOBondModifiedDuration($L207,$C$4,$M207%)</f>
        <v>32.004616123245043</v>
      </c>
      <c r="R207" s="23">
        <f ca="1">_xll.meLWOBondDV01($L207,$C$4,$M207%)</f>
        <v>1902.6104192946718</v>
      </c>
      <c r="S207" s="21">
        <f t="shared" ca="1" si="18"/>
        <v>1.6120543985707059</v>
      </c>
      <c r="T207" s="22" t="str">
        <f ca="1">_xll.BDP($B207,T$6, "YAS_BOND_YLD="&amp;S207,"YAS_YLD_CONV=1")</f>
        <v>#N/A Requesting Data...</v>
      </c>
      <c r="U207" s="23">
        <f t="shared" ca="1" si="19"/>
        <v>59.448000000000015</v>
      </c>
      <c r="V207" s="24" t="e">
        <f t="shared" ca="1" si="15"/>
        <v>#VALUE!</v>
      </c>
      <c r="W207" s="23">
        <f ca="1">_xll.meLWOBondDV01($L207,$C$4,$S207%)</f>
        <v>1902.6104192946718</v>
      </c>
      <c r="X207" s="22" t="e">
        <f ca="1">_xll.BDP($B207,X$6, "YLD_YTM_ASK="&amp;$S207,"YAS_YLD_CONV=1")*$X$3*0.0001</f>
        <v>#VALUE!</v>
      </c>
      <c r="Y207" s="24" t="e">
        <f t="shared" ca="1" si="16"/>
        <v>#VALUE!</v>
      </c>
      <c r="Z207" s="23">
        <f ca="1">_xll.meLWOBondModifiedDuration($L207,$C$4,$S207%)</f>
        <v>32.004616123245043</v>
      </c>
      <c r="AA207" s="23">
        <f ca="1">_xll.BDP($B207,AA$6, "YLD_YTM_ASK="&amp;$G207,"YAS_YLD_CONV=1")</f>
        <v>32.004675903800425</v>
      </c>
      <c r="AB207" s="22">
        <f t="shared" ca="1" si="17"/>
        <v>5.978055538236049E-5</v>
      </c>
      <c r="AC207" s="24">
        <f ca="1">_xll.meLWOBondDV01Numerical($L207,$C$4,$S207%, 0.5, "CENTRAL")</f>
        <v>1902.6113077527639</v>
      </c>
    </row>
    <row r="208" spans="2:29">
      <c r="B208" s="15" t="s">
        <v>1438</v>
      </c>
      <c r="C208" s="15" t="s">
        <v>1439</v>
      </c>
      <c r="D208" s="15" t="s">
        <v>1439</v>
      </c>
      <c r="E208" s="16">
        <v>42479</v>
      </c>
      <c r="F208" s="19"/>
      <c r="G208" s="18"/>
      <c r="H208" s="16"/>
      <c r="I208" s="16"/>
      <c r="J208" s="17">
        <v>0</v>
      </c>
      <c r="K208" s="16">
        <v>55298</v>
      </c>
      <c r="L208" s="20" t="str">
        <f ca="1">_xll.meLWOBondCreateFromGeneratorLVB(C208,$L$4,_xll.meUtilityLVBFromKeysValues($C$6:$K$6,C208:K208))</f>
        <v>FR0013154135:0</v>
      </c>
      <c r="M208" s="92">
        <f ca="1">_xll.BDP($B208,$M$5)</f>
        <v>1.9924757759908207</v>
      </c>
      <c r="N208" s="89">
        <f ca="1">_xll.meLWOBondCleanPrice($L208,$C$4,$M208%)</f>
        <v>52.55999999999986</v>
      </c>
      <c r="O208" s="89">
        <f ca="1">_xll.meLWOBondDirtyPrice($L208,$C$4,$M208%)</f>
        <v>52.55999999999986</v>
      </c>
      <c r="P208" s="72">
        <f ca="1">_xll.meLWOBondYield($L208,$C$4,N208)</f>
        <v>1.9924757759912155E-2</v>
      </c>
      <c r="Q208" s="89">
        <f ca="1">_xll.meLWOBondModifiedDuration($L208,$C$4,$M208%)</f>
        <v>31.965828339762808</v>
      </c>
      <c r="R208" s="23">
        <f ca="1">_xll.meLWOBondDV01($L208,$C$4,$M208%)</f>
        <v>1680.1239375379287</v>
      </c>
      <c r="S208" s="21">
        <f t="shared" ca="1" si="18"/>
        <v>1.9924757759908207</v>
      </c>
      <c r="T208" s="22" t="str">
        <f ca="1">_xll.BDP($B208,T$6, "YAS_BOND_YLD="&amp;S208,"YAS_YLD_CONV=1")</f>
        <v>#N/A Requesting Data...</v>
      </c>
      <c r="U208" s="23">
        <f t="shared" ca="1" si="19"/>
        <v>52.55999999999986</v>
      </c>
      <c r="V208" s="24" t="e">
        <f t="shared" ca="1" si="15"/>
        <v>#VALUE!</v>
      </c>
      <c r="W208" s="23">
        <f ca="1">_xll.meLWOBondDV01($L208,$C$4,$S208%)</f>
        <v>1680.1239375379287</v>
      </c>
      <c r="X208" s="22" t="e">
        <f ca="1">_xll.BDP($B208,X$6, "YLD_YTM_ASK="&amp;$S208,"YAS_YLD_CONV=1")*$X$3*0.0001</f>
        <v>#VALUE!</v>
      </c>
      <c r="Y208" s="24" t="e">
        <f t="shared" ca="1" si="16"/>
        <v>#VALUE!</v>
      </c>
      <c r="Z208" s="23">
        <f ca="1">_xll.meLWOBondModifiedDuration($L208,$C$4,$S208%)</f>
        <v>31.965828339762808</v>
      </c>
      <c r="AA208" s="23">
        <f ca="1">_xll.BDP($B208,AA$6, "YLD_YTM_ASK="&amp;$G208,"YAS_YLD_CONV=1")</f>
        <v>31.965887890049778</v>
      </c>
      <c r="AB208" s="22">
        <f t="shared" ca="1" si="17"/>
        <v>5.9550286970022626E-5</v>
      </c>
      <c r="AC208" s="24">
        <f ca="1">_xll.meLWOBondDV01Numerical($L208,$C$4,$S208%, 0.5, "CENTRAL")</f>
        <v>1680.1247200282176</v>
      </c>
    </row>
    <row r="209" spans="2:29">
      <c r="B209" s="15" t="s">
        <v>1376</v>
      </c>
      <c r="C209" s="15" t="s">
        <v>1377</v>
      </c>
      <c r="D209" s="15" t="s">
        <v>1377</v>
      </c>
      <c r="E209" s="16">
        <v>40140</v>
      </c>
      <c r="F209" s="19"/>
      <c r="G209" s="18"/>
      <c r="H209" s="16"/>
      <c r="I209" s="16"/>
      <c r="J209" s="17">
        <v>0</v>
      </c>
      <c r="K209" s="16">
        <v>55634</v>
      </c>
      <c r="L209" s="20" t="str">
        <f ca="1">_xll.meLWOBondCreateFromGeneratorLVB(C209,$L$4,_xll.meUtilityLVBFromKeysValues($C$6:$K$6,C209:K209))</f>
        <v>FR0010809632:0</v>
      </c>
      <c r="M209" s="92">
        <f ca="1">_xll.BDP($B209,$M$5)</f>
        <v>1.9629055521789285</v>
      </c>
      <c r="N209" s="89">
        <f ca="1">_xll.meLWOBondCleanPrice($L209,$C$4,$M209%)</f>
        <v>52.12099999999991</v>
      </c>
      <c r="O209" s="89">
        <f ca="1">_xll.meLWOBondDirtyPrice($L209,$C$4,$M209%)</f>
        <v>52.12099999999991</v>
      </c>
      <c r="P209" s="72">
        <f ca="1">_xll.meLWOBondYield($L209,$C$4,N209)</f>
        <v>1.9629055521793649E-2</v>
      </c>
      <c r="Q209" s="89">
        <f ca="1">_xll.meLWOBondModifiedDuration($L209,$C$4,$M209%)</f>
        <v>32.875238071802038</v>
      </c>
      <c r="R209" s="23">
        <f ca="1">_xll.meLWOBondDV01($L209,$C$4,$M209%)</f>
        <v>1713.4902835403909</v>
      </c>
      <c r="S209" s="21">
        <f t="shared" ca="1" si="18"/>
        <v>1.9629055521789285</v>
      </c>
      <c r="T209" s="22" t="str">
        <f ca="1">_xll.BDP($B209,T$6, "YAS_BOND_YLD="&amp;S209,"YAS_YLD_CONV=1")</f>
        <v>#N/A Requesting Data...</v>
      </c>
      <c r="U209" s="23">
        <f t="shared" ca="1" si="19"/>
        <v>52.12099999999991</v>
      </c>
      <c r="V209" s="24" t="e">
        <f t="shared" ca="1" si="15"/>
        <v>#VALUE!</v>
      </c>
      <c r="W209" s="23">
        <f ca="1">_xll.meLWOBondDV01($L209,$C$4,$S209%)</f>
        <v>1713.4902835403909</v>
      </c>
      <c r="X209" s="22" t="e">
        <f ca="1">_xll.BDP($B209,X$6, "YLD_YTM_ASK="&amp;$S209,"YAS_YLD_CONV=1")*$X$3*0.0001</f>
        <v>#VALUE!</v>
      </c>
      <c r="Y209" s="24" t="e">
        <f t="shared" ca="1" si="16"/>
        <v>#VALUE!</v>
      </c>
      <c r="Z209" s="23">
        <f ca="1">_xll.meLWOBondModifiedDuration($L209,$C$4,$S209%)</f>
        <v>32.875238071802038</v>
      </c>
      <c r="AA209" s="23">
        <f ca="1">_xll.BDP($B209,AA$6, "YLD_YTM_ASK="&amp;$G209,"YAS_YLD_CONV=1")</f>
        <v>32.875246243141355</v>
      </c>
      <c r="AB209" s="22">
        <f t="shared" ca="1" si="17"/>
        <v>8.171339317186721E-6</v>
      </c>
      <c r="AC209" s="24">
        <f ca="1">_xll.meLWOBondDV01Numerical($L209,$C$4,$S209%, 0.5, "CENTRAL")</f>
        <v>1713.4911256009389</v>
      </c>
    </row>
    <row r="210" spans="2:29">
      <c r="B210" s="15" t="s">
        <v>1400</v>
      </c>
      <c r="C210" s="15" t="s">
        <v>1401</v>
      </c>
      <c r="D210" s="15" t="s">
        <v>1401</v>
      </c>
      <c r="E210" s="16">
        <v>38411</v>
      </c>
      <c r="F210" s="19"/>
      <c r="G210" s="18"/>
      <c r="H210" s="16"/>
      <c r="I210" s="16"/>
      <c r="J210" s="17">
        <v>0</v>
      </c>
      <c r="K210" s="16">
        <v>55634</v>
      </c>
      <c r="L210" s="20" t="str">
        <f ca="1">_xll.meLWOBondCreateFromGeneratorLVB(C210,$L$4,_xll.meUtilityLVBFromKeysValues($C$6:$K$6,C210:K210))</f>
        <v>FR0010172619:0</v>
      </c>
      <c r="M210" s="92">
        <f ca="1">_xll.BDP($B210,$M$5)</f>
        <v>1.6192585172914553</v>
      </c>
      <c r="N210" s="89">
        <f ca="1">_xll.meLWOBondCleanPrice($L210,$C$4,$M210%)</f>
        <v>58.36600000000012</v>
      </c>
      <c r="O210" s="89">
        <f ca="1">_xll.meLWOBondDirtyPrice($L210,$C$4,$M210%)</f>
        <v>58.36600000000012</v>
      </c>
      <c r="P210" s="72">
        <f ca="1">_xll.meLWOBondYield($L210,$C$4,N210)</f>
        <v>1.6192585172915035E-2</v>
      </c>
      <c r="Q210" s="89">
        <f ca="1">_xll.meLWOBondModifiedDuration($L210,$C$4,$M210%)</f>
        <v>32.986412648840229</v>
      </c>
      <c r="R210" s="23">
        <f ca="1">_xll.meLWOBondDV01($L210,$C$4,$M210%)</f>
        <v>1925.2849606622126</v>
      </c>
      <c r="S210" s="21">
        <f t="shared" ca="1" si="18"/>
        <v>1.6192585172914553</v>
      </c>
      <c r="T210" s="22" t="str">
        <f ca="1">_xll.BDP($B210,T$6, "YAS_BOND_YLD="&amp;S210,"YAS_YLD_CONV=1")</f>
        <v>#N/A Requesting Data...</v>
      </c>
      <c r="U210" s="23">
        <f t="shared" ca="1" si="19"/>
        <v>58.36600000000012</v>
      </c>
      <c r="V210" s="24" t="e">
        <f t="shared" ca="1" si="15"/>
        <v>#VALUE!</v>
      </c>
      <c r="W210" s="23">
        <f ca="1">_xll.meLWOBondDV01($L210,$C$4,$S210%)</f>
        <v>1925.2849606622126</v>
      </c>
      <c r="X210" s="22" t="e">
        <f ca="1">_xll.BDP($B210,X$6, "YLD_YTM_ASK="&amp;$S210,"YAS_YLD_CONV=1")*$X$3*0.0001</f>
        <v>#VALUE!</v>
      </c>
      <c r="Y210" s="24" t="e">
        <f t="shared" ca="1" si="16"/>
        <v>#VALUE!</v>
      </c>
      <c r="Z210" s="23">
        <f ca="1">_xll.meLWOBondModifiedDuration($L210,$C$4,$S210%)</f>
        <v>32.986412648840229</v>
      </c>
      <c r="AA210" s="23">
        <f ca="1">_xll.BDP($B210,AA$6, "YLD_YTM_ASK="&amp;$G210,"YAS_YLD_CONV=1")</f>
        <v>32.986477930230272</v>
      </c>
      <c r="AB210" s="22">
        <f t="shared" ca="1" si="17"/>
        <v>6.5281390043026022E-5</v>
      </c>
      <c r="AC210" s="24">
        <f ca="1">_xll.meLWOBondDV01Numerical($L210,$C$4,$S210%, 0.5, "CENTRAL")</f>
        <v>1925.2859132149072</v>
      </c>
    </row>
    <row r="211" spans="2:29">
      <c r="B211" s="15" t="s">
        <v>1374</v>
      </c>
      <c r="C211" s="15" t="s">
        <v>1375</v>
      </c>
      <c r="D211" s="15" t="s">
        <v>1375</v>
      </c>
      <c r="E211" s="16">
        <v>42479</v>
      </c>
      <c r="F211" s="19"/>
      <c r="G211" s="18"/>
      <c r="H211" s="16"/>
      <c r="I211" s="16"/>
      <c r="J211" s="17">
        <v>0</v>
      </c>
      <c r="K211" s="16">
        <v>55664</v>
      </c>
      <c r="L211" s="20" t="str">
        <f ca="1">_xll.meLWOBondCreateFromGeneratorLVB(C211,$L$4,_xll.meUtilityLVBFromKeysValues($C$6:$K$6,C211:K211))</f>
        <v>FR0013154143:0</v>
      </c>
      <c r="M211" s="92">
        <f ca="1">_xll.BDP($B211,$M$5)</f>
        <v>2.0043508749197914</v>
      </c>
      <c r="N211" s="89">
        <f ca="1">_xll.meLWOBondCleanPrice($L211,$C$4,$M211%)</f>
        <v>51.332000000000143</v>
      </c>
      <c r="O211" s="89">
        <f ca="1">_xll.meLWOBondDirtyPrice($L211,$C$4,$M211%)</f>
        <v>51.332000000000143</v>
      </c>
      <c r="P211" s="72">
        <f ca="1">_xll.meLWOBondYield($L211,$C$4,N211)</f>
        <v>2.0043508749203492E-2</v>
      </c>
      <c r="Q211" s="89">
        <f ca="1">_xll.meLWOBondModifiedDuration($L211,$C$4,$M211%)</f>
        <v>32.942457295014684</v>
      </c>
      <c r="R211" s="23">
        <f ca="1">_xll.meLWOBondDV01($L211,$C$4,$M211%)</f>
        <v>1691.0022178676986</v>
      </c>
      <c r="S211" s="21">
        <f t="shared" ca="1" si="18"/>
        <v>2.0043508749197914</v>
      </c>
      <c r="T211" s="22" t="str">
        <f ca="1">_xll.BDP($B211,T$6, "YAS_BOND_YLD="&amp;S211,"YAS_YLD_CONV=1")</f>
        <v>#N/A Requesting Data...</v>
      </c>
      <c r="U211" s="23">
        <f t="shared" ca="1" si="19"/>
        <v>51.332000000000143</v>
      </c>
      <c r="V211" s="24" t="e">
        <f t="shared" ca="1" si="15"/>
        <v>#VALUE!</v>
      </c>
      <c r="W211" s="23">
        <f ca="1">_xll.meLWOBondDV01($L211,$C$4,$S211%)</f>
        <v>1691.0022178676986</v>
      </c>
      <c r="X211" s="22" t="e">
        <f ca="1">_xll.BDP($B211,X$6, "YLD_YTM_ASK="&amp;$S211,"YAS_YLD_CONV=1")*$X$3*0.0001</f>
        <v>#VALUE!</v>
      </c>
      <c r="Y211" s="24" t="e">
        <f t="shared" ca="1" si="16"/>
        <v>#VALUE!</v>
      </c>
      <c r="Z211" s="23">
        <f ca="1">_xll.meLWOBondModifiedDuration($L211,$C$4,$S211%)</f>
        <v>32.942457295014684</v>
      </c>
      <c r="AA211" s="23">
        <f ca="1">_xll.BDP($B211,AA$6, "YLD_YTM_ASK="&amp;$G211,"YAS_YLD_CONV=1")</f>
        <v>32.942522302223253</v>
      </c>
      <c r="AB211" s="22">
        <f t="shared" ca="1" si="17"/>
        <v>6.5007208569056729E-5</v>
      </c>
      <c r="AC211" s="24">
        <f ca="1">_xll.meLWOBondDV01Numerical($L211,$C$4,$S211%, 0.5, "CENTRAL")</f>
        <v>1691.0030521047049</v>
      </c>
    </row>
    <row r="212" spans="2:29">
      <c r="B212" s="15" t="s">
        <v>1364</v>
      </c>
      <c r="C212" s="15" t="s">
        <v>1365</v>
      </c>
      <c r="D212" s="15" t="s">
        <v>1365</v>
      </c>
      <c r="E212" s="16">
        <v>40140</v>
      </c>
      <c r="F212" s="19"/>
      <c r="G212" s="18"/>
      <c r="H212" s="16"/>
      <c r="I212" s="16"/>
      <c r="J212" s="17">
        <v>0</v>
      </c>
      <c r="K212" s="16">
        <v>55999</v>
      </c>
      <c r="L212" s="20" t="str">
        <f ca="1">_xll.meLWOBondCreateFromGeneratorLVB(C212,$L$4,_xll.meUtilityLVBFromKeysValues($C$6:$K$6,C212:K212))</f>
        <v>FR0010809640:0</v>
      </c>
      <c r="M212" s="92">
        <f ca="1">_xll.BDP($B212,$M$5)</f>
        <v>1.9893531252422436</v>
      </c>
      <c r="N212" s="89">
        <f ca="1">_xll.meLWOBondCleanPrice($L212,$C$4,$M212%)</f>
        <v>50.661999999999871</v>
      </c>
      <c r="O212" s="89">
        <f ca="1">_xll.meLWOBondDirtyPrice($L212,$C$4,$M212%)</f>
        <v>50.661999999999871</v>
      </c>
      <c r="P212" s="72">
        <f ca="1">_xll.meLWOBondYield($L212,$C$4,N212)</f>
        <v>1.9893531252428952E-2</v>
      </c>
      <c r="Q212" s="89">
        <f ca="1">_xll.meLWOBondModifiedDuration($L212,$C$4,$M212%)</f>
        <v>33.847207465679752</v>
      </c>
      <c r="R212" s="23">
        <f ca="1">_xll.meLWOBondDV01($L212,$C$4,$M212%)</f>
        <v>1714.7672246262632</v>
      </c>
      <c r="S212" s="21">
        <f t="shared" ca="1" si="18"/>
        <v>1.9893531252422436</v>
      </c>
      <c r="T212" s="22" t="str">
        <f ca="1">_xll.BDP($B212,T$6, "YAS_BOND_YLD="&amp;S212,"YAS_YLD_CONV=1")</f>
        <v>#N/A Requesting Data...</v>
      </c>
      <c r="U212" s="23">
        <f t="shared" ca="1" si="19"/>
        <v>50.661999999999871</v>
      </c>
      <c r="V212" s="24" t="e">
        <f t="shared" ca="1" si="15"/>
        <v>#VALUE!</v>
      </c>
      <c r="W212" s="23">
        <f ca="1">_xll.meLWOBondDV01($L212,$C$4,$S212%)</f>
        <v>1714.7672246262632</v>
      </c>
      <c r="X212" s="22" t="e">
        <f ca="1">_xll.BDP($B212,X$6, "YLD_YTM_ASK="&amp;$S212,"YAS_YLD_CONV=1")*$X$3*0.0001</f>
        <v>#VALUE!</v>
      </c>
      <c r="Y212" s="24" t="e">
        <f t="shared" ca="1" si="16"/>
        <v>#VALUE!</v>
      </c>
      <c r="Z212" s="23">
        <f ca="1">_xll.meLWOBondModifiedDuration($L212,$C$4,$S212%)</f>
        <v>33.847207465679752</v>
      </c>
      <c r="AA212" s="23">
        <f ca="1">_xll.BDP($B212,AA$6, "YLD_YTM_ASK="&amp;$G212,"YAS_YLD_CONV=1")</f>
        <v>33.84721975514146</v>
      </c>
      <c r="AB212" s="22">
        <f t="shared" ca="1" si="17"/>
        <v>1.228946170783729E-5</v>
      </c>
      <c r="AC212" s="24">
        <f ca="1">_xll.meLWOBondDV01Numerical($L212,$C$4,$S212%, 0.5, "CENTRAL")</f>
        <v>1714.7681156745164</v>
      </c>
    </row>
    <row r="213" spans="2:29">
      <c r="B213" s="15" t="s">
        <v>1398</v>
      </c>
      <c r="C213" s="15" t="s">
        <v>1399</v>
      </c>
      <c r="D213" s="15" t="s">
        <v>1399</v>
      </c>
      <c r="E213" s="16">
        <v>38411</v>
      </c>
      <c r="F213" s="19"/>
      <c r="G213" s="18"/>
      <c r="H213" s="16"/>
      <c r="I213" s="16"/>
      <c r="J213" s="17">
        <v>0</v>
      </c>
      <c r="K213" s="16">
        <v>55999</v>
      </c>
      <c r="L213" s="20" t="str">
        <f ca="1">_xll.meLWOBondCreateFromGeneratorLVB(C213,$L$4,_xll.meUtilityLVBFromKeysValues($C$6:$K$6,C213:K213))</f>
        <v>FR0010172627:0</v>
      </c>
      <c r="M213" s="92">
        <f ca="1">_xll.BDP($B213,$M$5)</f>
        <v>1.6311719680709658</v>
      </c>
      <c r="N213" s="89">
        <f ca="1">_xll.meLWOBondCleanPrice($L213,$C$4,$M213%)</f>
        <v>57.204000000000136</v>
      </c>
      <c r="O213" s="89">
        <f ca="1">_xll.meLWOBondDirtyPrice($L213,$C$4,$M213%)</f>
        <v>57.204000000000136</v>
      </c>
      <c r="P213" s="72">
        <f ca="1">_xll.meLWOBondYield($L213,$C$4,N213)</f>
        <v>1.631171968071049E-2</v>
      </c>
      <c r="Q213" s="89">
        <f ca="1">_xll.meLWOBondModifiedDuration($L213,$C$4,$M213%)</f>
        <v>33.966495984175651</v>
      </c>
      <c r="R213" s="23">
        <f ca="1">_xll.meLWOBondDV01($L213,$C$4,$M213%)</f>
        <v>1943.0194362787884</v>
      </c>
      <c r="S213" s="21">
        <f t="shared" ca="1" si="18"/>
        <v>1.6311719680709658</v>
      </c>
      <c r="T213" s="22" t="str">
        <f ca="1">_xll.BDP($B213,T$6, "YAS_BOND_YLD="&amp;S213,"YAS_YLD_CONV=1")</f>
        <v>#N/A Requesting Data...</v>
      </c>
      <c r="U213" s="23">
        <f t="shared" ca="1" si="19"/>
        <v>57.204000000000136</v>
      </c>
      <c r="V213" s="24" t="e">
        <f t="shared" ca="1" si="15"/>
        <v>#VALUE!</v>
      </c>
      <c r="W213" s="23">
        <f ca="1">_xll.meLWOBondDV01($L213,$C$4,$S213%)</f>
        <v>1943.0194362787884</v>
      </c>
      <c r="X213" s="22" t="e">
        <f ca="1">_xll.BDP($B213,X$6, "YLD_YTM_ASK="&amp;$S213,"YAS_YLD_CONV=1")*$X$3*0.0001</f>
        <v>#VALUE!</v>
      </c>
      <c r="Y213" s="24" t="e">
        <f t="shared" ca="1" si="16"/>
        <v>#VALUE!</v>
      </c>
      <c r="Z213" s="23">
        <f ca="1">_xll.meLWOBondModifiedDuration($L213,$C$4,$S213%)</f>
        <v>33.966495984175651</v>
      </c>
      <c r="AA213" s="23">
        <f ca="1">_xll.BDP($B213,AA$6, "YLD_YTM_ASK="&amp;$G213,"YAS_YLD_CONV=1")</f>
        <v>33.966567083070309</v>
      </c>
      <c r="AB213" s="22">
        <f t="shared" ca="1" si="17"/>
        <v>7.1098894657950495E-5</v>
      </c>
      <c r="AC213" s="24">
        <f ca="1">_xll.meLWOBondDV01Numerical($L213,$C$4,$S213%, 0.5, "CENTRAL")</f>
        <v>1943.0204530633689</v>
      </c>
    </row>
    <row r="214" spans="2:29">
      <c r="B214" s="15" t="s">
        <v>1440</v>
      </c>
      <c r="C214" s="15" t="s">
        <v>1441</v>
      </c>
      <c r="D214" s="15" t="s">
        <v>1441</v>
      </c>
      <c r="E214" s="16">
        <v>42479</v>
      </c>
      <c r="F214" s="19"/>
      <c r="G214" s="18"/>
      <c r="H214" s="16"/>
      <c r="I214" s="16"/>
      <c r="J214" s="17">
        <v>0</v>
      </c>
      <c r="K214" s="16">
        <v>56029</v>
      </c>
      <c r="L214" s="20" t="str">
        <f ca="1">_xll.meLWOBondCreateFromGeneratorLVB(C214,$L$4,_xll.meUtilityLVBFromKeysValues($C$6:$K$6,C214:K214))</f>
        <v>FR0013154192:0</v>
      </c>
      <c r="M214" s="92">
        <f ca="1">_xll.BDP($B214,$M$5)</f>
        <v>2.0280761196439068</v>
      </c>
      <c r="N214" s="89">
        <f ca="1">_xll.meLWOBondCleanPrice($L214,$C$4,$M214%)</f>
        <v>49.920000000000016</v>
      </c>
      <c r="O214" s="89">
        <f ca="1">_xll.meLWOBondDirtyPrice($L214,$C$4,$M214%)</f>
        <v>49.920000000000016</v>
      </c>
      <c r="P214" s="72">
        <f ca="1">_xll.meLWOBondYield($L214,$C$4,N214)</f>
        <v>2.0280761196447269E-2</v>
      </c>
      <c r="Q214" s="89">
        <f ca="1">_xll.meLWOBondModifiedDuration($L214,$C$4,$M214%)</f>
        <v>33.914919345779154</v>
      </c>
      <c r="R214" s="23">
        <f ca="1">_xll.meLWOBondDV01($L214,$C$4,$M214%)</f>
        <v>1693.0327737412961</v>
      </c>
      <c r="S214" s="21">
        <f t="shared" ca="1" si="18"/>
        <v>2.0280761196439068</v>
      </c>
      <c r="T214" s="22" t="str">
        <f ca="1">_xll.BDP($B214,T$6, "YAS_BOND_YLD="&amp;S214,"YAS_YLD_CONV=1")</f>
        <v>#N/A Requesting Data...</v>
      </c>
      <c r="U214" s="23">
        <f t="shared" ca="1" si="19"/>
        <v>49.920000000000016</v>
      </c>
      <c r="V214" s="24" t="e">
        <f t="shared" ca="1" si="15"/>
        <v>#VALUE!</v>
      </c>
      <c r="W214" s="23">
        <f ca="1">_xll.meLWOBondDV01($L214,$C$4,$S214%)</f>
        <v>1693.0327737412961</v>
      </c>
      <c r="X214" s="22" t="e">
        <f ca="1">_xll.BDP($B214,X$6, "YLD_YTM_ASK="&amp;$S214,"YAS_YLD_CONV=1")*$X$3*0.0001</f>
        <v>#VALUE!</v>
      </c>
      <c r="Y214" s="24" t="e">
        <f t="shared" ca="1" si="16"/>
        <v>#VALUE!</v>
      </c>
      <c r="Z214" s="23">
        <f ca="1">_xll.meLWOBondModifiedDuration($L214,$C$4,$S214%)</f>
        <v>33.914919345779154</v>
      </c>
      <c r="AA214" s="23">
        <f ca="1">_xll.BDP($B214,AA$6, "YLD_YTM_ASK="&amp;$G214,"YAS_YLD_CONV=1")</f>
        <v>33.914990107345382</v>
      </c>
      <c r="AB214" s="22">
        <f t="shared" ca="1" si="17"/>
        <v>7.0761566227872663E-5</v>
      </c>
      <c r="AC214" s="24">
        <f ca="1">_xll.meLWOBondDV01Numerical($L214,$C$4,$S214%, 0.5, "CENTRAL")</f>
        <v>1693.0336568449889</v>
      </c>
    </row>
    <row r="215" spans="2:29">
      <c r="B215" s="15" t="s">
        <v>1266</v>
      </c>
      <c r="C215" s="15" t="s">
        <v>1267</v>
      </c>
      <c r="D215" s="15" t="s">
        <v>1267</v>
      </c>
      <c r="E215" s="16">
        <v>40140</v>
      </c>
      <c r="F215" s="19"/>
      <c r="G215" s="18"/>
      <c r="H215" s="16"/>
      <c r="I215" s="16"/>
      <c r="J215" s="17">
        <v>0</v>
      </c>
      <c r="K215" s="16">
        <v>56364</v>
      </c>
      <c r="L215" s="20" t="str">
        <f ca="1">_xll.meLWOBondCreateFromGeneratorLVB(C215,$L$4,_xll.meUtilityLVBFromKeysValues($C$6:$K$6,C215:K215))</f>
        <v>FR0010809657:0</v>
      </c>
      <c r="M215" s="92">
        <f ca="1">_xll.BDP($B215,$M$5)</f>
        <v>2.0142502618299751</v>
      </c>
      <c r="N215" s="89">
        <f ca="1">_xll.meLWOBondCleanPrice($L215,$C$4,$M215%)</f>
        <v>49.244999999999997</v>
      </c>
      <c r="O215" s="89">
        <f ca="1">_xll.meLWOBondDirtyPrice($L215,$C$4,$M215%)</f>
        <v>49.244999999999997</v>
      </c>
      <c r="P215" s="72">
        <f ca="1">_xll.meLWOBondYield($L215,$C$4,N215)</f>
        <v>2.0142502618309466E-2</v>
      </c>
      <c r="Q215" s="89">
        <f ca="1">_xll.meLWOBondModifiedDuration($L215,$C$4,$M215%)</f>
        <v>34.819202076218147</v>
      </c>
      <c r="R215" s="23">
        <f ca="1">_xll.meLWOBondDV01($L215,$C$4,$M215%)</f>
        <v>1714.6716062433627</v>
      </c>
      <c r="S215" s="21">
        <f t="shared" ca="1" si="18"/>
        <v>2.0142502618299751</v>
      </c>
      <c r="T215" s="22" t="str">
        <f ca="1">_xll.BDP($B215,T$6, "YAS_BOND_YLD="&amp;S215,"YAS_YLD_CONV=1")</f>
        <v>#N/A Requesting Data...</v>
      </c>
      <c r="U215" s="23">
        <f t="shared" ca="1" si="19"/>
        <v>49.244999999999997</v>
      </c>
      <c r="V215" s="24" t="e">
        <f t="shared" ca="1" si="15"/>
        <v>#VALUE!</v>
      </c>
      <c r="W215" s="23">
        <f ca="1">_xll.meLWOBondDV01($L215,$C$4,$S215%)</f>
        <v>1714.6716062433627</v>
      </c>
      <c r="X215" s="22" t="e">
        <f ca="1">_xll.BDP($B215,X$6, "YLD_YTM_ASK="&amp;$S215,"YAS_YLD_CONV=1")*$X$3*0.0001</f>
        <v>#VALUE!</v>
      </c>
      <c r="Y215" s="24" t="e">
        <f t="shared" ca="1" si="16"/>
        <v>#VALUE!</v>
      </c>
      <c r="Z215" s="23">
        <f ca="1">_xll.meLWOBondModifiedDuration($L215,$C$4,$S215%)</f>
        <v>34.819202076218147</v>
      </c>
      <c r="AA215" s="23">
        <f ca="1">_xll.BDP($B215,AA$6, "YLD_YTM_ASK="&amp;$G215,"YAS_YLD_CONV=1")</f>
        <v>34.819278486646873</v>
      </c>
      <c r="AB215" s="22">
        <f t="shared" ca="1" si="17"/>
        <v>7.6410428725637303E-5</v>
      </c>
      <c r="AC215" s="24">
        <f ca="1">_xll.meLWOBondDV01Numerical($L215,$C$4,$S215%, 0.5, "CENTRAL")</f>
        <v>1714.6725469505952</v>
      </c>
    </row>
    <row r="216" spans="2:29">
      <c r="B216" s="15" t="s">
        <v>1276</v>
      </c>
      <c r="C216" s="15" t="s">
        <v>1277</v>
      </c>
      <c r="D216" s="15" t="s">
        <v>1277</v>
      </c>
      <c r="E216" s="16">
        <v>38411</v>
      </c>
      <c r="F216" s="19"/>
      <c r="G216" s="18"/>
      <c r="H216" s="16"/>
      <c r="I216" s="16"/>
      <c r="J216" s="17">
        <v>0</v>
      </c>
      <c r="K216" s="16">
        <v>56364</v>
      </c>
      <c r="L216" s="20" t="str">
        <f ca="1">_xll.meLWOBondCreateFromGeneratorLVB(C216,$L$4,_xll.meUtilityLVBFromKeysValues($C$6:$K$6,C216:K216))</f>
        <v>FR0010172635:0</v>
      </c>
      <c r="M216" s="92">
        <f ca="1">_xll.BDP($B216,$M$5)</f>
        <v>1.643035288629946</v>
      </c>
      <c r="N216" s="89">
        <f ca="1">_xll.meLWOBondCleanPrice($L216,$C$4,$M216%)</f>
        <v>56.052999999999841</v>
      </c>
      <c r="O216" s="89">
        <f ca="1">_xll.meLWOBondDirtyPrice($L216,$C$4,$M216%)</f>
        <v>56.052999999999841</v>
      </c>
      <c r="P216" s="72">
        <f ca="1">_xll.meLWOBondYield($L216,$C$4,N216)</f>
        <v>1.643035288630066E-2</v>
      </c>
      <c r="Q216" s="89">
        <f ca="1">_xll.meLWOBondModifiedDuration($L216,$C$4,$M216%)</f>
        <v>34.946366806480938</v>
      </c>
      <c r="R216" s="23">
        <f ca="1">_xll.meLWOBondDV01($L216,$C$4,$M216%)</f>
        <v>1958.8486986036703</v>
      </c>
      <c r="S216" s="21">
        <f t="shared" ca="1" si="18"/>
        <v>1.643035288629946</v>
      </c>
      <c r="T216" s="22" t="str">
        <f ca="1">_xll.BDP($B216,T$6, "YAS_BOND_YLD="&amp;S216,"YAS_YLD_CONV=1")</f>
        <v>#N/A Requesting Data...</v>
      </c>
      <c r="U216" s="23">
        <f t="shared" ca="1" si="19"/>
        <v>56.052999999999841</v>
      </c>
      <c r="V216" s="24" t="e">
        <f t="shared" ca="1" si="15"/>
        <v>#VALUE!</v>
      </c>
      <c r="W216" s="23">
        <f ca="1">_xll.meLWOBondDV01($L216,$C$4,$S216%)</f>
        <v>1958.8486986036703</v>
      </c>
      <c r="X216" s="22" t="e">
        <f ca="1">_xll.BDP($B216,X$6, "YLD_YTM_ASK="&amp;$S216,"YAS_YLD_CONV=1")*$X$3*0.0001</f>
        <v>#VALUE!</v>
      </c>
      <c r="Y216" s="24" t="e">
        <f t="shared" ca="1" si="16"/>
        <v>#VALUE!</v>
      </c>
      <c r="Z216" s="23">
        <f ca="1">_xll.meLWOBondModifiedDuration($L216,$C$4,$S216%)</f>
        <v>34.946366806480938</v>
      </c>
      <c r="AA216" s="23">
        <f ca="1">_xll.BDP($B216,AA$6, "YLD_YTM_ASK="&amp;$G216,"YAS_YLD_CONV=1")</f>
        <v>34.946444057156256</v>
      </c>
      <c r="AB216" s="22">
        <f t="shared" ca="1" si="17"/>
        <v>7.7250675317941386E-5</v>
      </c>
      <c r="AC216" s="24">
        <f ca="1">_xll.meLWOBondDV01Numerical($L216,$C$4,$S216%, 0.5, "CENTRAL")</f>
        <v>1958.8497811358964</v>
      </c>
    </row>
    <row r="217" spans="2:29">
      <c r="B217" s="15" t="s">
        <v>1456</v>
      </c>
      <c r="C217" s="15" t="s">
        <v>1457</v>
      </c>
      <c r="D217" s="15" t="s">
        <v>1457</v>
      </c>
      <c r="E217" s="16">
        <v>42479</v>
      </c>
      <c r="F217" s="19"/>
      <c r="G217" s="18"/>
      <c r="H217" s="16"/>
      <c r="I217" s="16"/>
      <c r="J217" s="17">
        <v>0</v>
      </c>
      <c r="K217" s="16">
        <v>56394</v>
      </c>
      <c r="L217" s="20" t="str">
        <f ca="1">_xll.meLWOBondCreateFromGeneratorLVB(C217,$L$4,_xll.meUtilityLVBFromKeysValues($C$6:$K$6,C217:K217))</f>
        <v>FR0013154200:0</v>
      </c>
      <c r="M217" s="92">
        <f ca="1">_xll.BDP($B217,$M$5)</f>
        <v>2.0515271920117151</v>
      </c>
      <c r="N217" s="89">
        <f ca="1">_xll.meLWOBondCleanPrice($L217,$C$4,$M217%)</f>
        <v>48.529000000000124</v>
      </c>
      <c r="O217" s="89">
        <f ca="1">_xll.meLWOBondDirtyPrice($L217,$C$4,$M217%)</f>
        <v>48.529000000000124</v>
      </c>
      <c r="P217" s="72">
        <f ca="1">_xll.meLWOBondYield($L217,$C$4,N217)</f>
        <v>2.0515271920128923E-2</v>
      </c>
      <c r="Q217" s="89">
        <f ca="1">_xll.meLWOBondModifiedDuration($L217,$C$4,$M217%)</f>
        <v>34.887022963448864</v>
      </c>
      <c r="R217" s="23">
        <f ca="1">_xll.meLWOBondDV01($L217,$C$4,$M217%)</f>
        <v>1693.0323373932142</v>
      </c>
      <c r="S217" s="21">
        <f t="shared" ca="1" si="18"/>
        <v>2.0515271920117151</v>
      </c>
      <c r="T217" s="22" t="str">
        <f ca="1">_xll.BDP($B217,T$6, "YAS_BOND_YLD="&amp;S217,"YAS_YLD_CONV=1")</f>
        <v>#N/A Requesting Data...</v>
      </c>
      <c r="U217" s="23">
        <f t="shared" ca="1" si="19"/>
        <v>48.529000000000124</v>
      </c>
      <c r="V217" s="24" t="e">
        <f t="shared" ca="1" si="15"/>
        <v>#VALUE!</v>
      </c>
      <c r="W217" s="23">
        <f ca="1">_xll.meLWOBondDV01($L217,$C$4,$S217%)</f>
        <v>1693.0323373932142</v>
      </c>
      <c r="X217" s="22" t="e">
        <f ca="1">_xll.BDP($B217,X$6, "YLD_YTM_ASK="&amp;$S217,"YAS_YLD_CONV=1")*$X$3*0.0001</f>
        <v>#VALUE!</v>
      </c>
      <c r="Y217" s="24" t="e">
        <f t="shared" ca="1" si="16"/>
        <v>#VALUE!</v>
      </c>
      <c r="Z217" s="23">
        <f ca="1">_xll.meLWOBondModifiedDuration($L217,$C$4,$S217%)</f>
        <v>34.887022963448864</v>
      </c>
      <c r="AA217" s="23">
        <f ca="1">_xll.BDP($B217,AA$6, "YLD_YTM_ASK="&amp;$G217,"YAS_YLD_CONV=1")</f>
        <v>34.887099806928099</v>
      </c>
      <c r="AB217" s="22">
        <f t="shared" ca="1" si="17"/>
        <v>7.6843479234867118E-5</v>
      </c>
      <c r="AC217" s="24">
        <f ca="1">_xll.meLWOBondDV01Numerical($L217,$C$4,$S217%, 0.5, "CENTRAL")</f>
        <v>1693.0332696769312</v>
      </c>
    </row>
    <row r="218" spans="2:29">
      <c r="B218" s="15" t="s">
        <v>1208</v>
      </c>
      <c r="C218" s="15" t="s">
        <v>1209</v>
      </c>
      <c r="D218" s="15" t="s">
        <v>1209</v>
      </c>
      <c r="E218" s="16">
        <v>38411</v>
      </c>
      <c r="F218" s="19">
        <v>38102</v>
      </c>
      <c r="G218" s="18"/>
      <c r="H218" s="16">
        <v>38467</v>
      </c>
      <c r="I218" s="16">
        <v>56364</v>
      </c>
      <c r="J218" s="17">
        <v>0.04</v>
      </c>
      <c r="K218" s="16">
        <v>56729</v>
      </c>
      <c r="L218" s="20" t="str">
        <f ca="1">_xll.meLWOBondCreateFromGeneratorLVB(C218,$L$4,_xll.meUtilityLVBFromKeysValues($C$6:$K$6,C218:K218))</f>
        <v>FR0010171975:0</v>
      </c>
      <c r="M218" s="92">
        <f ca="1">_xll.BDP($B218,$M$5)</f>
        <v>1.7920069624973203</v>
      </c>
      <c r="N218" s="89">
        <f ca="1">_xll.meLWOBondCleanPrice($L218,$C$4,$M218%)</f>
        <v>158.79500000008196</v>
      </c>
      <c r="O218" s="89">
        <f ca="1">_xll.meLWOBondDirtyPrice($L218,$C$4,$M218%)</f>
        <v>160.71280820008195</v>
      </c>
      <c r="P218" s="72">
        <f ca="1">_xll.meLWOBondYield($L218,$C$4,N218)</f>
        <v>1.7920069624973875E-2</v>
      </c>
      <c r="Q218" s="89">
        <f ca="1">_xll.meLWOBondModifiedDuration($L218,$C$4,$M218%)</f>
        <v>22.613683888167042</v>
      </c>
      <c r="R218" s="23">
        <f ca="1">_xll.meLWOBondDV01($L218,$C$4,$M218%)</f>
        <v>3634.3086414162735</v>
      </c>
      <c r="S218" s="21">
        <f t="shared" ca="1" si="18"/>
        <v>1.7920069624973203</v>
      </c>
      <c r="T218" s="22" t="str">
        <f ca="1">_xll.BDP($B218,T$6, "YAS_BOND_YLD="&amp;S218,"YAS_YLD_CONV=1")</f>
        <v>#N/A Requesting Data...</v>
      </c>
      <c r="U218" s="23">
        <f t="shared" ca="1" si="19"/>
        <v>158.79500000008196</v>
      </c>
      <c r="V218" s="24" t="e">
        <f t="shared" ca="1" si="15"/>
        <v>#VALUE!</v>
      </c>
      <c r="W218" s="23">
        <f ca="1">_xll.meLWOBondDV01($L218,$C$4,$S218%)</f>
        <v>3634.3086414162735</v>
      </c>
      <c r="X218" s="22" t="e">
        <f ca="1">_xll.BDP($B218,X$6, "YLD_YTM_ASK="&amp;$S218,"YAS_YLD_CONV=1")*$X$3*0.0001</f>
        <v>#VALUE!</v>
      </c>
      <c r="Y218" s="24" t="e">
        <f t="shared" ca="1" si="16"/>
        <v>#VALUE!</v>
      </c>
      <c r="Z218" s="23">
        <f ca="1">_xll.meLWOBondModifiedDuration($L218,$C$4,$S218%)</f>
        <v>22.613683888167042</v>
      </c>
      <c r="AA218" s="23">
        <f ca="1">_xll.BDP($B218,AA$6, "YLD_YTM_ASK="&amp;$G218,"YAS_YLD_CONV=1")</f>
        <v>22.613723394468717</v>
      </c>
      <c r="AB218" s="22">
        <f t="shared" ca="1" si="17"/>
        <v>3.9506301675373834E-5</v>
      </c>
      <c r="AC218" s="24">
        <f ca="1">_xll.meLWOBondDV01Numerical($L218,$C$4,$S218%, 0.5, "CENTRAL")</f>
        <v>3634.3102232530105</v>
      </c>
    </row>
    <row r="219" spans="2:29">
      <c r="B219" s="15" t="s">
        <v>1218</v>
      </c>
      <c r="C219" s="15" t="s">
        <v>1219</v>
      </c>
      <c r="D219" s="15" t="s">
        <v>1219</v>
      </c>
      <c r="E219" s="16">
        <v>40140</v>
      </c>
      <c r="F219" s="19"/>
      <c r="G219" s="18"/>
      <c r="H219" s="16"/>
      <c r="I219" s="16"/>
      <c r="J219" s="17">
        <v>0</v>
      </c>
      <c r="K219" s="16">
        <v>56729</v>
      </c>
      <c r="L219" s="20" t="str">
        <f ca="1">_xll.meLWOBondCreateFromGeneratorLVB(C219,$L$4,_xll.meUtilityLVBFromKeysValues($C$6:$K$6,C219:K219))</f>
        <v>FR0010809665:0</v>
      </c>
      <c r="M219" s="92">
        <f ca="1">_xll.BDP($B219,$M$5)</f>
        <v>2.0168362231350878</v>
      </c>
      <c r="N219" s="89">
        <f ca="1">_xll.meLWOBondCleanPrice($L219,$C$4,$M219%)</f>
        <v>48.227999999999994</v>
      </c>
      <c r="O219" s="89">
        <f ca="1">_xll.meLWOBondDirtyPrice($L219,$C$4,$M219%)</f>
        <v>48.227999999999994</v>
      </c>
      <c r="P219" s="72">
        <f ca="1">_xll.meLWOBondYield($L219,$C$4,N219)</f>
        <v>2.0168362231363465E-2</v>
      </c>
      <c r="Q219" s="89">
        <f ca="1">_xll.meLWOBondModifiedDuration($L219,$C$4,$M219%)</f>
        <v>35.798549824978259</v>
      </c>
      <c r="R219" s="23">
        <f ca="1">_xll.meLWOBondDV01($L219,$C$4,$M219%)</f>
        <v>1726.4924609590512</v>
      </c>
      <c r="S219" s="21">
        <f t="shared" ca="1" si="18"/>
        <v>2.0168362231350878</v>
      </c>
      <c r="T219" s="22" t="str">
        <f ca="1">_xll.BDP($B219,T$6, "YAS_BOND_YLD="&amp;S219,"YAS_YLD_CONV=1")</f>
        <v>#N/A Requesting Data...</v>
      </c>
      <c r="U219" s="23">
        <f t="shared" ca="1" si="19"/>
        <v>48.227999999999994</v>
      </c>
      <c r="V219" s="24" t="e">
        <f t="shared" ca="1" si="15"/>
        <v>#VALUE!</v>
      </c>
      <c r="W219" s="23">
        <f ca="1">_xll.meLWOBondDV01($L219,$C$4,$S219%)</f>
        <v>1726.4924609590512</v>
      </c>
      <c r="X219" s="22" t="e">
        <f ca="1">_xll.BDP($B219,X$6, "YLD_YTM_ASK="&amp;$S219,"YAS_YLD_CONV=1")*$X$3*0.0001</f>
        <v>#VALUE!</v>
      </c>
      <c r="Y219" s="24" t="e">
        <f t="shared" ca="1" si="16"/>
        <v>#VALUE!</v>
      </c>
      <c r="Z219" s="23">
        <f ca="1">_xll.meLWOBondModifiedDuration($L219,$C$4,$S219%)</f>
        <v>35.798549824978259</v>
      </c>
      <c r="AA219" s="23">
        <f ca="1">_xll.BDP($B219,AA$6, "YLD_YTM_ASK="&amp;$G219,"YAS_YLD_CONV=1")</f>
        <v>35.798632682592604</v>
      </c>
      <c r="AB219" s="22">
        <f t="shared" ca="1" si="17"/>
        <v>8.2857614344788999E-5</v>
      </c>
      <c r="AC219" s="24">
        <f ca="1">_xll.meLWOBondDV01Numerical($L219,$C$4,$S219%, 0.5, "CENTRAL")</f>
        <v>1726.4934599725734</v>
      </c>
    </row>
    <row r="220" spans="2:29">
      <c r="B220" s="15" t="s">
        <v>1250</v>
      </c>
      <c r="C220" s="15" t="s">
        <v>1251</v>
      </c>
      <c r="D220" s="15" t="s">
        <v>1251</v>
      </c>
      <c r="E220" s="16">
        <v>38411</v>
      </c>
      <c r="F220" s="19"/>
      <c r="G220" s="18"/>
      <c r="H220" s="16"/>
      <c r="I220" s="16"/>
      <c r="J220" s="17">
        <v>0</v>
      </c>
      <c r="K220" s="16">
        <v>56729</v>
      </c>
      <c r="L220" s="20" t="str">
        <f ca="1">_xll.meLWOBondCreateFromGeneratorLVB(C220,$L$4,_xll.meUtilityLVBFromKeysValues($C$6:$K$6,C220:K220))</f>
        <v>FR0010172205:0</v>
      </c>
      <c r="M220" s="92">
        <f ca="1">_xll.BDP($B220,$M$5)</f>
        <v>1.547386796699679</v>
      </c>
      <c r="N220" s="89">
        <f ca="1">_xll.meLWOBondCleanPrice($L220,$C$4,$M220%)</f>
        <v>57.075999999999816</v>
      </c>
      <c r="O220" s="89">
        <f ca="1">_xll.meLWOBondDirtyPrice($L220,$C$4,$M220%)</f>
        <v>57.075999999999816</v>
      </c>
      <c r="P220" s="72">
        <f ca="1">_xll.meLWOBondYield($L220,$C$4,N220)</f>
        <v>1.5473867966997601E-2</v>
      </c>
      <c r="Q220" s="89">
        <f ca="1">_xll.meLWOBondModifiedDuration($L220,$C$4,$M220%)</f>
        <v>35.964045060382006</v>
      </c>
      <c r="R220" s="23">
        <f ca="1">_xll.meLWOBondDV01($L220,$C$4,$M220%)</f>
        <v>2052.6838358663567</v>
      </c>
      <c r="S220" s="21">
        <f t="shared" ca="1" si="18"/>
        <v>1.547386796699679</v>
      </c>
      <c r="T220" s="22" t="str">
        <f ca="1">_xll.BDP($B220,T$6, "YAS_BOND_YLD="&amp;S220,"YAS_YLD_CONV=1")</f>
        <v>#N/A Requesting Data...</v>
      </c>
      <c r="U220" s="23">
        <f t="shared" ca="1" si="19"/>
        <v>57.075999999999816</v>
      </c>
      <c r="V220" s="24" t="e">
        <f t="shared" ca="1" si="15"/>
        <v>#VALUE!</v>
      </c>
      <c r="W220" s="23">
        <f ca="1">_xll.meLWOBondDV01($L220,$C$4,$S220%)</f>
        <v>2052.6838358663567</v>
      </c>
      <c r="X220" s="22" t="e">
        <f ca="1">_xll.BDP($B220,X$6, "YLD_YTM_ASK="&amp;$S220,"YAS_YLD_CONV=1")*$X$3*0.0001</f>
        <v>#VALUE!</v>
      </c>
      <c r="Y220" s="24" t="e">
        <f t="shared" ca="1" si="16"/>
        <v>#VALUE!</v>
      </c>
      <c r="Z220" s="23">
        <f ca="1">_xll.meLWOBondModifiedDuration($L220,$C$4,$S220%)</f>
        <v>35.964045060382006</v>
      </c>
      <c r="AA220" s="23">
        <f ca="1">_xll.BDP($B220,AA$6, "YLD_YTM_ASK="&amp;$G220,"YAS_YLD_CONV=1")</f>
        <v>35.964129072458995</v>
      </c>
      <c r="AB220" s="22">
        <f t="shared" ca="1" si="17"/>
        <v>8.4012076989381512E-5</v>
      </c>
      <c r="AC220" s="24">
        <f ca="1">_xll.meLWOBondDV01Numerical($L220,$C$4,$S220%, 0.5, "CENTRAL")</f>
        <v>2052.6850346338674</v>
      </c>
    </row>
    <row r="221" spans="2:29">
      <c r="B221" s="15" t="s">
        <v>1304</v>
      </c>
      <c r="C221" s="15" t="s">
        <v>1305</v>
      </c>
      <c r="D221" s="15" t="s">
        <v>1305</v>
      </c>
      <c r="E221" s="16">
        <v>38411</v>
      </c>
      <c r="F221" s="19"/>
      <c r="G221" s="18"/>
      <c r="H221" s="16"/>
      <c r="I221" s="16"/>
      <c r="J221" s="17">
        <v>0</v>
      </c>
      <c r="K221" s="16">
        <v>56729</v>
      </c>
      <c r="L221" s="20" t="str">
        <f ca="1">_xll.meLWOBondCreateFromGeneratorLVB(C221,$L$4,_xll.meUtilityLVBFromKeysValues($C$6:$K$6,C221:K221))</f>
        <v>FR0010172643:0</v>
      </c>
      <c r="M221" s="92">
        <f ca="1">_xll.BDP($B221,$M$5)</f>
        <v>1.6434853370484115</v>
      </c>
      <c r="N221" s="89">
        <f ca="1">_xll.meLWOBondCleanPrice($L221,$C$4,$M221%)</f>
        <v>55.137999999999806</v>
      </c>
      <c r="O221" s="89">
        <f ca="1">_xll.meLWOBondDirtyPrice($L221,$C$4,$M221%)</f>
        <v>55.137999999999806</v>
      </c>
      <c r="P221" s="72">
        <f ca="1">_xll.meLWOBondYield($L221,$C$4,N221)</f>
        <v>1.6434853370485569E-2</v>
      </c>
      <c r="Q221" s="89">
        <f ca="1">_xll.meLWOBondModifiedDuration($L221,$C$4,$M221%)</f>
        <v>35.930042957602097</v>
      </c>
      <c r="R221" s="23">
        <f ca="1">_xll.meLWOBondDV01($L221,$C$4,$M221%)</f>
        <v>1981.1107085962576</v>
      </c>
      <c r="S221" s="21">
        <f t="shared" ca="1" si="18"/>
        <v>1.6434853370484115</v>
      </c>
      <c r="T221" s="22" t="str">
        <f ca="1">_xll.BDP($B221,T$6, "YAS_BOND_YLD="&amp;S221,"YAS_YLD_CONV=1")</f>
        <v>#N/A Requesting Data...</v>
      </c>
      <c r="U221" s="23">
        <f t="shared" ca="1" si="19"/>
        <v>55.137999999999806</v>
      </c>
      <c r="V221" s="24" t="e">
        <f t="shared" ca="1" si="15"/>
        <v>#VALUE!</v>
      </c>
      <c r="W221" s="23">
        <f ca="1">_xll.meLWOBondDV01($L221,$C$4,$S221%)</f>
        <v>1981.1107085962576</v>
      </c>
      <c r="X221" s="22" t="e">
        <f ca="1">_xll.BDP($B221,X$6, "YLD_YTM_ASK="&amp;$S221,"YAS_YLD_CONV=1")*$X$3*0.0001</f>
        <v>#VALUE!</v>
      </c>
      <c r="Y221" s="24" t="e">
        <f t="shared" ca="1" si="16"/>
        <v>#VALUE!</v>
      </c>
      <c r="Z221" s="23">
        <f ca="1">_xll.meLWOBondModifiedDuration($L221,$C$4,$S221%)</f>
        <v>35.930042957602097</v>
      </c>
      <c r="AA221" s="23">
        <f ca="1">_xll.BDP($B221,AA$6, "YLD_YTM_ASK="&amp;$G221,"YAS_YLD_CONV=1")</f>
        <v>35.930126731617527</v>
      </c>
      <c r="AB221" s="22">
        <f t="shared" ca="1" si="17"/>
        <v>8.377401542958296E-5</v>
      </c>
      <c r="AC221" s="24">
        <f ca="1">_xll.meLWOBondDV01Numerical($L221,$C$4,$S221%, 0.5, "CENTRAL")</f>
        <v>1981.1118633783308</v>
      </c>
    </row>
    <row r="222" spans="2:29">
      <c r="B222" s="15" t="s">
        <v>1338</v>
      </c>
      <c r="C222" s="15" t="s">
        <v>1339</v>
      </c>
      <c r="D222" s="15" t="s">
        <v>1339</v>
      </c>
      <c r="E222" s="16">
        <v>42479</v>
      </c>
      <c r="F222" s="19"/>
      <c r="G222" s="18"/>
      <c r="H222" s="16"/>
      <c r="I222" s="16"/>
      <c r="J222" s="17">
        <v>0</v>
      </c>
      <c r="K222" s="16">
        <v>56759</v>
      </c>
      <c r="L222" s="20" t="str">
        <f ca="1">_xll.meLWOBondCreateFromGeneratorLVB(C222,$L$4,_xll.meUtilityLVBFromKeysValues($C$6:$K$6,C222:K222))</f>
        <v>FR0013154218:0</v>
      </c>
      <c r="M222" s="92">
        <f ca="1">_xll.BDP($B222,$M$5)</f>
        <v>2.0739832012723225</v>
      </c>
      <c r="N222" s="89">
        <f ca="1">_xll.meLWOBondCleanPrice($L222,$C$4,$M222%)</f>
        <v>47.172000000000025</v>
      </c>
      <c r="O222" s="89">
        <f ca="1">_xll.meLWOBondDirtyPrice($L222,$C$4,$M222%)</f>
        <v>47.172000000000025</v>
      </c>
      <c r="P222" s="72">
        <f ca="1">_xll.meLWOBondYield($L222,$C$4,N222)</f>
        <v>2.07398320127401E-2</v>
      </c>
      <c r="Q222" s="89">
        <f ca="1">_xll.meLWOBondModifiedDuration($L222,$C$4,$M222%)</f>
        <v>35.859029478503935</v>
      </c>
      <c r="R222" s="23">
        <f ca="1">_xll.meLWOBondDV01($L222,$C$4,$M222%)</f>
        <v>1691.5421385599886</v>
      </c>
      <c r="S222" s="21">
        <f t="shared" ca="1" si="18"/>
        <v>2.0739832012723225</v>
      </c>
      <c r="T222" s="22" t="str">
        <f ca="1">_xll.BDP($B222,T$6, "YAS_BOND_YLD="&amp;S222,"YAS_YLD_CONV=1")</f>
        <v>#N/A Requesting Data...</v>
      </c>
      <c r="U222" s="23">
        <f t="shared" ca="1" si="19"/>
        <v>47.172000000000025</v>
      </c>
      <c r="V222" s="24" t="e">
        <f t="shared" ca="1" si="15"/>
        <v>#VALUE!</v>
      </c>
      <c r="W222" s="23">
        <f ca="1">_xll.meLWOBondDV01($L222,$C$4,$S222%)</f>
        <v>1691.5421385599886</v>
      </c>
      <c r="X222" s="22" t="e">
        <f ca="1">_xll.BDP($B222,X$6, "YLD_YTM_ASK="&amp;$S222,"YAS_YLD_CONV=1")*$X$3*0.0001</f>
        <v>#VALUE!</v>
      </c>
      <c r="Y222" s="24" t="e">
        <f t="shared" ca="1" si="16"/>
        <v>#VALUE!</v>
      </c>
      <c r="Z222" s="23">
        <f ca="1">_xll.meLWOBondModifiedDuration($L222,$C$4,$S222%)</f>
        <v>35.859029478503935</v>
      </c>
      <c r="AA222" s="23">
        <f ca="1">_xll.BDP($B222,AA$6, "YLD_YTM_ASK="&amp;$G222,"YAS_YLD_CONV=1")</f>
        <v>35.859112742084463</v>
      </c>
      <c r="AB222" s="22">
        <f t="shared" ca="1" si="17"/>
        <v>8.3263580528125658E-5</v>
      </c>
      <c r="AC222" s="24">
        <f ca="1">_xll.meLWOBondDV01Numerical($L222,$C$4,$S222%, 0.5, "CENTRAL")</f>
        <v>1691.5431204867562</v>
      </c>
    </row>
    <row r="223" spans="2:29">
      <c r="B223" s="15" t="s">
        <v>1526</v>
      </c>
      <c r="C223" s="15" t="s">
        <v>1527</v>
      </c>
      <c r="D223" s="15" t="s">
        <v>1527</v>
      </c>
      <c r="E223" s="16">
        <v>40254</v>
      </c>
      <c r="F223" s="19"/>
      <c r="G223" s="18"/>
      <c r="H223" s="16"/>
      <c r="I223" s="16"/>
      <c r="J223" s="17">
        <v>0</v>
      </c>
      <c r="K223" s="16">
        <v>57095</v>
      </c>
      <c r="L223" s="20" t="str">
        <f ca="1">_xll.meLWOBondCreateFromGeneratorLVB(C223,$L$4,_xll.meUtilityLVBFromKeysValues($C$6:$K$6,C223:K223))</f>
        <v>FR0010871038:0</v>
      </c>
      <c r="M223" s="92">
        <f ca="1">_xll.BDP($B223,$M$5)</f>
        <v>2.0484004270011624</v>
      </c>
      <c r="N223" s="89">
        <f ca="1">_xll.meLWOBondCleanPrice($L223,$C$4,$M223%)</f>
        <v>46.729000000000021</v>
      </c>
      <c r="O223" s="89">
        <f ca="1">_xll.meLWOBondDirtyPrice($L223,$C$4,$M223%)</f>
        <v>46.729000000000021</v>
      </c>
      <c r="P223" s="72">
        <f ca="1">_xll.meLWOBondYield($L223,$C$4,N223)</f>
        <v>2.0484004270030391E-2</v>
      </c>
      <c r="Q223" s="89">
        <f ca="1">_xll.meLWOBondModifiedDuration($L223,$C$4,$M223%)</f>
        <v>36.767404278958061</v>
      </c>
      <c r="R223" s="23">
        <f ca="1">_xll.meLWOBondDV01($L223,$C$4,$M223%)</f>
        <v>1718.1040345514321</v>
      </c>
      <c r="S223" s="21">
        <f t="shared" ca="1" si="18"/>
        <v>2.0484004270011624</v>
      </c>
      <c r="T223" s="22" t="str">
        <f ca="1">_xll.BDP($B223,T$6, "YAS_BOND_YLD="&amp;S223,"YAS_YLD_CONV=1")</f>
        <v>#N/A Requesting Data...</v>
      </c>
      <c r="U223" s="23">
        <f t="shared" ca="1" si="19"/>
        <v>46.729000000000021</v>
      </c>
      <c r="V223" s="24" t="e">
        <f t="shared" ca="1" si="15"/>
        <v>#VALUE!</v>
      </c>
      <c r="W223" s="23">
        <f ca="1">_xll.meLWOBondDV01($L223,$C$4,$S223%)</f>
        <v>1718.1040345514321</v>
      </c>
      <c r="X223" s="22" t="e">
        <f ca="1">_xll.BDP($B223,X$6, "YLD_YTM_ASK="&amp;$S223,"YAS_YLD_CONV=1")*$X$3*0.0001</f>
        <v>#VALUE!</v>
      </c>
      <c r="Y223" s="24" t="e">
        <f t="shared" ca="1" si="16"/>
        <v>#VALUE!</v>
      </c>
      <c r="Z223" s="23">
        <f ca="1">_xll.meLWOBondModifiedDuration($L223,$C$4,$S223%)</f>
        <v>36.767404278958061</v>
      </c>
      <c r="AA223" s="23">
        <f ca="1">_xll.BDP($B223,AA$6, "YLD_YTM_ASK="&amp;$G223,"YAS_YLD_CONV=1")</f>
        <v>36.767493859784736</v>
      </c>
      <c r="AB223" s="22">
        <f t="shared" ca="1" si="17"/>
        <v>8.9580826674762193E-5</v>
      </c>
      <c r="AC223" s="24">
        <f ca="1">_xll.meLWOBondDV01Numerical($L223,$C$4,$S223%, 0.5, "CENTRAL")</f>
        <v>1718.1050810562936</v>
      </c>
    </row>
    <row r="224" spans="2:29">
      <c r="B224" s="15" t="s">
        <v>1394</v>
      </c>
      <c r="C224" s="15" t="s">
        <v>1395</v>
      </c>
      <c r="D224" s="15" t="s">
        <v>1395</v>
      </c>
      <c r="E224" s="16">
        <v>42479</v>
      </c>
      <c r="F224" s="19"/>
      <c r="G224" s="18"/>
      <c r="H224" s="16"/>
      <c r="I224" s="16"/>
      <c r="J224" s="17">
        <v>0</v>
      </c>
      <c r="K224" s="16">
        <v>57125</v>
      </c>
      <c r="L224" s="20" t="str">
        <f ca="1">_xll.meLWOBondCreateFromGeneratorLVB(C224,$L$4,_xll.meUtilityLVBFromKeysValues($C$6:$K$6,C224:K224))</f>
        <v>FR0013154226:0</v>
      </c>
      <c r="M224" s="92">
        <f ca="1">_xll.BDP($B224,$M$5)</f>
        <v>2.0834888991690725</v>
      </c>
      <c r="N224" s="89">
        <f ca="1">_xll.meLWOBondCleanPrice($L224,$C$4,$M224%)</f>
        <v>46.052000000000106</v>
      </c>
      <c r="O224" s="89">
        <f ca="1">_xll.meLWOBondDirtyPrice($L224,$C$4,$M224%)</f>
        <v>46.052000000000106</v>
      </c>
      <c r="P224" s="72">
        <f ca="1">_xll.meLWOBondYield($L224,$C$4,N224)</f>
        <v>2.083488899171303E-2</v>
      </c>
      <c r="Q224" s="89">
        <f ca="1">_xll.meLWOBondModifiedDuration($L224,$C$4,$M224%)</f>
        <v>36.83528074081476</v>
      </c>
      <c r="R224" s="23">
        <f ca="1">_xll.meLWOBondDV01($L224,$C$4,$M224%)</f>
        <v>1696.3383486760051</v>
      </c>
      <c r="S224" s="21">
        <f t="shared" ca="1" si="18"/>
        <v>2.0834888991690725</v>
      </c>
      <c r="T224" s="22" t="str">
        <f ca="1">_xll.BDP($B224,T$6, "YAS_BOND_YLD="&amp;S224,"YAS_YLD_CONV=1")</f>
        <v>#N/A Requesting Data...</v>
      </c>
      <c r="U224" s="23">
        <f t="shared" ca="1" si="19"/>
        <v>46.052000000000106</v>
      </c>
      <c r="V224" s="24" t="e">
        <f t="shared" ca="1" si="15"/>
        <v>#VALUE!</v>
      </c>
      <c r="W224" s="23">
        <f ca="1">_xll.meLWOBondDV01($L224,$C$4,$S224%)</f>
        <v>1696.3383486760051</v>
      </c>
      <c r="X224" s="22" t="e">
        <f ca="1">_xll.BDP($B224,X$6, "YLD_YTM_ASK="&amp;$S224,"YAS_YLD_CONV=1")*$X$3*0.0001</f>
        <v>#VALUE!</v>
      </c>
      <c r="Y224" s="24" t="e">
        <f t="shared" ca="1" si="16"/>
        <v>#VALUE!</v>
      </c>
      <c r="Z224" s="23">
        <f ca="1">_xll.meLWOBondModifiedDuration($L224,$C$4,$S224%)</f>
        <v>36.83528074081476</v>
      </c>
      <c r="AA224" s="23">
        <f ca="1">_xll.BDP($B224,AA$6, "YLD_YTM_ASK="&amp;$G224,"YAS_YLD_CONV=1")</f>
        <v>36.835370803608448</v>
      </c>
      <c r="AB224" s="22">
        <f t="shared" ca="1" si="17"/>
        <v>9.0062793688616694E-5</v>
      </c>
      <c r="AC224" s="24">
        <f ca="1">_xll.meLWOBondDV01Numerical($L224,$C$4,$S224%, 0.5, "CENTRAL")</f>
        <v>1696.3393855681375</v>
      </c>
    </row>
    <row r="225" spans="2:29">
      <c r="B225" s="15" t="s">
        <v>1336</v>
      </c>
      <c r="C225" s="15" t="s">
        <v>1337</v>
      </c>
      <c r="D225" s="15" t="s">
        <v>1337</v>
      </c>
      <c r="E225" s="16">
        <v>40254</v>
      </c>
      <c r="F225" s="19"/>
      <c r="G225" s="18"/>
      <c r="H225" s="16"/>
      <c r="I225" s="16"/>
      <c r="J225" s="17">
        <v>0</v>
      </c>
      <c r="K225" s="16">
        <v>57460</v>
      </c>
      <c r="L225" s="20" t="str">
        <f ca="1">_xll.meLWOBondCreateFromGeneratorLVB(C225,$L$4,_xll.meUtilityLVBFromKeysValues($C$6:$K$6,C225:K225))</f>
        <v>FR0010871046:0</v>
      </c>
      <c r="M225" s="92">
        <f ca="1">_xll.BDP($B225,$M$5)</f>
        <v>2.0529179506214357</v>
      </c>
      <c r="N225" s="89">
        <f ca="1">_xll.meLWOBondCleanPrice($L225,$C$4,$M225%)</f>
        <v>45.713000000000143</v>
      </c>
      <c r="O225" s="89">
        <f ca="1">_xll.meLWOBondDirtyPrice($L225,$C$4,$M225%)</f>
        <v>45.713000000000143</v>
      </c>
      <c r="P225" s="72">
        <f ca="1">_xll.meLWOBondYield($L225,$C$4,N225)</f>
        <v>2.0529179506238449E-2</v>
      </c>
      <c r="Q225" s="89">
        <f ca="1">_xll.meLWOBondModifiedDuration($L225,$C$4,$M225%)</f>
        <v>37.745660505115346</v>
      </c>
      <c r="R225" s="23">
        <f ca="1">_xll.meLWOBondDV01($L225,$C$4,$M225%)</f>
        <v>1725.4673786703431</v>
      </c>
      <c r="S225" s="21">
        <f t="shared" ca="1" si="18"/>
        <v>2.0529179506214357</v>
      </c>
      <c r="T225" s="22" t="str">
        <f ca="1">_xll.BDP($B225,T$6, "YAS_BOND_YLD="&amp;S225,"YAS_YLD_CONV=1")</f>
        <v>#N/A Requesting Data...</v>
      </c>
      <c r="U225" s="23">
        <f t="shared" ca="1" si="19"/>
        <v>45.713000000000143</v>
      </c>
      <c r="V225" s="24" t="e">
        <f t="shared" ca="1" si="15"/>
        <v>#VALUE!</v>
      </c>
      <c r="W225" s="23">
        <f ca="1">_xll.meLWOBondDV01($L225,$C$4,$S225%)</f>
        <v>1725.4673786703431</v>
      </c>
      <c r="X225" s="22" t="e">
        <f ca="1">_xll.BDP($B225,X$6, "YLD_YTM_ASK="&amp;$S225,"YAS_YLD_CONV=1")*$X$3*0.0001</f>
        <v>#VALUE!</v>
      </c>
      <c r="Y225" s="24" t="e">
        <f t="shared" ca="1" si="16"/>
        <v>#VALUE!</v>
      </c>
      <c r="Z225" s="23">
        <f ca="1">_xll.meLWOBondModifiedDuration($L225,$C$4,$S225%)</f>
        <v>37.745660505115346</v>
      </c>
      <c r="AA225" s="23">
        <f ca="1">_xll.BDP($B225,AA$6, "YLD_YTM_ASK="&amp;$G225,"YAS_YLD_CONV=1")</f>
        <v>37.745735799685427</v>
      </c>
      <c r="AB225" s="22">
        <f t="shared" ca="1" si="17"/>
        <v>7.5294570081041456E-5</v>
      </c>
      <c r="AC225" s="24">
        <f ca="1">_xll.meLWOBondDV01Numerical($L225,$C$4,$S225%, 0.5, "CENTRAL")</f>
        <v>1725.4684841301328</v>
      </c>
    </row>
    <row r="226" spans="2:29">
      <c r="B226" s="15" t="s">
        <v>1464</v>
      </c>
      <c r="C226" s="15" t="s">
        <v>1465</v>
      </c>
      <c r="D226" s="15" t="s">
        <v>1465</v>
      </c>
      <c r="E226" s="16">
        <v>42479</v>
      </c>
      <c r="F226" s="19"/>
      <c r="G226" s="18"/>
      <c r="H226" s="16"/>
      <c r="I226" s="16"/>
      <c r="J226" s="17">
        <v>0</v>
      </c>
      <c r="K226" s="16">
        <v>57490</v>
      </c>
      <c r="L226" s="20" t="str">
        <f ca="1">_xll.meLWOBondCreateFromGeneratorLVB(C226,$L$4,_xll.meUtilityLVBFromKeysValues($C$6:$K$6,C226:K226))</f>
        <v>FR0013154234:0</v>
      </c>
      <c r="M226" s="92">
        <f ca="1">_xll.BDP($B226,$M$5)</f>
        <v>2.0923024608371588</v>
      </c>
      <c r="N226" s="89">
        <f ca="1">_xll.meLWOBondCleanPrice($L226,$C$4,$M226%)</f>
        <v>44.96199999999989</v>
      </c>
      <c r="O226" s="89">
        <f ca="1">_xll.meLWOBondDirtyPrice($L226,$C$4,$M226%)</f>
        <v>44.96199999999989</v>
      </c>
      <c r="P226" s="72">
        <f ca="1">_xll.meLWOBondYield($L226,$C$4,N226)</f>
        <v>2.0923024608400426E-2</v>
      </c>
      <c r="Q226" s="89">
        <f ca="1">_xll.meLWOBondModifiedDuration($L226,$C$4,$M226%)</f>
        <v>37.811606551664845</v>
      </c>
      <c r="R226" s="23">
        <f ca="1">_xll.meLWOBondDV01($L226,$C$4,$M226%)</f>
        <v>1700.0854537759506</v>
      </c>
      <c r="S226" s="21">
        <f t="shared" ca="1" si="18"/>
        <v>2.0923024608371588</v>
      </c>
      <c r="T226" s="22" t="str">
        <f ca="1">_xll.BDP($B226,T$6, "YAS_BOND_YLD="&amp;S226,"YAS_YLD_CONV=1")</f>
        <v>#N/A Requesting Data...</v>
      </c>
      <c r="U226" s="23">
        <f t="shared" ca="1" si="19"/>
        <v>44.96199999999989</v>
      </c>
      <c r="V226" s="24" t="e">
        <f t="shared" ca="1" si="15"/>
        <v>#VALUE!</v>
      </c>
      <c r="W226" s="23">
        <f ca="1">_xll.meLWOBondDV01($L226,$C$4,$S226%)</f>
        <v>1700.0854537759506</v>
      </c>
      <c r="X226" s="22" t="e">
        <f ca="1">_xll.BDP($B226,X$6, "YLD_YTM_ASK="&amp;$S226,"YAS_YLD_CONV=1")*$X$3*0.0001</f>
        <v>#VALUE!</v>
      </c>
      <c r="Y226" s="24" t="e">
        <f t="shared" ca="1" si="16"/>
        <v>#VALUE!</v>
      </c>
      <c r="Z226" s="23">
        <f ca="1">_xll.meLWOBondModifiedDuration($L226,$C$4,$S226%)</f>
        <v>37.811606551664845</v>
      </c>
      <c r="AA226" s="23">
        <f ca="1">_xll.BDP($B226,AA$6, "YLD_YTM_ASK="&amp;$G226,"YAS_YLD_CONV=1")</f>
        <v>37.81170377461558</v>
      </c>
      <c r="AB226" s="22">
        <f t="shared" ca="1" si="17"/>
        <v>9.7222950735442737E-5</v>
      </c>
      <c r="AC226" s="24">
        <f ca="1">_xll.meLWOBondDV01Numerical($L226,$C$4,$S226%, 0.5, "CENTRAL")</f>
        <v>1700.0865466096827</v>
      </c>
    </row>
    <row r="227" spans="2:29">
      <c r="B227" s="15" t="s">
        <v>1518</v>
      </c>
      <c r="C227" s="15" t="s">
        <v>1519</v>
      </c>
      <c r="D227" s="15" t="s">
        <v>1519</v>
      </c>
      <c r="E227" s="16">
        <v>40254</v>
      </c>
      <c r="F227" s="19"/>
      <c r="G227" s="18"/>
      <c r="H227" s="16"/>
      <c r="I227" s="16"/>
      <c r="J227" s="17">
        <v>0</v>
      </c>
      <c r="K227" s="16">
        <v>57825</v>
      </c>
      <c r="L227" s="20" t="str">
        <f ca="1">_xll.meLWOBondCreateFromGeneratorLVB(C227,$L$4,_xll.meUtilityLVBFromKeysValues($C$6:$K$6,C227:K227))</f>
        <v>FR0010871053:0</v>
      </c>
      <c r="M227" s="92">
        <f ca="1">_xll.BDP($B227,$M$5)</f>
        <v>2.0655415658756393</v>
      </c>
      <c r="N227" s="89">
        <f ca="1">_xll.meLWOBondCleanPrice($L227,$C$4,$M227%)</f>
        <v>44.575000000000131</v>
      </c>
      <c r="O227" s="89">
        <f ca="1">_xll.meLWOBondDirtyPrice($L227,$C$4,$M227%)</f>
        <v>44.575000000000131</v>
      </c>
      <c r="P227" s="72">
        <f ca="1">_xll.meLWOBondYield($L227,$C$4,N227)</f>
        <v>2.0655415658787538E-2</v>
      </c>
      <c r="Q227" s="89">
        <f ca="1">_xll.meLWOBondModifiedDuration($L227,$C$4,$M227%)</f>
        <v>38.720754663020081</v>
      </c>
      <c r="R227" s="23">
        <f ca="1">_xll.meLWOBondDV01($L227,$C$4,$M227%)</f>
        <v>1725.977639104125</v>
      </c>
      <c r="S227" s="21">
        <f t="shared" ca="1" si="18"/>
        <v>2.0655415658756393</v>
      </c>
      <c r="T227" s="22" t="str">
        <f ca="1">_xll.BDP($B227,T$6, "YAS_BOND_YLD="&amp;S227,"YAS_YLD_CONV=1")</f>
        <v>#N/A Requesting Data...</v>
      </c>
      <c r="U227" s="23">
        <f t="shared" ca="1" si="19"/>
        <v>44.575000000000131</v>
      </c>
      <c r="V227" s="24" t="e">
        <f t="shared" ca="1" si="15"/>
        <v>#VALUE!</v>
      </c>
      <c r="W227" s="23">
        <f ca="1">_xll.meLWOBondDV01($L227,$C$4,$S227%)</f>
        <v>1725.977639104125</v>
      </c>
      <c r="X227" s="22" t="e">
        <f ca="1">_xll.BDP($B227,X$6, "YLD_YTM_ASK="&amp;$S227,"YAS_YLD_CONV=1")*$X$3*0.0001</f>
        <v>#VALUE!</v>
      </c>
      <c r="Y227" s="24" t="e">
        <f t="shared" ca="1" si="16"/>
        <v>#VALUE!</v>
      </c>
      <c r="Z227" s="23">
        <f ca="1">_xll.meLWOBondModifiedDuration($L227,$C$4,$S227%)</f>
        <v>38.720754663020081</v>
      </c>
      <c r="AA227" s="23">
        <f ca="1">_xll.BDP($B227,AA$6, "YLD_YTM_ASK="&amp;$G227,"YAS_YLD_CONV=1")</f>
        <v>38.720858888289328</v>
      </c>
      <c r="AB227" s="22">
        <f t="shared" ca="1" si="17"/>
        <v>1.0422526924713793E-4</v>
      </c>
      <c r="AC227" s="24">
        <f ca="1">_xll.meLWOBondDV01Numerical($L227,$C$4,$S227%, 0.5, "CENTRAL")</f>
        <v>1725.9788005635103</v>
      </c>
    </row>
    <row r="228" spans="2:29">
      <c r="B228" s="15" t="s">
        <v>1500</v>
      </c>
      <c r="C228" s="15" t="s">
        <v>1501</v>
      </c>
      <c r="D228" s="15" t="s">
        <v>1501</v>
      </c>
      <c r="E228" s="16">
        <v>42479</v>
      </c>
      <c r="F228" s="19"/>
      <c r="G228" s="18"/>
      <c r="H228" s="16"/>
      <c r="I228" s="16"/>
      <c r="J228" s="17">
        <v>0</v>
      </c>
      <c r="K228" s="16">
        <v>57855</v>
      </c>
      <c r="L228" s="20" t="str">
        <f ca="1">_xll.meLWOBondCreateFromGeneratorLVB(C228,$L$4,_xll.meUtilityLVBFromKeysValues($C$6:$K$6,C228:K228))</f>
        <v>FR0013154259:0</v>
      </c>
      <c r="M228" s="92">
        <f ca="1">_xll.BDP($B228,$M$5)</f>
        <v>2.1013646856184787</v>
      </c>
      <c r="N228" s="89">
        <f ca="1">_xll.meLWOBondCleanPrice($L228,$C$4,$M228%)</f>
        <v>43.88600000000018</v>
      </c>
      <c r="O228" s="89">
        <f ca="1">_xll.meLWOBondDirtyPrice($L228,$C$4,$M228%)</f>
        <v>43.88600000000018</v>
      </c>
      <c r="P228" s="72">
        <f ca="1">_xll.meLWOBondYield($L228,$C$4,N228)</f>
        <v>2.1013646856220841E-2</v>
      </c>
      <c r="Q228" s="89">
        <f ca="1">_xll.meLWOBondModifiedDuration($L228,$C$4,$M228%)</f>
        <v>38.787669340139253</v>
      </c>
      <c r="R228" s="23">
        <f ca="1">_xll.meLWOBondDV01($L228,$C$4,$M228%)</f>
        <v>1702.2356566613582</v>
      </c>
      <c r="S228" s="21">
        <f t="shared" ca="1" si="18"/>
        <v>2.1013646856184787</v>
      </c>
      <c r="T228" s="22" t="str">
        <f ca="1">_xll.BDP($B228,T$6, "YAS_BOND_YLD="&amp;S228,"YAS_YLD_CONV=1")</f>
        <v>#N/A Requesting Data...</v>
      </c>
      <c r="U228" s="23">
        <f t="shared" ca="1" si="19"/>
        <v>43.88600000000018</v>
      </c>
      <c r="V228" s="24" t="e">
        <f t="shared" ca="1" si="15"/>
        <v>#VALUE!</v>
      </c>
      <c r="W228" s="23">
        <f ca="1">_xll.meLWOBondDV01($L228,$C$4,$S228%)</f>
        <v>1702.2356566613582</v>
      </c>
      <c r="X228" s="22" t="e">
        <f ca="1">_xll.BDP($B228,X$6, "YLD_YTM_ASK="&amp;$S228,"YAS_YLD_CONV=1")*$X$3*0.0001</f>
        <v>#VALUE!</v>
      </c>
      <c r="Y228" s="24" t="e">
        <f t="shared" ca="1" si="16"/>
        <v>#VALUE!</v>
      </c>
      <c r="Z228" s="23">
        <f ca="1">_xll.meLWOBondModifiedDuration($L228,$C$4,$S228%)</f>
        <v>38.787669340139253</v>
      </c>
      <c r="AA228" s="23">
        <f ca="1">_xll.BDP($B228,AA$6, "YLD_YTM_ASK="&amp;$G228,"YAS_YLD_CONV=1")</f>
        <v>38.787774090850164</v>
      </c>
      <c r="AB228" s="22">
        <f t="shared" ca="1" si="17"/>
        <v>1.0475071091065047E-4</v>
      </c>
      <c r="AC228" s="24">
        <f ca="1">_xll.meLWOBondDV01Numerical($L228,$C$4,$S228%, 0.5, "CENTRAL")</f>
        <v>1702.2368059329551</v>
      </c>
    </row>
    <row r="229" spans="2:29">
      <c r="B229" s="15" t="s">
        <v>1410</v>
      </c>
      <c r="C229" s="15" t="s">
        <v>1411</v>
      </c>
      <c r="D229" s="15" t="s">
        <v>1411</v>
      </c>
      <c r="E229" s="16">
        <v>40254</v>
      </c>
      <c r="F229" s="19"/>
      <c r="G229" s="18"/>
      <c r="H229" s="16"/>
      <c r="I229" s="16"/>
      <c r="J229" s="17">
        <v>0</v>
      </c>
      <c r="K229" s="16">
        <v>58190</v>
      </c>
      <c r="L229" s="20" t="str">
        <f ca="1">_xll.meLWOBondCreateFromGeneratorLVB(C229,$L$4,_xll.meUtilityLVBFromKeysValues($C$6:$K$6,C229:K229))</f>
        <v>FR0010871061:0</v>
      </c>
      <c r="M229" s="92">
        <f ca="1">_xll.BDP($B229,$M$5)</f>
        <v>2.0778524844298429</v>
      </c>
      <c r="N229" s="89">
        <f ca="1">_xll.meLWOBondCleanPrice($L229,$C$4,$M229%)</f>
        <v>43.459999999999965</v>
      </c>
      <c r="O229" s="89">
        <f ca="1">_xll.meLWOBondDirtyPrice($L229,$C$4,$M229%)</f>
        <v>43.459999999999965</v>
      </c>
      <c r="P229" s="72">
        <f ca="1">_xll.meLWOBondYield($L229,$C$4,N229)</f>
        <v>2.0778524844337516E-2</v>
      </c>
      <c r="Q229" s="89">
        <f ca="1">_xll.meLWOBondModifiedDuration($L229,$C$4,$M229%)</f>
        <v>39.695729248796809</v>
      </c>
      <c r="R229" s="23">
        <f ca="1">_xll.meLWOBondDV01($L229,$C$4,$M229%)</f>
        <v>1725.176393152708</v>
      </c>
      <c r="S229" s="21">
        <f t="shared" ca="1" si="18"/>
        <v>2.0778524844298429</v>
      </c>
      <c r="T229" s="22" t="str">
        <f ca="1">_xll.BDP($B229,T$6, "YAS_BOND_YLD="&amp;S229,"YAS_YLD_CONV=1")</f>
        <v>#N/A Requesting Data...</v>
      </c>
      <c r="U229" s="23">
        <f t="shared" ca="1" si="19"/>
        <v>43.459999999999965</v>
      </c>
      <c r="V229" s="24" t="e">
        <f t="shared" ca="1" si="15"/>
        <v>#VALUE!</v>
      </c>
      <c r="W229" s="23">
        <f ca="1">_xll.meLWOBondDV01($L229,$C$4,$S229%)</f>
        <v>1725.176393152708</v>
      </c>
      <c r="X229" s="22" t="e">
        <f ca="1">_xll.BDP($B229,X$6, "YLD_YTM_ASK="&amp;$S229,"YAS_YLD_CONV=1")*$X$3*0.0001</f>
        <v>#VALUE!</v>
      </c>
      <c r="Y229" s="24" t="e">
        <f t="shared" ca="1" si="16"/>
        <v>#VALUE!</v>
      </c>
      <c r="Z229" s="23">
        <f ca="1">_xll.meLWOBondModifiedDuration($L229,$C$4,$S229%)</f>
        <v>39.695729248796809</v>
      </c>
      <c r="AA229" s="23">
        <f ca="1">_xll.BDP($B229,AA$6, "YLD_YTM_ASK="&amp;$G229,"YAS_YLD_CONV=1")</f>
        <v>39.69584134523177</v>
      </c>
      <c r="AB229" s="22">
        <f t="shared" ca="1" si="17"/>
        <v>1.1209643496101762E-4</v>
      </c>
      <c r="AC229" s="24">
        <f ca="1">_xll.meLWOBondDV01Numerical($L229,$C$4,$S229%, 0.5, "CENTRAL")</f>
        <v>1725.1776110794735</v>
      </c>
    </row>
    <row r="230" spans="2:29">
      <c r="B230" s="15" t="s">
        <v>1502</v>
      </c>
      <c r="C230" s="15" t="s">
        <v>1503</v>
      </c>
      <c r="D230" s="15" t="s">
        <v>1503</v>
      </c>
      <c r="E230" s="16">
        <v>42479</v>
      </c>
      <c r="F230" s="19"/>
      <c r="G230" s="18"/>
      <c r="H230" s="16"/>
      <c r="I230" s="16"/>
      <c r="J230" s="17">
        <v>0</v>
      </c>
      <c r="K230" s="16">
        <v>58220</v>
      </c>
      <c r="L230" s="20" t="str">
        <f ca="1">_xll.meLWOBondCreateFromGeneratorLVB(C230,$L$4,_xll.meUtilityLVBFromKeysValues($C$6:$K$6,C230:K230))</f>
        <v>FR0013154283:0</v>
      </c>
      <c r="M230" s="92">
        <f ca="1">_xll.BDP($B230,$M$5)</f>
        <v>2.110260162081512</v>
      </c>
      <c r="N230" s="89">
        <f ca="1">_xll.meLWOBondCleanPrice($L230,$C$4,$M230%)</f>
        <v>42.83100000000006</v>
      </c>
      <c r="O230" s="89">
        <f ca="1">_xll.meLWOBondDirtyPrice($L230,$C$4,$M230%)</f>
        <v>42.83100000000006</v>
      </c>
      <c r="P230" s="72">
        <f ca="1">_xll.meLWOBondYield($L230,$C$4,N230)</f>
        <v>2.1102601620858863E-2</v>
      </c>
      <c r="Q230" s="89">
        <f ca="1">_xll.meLWOBondModifiedDuration($L230,$C$4,$M230%)</f>
        <v>39.763623813687197</v>
      </c>
      <c r="R230" s="23">
        <f ca="1">_xll.meLWOBondDV01($L230,$C$4,$M230%)</f>
        <v>1703.1157715640386</v>
      </c>
      <c r="S230" s="21">
        <f t="shared" ca="1" si="18"/>
        <v>2.110260162081512</v>
      </c>
      <c r="T230" s="22" t="str">
        <f ca="1">_xll.BDP($B230,T$6, "YAS_BOND_YLD="&amp;S230,"YAS_YLD_CONV=1")</f>
        <v>#N/A Requesting Data...</v>
      </c>
      <c r="U230" s="23">
        <f t="shared" ca="1" si="19"/>
        <v>42.83100000000006</v>
      </c>
      <c r="V230" s="24" t="e">
        <f t="shared" ca="1" si="15"/>
        <v>#VALUE!</v>
      </c>
      <c r="W230" s="23">
        <f ca="1">_xll.meLWOBondDV01($L230,$C$4,$S230%)</f>
        <v>1703.1157715640386</v>
      </c>
      <c r="X230" s="22" t="e">
        <f ca="1">_xll.BDP($B230,X$6, "YLD_YTM_ASK="&amp;$S230,"YAS_YLD_CONV=1")*$X$3*0.0001</f>
        <v>#VALUE!</v>
      </c>
      <c r="Y230" s="24" t="e">
        <f t="shared" ca="1" si="16"/>
        <v>#VALUE!</v>
      </c>
      <c r="Z230" s="23">
        <f ca="1">_xll.meLWOBondModifiedDuration($L230,$C$4,$S230%)</f>
        <v>39.763623813687197</v>
      </c>
      <c r="AA230" s="23">
        <f ca="1">_xll.BDP($B230,AA$6, "YLD_YTM_ASK="&amp;$G230,"YAS_YLD_CONV=1")</f>
        <v>39.763736470066355</v>
      </c>
      <c r="AB230" s="22">
        <f t="shared" ca="1" si="17"/>
        <v>1.126563791586932E-4</v>
      </c>
      <c r="AC230" s="24">
        <f ca="1">_xll.meLWOBondDV01Numerical($L230,$C$4,$S230%, 0.5, "CENTRAL")</f>
        <v>1703.1169778594804</v>
      </c>
    </row>
    <row r="231" spans="2:29">
      <c r="B231" s="15" t="s">
        <v>1202</v>
      </c>
      <c r="C231" s="15" t="s">
        <v>1203</v>
      </c>
      <c r="D231" s="15" t="s">
        <v>1203</v>
      </c>
      <c r="E231" s="16">
        <v>40254</v>
      </c>
      <c r="F231" s="19">
        <v>39928</v>
      </c>
      <c r="G231" s="18"/>
      <c r="H231" s="16">
        <v>40293</v>
      </c>
      <c r="I231" s="16">
        <v>58190</v>
      </c>
      <c r="J231" s="17">
        <v>0.04</v>
      </c>
      <c r="K231" s="16">
        <v>58556</v>
      </c>
      <c r="L231" s="20" t="str">
        <f ca="1">_xll.meLWOBondCreateFromGeneratorLVB(C231,$L$4,_xll.meUtilityLVBFromKeysValues($C$6:$K$6,C231:K231))</f>
        <v>FR0010870956:0</v>
      </c>
      <c r="M231" s="92">
        <f ca="1">_xll.BDP($B231,$M$5)</f>
        <v>1.8364818679373456</v>
      </c>
      <c r="N231" s="89">
        <f ca="1">_xll.meLWOBondCleanPrice($L231,$C$4,$M231%)</f>
        <v>162.46100000029986</v>
      </c>
      <c r="O231" s="89">
        <f ca="1">_xll.meLWOBondDirtyPrice($L231,$C$4,$M231%)</f>
        <v>164.37880820029986</v>
      </c>
      <c r="P231" s="72">
        <f ca="1">_xll.meLWOBondYield($L231,$C$4,N231)</f>
        <v>1.8364818679375013E-2</v>
      </c>
      <c r="Q231" s="89">
        <f ca="1">_xll.meLWOBondModifiedDuration($L231,$C$4,$M231%)</f>
        <v>24.536751938186811</v>
      </c>
      <c r="R231" s="23">
        <f ca="1">_xll.meLWOBondDV01($L231,$C$4,$M231%)</f>
        <v>4033.3220407055455</v>
      </c>
      <c r="S231" s="21">
        <f t="shared" ca="1" si="18"/>
        <v>1.8364818679373456</v>
      </c>
      <c r="T231" s="22" t="str">
        <f ca="1">_xll.BDP($B231,T$6, "YAS_BOND_YLD="&amp;S231,"YAS_YLD_CONV=1")</f>
        <v>#N/A Requesting Data...</v>
      </c>
      <c r="U231" s="23">
        <f t="shared" ca="1" si="19"/>
        <v>162.46100000029986</v>
      </c>
      <c r="V231" s="24" t="e">
        <f t="shared" ca="1" si="15"/>
        <v>#VALUE!</v>
      </c>
      <c r="W231" s="23">
        <f ca="1">_xll.meLWOBondDV01($L231,$C$4,$S231%)</f>
        <v>4033.3220407055455</v>
      </c>
      <c r="X231" s="22" t="e">
        <f ca="1">_xll.BDP($B231,X$6, "YLD_YTM_ASK="&amp;$S231,"YAS_YLD_CONV=1")*$X$3*0.0001</f>
        <v>#VALUE!</v>
      </c>
      <c r="Y231" s="24" t="e">
        <f t="shared" ca="1" si="16"/>
        <v>#VALUE!</v>
      </c>
      <c r="Z231" s="23">
        <f ca="1">_xll.meLWOBondModifiedDuration($L231,$C$4,$S231%)</f>
        <v>24.536751938186811</v>
      </c>
      <c r="AA231" s="23">
        <f ca="1">_xll.BDP($B231,AA$6, "YLD_YTM_ASK="&amp;$G231,"YAS_YLD_CONV=1")</f>
        <v>24.536748128909831</v>
      </c>
      <c r="AB231" s="22">
        <f t="shared" ca="1" si="17"/>
        <v>3.809276979183096E-6</v>
      </c>
      <c r="AC231" s="24">
        <f ca="1">_xll.meLWOBondDV01Numerical($L231,$C$4,$S231%, 0.5, "CENTRAL")</f>
        <v>4033.32420556751</v>
      </c>
    </row>
    <row r="232" spans="2:29">
      <c r="B232" s="15" t="s">
        <v>1216</v>
      </c>
      <c r="C232" s="15" t="s">
        <v>1217</v>
      </c>
      <c r="D232" s="15" t="s">
        <v>1217</v>
      </c>
      <c r="E232" s="16">
        <v>40254</v>
      </c>
      <c r="F232" s="19"/>
      <c r="G232" s="18"/>
      <c r="H232" s="16"/>
      <c r="I232" s="16"/>
      <c r="J232" s="17">
        <v>0</v>
      </c>
      <c r="K232" s="16">
        <v>58556</v>
      </c>
      <c r="L232" s="20" t="str">
        <f ca="1">_xll.meLWOBondCreateFromGeneratorLVB(C232,$L$4,_xll.meUtilityLVBFromKeysValues($C$6:$K$6,C232:K232))</f>
        <v>FR0010871079:0</v>
      </c>
      <c r="M232" s="92">
        <f ca="1">_xll.BDP($B232,$M$5)</f>
        <v>2.0521983322139059</v>
      </c>
      <c r="N232" s="89">
        <f ca="1">_xll.meLWOBondCleanPrice($L232,$C$4,$M232%)</f>
        <v>43.021999999999991</v>
      </c>
      <c r="O232" s="89">
        <f ca="1">_xll.meLWOBondDirtyPrice($L232,$C$4,$M232%)</f>
        <v>43.021999999999991</v>
      </c>
      <c r="P232" s="72">
        <f ca="1">_xll.meLWOBondYield($L232,$C$4,N232)</f>
        <v>2.0521983322181633E-2</v>
      </c>
      <c r="Q232" s="89">
        <f ca="1">_xll.meLWOBondModifiedDuration($L232,$C$4,$M232%)</f>
        <v>40.68559876588084</v>
      </c>
      <c r="R232" s="23">
        <f ca="1">_xll.meLWOBondDV01($L232,$C$4,$M232%)</f>
        <v>1750.3758301057251</v>
      </c>
      <c r="S232" s="21">
        <f t="shared" ca="1" si="18"/>
        <v>2.0521983322139059</v>
      </c>
      <c r="T232" s="22" t="str">
        <f ca="1">_xll.BDP($B232,T$6, "YAS_BOND_YLD="&amp;S232,"YAS_YLD_CONV=1")</f>
        <v>#N/A Requesting Data...</v>
      </c>
      <c r="U232" s="23">
        <f t="shared" ca="1" si="19"/>
        <v>43.021999999999991</v>
      </c>
      <c r="V232" s="24" t="e">
        <f t="shared" ca="1" si="15"/>
        <v>#VALUE!</v>
      </c>
      <c r="W232" s="23">
        <f ca="1">_xll.meLWOBondDV01($L232,$C$4,$S232%)</f>
        <v>1750.3758301057251</v>
      </c>
      <c r="X232" s="22" t="e">
        <f ca="1">_xll.BDP($B232,X$6, "YLD_YTM_ASK="&amp;$S232,"YAS_YLD_CONV=1")*$X$3*0.0001</f>
        <v>#VALUE!</v>
      </c>
      <c r="Y232" s="24" t="e">
        <f t="shared" ca="1" si="16"/>
        <v>#VALUE!</v>
      </c>
      <c r="Z232" s="23">
        <f ca="1">_xll.meLWOBondModifiedDuration($L232,$C$4,$S232%)</f>
        <v>40.68559876588084</v>
      </c>
      <c r="AA232" s="23">
        <f ca="1">_xll.BDP($B232,AA$6, "YLD_YTM_ASK="&amp;$G232,"YAS_YLD_CONV=1")</f>
        <v>40.685719252367925</v>
      </c>
      <c r="AB232" s="22">
        <f t="shared" ca="1" si="17"/>
        <v>1.2048648708429255E-4</v>
      </c>
      <c r="AC232" s="24">
        <f ca="1">_xll.meLWOBondDV01Numerical($L232,$C$4,$S232%, 0.5, "CENTRAL")</f>
        <v>1750.3771259970338</v>
      </c>
    </row>
    <row r="233" spans="2:29">
      <c r="B233" s="15" t="s">
        <v>1310</v>
      </c>
      <c r="C233" s="15" t="s">
        <v>1311</v>
      </c>
      <c r="D233" s="15" t="s">
        <v>1311</v>
      </c>
      <c r="E233" s="16">
        <v>42479</v>
      </c>
      <c r="F233" s="19"/>
      <c r="G233" s="18"/>
      <c r="H233" s="16"/>
      <c r="I233" s="16"/>
      <c r="J233" s="17">
        <v>0</v>
      </c>
      <c r="K233" s="16">
        <v>58586</v>
      </c>
      <c r="L233" s="20" t="str">
        <f ca="1">_xll.meLWOBondCreateFromGeneratorLVB(C233,$L$4,_xll.meUtilityLVBFromKeysValues($C$6:$K$6,C233:K233))</f>
        <v>FR0013154291:0</v>
      </c>
      <c r="M233" s="92">
        <f ca="1">_xll.BDP($B233,$M$5)</f>
        <v>2.1179280013939206</v>
      </c>
      <c r="N233" s="89">
        <f ca="1">_xll.meLWOBondCleanPrice($L233,$C$4,$M233%)</f>
        <v>41.815000000000161</v>
      </c>
      <c r="O233" s="89">
        <f ca="1">_xll.meLWOBondDirtyPrice($L233,$C$4,$M233%)</f>
        <v>41.815000000000161</v>
      </c>
      <c r="P233" s="72">
        <f ca="1">_xll.meLWOBondYield($L233,$C$4,N233)</f>
        <v>2.1179280013989474E-2</v>
      </c>
      <c r="Q233" s="89">
        <f ca="1">_xll.meLWOBondModifiedDuration($L233,$C$4,$M233%)</f>
        <v>40.739898018161433</v>
      </c>
      <c r="R233" s="23">
        <f ca="1">_xll.meLWOBondDV01($L233,$C$4,$M233%)</f>
        <v>1703.5388356294268</v>
      </c>
      <c r="S233" s="21">
        <f t="shared" ca="1" si="18"/>
        <v>2.1179280013939206</v>
      </c>
      <c r="T233" s="22" t="str">
        <f ca="1">_xll.BDP($B233,T$6, "YAS_BOND_YLD="&amp;S233,"YAS_YLD_CONV=1")</f>
        <v>#N/A Requesting Data...</v>
      </c>
      <c r="U233" s="23">
        <f t="shared" ca="1" si="19"/>
        <v>41.815000000000161</v>
      </c>
      <c r="V233" s="24" t="e">
        <f t="shared" ca="1" si="15"/>
        <v>#VALUE!</v>
      </c>
      <c r="W233" s="23">
        <f ca="1">_xll.meLWOBondDV01($L233,$C$4,$S233%)</f>
        <v>1703.5388356294268</v>
      </c>
      <c r="X233" s="22" t="e">
        <f ca="1">_xll.BDP($B233,X$6, "YLD_YTM_ASK="&amp;$S233,"YAS_YLD_CONV=1")*$X$3*0.0001</f>
        <v>#VALUE!</v>
      </c>
      <c r="Y233" s="24" t="e">
        <f t="shared" ca="1" si="16"/>
        <v>#VALUE!</v>
      </c>
      <c r="Z233" s="23">
        <f ca="1">_xll.meLWOBondModifiedDuration($L233,$C$4,$S233%)</f>
        <v>40.739898018161433</v>
      </c>
      <c r="AA233" s="23">
        <f ca="1">_xll.BDP($B233,AA$6, "YLD_YTM_ASK="&amp;$G233,"YAS_YLD_CONV=1")</f>
        <v>40.740018971097626</v>
      </c>
      <c r="AB233" s="22">
        <f t="shared" ca="1" si="17"/>
        <v>1.2095293619296399E-4</v>
      </c>
      <c r="AC233" s="24">
        <f ca="1">_xll.meLWOBondDV01Numerical($L233,$C$4,$S233%, 0.5, "CENTRAL")</f>
        <v>1703.540100040115</v>
      </c>
    </row>
    <row r="234" spans="2:29">
      <c r="B234" s="15" t="s">
        <v>1442</v>
      </c>
      <c r="C234" s="15" t="s">
        <v>1443</v>
      </c>
      <c r="D234" s="15" t="s">
        <v>1443</v>
      </c>
      <c r="E234" s="16">
        <v>42479</v>
      </c>
      <c r="F234" s="19"/>
      <c r="G234" s="18"/>
      <c r="H234" s="16"/>
      <c r="I234" s="16"/>
      <c r="J234" s="17">
        <v>0</v>
      </c>
      <c r="K234" s="16">
        <v>58951</v>
      </c>
      <c r="L234" s="20" t="str">
        <f ca="1">_xll.meLWOBondCreateFromGeneratorLVB(C234,$L$4,_xll.meUtilityLVBFromKeysValues($C$6:$K$6,C234:K234))</f>
        <v>FR0013154309:0</v>
      </c>
      <c r="M234" s="92">
        <f ca="1">_xll.BDP($B234,$M$5)</f>
        <v>2.1168602867621678</v>
      </c>
      <c r="N234" s="89">
        <f ca="1">_xll.meLWOBondCleanPrice($L234,$C$4,$M234%)</f>
        <v>40.965999999999859</v>
      </c>
      <c r="O234" s="89">
        <f ca="1">_xll.meLWOBondDirtyPrice($L234,$C$4,$M234%)</f>
        <v>40.965999999999859</v>
      </c>
      <c r="P234" s="72">
        <f ca="1">_xll.meLWOBondYield($L234,$C$4,N234)</f>
        <v>2.1168602867674965E-2</v>
      </c>
      <c r="Q234" s="89">
        <f ca="1">_xll.meLWOBondModifiedDuration($L234,$C$4,$M234%)</f>
        <v>41.719594204513712</v>
      </c>
      <c r="R234" s="23">
        <f ca="1">_xll.meLWOBondDV01($L234,$C$4,$M234%)</f>
        <v>1709.0848961821027</v>
      </c>
      <c r="S234" s="21">
        <f t="shared" ca="1" si="18"/>
        <v>2.1168602867621678</v>
      </c>
      <c r="T234" s="22" t="str">
        <f ca="1">_xll.BDP($B234,T$6, "YAS_BOND_YLD="&amp;S234,"YAS_YLD_CONV=1")</f>
        <v>#N/A Requesting Data...</v>
      </c>
      <c r="U234" s="23">
        <f t="shared" ca="1" si="19"/>
        <v>40.965999999999859</v>
      </c>
      <c r="V234" s="24" t="e">
        <f t="shared" ca="1" si="15"/>
        <v>#VALUE!</v>
      </c>
      <c r="W234" s="23">
        <f ca="1">_xll.meLWOBondDV01($L234,$C$4,$S234%)</f>
        <v>1709.0848961821027</v>
      </c>
      <c r="X234" s="22" t="e">
        <f ca="1">_xll.BDP($B234,X$6, "YLD_YTM_ASK="&amp;$S234,"YAS_YLD_CONV=1")*$X$3*0.0001</f>
        <v>#VALUE!</v>
      </c>
      <c r="Y234" s="24" t="e">
        <f t="shared" ca="1" si="16"/>
        <v>#VALUE!</v>
      </c>
      <c r="Z234" s="23">
        <f ca="1">_xll.meLWOBondModifiedDuration($L234,$C$4,$S234%)</f>
        <v>41.719594204513712</v>
      </c>
      <c r="AA234" s="23">
        <f ca="1">_xll.BDP($B234,AA$6, "YLD_YTM_ASK="&amp;$G234,"YAS_YLD_CONV=1")</f>
        <v>41.719723883516522</v>
      </c>
      <c r="AB234" s="22">
        <f t="shared" ca="1" si="17"/>
        <v>1.2967900281068978E-4</v>
      </c>
      <c r="AC234" s="24">
        <f ca="1">_xll.meLWOBondDV01Numerical($L234,$C$4,$S234%, 0.5, "CENTRAL")</f>
        <v>1709.0862242883989</v>
      </c>
    </row>
    <row r="235" spans="2:29">
      <c r="B235" s="15" t="s">
        <v>1396</v>
      </c>
      <c r="C235" s="15" t="s">
        <v>1397</v>
      </c>
      <c r="D235" s="15" t="s">
        <v>1397</v>
      </c>
      <c r="E235" s="16">
        <v>42479</v>
      </c>
      <c r="F235" s="19"/>
      <c r="G235" s="18"/>
      <c r="H235" s="16"/>
      <c r="I235" s="16"/>
      <c r="J235" s="17">
        <v>0</v>
      </c>
      <c r="K235" s="16">
        <v>59316</v>
      </c>
      <c r="L235" s="20" t="str">
        <f ca="1">_xll.meLWOBondCreateFromGeneratorLVB(C235,$L$4,_xll.meUtilityLVBFromKeysValues($C$6:$K$6,C235:K235))</f>
        <v>FR0013154317:0</v>
      </c>
      <c r="M235" s="92">
        <f ca="1">_xll.BDP($B235,$M$5)</f>
        <v>2.1184244320077372</v>
      </c>
      <c r="N235" s="89">
        <f ca="1">_xll.meLWOBondCleanPrice($L235,$C$4,$M235%)</f>
        <v>40.089999999999989</v>
      </c>
      <c r="O235" s="89">
        <f ca="1">_xll.meLWOBondDirtyPrice($L235,$C$4,$M235%)</f>
        <v>40.089999999999989</v>
      </c>
      <c r="P235" s="72">
        <f ca="1">_xll.meLWOBondYield($L235,$C$4,N235)</f>
        <v>2.1184244320128616E-2</v>
      </c>
      <c r="Q235" s="89">
        <f ca="1">_xll.meLWOBondModifiedDuration($L235,$C$4,$M235%)</f>
        <v>42.698210404782415</v>
      </c>
      <c r="R235" s="23">
        <f ca="1">_xll.meLWOBondDV01($L235,$C$4,$M235%)</f>
        <v>1711.7712551277266</v>
      </c>
      <c r="S235" s="21">
        <f t="shared" ca="1" si="18"/>
        <v>2.1184244320077372</v>
      </c>
      <c r="T235" s="22" t="str">
        <f ca="1">_xll.BDP($B235,T$6, "YAS_BOND_YLD="&amp;S235,"YAS_YLD_CONV=1")</f>
        <v>#N/A Requesting Data...</v>
      </c>
      <c r="U235" s="23">
        <f t="shared" ca="1" si="19"/>
        <v>40.089999999999989</v>
      </c>
      <c r="V235" s="24" t="e">
        <f t="shared" ca="1" si="15"/>
        <v>#VALUE!</v>
      </c>
      <c r="W235" s="23">
        <f ca="1">_xll.meLWOBondDV01($L235,$C$4,$S235%)</f>
        <v>1711.7712551277266</v>
      </c>
      <c r="X235" s="22" t="e">
        <f ca="1">_xll.BDP($B235,X$6, "YLD_YTM_ASK="&amp;$S235,"YAS_YLD_CONV=1")*$X$3*0.0001</f>
        <v>#VALUE!</v>
      </c>
      <c r="Y235" s="24" t="e">
        <f t="shared" ca="1" si="16"/>
        <v>#VALUE!</v>
      </c>
      <c r="Z235" s="23">
        <f ca="1">_xll.meLWOBondModifiedDuration($L235,$C$4,$S235%)</f>
        <v>42.698210404782415</v>
      </c>
      <c r="AA235" s="23">
        <f ca="1">_xll.BDP($B235,AA$6, "YLD_YTM_ASK="&amp;$G235,"YAS_YLD_CONV=1")</f>
        <v>42.698349209149249</v>
      </c>
      <c r="AB235" s="22">
        <f t="shared" ca="1" si="17"/>
        <v>1.3880436683422204E-4</v>
      </c>
      <c r="AC235" s="24">
        <f ca="1">_xll.meLWOBondDV01Numerical($L235,$C$4,$S235%, 0.5, "CENTRAL")</f>
        <v>1711.7726462932837</v>
      </c>
    </row>
    <row r="236" spans="2:29">
      <c r="B236" s="15" t="s">
        <v>1504</v>
      </c>
      <c r="C236" s="15" t="s">
        <v>1505</v>
      </c>
      <c r="D236" s="15" t="s">
        <v>1505</v>
      </c>
      <c r="E236" s="16">
        <v>42479</v>
      </c>
      <c r="F236" s="19"/>
      <c r="G236" s="18"/>
      <c r="H236" s="16"/>
      <c r="I236" s="16"/>
      <c r="J236" s="17">
        <v>0</v>
      </c>
      <c r="K236" s="16">
        <v>59681</v>
      </c>
      <c r="L236" s="20" t="str">
        <f ca="1">_xll.meLWOBondCreateFromGeneratorLVB(C236,$L$4,_xll.meUtilityLVBFromKeysValues($C$6:$K$6,C236:K236))</f>
        <v>FR0013154325:0</v>
      </c>
      <c r="M236" s="92">
        <f ca="1">_xll.BDP($B236,$M$5)</f>
        <v>2.1157050149552381</v>
      </c>
      <c r="N236" s="89">
        <f ca="1">_xll.meLWOBondCleanPrice($L236,$C$4,$M236%)</f>
        <v>39.305000000000113</v>
      </c>
      <c r="O236" s="89">
        <f ca="1">_xll.meLWOBondDirtyPrice($L236,$C$4,$M236%)</f>
        <v>39.305000000000113</v>
      </c>
      <c r="P236" s="72">
        <f ca="1">_xll.meLWOBondYield($L236,$C$4,N236)</f>
        <v>2.1157050149593716E-2</v>
      </c>
      <c r="Q236" s="89">
        <f ca="1">_xll.meLWOBondModifiedDuration($L236,$C$4,$M236%)</f>
        <v>43.678628786331302</v>
      </c>
      <c r="R236" s="23">
        <f ca="1">_xll.meLWOBondDV01($L236,$C$4,$M236%)</f>
        <v>1716.7885044467569</v>
      </c>
      <c r="S236" s="21">
        <f t="shared" ca="1" si="18"/>
        <v>2.1157050149552381</v>
      </c>
      <c r="T236" s="22" t="str">
        <f ca="1">_xll.BDP($B236,T$6, "YAS_BOND_YLD="&amp;S236,"YAS_YLD_CONV=1")</f>
        <v>#N/A Requesting Data...</v>
      </c>
      <c r="U236" s="23">
        <f t="shared" ca="1" si="19"/>
        <v>39.305000000000113</v>
      </c>
      <c r="V236" s="24" t="e">
        <f t="shared" ca="1" si="15"/>
        <v>#VALUE!</v>
      </c>
      <c r="W236" s="23">
        <f ca="1">_xll.meLWOBondDV01($L236,$C$4,$S236%)</f>
        <v>1716.7885044467569</v>
      </c>
      <c r="X236" s="22" t="e">
        <f ca="1">_xll.BDP($B236,X$6, "YLD_YTM_ASK="&amp;$S236,"YAS_YLD_CONV=1")*$X$3*0.0001</f>
        <v>#VALUE!</v>
      </c>
      <c r="Y236" s="24" t="e">
        <f t="shared" ca="1" si="16"/>
        <v>#VALUE!</v>
      </c>
      <c r="Z236" s="23">
        <f ca="1">_xll.meLWOBondModifiedDuration($L236,$C$4,$S236%)</f>
        <v>43.678628786331302</v>
      </c>
      <c r="AA236" s="23">
        <f ca="1">_xll.BDP($B236,AA$6, "YLD_YTM_ASK="&amp;$G236,"YAS_YLD_CONV=1")</f>
        <v>43.678777152716933</v>
      </c>
      <c r="AB236" s="22">
        <f t="shared" ca="1" si="17"/>
        <v>1.4836638563053839E-4</v>
      </c>
      <c r="AC236" s="24">
        <f ca="1">_xll.meLWOBondDV01Numerical($L236,$C$4,$S236%, 0.5, "CENTRAL")</f>
        <v>1716.7899623306228</v>
      </c>
    </row>
    <row r="237" spans="2:29">
      <c r="B237" s="15" t="s">
        <v>1426</v>
      </c>
      <c r="C237" s="15" t="s">
        <v>1427</v>
      </c>
      <c r="D237" s="15" t="s">
        <v>1427</v>
      </c>
      <c r="E237" s="16">
        <v>42479</v>
      </c>
      <c r="F237" s="19"/>
      <c r="G237" s="18"/>
      <c r="H237" s="16"/>
      <c r="I237" s="16"/>
      <c r="J237" s="17">
        <v>0</v>
      </c>
      <c r="K237" s="16">
        <v>60047</v>
      </c>
      <c r="L237" s="20" t="str">
        <f ca="1">_xll.meLWOBondCreateFromGeneratorLVB(C237,$L$4,_xll.meUtilityLVBFromKeysValues($C$6:$K$6,C237:K237))</f>
        <v>FR0013154333:0</v>
      </c>
      <c r="M237" s="92">
        <f ca="1">_xll.BDP($B237,$M$5)</f>
        <v>2.1105712337772697</v>
      </c>
      <c r="N237" s="89">
        <f ca="1">_xll.meLWOBondCleanPrice($L237,$C$4,$M237%)</f>
        <v>38.579000000000043</v>
      </c>
      <c r="O237" s="89">
        <f ca="1">_xll.meLWOBondDirtyPrice($L237,$C$4,$M237%)</f>
        <v>38.579000000000043</v>
      </c>
      <c r="P237" s="72">
        <f ca="1">_xll.meLWOBondYield($L237,$C$4,N237)</f>
        <v>2.1105712337792765E-2</v>
      </c>
      <c r="Q237" s="89">
        <f ca="1">_xll.meLWOBondModifiedDuration($L237,$C$4,$M237%)</f>
        <v>44.660155334575599</v>
      </c>
      <c r="R237" s="23">
        <f ca="1">_xll.meLWOBondDV01($L237,$C$4,$M237%)</f>
        <v>1722.9441326525939</v>
      </c>
      <c r="S237" s="21">
        <f t="shared" ca="1" si="18"/>
        <v>2.1105712337772697</v>
      </c>
      <c r="T237" s="22" t="str">
        <f ca="1">_xll.BDP($B237,T$6, "YAS_BOND_YLD="&amp;S237,"YAS_YLD_CONV=1")</f>
        <v>#N/A Requesting Data...</v>
      </c>
      <c r="U237" s="23">
        <f t="shared" ca="1" si="19"/>
        <v>38.579000000000043</v>
      </c>
      <c r="V237" s="24" t="e">
        <f t="shared" ca="1" si="15"/>
        <v>#VALUE!</v>
      </c>
      <c r="W237" s="23">
        <f ca="1">_xll.meLWOBondDV01($L237,$C$4,$S237%)</f>
        <v>1722.9441326525939</v>
      </c>
      <c r="X237" s="22" t="e">
        <f ca="1">_xll.BDP($B237,X$6, "YLD_YTM_ASK="&amp;$S237,"YAS_YLD_CONV=1")*$X$3*0.0001</f>
        <v>#VALUE!</v>
      </c>
      <c r="Y237" s="24" t="e">
        <f t="shared" ca="1" si="16"/>
        <v>#VALUE!</v>
      </c>
      <c r="Z237" s="23">
        <f ca="1">_xll.meLWOBondModifiedDuration($L237,$C$4,$S237%)</f>
        <v>44.660155334575599</v>
      </c>
      <c r="AA237" s="23">
        <f ca="1">_xll.BDP($B237,AA$6, "YLD_YTM_ASK="&amp;$G237,"YAS_YLD_CONV=1")</f>
        <v>44.660313704041229</v>
      </c>
      <c r="AB237" s="22">
        <f t="shared" ca="1" si="17"/>
        <v>1.5836946563041465E-4</v>
      </c>
      <c r="AC237" s="24">
        <f ca="1">_xll.meLWOBondDV01Numerical($L237,$C$4,$S237%, 0.5, "CENTRAL")</f>
        <v>1722.9456600888682</v>
      </c>
    </row>
    <row r="238" spans="2:29">
      <c r="B238" s="15" t="s">
        <v>1428</v>
      </c>
      <c r="C238" s="15" t="s">
        <v>1429</v>
      </c>
      <c r="D238" s="15" t="s">
        <v>1429</v>
      </c>
      <c r="E238" s="16">
        <v>42479</v>
      </c>
      <c r="F238" s="19"/>
      <c r="G238" s="18"/>
      <c r="H238" s="16"/>
      <c r="I238" s="16"/>
      <c r="J238" s="17">
        <v>0</v>
      </c>
      <c r="K238" s="16">
        <v>60412</v>
      </c>
      <c r="L238" s="20" t="str">
        <f ca="1">_xll.meLWOBondCreateFromGeneratorLVB(C238,$L$4,_xll.meUtilityLVBFromKeysValues($C$6:$K$6,C238:K238))</f>
        <v>FR0013154341:0</v>
      </c>
      <c r="M238" s="92">
        <f ca="1">_xll.BDP($B238,$M$5)</f>
        <v>2.1015775012858118</v>
      </c>
      <c r="N238" s="89">
        <f ca="1">_xll.meLWOBondCleanPrice($L238,$C$4,$M238%)</f>
        <v>37.937000000000019</v>
      </c>
      <c r="O238" s="89">
        <f ca="1">_xll.meLWOBondDirtyPrice($L238,$C$4,$M238%)</f>
        <v>37.937000000000019</v>
      </c>
      <c r="P238" s="72">
        <f ca="1">_xll.meLWOBondYield($L238,$C$4,N238)</f>
        <v>2.1015775012845649E-2</v>
      </c>
      <c r="Q238" s="89">
        <f ca="1">_xll.meLWOBondModifiedDuration($L238,$C$4,$M238%)</f>
        <v>45.643506071628046</v>
      </c>
      <c r="R238" s="23">
        <f ca="1">_xll.meLWOBondDV01($L238,$C$4,$M238%)</f>
        <v>1731.577689839354</v>
      </c>
      <c r="S238" s="21">
        <f t="shared" ca="1" si="18"/>
        <v>2.1015775012858118</v>
      </c>
      <c r="T238" s="22" t="str">
        <f ca="1">_xll.BDP($B238,T$6, "YAS_BOND_YLD="&amp;S238,"YAS_YLD_CONV=1")</f>
        <v>#N/A Requesting Data...</v>
      </c>
      <c r="U238" s="23">
        <f t="shared" ca="1" si="19"/>
        <v>37.937000000000019</v>
      </c>
      <c r="V238" s="24" t="e">
        <f t="shared" ca="1" si="15"/>
        <v>#VALUE!</v>
      </c>
      <c r="W238" s="23">
        <f ca="1">_xll.meLWOBondDV01($L238,$C$4,$S238%)</f>
        <v>1731.577689839354</v>
      </c>
      <c r="X238" s="22" t="e">
        <f ca="1">_xll.BDP($B238,X$6, "YLD_YTM_ASK="&amp;$S238,"YAS_YLD_CONV=1")*$X$3*0.0001</f>
        <v>#VALUE!</v>
      </c>
      <c r="Y238" s="24" t="e">
        <f t="shared" ca="1" si="16"/>
        <v>#VALUE!</v>
      </c>
      <c r="Z238" s="23">
        <f ca="1">_xll.meLWOBondModifiedDuration($L238,$C$4,$S238%)</f>
        <v>45.643506071628046</v>
      </c>
      <c r="AA238" s="23">
        <f ca="1">_xll.BDP($B238,AA$6, "YLD_YTM_ASK="&amp;$G238,"YAS_YLD_CONV=1")</f>
        <v>45.643674904127849</v>
      </c>
      <c r="AB238" s="22">
        <f t="shared" ca="1" si="17"/>
        <v>1.6883249980281789E-4</v>
      </c>
      <c r="AC238" s="24">
        <f ca="1">_xll.meLWOBondDV01Numerical($L238,$C$4,$S238%, 0.5, "CENTRAL")</f>
        <v>1731.5792910874707</v>
      </c>
    </row>
    <row r="239" spans="2:29">
      <c r="B239" s="15" t="s">
        <v>1166</v>
      </c>
      <c r="C239" s="15" t="s">
        <v>1167</v>
      </c>
      <c r="D239" s="15" t="s">
        <v>1167</v>
      </c>
      <c r="E239" s="16">
        <v>42479</v>
      </c>
      <c r="F239" s="19">
        <v>42149</v>
      </c>
      <c r="G239" s="18"/>
      <c r="H239" s="16">
        <v>42515</v>
      </c>
      <c r="I239" s="16">
        <v>60412</v>
      </c>
      <c r="J239" s="17">
        <v>1.7500000000000002E-2</v>
      </c>
      <c r="K239" s="16">
        <v>60777</v>
      </c>
      <c r="L239" s="20" t="str">
        <f ca="1">_xll.meLWOBondCreateFromGeneratorLVB(C239,$L$4,_xll.meUtilityLVBFromKeysValues($C$6:$K$6,C239:K239))</f>
        <v>FR0013154028:2</v>
      </c>
      <c r="M239" s="92">
        <f ca="1">_xll.BDP($B239,$M$5)</f>
        <v>1.9061362969589659</v>
      </c>
      <c r="N239" s="89">
        <f ca="1">_xll.meLWOBondCleanPrice($L239,$C$4,$M239%)</f>
        <v>95.138999999996699</v>
      </c>
      <c r="O239" s="89">
        <f ca="1">_xll.meLWOBondDirtyPrice($L239,$C$4,$M239%)</f>
        <v>95.834205499996699</v>
      </c>
      <c r="P239" s="72">
        <f ca="1">_xll.meLWOBondYield($L239,$C$4,N239)</f>
        <v>1.9061362969589782E-2</v>
      </c>
      <c r="Q239" s="89">
        <f ca="1">_xll.meLWOBondModifiedDuration($L239,$C$4,$M239%)</f>
        <v>31.428402095029416</v>
      </c>
      <c r="R239" s="23">
        <f ca="1">_xll.meLWOBondDV01($L239,$C$4,$M239%)</f>
        <v>3011.9159449115759</v>
      </c>
      <c r="S239" s="21">
        <f t="shared" ca="1" si="18"/>
        <v>1.9061362969589659</v>
      </c>
      <c r="T239" s="22" t="str">
        <f ca="1">_xll.BDP($B239,T$6, "YAS_BOND_YLD="&amp;S239,"YAS_YLD_CONV=1")</f>
        <v>#N/A Requesting Data...</v>
      </c>
      <c r="U239" s="23">
        <f t="shared" ca="1" si="19"/>
        <v>95.138999999996699</v>
      </c>
      <c r="V239" s="24" t="e">
        <f t="shared" ca="1" si="15"/>
        <v>#VALUE!</v>
      </c>
      <c r="W239" s="23">
        <f ca="1">_xll.meLWOBondDV01($L239,$C$4,$S239%)</f>
        <v>3011.9159449115759</v>
      </c>
      <c r="X239" s="22" t="e">
        <f ca="1">_xll.BDP($B239,X$6, "YLD_YTM_ASK="&amp;$S239,"YAS_YLD_CONV=1")*$X$3*0.0001</f>
        <v>#VALUE!</v>
      </c>
      <c r="Y239" s="24" t="e">
        <f t="shared" ca="1" si="16"/>
        <v>#VALUE!</v>
      </c>
      <c r="Z239" s="23">
        <f ca="1">_xll.meLWOBondModifiedDuration($L239,$C$4,$S239%)</f>
        <v>31.428402095029416</v>
      </c>
      <c r="AA239" s="23">
        <f ca="1">_xll.BDP($B239,AA$6, "YLD_YTM_ASK="&amp;$G239,"YAS_YLD_CONV=1")</f>
        <v>31.428397911022149</v>
      </c>
      <c r="AB239" s="22">
        <f t="shared" ca="1" si="17"/>
        <v>4.1840072668719586E-6</v>
      </c>
      <c r="AC239" s="24">
        <f ca="1">_xll.meLWOBondDV01Numerical($L239,$C$4,$S239%, 0.5, "CENTRAL")</f>
        <v>3011.9182755180418</v>
      </c>
    </row>
    <row r="240" spans="2:29">
      <c r="B240" s="15" t="s">
        <v>1220</v>
      </c>
      <c r="C240" s="15" t="s">
        <v>1221</v>
      </c>
      <c r="D240" s="15" t="s">
        <v>1221</v>
      </c>
      <c r="E240" s="16">
        <v>42479</v>
      </c>
      <c r="F240" s="19"/>
      <c r="G240" s="18"/>
      <c r="H240" s="16"/>
      <c r="I240" s="16"/>
      <c r="J240" s="17">
        <v>0</v>
      </c>
      <c r="K240" s="16">
        <v>60777</v>
      </c>
      <c r="L240" s="20" t="str">
        <f ca="1">_xll.meLWOBondCreateFromGeneratorLVB(C240,$L$4,_xll.meUtilityLVBFromKeysValues($C$6:$K$6,C240:K240))</f>
        <v>FR0013154358:0</v>
      </c>
      <c r="M240" s="92">
        <f ca="1">_xll.BDP($B240,$M$5)</f>
        <v>1.9905635822176082</v>
      </c>
      <c r="N240" s="89">
        <f ca="1">_xll.meLWOBondCleanPrice($L240,$C$4,$M240%)</f>
        <v>39.131000000000171</v>
      </c>
      <c r="O240" s="89">
        <f ca="1">_xll.meLWOBondDirtyPrice($L240,$C$4,$M240%)</f>
        <v>39.131000000000171</v>
      </c>
      <c r="P240" s="72">
        <f ca="1">_xll.meLWOBondYield($L240,$C$4,N240)</f>
        <v>1.9905635822224228E-2</v>
      </c>
      <c r="Q240" s="89">
        <f ca="1">_xll.meLWOBondModifiedDuration($L240,$C$4,$M240%)</f>
        <v>46.673670635865648</v>
      </c>
      <c r="R240" s="23">
        <f ca="1">_xll.meLWOBondDV01($L240,$C$4,$M240%)</f>
        <v>1826.3874056520667</v>
      </c>
      <c r="S240" s="21">
        <f t="shared" ca="1" si="18"/>
        <v>1.9905635822176082</v>
      </c>
      <c r="T240" s="22" t="str">
        <f ca="1">_xll.BDP($B240,T$6, "YAS_BOND_YLD="&amp;S240,"YAS_YLD_CONV=1")</f>
        <v>#N/A Requesting Data...</v>
      </c>
      <c r="U240" s="23">
        <f t="shared" ca="1" si="19"/>
        <v>39.131000000000171</v>
      </c>
      <c r="V240" s="24" t="e">
        <f t="shared" ca="1" si="15"/>
        <v>#VALUE!</v>
      </c>
      <c r="W240" s="23">
        <f ca="1">_xll.meLWOBondDV01($L240,$C$4,$S240%)</f>
        <v>1826.3874056520667</v>
      </c>
      <c r="X240" s="22" t="e">
        <f ca="1">_xll.BDP($B240,X$6, "YLD_YTM_ASK="&amp;$S240,"YAS_YLD_CONV=1")*$X$3*0.0001</f>
        <v>#VALUE!</v>
      </c>
      <c r="Y240" s="24" t="e">
        <f t="shared" ca="1" si="16"/>
        <v>#VALUE!</v>
      </c>
      <c r="Z240" s="23">
        <f ca="1">_xll.meLWOBondModifiedDuration($L240,$C$4,$S240%)</f>
        <v>46.673670635865648</v>
      </c>
      <c r="AA240" s="23">
        <f ca="1">_xll.BDP($B240,AA$6, "YLD_YTM_ASK="&amp;$G240,"YAS_YLD_CONV=1")</f>
        <v>46.673850924218478</v>
      </c>
      <c r="AB240" s="22">
        <f t="shared" ca="1" si="17"/>
        <v>1.8028835282990485E-4</v>
      </c>
      <c r="AC240" s="24">
        <f ca="1">_xll.meLWOBondDV01Numerical($L240,$C$4,$S240%, 0.5, "CENTRAL")</f>
        <v>1826.3891693661094</v>
      </c>
    </row>
    <row r="241" spans="2:29">
      <c r="B241" s="15" t="s">
        <v>1166</v>
      </c>
      <c r="C241" s="15" t="s">
        <v>1167</v>
      </c>
      <c r="D241" s="15" t="s">
        <v>1167</v>
      </c>
      <c r="E241" s="16">
        <v>42479</v>
      </c>
      <c r="F241" s="19">
        <v>42149</v>
      </c>
      <c r="G241" s="18"/>
      <c r="H241" s="16">
        <v>42515</v>
      </c>
      <c r="I241" s="16">
        <v>60412</v>
      </c>
      <c r="J241" s="17">
        <v>1.7500000000000002E-2</v>
      </c>
      <c r="K241" s="16">
        <v>60777</v>
      </c>
      <c r="L241" s="20" t="str">
        <f ca="1">_xll.meLWOBondCreateFromGeneratorLVB(C241,$L$4,_xll.meUtilityLVBFromKeysValues($C$6:$K$6,C241:K241))</f>
        <v>FR0013154028:0</v>
      </c>
      <c r="M241" s="92">
        <f ca="1">_xll.BDP($B241,$M$5)</f>
        <v>1.9061362969589659</v>
      </c>
      <c r="N241" s="89">
        <f ca="1">_xll.meLWOBondCleanPrice($L241,$C$4,$M241%)</f>
        <v>95.138999999996699</v>
      </c>
      <c r="O241" s="89">
        <f ca="1">_xll.meLWOBondDirtyPrice($L241,$C$4,$M241%)</f>
        <v>95.834205499996699</v>
      </c>
      <c r="P241" s="72">
        <f ca="1">_xll.meLWOBondYield($L241,$C$4,N241)</f>
        <v>1.9061362969589782E-2</v>
      </c>
      <c r="Q241" s="89">
        <f ca="1">_xll.meLWOBondModifiedDuration($L241,$C$4,$M241%)</f>
        <v>31.428402095029416</v>
      </c>
      <c r="R241" s="23">
        <f ca="1">_xll.meLWOBondDV01($L241,$C$4,$M241%)</f>
        <v>3011.9159449115759</v>
      </c>
      <c r="S241" s="21">
        <f t="shared" ca="1" si="18"/>
        <v>1.9061362969589659</v>
      </c>
      <c r="T241" s="22" t="str">
        <f ca="1">_xll.BDP($B241,T$6, "YAS_BOND_YLD="&amp;S241,"YAS_YLD_CONV=1")</f>
        <v>#N/A Requesting Data...</v>
      </c>
      <c r="U241" s="23">
        <f t="shared" ca="1" si="19"/>
        <v>95.138999999996699</v>
      </c>
      <c r="V241" s="24" t="e">
        <f t="shared" ca="1" si="15"/>
        <v>#VALUE!</v>
      </c>
      <c r="W241" s="23">
        <f ca="1">_xll.meLWOBondDV01($L241,$C$4,$S241%)</f>
        <v>3011.9159449115759</v>
      </c>
      <c r="X241" s="22" t="e">
        <f ca="1">_xll.BDP($B241,X$6, "YLD_YTM_ASK="&amp;$S241,"YAS_YLD_CONV=1")*$X$3*0.0001</f>
        <v>#VALUE!</v>
      </c>
      <c r="Y241" s="24" t="e">
        <f t="shared" ca="1" si="16"/>
        <v>#VALUE!</v>
      </c>
      <c r="Z241" s="23">
        <f ca="1">_xll.meLWOBondModifiedDuration($L241,$C$4,$S241%)</f>
        <v>31.428402095029416</v>
      </c>
      <c r="AA241" s="23">
        <f ca="1">_xll.BDP($B241,AA$6, "YLD_YTM_ASK="&amp;$G241,"YAS_YLD_CONV=1")</f>
        <v>31.428397911022149</v>
      </c>
      <c r="AB241" s="22">
        <f t="shared" ca="1" si="17"/>
        <v>4.1840072668719586E-6</v>
      </c>
      <c r="AC241" s="24">
        <f ca="1">_xll.meLWOBondDV01Numerical($L241,$C$4,$S241%, 0.5, "CENTRAL")</f>
        <v>3011.9182755180418</v>
      </c>
    </row>
    <row r="242" spans="2:29">
      <c r="B242" s="15" t="s">
        <v>1166</v>
      </c>
      <c r="C242" s="15" t="s">
        <v>1167</v>
      </c>
      <c r="D242" s="15" t="s">
        <v>1167</v>
      </c>
      <c r="E242" s="16">
        <v>42479</v>
      </c>
      <c r="F242" s="19">
        <v>42149</v>
      </c>
      <c r="G242" s="18"/>
      <c r="H242" s="16">
        <v>42515</v>
      </c>
      <c r="I242" s="16">
        <v>60412</v>
      </c>
      <c r="J242" s="17">
        <v>1.7500000000000002E-2</v>
      </c>
      <c r="K242" s="16">
        <v>60777</v>
      </c>
      <c r="L242" s="20" t="str">
        <f ca="1">_xll.meLWOBondCreateFromGeneratorLVB(C242,$L$4,_xll.meUtilityLVBFromKeysValues($C$6:$K$6,C242:K242))</f>
        <v>FR0013154028:1</v>
      </c>
      <c r="M242" s="92">
        <f ca="1">_xll.BDP($B242,$M$5)</f>
        <v>1.9061362969589659</v>
      </c>
      <c r="N242" s="89">
        <f ca="1">_xll.meLWOBondCleanPrice($L242,$C$4,$M242%)</f>
        <v>95.138999999996699</v>
      </c>
      <c r="O242" s="89">
        <f ca="1">_xll.meLWOBondDirtyPrice($L242,$C$4,$M242%)</f>
        <v>95.834205499996699</v>
      </c>
      <c r="P242" s="72">
        <f ca="1">_xll.meLWOBondYield($L242,$C$4,N242)</f>
        <v>1.9061362969589782E-2</v>
      </c>
      <c r="Q242" s="89">
        <f ca="1">_xll.meLWOBondModifiedDuration($L242,$C$4,$M242%)</f>
        <v>31.428402095029416</v>
      </c>
      <c r="R242" s="23">
        <f ca="1">_xll.meLWOBondDV01($L242,$C$4,$M242%)</f>
        <v>3011.9159449115759</v>
      </c>
      <c r="S242" s="21">
        <f t="shared" ca="1" si="18"/>
        <v>1.9061362969589659</v>
      </c>
      <c r="T242" s="22" t="str">
        <f ca="1">_xll.BDP($B242,T$6, "YAS_BOND_YLD="&amp;S242,"YAS_YLD_CONV=1")</f>
        <v>#N/A Requesting Data...</v>
      </c>
      <c r="U242" s="23">
        <f t="shared" ca="1" si="19"/>
        <v>95.138999999996699</v>
      </c>
      <c r="V242" s="24" t="e">
        <f t="shared" ca="1" si="15"/>
        <v>#VALUE!</v>
      </c>
      <c r="W242" s="23">
        <f ca="1">_xll.meLWOBondDV01($L242,$C$4,$S242%)</f>
        <v>3011.9159449115759</v>
      </c>
      <c r="X242" s="22" t="e">
        <f ca="1">_xll.BDP($B242,X$6, "YLD_YTM_ASK="&amp;$S242,"YAS_YLD_CONV=1")*$X$3*0.0001</f>
        <v>#VALUE!</v>
      </c>
      <c r="Y242" s="24" t="e">
        <f t="shared" ca="1" si="16"/>
        <v>#VALUE!</v>
      </c>
      <c r="Z242" s="23">
        <f ca="1">_xll.meLWOBondModifiedDuration($L242,$C$4,$S242%)</f>
        <v>31.428402095029416</v>
      </c>
      <c r="AA242" s="23">
        <f ca="1">_xll.BDP($B242,AA$6, "YLD_YTM_ASK="&amp;$G242,"YAS_YLD_CONV=1")</f>
        <v>31.428397911022149</v>
      </c>
      <c r="AB242" s="22">
        <f t="shared" ca="1" si="17"/>
        <v>4.1840072668719586E-6</v>
      </c>
      <c r="AC242" s="24">
        <f ca="1">_xll.meLWOBondDV01Numerical($L242,$C$4,$S242%, 0.5, "CENTRAL")</f>
        <v>3011.9182755180418</v>
      </c>
    </row>
  </sheetData>
  <autoFilter ref="B6:AC6"/>
  <sortState ref="B7:AA242">
    <sortCondition ref="K7:K24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F303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1" width="15.7109375" style="1" customWidth="1"/>
    <col min="12" max="12" width="15.7109375" style="44" customWidth="1"/>
    <col min="13" max="13" width="15.7109375" style="1" customWidth="1"/>
    <col min="14" max="14" width="22.7109375" style="1" customWidth="1"/>
    <col min="15" max="15" width="22.7109375" style="76" customWidth="1"/>
    <col min="16" max="20" width="22.7109375" style="82" customWidth="1"/>
    <col min="21" max="21" width="21.28515625" style="45" hidden="1" customWidth="1" outlineLevel="1"/>
    <col min="22" max="22" width="19.140625" style="46" hidden="1" customWidth="1" outlineLevel="1"/>
    <col min="23" max="23" width="15.7109375" style="46" hidden="1" customWidth="1" outlineLevel="1"/>
    <col min="24" max="24" width="21.42578125" style="74" hidden="1" customWidth="1" outlineLevel="1"/>
    <col min="25" max="30" width="21.42578125" style="46" hidden="1" customWidth="1" outlineLevel="1"/>
    <col min="31" max="31" width="17" style="46" hidden="1" customWidth="1" outlineLevel="1"/>
    <col min="32" max="32" width="9.140625" style="1" collapsed="1"/>
    <col min="33" max="33" width="10.7109375" style="1" bestFit="1" customWidth="1"/>
    <col min="34" max="34" width="9.140625" style="1"/>
    <col min="35" max="35" width="31" style="1" bestFit="1" customWidth="1"/>
    <col min="36" max="36" width="18.85546875" style="1" bestFit="1" customWidth="1"/>
    <col min="37" max="37" width="9.140625" style="1"/>
    <col min="38" max="38" width="16.85546875" style="1" customWidth="1"/>
    <col min="39" max="39" width="9.140625" style="1"/>
    <col min="40" max="40" width="29.85546875" style="1" customWidth="1"/>
    <col min="41" max="16384" width="9.140625" style="1"/>
  </cols>
  <sheetData>
    <row r="1" spans="2:32">
      <c r="J1" s="5" t="s">
        <v>290</v>
      </c>
      <c r="O1" s="79"/>
      <c r="P1" s="79"/>
      <c r="Q1" s="79"/>
      <c r="R1" s="79"/>
      <c r="S1" s="79"/>
      <c r="T1" s="79"/>
      <c r="AF1" s="5" t="s">
        <v>288</v>
      </c>
    </row>
    <row r="2" spans="2:32">
      <c r="O2" s="79"/>
      <c r="P2" s="39" t="s">
        <v>285</v>
      </c>
      <c r="Q2" s="39" t="s">
        <v>285</v>
      </c>
      <c r="R2" s="39" t="s">
        <v>285</v>
      </c>
      <c r="S2" s="39" t="s">
        <v>285</v>
      </c>
      <c r="T2" s="39" t="s">
        <v>285</v>
      </c>
      <c r="Y2" s="8"/>
      <c r="Z2" s="8" t="s">
        <v>47</v>
      </c>
      <c r="AB2" s="8"/>
      <c r="AC2" s="8"/>
      <c r="AD2" s="8"/>
      <c r="AE2" s="8"/>
    </row>
    <row r="3" spans="2:32">
      <c r="B3" s="5" t="s">
        <v>9</v>
      </c>
      <c r="C3" s="5" t="s">
        <v>10</v>
      </c>
      <c r="D3" s="5"/>
      <c r="N3" s="5" t="s">
        <v>284</v>
      </c>
      <c r="O3" s="80"/>
      <c r="P3" s="41" t="str">
        <f ca="1">IF(ISNUMBER(SUM(X7:X132)),SUM(X7:X132),"BBG WAIT!")</f>
        <v>BBG WAIT!</v>
      </c>
      <c r="Q3" s="42" t="s">
        <v>289</v>
      </c>
      <c r="R3" s="41">
        <f ca="1">IF(ISNUMBER(SUM(O7:O132)),SUM(O7:O132)-SUM(R7:R132)*100,"BBG WAIT!")</f>
        <v>7.9978690337156877E-11</v>
      </c>
      <c r="S3" s="41" t="str">
        <f ca="1">IF(ISNUMBER(SUM(AD7:AD132)),SUM(AD7:AD132),"BBG WAIT!")</f>
        <v>BBG WAIT!</v>
      </c>
      <c r="T3" s="42" t="s">
        <v>289</v>
      </c>
      <c r="Y3" s="8"/>
      <c r="Z3" s="40">
        <v>1000000</v>
      </c>
      <c r="AB3" s="8"/>
      <c r="AC3" s="8"/>
      <c r="AD3" s="8"/>
      <c r="AE3" s="8"/>
    </row>
    <row r="4" spans="2:32">
      <c r="B4" s="6">
        <f ca="1">TODAY()</f>
        <v>43388</v>
      </c>
      <c r="C4" s="43">
        <f ca="1">_xll.meDateFromTenor($B$4,$D$4,"MOD_FOLLOWING","TGT")</f>
        <v>43390</v>
      </c>
      <c r="D4" s="47" t="s">
        <v>291</v>
      </c>
      <c r="N4" s="33" t="s">
        <v>1576</v>
      </c>
      <c r="O4" s="80"/>
      <c r="P4" s="80"/>
      <c r="Q4" s="80"/>
      <c r="R4" s="80"/>
      <c r="S4" s="80"/>
      <c r="T4" s="80"/>
      <c r="Y4" s="8"/>
      <c r="AB4" s="8"/>
      <c r="AC4" s="8"/>
      <c r="AD4" s="8"/>
      <c r="AE4" s="8"/>
    </row>
    <row r="5" spans="2:32">
      <c r="B5" s="4"/>
      <c r="C5" s="4"/>
      <c r="D5" s="4"/>
      <c r="E5" s="4"/>
      <c r="G5" s="4"/>
      <c r="H5" s="4"/>
      <c r="I5" s="4"/>
      <c r="K5" s="4"/>
      <c r="L5" s="4"/>
      <c r="M5" s="4"/>
      <c r="O5" s="10" t="s">
        <v>19</v>
      </c>
      <c r="P5" s="79"/>
      <c r="Q5" s="79"/>
      <c r="R5" s="79"/>
      <c r="S5" s="79"/>
      <c r="T5" s="79"/>
      <c r="U5" s="10" t="s">
        <v>12</v>
      </c>
      <c r="V5" s="11" t="s">
        <v>12</v>
      </c>
      <c r="W5" s="12" t="s">
        <v>13</v>
      </c>
      <c r="X5" s="75" t="s">
        <v>14</v>
      </c>
      <c r="Y5" s="12" t="s">
        <v>15</v>
      </c>
      <c r="Z5" s="11" t="s">
        <v>16</v>
      </c>
      <c r="AA5" s="13" t="s">
        <v>14</v>
      </c>
      <c r="AB5" s="12" t="s">
        <v>15</v>
      </c>
      <c r="AC5" s="12" t="s">
        <v>16</v>
      </c>
      <c r="AD5" s="11" t="s">
        <v>14</v>
      </c>
      <c r="AE5" s="13" t="s">
        <v>15</v>
      </c>
    </row>
    <row r="6" spans="2:32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292</v>
      </c>
      <c r="M6" s="38" t="s">
        <v>50</v>
      </c>
      <c r="N6" s="38" t="s">
        <v>18</v>
      </c>
      <c r="O6" s="77" t="s">
        <v>1574</v>
      </c>
      <c r="P6" s="81" t="s">
        <v>286</v>
      </c>
      <c r="Q6" s="81" t="s">
        <v>1577</v>
      </c>
      <c r="R6" s="81" t="s">
        <v>1578</v>
      </c>
      <c r="S6" s="81" t="s">
        <v>287</v>
      </c>
      <c r="T6" s="81" t="s">
        <v>23</v>
      </c>
      <c r="U6" s="10" t="s">
        <v>293</v>
      </c>
      <c r="V6" s="11" t="s">
        <v>294</v>
      </c>
      <c r="W6" s="12" t="s">
        <v>21</v>
      </c>
      <c r="X6" s="75" t="s">
        <v>22</v>
      </c>
      <c r="Y6" s="12" t="s">
        <v>23</v>
      </c>
      <c r="Z6" s="11" t="s">
        <v>24</v>
      </c>
      <c r="AA6" s="13" t="s">
        <v>22</v>
      </c>
      <c r="AB6" s="12" t="s">
        <v>26</v>
      </c>
      <c r="AC6" s="12" t="s">
        <v>27</v>
      </c>
      <c r="AD6" s="11" t="s">
        <v>22</v>
      </c>
      <c r="AE6" s="13" t="s">
        <v>28</v>
      </c>
    </row>
    <row r="7" spans="2:32">
      <c r="B7" s="15" t="s">
        <v>416</v>
      </c>
      <c r="C7" s="15" t="s">
        <v>417</v>
      </c>
      <c r="D7" s="15" t="s">
        <v>417</v>
      </c>
      <c r="E7" s="16">
        <v>37333</v>
      </c>
      <c r="F7" s="16" t="s">
        <v>333</v>
      </c>
      <c r="G7" s="19" t="str">
        <f t="shared" ref="G7:G70" si="0">IF(DAY(K7+1)=1, "EOM","")</f>
        <v/>
      </c>
      <c r="H7" s="16" t="s">
        <v>333</v>
      </c>
      <c r="I7" s="16" t="s">
        <v>333</v>
      </c>
      <c r="J7" s="48">
        <v>0</v>
      </c>
      <c r="K7" s="16">
        <v>44958</v>
      </c>
      <c r="L7" s="49" t="s">
        <v>333</v>
      </c>
      <c r="M7" s="15" t="s">
        <v>297</v>
      </c>
      <c r="N7" s="20" t="str">
        <f ca="1">_xll.meLWOBondCreateFromGeneratorLVB(C7,$N$4,_xll.meUtilityLVBFromKeysValues($C$6:$M$6,C7:M7))</f>
        <v>IT0003268775:1</v>
      </c>
      <c r="O7" s="92">
        <f ca="1">_xll.BDP($B7,$O$5)</f>
        <v>2.9802156193156737</v>
      </c>
      <c r="P7" s="89">
        <f ca="1">_xll.meLWOBondCleanPrice($N7,$C$4,$O7%)</f>
        <v>88.160883392453499</v>
      </c>
      <c r="Q7" s="89">
        <f ca="1">_xll.meLWOBondDirtyPrice($N7,$C$4,$O7%)</f>
        <v>88.160883392453499</v>
      </c>
      <c r="R7" s="72">
        <f ca="1">_xll.meLWOBondYield($N7,$C$4,P7)</f>
        <v>2.9802156193109441E-2</v>
      </c>
      <c r="S7" s="89">
        <f ca="1">_xll.meLWOBondModifiedDuration($N7,$C$4,$O7%)</f>
        <v>4.2282184108700838</v>
      </c>
      <c r="T7" s="23">
        <f ca="1">_xll.meLWOBondDV01($N7,$C$4,$O7%)</f>
        <v>372.76347027854246</v>
      </c>
      <c r="U7" s="85">
        <f ca="1">O7</f>
        <v>2.9802156193156737</v>
      </c>
      <c r="V7" s="22" t="str">
        <f ca="1">_xll.BDP($B7,V$6, "YAS_BOND_YLD="&amp;U7,"YAS_YLD_CONV=1")</f>
        <v>#N/A Requesting Data...</v>
      </c>
      <c r="W7" s="89">
        <f ca="1">P7</f>
        <v>88.160883392453499</v>
      </c>
      <c r="X7" s="24" t="e">
        <f t="shared" ref="X7:X70" ca="1" si="1">ABS(W7-V7)</f>
        <v>#VALUE!</v>
      </c>
      <c r="Y7" s="23">
        <f ca="1">_xll.meLWOBondDV01($N7,$C$4,$U7%)</f>
        <v>372.76347027854246</v>
      </c>
      <c r="Z7" s="22" t="e">
        <f ca="1">_xll.BDP($B7,Z$6, "YLD_YTM_ASK="&amp;$U7,"YAS_YLD_CONV=33")*$Z$3*0.0001</f>
        <v>#VALUE!</v>
      </c>
      <c r="AA7" s="24" t="e">
        <f t="shared" ref="AA7:AA70" ca="1" si="2">ABS(Z7-Y7)</f>
        <v>#VALUE!</v>
      </c>
      <c r="AB7" s="23">
        <f ca="1">_xll.meLWOBondModifiedDuration($N7,$C$4,$U7%)</f>
        <v>4.2282184108700838</v>
      </c>
      <c r="AC7" s="23" t="str">
        <f ca="1">_xll.BDP($B7,AC$6, "YLD_YTM_ASK="&amp;$U7,"YAS_YLD_CONV=1")</f>
        <v>#N/A Requesting Data...</v>
      </c>
      <c r="AD7" s="22" t="e">
        <f t="shared" ref="AD7:AD70" ca="1" si="3">ABS(AC7-AB7)</f>
        <v>#VALUE!</v>
      </c>
      <c r="AE7" s="24">
        <f ca="1">_xll.meLWOBondDV01Numerical($N7,$C$4,$U7%, 0.5, "CENTRAL")</f>
        <v>367.33390204304328</v>
      </c>
    </row>
    <row r="8" spans="2:32">
      <c r="B8" s="15" t="s">
        <v>482</v>
      </c>
      <c r="C8" s="15" t="s">
        <v>483</v>
      </c>
      <c r="D8" s="15" t="s">
        <v>483</v>
      </c>
      <c r="E8" s="16">
        <v>41416</v>
      </c>
      <c r="F8" s="16" t="s">
        <v>333</v>
      </c>
      <c r="G8" s="19" t="str">
        <f t="shared" si="0"/>
        <v/>
      </c>
      <c r="H8" s="16" t="s">
        <v>333</v>
      </c>
      <c r="I8" s="16" t="s">
        <v>333</v>
      </c>
      <c r="J8" s="48">
        <v>0</v>
      </c>
      <c r="K8" s="16">
        <v>44986</v>
      </c>
      <c r="L8" s="49" t="s">
        <v>333</v>
      </c>
      <c r="M8" s="15" t="s">
        <v>297</v>
      </c>
      <c r="N8" s="20" t="str">
        <f ca="1">_xll.meLWOBondCreateFromGeneratorLVB(C8,$N$4,_xll.meUtilityLVBFromKeysValues($C$6:$M$6,C8:M8))</f>
        <v>IT0004957921:1</v>
      </c>
      <c r="O8" s="92">
        <f ca="1">_xll.BDP($B8,$O$5)</f>
        <v>3.014124614651692</v>
      </c>
      <c r="P8" s="89">
        <f ca="1">_xll.meLWOBondCleanPrice($N8,$C$4,$O8%)</f>
        <v>87.821999999864005</v>
      </c>
      <c r="Q8" s="89">
        <f ca="1">_xll.meLWOBondDirtyPrice($N8,$C$4,$O8%)</f>
        <v>87.821999999864005</v>
      </c>
      <c r="R8" s="72">
        <f ca="1">_xll.meLWOBondYield($N8,$C$4,P8)</f>
        <v>3.0141246146491829E-2</v>
      </c>
      <c r="S8" s="89">
        <f ca="1">_xll.meLWOBondModifiedDuration($N8,$C$4,$O8%)</f>
        <v>4.3084787584886834</v>
      </c>
      <c r="T8" s="23">
        <f ca="1">_xll.meLWOBondDV01($N8,$C$4,$O8%)</f>
        <v>378.37922152740725</v>
      </c>
      <c r="U8" s="85">
        <f t="shared" ref="U8:U71" ca="1" si="4">O8</f>
        <v>3.014124614651692</v>
      </c>
      <c r="V8" s="22" t="str">
        <f ca="1">_xll.BDP($B8,V$6, "YAS_BOND_YLD="&amp;U8,"YAS_YLD_CONV=1")</f>
        <v>#N/A Requesting Data...</v>
      </c>
      <c r="W8" s="89">
        <f t="shared" ref="W8:W71" ca="1" si="5">P8</f>
        <v>87.821999999864005</v>
      </c>
      <c r="X8" s="24" t="e">
        <f t="shared" ca="1" si="1"/>
        <v>#VALUE!</v>
      </c>
      <c r="Y8" s="23">
        <f ca="1">_xll.meLWOBondDV01($N8,$C$4,$U8%)</f>
        <v>378.37922152740725</v>
      </c>
      <c r="Z8" s="22" t="e">
        <f ca="1">_xll.BDP($B8,Z$6, "YLD_YTM_ASK="&amp;$U8,"YAS_YLD_CONV=33")*$Z$3*0.0001</f>
        <v>#VALUE!</v>
      </c>
      <c r="AA8" s="24" t="e">
        <f t="shared" ca="1" si="2"/>
        <v>#VALUE!</v>
      </c>
      <c r="AB8" s="23">
        <f ca="1">_xll.meLWOBondModifiedDuration($N8,$C$4,$U8%)</f>
        <v>4.3084787584886834</v>
      </c>
      <c r="AC8" s="23" t="str">
        <f ca="1">_xll.BDP($B8,AC$6, "YLD_YTM_ASK="&amp;$U8,"YAS_YLD_CONV=1")</f>
        <v>#N/A Requesting Data...</v>
      </c>
      <c r="AD8" s="22" t="e">
        <f t="shared" ca="1" si="3"/>
        <v>#VALUE!</v>
      </c>
      <c r="AE8" s="24">
        <f ca="1">_xll.meLWOBondDV01Numerical($N8,$C$4,$U8%, 0.5, "CENTRAL")</f>
        <v>372.80256949500767</v>
      </c>
    </row>
    <row r="9" spans="2:32">
      <c r="B9" s="15" t="s">
        <v>660</v>
      </c>
      <c r="C9" s="15" t="s">
        <v>661</v>
      </c>
      <c r="D9" s="15" t="s">
        <v>661</v>
      </c>
      <c r="E9" s="16">
        <v>40450</v>
      </c>
      <c r="F9" s="16" t="s">
        <v>333</v>
      </c>
      <c r="G9" s="19" t="str">
        <f t="shared" si="0"/>
        <v/>
      </c>
      <c r="H9" s="16" t="s">
        <v>333</v>
      </c>
      <c r="I9" s="16" t="s">
        <v>333</v>
      </c>
      <c r="J9" s="48">
        <v>0</v>
      </c>
      <c r="K9" s="16">
        <v>44986</v>
      </c>
      <c r="L9" s="49" t="s">
        <v>333</v>
      </c>
      <c r="M9" s="15" t="s">
        <v>297</v>
      </c>
      <c r="N9" s="20" t="str">
        <f ca="1">_xll.meLWOBondCreateFromGeneratorLVB(C9,$N$4,_xll.meUtilityLVBFromKeysValues($C$6:$M$6,C9:M9))</f>
        <v>IT0004534241:1</v>
      </c>
      <c r="O9" s="92">
        <f ca="1">_xll.BDP($B9,$O$5)</f>
        <v>2.8456092685732903</v>
      </c>
      <c r="P9" s="89">
        <f ca="1">_xll.meLWOBondCleanPrice($N9,$C$4,$O9%)</f>
        <v>88.452999999929432</v>
      </c>
      <c r="Q9" s="89">
        <f ca="1">_xll.meLWOBondDirtyPrice($N9,$C$4,$O9%)</f>
        <v>88.452999999929432</v>
      </c>
      <c r="R9" s="72">
        <f ca="1">_xll.meLWOBondYield($N9,$C$4,P9)</f>
        <v>2.8456092685724022E-2</v>
      </c>
      <c r="S9" s="89">
        <f ca="1">_xll.meLWOBondModifiedDuration($N9,$C$4,$O9%)</f>
        <v>4.3120070939546462</v>
      </c>
      <c r="T9" s="23">
        <f ca="1">_xll.meLWOBondDV01($N9,$C$4,$O9%)</f>
        <v>381.409963481266</v>
      </c>
      <c r="U9" s="85">
        <f t="shared" ca="1" si="4"/>
        <v>2.8456092685732903</v>
      </c>
      <c r="V9" s="22" t="str">
        <f ca="1">_xll.BDP($B9,V$6, "YAS_BOND_YLD="&amp;U9,"YAS_YLD_CONV=1")</f>
        <v>#N/A Requesting Data...</v>
      </c>
      <c r="W9" s="89">
        <f t="shared" ca="1" si="5"/>
        <v>88.452999999929432</v>
      </c>
      <c r="X9" s="24" t="e">
        <f t="shared" ca="1" si="1"/>
        <v>#VALUE!</v>
      </c>
      <c r="Y9" s="23">
        <f ca="1">_xll.meLWOBondDV01($N9,$C$4,$U9%)</f>
        <v>381.409963481266</v>
      </c>
      <c r="Z9" s="22" t="e">
        <f ca="1">_xll.BDP($B9,Z$6, "YLD_YTM_ASK="&amp;$U9,"YAS_YLD_CONV=33")*$Z$3*0.0001</f>
        <v>#VALUE!</v>
      </c>
      <c r="AA9" s="24" t="e">
        <f t="shared" ca="1" si="2"/>
        <v>#VALUE!</v>
      </c>
      <c r="AB9" s="23">
        <f ca="1">_xll.meLWOBondModifiedDuration($N9,$C$4,$U9%)</f>
        <v>4.3120070939546462</v>
      </c>
      <c r="AC9" s="23" t="str">
        <f ca="1">_xll.BDP($B9,AC$6, "YLD_YTM_ASK="&amp;$U9,"YAS_YLD_CONV=1")</f>
        <v>#N/A Requesting Data...</v>
      </c>
      <c r="AD9" s="22" t="e">
        <f t="shared" ca="1" si="3"/>
        <v>#VALUE!</v>
      </c>
      <c r="AE9" s="24">
        <f ca="1">_xll.meLWOBondDV01Numerical($N9,$C$4,$U9%, 0.5, "CENTRAL")</f>
        <v>376.09638757501784</v>
      </c>
    </row>
    <row r="10" spans="2:32">
      <c r="B10" s="15" t="s">
        <v>327</v>
      </c>
      <c r="C10" s="15" t="s">
        <v>328</v>
      </c>
      <c r="D10" s="15" t="s">
        <v>328</v>
      </c>
      <c r="E10" s="16">
        <v>42444</v>
      </c>
      <c r="F10" s="16">
        <v>42444</v>
      </c>
      <c r="G10" s="19" t="str">
        <f t="shared" si="0"/>
        <v/>
      </c>
      <c r="H10" s="16">
        <v>42628</v>
      </c>
      <c r="I10" s="16">
        <v>44819</v>
      </c>
      <c r="J10" s="48">
        <v>9.4999999999999998E-3</v>
      </c>
      <c r="K10" s="16">
        <v>45000</v>
      </c>
      <c r="L10" s="49">
        <v>101.07</v>
      </c>
      <c r="M10" s="15" t="s">
        <v>297</v>
      </c>
      <c r="N10" s="20" t="str">
        <f ca="1">_xll.meLWOBondCreateFromGeneratorLVB(C10,$N$4,_xll.meUtilityLVBFromKeysValues($C$6:$M$6,C10:M10))</f>
        <v>IT0005172322:1</v>
      </c>
      <c r="O10" s="92">
        <f ca="1">_xll.BDP($B10,$O$5)</f>
        <v>2.800309442751292</v>
      </c>
      <c r="P10" s="89">
        <f ca="1">_xll.meLWOBondCleanPrice($N10,$C$4,$O10%)</f>
        <v>92.447000381913327</v>
      </c>
      <c r="Q10" s="89">
        <f ca="1">_xll.meLWOBondDirtyPrice($N10,$C$4,$O10%)</f>
        <v>92.530980381913324</v>
      </c>
      <c r="R10" s="72">
        <f ca="1">_xll.meLWOBondYield($N10,$C$4,P10)</f>
        <v>2.8003094427519359E-2</v>
      </c>
      <c r="S10" s="89">
        <f ca="1">_xll.meLWOBondModifiedDuration($N10,$C$4,$O10%)</f>
        <v>4.2638237443411127</v>
      </c>
      <c r="T10" s="23">
        <f ca="1">_xll.meLWOBondDV01($N10,$C$4,$O10%)</f>
        <v>394.53579123956371</v>
      </c>
      <c r="U10" s="85">
        <f t="shared" ca="1" si="4"/>
        <v>2.800309442751292</v>
      </c>
      <c r="V10" s="22" t="str">
        <f ca="1">_xll.BDP($B10,V$6, "YAS_BOND_YLD="&amp;U10,"YAS_YLD_CONV=1")</f>
        <v>#N/A Requesting Data...</v>
      </c>
      <c r="W10" s="89">
        <f t="shared" ca="1" si="5"/>
        <v>92.447000381913327</v>
      </c>
      <c r="X10" s="24" t="e">
        <f t="shared" ca="1" si="1"/>
        <v>#VALUE!</v>
      </c>
      <c r="Y10" s="23">
        <f ca="1">_xll.meLWOBondDV01($N10,$C$4,$U10%)</f>
        <v>394.53579123956371</v>
      </c>
      <c r="Z10" s="22" t="e">
        <f ca="1">_xll.BDP($B10,Z$6, "YLD_YTM_ASK="&amp;$U10,"YAS_YLD_CONV=33")*$Z$3*0.0001</f>
        <v>#VALUE!</v>
      </c>
      <c r="AA10" s="24" t="e">
        <f t="shared" ca="1" si="2"/>
        <v>#VALUE!</v>
      </c>
      <c r="AB10" s="23">
        <f ca="1">_xll.meLWOBondModifiedDuration($N10,$C$4,$U10%)</f>
        <v>4.2638237443411127</v>
      </c>
      <c r="AC10" s="23" t="str">
        <f ca="1">_xll.BDP($B10,AC$6, "YLD_YTM_ASK="&amp;$U10,"YAS_YLD_CONV=1")</f>
        <v>#N/A Requesting Data...</v>
      </c>
      <c r="AD10" s="22" t="e">
        <f t="shared" ca="1" si="3"/>
        <v>#VALUE!</v>
      </c>
      <c r="AE10" s="24">
        <f ca="1">_xll.meLWOBondDV01Numerical($N10,$C$4,$U10%, 0.5, "CENTRAL")</f>
        <v>389.1274932570355</v>
      </c>
    </row>
    <row r="11" spans="2:32">
      <c r="B11" s="15" t="s">
        <v>658</v>
      </c>
      <c r="C11" s="15" t="s">
        <v>659</v>
      </c>
      <c r="D11" s="15" t="s">
        <v>659</v>
      </c>
      <c r="E11" s="16">
        <v>42444</v>
      </c>
      <c r="F11" s="16" t="s">
        <v>333</v>
      </c>
      <c r="G11" s="19" t="str">
        <f t="shared" si="0"/>
        <v/>
      </c>
      <c r="H11" s="16" t="s">
        <v>333</v>
      </c>
      <c r="I11" s="16" t="s">
        <v>333</v>
      </c>
      <c r="J11" s="48">
        <v>0</v>
      </c>
      <c r="K11" s="16">
        <v>45000</v>
      </c>
      <c r="L11" s="49" t="s">
        <v>333</v>
      </c>
      <c r="M11" s="15" t="s">
        <v>297</v>
      </c>
      <c r="N11" s="20" t="str">
        <f ca="1">_xll.meLWOBondCreateFromGeneratorLVB(C11,$N$4,_xll.meUtilityLVBFromKeysValues($C$6:$M$6,C11:M11))</f>
        <v>IT0005177610:1</v>
      </c>
      <c r="O11" s="92">
        <f ca="1">_xll.BDP($B11,$O$5)</f>
        <v>2.8416698883366731</v>
      </c>
      <c r="P11" s="89">
        <f ca="1">_xll.meLWOBondCleanPrice($N11,$C$4,$O11%)</f>
        <v>88.371999999926089</v>
      </c>
      <c r="Q11" s="89">
        <f ca="1">_xll.meLWOBondDirtyPrice($N11,$C$4,$O11%)</f>
        <v>88.371999999926089</v>
      </c>
      <c r="R11" s="72">
        <f ca="1">_xll.meLWOBondYield($N11,$C$4,P11)</f>
        <v>2.8416698883358293E-2</v>
      </c>
      <c r="S11" s="89">
        <f ca="1">_xll.meLWOBondModifiedDuration($N11,$C$4,$O11%)</f>
        <v>4.350225658987747</v>
      </c>
      <c r="T11" s="23">
        <f ca="1">_xll.meLWOBondDV01($N11,$C$4,$O11%)</f>
        <v>384.43814193574366</v>
      </c>
      <c r="U11" s="85">
        <f t="shared" ca="1" si="4"/>
        <v>2.8416698883366731</v>
      </c>
      <c r="V11" s="22" t="str">
        <f ca="1">_xll.BDP($B11,V$6, "YAS_BOND_YLD="&amp;U11,"YAS_YLD_CONV=1")</f>
        <v>#N/A Requesting Data...</v>
      </c>
      <c r="W11" s="89">
        <f t="shared" ca="1" si="5"/>
        <v>88.371999999926089</v>
      </c>
      <c r="X11" s="24" t="e">
        <f t="shared" ca="1" si="1"/>
        <v>#VALUE!</v>
      </c>
      <c r="Y11" s="23">
        <f ca="1">_xll.meLWOBondDV01($N11,$C$4,$U11%)</f>
        <v>384.43814193574366</v>
      </c>
      <c r="Z11" s="22" t="e">
        <f ca="1">_xll.BDP($B11,Z$6, "YLD_YTM_ASK="&amp;$U11,"YAS_YLD_CONV=33")*$Z$3*0.0001</f>
        <v>#VALUE!</v>
      </c>
      <c r="AA11" s="24" t="e">
        <f t="shared" ca="1" si="2"/>
        <v>#VALUE!</v>
      </c>
      <c r="AB11" s="23">
        <f ca="1">_xll.meLWOBondModifiedDuration($N11,$C$4,$U11%)</f>
        <v>4.350225658987747</v>
      </c>
      <c r="AC11" s="23" t="str">
        <f ca="1">_xll.BDP($B11,AC$6, "YLD_YTM_ASK="&amp;$U11,"YAS_YLD_CONV=1")</f>
        <v>#N/A Requesting Data...</v>
      </c>
      <c r="AD11" s="22" t="e">
        <f t="shared" ca="1" si="3"/>
        <v>#VALUE!</v>
      </c>
      <c r="AE11" s="24">
        <f ca="1">_xll.meLWOBondDV01Numerical($N11,$C$4,$U11%, 0.5, "CENTRAL")</f>
        <v>379.08963968561693</v>
      </c>
    </row>
    <row r="12" spans="2:32">
      <c r="B12" s="15" t="s">
        <v>340</v>
      </c>
      <c r="C12" s="15" t="s">
        <v>341</v>
      </c>
      <c r="D12" s="15" t="s">
        <v>341</v>
      </c>
      <c r="E12" s="16">
        <v>41334</v>
      </c>
      <c r="F12" s="16">
        <v>41334</v>
      </c>
      <c r="G12" s="19" t="str">
        <f t="shared" si="0"/>
        <v/>
      </c>
      <c r="H12" s="16">
        <v>41395</v>
      </c>
      <c r="I12" s="16">
        <v>44866</v>
      </c>
      <c r="J12" s="48">
        <v>4.4999999999999998E-2</v>
      </c>
      <c r="K12" s="16">
        <v>45047</v>
      </c>
      <c r="L12" s="49">
        <v>97.81</v>
      </c>
      <c r="M12" s="15" t="s">
        <v>297</v>
      </c>
      <c r="N12" s="20" t="str">
        <f ca="1">_xll.meLWOBondCreateFromGeneratorLVB(C12,$N$4,_xll.meUtilityLVBFromKeysValues($C$6:$M$6,C12:M12))</f>
        <v>IT0004898034:1</v>
      </c>
      <c r="O12" s="92">
        <f ca="1">_xll.BDP($B12,$O$5)</f>
        <v>2.9230722252998165</v>
      </c>
      <c r="P12" s="89">
        <f ca="1">_xll.meLWOBondCleanPrice($N12,$C$4,$O12%)</f>
        <v>106.74223570536951</v>
      </c>
      <c r="Q12" s="89">
        <f ca="1">_xll.meLWOBondDirtyPrice($N12,$C$4,$O12%)</f>
        <v>108.80881570536951</v>
      </c>
      <c r="R12" s="72">
        <f ca="1">_xll.meLWOBondYield($N12,$C$4,P12)</f>
        <v>2.9230722253003272E-2</v>
      </c>
      <c r="S12" s="89">
        <f ca="1">_xll.meLWOBondModifiedDuration($N12,$C$4,$O12%)</f>
        <v>4.0348169014894557</v>
      </c>
      <c r="T12" s="23">
        <f ca="1">_xll.meLWOBondDV01($N12,$C$4,$O12%)</f>
        <v>439.02364863907621</v>
      </c>
      <c r="U12" s="85">
        <f t="shared" ca="1" si="4"/>
        <v>2.9230722252998165</v>
      </c>
      <c r="V12" s="22" t="str">
        <f ca="1">_xll.BDP($B12,V$6, "YAS_BOND_YLD="&amp;U12,"YAS_YLD_CONV=1")</f>
        <v>#N/A Requesting Data...</v>
      </c>
      <c r="W12" s="89">
        <f t="shared" ca="1" si="5"/>
        <v>106.74223570536951</v>
      </c>
      <c r="X12" s="24" t="e">
        <f t="shared" ca="1" si="1"/>
        <v>#VALUE!</v>
      </c>
      <c r="Y12" s="23">
        <f ca="1">_xll.meLWOBondDV01($N12,$C$4,$U12%)</f>
        <v>439.02364863907621</v>
      </c>
      <c r="Z12" s="22" t="e">
        <f ca="1">_xll.BDP($B12,Z$6, "YLD_YTM_ASK="&amp;$U12,"YAS_YLD_CONV=33")*$Z$3*0.0001</f>
        <v>#VALUE!</v>
      </c>
      <c r="AA12" s="24" t="e">
        <f t="shared" ca="1" si="2"/>
        <v>#VALUE!</v>
      </c>
      <c r="AB12" s="23">
        <f ca="1">_xll.meLWOBondModifiedDuration($N12,$C$4,$U12%)</f>
        <v>4.0348169014894557</v>
      </c>
      <c r="AC12" s="23" t="str">
        <f ca="1">_xll.BDP($B12,AC$6, "YLD_YTM_ASK="&amp;$U12,"YAS_YLD_CONV=1")</f>
        <v>#N/A Requesting Data...</v>
      </c>
      <c r="AD12" s="22" t="e">
        <f t="shared" ca="1" si="3"/>
        <v>#VALUE!</v>
      </c>
      <c r="AE12" s="24">
        <f ca="1">_xll.meLWOBondDV01Numerical($N12,$C$4,$U12%, 0.5, "CENTRAL")</f>
        <v>433.05209297301417</v>
      </c>
    </row>
    <row r="13" spans="2:32">
      <c r="B13" s="15" t="s">
        <v>438</v>
      </c>
      <c r="C13" s="15" t="s">
        <v>439</v>
      </c>
      <c r="D13" s="15" t="s">
        <v>439</v>
      </c>
      <c r="E13" s="16">
        <v>36003</v>
      </c>
      <c r="F13" s="16" t="s">
        <v>333</v>
      </c>
      <c r="G13" s="19" t="str">
        <f t="shared" si="0"/>
        <v/>
      </c>
      <c r="H13" s="16" t="s">
        <v>333</v>
      </c>
      <c r="I13" s="16" t="s">
        <v>333</v>
      </c>
      <c r="J13" s="48">
        <v>0</v>
      </c>
      <c r="K13" s="16">
        <v>45047</v>
      </c>
      <c r="L13" s="49" t="s">
        <v>333</v>
      </c>
      <c r="M13" s="15" t="s">
        <v>297</v>
      </c>
      <c r="N13" s="20" t="str">
        <f ca="1">_xll.meLWOBondCreateFromGeneratorLVB(C13,$N$4,_xll.meUtilityLVBFromKeysValues($C$6:$M$6,C13:M13))</f>
        <v>IT0001247318:1</v>
      </c>
      <c r="O13" s="92">
        <f ca="1">_xll.BDP($B13,$O$5)</f>
        <v>2.9670464283054088</v>
      </c>
      <c r="P13" s="89">
        <f ca="1">_xll.meLWOBondCleanPrice($N13,$C$4,$O13%)</f>
        <v>87.559309420230917</v>
      </c>
      <c r="Q13" s="89">
        <f ca="1">_xll.meLWOBondDirtyPrice($N13,$C$4,$O13%)</f>
        <v>87.559309420230917</v>
      </c>
      <c r="R13" s="72">
        <f ca="1">_xll.meLWOBondYield($N13,$C$4,P13)</f>
        <v>2.9670464283042985E-2</v>
      </c>
      <c r="S13" s="89">
        <f ca="1">_xll.meLWOBondModifiedDuration($N13,$C$4,$O13%)</f>
        <v>4.4748605252347771</v>
      </c>
      <c r="T13" s="23">
        <f ca="1">_xll.meLWOBondDV01($N13,$C$4,$O13%)</f>
        <v>391.81569734140885</v>
      </c>
      <c r="U13" s="85">
        <f t="shared" ca="1" si="4"/>
        <v>2.9670464283054088</v>
      </c>
      <c r="V13" s="22" t="str">
        <f ca="1">_xll.BDP($B13,V$6, "YAS_BOND_YLD="&amp;U13,"YAS_YLD_CONV=1")</f>
        <v>#N/A Requesting Data...</v>
      </c>
      <c r="W13" s="89">
        <f t="shared" ca="1" si="5"/>
        <v>87.559309420230917</v>
      </c>
      <c r="X13" s="24" t="e">
        <f t="shared" ca="1" si="1"/>
        <v>#VALUE!</v>
      </c>
      <c r="Y13" s="23">
        <f ca="1">_xll.meLWOBondDV01($N13,$C$4,$U13%)</f>
        <v>391.81569734140885</v>
      </c>
      <c r="Z13" s="22" t="e">
        <f ca="1">_xll.BDP($B13,Z$6, "YLD_YTM_ASK="&amp;$U13,"YAS_YLD_CONV=33")*$Z$3*0.0001</f>
        <v>#VALUE!</v>
      </c>
      <c r="AA13" s="24" t="e">
        <f t="shared" ca="1" si="2"/>
        <v>#VALUE!</v>
      </c>
      <c r="AB13" s="23">
        <f ca="1">_xll.meLWOBondModifiedDuration($N13,$C$4,$U13%)</f>
        <v>4.4748605252347771</v>
      </c>
      <c r="AC13" s="23" t="str">
        <f ca="1">_xll.BDP($B13,AC$6, "YLD_YTM_ASK="&amp;$U13,"YAS_YLD_CONV=1")</f>
        <v>#N/A Requesting Data...</v>
      </c>
      <c r="AD13" s="22" t="e">
        <f t="shared" ca="1" si="3"/>
        <v>#VALUE!</v>
      </c>
      <c r="AE13" s="24">
        <f ca="1">_xll.meLWOBondDV01Numerical($N13,$C$4,$U13%, 0.5, "CENTRAL")</f>
        <v>386.3832719873983</v>
      </c>
    </row>
    <row r="14" spans="2:32">
      <c r="B14" s="15" t="s">
        <v>360</v>
      </c>
      <c r="C14" s="15" t="s">
        <v>361</v>
      </c>
      <c r="D14" s="15" t="s">
        <v>361</v>
      </c>
      <c r="E14" s="16">
        <v>39554</v>
      </c>
      <c r="F14" s="16">
        <v>39479</v>
      </c>
      <c r="G14" s="19" t="str">
        <f t="shared" si="0"/>
        <v/>
      </c>
      <c r="H14" s="16">
        <v>39661</v>
      </c>
      <c r="I14" s="16">
        <v>44958</v>
      </c>
      <c r="J14" s="48">
        <v>4.7500000000000001E-2</v>
      </c>
      <c r="K14" s="16">
        <v>45139</v>
      </c>
      <c r="L14" s="49">
        <v>99.134999999999991</v>
      </c>
      <c r="M14" s="15" t="s">
        <v>297</v>
      </c>
      <c r="N14" s="20" t="str">
        <f ca="1">_xll.meLWOBondCreateFromGeneratorLVB(C14,$N$4,_xll.meUtilityLVBFromKeysValues($C$6:$M$6,C14:M14))</f>
        <v>IT0004356843:1</v>
      </c>
      <c r="O14" s="92">
        <f ca="1">_xll.BDP($B14,$O$5)</f>
        <v>2.972387698290091</v>
      </c>
      <c r="P14" s="89">
        <f ca="1">_xll.meLWOBondCleanPrice($N14,$C$4,$O14%)</f>
        <v>107.97887532519387</v>
      </c>
      <c r="Q14" s="89">
        <f ca="1">_xll.meLWOBondDirtyPrice($N14,$C$4,$O14%)</f>
        <v>108.97276532519386</v>
      </c>
      <c r="R14" s="72">
        <f ca="1">_xll.meLWOBondYield($N14,$C$4,P14)</f>
        <v>2.9723876982906683E-2</v>
      </c>
      <c r="S14" s="89">
        <f ca="1">_xll.meLWOBondModifiedDuration($N14,$C$4,$O14%)</f>
        <v>4.2600989171641723</v>
      </c>
      <c r="T14" s="23">
        <f ca="1">_xll.meLWOBondDV01($N14,$C$4,$O14%)</f>
        <v>464.23475956224382</v>
      </c>
      <c r="U14" s="85">
        <f t="shared" ca="1" si="4"/>
        <v>2.972387698290091</v>
      </c>
      <c r="V14" s="22" t="str">
        <f ca="1">_xll.BDP($B14,V$6, "YAS_BOND_YLD="&amp;U14,"YAS_YLD_CONV=1")</f>
        <v>#N/A Requesting Data...</v>
      </c>
      <c r="W14" s="89">
        <f t="shared" ca="1" si="5"/>
        <v>107.97887532519387</v>
      </c>
      <c r="X14" s="24" t="e">
        <f t="shared" ca="1" si="1"/>
        <v>#VALUE!</v>
      </c>
      <c r="Y14" s="23">
        <f ca="1">_xll.meLWOBondDV01($N14,$C$4,$U14%)</f>
        <v>464.23475956224382</v>
      </c>
      <c r="Z14" s="22" t="e">
        <f ca="1">_xll.BDP($B14,Z$6, "YLD_YTM_ASK="&amp;$U14,"YAS_YLD_CONV=33")*$Z$3*0.0001</f>
        <v>#VALUE!</v>
      </c>
      <c r="AA14" s="24" t="e">
        <f t="shared" ca="1" si="2"/>
        <v>#VALUE!</v>
      </c>
      <c r="AB14" s="23">
        <f ca="1">_xll.meLWOBondModifiedDuration($N14,$C$4,$U14%)</f>
        <v>4.2600989171641723</v>
      </c>
      <c r="AC14" s="23" t="str">
        <f ca="1">_xll.BDP($B14,AC$6, "YLD_YTM_ASK="&amp;$U14,"YAS_YLD_CONV=1")</f>
        <v>#N/A Requesting Data...</v>
      </c>
      <c r="AD14" s="22" t="e">
        <f t="shared" ca="1" si="3"/>
        <v>#VALUE!</v>
      </c>
      <c r="AE14" s="24">
        <f ca="1">_xll.meLWOBondDV01Numerical($N14,$C$4,$U14%, 0.5, "CENTRAL")</f>
        <v>457.51943479714896</v>
      </c>
    </row>
    <row r="15" spans="2:32">
      <c r="B15" s="15" t="s">
        <v>594</v>
      </c>
      <c r="C15" s="15" t="s">
        <v>595</v>
      </c>
      <c r="D15" s="15" t="s">
        <v>595</v>
      </c>
      <c r="E15" s="16">
        <v>39479</v>
      </c>
      <c r="F15" s="16" t="s">
        <v>333</v>
      </c>
      <c r="G15" s="19" t="str">
        <f t="shared" si="0"/>
        <v/>
      </c>
      <c r="H15" s="16" t="s">
        <v>333</v>
      </c>
      <c r="I15" s="16" t="s">
        <v>333</v>
      </c>
      <c r="J15" s="48">
        <v>0</v>
      </c>
      <c r="K15" s="16">
        <v>45139</v>
      </c>
      <c r="L15" s="49" t="s">
        <v>333</v>
      </c>
      <c r="M15" s="15" t="s">
        <v>297</v>
      </c>
      <c r="N15" s="20" t="str">
        <f ca="1">_xll.meLWOBondCreateFromGeneratorLVB(C15,$N$4,_xll.meUtilityLVBFromKeysValues($C$6:$M$6,C15:M15))</f>
        <v>IT0004848708:1</v>
      </c>
      <c r="O15" s="92">
        <f ca="1">_xll.BDP($B15,$O$5)</f>
        <v>2.9910955364945035</v>
      </c>
      <c r="P15" s="89">
        <f ca="1">_xll.meLWOBondCleanPrice($N15,$C$4,$O15%)</f>
        <v>86.831884736974047</v>
      </c>
      <c r="Q15" s="89">
        <f ca="1">_xll.meLWOBondDirtyPrice($N15,$C$4,$O15%)</f>
        <v>86.831884736974047</v>
      </c>
      <c r="R15" s="72">
        <f ca="1">_xll.meLWOBondYield($N15,$C$4,P15)</f>
        <v>2.9910955364896408E-2</v>
      </c>
      <c r="S15" s="89">
        <f ca="1">_xll.meLWOBondModifiedDuration($N15,$C$4,$O15%)</f>
        <v>4.720681007914453</v>
      </c>
      <c r="T15" s="23">
        <f ca="1">_xll.meLWOBondDV01($N15,$C$4,$O15%)</f>
        <v>409.90562915925022</v>
      </c>
      <c r="U15" s="85">
        <f t="shared" ca="1" si="4"/>
        <v>2.9910955364945035</v>
      </c>
      <c r="V15" s="22" t="str">
        <f ca="1">_xll.BDP($B15,V$6, "YAS_BOND_YLD="&amp;U15,"YAS_YLD_CONV=1")</f>
        <v>#N/A Requesting Data...</v>
      </c>
      <c r="W15" s="89">
        <f t="shared" ca="1" si="5"/>
        <v>86.831884736974047</v>
      </c>
      <c r="X15" s="24" t="e">
        <f t="shared" ca="1" si="1"/>
        <v>#VALUE!</v>
      </c>
      <c r="Y15" s="23">
        <f ca="1">_xll.meLWOBondDV01($N15,$C$4,$U15%)</f>
        <v>409.90562915925022</v>
      </c>
      <c r="Z15" s="22" t="e">
        <f ca="1">_xll.BDP($B15,Z$6, "YLD_YTM_ASK="&amp;$U15,"YAS_YLD_CONV=33")*$Z$3*0.0001</f>
        <v>#VALUE!</v>
      </c>
      <c r="AA15" s="24" t="e">
        <f t="shared" ca="1" si="2"/>
        <v>#VALUE!</v>
      </c>
      <c r="AB15" s="23">
        <f ca="1">_xll.meLWOBondModifiedDuration($N15,$C$4,$U15%)</f>
        <v>4.720681007914453</v>
      </c>
      <c r="AC15" s="23" t="str">
        <f ca="1">_xll.BDP($B15,AC$6, "YLD_YTM_ASK="&amp;$U15,"YAS_YLD_CONV=1")</f>
        <v>#N/A Requesting Data...</v>
      </c>
      <c r="AD15" s="22" t="e">
        <f t="shared" ca="1" si="3"/>
        <v>#VALUE!</v>
      </c>
      <c r="AE15" s="24">
        <f ca="1">_xll.meLWOBondDV01Numerical($N15,$C$4,$U15%, 0.5, "CENTRAL")</f>
        <v>403.91328081696543</v>
      </c>
    </row>
    <row r="16" spans="2:32">
      <c r="B16" s="15" t="s">
        <v>704</v>
      </c>
      <c r="C16" s="15" t="s">
        <v>705</v>
      </c>
      <c r="D16" s="15" t="s">
        <v>705</v>
      </c>
      <c r="E16" s="16">
        <v>37333</v>
      </c>
      <c r="F16" s="16" t="s">
        <v>333</v>
      </c>
      <c r="G16" s="19" t="str">
        <f t="shared" si="0"/>
        <v/>
      </c>
      <c r="H16" s="16" t="s">
        <v>333</v>
      </c>
      <c r="I16" s="16" t="s">
        <v>333</v>
      </c>
      <c r="J16" s="48">
        <v>0</v>
      </c>
      <c r="K16" s="16">
        <v>45139</v>
      </c>
      <c r="L16" s="49" t="s">
        <v>333</v>
      </c>
      <c r="M16" s="15" t="s">
        <v>297</v>
      </c>
      <c r="N16" s="20" t="str">
        <f ca="1">_xll.meLWOBondCreateFromGeneratorLVB(C16,$N$4,_xll.meUtilityLVBFromKeysValues($C$6:$M$6,C16:M16))</f>
        <v>IT0003268791:1</v>
      </c>
      <c r="O16" s="92">
        <f ca="1">_xll.BDP($B16,$O$5)</f>
        <v>2.8475848613439547</v>
      </c>
      <c r="P16" s="89">
        <f ca="1">_xll.meLWOBondCleanPrice($N16,$C$4,$O16%)</f>
        <v>87.413889454395246</v>
      </c>
      <c r="Q16" s="89">
        <f ca="1">_xll.meLWOBondDirtyPrice($N16,$C$4,$O16%)</f>
        <v>87.413889454395246</v>
      </c>
      <c r="R16" s="72">
        <f ca="1">_xll.meLWOBondYield($N16,$C$4,P16)</f>
        <v>2.8475848613415122E-2</v>
      </c>
      <c r="S16" s="89">
        <f ca="1">_xll.meLWOBondModifiedDuration($N16,$C$4,$O16%)</f>
        <v>4.7239734136340488</v>
      </c>
      <c r="T16" s="23">
        <f ca="1">_xll.meLWOBondDV01($N16,$C$4,$O16%)</f>
        <v>412.94088976490889</v>
      </c>
      <c r="U16" s="85">
        <f t="shared" ca="1" si="4"/>
        <v>2.8475848613439547</v>
      </c>
      <c r="V16" s="22" t="str">
        <f ca="1">_xll.BDP($B16,V$6, "YAS_BOND_YLD="&amp;U16,"YAS_YLD_CONV=1")</f>
        <v>#N/A Requesting Data...</v>
      </c>
      <c r="W16" s="89">
        <f t="shared" ca="1" si="5"/>
        <v>87.413889454395246</v>
      </c>
      <c r="X16" s="24" t="e">
        <f t="shared" ca="1" si="1"/>
        <v>#VALUE!</v>
      </c>
      <c r="Y16" s="23">
        <f ca="1">_xll.meLWOBondDV01($N16,$C$4,$U16%)</f>
        <v>412.94088976490889</v>
      </c>
      <c r="Z16" s="22" t="e">
        <f ca="1">_xll.BDP($B16,Z$6, "YLD_YTM_ASK="&amp;$U16,"YAS_YLD_CONV=33")*$Z$3*0.0001</f>
        <v>#VALUE!</v>
      </c>
      <c r="AA16" s="24" t="e">
        <f t="shared" ca="1" si="2"/>
        <v>#VALUE!</v>
      </c>
      <c r="AB16" s="23">
        <f ca="1">_xll.meLWOBondModifiedDuration($N16,$C$4,$U16%)</f>
        <v>4.7239734136340488</v>
      </c>
      <c r="AC16" s="23" t="str">
        <f ca="1">_xll.BDP($B16,AC$6, "YLD_YTM_ASK="&amp;$U16,"YAS_YLD_CONV=1")</f>
        <v>#N/A Requesting Data...</v>
      </c>
      <c r="AD16" s="22" t="e">
        <f t="shared" ca="1" si="3"/>
        <v>#VALUE!</v>
      </c>
      <c r="AE16" s="24">
        <f ca="1">_xll.meLWOBondDV01Numerical($N16,$C$4,$U16%, 0.5, "CENTRAL")</f>
        <v>407.18796187178441</v>
      </c>
    </row>
    <row r="17" spans="2:31">
      <c r="B17" s="15" t="s">
        <v>312</v>
      </c>
      <c r="C17" s="15" t="s">
        <v>313</v>
      </c>
      <c r="D17" s="15" t="s">
        <v>313</v>
      </c>
      <c r="E17" s="16">
        <v>42628</v>
      </c>
      <c r="F17" s="16">
        <v>42628</v>
      </c>
      <c r="G17" s="19" t="str">
        <f t="shared" si="0"/>
        <v/>
      </c>
      <c r="H17" s="16">
        <v>42658</v>
      </c>
      <c r="I17" s="16">
        <v>45031</v>
      </c>
      <c r="J17" s="48">
        <v>6.5000000000000006E-3</v>
      </c>
      <c r="K17" s="16">
        <v>45214</v>
      </c>
      <c r="L17" s="49">
        <v>99.7</v>
      </c>
      <c r="M17" s="15" t="s">
        <v>297</v>
      </c>
      <c r="N17" s="20" t="str">
        <f ca="1">_xll.meLWOBondCreateFromGeneratorLVB(C17,$N$4,_xll.meUtilityLVBFromKeysValues($C$6:$M$6,C17:M17))</f>
        <v>IT0005215246:1</v>
      </c>
      <c r="O17" s="92">
        <f ca="1">_xll.BDP($B17,$O$5)</f>
        <v>2.8872270677977374</v>
      </c>
      <c r="P17" s="89">
        <f ca="1">_xll.meLWOBondCleanPrice($N17,$C$4,$O17%)</f>
        <v>89.745850020162479</v>
      </c>
      <c r="Q17" s="89">
        <f ca="1">_xll.meLWOBondDirtyPrice($N17,$C$4,$O17%)</f>
        <v>89.749420020162475</v>
      </c>
      <c r="R17" s="72">
        <f ca="1">_xll.meLWOBondYield($N17,$C$4,P17)</f>
        <v>2.8872270677978706E-2</v>
      </c>
      <c r="S17" s="89">
        <f ca="1">_xll.meLWOBondModifiedDuration($N17,$C$4,$O17%)</f>
        <v>4.8476402090778157</v>
      </c>
      <c r="T17" s="23">
        <f ca="1">_xll.meLWOBondDV01($N17,$C$4,$O17%)</f>
        <v>435.07289723115315</v>
      </c>
      <c r="U17" s="85">
        <f t="shared" ca="1" si="4"/>
        <v>2.8872270677977374</v>
      </c>
      <c r="V17" s="22" t="str">
        <f ca="1">_xll.BDP($B17,V$6, "YAS_BOND_YLD="&amp;U17,"YAS_YLD_CONV=1")</f>
        <v>#N/A Requesting Data...</v>
      </c>
      <c r="W17" s="89">
        <f t="shared" ca="1" si="5"/>
        <v>89.745850020162479</v>
      </c>
      <c r="X17" s="24" t="e">
        <f t="shared" ca="1" si="1"/>
        <v>#VALUE!</v>
      </c>
      <c r="Y17" s="23">
        <f ca="1">_xll.meLWOBondDV01($N17,$C$4,$U17%)</f>
        <v>435.07289723115315</v>
      </c>
      <c r="Z17" s="22" t="e">
        <f ca="1">_xll.BDP($B17,Z$6, "YLD_YTM_ASK="&amp;$U17,"YAS_YLD_CONV=33")*$Z$3*0.0001</f>
        <v>#VALUE!</v>
      </c>
      <c r="AA17" s="24" t="e">
        <f t="shared" ca="1" si="2"/>
        <v>#VALUE!</v>
      </c>
      <c r="AB17" s="23">
        <f ca="1">_xll.meLWOBondModifiedDuration($N17,$C$4,$U17%)</f>
        <v>4.8476402090778157</v>
      </c>
      <c r="AC17" s="23" t="str">
        <f ca="1">_xll.BDP($B17,AC$6, "YLD_YTM_ASK="&amp;$U17,"YAS_YLD_CONV=1")</f>
        <v>#N/A Requesting Data...</v>
      </c>
      <c r="AD17" s="22" t="e">
        <f t="shared" ca="1" si="3"/>
        <v>#VALUE!</v>
      </c>
      <c r="AE17" s="24">
        <f ca="1">_xll.meLWOBondDV01Numerical($N17,$C$4,$U17%, 0.5, "CENTRAL")</f>
        <v>429.16735575019516</v>
      </c>
    </row>
    <row r="18" spans="2:31">
      <c r="B18" s="15" t="s">
        <v>358</v>
      </c>
      <c r="C18" s="15" t="s">
        <v>359</v>
      </c>
      <c r="D18" s="15" t="s">
        <v>359</v>
      </c>
      <c r="E18" s="16">
        <v>34291</v>
      </c>
      <c r="F18" s="16">
        <v>34274</v>
      </c>
      <c r="G18" s="19" t="str">
        <f t="shared" si="0"/>
        <v/>
      </c>
      <c r="H18" s="16">
        <v>34455</v>
      </c>
      <c r="I18" s="16">
        <v>45047</v>
      </c>
      <c r="J18" s="48">
        <v>0.09</v>
      </c>
      <c r="K18" s="16">
        <v>45231</v>
      </c>
      <c r="L18" s="49">
        <v>93.75</v>
      </c>
      <c r="M18" s="15" t="s">
        <v>297</v>
      </c>
      <c r="N18" s="20" t="str">
        <f ca="1">_xll.meLWOBondCreateFromGeneratorLVB(C18,$N$4,_xll.meUtilityLVBFromKeysValues($C$6:$M$6,C18:M18))</f>
        <v>IT0000366655:1</v>
      </c>
      <c r="O18" s="92">
        <f ca="1">_xll.BDP($B18,$O$5)</f>
        <v>2.9987204872915507</v>
      </c>
      <c r="P18" s="89">
        <f ca="1">_xll.meLWOBondCleanPrice($N18,$C$4,$O18%)</f>
        <v>127.91711423453484</v>
      </c>
      <c r="Q18" s="89">
        <f ca="1">_xll.meLWOBondDirtyPrice($N18,$C$4,$O18%)</f>
        <v>132.05026423453484</v>
      </c>
      <c r="R18" s="72">
        <f ca="1">_xll.meLWOBondYield($N18,$C$4,P18)</f>
        <v>2.9987204872915507E-2</v>
      </c>
      <c r="S18" s="89">
        <f ca="1">_xll.meLWOBondModifiedDuration($N18,$C$4,$O18%)</f>
        <v>4.0840267353996653</v>
      </c>
      <c r="T18" s="23">
        <f ca="1">_xll.meLWOBondDV01($N18,$C$4,$O18%)</f>
        <v>539.29680955043045</v>
      </c>
      <c r="U18" s="85">
        <f t="shared" ca="1" si="4"/>
        <v>2.9987204872915507</v>
      </c>
      <c r="V18" s="22" t="str">
        <f ca="1">_xll.BDP($B18,V$6, "YAS_BOND_YLD="&amp;U18,"YAS_YLD_CONV=1")</f>
        <v>#N/A Requesting Data...</v>
      </c>
      <c r="W18" s="89">
        <f t="shared" ca="1" si="5"/>
        <v>127.91711423453484</v>
      </c>
      <c r="X18" s="24" t="e">
        <f t="shared" ca="1" si="1"/>
        <v>#VALUE!</v>
      </c>
      <c r="Y18" s="23">
        <f ca="1">_xll.meLWOBondDV01($N18,$C$4,$U18%)</f>
        <v>539.29680955043045</v>
      </c>
      <c r="Z18" s="22" t="e">
        <f ca="1">_xll.BDP($B18,Z$6, "YLD_YTM_ASK="&amp;$U18,"YAS_YLD_CONV=33")*$Z$3*0.0001</f>
        <v>#VALUE!</v>
      </c>
      <c r="AA18" s="24" t="e">
        <f t="shared" ca="1" si="2"/>
        <v>#VALUE!</v>
      </c>
      <c r="AB18" s="23">
        <f ca="1">_xll.meLWOBondModifiedDuration($N18,$C$4,$U18%)</f>
        <v>4.0840267353996653</v>
      </c>
      <c r="AC18" s="23" t="str">
        <f ca="1">_xll.BDP($B18,AC$6, "YLD_YTM_ASK="&amp;$U18,"YAS_YLD_CONV=1")</f>
        <v>#N/A Requesting Data...</v>
      </c>
      <c r="AD18" s="22" t="e">
        <f t="shared" ca="1" si="3"/>
        <v>#VALUE!</v>
      </c>
      <c r="AE18" s="24">
        <f ca="1">_xll.meLWOBondDV01Numerical($N18,$C$4,$U18%, 0.5, "CENTRAL")</f>
        <v>531.51751538848657</v>
      </c>
    </row>
    <row r="19" spans="2:31">
      <c r="B19" s="15" t="s">
        <v>392</v>
      </c>
      <c r="C19" s="15" t="s">
        <v>393</v>
      </c>
      <c r="D19" s="15" t="s">
        <v>393</v>
      </c>
      <c r="E19" s="16">
        <v>36003</v>
      </c>
      <c r="F19" s="16" t="s">
        <v>333</v>
      </c>
      <c r="G19" s="19" t="str">
        <f t="shared" si="0"/>
        <v/>
      </c>
      <c r="H19" s="16" t="s">
        <v>333</v>
      </c>
      <c r="I19" s="16" t="s">
        <v>333</v>
      </c>
      <c r="J19" s="48">
        <v>0</v>
      </c>
      <c r="K19" s="16">
        <v>45231</v>
      </c>
      <c r="L19" s="49" t="s">
        <v>333</v>
      </c>
      <c r="M19" s="15" t="s">
        <v>297</v>
      </c>
      <c r="N19" s="20" t="str">
        <f ca="1">_xll.meLWOBondCreateFromGeneratorLVB(C19,$N$4,_xll.meUtilityLVBFromKeysValues($C$6:$M$6,C19:M19))</f>
        <v>IT0004848435:1</v>
      </c>
      <c r="O19" s="92">
        <f ca="1">_xll.BDP($B19,$O$5)</f>
        <v>3.0696337254406014</v>
      </c>
      <c r="P19" s="89">
        <f ca="1">_xll.meLWOBondCleanPrice($N19,$C$4,$O19%)</f>
        <v>85.863299732056049</v>
      </c>
      <c r="Q19" s="89">
        <f ca="1">_xll.meLWOBondDirtyPrice($N19,$C$4,$O19%)</f>
        <v>85.863299732056049</v>
      </c>
      <c r="R19" s="72">
        <f ca="1">_xll.meLWOBondYield($N19,$C$4,P19)</f>
        <v>3.0696337254298767E-2</v>
      </c>
      <c r="S19" s="89">
        <f ca="1">_xll.meLWOBondModifiedDuration($N19,$C$4,$O19%)</f>
        <v>4.9651312002329728</v>
      </c>
      <c r="T19" s="23">
        <f ca="1">_xll.meLWOBondDV01($N19,$C$4,$O19%)</f>
        <v>426.32254845458692</v>
      </c>
      <c r="U19" s="85">
        <f t="shared" ca="1" si="4"/>
        <v>3.0696337254406014</v>
      </c>
      <c r="V19" s="22" t="str">
        <f ca="1">_xll.BDP($B19,V$6, "YAS_BOND_YLD="&amp;U19,"YAS_YLD_CONV=1")</f>
        <v>#N/A Requesting Data...</v>
      </c>
      <c r="W19" s="89">
        <f t="shared" ca="1" si="5"/>
        <v>85.863299732056049</v>
      </c>
      <c r="X19" s="24" t="e">
        <f t="shared" ca="1" si="1"/>
        <v>#VALUE!</v>
      </c>
      <c r="Y19" s="23">
        <f ca="1">_xll.meLWOBondDV01($N19,$C$4,$U19%)</f>
        <v>426.32254845458692</v>
      </c>
      <c r="Z19" s="22" t="e">
        <f ca="1">_xll.BDP($B19,Z$6, "YLD_YTM_ASK="&amp;$U19,"YAS_YLD_CONV=33")*$Z$3*0.0001</f>
        <v>#VALUE!</v>
      </c>
      <c r="AA19" s="24" t="e">
        <f t="shared" ca="1" si="2"/>
        <v>#VALUE!</v>
      </c>
      <c r="AB19" s="23">
        <f ca="1">_xll.meLWOBondModifiedDuration($N19,$C$4,$U19%)</f>
        <v>4.9651312002329728</v>
      </c>
      <c r="AC19" s="23" t="str">
        <f ca="1">_xll.BDP($B19,AC$6, "YLD_YTM_ASK="&amp;$U19,"YAS_YLD_CONV=1")</f>
        <v>#N/A Requesting Data...</v>
      </c>
      <c r="AD19" s="22" t="e">
        <f t="shared" ca="1" si="3"/>
        <v>#VALUE!</v>
      </c>
      <c r="AE19" s="24">
        <f ca="1">_xll.meLWOBondDV01Numerical($N19,$C$4,$U19%, 0.5, "CENTRAL")</f>
        <v>419.94864443481111</v>
      </c>
    </row>
    <row r="20" spans="2:31">
      <c r="B20" s="15" t="s">
        <v>614</v>
      </c>
      <c r="C20" s="15" t="s">
        <v>615</v>
      </c>
      <c r="D20" s="15" t="s">
        <v>615</v>
      </c>
      <c r="E20" s="16">
        <v>36003</v>
      </c>
      <c r="F20" s="16" t="s">
        <v>333</v>
      </c>
      <c r="G20" s="19" t="str">
        <f t="shared" si="0"/>
        <v/>
      </c>
      <c r="H20" s="16" t="s">
        <v>333</v>
      </c>
      <c r="I20" s="16" t="s">
        <v>333</v>
      </c>
      <c r="J20" s="48">
        <v>0</v>
      </c>
      <c r="K20" s="16">
        <v>45231</v>
      </c>
      <c r="L20" s="49" t="s">
        <v>333</v>
      </c>
      <c r="M20" s="15" t="s">
        <v>297</v>
      </c>
      <c r="N20" s="20" t="str">
        <f ca="1">_xll.meLWOBondCreateFromGeneratorLVB(C20,$N$4,_xll.meUtilityLVBFromKeysValues($C$6:$M$6,C20:M20))</f>
        <v>IT0001246799:1</v>
      </c>
      <c r="O20" s="92">
        <f ca="1">_xll.BDP($B20,$O$5)</f>
        <v>2.6495456483771607</v>
      </c>
      <c r="P20" s="89">
        <f ca="1">_xll.meLWOBondCleanPrice($N20,$C$4,$O20%)</f>
        <v>87.649381726084869</v>
      </c>
      <c r="Q20" s="89">
        <f ca="1">_xll.meLWOBondDirtyPrice($N20,$C$4,$O20%)</f>
        <v>87.649381726084869</v>
      </c>
      <c r="R20" s="72">
        <f ca="1">_xll.meLWOBondYield($N20,$C$4,P20)</f>
        <v>2.6495456483757174E-2</v>
      </c>
      <c r="S20" s="89">
        <f ca="1">_xll.meLWOBondModifiedDuration($N20,$C$4,$O20%)</f>
        <v>4.9752806010929946</v>
      </c>
      <c r="T20" s="23">
        <f ca="1">_xll.meLWOBondDV01($N20,$C$4,$O20%)</f>
        <v>436.08026859958488</v>
      </c>
      <c r="U20" s="85">
        <f t="shared" ca="1" si="4"/>
        <v>2.6495456483771607</v>
      </c>
      <c r="V20" s="22" t="str">
        <f ca="1">_xll.BDP($B20,V$6, "YAS_BOND_YLD="&amp;U20,"YAS_YLD_CONV=1")</f>
        <v>#N/A Requesting Data...</v>
      </c>
      <c r="W20" s="89">
        <f t="shared" ca="1" si="5"/>
        <v>87.649381726084869</v>
      </c>
      <c r="X20" s="24" t="e">
        <f t="shared" ca="1" si="1"/>
        <v>#VALUE!</v>
      </c>
      <c r="Y20" s="23">
        <f ca="1">_xll.meLWOBondDV01($N20,$C$4,$U20%)</f>
        <v>436.08026859958488</v>
      </c>
      <c r="Z20" s="22" t="e">
        <f ca="1">_xll.BDP($B20,Z$6, "YLD_YTM_ASK="&amp;$U20,"YAS_YLD_CONV=33")*$Z$3*0.0001</f>
        <v>#VALUE!</v>
      </c>
      <c r="AA20" s="24" t="e">
        <f t="shared" ca="1" si="2"/>
        <v>#VALUE!</v>
      </c>
      <c r="AB20" s="23">
        <f ca="1">_xll.meLWOBondModifiedDuration($N20,$C$4,$U20%)</f>
        <v>4.9752806010929946</v>
      </c>
      <c r="AC20" s="23" t="str">
        <f ca="1">_xll.BDP($B20,AC$6, "YLD_YTM_ASK="&amp;$U20,"YAS_YLD_CONV=1")</f>
        <v>#N/A Requesting Data...</v>
      </c>
      <c r="AD20" s="22" t="e">
        <f t="shared" ca="1" si="3"/>
        <v>#VALUE!</v>
      </c>
      <c r="AE20" s="24">
        <f ca="1">_xll.meLWOBondDV01Numerical($N20,$C$4,$U20%, 0.5, "CENTRAL")</f>
        <v>430.43855779856699</v>
      </c>
    </row>
    <row r="21" spans="2:31">
      <c r="B21" s="15" t="s">
        <v>636</v>
      </c>
      <c r="C21" s="15" t="s">
        <v>637</v>
      </c>
      <c r="D21" s="15" t="s">
        <v>637</v>
      </c>
      <c r="E21" s="16">
        <v>36003</v>
      </c>
      <c r="F21" s="16" t="s">
        <v>333</v>
      </c>
      <c r="G21" s="19" t="str">
        <f t="shared" si="0"/>
        <v/>
      </c>
      <c r="H21" s="16" t="s">
        <v>333</v>
      </c>
      <c r="I21" s="16" t="s">
        <v>333</v>
      </c>
      <c r="J21" s="48">
        <v>0</v>
      </c>
      <c r="K21" s="16">
        <v>45231</v>
      </c>
      <c r="L21" s="49" t="s">
        <v>333</v>
      </c>
      <c r="M21" s="15" t="s">
        <v>297</v>
      </c>
      <c r="N21" s="20" t="str">
        <f ca="1">_xll.meLWOBondCreateFromGeneratorLVB(C21,$N$4,_xll.meUtilityLVBFromKeysValues($C$6:$M$6,C21:M21))</f>
        <v>IT0001247326:1</v>
      </c>
      <c r="O21" s="92">
        <f ca="1">_xll.BDP($B21,$O$5)</f>
        <v>2.9320716092621435</v>
      </c>
      <c r="P21" s="89">
        <f ca="1">_xll.meLWOBondCleanPrice($N21,$C$4,$O21%)</f>
        <v>86.443326143506198</v>
      </c>
      <c r="Q21" s="89">
        <f ca="1">_xll.meLWOBondDirtyPrice($N21,$C$4,$O21%)</f>
        <v>86.443326143506198</v>
      </c>
      <c r="R21" s="72">
        <f ca="1">_xll.meLWOBondYield($N21,$C$4,P21)</f>
        <v>2.9320716092558374E-2</v>
      </c>
      <c r="S21" s="89">
        <f ca="1">_xll.meLWOBondModifiedDuration($N21,$C$4,$O21%)</f>
        <v>4.9684478822719171</v>
      </c>
      <c r="T21" s="23">
        <f ca="1">_xll.meLWOBondDV01($N21,$C$4,$O21%)</f>
        <v>429.48916071424401</v>
      </c>
      <c r="U21" s="85">
        <f t="shared" ca="1" si="4"/>
        <v>2.9320716092621435</v>
      </c>
      <c r="V21" s="22" t="str">
        <f ca="1">_xll.BDP($B21,V$6, "YAS_BOND_YLD="&amp;U21,"YAS_YLD_CONV=1")</f>
        <v>#N/A Requesting Data...</v>
      </c>
      <c r="W21" s="89">
        <f t="shared" ca="1" si="5"/>
        <v>86.443326143506198</v>
      </c>
      <c r="X21" s="24" t="e">
        <f t="shared" ca="1" si="1"/>
        <v>#VALUE!</v>
      </c>
      <c r="Y21" s="23">
        <f ca="1">_xll.meLWOBondDV01($N21,$C$4,$U21%)</f>
        <v>429.48916071424401</v>
      </c>
      <c r="Z21" s="22" t="e">
        <f ca="1">_xll.BDP($B21,Z$6, "YLD_YTM_ASK="&amp;$U21,"YAS_YLD_CONV=33")*$Z$3*0.0001</f>
        <v>#VALUE!</v>
      </c>
      <c r="AA21" s="24" t="e">
        <f t="shared" ca="1" si="2"/>
        <v>#VALUE!</v>
      </c>
      <c r="AB21" s="23">
        <f ca="1">_xll.meLWOBondModifiedDuration($N21,$C$4,$U21%)</f>
        <v>4.9684478822719171</v>
      </c>
      <c r="AC21" s="23" t="str">
        <f ca="1">_xll.BDP($B21,AC$6, "YLD_YTM_ASK="&amp;$U21,"YAS_YLD_CONV=1")</f>
        <v>#N/A Requesting Data...</v>
      </c>
      <c r="AD21" s="22" t="e">
        <f t="shared" ca="1" si="3"/>
        <v>#VALUE!</v>
      </c>
      <c r="AE21" s="24">
        <f ca="1">_xll.meLWOBondDV01Numerical($N21,$C$4,$U21%, 0.5, "CENTRAL")</f>
        <v>423.35052020789021</v>
      </c>
    </row>
    <row r="22" spans="2:31">
      <c r="B22" s="15" t="s">
        <v>368</v>
      </c>
      <c r="C22" s="15" t="s">
        <v>369</v>
      </c>
      <c r="D22" s="15" t="s">
        <v>369</v>
      </c>
      <c r="E22" s="16">
        <v>34325</v>
      </c>
      <c r="F22" s="16">
        <v>34325</v>
      </c>
      <c r="G22" s="19" t="str">
        <f t="shared" si="0"/>
        <v/>
      </c>
      <c r="H22" s="16">
        <v>34507</v>
      </c>
      <c r="I22" s="16">
        <v>45099</v>
      </c>
      <c r="J22" s="48">
        <v>8.5000000000000006E-2</v>
      </c>
      <c r="K22" s="16">
        <v>45282</v>
      </c>
      <c r="L22" s="49">
        <v>92.5</v>
      </c>
      <c r="M22" s="15" t="s">
        <v>297</v>
      </c>
      <c r="N22" s="20" t="str">
        <f ca="1">_xll.meLWOBondCreateFromGeneratorLVB(C22,$N$4,_xll.meUtilityLVBFromKeysValues($C$6:$M$6,C22:M22))</f>
        <v>IT0000366721:1</v>
      </c>
      <c r="O22" s="92">
        <f ca="1">_xll.BDP($B22,$O$5)</f>
        <v>2.7455626473854799</v>
      </c>
      <c r="P22" s="89">
        <f ca="1">_xll.meLWOBondCleanPrice($N22,$C$4,$O22%)</f>
        <v>127.61100343876114</v>
      </c>
      <c r="Q22" s="89">
        <f ca="1">_xll.meLWOBondDirtyPrice($N22,$C$4,$O22%)</f>
        <v>130.32821343876114</v>
      </c>
      <c r="R22" s="72">
        <f ca="1">_xll.meLWOBondYield($N22,$C$4,P22)</f>
        <v>2.7455626473854799E-2</v>
      </c>
      <c r="S22" s="89">
        <f ca="1">_xll.meLWOBondModifiedDuration($N22,$C$4,$O22%)</f>
        <v>4.2702790157131032</v>
      </c>
      <c r="T22" s="23">
        <f ca="1">_xll.meLWOBondDV01($N22,$C$4,$O22%)</f>
        <v>556.53783500292013</v>
      </c>
      <c r="U22" s="85">
        <f t="shared" ca="1" si="4"/>
        <v>2.7455626473854799</v>
      </c>
      <c r="V22" s="22" t="str">
        <f ca="1">_xll.BDP($B22,V$6, "YAS_BOND_YLD="&amp;U22,"YAS_YLD_CONV=1")</f>
        <v>#N/A Requesting Data...</v>
      </c>
      <c r="W22" s="89">
        <f t="shared" ca="1" si="5"/>
        <v>127.61100343876114</v>
      </c>
      <c r="X22" s="24" t="e">
        <f t="shared" ca="1" si="1"/>
        <v>#VALUE!</v>
      </c>
      <c r="Y22" s="23">
        <f ca="1">_xll.meLWOBondDV01($N22,$C$4,$U22%)</f>
        <v>556.53783500292013</v>
      </c>
      <c r="Z22" s="22" t="e">
        <f ca="1">_xll.BDP($B22,Z$6, "YLD_YTM_ASK="&amp;$U22,"YAS_YLD_CONV=33")*$Z$3*0.0001</f>
        <v>#VALUE!</v>
      </c>
      <c r="AA22" s="24" t="e">
        <f t="shared" ca="1" si="2"/>
        <v>#VALUE!</v>
      </c>
      <c r="AB22" s="23">
        <f ca="1">_xll.meLWOBondModifiedDuration($N22,$C$4,$U22%)</f>
        <v>4.2702790157131032</v>
      </c>
      <c r="AC22" s="23" t="str">
        <f ca="1">_xll.BDP($B22,AC$6, "YLD_YTM_ASK="&amp;$U22,"YAS_YLD_CONV=1")</f>
        <v>#N/A Requesting Data...</v>
      </c>
      <c r="AD22" s="22" t="e">
        <f t="shared" ca="1" si="3"/>
        <v>#VALUE!</v>
      </c>
      <c r="AE22" s="24">
        <f ca="1">_xll.meLWOBondDV01Numerical($N22,$C$4,$U22%, 0.5, "CENTRAL")</f>
        <v>548.41408051402141</v>
      </c>
    </row>
    <row r="23" spans="2:31">
      <c r="B23" s="15" t="s">
        <v>616</v>
      </c>
      <c r="C23" s="15" t="s">
        <v>617</v>
      </c>
      <c r="D23" s="15" t="s">
        <v>617</v>
      </c>
      <c r="E23" s="16">
        <v>37333</v>
      </c>
      <c r="F23" s="16" t="s">
        <v>333</v>
      </c>
      <c r="G23" s="19" t="str">
        <f t="shared" si="0"/>
        <v/>
      </c>
      <c r="H23" s="16" t="s">
        <v>333</v>
      </c>
      <c r="I23" s="16" t="s">
        <v>333</v>
      </c>
      <c r="J23" s="48">
        <v>0</v>
      </c>
      <c r="K23" s="16">
        <v>45323</v>
      </c>
      <c r="L23" s="49" t="s">
        <v>333</v>
      </c>
      <c r="M23" s="15" t="s">
        <v>297</v>
      </c>
      <c r="N23" s="20" t="str">
        <f ca="1">_xll.meLWOBondCreateFromGeneratorLVB(C23,$N$4,_xll.meUtilityLVBFromKeysValues($C$6:$M$6,C23:M23))</f>
        <v>IT0003268809:1</v>
      </c>
      <c r="O23" s="92">
        <f ca="1">_xll.BDP($B23,$O$5)</f>
        <v>3.1747692529839888</v>
      </c>
      <c r="P23" s="89">
        <f ca="1">_xll.meLWOBondCleanPrice($N23,$C$4,$O23%)</f>
        <v>84.758880686045714</v>
      </c>
      <c r="Q23" s="89">
        <f ca="1">_xll.meLWOBondDirtyPrice($N23,$C$4,$O23%)</f>
        <v>84.758880686045714</v>
      </c>
      <c r="R23" s="72">
        <f ca="1">_xll.meLWOBondYield($N23,$C$4,P23)</f>
        <v>3.1747692529839888E-2</v>
      </c>
      <c r="S23" s="89">
        <f ca="1">_xll.meLWOBondModifiedDuration($N23,$C$4,$O23%)</f>
        <v>5.2087244087238194</v>
      </c>
      <c r="T23" s="23">
        <f ca="1">_xll.meLWOBondDV01($N23,$C$4,$O23%)</f>
        <v>441.48565068551619</v>
      </c>
      <c r="U23" s="85">
        <f t="shared" ca="1" si="4"/>
        <v>3.1747692529839888</v>
      </c>
      <c r="V23" s="22" t="str">
        <f ca="1">_xll.BDP($B23,V$6, "YAS_BOND_YLD="&amp;U23,"YAS_YLD_CONV=1")</f>
        <v>#N/A Requesting Data...</v>
      </c>
      <c r="W23" s="89">
        <f t="shared" ca="1" si="5"/>
        <v>84.758880686045714</v>
      </c>
      <c r="X23" s="24" t="e">
        <f t="shared" ca="1" si="1"/>
        <v>#VALUE!</v>
      </c>
      <c r="Y23" s="23">
        <f ca="1">_xll.meLWOBondDV01($N23,$C$4,$U23%)</f>
        <v>441.48565068551619</v>
      </c>
      <c r="Z23" s="22" t="e">
        <f ca="1">_xll.BDP($B23,Z$6, "YLD_YTM_ASK="&amp;$U23,"YAS_YLD_CONV=33")*$Z$3*0.0001</f>
        <v>#VALUE!</v>
      </c>
      <c r="AA23" s="24" t="e">
        <f t="shared" ca="1" si="2"/>
        <v>#VALUE!</v>
      </c>
      <c r="AB23" s="23">
        <f ca="1">_xll.meLWOBondModifiedDuration($N23,$C$4,$U23%)</f>
        <v>5.2087244087238194</v>
      </c>
      <c r="AC23" s="23" t="str">
        <f ca="1">_xll.BDP($B23,AC$6, "YLD_YTM_ASK="&amp;$U23,"YAS_YLD_CONV=1")</f>
        <v>#N/A Requesting Data...</v>
      </c>
      <c r="AD23" s="22" t="e">
        <f t="shared" ca="1" si="3"/>
        <v>#VALUE!</v>
      </c>
      <c r="AE23" s="24">
        <f ca="1">_xll.meLWOBondDV01Numerical($N23,$C$4,$U23%, 0.5, "CENTRAL")</f>
        <v>434.64385536111649</v>
      </c>
    </row>
    <row r="24" spans="2:31">
      <c r="B24" s="15" t="s">
        <v>323</v>
      </c>
      <c r="C24" s="15" t="s">
        <v>324</v>
      </c>
      <c r="D24" s="15" t="s">
        <v>324</v>
      </c>
      <c r="E24" s="16">
        <v>41487</v>
      </c>
      <c r="F24" s="16">
        <v>41487</v>
      </c>
      <c r="G24" s="19" t="str">
        <f t="shared" si="0"/>
        <v/>
      </c>
      <c r="H24" s="16">
        <v>41518</v>
      </c>
      <c r="I24" s="16">
        <v>45170</v>
      </c>
      <c r="J24" s="48">
        <v>4.4999999999999998E-2</v>
      </c>
      <c r="K24" s="16">
        <v>45352</v>
      </c>
      <c r="L24" s="49">
        <v>100.77</v>
      </c>
      <c r="M24" s="15" t="s">
        <v>297</v>
      </c>
      <c r="N24" s="20" t="str">
        <f ca="1">_xll.meLWOBondCreateFromGeneratorLVB(C24,$N$4,_xll.meUtilityLVBFromKeysValues($C$6:$M$6,C24:M24))</f>
        <v>IT0004953417:0</v>
      </c>
      <c r="O24" s="92">
        <f ca="1">_xll.BDP($B24,$O$5)</f>
        <v>3.1460044309693291</v>
      </c>
      <c r="P24" s="89">
        <f ca="1">_xll.meLWOBondCleanPrice($N24,$C$4,$O24%)</f>
        <v>106.7660020246965</v>
      </c>
      <c r="Q24" s="89">
        <f ca="1">_xll.meLWOBondDirtyPrice($N24,$C$4,$O24%)</f>
        <v>107.33782202469651</v>
      </c>
      <c r="R24" s="72">
        <f ca="1">_xll.meLWOBondYield($N24,$C$4,P24)</f>
        <v>3.1460044309699509E-2</v>
      </c>
      <c r="S24" s="89">
        <f ca="1">_xll.meLWOBondModifiedDuration($N24,$C$4,$O24%)</f>
        <v>4.7543863824174046</v>
      </c>
      <c r="T24" s="23">
        <f ca="1">_xll.meLWOBondDV01($N24,$C$4,$O24%)</f>
        <v>510.32547935256008</v>
      </c>
      <c r="U24" s="85">
        <f t="shared" ca="1" si="4"/>
        <v>3.1460044309693291</v>
      </c>
      <c r="V24" s="22" t="str">
        <f ca="1">_xll.BDP($B24,V$6, "YAS_BOND_YLD="&amp;U24,"YAS_YLD_CONV=1")</f>
        <v>#N/A Requesting Data...</v>
      </c>
      <c r="W24" s="89">
        <f t="shared" ca="1" si="5"/>
        <v>106.7660020246965</v>
      </c>
      <c r="X24" s="24" t="e">
        <f t="shared" ca="1" si="1"/>
        <v>#VALUE!</v>
      </c>
      <c r="Y24" s="23">
        <f ca="1">_xll.meLWOBondDV01($N24,$C$4,$U24%)</f>
        <v>510.32547935256008</v>
      </c>
      <c r="Z24" s="22" t="e">
        <f ca="1">_xll.BDP($B24,Z$6, "YLD_YTM_ASK="&amp;$U24,"YAS_YLD_CONV=33")*$Z$3*0.0001</f>
        <v>#VALUE!</v>
      </c>
      <c r="AA24" s="24" t="e">
        <f t="shared" ca="1" si="2"/>
        <v>#VALUE!</v>
      </c>
      <c r="AB24" s="23">
        <f ca="1">_xll.meLWOBondModifiedDuration($N24,$C$4,$U24%)</f>
        <v>4.7543863824174046</v>
      </c>
      <c r="AC24" s="23" t="str">
        <f ca="1">_xll.BDP($B24,AC$6, "YLD_YTM_ASK="&amp;$U24,"YAS_YLD_CONV=1")</f>
        <v>#N/A Requesting Data...</v>
      </c>
      <c r="AD24" s="22" t="e">
        <f t="shared" ca="1" si="3"/>
        <v>#VALUE!</v>
      </c>
      <c r="AE24" s="24">
        <f ca="1">_xll.meLWOBondDV01Numerical($N24,$C$4,$U24%, 0.5, "CENTRAL")</f>
        <v>502.49408124983574</v>
      </c>
    </row>
    <row r="25" spans="2:31">
      <c r="B25" s="15" t="s">
        <v>652</v>
      </c>
      <c r="C25" s="15" t="s">
        <v>653</v>
      </c>
      <c r="D25" s="15" t="s">
        <v>653</v>
      </c>
      <c r="E25" s="16">
        <v>40450</v>
      </c>
      <c r="F25" s="16" t="s">
        <v>333</v>
      </c>
      <c r="G25" s="19" t="str">
        <f t="shared" si="0"/>
        <v/>
      </c>
      <c r="H25" s="16" t="s">
        <v>333</v>
      </c>
      <c r="I25" s="16" t="s">
        <v>333</v>
      </c>
      <c r="J25" s="48">
        <v>0</v>
      </c>
      <c r="K25" s="16">
        <v>45352</v>
      </c>
      <c r="L25" s="49" t="s">
        <v>333</v>
      </c>
      <c r="M25" s="15" t="s">
        <v>297</v>
      </c>
      <c r="N25" s="20" t="str">
        <f ca="1">_xll.meLWOBondCreateFromGeneratorLVB(C25,$N$4,_xll.meUtilityLVBFromKeysValues($C$6:$M$6,C25:M25))</f>
        <v>IT0004534266:1</v>
      </c>
      <c r="O25" s="92">
        <f ca="1">_xll.BDP($B25,$O$5)</f>
        <v>3.1136961169695665</v>
      </c>
      <c r="P25" s="89">
        <f ca="1">_xll.meLWOBondCleanPrice($N25,$C$4,$O25%)</f>
        <v>84.810999999185199</v>
      </c>
      <c r="Q25" s="89">
        <f ca="1">_xll.meLWOBondDirtyPrice($N25,$C$4,$O25%)</f>
        <v>84.810999999185199</v>
      </c>
      <c r="R25" s="72">
        <f ca="1">_xll.meLWOBondYield($N25,$C$4,P25)</f>
        <v>3.1136961169526911E-2</v>
      </c>
      <c r="S25" s="89">
        <f ca="1">_xll.meLWOBondModifiedDuration($N25,$C$4,$O25%)</f>
        <v>5.2911839219597825</v>
      </c>
      <c r="T25" s="23">
        <f ca="1">_xll.meLWOBondDV01($N25,$C$4,$O25%)</f>
        <v>448.75059960101987</v>
      </c>
      <c r="U25" s="85">
        <f t="shared" ca="1" si="4"/>
        <v>3.1136961169695665</v>
      </c>
      <c r="V25" s="22" t="str">
        <f ca="1">_xll.BDP($B25,V$6, "YAS_BOND_YLD="&amp;U25,"YAS_YLD_CONV=1")</f>
        <v>#N/A Requesting Data...</v>
      </c>
      <c r="W25" s="89">
        <f t="shared" ca="1" si="5"/>
        <v>84.810999999185199</v>
      </c>
      <c r="X25" s="24" t="e">
        <f t="shared" ca="1" si="1"/>
        <v>#VALUE!</v>
      </c>
      <c r="Y25" s="23">
        <f ca="1">_xll.meLWOBondDV01($N25,$C$4,$U25%)</f>
        <v>448.75059960101987</v>
      </c>
      <c r="Z25" s="22" t="e">
        <f ca="1">_xll.BDP($B25,Z$6, "YLD_YTM_ASK="&amp;$U25,"YAS_YLD_CONV=33")*$Z$3*0.0001</f>
        <v>#VALUE!</v>
      </c>
      <c r="AA25" s="24" t="e">
        <f t="shared" ca="1" si="2"/>
        <v>#VALUE!</v>
      </c>
      <c r="AB25" s="23">
        <f ca="1">_xll.meLWOBondModifiedDuration($N25,$C$4,$U25%)</f>
        <v>5.2911839219597825</v>
      </c>
      <c r="AC25" s="23" t="str">
        <f ca="1">_xll.BDP($B25,AC$6, "YLD_YTM_ASK="&amp;$U25,"YAS_YLD_CONV=1")</f>
        <v>#N/A Requesting Data...</v>
      </c>
      <c r="AD25" s="22" t="e">
        <f t="shared" ca="1" si="3"/>
        <v>#VALUE!</v>
      </c>
      <c r="AE25" s="24">
        <f ca="1">_xll.meLWOBondDV01Numerical($N25,$C$4,$U25%, 0.5, "CENTRAL")</f>
        <v>441.9232722231925</v>
      </c>
    </row>
    <row r="26" spans="2:31">
      <c r="B26" s="15" t="s">
        <v>476</v>
      </c>
      <c r="C26" s="15" t="s">
        <v>477</v>
      </c>
      <c r="D26" s="15" t="s">
        <v>477</v>
      </c>
      <c r="E26" s="16">
        <v>36003</v>
      </c>
      <c r="F26" s="16" t="s">
        <v>333</v>
      </c>
      <c r="G26" s="19" t="str">
        <f t="shared" si="0"/>
        <v/>
      </c>
      <c r="H26" s="16" t="s">
        <v>333</v>
      </c>
      <c r="I26" s="16" t="s">
        <v>333</v>
      </c>
      <c r="J26" s="48">
        <v>0</v>
      </c>
      <c r="K26" s="16">
        <v>45413</v>
      </c>
      <c r="L26" s="49" t="s">
        <v>333</v>
      </c>
      <c r="M26" s="15" t="s">
        <v>297</v>
      </c>
      <c r="N26" s="20" t="str">
        <f ca="1">_xll.meLWOBondCreateFromGeneratorLVB(C26,$N$4,_xll.meUtilityLVBFromKeysValues($C$6:$M$6,C26:M26))</f>
        <v>IT0001247334:1</v>
      </c>
      <c r="O26" s="92">
        <f ca="1">_xll.BDP($B26,$O$5)</f>
        <v>3.1781273003986144</v>
      </c>
      <c r="P26" s="89">
        <f ca="1">_xll.meLWOBondCleanPrice($N26,$C$4,$O26%)</f>
        <v>84.076211895778513</v>
      </c>
      <c r="Q26" s="89">
        <f ca="1">_xll.meLWOBondDirtyPrice($N26,$C$4,$O26%)</f>
        <v>84.076211895778513</v>
      </c>
      <c r="R26" s="72">
        <f ca="1">_xll.meLWOBondYield($N26,$C$4,P26)</f>
        <v>3.1781273003808064E-2</v>
      </c>
      <c r="S26" s="89">
        <f ca="1">_xll.meLWOBondModifiedDuration($N26,$C$4,$O26%)</f>
        <v>5.4547592390928523</v>
      </c>
      <c r="T26" s="23">
        <f ca="1">_xll.meLWOBondDV01($N26,$C$4,$O26%)</f>
        <v>458.6154936264262</v>
      </c>
      <c r="U26" s="85">
        <f t="shared" ca="1" si="4"/>
        <v>3.1781273003986144</v>
      </c>
      <c r="V26" s="22" t="str">
        <f ca="1">_xll.BDP($B26,V$6, "YAS_BOND_YLD="&amp;U26,"YAS_YLD_CONV=1")</f>
        <v>#N/A Requesting Data...</v>
      </c>
      <c r="W26" s="89">
        <f t="shared" ca="1" si="5"/>
        <v>84.076211895778513</v>
      </c>
      <c r="X26" s="24" t="e">
        <f t="shared" ca="1" si="1"/>
        <v>#VALUE!</v>
      </c>
      <c r="Y26" s="23">
        <f ca="1">_xll.meLWOBondDV01($N26,$C$4,$U26%)</f>
        <v>458.6154936264262</v>
      </c>
      <c r="Z26" s="22" t="e">
        <f ca="1">_xll.BDP($B26,Z$6, "YLD_YTM_ASK="&amp;$U26,"YAS_YLD_CONV=33")*$Z$3*0.0001</f>
        <v>#VALUE!</v>
      </c>
      <c r="AA26" s="24" t="e">
        <f t="shared" ca="1" si="2"/>
        <v>#VALUE!</v>
      </c>
      <c r="AB26" s="23">
        <f ca="1">_xll.meLWOBondModifiedDuration($N26,$C$4,$U26%)</f>
        <v>5.4547592390928523</v>
      </c>
      <c r="AC26" s="23" t="str">
        <f ca="1">_xll.BDP($B26,AC$6, "YLD_YTM_ASK="&amp;$U26,"YAS_YLD_CONV=1")</f>
        <v>#N/A Requesting Data...</v>
      </c>
      <c r="AD26" s="22" t="e">
        <f t="shared" ca="1" si="3"/>
        <v>#VALUE!</v>
      </c>
      <c r="AE26" s="24">
        <f ca="1">_xll.meLWOBondDV01Numerical($N26,$C$4,$U26%, 0.5, "CENTRAL")</f>
        <v>451.74288746721913</v>
      </c>
    </row>
    <row r="27" spans="2:31">
      <c r="B27" s="15" t="s">
        <v>304</v>
      </c>
      <c r="C27" s="15" t="s">
        <v>305</v>
      </c>
      <c r="D27" s="15" t="s">
        <v>305</v>
      </c>
      <c r="E27" s="16">
        <v>42809</v>
      </c>
      <c r="F27" s="16">
        <v>42809</v>
      </c>
      <c r="G27" s="19" t="str">
        <f t="shared" si="0"/>
        <v/>
      </c>
      <c r="H27" s="16">
        <v>42870</v>
      </c>
      <c r="I27" s="16">
        <v>45245</v>
      </c>
      <c r="J27" s="48">
        <v>1.8500000000000003E-2</v>
      </c>
      <c r="K27" s="16">
        <v>45427</v>
      </c>
      <c r="L27" s="49">
        <v>99.71</v>
      </c>
      <c r="M27" s="15" t="s">
        <v>297</v>
      </c>
      <c r="N27" s="20" t="str">
        <f ca="1">_xll.meLWOBondCreateFromGeneratorLVB(C27,$N$4,_xll.meUtilityLVBFromKeysValues($C$6:$M$6,C27:M27))</f>
        <v>IT0005246340:1</v>
      </c>
      <c r="O27" s="92">
        <f ca="1">_xll.BDP($B27,$O$5)</f>
        <v>3.1000109386981833</v>
      </c>
      <c r="P27" s="89">
        <f ca="1">_xll.meLWOBondCleanPrice($N27,$C$4,$O27%)</f>
        <v>93.755755858451678</v>
      </c>
      <c r="Q27" s="89">
        <f ca="1">_xll.meLWOBondDirtyPrice($N27,$C$4,$O27%)</f>
        <v>94.534965858451685</v>
      </c>
      <c r="R27" s="72">
        <f ca="1">_xll.meLWOBondYield($N27,$C$4,P27)</f>
        <v>3.1000109386989161E-2</v>
      </c>
      <c r="S27" s="89">
        <f ca="1">_xll.meLWOBondModifiedDuration($N27,$C$4,$O27%)</f>
        <v>5.1925467041781106</v>
      </c>
      <c r="T27" s="23">
        <f ca="1">_xll.meLWOBondDV01($N27,$C$4,$O27%)</f>
        <v>490.87722539789354</v>
      </c>
      <c r="U27" s="85">
        <f t="shared" ca="1" si="4"/>
        <v>3.1000109386981833</v>
      </c>
      <c r="V27" s="22" t="str">
        <f ca="1">_xll.BDP($B27,V$6, "YAS_BOND_YLD="&amp;U27,"YAS_YLD_CONV=1")</f>
        <v>#N/A Requesting Data...</v>
      </c>
      <c r="W27" s="89">
        <f t="shared" ca="1" si="5"/>
        <v>93.755755858451678</v>
      </c>
      <c r="X27" s="24" t="e">
        <f t="shared" ca="1" si="1"/>
        <v>#VALUE!</v>
      </c>
      <c r="Y27" s="23">
        <f ca="1">_xll.meLWOBondDV01($N27,$C$4,$U27%)</f>
        <v>490.87722539789354</v>
      </c>
      <c r="Z27" s="22" t="e">
        <f ca="1">_xll.BDP($B27,Z$6, "YLD_YTM_ASK="&amp;$U27,"YAS_YLD_CONV=33")*$Z$3*0.0001</f>
        <v>#VALUE!</v>
      </c>
      <c r="AA27" s="24" t="e">
        <f t="shared" ca="1" si="2"/>
        <v>#VALUE!</v>
      </c>
      <c r="AB27" s="23">
        <f ca="1">_xll.meLWOBondModifiedDuration($N27,$C$4,$U27%)</f>
        <v>5.1925467041781106</v>
      </c>
      <c r="AC27" s="23" t="str">
        <f ca="1">_xll.BDP($B27,AC$6, "YLD_YTM_ASK="&amp;$U27,"YAS_YLD_CONV=1")</f>
        <v>#N/A Requesting Data...</v>
      </c>
      <c r="AD27" s="22" t="e">
        <f t="shared" ca="1" si="3"/>
        <v>#VALUE!</v>
      </c>
      <c r="AE27" s="24">
        <f ca="1">_xll.meLWOBondDV01Numerical($N27,$C$4,$U27%, 0.5, "CENTRAL")</f>
        <v>483.45783642531615</v>
      </c>
    </row>
    <row r="28" spans="2:31">
      <c r="B28" s="15" t="s">
        <v>520</v>
      </c>
      <c r="C28" s="15" t="s">
        <v>521</v>
      </c>
      <c r="D28" s="15" t="s">
        <v>521</v>
      </c>
      <c r="E28" s="16">
        <v>37333</v>
      </c>
      <c r="F28" s="16" t="s">
        <v>333</v>
      </c>
      <c r="G28" s="19" t="str">
        <f t="shared" si="0"/>
        <v/>
      </c>
      <c r="H28" s="16" t="s">
        <v>333</v>
      </c>
      <c r="I28" s="16" t="s">
        <v>333</v>
      </c>
      <c r="J28" s="48">
        <v>0</v>
      </c>
      <c r="K28" s="16">
        <v>45505</v>
      </c>
      <c r="L28" s="49" t="s">
        <v>333</v>
      </c>
      <c r="M28" s="15" t="s">
        <v>297</v>
      </c>
      <c r="N28" s="20" t="str">
        <f ca="1">_xll.meLWOBondCreateFromGeneratorLVB(C28,$N$4,_xll.meUtilityLVBFromKeysValues($C$6:$M$6,C28:M28))</f>
        <v>IT0003268817:1</v>
      </c>
      <c r="O28" s="92">
        <f ca="1">_xll.BDP($B28,$O$5)</f>
        <v>3.2605814347286044</v>
      </c>
      <c r="P28" s="89">
        <f ca="1">_xll.meLWOBondCleanPrice($N28,$C$4,$O28%)</f>
        <v>83.04387998950034</v>
      </c>
      <c r="Q28" s="89">
        <f ca="1">_xll.meLWOBondDirtyPrice($N28,$C$4,$O28%)</f>
        <v>83.04387998950034</v>
      </c>
      <c r="R28" s="72">
        <f ca="1">_xll.meLWOBondYield($N28,$C$4,P28)</f>
        <v>3.2605814347286488E-2</v>
      </c>
      <c r="S28" s="89">
        <f ca="1">_xll.meLWOBondModifiedDuration($N28,$C$4,$O28%)</f>
        <v>5.6986022861459382</v>
      </c>
      <c r="T28" s="23">
        <f ca="1">_xll.meLWOBondDV01($N28,$C$4,$O28%)</f>
        <v>473.23404435859555</v>
      </c>
      <c r="U28" s="85">
        <f t="shared" ca="1" si="4"/>
        <v>3.2605814347286044</v>
      </c>
      <c r="V28" s="22" t="str">
        <f ca="1">_xll.BDP($B28,V$6, "YAS_BOND_YLD="&amp;U28,"YAS_YLD_CONV=1")</f>
        <v>#N/A Requesting Data...</v>
      </c>
      <c r="W28" s="89">
        <f t="shared" ca="1" si="5"/>
        <v>83.04387998950034</v>
      </c>
      <c r="X28" s="24" t="e">
        <f t="shared" ca="1" si="1"/>
        <v>#VALUE!</v>
      </c>
      <c r="Y28" s="23">
        <f ca="1">_xll.meLWOBondDV01($N28,$C$4,$U28%)</f>
        <v>473.23404435859555</v>
      </c>
      <c r="Z28" s="22" t="e">
        <f ca="1">_xll.BDP($B28,Z$6, "YLD_YTM_ASK="&amp;$U28,"YAS_YLD_CONV=33")*$Z$3*0.0001</f>
        <v>#VALUE!</v>
      </c>
      <c r="AA28" s="24" t="e">
        <f t="shared" ca="1" si="2"/>
        <v>#VALUE!</v>
      </c>
      <c r="AB28" s="23">
        <f ca="1">_xll.meLWOBondModifiedDuration($N28,$C$4,$U28%)</f>
        <v>5.6986022861459382</v>
      </c>
      <c r="AC28" s="23" t="str">
        <f ca="1">_xll.BDP($B28,AC$6, "YLD_YTM_ASK="&amp;$U28,"YAS_YLD_CONV=1")</f>
        <v>#N/A Requesting Data...</v>
      </c>
      <c r="AD28" s="22" t="e">
        <f t="shared" ca="1" si="3"/>
        <v>#VALUE!</v>
      </c>
      <c r="AE28" s="24">
        <f ca="1">_xll.meLWOBondDV01Numerical($N28,$C$4,$U28%, 0.5, "CENTRAL")</f>
        <v>465.70626876771826</v>
      </c>
    </row>
    <row r="29" spans="2:31">
      <c r="B29" s="15" t="s">
        <v>334</v>
      </c>
      <c r="C29" s="15" t="s">
        <v>335</v>
      </c>
      <c r="D29" s="15" t="s">
        <v>335</v>
      </c>
      <c r="E29" s="16">
        <v>41701</v>
      </c>
      <c r="F29" s="16">
        <v>41699</v>
      </c>
      <c r="G29" s="19" t="str">
        <f t="shared" si="0"/>
        <v/>
      </c>
      <c r="H29" s="16">
        <v>41883</v>
      </c>
      <c r="I29" s="16">
        <v>45352</v>
      </c>
      <c r="J29" s="48">
        <v>3.7499999999999999E-2</v>
      </c>
      <c r="K29" s="16">
        <v>45536</v>
      </c>
      <c r="L29" s="49">
        <v>103.1</v>
      </c>
      <c r="M29" s="15" t="s">
        <v>297</v>
      </c>
      <c r="N29" s="20" t="str">
        <f ca="1">_xll.meLWOBondCreateFromGeneratorLVB(C29,$N$4,_xll.meUtilityLVBFromKeysValues($C$6:$M$6,C29:M29))</f>
        <v>IT0005001547:1</v>
      </c>
      <c r="O29" s="92">
        <f ca="1">_xll.BDP($B29,$O$5)</f>
        <v>3.1936900400330703</v>
      </c>
      <c r="P29" s="89">
        <f ca="1">_xll.meLWOBondCleanPrice($N29,$C$4,$O29%)</f>
        <v>103.08312163008722</v>
      </c>
      <c r="Q29" s="89">
        <f ca="1">_xll.meLWOBondDirtyPrice($N29,$C$4,$O29%)</f>
        <v>103.55964163008721</v>
      </c>
      <c r="R29" s="72">
        <f ca="1">_xll.meLWOBondYield($N29,$C$4,P29)</f>
        <v>3.1936900400336032E-2</v>
      </c>
      <c r="S29" s="89">
        <f ca="1">_xll.meLWOBondModifiedDuration($N29,$C$4,$O29%)</f>
        <v>5.2292260908180586</v>
      </c>
      <c r="T29" s="23">
        <f ca="1">_xll.meLWOBondDV01($N29,$C$4,$O29%)</f>
        <v>541.53677996782005</v>
      </c>
      <c r="U29" s="85">
        <f t="shared" ca="1" si="4"/>
        <v>3.1936900400330703</v>
      </c>
      <c r="V29" s="22" t="str">
        <f ca="1">_xll.BDP($B29,V$6, "YAS_BOND_YLD="&amp;U29,"YAS_YLD_CONV=1")</f>
        <v>#N/A Requesting Data...</v>
      </c>
      <c r="W29" s="89">
        <f t="shared" ca="1" si="5"/>
        <v>103.08312163008722</v>
      </c>
      <c r="X29" s="24" t="e">
        <f t="shared" ca="1" si="1"/>
        <v>#VALUE!</v>
      </c>
      <c r="Y29" s="23">
        <f ca="1">_xll.meLWOBondDV01($N29,$C$4,$U29%)</f>
        <v>541.53677996782005</v>
      </c>
      <c r="Z29" s="22" t="e">
        <f ca="1">_xll.BDP($B29,Z$6, "YLD_YTM_ASK="&amp;$U29,"YAS_YLD_CONV=33")*$Z$3*0.0001</f>
        <v>#VALUE!</v>
      </c>
      <c r="AA29" s="24" t="e">
        <f t="shared" ca="1" si="2"/>
        <v>#VALUE!</v>
      </c>
      <c r="AB29" s="23">
        <f ca="1">_xll.meLWOBondModifiedDuration($N29,$C$4,$U29%)</f>
        <v>5.2292260908180586</v>
      </c>
      <c r="AC29" s="23" t="str">
        <f ca="1">_xll.BDP($B29,AC$6, "YLD_YTM_ASK="&amp;$U29,"YAS_YLD_CONV=1")</f>
        <v>#N/A Requesting Data...</v>
      </c>
      <c r="AD29" s="22" t="e">
        <f t="shared" ca="1" si="3"/>
        <v>#VALUE!</v>
      </c>
      <c r="AE29" s="24">
        <f ca="1">_xll.meLWOBondDV01Numerical($N29,$C$4,$U29%, 0.5, "CENTRAL")</f>
        <v>533.3236083768611</v>
      </c>
    </row>
    <row r="30" spans="2:31">
      <c r="B30" s="15" t="s">
        <v>470</v>
      </c>
      <c r="C30" s="15" t="s">
        <v>471</v>
      </c>
      <c r="D30" s="15" t="s">
        <v>471</v>
      </c>
      <c r="E30" s="16">
        <v>41416</v>
      </c>
      <c r="F30" s="16" t="s">
        <v>333</v>
      </c>
      <c r="G30" s="19" t="str">
        <f t="shared" si="0"/>
        <v/>
      </c>
      <c r="H30" s="16" t="s">
        <v>333</v>
      </c>
      <c r="I30" s="16" t="s">
        <v>333</v>
      </c>
      <c r="J30" s="48">
        <v>0</v>
      </c>
      <c r="K30" s="16">
        <v>45536</v>
      </c>
      <c r="L30" s="49" t="s">
        <v>333</v>
      </c>
      <c r="M30" s="15" t="s">
        <v>297</v>
      </c>
      <c r="N30" s="20" t="str">
        <f ca="1">_xll.meLWOBondCreateFromGeneratorLVB(C30,$N$4,_xll.meUtilityLVBFromKeysValues($C$6:$M$6,C30:M30))</f>
        <v>IT0004976442:1</v>
      </c>
      <c r="O30" s="92">
        <f ca="1">_xll.BDP($B30,$O$5)</f>
        <v>3.203821058157974</v>
      </c>
      <c r="P30" s="89">
        <f ca="1">_xll.meLWOBondCleanPrice($N30,$C$4,$O30%)</f>
        <v>83.086118009817127</v>
      </c>
      <c r="Q30" s="89">
        <f ca="1">_xll.meLWOBondDirtyPrice($N30,$C$4,$O30%)</f>
        <v>83.086118009817127</v>
      </c>
      <c r="R30" s="72">
        <f ca="1">_xll.meLWOBondYield($N30,$C$4,P30)</f>
        <v>3.203821058157974E-2</v>
      </c>
      <c r="S30" s="89">
        <f ca="1">_xll.meLWOBondModifiedDuration($N30,$C$4,$O30%)</f>
        <v>5.7810510054685471</v>
      </c>
      <c r="T30" s="23">
        <f ca="1">_xll.meLWOBondDV01($N30,$C$4,$O30%)</f>
        <v>480.32508606113169</v>
      </c>
      <c r="U30" s="85">
        <f t="shared" ca="1" si="4"/>
        <v>3.203821058157974</v>
      </c>
      <c r="V30" s="22" t="str">
        <f ca="1">_xll.BDP($B30,V$6, "YAS_BOND_YLD="&amp;U30,"YAS_YLD_CONV=1")</f>
        <v>#N/A Requesting Data...</v>
      </c>
      <c r="W30" s="89">
        <f t="shared" ca="1" si="5"/>
        <v>83.086118009817127</v>
      </c>
      <c r="X30" s="24" t="e">
        <f t="shared" ca="1" si="1"/>
        <v>#VALUE!</v>
      </c>
      <c r="Y30" s="23">
        <f ca="1">_xll.meLWOBondDV01($N30,$C$4,$U30%)</f>
        <v>480.32508606113169</v>
      </c>
      <c r="Z30" s="22" t="e">
        <f ca="1">_xll.BDP($B30,Z$6, "YLD_YTM_ASK="&amp;$U30,"YAS_YLD_CONV=33")*$Z$3*0.0001</f>
        <v>#VALUE!</v>
      </c>
      <c r="AA30" s="24" t="e">
        <f t="shared" ca="1" si="2"/>
        <v>#VALUE!</v>
      </c>
      <c r="AB30" s="23">
        <f ca="1">_xll.meLWOBondModifiedDuration($N30,$C$4,$U30%)</f>
        <v>5.7810510054685471</v>
      </c>
      <c r="AC30" s="23" t="str">
        <f ca="1">_xll.BDP($B30,AC$6, "YLD_YTM_ASK="&amp;$U30,"YAS_YLD_CONV=1")</f>
        <v>#N/A Requesting Data...</v>
      </c>
      <c r="AD30" s="22" t="e">
        <f t="shared" ca="1" si="3"/>
        <v>#VALUE!</v>
      </c>
      <c r="AE30" s="24">
        <f ca="1">_xll.meLWOBondDV01Numerical($N30,$C$4,$U30%, 0.5, "CENTRAL")</f>
        <v>473.02957040770372</v>
      </c>
    </row>
    <row r="31" spans="2:31">
      <c r="B31" s="15" t="s">
        <v>488</v>
      </c>
      <c r="C31" s="15" t="s">
        <v>489</v>
      </c>
      <c r="D31" s="15" t="s">
        <v>489</v>
      </c>
      <c r="E31" s="16">
        <v>36003</v>
      </c>
      <c r="F31" s="16" t="s">
        <v>333</v>
      </c>
      <c r="G31" s="19" t="str">
        <f t="shared" si="0"/>
        <v/>
      </c>
      <c r="H31" s="16" t="s">
        <v>333</v>
      </c>
      <c r="I31" s="16" t="s">
        <v>333</v>
      </c>
      <c r="J31" s="48">
        <v>0</v>
      </c>
      <c r="K31" s="16">
        <v>45597</v>
      </c>
      <c r="L31" s="49" t="s">
        <v>333</v>
      </c>
      <c r="M31" s="15" t="s">
        <v>297</v>
      </c>
      <c r="N31" s="20" t="str">
        <f ca="1">_xll.meLWOBondCreateFromGeneratorLVB(C31,$N$4,_xll.meUtilityLVBFromKeysValues($C$6:$M$6,C31:M31))</f>
        <v>IT0001247342:1</v>
      </c>
      <c r="O31" s="92">
        <f ca="1">_xll.BDP($B31,$O$5)</f>
        <v>3.2432730584799563</v>
      </c>
      <c r="P31" s="89">
        <f ca="1">_xll.meLWOBondCleanPrice($N31,$C$4,$O31%)</f>
        <v>82.463211419508013</v>
      </c>
      <c r="Q31" s="89">
        <f ca="1">_xll.meLWOBondDirtyPrice($N31,$C$4,$O31%)</f>
        <v>82.463211419508013</v>
      </c>
      <c r="R31" s="72">
        <f ca="1">_xll.meLWOBondYield($N31,$C$4,P31)</f>
        <v>3.2432730584799563E-2</v>
      </c>
      <c r="S31" s="89">
        <f ca="1">_xll.meLWOBondModifiedDuration($N31,$C$4,$O31%)</f>
        <v>5.9451218724128987</v>
      </c>
      <c r="T31" s="23">
        <f ca="1">_xll.meLWOBondDV01($N31,$C$4,$O31%)</f>
        <v>490.25384187952619</v>
      </c>
      <c r="U31" s="85">
        <f t="shared" ca="1" si="4"/>
        <v>3.2432730584799563</v>
      </c>
      <c r="V31" s="22" t="str">
        <f ca="1">_xll.BDP($B31,V$6, "YAS_BOND_YLD="&amp;U31,"YAS_YLD_CONV=1")</f>
        <v>#N/A Requesting Data...</v>
      </c>
      <c r="W31" s="89">
        <f t="shared" ca="1" si="5"/>
        <v>82.463211419508013</v>
      </c>
      <c r="X31" s="24" t="e">
        <f t="shared" ca="1" si="1"/>
        <v>#VALUE!</v>
      </c>
      <c r="Y31" s="23">
        <f ca="1">_xll.meLWOBondDV01($N31,$C$4,$U31%)</f>
        <v>490.25384187952619</v>
      </c>
      <c r="Z31" s="22" t="e">
        <f ca="1">_xll.BDP($B31,Z$6, "YLD_YTM_ASK="&amp;$U31,"YAS_YLD_CONV=33")*$Z$3*0.0001</f>
        <v>#VALUE!</v>
      </c>
      <c r="AA31" s="24" t="e">
        <f t="shared" ca="1" si="2"/>
        <v>#VALUE!</v>
      </c>
      <c r="AB31" s="23">
        <f ca="1">_xll.meLWOBondModifiedDuration($N31,$C$4,$U31%)</f>
        <v>5.9451218724128987</v>
      </c>
      <c r="AC31" s="23" t="str">
        <f ca="1">_xll.BDP($B31,AC$6, "YLD_YTM_ASK="&amp;$U31,"YAS_YLD_CONV=1")</f>
        <v>#N/A Requesting Data...</v>
      </c>
      <c r="AD31" s="22" t="e">
        <f t="shared" ca="1" si="3"/>
        <v>#VALUE!</v>
      </c>
      <c r="AE31" s="24">
        <f ca="1">_xll.meLWOBondDV01Numerical($N31,$C$4,$U31%, 0.5, "CENTRAL")</f>
        <v>482.51594832649403</v>
      </c>
    </row>
    <row r="32" spans="2:31">
      <c r="B32" s="15" t="s">
        <v>346</v>
      </c>
      <c r="C32" s="15" t="s">
        <v>347</v>
      </c>
      <c r="D32" s="15" t="s">
        <v>347</v>
      </c>
      <c r="E32" s="16">
        <v>41883</v>
      </c>
      <c r="F32" s="16">
        <v>41883</v>
      </c>
      <c r="G32" s="19" t="str">
        <f t="shared" si="0"/>
        <v/>
      </c>
      <c r="H32" s="16">
        <v>41974</v>
      </c>
      <c r="I32" s="16">
        <v>45444</v>
      </c>
      <c r="J32" s="48">
        <v>2.5000000000000001E-2</v>
      </c>
      <c r="K32" s="16">
        <v>45627</v>
      </c>
      <c r="L32" s="49">
        <v>101.14</v>
      </c>
      <c r="M32" s="15" t="s">
        <v>297</v>
      </c>
      <c r="N32" s="20" t="str">
        <f ca="1">_xll.meLWOBondCreateFromGeneratorLVB(C32,$N$4,_xll.meUtilityLVBFromKeysValues($C$6:$M$6,C32:M32))</f>
        <v>IT0005045270:1</v>
      </c>
      <c r="O32" s="92">
        <f ca="1">_xll.BDP($B32,$O$5)</f>
        <v>3.1286219465221254</v>
      </c>
      <c r="P32" s="89">
        <f ca="1">_xll.meLWOBondCleanPrice($N32,$C$4,$O32%)</f>
        <v>96.643039922840188</v>
      </c>
      <c r="Q32" s="89">
        <f ca="1">_xll.meLWOBondDirtyPrice($N32,$C$4,$O32%)</f>
        <v>97.585659922840193</v>
      </c>
      <c r="R32" s="72">
        <f ca="1">_xll.meLWOBondYield($N32,$C$4,P32)</f>
        <v>3.1286219465223031E-2</v>
      </c>
      <c r="S32" s="89">
        <f ca="1">_xll.meLWOBondModifiedDuration($N32,$C$4,$O32%)</f>
        <v>5.5711501091854938</v>
      </c>
      <c r="T32" s="23">
        <f ca="1">_xll.meLWOBondDV01($N32,$C$4,$O32%)</f>
        <v>543.66435993406958</v>
      </c>
      <c r="U32" s="85">
        <f t="shared" ca="1" si="4"/>
        <v>3.1286219465221254</v>
      </c>
      <c r="V32" s="22" t="str">
        <f ca="1">_xll.BDP($B32,V$6, "YAS_BOND_YLD="&amp;U32,"YAS_YLD_CONV=1")</f>
        <v>#N/A Requesting Data...</v>
      </c>
      <c r="W32" s="89">
        <f t="shared" ca="1" si="5"/>
        <v>96.643039922840188</v>
      </c>
      <c r="X32" s="24" t="e">
        <f t="shared" ca="1" si="1"/>
        <v>#VALUE!</v>
      </c>
      <c r="Y32" s="23">
        <f ca="1">_xll.meLWOBondDV01($N32,$C$4,$U32%)</f>
        <v>543.66435993406958</v>
      </c>
      <c r="Z32" s="22" t="e">
        <f ca="1">_xll.BDP($B32,Z$6, "YLD_YTM_ASK="&amp;$U32,"YAS_YLD_CONV=33")*$Z$3*0.0001</f>
        <v>#VALUE!</v>
      </c>
      <c r="AA32" s="24" t="e">
        <f t="shared" ca="1" si="2"/>
        <v>#VALUE!</v>
      </c>
      <c r="AB32" s="23">
        <f ca="1">_xll.meLWOBondModifiedDuration($N32,$C$4,$U32%)</f>
        <v>5.5711501091854938</v>
      </c>
      <c r="AC32" s="23" t="str">
        <f ca="1">_xll.BDP($B32,AC$6, "YLD_YTM_ASK="&amp;$U32,"YAS_YLD_CONV=1")</f>
        <v>#N/A Requesting Data...</v>
      </c>
      <c r="AD32" s="22" t="e">
        <f t="shared" ca="1" si="3"/>
        <v>#VALUE!</v>
      </c>
      <c r="AE32" s="24">
        <f ca="1">_xll.meLWOBondDV01Numerical($N32,$C$4,$U32%, 0.5, "CENTRAL")</f>
        <v>535.08116259521898</v>
      </c>
    </row>
    <row r="33" spans="2:31">
      <c r="B33" s="15" t="s">
        <v>646</v>
      </c>
      <c r="C33" s="15" t="s">
        <v>647</v>
      </c>
      <c r="D33" s="15" t="s">
        <v>647</v>
      </c>
      <c r="E33" s="16">
        <v>37333</v>
      </c>
      <c r="F33" s="16" t="s">
        <v>333</v>
      </c>
      <c r="G33" s="19" t="str">
        <f t="shared" si="0"/>
        <v/>
      </c>
      <c r="H33" s="16" t="s">
        <v>333</v>
      </c>
      <c r="I33" s="16" t="s">
        <v>333</v>
      </c>
      <c r="J33" s="48">
        <v>0</v>
      </c>
      <c r="K33" s="16">
        <v>45689</v>
      </c>
      <c r="L33" s="49" t="s">
        <v>333</v>
      </c>
      <c r="M33" s="15" t="s">
        <v>297</v>
      </c>
      <c r="N33" s="20" t="str">
        <f ca="1">_xll.meLWOBondCreateFromGeneratorLVB(C33,$N$4,_xll.meUtilityLVBFromKeysValues($C$6:$M$6,C33:M33))</f>
        <v>IT0003268825:1</v>
      </c>
      <c r="O33" s="92">
        <f ca="1">_xll.BDP($B33,$O$5)</f>
        <v>3.3396617678725704</v>
      </c>
      <c r="P33" s="89">
        <f ca="1">_xll.meLWOBondCleanPrice($N33,$C$4,$O33%)</f>
        <v>81.31512030942632</v>
      </c>
      <c r="Q33" s="89">
        <f ca="1">_xll.meLWOBondDirtyPrice($N33,$C$4,$O33%)</f>
        <v>81.31512030942632</v>
      </c>
      <c r="R33" s="72">
        <f ca="1">_xll.meLWOBondYield($N33,$C$4,P33)</f>
        <v>3.3396617678725704E-2</v>
      </c>
      <c r="S33" s="89">
        <f ca="1">_xll.meLWOBondModifiedDuration($N33,$C$4,$O33%)</f>
        <v>6.1882757663775392</v>
      </c>
      <c r="T33" s="23">
        <f ca="1">_xll.meLWOBondDV01($N33,$C$4,$O33%)</f>
        <v>503.20038845089692</v>
      </c>
      <c r="U33" s="85">
        <f t="shared" ca="1" si="4"/>
        <v>3.3396617678725704</v>
      </c>
      <c r="V33" s="22" t="str">
        <f ca="1">_xll.BDP($B33,V$6, "YAS_BOND_YLD="&amp;U33,"YAS_YLD_CONV=1")</f>
        <v>#N/A Requesting Data...</v>
      </c>
      <c r="W33" s="89">
        <f t="shared" ca="1" si="5"/>
        <v>81.31512030942632</v>
      </c>
      <c r="X33" s="24" t="e">
        <f t="shared" ca="1" si="1"/>
        <v>#VALUE!</v>
      </c>
      <c r="Y33" s="23">
        <f ca="1">_xll.meLWOBondDV01($N33,$C$4,$U33%)</f>
        <v>503.20038845089692</v>
      </c>
      <c r="Z33" s="22" t="e">
        <f ca="1">_xll.BDP($B33,Z$6, "YLD_YTM_ASK="&amp;$U33,"YAS_YLD_CONV=33")*$Z$3*0.0001</f>
        <v>#VALUE!</v>
      </c>
      <c r="AA33" s="24" t="e">
        <f t="shared" ca="1" si="2"/>
        <v>#VALUE!</v>
      </c>
      <c r="AB33" s="23">
        <f ca="1">_xll.meLWOBondModifiedDuration($N33,$C$4,$U33%)</f>
        <v>6.1882757663775392</v>
      </c>
      <c r="AC33" s="23" t="str">
        <f ca="1">_xll.BDP($B33,AC$6, "YLD_YTM_ASK="&amp;$U33,"YAS_YLD_CONV=1")</f>
        <v>#N/A Requesting Data...</v>
      </c>
      <c r="AD33" s="22" t="e">
        <f t="shared" ca="1" si="3"/>
        <v>#VALUE!</v>
      </c>
      <c r="AE33" s="24">
        <f ca="1">_xll.meLWOBondDV01Numerical($N33,$C$4,$U33%, 0.5, "CENTRAL")</f>
        <v>495.43376926777682</v>
      </c>
    </row>
    <row r="34" spans="2:31">
      <c r="B34" s="15" t="s">
        <v>350</v>
      </c>
      <c r="C34" s="15" t="s">
        <v>351</v>
      </c>
      <c r="D34" s="15" t="s">
        <v>351</v>
      </c>
      <c r="E34" s="16">
        <v>40009</v>
      </c>
      <c r="F34" s="16">
        <v>39873</v>
      </c>
      <c r="G34" s="19" t="str">
        <f t="shared" si="0"/>
        <v/>
      </c>
      <c r="H34" s="16">
        <v>40057</v>
      </c>
      <c r="I34" s="16">
        <v>45536</v>
      </c>
      <c r="J34" s="48">
        <v>0.05</v>
      </c>
      <c r="K34" s="16">
        <v>45717</v>
      </c>
      <c r="L34" s="49">
        <v>99.01400000000001</v>
      </c>
      <c r="M34" s="15" t="s">
        <v>297</v>
      </c>
      <c r="N34" s="20" t="str">
        <f ca="1">_xll.meLWOBondCreateFromGeneratorLVB(C34,$N$4,_xll.meUtilityLVBFromKeysValues($C$6:$M$6,C34:M34))</f>
        <v>IT0004513641:0</v>
      </c>
      <c r="O34" s="92">
        <f ca="1">_xll.BDP($B34,$O$5)</f>
        <v>3.2397230111233632</v>
      </c>
      <c r="P34" s="89">
        <f ca="1">_xll.meLWOBondCleanPrice($N34,$C$4,$O34%)</f>
        <v>110.19988518221103</v>
      </c>
      <c r="Q34" s="89">
        <f ca="1">_xll.meLWOBondDirtyPrice($N34,$C$4,$O34%)</f>
        <v>110.83524518221104</v>
      </c>
      <c r="R34" s="72">
        <f ca="1">_xll.meLWOBondYield($N34,$C$4,P34)</f>
        <v>3.2397230111211872E-2</v>
      </c>
      <c r="S34" s="89">
        <f ca="1">_xll.meLWOBondModifiedDuration($N34,$C$4,$O34%)</f>
        <v>5.4643255153827015</v>
      </c>
      <c r="T34" s="23">
        <f ca="1">_xll.meLWOBondDV01($N34,$C$4,$O34%)</f>
        <v>605.6398582528534</v>
      </c>
      <c r="U34" s="85">
        <f t="shared" ca="1" si="4"/>
        <v>3.2397230111233632</v>
      </c>
      <c r="V34" s="22" t="str">
        <f ca="1">_xll.BDP($B34,V$6, "YAS_BOND_YLD="&amp;U34,"YAS_YLD_CONV=1")</f>
        <v>#N/A Requesting Data...</v>
      </c>
      <c r="W34" s="89">
        <f t="shared" ca="1" si="5"/>
        <v>110.19988518221103</v>
      </c>
      <c r="X34" s="24" t="e">
        <f t="shared" ca="1" si="1"/>
        <v>#VALUE!</v>
      </c>
      <c r="Y34" s="23">
        <f ca="1">_xll.meLWOBondDV01($N34,$C$4,$U34%)</f>
        <v>605.6398582528534</v>
      </c>
      <c r="Z34" s="22" t="e">
        <f ca="1">_xll.BDP($B34,Z$6, "YLD_YTM_ASK="&amp;$U34,"YAS_YLD_CONV=33")*$Z$3*0.0001</f>
        <v>#VALUE!</v>
      </c>
      <c r="AA34" s="24" t="e">
        <f t="shared" ca="1" si="2"/>
        <v>#VALUE!</v>
      </c>
      <c r="AB34" s="23">
        <f ca="1">_xll.meLWOBondModifiedDuration($N34,$C$4,$U34%)</f>
        <v>5.4643255153827015</v>
      </c>
      <c r="AC34" s="23" t="str">
        <f ca="1">_xll.BDP($B34,AC$6, "YLD_YTM_ASK="&amp;$U34,"YAS_YLD_CONV=1")</f>
        <v>#N/A Requesting Data...</v>
      </c>
      <c r="AD34" s="22" t="e">
        <f t="shared" ca="1" si="3"/>
        <v>#VALUE!</v>
      </c>
      <c r="AE34" s="24">
        <f ca="1">_xll.meLWOBondDV01Numerical($N34,$C$4,$U34%, 0.5, "CENTRAL")</f>
        <v>596.52355357513898</v>
      </c>
    </row>
    <row r="35" spans="2:31">
      <c r="B35" s="15" t="s">
        <v>406</v>
      </c>
      <c r="C35" s="15" t="s">
        <v>407</v>
      </c>
      <c r="D35" s="15" t="s">
        <v>407</v>
      </c>
      <c r="E35" s="16">
        <v>41416</v>
      </c>
      <c r="F35" s="16" t="s">
        <v>333</v>
      </c>
      <c r="G35" s="19" t="str">
        <f t="shared" si="0"/>
        <v/>
      </c>
      <c r="H35" s="16" t="s">
        <v>333</v>
      </c>
      <c r="I35" s="16" t="s">
        <v>333</v>
      </c>
      <c r="J35" s="48">
        <v>0</v>
      </c>
      <c r="K35" s="16">
        <v>45717</v>
      </c>
      <c r="L35" s="49" t="s">
        <v>333</v>
      </c>
      <c r="M35" s="15" t="s">
        <v>297</v>
      </c>
      <c r="N35" s="20" t="str">
        <f ca="1">_xll.meLWOBondCreateFromGeneratorLVB(C35,$N$4,_xll.meUtilityLVBFromKeysValues($C$6:$M$6,C35:M35))</f>
        <v>IT0004976459:1</v>
      </c>
      <c r="O35" s="92">
        <f ca="1">_xll.BDP($B35,$O$5)</f>
        <v>3.4059552274775529</v>
      </c>
      <c r="P35" s="89">
        <f ca="1">_xll.meLWOBondCleanPrice($N35,$C$4,$O35%)</f>
        <v>80.764878162053151</v>
      </c>
      <c r="Q35" s="89">
        <f ca="1">_xll.meLWOBondDirtyPrice($N35,$C$4,$O35%)</f>
        <v>80.764878162053151</v>
      </c>
      <c r="R35" s="72">
        <f ca="1">_xll.meLWOBondYield($N35,$C$4,P35)</f>
        <v>3.4059552274775529E-2</v>
      </c>
      <c r="S35" s="89">
        <f ca="1">_xll.meLWOBondModifiedDuration($N35,$C$4,$O35%)</f>
        <v>6.2670945750923082</v>
      </c>
      <c r="T35" s="23">
        <f ca="1">_xll.meLWOBondDV01($N35,$C$4,$O35%)</f>
        <v>506.16112978739454</v>
      </c>
      <c r="U35" s="85">
        <f t="shared" ca="1" si="4"/>
        <v>3.4059552274775529</v>
      </c>
      <c r="V35" s="22" t="str">
        <f ca="1">_xll.BDP($B35,V$6, "YAS_BOND_YLD="&amp;U35,"YAS_YLD_CONV=1")</f>
        <v>#N/A Requesting Data...</v>
      </c>
      <c r="W35" s="89">
        <f t="shared" ca="1" si="5"/>
        <v>80.764878162053151</v>
      </c>
      <c r="X35" s="24" t="e">
        <f t="shared" ca="1" si="1"/>
        <v>#VALUE!</v>
      </c>
      <c r="Y35" s="23">
        <f ca="1">_xll.meLWOBondDV01($N35,$C$4,$U35%)</f>
        <v>506.16112978739454</v>
      </c>
      <c r="Z35" s="22" t="e">
        <f ca="1">_xll.BDP($B35,Z$6, "YLD_YTM_ASK="&amp;$U35,"YAS_YLD_CONV=33")*$Z$3*0.0001</f>
        <v>#VALUE!</v>
      </c>
      <c r="AA35" s="24" t="e">
        <f t="shared" ca="1" si="2"/>
        <v>#VALUE!</v>
      </c>
      <c r="AB35" s="23">
        <f ca="1">_xll.meLWOBondModifiedDuration($N35,$C$4,$U35%)</f>
        <v>6.2670945750923082</v>
      </c>
      <c r="AC35" s="23" t="str">
        <f ca="1">_xll.BDP($B35,AC$6, "YLD_YTM_ASK="&amp;$U35,"YAS_YLD_CONV=1")</f>
        <v>#N/A Requesting Data...</v>
      </c>
      <c r="AD35" s="22" t="e">
        <f t="shared" ca="1" si="3"/>
        <v>#VALUE!</v>
      </c>
      <c r="AE35" s="24">
        <f ca="1">_xll.meLWOBondDV01Numerical($N35,$C$4,$U35%, 0.5, "CENTRAL")</f>
        <v>498.18345199454939</v>
      </c>
    </row>
    <row r="36" spans="2:31">
      <c r="B36" s="15" t="s">
        <v>534</v>
      </c>
      <c r="C36" s="15" t="s">
        <v>535</v>
      </c>
      <c r="D36" s="15" t="s">
        <v>535</v>
      </c>
      <c r="E36" s="16">
        <v>40450</v>
      </c>
      <c r="F36" s="16" t="s">
        <v>333</v>
      </c>
      <c r="G36" s="19" t="str">
        <f t="shared" si="0"/>
        <v/>
      </c>
      <c r="H36" s="16" t="s">
        <v>333</v>
      </c>
      <c r="I36" s="16" t="s">
        <v>333</v>
      </c>
      <c r="J36" s="48">
        <v>0</v>
      </c>
      <c r="K36" s="16">
        <v>45717</v>
      </c>
      <c r="L36" s="49" t="s">
        <v>333</v>
      </c>
      <c r="M36" s="15" t="s">
        <v>297</v>
      </c>
      <c r="N36" s="20" t="str">
        <f ca="1">_xll.meLWOBondCreateFromGeneratorLVB(C36,$N$4,_xll.meUtilityLVBFromKeysValues($C$6:$M$6,C36:M36))</f>
        <v>IT0004534282:1</v>
      </c>
      <c r="O36" s="92">
        <f ca="1">_xll.BDP($B36,$O$5)</f>
        <v>3.2699204792207226</v>
      </c>
      <c r="P36" s="89">
        <f ca="1">_xll.meLWOBondCleanPrice($N36,$C$4,$O36%)</f>
        <v>81.44588196491658</v>
      </c>
      <c r="Q36" s="89">
        <f ca="1">_xll.meLWOBondDirtyPrice($N36,$C$4,$O36%)</f>
        <v>81.44588196491658</v>
      </c>
      <c r="R36" s="72">
        <f ca="1">_xll.meLWOBondYield($N36,$C$4,P36)</f>
        <v>3.2699204792207226E-2</v>
      </c>
      <c r="S36" s="89">
        <f ca="1">_xll.meLWOBondModifiedDuration($N36,$C$4,$O36%)</f>
        <v>6.2712209560154353</v>
      </c>
      <c r="T36" s="23">
        <f ca="1">_xll.meLWOBondDV01($N36,$C$4,$O36%)</f>
        <v>510.76512175954446</v>
      </c>
      <c r="U36" s="85">
        <f t="shared" ca="1" si="4"/>
        <v>3.2699204792207226</v>
      </c>
      <c r="V36" s="22" t="str">
        <f ca="1">_xll.BDP($B36,V$6, "YAS_BOND_YLD="&amp;U36,"YAS_YLD_CONV=1")</f>
        <v>#N/A Requesting Data...</v>
      </c>
      <c r="W36" s="89">
        <f t="shared" ca="1" si="5"/>
        <v>81.44588196491658</v>
      </c>
      <c r="X36" s="24" t="e">
        <f t="shared" ca="1" si="1"/>
        <v>#VALUE!</v>
      </c>
      <c r="Y36" s="23">
        <f ca="1">_xll.meLWOBondDV01($N36,$C$4,$U36%)</f>
        <v>510.76512175954446</v>
      </c>
      <c r="Z36" s="22" t="e">
        <f ca="1">_xll.BDP($B36,Z$6, "YLD_YTM_ASK="&amp;$U36,"YAS_YLD_CONV=33")*$Z$3*0.0001</f>
        <v>#VALUE!</v>
      </c>
      <c r="AA36" s="24" t="e">
        <f t="shared" ca="1" si="2"/>
        <v>#VALUE!</v>
      </c>
      <c r="AB36" s="23">
        <f ca="1">_xll.meLWOBondModifiedDuration($N36,$C$4,$U36%)</f>
        <v>6.2712209560154353</v>
      </c>
      <c r="AC36" s="23" t="str">
        <f ca="1">_xll.BDP($B36,AC$6, "YLD_YTM_ASK="&amp;$U36,"YAS_YLD_CONV=1")</f>
        <v>#N/A Requesting Data...</v>
      </c>
      <c r="AD36" s="22" t="e">
        <f t="shared" ca="1" si="3"/>
        <v>#VALUE!</v>
      </c>
      <c r="AE36" s="24">
        <f ca="1">_xll.meLWOBondDV01Numerical($N36,$C$4,$U36%, 0.5, "CENTRAL")</f>
        <v>503.0458773975966</v>
      </c>
    </row>
    <row r="37" spans="2:31">
      <c r="B37" s="15" t="s">
        <v>490</v>
      </c>
      <c r="C37" s="15" t="s">
        <v>491</v>
      </c>
      <c r="D37" s="15" t="s">
        <v>491</v>
      </c>
      <c r="E37" s="16">
        <v>36003</v>
      </c>
      <c r="F37" s="16" t="s">
        <v>333</v>
      </c>
      <c r="G37" s="19" t="str">
        <f t="shared" si="0"/>
        <v/>
      </c>
      <c r="H37" s="16" t="s">
        <v>333</v>
      </c>
      <c r="I37" s="16" t="s">
        <v>333</v>
      </c>
      <c r="J37" s="48">
        <v>0</v>
      </c>
      <c r="K37" s="16">
        <v>45778</v>
      </c>
      <c r="L37" s="49" t="s">
        <v>333</v>
      </c>
      <c r="M37" s="15" t="s">
        <v>297</v>
      </c>
      <c r="N37" s="20" t="str">
        <f ca="1">_xll.meLWOBondCreateFromGeneratorLVB(C37,$N$4,_xll.meUtilityLVBFromKeysValues($C$6:$M$6,C37:M37))</f>
        <v>IT0001247359:1</v>
      </c>
      <c r="O37" s="92">
        <f ca="1">_xll.BDP($B37,$O$5)</f>
        <v>3.3317052334266739</v>
      </c>
      <c r="P37" s="89">
        <f ca="1">_xll.meLWOBondCleanPrice($N37,$C$4,$O37%)</f>
        <v>80.697088484625255</v>
      </c>
      <c r="Q37" s="89">
        <f ca="1">_xll.meLWOBondDirtyPrice($N37,$C$4,$O37%)</f>
        <v>80.697088484625255</v>
      </c>
      <c r="R37" s="72">
        <f ca="1">_xll.meLWOBondYield($N37,$C$4,P37)</f>
        <v>3.3317052334266739E-2</v>
      </c>
      <c r="S37" s="89">
        <f ca="1">_xll.meLWOBondModifiedDuration($N37,$C$4,$O37%)</f>
        <v>6.4344506360945593</v>
      </c>
      <c r="T37" s="23">
        <f ca="1">_xll.meLWOBondDV01($N37,$C$4,$O37%)</f>
        <v>519.24143233087591</v>
      </c>
      <c r="U37" s="85">
        <f t="shared" ca="1" si="4"/>
        <v>3.3317052334266739</v>
      </c>
      <c r="V37" s="22" t="str">
        <f ca="1">_xll.BDP($B37,V$6, "YAS_BOND_YLD="&amp;U37,"YAS_YLD_CONV=1")</f>
        <v>#N/A Requesting Data...</v>
      </c>
      <c r="W37" s="89">
        <f t="shared" ca="1" si="5"/>
        <v>80.697088484625255</v>
      </c>
      <c r="X37" s="24" t="e">
        <f t="shared" ca="1" si="1"/>
        <v>#VALUE!</v>
      </c>
      <c r="Y37" s="23">
        <f ca="1">_xll.meLWOBondDV01($N37,$C$4,$U37%)</f>
        <v>519.24143233087591</v>
      </c>
      <c r="Z37" s="22" t="e">
        <f ca="1">_xll.BDP($B37,Z$6, "YLD_YTM_ASK="&amp;$U37,"YAS_YLD_CONV=33")*$Z$3*0.0001</f>
        <v>#VALUE!</v>
      </c>
      <c r="AA37" s="24" t="e">
        <f t="shared" ca="1" si="2"/>
        <v>#VALUE!</v>
      </c>
      <c r="AB37" s="23">
        <f ca="1">_xll.meLWOBondModifiedDuration($N37,$C$4,$U37%)</f>
        <v>6.4344506360945593</v>
      </c>
      <c r="AC37" s="23" t="str">
        <f ca="1">_xll.BDP($B37,AC$6, "YLD_YTM_ASK="&amp;$U37,"YAS_YLD_CONV=1")</f>
        <v>#N/A Requesting Data...</v>
      </c>
      <c r="AD37" s="22" t="e">
        <f t="shared" ca="1" si="3"/>
        <v>#VALUE!</v>
      </c>
      <c r="AE37" s="24">
        <f ca="1">_xll.meLWOBondDV01Numerical($N37,$C$4,$U37%, 0.5, "CENTRAL")</f>
        <v>511.0410866308257</v>
      </c>
    </row>
    <row r="38" spans="2:31">
      <c r="B38" s="15" t="s">
        <v>321</v>
      </c>
      <c r="C38" s="15" t="s">
        <v>322</v>
      </c>
      <c r="D38" s="15" t="s">
        <v>322</v>
      </c>
      <c r="E38" s="16">
        <v>42065</v>
      </c>
      <c r="F38" s="16">
        <v>42065</v>
      </c>
      <c r="G38" s="19" t="str">
        <f t="shared" si="0"/>
        <v/>
      </c>
      <c r="H38" s="16">
        <v>42156</v>
      </c>
      <c r="I38" s="16">
        <v>45627</v>
      </c>
      <c r="J38" s="48">
        <v>1.4999999999999999E-2</v>
      </c>
      <c r="K38" s="16">
        <v>45809</v>
      </c>
      <c r="L38" s="49">
        <v>101.4</v>
      </c>
      <c r="M38" s="15" t="s">
        <v>297</v>
      </c>
      <c r="N38" s="20" t="str">
        <f ca="1">_xll.meLWOBondCreateFromGeneratorLVB(C38,$N$4,_xll.meUtilityLVBFromKeysValues($C$6:$M$6,C38:M38))</f>
        <v>IT0005090318:1</v>
      </c>
      <c r="O38" s="92">
        <f ca="1">_xll.BDP($B38,$O$5)</f>
        <v>3.2102517758118232</v>
      </c>
      <c r="P38" s="89">
        <f ca="1">_xll.meLWOBondCleanPrice($N38,$C$4,$O38%)</f>
        <v>90.002000997294559</v>
      </c>
      <c r="Q38" s="89">
        <f ca="1">_xll.meLWOBondDirtyPrice($N38,$C$4,$O38%)</f>
        <v>90.567570997294553</v>
      </c>
      <c r="R38" s="72">
        <f ca="1">_xll.meLWOBondYield($N38,$C$4,P38)</f>
        <v>3.2102517758113791E-2</v>
      </c>
      <c r="S38" s="89">
        <f ca="1">_xll.meLWOBondModifiedDuration($N38,$C$4,$O38%)</f>
        <v>6.1772883375998182</v>
      </c>
      <c r="T38" s="23">
        <f ca="1">_xll.meLWOBondDV01($N38,$C$4,$O38%)</f>
        <v>559.46200008633116</v>
      </c>
      <c r="U38" s="85">
        <f t="shared" ca="1" si="4"/>
        <v>3.2102517758118232</v>
      </c>
      <c r="V38" s="22" t="str">
        <f ca="1">_xll.BDP($B38,V$6, "YAS_BOND_YLD="&amp;U38,"YAS_YLD_CONV=1")</f>
        <v>#N/A Requesting Data...</v>
      </c>
      <c r="W38" s="89">
        <f t="shared" ca="1" si="5"/>
        <v>90.002000997294559</v>
      </c>
      <c r="X38" s="24" t="e">
        <f t="shared" ca="1" si="1"/>
        <v>#VALUE!</v>
      </c>
      <c r="Y38" s="23">
        <f ca="1">_xll.meLWOBondDV01($N38,$C$4,$U38%)</f>
        <v>559.46200008633116</v>
      </c>
      <c r="Z38" s="22" t="e">
        <f ca="1">_xll.BDP($B38,Z$6, "YLD_YTM_ASK="&amp;$U38,"YAS_YLD_CONV=33")*$Z$3*0.0001</f>
        <v>#VALUE!</v>
      </c>
      <c r="AA38" s="24" t="e">
        <f t="shared" ca="1" si="2"/>
        <v>#VALUE!</v>
      </c>
      <c r="AB38" s="23">
        <f ca="1">_xll.meLWOBondModifiedDuration($N38,$C$4,$U38%)</f>
        <v>6.1772883375998182</v>
      </c>
      <c r="AC38" s="23" t="str">
        <f ca="1">_xll.BDP($B38,AC$6, "YLD_YTM_ASK="&amp;$U38,"YAS_YLD_CONV=1")</f>
        <v>#N/A Requesting Data...</v>
      </c>
      <c r="AD38" s="22" t="e">
        <f t="shared" ca="1" si="3"/>
        <v>#VALUE!</v>
      </c>
      <c r="AE38" s="24">
        <f ca="1">_xll.meLWOBondDV01Numerical($N38,$C$4,$U38%, 0.5, "CENTRAL")</f>
        <v>550.44407345150148</v>
      </c>
    </row>
    <row r="39" spans="2:31">
      <c r="B39" s="15" t="s">
        <v>540</v>
      </c>
      <c r="C39" s="15" t="s">
        <v>541</v>
      </c>
      <c r="D39" s="15" t="s">
        <v>541</v>
      </c>
      <c r="E39" s="16">
        <v>37333</v>
      </c>
      <c r="F39" s="16" t="s">
        <v>333</v>
      </c>
      <c r="G39" s="19" t="str">
        <f t="shared" si="0"/>
        <v/>
      </c>
      <c r="H39" s="16" t="s">
        <v>333</v>
      </c>
      <c r="I39" s="16" t="s">
        <v>333</v>
      </c>
      <c r="J39" s="48">
        <v>0</v>
      </c>
      <c r="K39" s="16">
        <v>45870</v>
      </c>
      <c r="L39" s="49" t="s">
        <v>333</v>
      </c>
      <c r="M39" s="15" t="s">
        <v>297</v>
      </c>
      <c r="N39" s="20" t="str">
        <f ca="1">_xll.meLWOBondCreateFromGeneratorLVB(C39,$N$4,_xll.meUtilityLVBFromKeysValues($C$6:$M$6,C39:M39))</f>
        <v>IT0003268833:1</v>
      </c>
      <c r="O39" s="92">
        <f ca="1">_xll.BDP($B39,$O$5)</f>
        <v>3.3735217025478104</v>
      </c>
      <c r="P39" s="89">
        <f ca="1">_xll.meLWOBondCleanPrice($N39,$C$4,$O39%)</f>
        <v>79.827119282007772</v>
      </c>
      <c r="Q39" s="89">
        <f ca="1">_xll.meLWOBondDirtyPrice($N39,$C$4,$O39%)</f>
        <v>79.827119282007772</v>
      </c>
      <c r="R39" s="72">
        <f ca="1">_xll.meLWOBondYield($N39,$C$4,P39)</f>
        <v>3.3735217025478104E-2</v>
      </c>
      <c r="S39" s="89">
        <f ca="1">_xll.meLWOBondModifiedDuration($N39,$C$4,$O39%)</f>
        <v>6.6790359562583257</v>
      </c>
      <c r="T39" s="23">
        <f ca="1">_xll.meLWOBondDV01($N39,$C$4,$O39%)</f>
        <v>533.16819996905224</v>
      </c>
      <c r="U39" s="85">
        <f t="shared" ca="1" si="4"/>
        <v>3.3735217025478104</v>
      </c>
      <c r="V39" s="22" t="str">
        <f ca="1">_xll.BDP($B39,V$6, "YAS_BOND_YLD="&amp;U39,"YAS_YLD_CONV=1")</f>
        <v>#N/A Requesting Data...</v>
      </c>
      <c r="W39" s="89">
        <f t="shared" ca="1" si="5"/>
        <v>79.827119282007772</v>
      </c>
      <c r="X39" s="24" t="e">
        <f t="shared" ca="1" si="1"/>
        <v>#VALUE!</v>
      </c>
      <c r="Y39" s="23">
        <f ca="1">_xll.meLWOBondDV01($N39,$C$4,$U39%)</f>
        <v>533.16819996905224</v>
      </c>
      <c r="Z39" s="22" t="e">
        <f ca="1">_xll.BDP($B39,Z$6, "YLD_YTM_ASK="&amp;$U39,"YAS_YLD_CONV=33")*$Z$3*0.0001</f>
        <v>#VALUE!</v>
      </c>
      <c r="AA39" s="24" t="e">
        <f t="shared" ca="1" si="2"/>
        <v>#VALUE!</v>
      </c>
      <c r="AB39" s="23">
        <f ca="1">_xll.meLWOBondModifiedDuration($N39,$C$4,$U39%)</f>
        <v>6.6790359562583257</v>
      </c>
      <c r="AC39" s="23" t="str">
        <f ca="1">_xll.BDP($B39,AC$6, "YLD_YTM_ASK="&amp;$U39,"YAS_YLD_CONV=1")</f>
        <v>#N/A Requesting Data...</v>
      </c>
      <c r="AD39" s="22" t="e">
        <f t="shared" ca="1" si="3"/>
        <v>#VALUE!</v>
      </c>
      <c r="AE39" s="24">
        <f ca="1">_xll.meLWOBondDV01Numerical($N39,$C$4,$U39%, 0.5, "CENTRAL")</f>
        <v>524.39279238356573</v>
      </c>
    </row>
    <row r="40" spans="2:31">
      <c r="B40" s="15" t="s">
        <v>428</v>
      </c>
      <c r="C40" s="15" t="s">
        <v>429</v>
      </c>
      <c r="D40" s="15" t="s">
        <v>429</v>
      </c>
      <c r="E40" s="16">
        <v>41416</v>
      </c>
      <c r="F40" s="16" t="s">
        <v>333</v>
      </c>
      <c r="G40" s="19" t="str">
        <f t="shared" si="0"/>
        <v/>
      </c>
      <c r="H40" s="16" t="s">
        <v>333</v>
      </c>
      <c r="I40" s="16" t="s">
        <v>333</v>
      </c>
      <c r="J40" s="48">
        <v>0</v>
      </c>
      <c r="K40" s="16">
        <v>45901</v>
      </c>
      <c r="L40" s="49" t="s">
        <v>333</v>
      </c>
      <c r="M40" s="15" t="s">
        <v>297</v>
      </c>
      <c r="N40" s="20" t="str">
        <f ca="1">_xll.meLWOBondCreateFromGeneratorLVB(C40,$N$4,_xll.meUtilityLVBFromKeysValues($C$6:$M$6,C40:M40))</f>
        <v>IT0004976467:0</v>
      </c>
      <c r="O40" s="92">
        <f ca="1">_xll.BDP($B40,$O$5)</f>
        <v>3.4414611232708392</v>
      </c>
      <c r="P40" s="89">
        <f ca="1">_xll.meLWOBondCleanPrice($N40,$C$4,$O40%)</f>
        <v>79.250879216156633</v>
      </c>
      <c r="Q40" s="89">
        <f ca="1">_xll.meLWOBondDirtyPrice($N40,$C$4,$O40%)</f>
        <v>79.250879216156633</v>
      </c>
      <c r="R40" s="72">
        <f ca="1">_xll.meLWOBondYield($N40,$C$4,P40)</f>
        <v>3.4414611232708392E-2</v>
      </c>
      <c r="S40" s="89">
        <f ca="1">_xll.meLWOBondModifiedDuration($N40,$C$4,$O40%)</f>
        <v>6.7576311374264666</v>
      </c>
      <c r="T40" s="23">
        <f ca="1">_xll.meLWOBondDV01($N40,$C$4,$O40%)</f>
        <v>535.54820905952408</v>
      </c>
      <c r="U40" s="85">
        <f t="shared" ca="1" si="4"/>
        <v>3.4414611232708392</v>
      </c>
      <c r="V40" s="22" t="str">
        <f ca="1">_xll.BDP($B40,V$6, "YAS_BOND_YLD="&amp;U40,"YAS_YLD_CONV=1")</f>
        <v>#N/A Requesting Data...</v>
      </c>
      <c r="W40" s="89">
        <f t="shared" ca="1" si="5"/>
        <v>79.250879216156633</v>
      </c>
      <c r="X40" s="24" t="e">
        <f t="shared" ca="1" si="1"/>
        <v>#VALUE!</v>
      </c>
      <c r="Y40" s="23">
        <f ca="1">_xll.meLWOBondDV01($N40,$C$4,$U40%)</f>
        <v>535.54820905952408</v>
      </c>
      <c r="Z40" s="22" t="e">
        <f ca="1">_xll.BDP($B40,Z$6, "YLD_YTM_ASK="&amp;$U40,"YAS_YLD_CONV=33")*$Z$3*0.0001</f>
        <v>#VALUE!</v>
      </c>
      <c r="AA40" s="24" t="e">
        <f t="shared" ca="1" si="2"/>
        <v>#VALUE!</v>
      </c>
      <c r="AB40" s="23">
        <f ca="1">_xll.meLWOBondModifiedDuration($N40,$C$4,$U40%)</f>
        <v>6.7576311374264666</v>
      </c>
      <c r="AC40" s="23" t="str">
        <f ca="1">_xll.BDP($B40,AC$6, "YLD_YTM_ASK="&amp;$U40,"YAS_YLD_CONV=1")</f>
        <v>#N/A Requesting Data...</v>
      </c>
      <c r="AD40" s="22" t="e">
        <f t="shared" ca="1" si="3"/>
        <v>#VALUE!</v>
      </c>
      <c r="AE40" s="24">
        <f ca="1">_xll.meLWOBondDV01Numerical($N40,$C$4,$U40%, 0.5, "CENTRAL")</f>
        <v>526.56756694290152</v>
      </c>
    </row>
    <row r="41" spans="2:31">
      <c r="B41" s="15" t="s">
        <v>456</v>
      </c>
      <c r="C41" s="15" t="s">
        <v>457</v>
      </c>
      <c r="D41" s="15" t="s">
        <v>457</v>
      </c>
      <c r="E41" s="16">
        <v>36003</v>
      </c>
      <c r="F41" s="16" t="s">
        <v>333</v>
      </c>
      <c r="G41" s="19" t="str">
        <f t="shared" si="0"/>
        <v/>
      </c>
      <c r="H41" s="16" t="s">
        <v>333</v>
      </c>
      <c r="I41" s="16" t="s">
        <v>333</v>
      </c>
      <c r="J41" s="48">
        <v>0</v>
      </c>
      <c r="K41" s="16">
        <v>45962</v>
      </c>
      <c r="L41" s="49" t="s">
        <v>333</v>
      </c>
      <c r="M41" s="15" t="s">
        <v>297</v>
      </c>
      <c r="N41" s="20" t="str">
        <f ca="1">_xll.meLWOBondCreateFromGeneratorLVB(C41,$N$4,_xll.meUtilityLVBFromKeysValues($C$6:$M$6,C41:M41))</f>
        <v>IT0001247367:1</v>
      </c>
      <c r="O41" s="92">
        <f ca="1">_xll.BDP($B41,$O$5)</f>
        <v>3.4011844707460659</v>
      </c>
      <c r="P41" s="89">
        <f ca="1">_xll.meLWOBondCleanPrice($N41,$C$4,$O41%)</f>
        <v>79.003327333816543</v>
      </c>
      <c r="Q41" s="89">
        <f ca="1">_xll.meLWOBondDirtyPrice($N41,$C$4,$O41%)</f>
        <v>79.003327333816543</v>
      </c>
      <c r="R41" s="72">
        <f ca="1">_xll.meLWOBondYield($N41,$C$4,P41)</f>
        <v>3.4011844707460659E-2</v>
      </c>
      <c r="S41" s="89">
        <f ca="1">_xll.meLWOBondModifiedDuration($N41,$C$4,$O41%)</f>
        <v>6.9239964649809282</v>
      </c>
      <c r="T41" s="23">
        <f ca="1">_xll.meLWOBondDV01($N41,$C$4,$O41%)</f>
        <v>547.01875918107692</v>
      </c>
      <c r="U41" s="85">
        <f t="shared" ca="1" si="4"/>
        <v>3.4011844707460659</v>
      </c>
      <c r="V41" s="22" t="str">
        <f ca="1">_xll.BDP($B41,V$6, "YAS_BOND_YLD="&amp;U41,"YAS_YLD_CONV=1")</f>
        <v>#N/A Requesting Data...</v>
      </c>
      <c r="W41" s="89">
        <f t="shared" ca="1" si="5"/>
        <v>79.003327333816543</v>
      </c>
      <c r="X41" s="24" t="e">
        <f t="shared" ca="1" si="1"/>
        <v>#VALUE!</v>
      </c>
      <c r="Y41" s="23">
        <f ca="1">_xll.meLWOBondDV01($N41,$C$4,$U41%)</f>
        <v>547.01875918107692</v>
      </c>
      <c r="Z41" s="22" t="e">
        <f ca="1">_xll.BDP($B41,Z$6, "YLD_YTM_ASK="&amp;$U41,"YAS_YLD_CONV=33")*$Z$3*0.0001</f>
        <v>#VALUE!</v>
      </c>
      <c r="AA41" s="24" t="e">
        <f t="shared" ca="1" si="2"/>
        <v>#VALUE!</v>
      </c>
      <c r="AB41" s="23">
        <f ca="1">_xll.meLWOBondModifiedDuration($N41,$C$4,$U41%)</f>
        <v>6.9239964649809282</v>
      </c>
      <c r="AC41" s="23" t="str">
        <f ca="1">_xll.BDP($B41,AC$6, "YLD_YTM_ASK="&amp;$U41,"YAS_YLD_CONV=1")</f>
        <v>#N/A Requesting Data...</v>
      </c>
      <c r="AD41" s="22" t="e">
        <f t="shared" ca="1" si="3"/>
        <v>#VALUE!</v>
      </c>
      <c r="AE41" s="24">
        <f ca="1">_xll.meLWOBondDV01Numerical($N41,$C$4,$U41%, 0.5, "CENTRAL")</f>
        <v>538.38855737126323</v>
      </c>
    </row>
    <row r="42" spans="2:31">
      <c r="B42" s="15" t="s">
        <v>319</v>
      </c>
      <c r="C42" s="15" t="s">
        <v>320</v>
      </c>
      <c r="D42" s="15" t="s">
        <v>320</v>
      </c>
      <c r="E42" s="16">
        <v>42248</v>
      </c>
      <c r="F42" s="16">
        <v>42248</v>
      </c>
      <c r="G42" s="19" t="str">
        <f t="shared" si="0"/>
        <v/>
      </c>
      <c r="H42" s="16">
        <v>42339</v>
      </c>
      <c r="I42" s="16">
        <v>45809</v>
      </c>
      <c r="J42" s="48">
        <v>0.02</v>
      </c>
      <c r="K42" s="16">
        <v>45992</v>
      </c>
      <c r="L42" s="49">
        <v>100.51</v>
      </c>
      <c r="M42" s="15" t="s">
        <v>297</v>
      </c>
      <c r="N42" s="20" t="str">
        <f ca="1">_xll.meLWOBondCreateFromGeneratorLVB(C42,$N$4,_xll.meUtilityLVBFromKeysValues($C$6:$M$6,C42:M42))</f>
        <v>IT0005127086:1</v>
      </c>
      <c r="O42" s="92">
        <f ca="1">_xll.BDP($B42,$O$5)</f>
        <v>3.2530580502224682</v>
      </c>
      <c r="P42" s="89">
        <f ca="1">_xll.meLWOBondCleanPrice($N42,$C$4,$O42%)</f>
        <v>92.24500134399409</v>
      </c>
      <c r="Q42" s="89">
        <f ca="1">_xll.meLWOBondDirtyPrice($N42,$C$4,$O42%)</f>
        <v>92.999101343994084</v>
      </c>
      <c r="R42" s="72">
        <f ca="1">_xll.meLWOBondYield($N42,$C$4,P42)</f>
        <v>3.2530580502230899E-2</v>
      </c>
      <c r="S42" s="89">
        <f ca="1">_xll.meLWOBondModifiedDuration($N42,$C$4,$O42%)</f>
        <v>6.498206951992886</v>
      </c>
      <c r="T42" s="23">
        <f ca="1">_xll.meLWOBondDV01($N42,$C$4,$O42%)</f>
        <v>604.32740688263334</v>
      </c>
      <c r="U42" s="85">
        <f t="shared" ca="1" si="4"/>
        <v>3.2530580502224682</v>
      </c>
      <c r="V42" s="22" t="str">
        <f ca="1">_xll.BDP($B42,V$6, "YAS_BOND_YLD="&amp;U42,"YAS_YLD_CONV=1")</f>
        <v>#N/A Requesting Data...</v>
      </c>
      <c r="W42" s="89">
        <f t="shared" ca="1" si="5"/>
        <v>92.24500134399409</v>
      </c>
      <c r="X42" s="24" t="e">
        <f t="shared" ca="1" si="1"/>
        <v>#VALUE!</v>
      </c>
      <c r="Y42" s="23">
        <f ca="1">_xll.meLWOBondDV01($N42,$C$4,$U42%)</f>
        <v>604.32740688263334</v>
      </c>
      <c r="Z42" s="22" t="e">
        <f ca="1">_xll.BDP($B42,Z$6, "YLD_YTM_ASK="&amp;$U42,"YAS_YLD_CONV=33")*$Z$3*0.0001</f>
        <v>#VALUE!</v>
      </c>
      <c r="AA42" s="24" t="e">
        <f t="shared" ca="1" si="2"/>
        <v>#VALUE!</v>
      </c>
      <c r="AB42" s="23">
        <f ca="1">_xll.meLWOBondModifiedDuration($N42,$C$4,$U42%)</f>
        <v>6.498206951992886</v>
      </c>
      <c r="AC42" s="23" t="str">
        <f ca="1">_xll.BDP($B42,AC$6, "YLD_YTM_ASK="&amp;$U42,"YAS_YLD_CONV=1")</f>
        <v>#N/A Requesting Data...</v>
      </c>
      <c r="AD42" s="22" t="e">
        <f t="shared" ca="1" si="3"/>
        <v>#VALUE!</v>
      </c>
      <c r="AE42" s="24">
        <f ca="1">_xll.meLWOBondDV01Numerical($N42,$C$4,$U42%, 0.5, "CENTRAL")</f>
        <v>594.2609266192278</v>
      </c>
    </row>
    <row r="43" spans="2:31">
      <c r="B43" s="15" t="s">
        <v>506</v>
      </c>
      <c r="C43" s="15" t="s">
        <v>507</v>
      </c>
      <c r="D43" s="15" t="s">
        <v>507</v>
      </c>
      <c r="E43" s="16">
        <v>37333</v>
      </c>
      <c r="F43" s="16" t="s">
        <v>333</v>
      </c>
      <c r="G43" s="19" t="str">
        <f t="shared" si="0"/>
        <v/>
      </c>
      <c r="H43" s="16" t="s">
        <v>333</v>
      </c>
      <c r="I43" s="16" t="s">
        <v>333</v>
      </c>
      <c r="J43" s="48">
        <v>0</v>
      </c>
      <c r="K43" s="16">
        <v>46054</v>
      </c>
      <c r="L43" s="49" t="s">
        <v>333</v>
      </c>
      <c r="M43" s="15" t="s">
        <v>297</v>
      </c>
      <c r="N43" s="20" t="str">
        <f ca="1">_xll.meLWOBondCreateFromGeneratorLVB(C43,$N$4,_xll.meUtilityLVBFromKeysValues($C$6:$M$6,C43:M43))</f>
        <v>IT0003268841:1</v>
      </c>
      <c r="O43" s="92">
        <f ca="1">_xll.BDP($B43,$O$5)</f>
        <v>3.4692937160419879</v>
      </c>
      <c r="P43" s="89">
        <f ca="1">_xll.meLWOBondCleanPrice($N43,$C$4,$O43%)</f>
        <v>77.978239543212283</v>
      </c>
      <c r="Q43" s="89">
        <f ca="1">_xll.meLWOBondDirtyPrice($N43,$C$4,$O43%)</f>
        <v>77.978239543212283</v>
      </c>
      <c r="R43" s="72">
        <f ca="1">_xll.meLWOBondYield($N43,$C$4,P43)</f>
        <v>3.4692937160419879E-2</v>
      </c>
      <c r="S43" s="89">
        <f ca="1">_xll.meLWOBondModifiedDuration($N43,$C$4,$O43%)</f>
        <v>7.1674902641594169</v>
      </c>
      <c r="T43" s="23">
        <f ca="1">_xll.meLWOBondDV01($N43,$C$4,$O43%)</f>
        <v>558.9082727422649</v>
      </c>
      <c r="U43" s="85">
        <f t="shared" ca="1" si="4"/>
        <v>3.4692937160419879</v>
      </c>
      <c r="V43" s="22" t="str">
        <f ca="1">_xll.BDP($B43,V$6, "YAS_BOND_YLD="&amp;U43,"YAS_YLD_CONV=1")</f>
        <v>#N/A Requesting Data...</v>
      </c>
      <c r="W43" s="89">
        <f t="shared" ca="1" si="5"/>
        <v>77.978239543212283</v>
      </c>
      <c r="X43" s="24" t="e">
        <f t="shared" ca="1" si="1"/>
        <v>#VALUE!</v>
      </c>
      <c r="Y43" s="23">
        <f ca="1">_xll.meLWOBondDV01($N43,$C$4,$U43%)</f>
        <v>558.9082727422649</v>
      </c>
      <c r="Z43" s="22" t="e">
        <f ca="1">_xll.BDP($B43,Z$6, "YLD_YTM_ASK="&amp;$U43,"YAS_YLD_CONV=33")*$Z$3*0.0001</f>
        <v>#VALUE!</v>
      </c>
      <c r="AA43" s="24" t="e">
        <f t="shared" ca="1" si="2"/>
        <v>#VALUE!</v>
      </c>
      <c r="AB43" s="23">
        <f ca="1">_xll.meLWOBondModifiedDuration($N43,$C$4,$U43%)</f>
        <v>7.1674902641594169</v>
      </c>
      <c r="AC43" s="23" t="str">
        <f ca="1">_xll.BDP($B43,AC$6, "YLD_YTM_ASK="&amp;$U43,"YAS_YLD_CONV=1")</f>
        <v>#N/A Requesting Data...</v>
      </c>
      <c r="AD43" s="22" t="e">
        <f t="shared" ca="1" si="3"/>
        <v>#VALUE!</v>
      </c>
      <c r="AE43" s="24">
        <f ca="1">_xll.meLWOBondDV01Numerical($N43,$C$4,$U43%, 0.5, "CENTRAL")</f>
        <v>549.65978741293497</v>
      </c>
    </row>
    <row r="44" spans="2:31">
      <c r="B44" s="15" t="s">
        <v>308</v>
      </c>
      <c r="C44" s="15" t="s">
        <v>309</v>
      </c>
      <c r="D44" s="15" t="s">
        <v>309</v>
      </c>
      <c r="E44" s="16">
        <v>40450</v>
      </c>
      <c r="F44" s="16">
        <v>40422</v>
      </c>
      <c r="G44" s="19" t="str">
        <f t="shared" si="0"/>
        <v/>
      </c>
      <c r="H44" s="16">
        <v>40603</v>
      </c>
      <c r="I44" s="16">
        <v>45901</v>
      </c>
      <c r="J44" s="48">
        <v>4.4999999999999998E-2</v>
      </c>
      <c r="K44" s="16">
        <v>46082</v>
      </c>
      <c r="L44" s="49">
        <v>100.07</v>
      </c>
      <c r="M44" s="15" t="s">
        <v>297</v>
      </c>
      <c r="N44" s="20" t="str">
        <f ca="1">_xll.meLWOBondCreateFromGeneratorLVB(C44,$N$4,_xll.meUtilityLVBFromKeysValues($C$6:$M$6,C44:M44))</f>
        <v>IT0004644735:1</v>
      </c>
      <c r="O44" s="92">
        <f ca="1">_xll.BDP($B44,$O$5)</f>
        <v>3.3235202523008711</v>
      </c>
      <c r="P44" s="89">
        <f ca="1">_xll.meLWOBondCleanPrice($N44,$C$4,$O44%)</f>
        <v>107.80976290860005</v>
      </c>
      <c r="Q44" s="89">
        <f ca="1">_xll.meLWOBondDirtyPrice($N44,$C$4,$O44%)</f>
        <v>108.38158290860005</v>
      </c>
      <c r="R44" s="72">
        <f ca="1">_xll.meLWOBondYield($N44,$C$4,P44)</f>
        <v>3.3235202523012708E-2</v>
      </c>
      <c r="S44" s="89">
        <f ca="1">_xll.meLWOBondModifiedDuration($N44,$C$4,$O44%)</f>
        <v>6.2651040931220949</v>
      </c>
      <c r="T44" s="23">
        <f ca="1">_xll.meLWOBondDV01($N44,$C$4,$O44%)</f>
        <v>679.02189869972187</v>
      </c>
      <c r="U44" s="85">
        <f t="shared" ca="1" si="4"/>
        <v>3.3235202523008711</v>
      </c>
      <c r="V44" s="22" t="str">
        <f ca="1">_xll.BDP($B44,V$6, "YAS_BOND_YLD="&amp;U44,"YAS_YLD_CONV=1")</f>
        <v>#N/A Requesting Data...</v>
      </c>
      <c r="W44" s="89">
        <f t="shared" ca="1" si="5"/>
        <v>107.80976290860005</v>
      </c>
      <c r="X44" s="24" t="e">
        <f t="shared" ca="1" si="1"/>
        <v>#VALUE!</v>
      </c>
      <c r="Y44" s="23">
        <f ca="1">_xll.meLWOBondDV01($N44,$C$4,$U44%)</f>
        <v>679.02189869972187</v>
      </c>
      <c r="Z44" s="22" t="e">
        <f ca="1">_xll.BDP($B44,Z$6, "YLD_YTM_ASK="&amp;$U44,"YAS_YLD_CONV=33")*$Z$3*0.0001</f>
        <v>#VALUE!</v>
      </c>
      <c r="AA44" s="24" t="e">
        <f t="shared" ca="1" si="2"/>
        <v>#VALUE!</v>
      </c>
      <c r="AB44" s="23">
        <f ca="1">_xll.meLWOBondModifiedDuration($N44,$C$4,$U44%)</f>
        <v>6.2651040931220949</v>
      </c>
      <c r="AC44" s="23" t="str">
        <f ca="1">_xll.BDP($B44,AC$6, "YLD_YTM_ASK="&amp;$U44,"YAS_YLD_CONV=1")</f>
        <v>#N/A Requesting Data...</v>
      </c>
      <c r="AD44" s="22" t="e">
        <f t="shared" ca="1" si="3"/>
        <v>#VALUE!</v>
      </c>
      <c r="AE44" s="24">
        <f ca="1">_xll.meLWOBondDV01Numerical($N44,$C$4,$U44%, 0.5, "CENTRAL")</f>
        <v>668.25624923552596</v>
      </c>
    </row>
    <row r="45" spans="2:31">
      <c r="B45" s="15" t="s">
        <v>562</v>
      </c>
      <c r="C45" s="15" t="s">
        <v>563</v>
      </c>
      <c r="D45" s="15" t="s">
        <v>563</v>
      </c>
      <c r="E45" s="16">
        <v>41416</v>
      </c>
      <c r="F45" s="16" t="s">
        <v>333</v>
      </c>
      <c r="G45" s="19" t="str">
        <f t="shared" si="0"/>
        <v/>
      </c>
      <c r="H45" s="16" t="s">
        <v>333</v>
      </c>
      <c r="I45" s="16" t="s">
        <v>333</v>
      </c>
      <c r="J45" s="48">
        <v>0</v>
      </c>
      <c r="K45" s="16">
        <v>46082</v>
      </c>
      <c r="L45" s="49" t="s">
        <v>333</v>
      </c>
      <c r="M45" s="15" t="s">
        <v>297</v>
      </c>
      <c r="N45" s="20" t="str">
        <f ca="1">_xll.meLWOBondCreateFromGeneratorLVB(C45,$N$4,_xll.meUtilityLVBFromKeysValues($C$6:$M$6,C45:M45))</f>
        <v>IT0004976475:1</v>
      </c>
      <c r="O45" s="92">
        <f ca="1">_xll.BDP($B45,$O$5)</f>
        <v>3.531856437225267</v>
      </c>
      <c r="P45" s="89">
        <f ca="1">_xll.meLWOBondCleanPrice($N45,$C$4,$O45%)</f>
        <v>77.413757941467779</v>
      </c>
      <c r="Q45" s="89">
        <f ca="1">_xll.meLWOBondDirtyPrice($N45,$C$4,$O45%)</f>
        <v>77.413757941467779</v>
      </c>
      <c r="R45" s="72">
        <f ca="1">_xll.meLWOBondYield($N45,$C$4,P45)</f>
        <v>3.531856437225267E-2</v>
      </c>
      <c r="S45" s="89">
        <f ca="1">_xll.meLWOBondModifiedDuration($N45,$C$4,$O45%)</f>
        <v>7.2460779644394675</v>
      </c>
      <c r="T45" s="23">
        <f ca="1">_xll.meLWOBondDV01($N45,$C$4,$O45%)</f>
        <v>560.94612556412051</v>
      </c>
      <c r="U45" s="85">
        <f t="shared" ca="1" si="4"/>
        <v>3.531856437225267</v>
      </c>
      <c r="V45" s="22" t="str">
        <f ca="1">_xll.BDP($B45,V$6, "YAS_BOND_YLD="&amp;U45,"YAS_YLD_CONV=1")</f>
        <v>#N/A Requesting Data...</v>
      </c>
      <c r="W45" s="89">
        <f t="shared" ca="1" si="5"/>
        <v>77.413757941467779</v>
      </c>
      <c r="X45" s="24" t="e">
        <f t="shared" ca="1" si="1"/>
        <v>#VALUE!</v>
      </c>
      <c r="Y45" s="23">
        <f ca="1">_xll.meLWOBondDV01($N45,$C$4,$U45%)</f>
        <v>560.94612556412051</v>
      </c>
      <c r="Z45" s="22" t="e">
        <f ca="1">_xll.BDP($B45,Z$6, "YLD_YTM_ASK="&amp;$U45,"YAS_YLD_CONV=33")*$Z$3*0.0001</f>
        <v>#VALUE!</v>
      </c>
      <c r="AA45" s="24" t="e">
        <f t="shared" ca="1" si="2"/>
        <v>#VALUE!</v>
      </c>
      <c r="AB45" s="23">
        <f ca="1">_xll.meLWOBondModifiedDuration($N45,$C$4,$U45%)</f>
        <v>7.2460779644394675</v>
      </c>
      <c r="AC45" s="23" t="str">
        <f ca="1">_xll.BDP($B45,AC$6, "YLD_YTM_ASK="&amp;$U45,"YAS_YLD_CONV=1")</f>
        <v>#N/A Requesting Data...</v>
      </c>
      <c r="AD45" s="22" t="e">
        <f t="shared" ca="1" si="3"/>
        <v>#VALUE!</v>
      </c>
      <c r="AE45" s="24">
        <f ca="1">_xll.meLWOBondDV01Numerical($N45,$C$4,$U45%, 0.5, "CENTRAL")</f>
        <v>551.50506435836633</v>
      </c>
    </row>
    <row r="46" spans="2:31">
      <c r="B46" s="15" t="s">
        <v>634</v>
      </c>
      <c r="C46" s="15" t="s">
        <v>635</v>
      </c>
      <c r="D46" s="15" t="s">
        <v>635</v>
      </c>
      <c r="E46" s="16">
        <v>40422</v>
      </c>
      <c r="F46" s="16" t="s">
        <v>333</v>
      </c>
      <c r="G46" s="19" t="str">
        <f t="shared" si="0"/>
        <v/>
      </c>
      <c r="H46" s="16" t="s">
        <v>333</v>
      </c>
      <c r="I46" s="16" t="s">
        <v>333</v>
      </c>
      <c r="J46" s="48">
        <v>0</v>
      </c>
      <c r="K46" s="16">
        <v>46082</v>
      </c>
      <c r="L46" s="49" t="s">
        <v>333</v>
      </c>
      <c r="M46" s="15" t="s">
        <v>297</v>
      </c>
      <c r="N46" s="20" t="str">
        <f ca="1">_xll.meLWOBondCreateFromGeneratorLVB(C46,$N$4,_xll.meUtilityLVBFromKeysValues($C$6:$M$6,C46:M46))</f>
        <v>IT0004848773:1</v>
      </c>
      <c r="O46" s="92">
        <f ca="1">_xll.BDP($B46,$O$5)</f>
        <v>3.4057568542764205</v>
      </c>
      <c r="P46" s="89">
        <f ca="1">_xll.meLWOBondCleanPrice($N46,$C$4,$O46%)</f>
        <v>78.112764334119419</v>
      </c>
      <c r="Q46" s="89">
        <f ca="1">_xll.meLWOBondDirtyPrice($N46,$C$4,$O46%)</f>
        <v>78.112764334119419</v>
      </c>
      <c r="R46" s="72">
        <f ca="1">_xll.meLWOBondYield($N46,$C$4,P46)</f>
        <v>3.4057568542764205E-2</v>
      </c>
      <c r="S46" s="89">
        <f ca="1">_xll.meLWOBondModifiedDuration($N46,$C$4,$O46%)</f>
        <v>7.2504947833983513</v>
      </c>
      <c r="T46" s="23">
        <f ca="1">_xll.meLWOBondDV01($N46,$C$4,$O46%)</f>
        <v>566.35619032135764</v>
      </c>
      <c r="U46" s="85">
        <f t="shared" ca="1" si="4"/>
        <v>3.4057568542764205</v>
      </c>
      <c r="V46" s="22" t="str">
        <f ca="1">_xll.BDP($B46,V$6, "YAS_BOND_YLD="&amp;U46,"YAS_YLD_CONV=1")</f>
        <v>#N/A Requesting Data...</v>
      </c>
      <c r="W46" s="89">
        <f t="shared" ca="1" si="5"/>
        <v>78.112764334119419</v>
      </c>
      <c r="X46" s="24" t="e">
        <f t="shared" ca="1" si="1"/>
        <v>#VALUE!</v>
      </c>
      <c r="Y46" s="23">
        <f ca="1">_xll.meLWOBondDV01($N46,$C$4,$U46%)</f>
        <v>566.35619032135764</v>
      </c>
      <c r="Z46" s="22" t="e">
        <f ca="1">_xll.BDP($B46,Z$6, "YLD_YTM_ASK="&amp;$U46,"YAS_YLD_CONV=33")*$Z$3*0.0001</f>
        <v>#VALUE!</v>
      </c>
      <c r="AA46" s="24" t="e">
        <f t="shared" ca="1" si="2"/>
        <v>#VALUE!</v>
      </c>
      <c r="AB46" s="23">
        <f ca="1">_xll.meLWOBondModifiedDuration($N46,$C$4,$U46%)</f>
        <v>7.2504947833983513</v>
      </c>
      <c r="AC46" s="23" t="str">
        <f ca="1">_xll.BDP($B46,AC$6, "YLD_YTM_ASK="&amp;$U46,"YAS_YLD_CONV=1")</f>
        <v>#N/A Requesting Data...</v>
      </c>
      <c r="AD46" s="22" t="e">
        <f t="shared" ca="1" si="3"/>
        <v>#VALUE!</v>
      </c>
      <c r="AE46" s="24">
        <f ca="1">_xll.meLWOBondDV01Numerical($N46,$C$4,$U46%, 0.5, "CENTRAL")</f>
        <v>557.1634844815776</v>
      </c>
    </row>
    <row r="47" spans="2:31">
      <c r="B47" s="15" t="s">
        <v>426</v>
      </c>
      <c r="C47" s="15" t="s">
        <v>427</v>
      </c>
      <c r="D47" s="15" t="s">
        <v>427</v>
      </c>
      <c r="E47" s="16">
        <v>36003</v>
      </c>
      <c r="F47" s="16" t="s">
        <v>333</v>
      </c>
      <c r="G47" s="19" t="str">
        <f t="shared" si="0"/>
        <v/>
      </c>
      <c r="H47" s="16" t="s">
        <v>333</v>
      </c>
      <c r="I47" s="16" t="s">
        <v>333</v>
      </c>
      <c r="J47" s="48">
        <v>0</v>
      </c>
      <c r="K47" s="16">
        <v>46143</v>
      </c>
      <c r="L47" s="49" t="s">
        <v>333</v>
      </c>
      <c r="M47" s="15" t="s">
        <v>297</v>
      </c>
      <c r="N47" s="20" t="str">
        <f ca="1">_xll.meLWOBondCreateFromGeneratorLVB(C47,$N$4,_xll.meUtilityLVBFromKeysValues($C$6:$M$6,C47:M47))</f>
        <v>IT0001247375:0</v>
      </c>
      <c r="O47" s="92">
        <f ca="1">_xll.BDP($B47,$O$5)</f>
        <v>3.4508251112971289</v>
      </c>
      <c r="P47" s="89">
        <f ca="1">_xll.meLWOBondCleanPrice($N47,$C$4,$O47%)</f>
        <v>77.404976642861172</v>
      </c>
      <c r="Q47" s="89">
        <f ca="1">_xll.meLWOBondDirtyPrice($N47,$C$4,$O47%)</f>
        <v>77.404976642861172</v>
      </c>
      <c r="R47" s="72">
        <f ca="1">_xll.meLWOBondYield($N47,$C$4,P47)</f>
        <v>3.4508251112971289E-2</v>
      </c>
      <c r="S47" s="89">
        <f ca="1">_xll.meLWOBondModifiedDuration($N47,$C$4,$O47%)</f>
        <v>7.4139250168570197</v>
      </c>
      <c r="T47" s="23">
        <f ca="1">_xll.meLWOBondDV01($N47,$C$4,$O47%)</f>
        <v>573.8746927617417</v>
      </c>
      <c r="U47" s="85">
        <f t="shared" ca="1" si="4"/>
        <v>3.4508251112971289</v>
      </c>
      <c r="V47" s="22" t="str">
        <f ca="1">_xll.BDP($B47,V$6, "YAS_BOND_YLD="&amp;U47,"YAS_YLD_CONV=1")</f>
        <v>#N/A Requesting Data...</v>
      </c>
      <c r="W47" s="89">
        <f t="shared" ca="1" si="5"/>
        <v>77.404976642861172</v>
      </c>
      <c r="X47" s="24" t="e">
        <f t="shared" ca="1" si="1"/>
        <v>#VALUE!</v>
      </c>
      <c r="Y47" s="23">
        <f ca="1">_xll.meLWOBondDV01($N47,$C$4,$U47%)</f>
        <v>573.8746927617417</v>
      </c>
      <c r="Z47" s="22" t="e">
        <f ca="1">_xll.BDP($B47,Z$6, "YLD_YTM_ASK="&amp;$U47,"YAS_YLD_CONV=33")*$Z$3*0.0001</f>
        <v>#VALUE!</v>
      </c>
      <c r="AA47" s="24" t="e">
        <f t="shared" ca="1" si="2"/>
        <v>#VALUE!</v>
      </c>
      <c r="AB47" s="23">
        <f ca="1">_xll.meLWOBondModifiedDuration($N47,$C$4,$U47%)</f>
        <v>7.4139250168570197</v>
      </c>
      <c r="AC47" s="23" t="str">
        <f ca="1">_xll.BDP($B47,AC$6, "YLD_YTM_ASK="&amp;$U47,"YAS_YLD_CONV=1")</f>
        <v>#N/A Requesting Data...</v>
      </c>
      <c r="AD47" s="22" t="e">
        <f t="shared" ca="1" si="3"/>
        <v>#VALUE!</v>
      </c>
      <c r="AE47" s="24">
        <f ca="1">_xll.meLWOBondDV01Numerical($N47,$C$4,$U47%, 0.5, "CENTRAL")</f>
        <v>564.86124610600541</v>
      </c>
    </row>
    <row r="48" spans="2:31">
      <c r="B48" s="15" t="s">
        <v>306</v>
      </c>
      <c r="C48" s="15" t="s">
        <v>307</v>
      </c>
      <c r="D48" s="15" t="s">
        <v>307</v>
      </c>
      <c r="E48" s="16">
        <v>42430</v>
      </c>
      <c r="F48" s="16">
        <v>42430</v>
      </c>
      <c r="G48" s="19" t="str">
        <f t="shared" si="0"/>
        <v/>
      </c>
      <c r="H48" s="16">
        <v>42522</v>
      </c>
      <c r="I48" s="16">
        <v>45992</v>
      </c>
      <c r="J48" s="48">
        <v>1.6E-2</v>
      </c>
      <c r="K48" s="16">
        <v>46174</v>
      </c>
      <c r="L48" s="49">
        <v>100.97</v>
      </c>
      <c r="M48" s="15" t="s">
        <v>297</v>
      </c>
      <c r="N48" s="20" t="str">
        <f ca="1">_xll.meLWOBondCreateFromGeneratorLVB(C48,$N$4,_xll.meUtilityLVBFromKeysValues($C$6:$M$6,C48:M48))</f>
        <v>IT0005170839:1</v>
      </c>
      <c r="O48" s="92">
        <f ca="1">_xll.BDP($B48,$O$5)</f>
        <v>3.2251034152013247</v>
      </c>
      <c r="P48" s="89">
        <f ca="1">_xll.meLWOBondCleanPrice($N48,$C$4,$O48%)</f>
        <v>89.254001060344692</v>
      </c>
      <c r="Q48" s="89">
        <f ca="1">_xll.meLWOBondDirtyPrice($N48,$C$4,$O48%)</f>
        <v>89.85728106034469</v>
      </c>
      <c r="R48" s="72">
        <f ca="1">_xll.meLWOBondYield($N48,$C$4,P48)</f>
        <v>3.2251034151980162E-2</v>
      </c>
      <c r="S48" s="89">
        <f ca="1">_xll.meLWOBondModifiedDuration($N48,$C$4,$O48%)</f>
        <v>7.0211959549467995</v>
      </c>
      <c r="T48" s="23">
        <f ca="1">_xll.meLWOBondDV01($N48,$C$4,$O48%)</f>
        <v>630.90557830340981</v>
      </c>
      <c r="U48" s="85">
        <f t="shared" ca="1" si="4"/>
        <v>3.2251034152013247</v>
      </c>
      <c r="V48" s="22" t="str">
        <f ca="1">_xll.BDP($B48,V$6, "YAS_BOND_YLD="&amp;U48,"YAS_YLD_CONV=1")</f>
        <v>#N/A Requesting Data...</v>
      </c>
      <c r="W48" s="89">
        <f t="shared" ca="1" si="5"/>
        <v>89.254001060344692</v>
      </c>
      <c r="X48" s="24" t="e">
        <f t="shared" ca="1" si="1"/>
        <v>#VALUE!</v>
      </c>
      <c r="Y48" s="23">
        <f ca="1">_xll.meLWOBondDV01($N48,$C$4,$U48%)</f>
        <v>630.90557830340981</v>
      </c>
      <c r="Z48" s="22" t="e">
        <f ca="1">_xll.BDP($B48,Z$6, "YLD_YTM_ASK="&amp;$U48,"YAS_YLD_CONV=33")*$Z$3*0.0001</f>
        <v>#VALUE!</v>
      </c>
      <c r="AA48" s="24" t="e">
        <f t="shared" ca="1" si="2"/>
        <v>#VALUE!</v>
      </c>
      <c r="AB48" s="23">
        <f ca="1">_xll.meLWOBondModifiedDuration($N48,$C$4,$U48%)</f>
        <v>7.0211959549467995</v>
      </c>
      <c r="AC48" s="23" t="str">
        <f ca="1">_xll.BDP($B48,AC$6, "YLD_YTM_ASK="&amp;$U48,"YAS_YLD_CONV=1")</f>
        <v>#N/A Requesting Data...</v>
      </c>
      <c r="AD48" s="22" t="e">
        <f t="shared" ca="1" si="3"/>
        <v>#VALUE!</v>
      </c>
      <c r="AE48" s="24">
        <f ca="1">_xll.meLWOBondDV01Numerical($N48,$C$4,$U48%, 0.5, "CENTRAL")</f>
        <v>620.51330208845457</v>
      </c>
    </row>
    <row r="49" spans="2:31">
      <c r="B49" s="15" t="s">
        <v>628</v>
      </c>
      <c r="C49" s="15" t="s">
        <v>629</v>
      </c>
      <c r="D49" s="15" t="s">
        <v>629</v>
      </c>
      <c r="E49" s="16">
        <v>37333</v>
      </c>
      <c r="F49" s="16" t="s">
        <v>333</v>
      </c>
      <c r="G49" s="19" t="str">
        <f t="shared" si="0"/>
        <v/>
      </c>
      <c r="H49" s="16" t="s">
        <v>333</v>
      </c>
      <c r="I49" s="16" t="s">
        <v>333</v>
      </c>
      <c r="J49" s="48">
        <v>0</v>
      </c>
      <c r="K49" s="16">
        <v>46235</v>
      </c>
      <c r="L49" s="49" t="s">
        <v>333</v>
      </c>
      <c r="M49" s="15" t="s">
        <v>297</v>
      </c>
      <c r="N49" s="20" t="str">
        <f ca="1">_xll.meLWOBondCreateFromGeneratorLVB(C49,$N$4,_xll.meUtilityLVBFromKeysValues($C$6:$M$6,C49:M49))</f>
        <v>IT0003268858:1</v>
      </c>
      <c r="O49" s="92">
        <f ca="1">_xll.BDP($B49,$O$5)</f>
        <v>3.5091106541994765</v>
      </c>
      <c r="P49" s="89">
        <f ca="1">_xll.meLWOBondCleanPrice($N49,$C$4,$O49%)</f>
        <v>76.422999973617195</v>
      </c>
      <c r="Q49" s="89">
        <f ca="1">_xll.meLWOBondDirtyPrice($N49,$C$4,$O49%)</f>
        <v>76.422999973617195</v>
      </c>
      <c r="R49" s="72">
        <f ca="1">_xll.meLWOBondYield($N49,$C$4,P49)</f>
        <v>3.5091106541994765E-2</v>
      </c>
      <c r="S49" s="89">
        <f ca="1">_xll.meLWOBondModifiedDuration($N49,$C$4,$O49%)</f>
        <v>7.6575631267434696</v>
      </c>
      <c r="T49" s="23">
        <f ca="1">_xll.meLWOBondDV01($N49,$C$4,$O49%)</f>
        <v>585.2139466330882</v>
      </c>
      <c r="U49" s="85">
        <f t="shared" ca="1" si="4"/>
        <v>3.5091106541994765</v>
      </c>
      <c r="V49" s="22" t="str">
        <f ca="1">_xll.BDP($B49,V$6, "YAS_BOND_YLD="&amp;U49,"YAS_YLD_CONV=1")</f>
        <v>#N/A Requesting Data...</v>
      </c>
      <c r="W49" s="89">
        <f t="shared" ca="1" si="5"/>
        <v>76.422999973617195</v>
      </c>
      <c r="X49" s="24" t="e">
        <f t="shared" ca="1" si="1"/>
        <v>#VALUE!</v>
      </c>
      <c r="Y49" s="23">
        <f ca="1">_xll.meLWOBondDV01($N49,$C$4,$U49%)</f>
        <v>585.2139466330882</v>
      </c>
      <c r="Z49" s="22" t="e">
        <f ca="1">_xll.BDP($B49,Z$6, "YLD_YTM_ASK="&amp;$U49,"YAS_YLD_CONV=33")*$Z$3*0.0001</f>
        <v>#VALUE!</v>
      </c>
      <c r="AA49" s="24" t="e">
        <f t="shared" ca="1" si="2"/>
        <v>#VALUE!</v>
      </c>
      <c r="AB49" s="23">
        <f ca="1">_xll.meLWOBondModifiedDuration($N49,$C$4,$U49%)</f>
        <v>7.6575631267434696</v>
      </c>
      <c r="AC49" s="23" t="str">
        <f ca="1">_xll.BDP($B49,AC$6, "YLD_YTM_ASK="&amp;$U49,"YAS_YLD_CONV=1")</f>
        <v>#N/A Requesting Data...</v>
      </c>
      <c r="AD49" s="22" t="e">
        <f t="shared" ca="1" si="3"/>
        <v>#VALUE!</v>
      </c>
      <c r="AE49" s="24">
        <f ca="1">_xll.meLWOBondDV01Numerical($N49,$C$4,$U49%, 0.5, "CENTRAL")</f>
        <v>575.60989203977908</v>
      </c>
    </row>
    <row r="50" spans="2:31">
      <c r="B50" s="15" t="s">
        <v>696</v>
      </c>
      <c r="C50" s="15" t="s">
        <v>697</v>
      </c>
      <c r="D50" s="15" t="s">
        <v>697</v>
      </c>
      <c r="E50" s="16">
        <v>40617</v>
      </c>
      <c r="F50" s="16" t="s">
        <v>333</v>
      </c>
      <c r="G50" s="19" t="str">
        <f t="shared" si="0"/>
        <v/>
      </c>
      <c r="H50" s="16" t="s">
        <v>333</v>
      </c>
      <c r="I50" s="16" t="s">
        <v>333</v>
      </c>
      <c r="J50" s="48">
        <v>0</v>
      </c>
      <c r="K50" s="16">
        <v>46280</v>
      </c>
      <c r="L50" s="49" t="s">
        <v>333</v>
      </c>
      <c r="M50" s="15" t="s">
        <v>297</v>
      </c>
      <c r="N50" s="20" t="str">
        <f ca="1">_xll.meLWOBondCreateFromGeneratorLVB(C50,$N$4,_xll.meUtilityLVBFromKeysValues($C$6:$M$6,C50:M50))</f>
        <v>IT0004967904:1</v>
      </c>
      <c r="O50" s="92">
        <f ca="1">_xll.BDP($B50,$O$5)</f>
        <v>3.4556797734348832</v>
      </c>
      <c r="P50" s="89">
        <f ca="1">_xll.meLWOBondCleanPrice($N50,$C$4,$O50%)</f>
        <v>76.430766073129462</v>
      </c>
      <c r="Q50" s="89">
        <f ca="1">_xll.meLWOBondDirtyPrice($N50,$C$4,$O50%)</f>
        <v>76.430766073129462</v>
      </c>
      <c r="R50" s="72">
        <f ca="1">_xll.meLWOBondYield($N50,$C$4,P50)</f>
        <v>3.4556797734348832E-2</v>
      </c>
      <c r="S50" s="89">
        <f ca="1">_xll.meLWOBondModifiedDuration($N50,$C$4,$O50%)</f>
        <v>7.7783462873197777</v>
      </c>
      <c r="T50" s="23">
        <f ca="1">_xll.meLWOBondDV01($N50,$C$4,$O50%)</f>
        <v>594.50496552193295</v>
      </c>
      <c r="U50" s="85">
        <f t="shared" ca="1" si="4"/>
        <v>3.4556797734348832</v>
      </c>
      <c r="V50" s="22" t="str">
        <f ca="1">_xll.BDP($B50,V$6, "YAS_BOND_YLD="&amp;U50,"YAS_YLD_CONV=1")</f>
        <v>#N/A Requesting Data...</v>
      </c>
      <c r="W50" s="89">
        <f t="shared" ca="1" si="5"/>
        <v>76.430766073129462</v>
      </c>
      <c r="X50" s="24" t="e">
        <f t="shared" ca="1" si="1"/>
        <v>#VALUE!</v>
      </c>
      <c r="Y50" s="23">
        <f ca="1">_xll.meLWOBondDV01($N50,$C$4,$U50%)</f>
        <v>594.50496552193295</v>
      </c>
      <c r="Z50" s="22" t="e">
        <f ca="1">_xll.BDP($B50,Z$6, "YLD_YTM_ASK="&amp;$U50,"YAS_YLD_CONV=33")*$Z$3*0.0001</f>
        <v>#VALUE!</v>
      </c>
      <c r="AA50" s="24" t="e">
        <f t="shared" ca="1" si="2"/>
        <v>#VALUE!</v>
      </c>
      <c r="AB50" s="23">
        <f ca="1">_xll.meLWOBondModifiedDuration($N50,$C$4,$U50%)</f>
        <v>7.7783462873197777</v>
      </c>
      <c r="AC50" s="23" t="str">
        <f ca="1">_xll.BDP($B50,AC$6, "YLD_YTM_ASK="&amp;$U50,"YAS_YLD_CONV=1")</f>
        <v>#N/A Requesting Data...</v>
      </c>
      <c r="AD50" s="22" t="e">
        <f t="shared" ca="1" si="3"/>
        <v>#VALUE!</v>
      </c>
      <c r="AE50" s="24">
        <f ca="1">_xll.meLWOBondDV01Numerical($N50,$C$4,$U50%, 0.5, "CENTRAL")</f>
        <v>584.49833273144236</v>
      </c>
    </row>
    <row r="51" spans="2:31">
      <c r="B51" s="15" t="s">
        <v>352</v>
      </c>
      <c r="C51" s="15" t="s">
        <v>353</v>
      </c>
      <c r="D51" s="15" t="s">
        <v>353</v>
      </c>
      <c r="E51" s="16">
        <v>35464</v>
      </c>
      <c r="F51" s="16">
        <v>35370</v>
      </c>
      <c r="G51" s="19" t="str">
        <f t="shared" si="0"/>
        <v/>
      </c>
      <c r="H51" s="16">
        <v>35551</v>
      </c>
      <c r="I51" s="16">
        <v>46143</v>
      </c>
      <c r="J51" s="48">
        <v>7.2499999999999995E-2</v>
      </c>
      <c r="K51" s="16">
        <v>46327</v>
      </c>
      <c r="L51" s="49">
        <v>99.45</v>
      </c>
      <c r="M51" s="15" t="s">
        <v>297</v>
      </c>
      <c r="N51" s="20" t="str">
        <f ca="1">_xll.meLWOBondCreateFromGeneratorLVB(C51,$N$4,_xll.meUtilityLVBFromKeysValues($C$6:$M$6,C51:M51))</f>
        <v>IT0001086567:1</v>
      </c>
      <c r="O51" s="92">
        <f ca="1">_xll.BDP($B51,$O$5)</f>
        <v>3.426601609570934</v>
      </c>
      <c r="P51" s="89">
        <f ca="1">_xll.meLWOBondCleanPrice($N51,$C$4,$O51%)</f>
        <v>126.88974611184234</v>
      </c>
      <c r="Q51" s="89">
        <f ca="1">_xll.meLWOBondDirtyPrice($N51,$C$4,$O51%)</f>
        <v>130.21922611184235</v>
      </c>
      <c r="R51" s="72">
        <f ca="1">_xll.meLWOBondYield($N51,$C$4,P51)</f>
        <v>3.4266016095709784E-2</v>
      </c>
      <c r="S51" s="89">
        <f ca="1">_xll.meLWOBondModifiedDuration($N51,$C$4,$O51%)</f>
        <v>6.1943587566386542</v>
      </c>
      <c r="T51" s="23">
        <f ca="1">_xll.meLWOBondDV01($N51,$C$4,$O51%)</f>
        <v>806.62460354859957</v>
      </c>
      <c r="U51" s="85">
        <f t="shared" ca="1" si="4"/>
        <v>3.426601609570934</v>
      </c>
      <c r="V51" s="22" t="str">
        <f ca="1">_xll.BDP($B51,V$6, "YAS_BOND_YLD="&amp;U51,"YAS_YLD_CONV=1")</f>
        <v>#N/A Requesting Data...</v>
      </c>
      <c r="W51" s="89">
        <f t="shared" ca="1" si="5"/>
        <v>126.88974611184234</v>
      </c>
      <c r="X51" s="24" t="e">
        <f t="shared" ca="1" si="1"/>
        <v>#VALUE!</v>
      </c>
      <c r="Y51" s="23">
        <f ca="1">_xll.meLWOBondDV01($N51,$C$4,$U51%)</f>
        <v>806.62460354859957</v>
      </c>
      <c r="Z51" s="22" t="e">
        <f ca="1">_xll.BDP($B51,Z$6, "YLD_YTM_ASK="&amp;$U51,"YAS_YLD_CONV=33")*$Z$3*0.0001</f>
        <v>#VALUE!</v>
      </c>
      <c r="AA51" s="24" t="e">
        <f t="shared" ca="1" si="2"/>
        <v>#VALUE!</v>
      </c>
      <c r="AB51" s="23">
        <f ca="1">_xll.meLWOBondModifiedDuration($N51,$C$4,$U51%)</f>
        <v>6.1943587566386542</v>
      </c>
      <c r="AC51" s="23" t="str">
        <f ca="1">_xll.BDP($B51,AC$6, "YLD_YTM_ASK="&amp;$U51,"YAS_YLD_CONV=1")</f>
        <v>#N/A Requesting Data...</v>
      </c>
      <c r="AD51" s="22" t="e">
        <f t="shared" ca="1" si="3"/>
        <v>#VALUE!</v>
      </c>
      <c r="AE51" s="24">
        <f ca="1">_xll.meLWOBondDV01Numerical($N51,$C$4,$U51%, 0.5, "CENTRAL")</f>
        <v>793.529674207889</v>
      </c>
    </row>
    <row r="52" spans="2:31">
      <c r="B52" s="15" t="s">
        <v>380</v>
      </c>
      <c r="C52" s="15" t="s">
        <v>381</v>
      </c>
      <c r="D52" s="15" t="s">
        <v>381</v>
      </c>
      <c r="E52" s="16">
        <v>36003</v>
      </c>
      <c r="F52" s="16" t="s">
        <v>333</v>
      </c>
      <c r="G52" s="19" t="str">
        <f t="shared" si="0"/>
        <v/>
      </c>
      <c r="H52" s="16" t="s">
        <v>333</v>
      </c>
      <c r="I52" s="16" t="s">
        <v>333</v>
      </c>
      <c r="J52" s="48">
        <v>0</v>
      </c>
      <c r="K52" s="16">
        <v>46327</v>
      </c>
      <c r="L52" s="49" t="s">
        <v>333</v>
      </c>
      <c r="M52" s="15" t="s">
        <v>297</v>
      </c>
      <c r="N52" s="20" t="str">
        <f ca="1">_xll.meLWOBondCreateFromGeneratorLVB(C52,$N$4,_xll.meUtilityLVBFromKeysValues($C$6:$M$6,C52:M52))</f>
        <v>IT0004848443:1</v>
      </c>
      <c r="O52" s="92">
        <f ca="1">_xll.BDP($B52,$O$5)</f>
        <v>3.5262540921443319</v>
      </c>
      <c r="P52" s="89">
        <f ca="1">_xll.meLWOBondCleanPrice($N52,$C$4,$O52%)</f>
        <v>75.672096159375329</v>
      </c>
      <c r="Q52" s="89">
        <f ca="1">_xll.meLWOBondDirtyPrice($N52,$C$4,$O52%)</f>
        <v>75.672096159375329</v>
      </c>
      <c r="R52" s="72">
        <f ca="1">_xll.meLWOBondYield($N52,$C$4,P52)</f>
        <v>3.5262540921443319E-2</v>
      </c>
      <c r="S52" s="89">
        <f ca="1">_xll.meLWOBondModifiedDuration($N52,$C$4,$O52%)</f>
        <v>7.9026345055308251</v>
      </c>
      <c r="T52" s="23">
        <f ca="1">_xll.meLWOBondDV01($N52,$C$4,$O52%)</f>
        <v>598.0089182149261</v>
      </c>
      <c r="U52" s="85">
        <f t="shared" ca="1" si="4"/>
        <v>3.5262540921443319</v>
      </c>
      <c r="V52" s="22" t="str">
        <f ca="1">_xll.BDP($B52,V$6, "YAS_BOND_YLD="&amp;U52,"YAS_YLD_CONV=1")</f>
        <v>#N/A Requesting Data...</v>
      </c>
      <c r="W52" s="89">
        <f t="shared" ca="1" si="5"/>
        <v>75.672096159375329</v>
      </c>
      <c r="X52" s="24" t="e">
        <f t="shared" ca="1" si="1"/>
        <v>#VALUE!</v>
      </c>
      <c r="Y52" s="23">
        <f ca="1">_xll.meLWOBondDV01($N52,$C$4,$U52%)</f>
        <v>598.0089182149261</v>
      </c>
      <c r="Z52" s="22" t="e">
        <f ca="1">_xll.BDP($B52,Z$6, "YLD_YTM_ASK="&amp;$U52,"YAS_YLD_CONV=33")*$Z$3*0.0001</f>
        <v>#VALUE!</v>
      </c>
      <c r="AA52" s="24" t="e">
        <f t="shared" ca="1" si="2"/>
        <v>#VALUE!</v>
      </c>
      <c r="AB52" s="23">
        <f ca="1">_xll.meLWOBondModifiedDuration($N52,$C$4,$U52%)</f>
        <v>7.9026345055308251</v>
      </c>
      <c r="AC52" s="23" t="str">
        <f ca="1">_xll.BDP($B52,AC$6, "YLD_YTM_ASK="&amp;$U52,"YAS_YLD_CONV=1")</f>
        <v>#N/A Requesting Data...</v>
      </c>
      <c r="AD52" s="22" t="e">
        <f t="shared" ca="1" si="3"/>
        <v>#VALUE!</v>
      </c>
      <c r="AE52" s="24">
        <f ca="1">_xll.meLWOBondDV01Numerical($N52,$C$4,$U52%, 0.5, "CENTRAL")</f>
        <v>587.96329049044971</v>
      </c>
    </row>
    <row r="53" spans="2:31">
      <c r="B53" s="15" t="s">
        <v>590</v>
      </c>
      <c r="C53" s="15" t="s">
        <v>591</v>
      </c>
      <c r="D53" s="15" t="s">
        <v>591</v>
      </c>
      <c r="E53" s="16">
        <v>36003</v>
      </c>
      <c r="F53" s="16" t="s">
        <v>333</v>
      </c>
      <c r="G53" s="19" t="str">
        <f t="shared" si="0"/>
        <v/>
      </c>
      <c r="H53" s="16" t="s">
        <v>333</v>
      </c>
      <c r="I53" s="16" t="s">
        <v>333</v>
      </c>
      <c r="J53" s="48">
        <v>0</v>
      </c>
      <c r="K53" s="16">
        <v>46327</v>
      </c>
      <c r="L53" s="49" t="s">
        <v>333</v>
      </c>
      <c r="M53" s="15" t="s">
        <v>297</v>
      </c>
      <c r="N53" s="20" t="str">
        <f ca="1">_xll.meLWOBondCreateFromGeneratorLVB(C53,$N$4,_xll.meUtilityLVBFromKeysValues($C$6:$M$6,C53:M53))</f>
        <v>IT0001246807:1</v>
      </c>
      <c r="O53" s="92">
        <f ca="1">_xll.BDP($B53,$O$5)</f>
        <v>3.3037512617222209</v>
      </c>
      <c r="P53" s="89">
        <f ca="1">_xll.meLWOBondCleanPrice($N53,$C$4,$O53%)</f>
        <v>76.993137483454106</v>
      </c>
      <c r="Q53" s="89">
        <f ca="1">_xll.meLWOBondDirtyPrice($N53,$C$4,$O53%)</f>
        <v>76.993137483454106</v>
      </c>
      <c r="R53" s="72">
        <f ca="1">_xll.meLWOBondYield($N53,$C$4,P53)</f>
        <v>3.3037512617222209E-2</v>
      </c>
      <c r="S53" s="89">
        <f ca="1">_xll.meLWOBondModifiedDuration($N53,$C$4,$O53%)</f>
        <v>7.9111405506804715</v>
      </c>
      <c r="T53" s="23">
        <f ca="1">_xll.meLWOBondDV01($N53,$C$4,$O53%)</f>
        <v>609.10353206947036</v>
      </c>
      <c r="U53" s="85">
        <f t="shared" ca="1" si="4"/>
        <v>3.3037512617222209</v>
      </c>
      <c r="V53" s="22" t="str">
        <f ca="1">_xll.BDP($B53,V$6, "YAS_BOND_YLD="&amp;U53,"YAS_YLD_CONV=1")</f>
        <v>#N/A Requesting Data...</v>
      </c>
      <c r="W53" s="89">
        <f t="shared" ca="1" si="5"/>
        <v>76.993137483454106</v>
      </c>
      <c r="X53" s="24" t="e">
        <f t="shared" ca="1" si="1"/>
        <v>#VALUE!</v>
      </c>
      <c r="Y53" s="23">
        <f ca="1">_xll.meLWOBondDV01($N53,$C$4,$U53%)</f>
        <v>609.10353206947036</v>
      </c>
      <c r="Z53" s="22" t="e">
        <f ca="1">_xll.BDP($B53,Z$6, "YLD_YTM_ASK="&amp;$U53,"YAS_YLD_CONV=33")*$Z$3*0.0001</f>
        <v>#VALUE!</v>
      </c>
      <c r="AA53" s="24" t="e">
        <f t="shared" ca="1" si="2"/>
        <v>#VALUE!</v>
      </c>
      <c r="AB53" s="23">
        <f ca="1">_xll.meLWOBondModifiedDuration($N53,$C$4,$U53%)</f>
        <v>7.9111405506804715</v>
      </c>
      <c r="AC53" s="23" t="str">
        <f ca="1">_xll.BDP($B53,AC$6, "YLD_YTM_ASK="&amp;$U53,"YAS_YLD_CONV=1")</f>
        <v>#N/A Requesting Data...</v>
      </c>
      <c r="AD53" s="22" t="e">
        <f t="shared" ca="1" si="3"/>
        <v>#VALUE!</v>
      </c>
      <c r="AE53" s="24">
        <f ca="1">_xll.meLWOBondDV01Numerical($N53,$C$4,$U53%, 0.5, "CENTRAL")</f>
        <v>599.51613077757315</v>
      </c>
    </row>
    <row r="54" spans="2:31">
      <c r="B54" s="15" t="s">
        <v>608</v>
      </c>
      <c r="C54" s="15" t="s">
        <v>609</v>
      </c>
      <c r="D54" s="15" t="s">
        <v>609</v>
      </c>
      <c r="E54" s="16">
        <v>36003</v>
      </c>
      <c r="F54" s="16" t="s">
        <v>333</v>
      </c>
      <c r="G54" s="19" t="str">
        <f t="shared" si="0"/>
        <v/>
      </c>
      <c r="H54" s="16" t="s">
        <v>333</v>
      </c>
      <c r="I54" s="16" t="s">
        <v>333</v>
      </c>
      <c r="J54" s="48">
        <v>0</v>
      </c>
      <c r="K54" s="16">
        <v>46327</v>
      </c>
      <c r="L54" s="49" t="s">
        <v>333</v>
      </c>
      <c r="M54" s="15" t="s">
        <v>297</v>
      </c>
      <c r="N54" s="20" t="str">
        <f ca="1">_xll.meLWOBondCreateFromGeneratorLVB(C54,$N$4,_xll.meUtilityLVBFromKeysValues($C$6:$M$6,C54:M54))</f>
        <v>IT0001247383:1</v>
      </c>
      <c r="O54" s="92">
        <f ca="1">_xll.BDP($B54,$O$5)</f>
        <v>3.4579147140774591</v>
      </c>
      <c r="P54" s="89">
        <f ca="1">_xll.meLWOBondCleanPrice($N54,$C$4,$O54%)</f>
        <v>76.075108662023553</v>
      </c>
      <c r="Q54" s="89">
        <f ca="1">_xll.meLWOBondDirtyPrice($N54,$C$4,$O54%)</f>
        <v>76.075108662023553</v>
      </c>
      <c r="R54" s="72">
        <f ca="1">_xll.meLWOBondYield($N54,$C$4,P54)</f>
        <v>3.4579147140774591E-2</v>
      </c>
      <c r="S54" s="89">
        <f ca="1">_xll.meLWOBondModifiedDuration($N54,$C$4,$O54%)</f>
        <v>7.905244126909043</v>
      </c>
      <c r="T54" s="23">
        <f ca="1">_xll.meLWOBondDV01($N54,$C$4,$O54%)</f>
        <v>601.39230595442893</v>
      </c>
      <c r="U54" s="85">
        <f t="shared" ca="1" si="4"/>
        <v>3.4579147140774591</v>
      </c>
      <c r="V54" s="22" t="str">
        <f ca="1">_xll.BDP($B54,V$6, "YAS_BOND_YLD="&amp;U54,"YAS_YLD_CONV=1")</f>
        <v>#N/A Requesting Data...</v>
      </c>
      <c r="W54" s="89">
        <f t="shared" ca="1" si="5"/>
        <v>76.075108662023553</v>
      </c>
      <c r="X54" s="24" t="e">
        <f t="shared" ca="1" si="1"/>
        <v>#VALUE!</v>
      </c>
      <c r="Y54" s="23">
        <f ca="1">_xll.meLWOBondDV01($N54,$C$4,$U54%)</f>
        <v>601.39230595442893</v>
      </c>
      <c r="Z54" s="22" t="e">
        <f ca="1">_xll.BDP($B54,Z$6, "YLD_YTM_ASK="&amp;$U54,"YAS_YLD_CONV=33")*$Z$3*0.0001</f>
        <v>#VALUE!</v>
      </c>
      <c r="AA54" s="24" t="e">
        <f t="shared" ca="1" si="2"/>
        <v>#VALUE!</v>
      </c>
      <c r="AB54" s="23">
        <f ca="1">_xll.meLWOBondModifiedDuration($N54,$C$4,$U54%)</f>
        <v>7.905244126909043</v>
      </c>
      <c r="AC54" s="23" t="str">
        <f ca="1">_xll.BDP($B54,AC$6, "YLD_YTM_ASK="&amp;$U54,"YAS_YLD_CONV=1")</f>
        <v>#N/A Requesting Data...</v>
      </c>
      <c r="AD54" s="22" t="e">
        <f t="shared" ca="1" si="3"/>
        <v>#VALUE!</v>
      </c>
      <c r="AE54" s="24">
        <f ca="1">_xll.meLWOBondDV01Numerical($N54,$C$4,$U54%, 0.5, "CENTRAL")</f>
        <v>591.48509929514148</v>
      </c>
    </row>
    <row r="55" spans="2:31">
      <c r="B55" s="15" t="s">
        <v>298</v>
      </c>
      <c r="C55" s="15" t="s">
        <v>299</v>
      </c>
      <c r="D55" s="15" t="s">
        <v>299</v>
      </c>
      <c r="E55" s="16">
        <v>42583</v>
      </c>
      <c r="F55" s="16">
        <v>42583</v>
      </c>
      <c r="G55" s="19" t="str">
        <f t="shared" si="0"/>
        <v/>
      </c>
      <c r="H55" s="16">
        <v>42705</v>
      </c>
      <c r="I55" s="16">
        <v>46174</v>
      </c>
      <c r="J55" s="48">
        <v>1.2500000000000001E-2</v>
      </c>
      <c r="K55" s="16">
        <v>46357</v>
      </c>
      <c r="L55" s="49">
        <v>100.18</v>
      </c>
      <c r="M55" s="15" t="s">
        <v>297</v>
      </c>
      <c r="N55" s="20" t="str">
        <f ca="1">_xll.meLWOBondCreateFromGeneratorLVB(C55,$N$4,_xll.meUtilityLVBFromKeysValues($C$6:$M$6,C55:M55))</f>
        <v>IT0005210650:1</v>
      </c>
      <c r="O55" s="92">
        <f ca="1">_xll.BDP($B55,$O$5)</f>
        <v>3.181555354907073</v>
      </c>
      <c r="P55" s="89">
        <f ca="1">_xll.meLWOBondCleanPrice($N55,$C$4,$O55%)</f>
        <v>86.431000809285777</v>
      </c>
      <c r="Q55" s="89">
        <f ca="1">_xll.meLWOBondDirtyPrice($N55,$C$4,$O55%)</f>
        <v>86.90231080928578</v>
      </c>
      <c r="R55" s="72">
        <f ca="1">_xll.meLWOBondYield($N55,$C$4,P55)</f>
        <v>3.181555354907073E-2</v>
      </c>
      <c r="S55" s="89">
        <f ca="1">_xll.meLWOBondModifiedDuration($N55,$C$4,$O55%)</f>
        <v>7.5578510895896702</v>
      </c>
      <c r="T55" s="23">
        <f ca="1">_xll.meLWOBondDV01($N55,$C$4,$O55%)</f>
        <v>656.79472443782072</v>
      </c>
      <c r="U55" s="85">
        <f t="shared" ca="1" si="4"/>
        <v>3.181555354907073</v>
      </c>
      <c r="V55" s="22" t="str">
        <f ca="1">_xll.BDP($B55,V$6, "YAS_BOND_YLD="&amp;U55,"YAS_YLD_CONV=1")</f>
        <v>#N/A Requesting Data...</v>
      </c>
      <c r="W55" s="89">
        <f t="shared" ca="1" si="5"/>
        <v>86.431000809285777</v>
      </c>
      <c r="X55" s="24" t="e">
        <f t="shared" ca="1" si="1"/>
        <v>#VALUE!</v>
      </c>
      <c r="Y55" s="23">
        <f ca="1">_xll.meLWOBondDV01($N55,$C$4,$U55%)</f>
        <v>656.79472443782072</v>
      </c>
      <c r="Z55" s="22" t="e">
        <f ca="1">_xll.BDP($B55,Z$6, "YLD_YTM_ASK="&amp;$U55,"YAS_YLD_CONV=33")*$Z$3*0.0001</f>
        <v>#VALUE!</v>
      </c>
      <c r="AA55" s="24" t="e">
        <f t="shared" ca="1" si="2"/>
        <v>#VALUE!</v>
      </c>
      <c r="AB55" s="23">
        <f ca="1">_xll.meLWOBondModifiedDuration($N55,$C$4,$U55%)</f>
        <v>7.5578510895896702</v>
      </c>
      <c r="AC55" s="23" t="str">
        <f ca="1">_xll.BDP($B55,AC$6, "YLD_YTM_ASK="&amp;$U55,"YAS_YLD_CONV=1")</f>
        <v>#N/A Requesting Data...</v>
      </c>
      <c r="AD55" s="22" t="e">
        <f t="shared" ca="1" si="3"/>
        <v>#VALUE!</v>
      </c>
      <c r="AE55" s="24">
        <f ca="1">_xll.meLWOBondDV01Numerical($N55,$C$4,$U55%, 0.5, "CENTRAL")</f>
        <v>646.14287479699328</v>
      </c>
    </row>
    <row r="56" spans="2:31">
      <c r="B56" s="15" t="s">
        <v>474</v>
      </c>
      <c r="C56" s="15" t="s">
        <v>475</v>
      </c>
      <c r="D56" s="15" t="s">
        <v>475</v>
      </c>
      <c r="E56" s="16">
        <v>37333</v>
      </c>
      <c r="F56" s="16" t="s">
        <v>333</v>
      </c>
      <c r="G56" s="19" t="str">
        <f t="shared" si="0"/>
        <v/>
      </c>
      <c r="H56" s="16" t="s">
        <v>333</v>
      </c>
      <c r="I56" s="16" t="s">
        <v>333</v>
      </c>
      <c r="J56" s="48">
        <v>0</v>
      </c>
      <c r="K56" s="16">
        <v>46419</v>
      </c>
      <c r="L56" s="49" t="s">
        <v>333</v>
      </c>
      <c r="M56" s="15" t="s">
        <v>297</v>
      </c>
      <c r="N56" s="20" t="str">
        <f ca="1">_xll.meLWOBondCreateFromGeneratorLVB(C56,$N$4,_xll.meUtilityLVBFromKeysValues($C$6:$M$6,C56:M56))</f>
        <v>IT0003268874:1</v>
      </c>
      <c r="O56" s="92">
        <f ca="1">_xll.BDP($B56,$O$5)</f>
        <v>3.5593233402575253</v>
      </c>
      <c r="P56" s="89">
        <f ca="1">_xll.meLWOBondCleanPrice($N56,$C$4,$O56%)</f>
        <v>74.828999956432881</v>
      </c>
      <c r="Q56" s="89">
        <f ca="1">_xll.meLWOBondDirtyPrice($N56,$C$4,$O56%)</f>
        <v>74.828999956432881</v>
      </c>
      <c r="R56" s="72">
        <f ca="1">_xll.meLWOBondYield($N56,$C$4,P56)</f>
        <v>3.5593233402575253E-2</v>
      </c>
      <c r="S56" s="89">
        <f ca="1">_xll.meLWOBondModifiedDuration($N56,$C$4,$O56%)</f>
        <v>8.1470388431638323</v>
      </c>
      <c r="T56" s="23">
        <f ca="1">_xll.meLWOBondDV01($N56,$C$4,$O56%)</f>
        <v>609.63476924016334</v>
      </c>
      <c r="U56" s="85">
        <f t="shared" ca="1" si="4"/>
        <v>3.5593233402575253</v>
      </c>
      <c r="V56" s="22" t="str">
        <f ca="1">_xll.BDP($B56,V$6, "YAS_BOND_YLD="&amp;U56,"YAS_YLD_CONV=1")</f>
        <v>#N/A Requesting Data...</v>
      </c>
      <c r="W56" s="89">
        <f t="shared" ca="1" si="5"/>
        <v>74.828999956432881</v>
      </c>
      <c r="X56" s="24" t="e">
        <f t="shared" ca="1" si="1"/>
        <v>#VALUE!</v>
      </c>
      <c r="Y56" s="23">
        <f ca="1">_xll.meLWOBondDV01($N56,$C$4,$U56%)</f>
        <v>609.63476924016334</v>
      </c>
      <c r="Z56" s="22" t="e">
        <f ca="1">_xll.BDP($B56,Z$6, "YLD_YTM_ASK="&amp;$U56,"YAS_YLD_CONV=33")*$Z$3*0.0001</f>
        <v>#VALUE!</v>
      </c>
      <c r="AA56" s="24" t="e">
        <f t="shared" ca="1" si="2"/>
        <v>#VALUE!</v>
      </c>
      <c r="AB56" s="23">
        <f ca="1">_xll.meLWOBondModifiedDuration($N56,$C$4,$U56%)</f>
        <v>8.1470388431638323</v>
      </c>
      <c r="AC56" s="23" t="str">
        <f ca="1">_xll.BDP($B56,AC$6, "YLD_YTM_ASK="&amp;$U56,"YAS_YLD_CONV=1")</f>
        <v>#N/A Requesting Data...</v>
      </c>
      <c r="AD56" s="22" t="e">
        <f t="shared" ca="1" si="3"/>
        <v>#VALUE!</v>
      </c>
      <c r="AE56" s="24">
        <f ca="1">_xll.meLWOBondDV01Numerical($N56,$C$4,$U56%, 0.5, "CENTRAL")</f>
        <v>599.06664874034732</v>
      </c>
    </row>
    <row r="57" spans="2:31">
      <c r="B57" s="15" t="s">
        <v>532</v>
      </c>
      <c r="C57" s="15" t="s">
        <v>533</v>
      </c>
      <c r="D57" s="15" t="s">
        <v>533</v>
      </c>
      <c r="E57" s="16">
        <v>41416</v>
      </c>
      <c r="F57" s="16" t="s">
        <v>333</v>
      </c>
      <c r="G57" s="19" t="str">
        <f t="shared" si="0"/>
        <v/>
      </c>
      <c r="H57" s="16" t="s">
        <v>333</v>
      </c>
      <c r="I57" s="16" t="s">
        <v>333</v>
      </c>
      <c r="J57" s="48">
        <v>0</v>
      </c>
      <c r="K57" s="16">
        <v>46447</v>
      </c>
      <c r="L57" s="49" t="s">
        <v>333</v>
      </c>
      <c r="M57" s="15" t="s">
        <v>297</v>
      </c>
      <c r="N57" s="20" t="str">
        <f ca="1">_xll.meLWOBondCreateFromGeneratorLVB(C57,$N$4,_xll.meUtilityLVBFromKeysValues($C$6:$M$6,C57:M57))</f>
        <v>IT0004976491:1</v>
      </c>
      <c r="O57" s="92">
        <f ca="1">_xll.BDP($B57,$O$5)</f>
        <v>3.5724710103729018</v>
      </c>
      <c r="P57" s="89">
        <f ca="1">_xll.meLWOBondCleanPrice($N57,$C$4,$O57%)</f>
        <v>74.534764280223428</v>
      </c>
      <c r="Q57" s="89">
        <f ca="1">_xll.meLWOBondDirtyPrice($N57,$C$4,$O57%)</f>
        <v>74.534764280223428</v>
      </c>
      <c r="R57" s="72">
        <f ca="1">_xll.meLWOBondYield($N57,$C$4,P57)</f>
        <v>3.5724710103729018E-2</v>
      </c>
      <c r="S57" s="89">
        <f ca="1">_xll.meLWOBondModifiedDuration($N57,$C$4,$O57%)</f>
        <v>8.2272595223488771</v>
      </c>
      <c r="T57" s="23">
        <f ca="1">_xll.meLWOBondDV01($N57,$C$4,$O57%)</f>
        <v>613.2168491704972</v>
      </c>
      <c r="U57" s="85">
        <f t="shared" ca="1" si="4"/>
        <v>3.5724710103729018</v>
      </c>
      <c r="V57" s="22" t="str">
        <f ca="1">_xll.BDP($B57,V$6, "YAS_BOND_YLD="&amp;U57,"YAS_YLD_CONV=1")</f>
        <v>#N/A Requesting Data...</v>
      </c>
      <c r="W57" s="89">
        <f t="shared" ca="1" si="5"/>
        <v>74.534764280223428</v>
      </c>
      <c r="X57" s="24" t="e">
        <f t="shared" ca="1" si="1"/>
        <v>#VALUE!</v>
      </c>
      <c r="Y57" s="23">
        <f ca="1">_xll.meLWOBondDV01($N57,$C$4,$U57%)</f>
        <v>613.2168491704972</v>
      </c>
      <c r="Z57" s="22" t="e">
        <f ca="1">_xll.BDP($B57,Z$6, "YLD_YTM_ASK="&amp;$U57,"YAS_YLD_CONV=33")*$Z$3*0.0001</f>
        <v>#VALUE!</v>
      </c>
      <c r="AA57" s="24" t="e">
        <f t="shared" ca="1" si="2"/>
        <v>#VALUE!</v>
      </c>
      <c r="AB57" s="23">
        <f ca="1">_xll.meLWOBondModifiedDuration($N57,$C$4,$U57%)</f>
        <v>8.2272595223488771</v>
      </c>
      <c r="AC57" s="23" t="str">
        <f ca="1">_xll.BDP($B57,AC$6, "YLD_YTM_ASK="&amp;$U57,"YAS_YLD_CONV=1")</f>
        <v>#N/A Requesting Data...</v>
      </c>
      <c r="AD57" s="22" t="e">
        <f t="shared" ca="1" si="3"/>
        <v>#VALUE!</v>
      </c>
      <c r="AE57" s="24">
        <f ca="1">_xll.meLWOBondDV01Numerical($N57,$C$4,$U57%, 0.5, "CENTRAL")</f>
        <v>602.55486763182375</v>
      </c>
    </row>
    <row r="58" spans="2:31">
      <c r="B58" s="15" t="s">
        <v>672</v>
      </c>
      <c r="C58" s="15" t="s">
        <v>673</v>
      </c>
      <c r="D58" s="15" t="s">
        <v>673</v>
      </c>
      <c r="E58" s="16">
        <v>40072</v>
      </c>
      <c r="F58" s="16" t="s">
        <v>333</v>
      </c>
      <c r="G58" s="19" t="str">
        <f t="shared" si="0"/>
        <v/>
      </c>
      <c r="H58" s="16" t="s">
        <v>333</v>
      </c>
      <c r="I58" s="16" t="s">
        <v>333</v>
      </c>
      <c r="J58" s="48">
        <v>0</v>
      </c>
      <c r="K58" s="16">
        <v>46447</v>
      </c>
      <c r="L58" s="49" t="s">
        <v>333</v>
      </c>
      <c r="M58" s="15" t="s">
        <v>297</v>
      </c>
      <c r="N58" s="20" t="str">
        <f ca="1">_xll.meLWOBondCreateFromGeneratorLVB(C58,$N$4,_xll.meUtilityLVBFromKeysValues($C$6:$M$6,C58:M58))</f>
        <v>IT0004534324:1</v>
      </c>
      <c r="O58" s="92">
        <f ca="1">_xll.BDP($B58,$O$5)</f>
        <v>3.5621862002161775</v>
      </c>
      <c r="P58" s="89">
        <f ca="1">_xll.meLWOBondCleanPrice($N58,$C$4,$O58%)</f>
        <v>74.596764751948612</v>
      </c>
      <c r="Q58" s="89">
        <f ca="1">_xll.meLWOBondDirtyPrice($N58,$C$4,$O58%)</f>
        <v>74.596764751948612</v>
      </c>
      <c r="R58" s="72">
        <f ca="1">_xll.meLWOBondYield($N58,$C$4,P58)</f>
        <v>3.5621862002161775E-2</v>
      </c>
      <c r="S58" s="89">
        <f ca="1">_xll.meLWOBondModifiedDuration($N58,$C$4,$O58%)</f>
        <v>8.2276680387422534</v>
      </c>
      <c r="T58" s="23">
        <f ca="1">_xll.meLWOBondDV01($N58,$C$4,$O58%)</f>
        <v>613.75741714318224</v>
      </c>
      <c r="U58" s="85">
        <f t="shared" ca="1" si="4"/>
        <v>3.5621862002161775</v>
      </c>
      <c r="V58" s="22" t="str">
        <f ca="1">_xll.BDP($B58,V$6, "YAS_BOND_YLD="&amp;U58,"YAS_YLD_CONV=1")</f>
        <v>#N/A Requesting Data...</v>
      </c>
      <c r="W58" s="89">
        <f t="shared" ca="1" si="5"/>
        <v>74.596764751948612</v>
      </c>
      <c r="X58" s="24" t="e">
        <f t="shared" ca="1" si="1"/>
        <v>#VALUE!</v>
      </c>
      <c r="Y58" s="23">
        <f ca="1">_xll.meLWOBondDV01($N58,$C$4,$U58%)</f>
        <v>613.75741714318224</v>
      </c>
      <c r="Z58" s="22" t="e">
        <f ca="1">_xll.BDP($B58,Z$6, "YLD_YTM_ASK="&amp;$U58,"YAS_YLD_CONV=33")*$Z$3*0.0001</f>
        <v>#VALUE!</v>
      </c>
      <c r="AA58" s="24" t="e">
        <f t="shared" ca="1" si="2"/>
        <v>#VALUE!</v>
      </c>
      <c r="AB58" s="23">
        <f ca="1">_xll.meLWOBondModifiedDuration($N58,$C$4,$U58%)</f>
        <v>8.2276680387422534</v>
      </c>
      <c r="AC58" s="23" t="str">
        <f ca="1">_xll.BDP($B58,AC$6, "YLD_YTM_ASK="&amp;$U58,"YAS_YLD_CONV=1")</f>
        <v>#N/A Requesting Data...</v>
      </c>
      <c r="AD58" s="22" t="e">
        <f t="shared" ca="1" si="3"/>
        <v>#VALUE!</v>
      </c>
      <c r="AE58" s="24">
        <f ca="1">_xll.meLWOBondDV01Numerical($N58,$C$4,$U58%, 0.5, "CENTRAL")</f>
        <v>603.11598240801345</v>
      </c>
    </row>
    <row r="59" spans="2:31">
      <c r="B59" s="15" t="s">
        <v>390</v>
      </c>
      <c r="C59" s="15" t="s">
        <v>391</v>
      </c>
      <c r="D59" s="15" t="s">
        <v>391</v>
      </c>
      <c r="E59" s="16">
        <v>39177</v>
      </c>
      <c r="F59" s="16">
        <v>39177</v>
      </c>
      <c r="G59" s="19" t="str">
        <f t="shared" si="0"/>
        <v/>
      </c>
      <c r="H59" s="16">
        <v>39543</v>
      </c>
      <c r="I59" s="16">
        <v>46117</v>
      </c>
      <c r="J59" s="48">
        <v>4.4900000000000002E-2</v>
      </c>
      <c r="K59" s="16">
        <v>46482</v>
      </c>
      <c r="L59" s="49">
        <v>99.856899999999996</v>
      </c>
      <c r="M59" s="73" t="s">
        <v>314</v>
      </c>
      <c r="N59" s="20" t="str">
        <f ca="1">_xll.meLWOBondCreateFromGeneratorLVB(C59,$N$4,_xll.meUtilityLVBFromKeysValues($C$6:$M$6,C59:M59))</f>
        <v>IT0004235559:1</v>
      </c>
      <c r="O59" s="92">
        <f ca="1">_xll.BDP($B59,$O$5)</f>
        <v>3.6961877345994494</v>
      </c>
      <c r="P59" s="89">
        <f ca="1">_xll.meLWOBondCleanPrice($N59,$C$4,$O59%)</f>
        <v>105.65902809722225</v>
      </c>
      <c r="Q59" s="89">
        <f ca="1">_xll.meLWOBondDirtyPrice($N59,$C$4,$O59%)</f>
        <v>108.05779809722225</v>
      </c>
      <c r="R59" s="72">
        <f ca="1">_xll.meLWOBondYield($N59,$C$4,P59)</f>
        <v>3.6961877345928533E-2</v>
      </c>
      <c r="S59" s="89">
        <f ca="1">_xll.meLWOBondModifiedDuration($N59,$C$4,$O59%)</f>
        <v>6.8575755182853815</v>
      </c>
      <c r="T59" s="23">
        <f ca="1">_xll.meLWOBondDV01($N59,$C$4,$O59%)</f>
        <v>741.01451079133597</v>
      </c>
      <c r="U59" s="85">
        <f t="shared" ca="1" si="4"/>
        <v>3.6961877345994494</v>
      </c>
      <c r="V59" s="22" t="str">
        <f ca="1">_xll.BDP($B59,V$6, "YAS_BOND_YLD="&amp;U59,"YAS_YLD_CONV=1")</f>
        <v>#N/A Requesting Data...</v>
      </c>
      <c r="W59" s="89">
        <f t="shared" ca="1" si="5"/>
        <v>105.65902809722225</v>
      </c>
      <c r="X59" s="24" t="e">
        <f t="shared" ca="1" si="1"/>
        <v>#VALUE!</v>
      </c>
      <c r="Y59" s="23">
        <f ca="1">_xll.meLWOBondDV01($N59,$C$4,$U59%)</f>
        <v>741.01451079133597</v>
      </c>
      <c r="Z59" s="22" t="e">
        <f ca="1">_xll.BDP($B59,Z$6, "YLD_YTM_ASK="&amp;$U59,"YAS_YLD_CONV=33")*$Z$3*0.0001</f>
        <v>#VALUE!</v>
      </c>
      <c r="AA59" s="24" t="e">
        <f t="shared" ca="1" si="2"/>
        <v>#VALUE!</v>
      </c>
      <c r="AB59" s="23">
        <f ca="1">_xll.meLWOBondModifiedDuration($N59,$C$4,$U59%)</f>
        <v>6.8575755182853815</v>
      </c>
      <c r="AC59" s="23" t="str">
        <f ca="1">_xll.BDP($B59,AC$6, "YLD_YTM_ASK="&amp;$U59,"YAS_YLD_CONV=1")</f>
        <v>#N/A Requesting Data...</v>
      </c>
      <c r="AD59" s="22" t="e">
        <f t="shared" ca="1" si="3"/>
        <v>#VALUE!</v>
      </c>
      <c r="AE59" s="24">
        <f ca="1">_xll.meLWOBondDV01Numerical($N59,$C$4,$U59%, 0.5, "CENTRAL")</f>
        <v>741.07273213797964</v>
      </c>
    </row>
    <row r="60" spans="2:31">
      <c r="B60" s="15" t="s">
        <v>460</v>
      </c>
      <c r="C60" s="15" t="s">
        <v>461</v>
      </c>
      <c r="D60" s="15" t="s">
        <v>461</v>
      </c>
      <c r="E60" s="16">
        <v>36003</v>
      </c>
      <c r="F60" s="16" t="s">
        <v>333</v>
      </c>
      <c r="G60" s="19" t="str">
        <f t="shared" si="0"/>
        <v/>
      </c>
      <c r="H60" s="16" t="s">
        <v>333</v>
      </c>
      <c r="I60" s="16" t="s">
        <v>333</v>
      </c>
      <c r="J60" s="48">
        <v>0</v>
      </c>
      <c r="K60" s="16">
        <v>46508</v>
      </c>
      <c r="L60" s="49" t="s">
        <v>333</v>
      </c>
      <c r="M60" s="15" t="s">
        <v>297</v>
      </c>
      <c r="N60" s="20" t="str">
        <f ca="1">_xll.meLWOBondCreateFromGeneratorLVB(C60,$N$4,_xll.meUtilityLVBFromKeysValues($C$6:$M$6,C60:M60))</f>
        <v>IT0001247391:1</v>
      </c>
      <c r="O60" s="92">
        <f ca="1">_xll.BDP($B60,$O$5)</f>
        <v>3.5562975027966681</v>
      </c>
      <c r="P60" s="89">
        <f ca="1">_xll.meLWOBondCleanPrice($N60,$C$4,$O60%)</f>
        <v>74.180873018798678</v>
      </c>
      <c r="Q60" s="89">
        <f ca="1">_xll.meLWOBondDirtyPrice($N60,$C$4,$O60%)</f>
        <v>74.180873018798678</v>
      </c>
      <c r="R60" s="72">
        <f ca="1">_xll.meLWOBondYield($N60,$C$4,P60)</f>
        <v>3.5562975027966237E-2</v>
      </c>
      <c r="S60" s="89">
        <f ca="1">_xll.meLWOBondModifiedDuration($N60,$C$4,$O60%)</f>
        <v>8.3928276556845756</v>
      </c>
      <c r="T60" s="23">
        <f ca="1">_xll.meLWOBondDV01($N60,$C$4,$O60%)</f>
        <v>622.58728259499924</v>
      </c>
      <c r="U60" s="85">
        <f t="shared" ca="1" si="4"/>
        <v>3.5562975027966681</v>
      </c>
      <c r="V60" s="22" t="str">
        <f ca="1">_xll.BDP($B60,V$6, "YAS_BOND_YLD="&amp;U60,"YAS_YLD_CONV=1")</f>
        <v>#N/A Requesting Data...</v>
      </c>
      <c r="W60" s="89">
        <f t="shared" ca="1" si="5"/>
        <v>74.180873018798678</v>
      </c>
      <c r="X60" s="24" t="e">
        <f t="shared" ca="1" si="1"/>
        <v>#VALUE!</v>
      </c>
      <c r="Y60" s="23">
        <f ca="1">_xll.meLWOBondDV01($N60,$C$4,$U60%)</f>
        <v>622.58728259499924</v>
      </c>
      <c r="Z60" s="22" t="e">
        <f ca="1">_xll.BDP($B60,Z$6, "YLD_YTM_ASK="&amp;$U60,"YAS_YLD_CONV=33")*$Z$3*0.0001</f>
        <v>#VALUE!</v>
      </c>
      <c r="AA60" s="24" t="e">
        <f t="shared" ca="1" si="2"/>
        <v>#VALUE!</v>
      </c>
      <c r="AB60" s="23">
        <f ca="1">_xll.meLWOBondModifiedDuration($N60,$C$4,$U60%)</f>
        <v>8.3928276556845756</v>
      </c>
      <c r="AC60" s="23" t="str">
        <f ca="1">_xll.BDP($B60,AC$6, "YLD_YTM_ASK="&amp;$U60,"YAS_YLD_CONV=1")</f>
        <v>#N/A Requesting Data...</v>
      </c>
      <c r="AD60" s="22" t="e">
        <f t="shared" ca="1" si="3"/>
        <v>#VALUE!</v>
      </c>
      <c r="AE60" s="24">
        <f ca="1">_xll.meLWOBondDV01Numerical($N60,$C$4,$U60%, 0.5, "CENTRAL")</f>
        <v>612.22401988885633</v>
      </c>
    </row>
    <row r="61" spans="2:31">
      <c r="B61" s="15" t="s">
        <v>295</v>
      </c>
      <c r="C61" s="15" t="s">
        <v>296</v>
      </c>
      <c r="D61" s="15" t="s">
        <v>296</v>
      </c>
      <c r="E61" s="16">
        <v>42767</v>
      </c>
      <c r="F61" s="16">
        <v>42767</v>
      </c>
      <c r="G61" s="19" t="str">
        <f t="shared" si="0"/>
        <v/>
      </c>
      <c r="H61" s="16">
        <v>42887</v>
      </c>
      <c r="I61" s="16">
        <v>46357</v>
      </c>
      <c r="J61" s="48">
        <v>2.1999999999999999E-2</v>
      </c>
      <c r="K61" s="16">
        <v>46539</v>
      </c>
      <c r="L61" s="49">
        <v>98.58</v>
      </c>
      <c r="M61" s="15" t="s">
        <v>297</v>
      </c>
      <c r="N61" s="20" t="str">
        <f ca="1">_xll.meLWOBondCreateFromGeneratorLVB(C61,$N$4,_xll.meUtilityLVBFromKeysValues($C$6:$M$6,C61:M61))</f>
        <v>IT0005240830:1</v>
      </c>
      <c r="O61" s="92">
        <f ca="1">_xll.BDP($B61,$O$5)</f>
        <v>3.3633191255047601</v>
      </c>
      <c r="P61" s="89">
        <f ca="1">_xll.meLWOBondCleanPrice($N61,$C$4,$O61%)</f>
        <v>91.54900149414965</v>
      </c>
      <c r="Q61" s="89">
        <f ca="1">_xll.meLWOBondDirtyPrice($N61,$C$4,$O61%)</f>
        <v>92.378511494149649</v>
      </c>
      <c r="R61" s="72">
        <f ca="1">_xll.meLWOBondYield($N61,$C$4,P61)</f>
        <v>3.363319125504427E-2</v>
      </c>
      <c r="S61" s="89">
        <f ca="1">_xll.meLWOBondModifiedDuration($N61,$C$4,$O61%)</f>
        <v>7.668059829160117</v>
      </c>
      <c r="T61" s="23">
        <f ca="1">_xll.meLWOBondDV01($N61,$C$4,$O61%)</f>
        <v>708.36395306589509</v>
      </c>
      <c r="U61" s="85">
        <f t="shared" ca="1" si="4"/>
        <v>3.3633191255047601</v>
      </c>
      <c r="V61" s="22" t="str">
        <f ca="1">_xll.BDP($B61,V$6, "YAS_BOND_YLD="&amp;U61,"YAS_YLD_CONV=1")</f>
        <v>#N/A Requesting Data...</v>
      </c>
      <c r="W61" s="89">
        <f t="shared" ca="1" si="5"/>
        <v>91.54900149414965</v>
      </c>
      <c r="X61" s="24" t="e">
        <f t="shared" ca="1" si="1"/>
        <v>#VALUE!</v>
      </c>
      <c r="Y61" s="23">
        <f ca="1">_xll.meLWOBondDV01($N61,$C$4,$U61%)</f>
        <v>708.36395306589509</v>
      </c>
      <c r="Z61" s="22" t="e">
        <f ca="1">_xll.BDP($B61,Z$6, "YLD_YTM_ASK="&amp;$U61,"YAS_YLD_CONV=33")*$Z$3*0.0001</f>
        <v>#VALUE!</v>
      </c>
      <c r="AA61" s="24" t="e">
        <f t="shared" ca="1" si="2"/>
        <v>#VALUE!</v>
      </c>
      <c r="AB61" s="23">
        <f ca="1">_xll.meLWOBondModifiedDuration($N61,$C$4,$U61%)</f>
        <v>7.668059829160117</v>
      </c>
      <c r="AC61" s="23" t="str">
        <f ca="1">_xll.BDP($B61,AC$6, "YLD_YTM_ASK="&amp;$U61,"YAS_YLD_CONV=1")</f>
        <v>#N/A Requesting Data...</v>
      </c>
      <c r="AD61" s="22" t="e">
        <f t="shared" ca="1" si="3"/>
        <v>#VALUE!</v>
      </c>
      <c r="AE61" s="24">
        <f ca="1">_xll.meLWOBondDV01Numerical($N61,$C$4,$U61%, 0.5, "CENTRAL")</f>
        <v>696.27946376186856</v>
      </c>
    </row>
    <row r="62" spans="2:31">
      <c r="B62" s="15" t="s">
        <v>408</v>
      </c>
      <c r="C62" s="15" t="s">
        <v>409</v>
      </c>
      <c r="D62" s="15" t="s">
        <v>409</v>
      </c>
      <c r="E62" s="16">
        <v>37333</v>
      </c>
      <c r="F62" s="16" t="s">
        <v>333</v>
      </c>
      <c r="G62" s="19" t="str">
        <f t="shared" si="0"/>
        <v/>
      </c>
      <c r="H62" s="16" t="s">
        <v>333</v>
      </c>
      <c r="I62" s="16" t="s">
        <v>333</v>
      </c>
      <c r="J62" s="48">
        <v>0</v>
      </c>
      <c r="K62" s="16">
        <v>46600</v>
      </c>
      <c r="L62" s="49" t="s">
        <v>333</v>
      </c>
      <c r="M62" s="15" t="s">
        <v>297</v>
      </c>
      <c r="N62" s="20" t="str">
        <f ca="1">_xll.meLWOBondCreateFromGeneratorLVB(C62,$N$4,_xll.meUtilityLVBFromKeysValues($C$6:$M$6,C62:M62))</f>
        <v>IT0003268882:1</v>
      </c>
      <c r="O62" s="92">
        <f ca="1">_xll.BDP($B62,$O$5)</f>
        <v>3.626301634095519</v>
      </c>
      <c r="P62" s="89">
        <f ca="1">_xll.meLWOBondCleanPrice($N62,$C$4,$O62%)</f>
        <v>73.107882637985327</v>
      </c>
      <c r="Q62" s="89">
        <f ca="1">_xll.meLWOBondDirtyPrice($N62,$C$4,$O62%)</f>
        <v>73.107882637985327</v>
      </c>
      <c r="R62" s="72">
        <f ca="1">_xll.meLWOBondYield($N62,$C$4,P62)</f>
        <v>3.626301634095519E-2</v>
      </c>
      <c r="S62" s="89">
        <f ca="1">_xll.meLWOBondModifiedDuration($N62,$C$4,$O62%)</f>
        <v>8.6355791081720188</v>
      </c>
      <c r="T62" s="23">
        <f ca="1">_xll.meLWOBondDV01($N62,$C$4,$O62%)</f>
        <v>631.32890395127799</v>
      </c>
      <c r="U62" s="85">
        <f t="shared" ca="1" si="4"/>
        <v>3.626301634095519</v>
      </c>
      <c r="V62" s="22" t="str">
        <f ca="1">_xll.BDP($B62,V$6, "YAS_BOND_YLD="&amp;U62,"YAS_YLD_CONV=1")</f>
        <v>#N/A Requesting Data...</v>
      </c>
      <c r="W62" s="89">
        <f t="shared" ca="1" si="5"/>
        <v>73.107882637985327</v>
      </c>
      <c r="X62" s="24" t="e">
        <f t="shared" ca="1" si="1"/>
        <v>#VALUE!</v>
      </c>
      <c r="Y62" s="23">
        <f ca="1">_xll.meLWOBondDV01($N62,$C$4,$U62%)</f>
        <v>631.32890395127799</v>
      </c>
      <c r="Z62" s="22" t="e">
        <f ca="1">_xll.BDP($B62,Z$6, "YLD_YTM_ASK="&amp;$U62,"YAS_YLD_CONV=33")*$Z$3*0.0001</f>
        <v>#VALUE!</v>
      </c>
      <c r="AA62" s="24" t="e">
        <f t="shared" ca="1" si="2"/>
        <v>#VALUE!</v>
      </c>
      <c r="AB62" s="23">
        <f ca="1">_xll.meLWOBondModifiedDuration($N62,$C$4,$U62%)</f>
        <v>8.6355791081720188</v>
      </c>
      <c r="AC62" s="23" t="str">
        <f ca="1">_xll.BDP($B62,AC$6, "YLD_YTM_ASK="&amp;$U62,"YAS_YLD_CONV=1")</f>
        <v>#N/A Requesting Data...</v>
      </c>
      <c r="AD62" s="22" t="e">
        <f t="shared" ca="1" si="3"/>
        <v>#VALUE!</v>
      </c>
      <c r="AE62" s="24">
        <f ca="1">_xll.meLWOBondDV01Numerical($N62,$C$4,$U62%, 0.5, "CENTRAL")</f>
        <v>620.37907911289381</v>
      </c>
    </row>
    <row r="63" spans="2:31">
      <c r="B63" s="15" t="s">
        <v>664</v>
      </c>
      <c r="C63" s="15" t="s">
        <v>665</v>
      </c>
      <c r="D63" s="15" t="s">
        <v>665</v>
      </c>
      <c r="E63" s="16">
        <v>41416</v>
      </c>
      <c r="F63" s="16" t="s">
        <v>333</v>
      </c>
      <c r="G63" s="19" t="str">
        <f t="shared" si="0"/>
        <v/>
      </c>
      <c r="H63" s="16" t="s">
        <v>333</v>
      </c>
      <c r="I63" s="16" t="s">
        <v>333</v>
      </c>
      <c r="J63" s="48">
        <v>0</v>
      </c>
      <c r="K63" s="16">
        <v>46631</v>
      </c>
      <c r="L63" s="49" t="s">
        <v>333</v>
      </c>
      <c r="M63" s="15" t="s">
        <v>297</v>
      </c>
      <c r="N63" s="20" t="str">
        <f ca="1">_xll.meLWOBondCreateFromGeneratorLVB(C63,$N$4,_xll.meUtilityLVBFromKeysValues($C$6:$M$6,C63:M63))</f>
        <v>IT0004976509:1</v>
      </c>
      <c r="O63" s="92">
        <f ca="1">_xll.BDP($B63,$O$5)</f>
        <v>3.6943496188079905</v>
      </c>
      <c r="P63" s="89">
        <f ca="1">_xll.meLWOBondCleanPrice($N63,$C$4,$O63%)</f>
        <v>72.477763074537151</v>
      </c>
      <c r="Q63" s="89">
        <f ca="1">_xll.meLWOBondDirtyPrice($N63,$C$4,$O63%)</f>
        <v>72.477763074537151</v>
      </c>
      <c r="R63" s="72">
        <f ca="1">_xll.meLWOBondYield($N63,$C$4,P63)</f>
        <v>3.6943496188079905E-2</v>
      </c>
      <c r="S63" s="89">
        <f ca="1">_xll.meLWOBondModifiedDuration($N63,$C$4,$O63%)</f>
        <v>8.7134354865582999</v>
      </c>
      <c r="T63" s="23">
        <f ca="1">_xll.meLWOBondDV01($N63,$C$4,$O63%)</f>
        <v>631.53031276003685</v>
      </c>
      <c r="U63" s="85">
        <f t="shared" ca="1" si="4"/>
        <v>3.6943496188079905</v>
      </c>
      <c r="V63" s="22" t="str">
        <f ca="1">_xll.BDP($B63,V$6, "YAS_BOND_YLD="&amp;U63,"YAS_YLD_CONV=1")</f>
        <v>#N/A Requesting Data...</v>
      </c>
      <c r="W63" s="89">
        <f t="shared" ca="1" si="5"/>
        <v>72.477763074537151</v>
      </c>
      <c r="X63" s="24" t="e">
        <f t="shared" ca="1" si="1"/>
        <v>#VALUE!</v>
      </c>
      <c r="Y63" s="23">
        <f ca="1">_xll.meLWOBondDV01($N63,$C$4,$U63%)</f>
        <v>631.53031276003685</v>
      </c>
      <c r="Z63" s="22" t="e">
        <f ca="1">_xll.BDP($B63,Z$6, "YLD_YTM_ASK="&amp;$U63,"YAS_YLD_CONV=33")*$Z$3*0.0001</f>
        <v>#VALUE!</v>
      </c>
      <c r="AA63" s="24" t="e">
        <f t="shared" ca="1" si="2"/>
        <v>#VALUE!</v>
      </c>
      <c r="AB63" s="23">
        <f ca="1">_xll.meLWOBondModifiedDuration($N63,$C$4,$U63%)</f>
        <v>8.7134354865582999</v>
      </c>
      <c r="AC63" s="23" t="str">
        <f ca="1">_xll.BDP($B63,AC$6, "YLD_YTM_ASK="&amp;$U63,"YAS_YLD_CONV=1")</f>
        <v>#N/A Requesting Data...</v>
      </c>
      <c r="AD63" s="22" t="e">
        <f t="shared" ca="1" si="3"/>
        <v>#VALUE!</v>
      </c>
      <c r="AE63" s="24">
        <f ca="1">_xll.meLWOBondDV01Numerical($N63,$C$4,$U63%, 0.5, "CENTRAL")</f>
        <v>620.18474876936125</v>
      </c>
    </row>
    <row r="64" spans="2:31">
      <c r="B64" s="15" t="s">
        <v>674</v>
      </c>
      <c r="C64" s="15" t="s">
        <v>675</v>
      </c>
      <c r="D64" s="15" t="s">
        <v>675</v>
      </c>
      <c r="E64" s="16">
        <v>40072</v>
      </c>
      <c r="F64" s="16" t="s">
        <v>333</v>
      </c>
      <c r="G64" s="19" t="str">
        <f t="shared" si="0"/>
        <v/>
      </c>
      <c r="H64" s="16" t="s">
        <v>333</v>
      </c>
      <c r="I64" s="16" t="s">
        <v>333</v>
      </c>
      <c r="J64" s="48">
        <v>0</v>
      </c>
      <c r="K64" s="16">
        <v>46631</v>
      </c>
      <c r="L64" s="49" t="s">
        <v>333</v>
      </c>
      <c r="M64" s="15" t="s">
        <v>297</v>
      </c>
      <c r="N64" s="20" t="str">
        <f ca="1">_xll.meLWOBondCreateFromGeneratorLVB(C64,$N$4,_xll.meUtilityLVBFromKeysValues($C$6:$M$6,C64:M64))</f>
        <v>IT0004534332:1</v>
      </c>
      <c r="O64" s="92">
        <f ca="1">_xll.BDP($B64,$O$5)</f>
        <v>3.6111559904856927</v>
      </c>
      <c r="P64" s="89">
        <f ca="1">_xll.meLWOBondCleanPrice($N64,$C$4,$O64%)</f>
        <v>72.995766663579147</v>
      </c>
      <c r="Q64" s="89">
        <f ca="1">_xll.meLWOBondDirtyPrice($N64,$C$4,$O64%)</f>
        <v>72.995766663579147</v>
      </c>
      <c r="R64" s="72">
        <f ca="1">_xll.meLWOBondYield($N64,$C$4,P64)</f>
        <v>3.6111559904856927E-2</v>
      </c>
      <c r="S64" s="89">
        <f ca="1">_xll.meLWOBondModifiedDuration($N64,$C$4,$O64%)</f>
        <v>8.7169329712225867</v>
      </c>
      <c r="T64" s="23">
        <f ca="1">_xll.meLWOBondDV01($N64,$C$4,$O64%)</f>
        <v>636.29920518942367</v>
      </c>
      <c r="U64" s="85">
        <f t="shared" ca="1" si="4"/>
        <v>3.6111559904856927</v>
      </c>
      <c r="V64" s="22" t="str">
        <f ca="1">_xll.BDP($B64,V$6, "YAS_BOND_YLD="&amp;U64,"YAS_YLD_CONV=1")</f>
        <v>#N/A Requesting Data...</v>
      </c>
      <c r="W64" s="89">
        <f t="shared" ca="1" si="5"/>
        <v>72.995766663579147</v>
      </c>
      <c r="X64" s="24" t="e">
        <f t="shared" ca="1" si="1"/>
        <v>#VALUE!</v>
      </c>
      <c r="Y64" s="23">
        <f ca="1">_xll.meLWOBondDV01($N64,$C$4,$U64%)</f>
        <v>636.29920518942367</v>
      </c>
      <c r="Z64" s="22" t="e">
        <f ca="1">_xll.BDP($B64,Z$6, "YLD_YTM_ASK="&amp;$U64,"YAS_YLD_CONV=33")*$Z$3*0.0001</f>
        <v>#VALUE!</v>
      </c>
      <c r="AA64" s="24" t="e">
        <f t="shared" ca="1" si="2"/>
        <v>#VALUE!</v>
      </c>
      <c r="AB64" s="23">
        <f ca="1">_xll.meLWOBondModifiedDuration($N64,$C$4,$U64%)</f>
        <v>8.7169329712225867</v>
      </c>
      <c r="AC64" s="23" t="str">
        <f ca="1">_xll.BDP($B64,AC$6, "YLD_YTM_ASK="&amp;$U64,"YAS_YLD_CONV=1")</f>
        <v>#N/A Requesting Data...</v>
      </c>
      <c r="AD64" s="22" t="e">
        <f t="shared" ca="1" si="3"/>
        <v>#VALUE!</v>
      </c>
      <c r="AE64" s="24">
        <f ca="1">_xll.meLWOBondDV01Numerical($N64,$C$4,$U64%, 0.5, "CENTRAL")</f>
        <v>625.11878283260103</v>
      </c>
    </row>
    <row r="65" spans="2:31">
      <c r="B65" s="15" t="s">
        <v>336</v>
      </c>
      <c r="C65" s="15" t="s">
        <v>337</v>
      </c>
      <c r="D65" s="15" t="s">
        <v>337</v>
      </c>
      <c r="E65" s="16">
        <v>35735</v>
      </c>
      <c r="F65" s="16">
        <v>35735</v>
      </c>
      <c r="G65" s="19" t="str">
        <f t="shared" si="0"/>
        <v/>
      </c>
      <c r="H65" s="16">
        <v>35916</v>
      </c>
      <c r="I65" s="16">
        <v>46508</v>
      </c>
      <c r="J65" s="48">
        <v>6.5000000000000002E-2</v>
      </c>
      <c r="K65" s="16">
        <v>46692</v>
      </c>
      <c r="L65" s="49">
        <v>100.15</v>
      </c>
      <c r="M65" s="15" t="s">
        <v>297</v>
      </c>
      <c r="N65" s="20" t="str">
        <f ca="1">_xll.meLWOBondCreateFromGeneratorLVB(C65,$N$4,_xll.meUtilityLVBFromKeysValues($C$6:$M$6,C65:M65))</f>
        <v>IT0001174611:1</v>
      </c>
      <c r="O65" s="92">
        <f ca="1">_xll.BDP($B65,$O$5)</f>
        <v>3.5315453192760859</v>
      </c>
      <c r="P65" s="89">
        <f ca="1">_xll.meLWOBondCleanPrice($N65,$C$4,$O65%)</f>
        <v>123.06248682575136</v>
      </c>
      <c r="Q65" s="89">
        <f ca="1">_xll.meLWOBondDirtyPrice($N65,$C$4,$O65%)</f>
        <v>126.04753682575137</v>
      </c>
      <c r="R65" s="72">
        <f ca="1">_xll.meLWOBondYield($N65,$C$4,P65)</f>
        <v>3.5315453192761304E-2</v>
      </c>
      <c r="S65" s="89">
        <f ca="1">_xll.meLWOBondModifiedDuration($N65,$C$4,$O65%)</f>
        <v>6.9189899074228496</v>
      </c>
      <c r="T65" s="23">
        <f ca="1">_xll.meLWOBondDV01($N65,$C$4,$O65%)</f>
        <v>872.12163515288364</v>
      </c>
      <c r="U65" s="85">
        <f t="shared" ca="1" si="4"/>
        <v>3.5315453192760859</v>
      </c>
      <c r="V65" s="22" t="str">
        <f ca="1">_xll.BDP($B65,V$6, "YAS_BOND_YLD="&amp;U65,"YAS_YLD_CONV=1")</f>
        <v>#N/A Requesting Data...</v>
      </c>
      <c r="W65" s="89">
        <f t="shared" ca="1" si="5"/>
        <v>123.06248682575136</v>
      </c>
      <c r="X65" s="24" t="e">
        <f t="shared" ca="1" si="1"/>
        <v>#VALUE!</v>
      </c>
      <c r="Y65" s="23">
        <f ca="1">_xll.meLWOBondDV01($N65,$C$4,$U65%)</f>
        <v>872.12163515288364</v>
      </c>
      <c r="Z65" s="22" t="e">
        <f ca="1">_xll.BDP($B65,Z$6, "YLD_YTM_ASK="&amp;$U65,"YAS_YLD_CONV=33")*$Z$3*0.0001</f>
        <v>#VALUE!</v>
      </c>
      <c r="AA65" s="24" t="e">
        <f t="shared" ca="1" si="2"/>
        <v>#VALUE!</v>
      </c>
      <c r="AB65" s="23">
        <f ca="1">_xll.meLWOBondModifiedDuration($N65,$C$4,$U65%)</f>
        <v>6.9189899074228496</v>
      </c>
      <c r="AC65" s="23" t="str">
        <f ca="1">_xll.BDP($B65,AC$6, "YLD_YTM_ASK="&amp;$U65,"YAS_YLD_CONV=1")</f>
        <v>#N/A Requesting Data...</v>
      </c>
      <c r="AD65" s="22" t="e">
        <f t="shared" ca="1" si="3"/>
        <v>#VALUE!</v>
      </c>
      <c r="AE65" s="24">
        <f ca="1">_xll.meLWOBondDV01Numerical($N65,$C$4,$U65%, 0.5, "CENTRAL")</f>
        <v>857.29782849469416</v>
      </c>
    </row>
    <row r="66" spans="2:31">
      <c r="B66" s="15" t="s">
        <v>374</v>
      </c>
      <c r="C66" s="15" t="s">
        <v>375</v>
      </c>
      <c r="D66" s="15" t="s">
        <v>375</v>
      </c>
      <c r="E66" s="16">
        <v>35752</v>
      </c>
      <c r="F66" s="16" t="s">
        <v>333</v>
      </c>
      <c r="G66" s="19" t="str">
        <f t="shared" si="0"/>
        <v/>
      </c>
      <c r="H66" s="16" t="s">
        <v>333</v>
      </c>
      <c r="I66" s="16" t="s">
        <v>333</v>
      </c>
      <c r="J66" s="48">
        <v>0</v>
      </c>
      <c r="K66" s="16">
        <v>46692</v>
      </c>
      <c r="L66" s="49" t="s">
        <v>333</v>
      </c>
      <c r="M66" s="15" t="s">
        <v>297</v>
      </c>
      <c r="N66" s="20" t="str">
        <f ca="1">_xll.meLWOBondCreateFromGeneratorLVB(C66,$N$4,_xll.meUtilityLVBFromKeysValues($C$6:$M$6,C66:M66))</f>
        <v>IT0004848476:1</v>
      </c>
      <c r="O66" s="92">
        <f ca="1">_xll.BDP($B66,$O$5)</f>
        <v>3.6381490232777702</v>
      </c>
      <c r="P66" s="89">
        <f ca="1">_xll.meLWOBondCleanPrice($N66,$C$4,$O66%)</f>
        <v>72.390875313910215</v>
      </c>
      <c r="Q66" s="89">
        <f ca="1">_xll.meLWOBondDirtyPrice($N66,$C$4,$O66%)</f>
        <v>72.390875313910215</v>
      </c>
      <c r="R66" s="72">
        <f ca="1">_xll.meLWOBondYield($N66,$C$4,P66)</f>
        <v>3.6381490232777702E-2</v>
      </c>
      <c r="S66" s="89">
        <f ca="1">_xll.meLWOBondModifiedDuration($N66,$C$4,$O66%)</f>
        <v>8.8806582624761106</v>
      </c>
      <c r="T66" s="23">
        <f ca="1">_xll.meLWOBondDV01($N66,$C$4,$O66%)</f>
        <v>642.87862498435459</v>
      </c>
      <c r="U66" s="85">
        <f t="shared" ca="1" si="4"/>
        <v>3.6381490232777702</v>
      </c>
      <c r="V66" s="22" t="str">
        <f ca="1">_xll.BDP($B66,V$6, "YAS_BOND_YLD="&amp;U66,"YAS_YLD_CONV=1")</f>
        <v>#N/A Requesting Data...</v>
      </c>
      <c r="W66" s="89">
        <f t="shared" ca="1" si="5"/>
        <v>72.390875313910215</v>
      </c>
      <c r="X66" s="24" t="e">
        <f t="shared" ca="1" si="1"/>
        <v>#VALUE!</v>
      </c>
      <c r="Y66" s="23">
        <f ca="1">_xll.meLWOBondDV01($N66,$C$4,$U66%)</f>
        <v>642.87862498435459</v>
      </c>
      <c r="Z66" s="22" t="e">
        <f ca="1">_xll.BDP($B66,Z$6, "YLD_YTM_ASK="&amp;$U66,"YAS_YLD_CONV=33")*$Z$3*0.0001</f>
        <v>#VALUE!</v>
      </c>
      <c r="AA66" s="24" t="e">
        <f t="shared" ca="1" si="2"/>
        <v>#VALUE!</v>
      </c>
      <c r="AB66" s="23">
        <f ca="1">_xll.meLWOBondModifiedDuration($N66,$C$4,$U66%)</f>
        <v>8.8806582624761106</v>
      </c>
      <c r="AC66" s="23" t="str">
        <f ca="1">_xll.BDP($B66,AC$6, "YLD_YTM_ASK="&amp;$U66,"YAS_YLD_CONV=1")</f>
        <v>#N/A Requesting Data...</v>
      </c>
      <c r="AD66" s="22" t="e">
        <f t="shared" ca="1" si="3"/>
        <v>#VALUE!</v>
      </c>
      <c r="AE66" s="24">
        <f ca="1">_xll.meLWOBondDV01Numerical($N66,$C$4,$U66%, 0.5, "CENTRAL")</f>
        <v>631.52429598957838</v>
      </c>
    </row>
    <row r="67" spans="2:31">
      <c r="B67" s="15" t="s">
        <v>612</v>
      </c>
      <c r="C67" s="15" t="s">
        <v>613</v>
      </c>
      <c r="D67" s="15" t="s">
        <v>613</v>
      </c>
      <c r="E67" s="16">
        <v>35752</v>
      </c>
      <c r="F67" s="16" t="s">
        <v>333</v>
      </c>
      <c r="G67" s="19" t="str">
        <f t="shared" si="0"/>
        <v/>
      </c>
      <c r="H67" s="16" t="s">
        <v>333</v>
      </c>
      <c r="I67" s="16" t="s">
        <v>333</v>
      </c>
      <c r="J67" s="48">
        <v>0</v>
      </c>
      <c r="K67" s="16">
        <v>46692</v>
      </c>
      <c r="L67" s="49" t="s">
        <v>333</v>
      </c>
      <c r="M67" s="15" t="s">
        <v>297</v>
      </c>
      <c r="N67" s="20" t="str">
        <f ca="1">_xll.meLWOBondCreateFromGeneratorLVB(C67,$N$4,_xll.meUtilityLVBFromKeysValues($C$6:$M$6,C67:M67))</f>
        <v>IT0001246815:1</v>
      </c>
      <c r="O67" s="92">
        <f ca="1">_xll.BDP($B67,$O$5)</f>
        <v>3.5181847696539759</v>
      </c>
      <c r="P67" s="89">
        <f ca="1">_xll.meLWOBondCleanPrice($N67,$C$4,$O67%)</f>
        <v>73.152900317633581</v>
      </c>
      <c r="Q67" s="89">
        <f ca="1">_xll.meLWOBondDirtyPrice($N67,$C$4,$O67%)</f>
        <v>73.152900317633581</v>
      </c>
      <c r="R67" s="72">
        <f ca="1">_xll.meLWOBondYield($N67,$C$4,P67)</f>
        <v>3.5181847696539759E-2</v>
      </c>
      <c r="S67" s="89">
        <f ca="1">_xll.meLWOBondModifiedDuration($N67,$C$4,$O67%)</f>
        <v>8.8858025425221854</v>
      </c>
      <c r="T67" s="23">
        <f ca="1">_xll.meLWOBondDV01($N67,$C$4,$O67%)</f>
        <v>650.0222276353004</v>
      </c>
      <c r="U67" s="85">
        <f t="shared" ca="1" si="4"/>
        <v>3.5181847696539759</v>
      </c>
      <c r="V67" s="22" t="str">
        <f ca="1">_xll.BDP($B67,V$6, "YAS_BOND_YLD="&amp;U67,"YAS_YLD_CONV=1")</f>
        <v>#N/A Requesting Data...</v>
      </c>
      <c r="W67" s="89">
        <f t="shared" ca="1" si="5"/>
        <v>73.152900317633581</v>
      </c>
      <c r="X67" s="24" t="e">
        <f t="shared" ca="1" si="1"/>
        <v>#VALUE!</v>
      </c>
      <c r="Y67" s="23">
        <f ca="1">_xll.meLWOBondDV01($N67,$C$4,$U67%)</f>
        <v>650.0222276353004</v>
      </c>
      <c r="Z67" s="22" t="e">
        <f ca="1">_xll.BDP($B67,Z$6, "YLD_YTM_ASK="&amp;$U67,"YAS_YLD_CONV=33")*$Z$3*0.0001</f>
        <v>#VALUE!</v>
      </c>
      <c r="AA67" s="24" t="e">
        <f t="shared" ca="1" si="2"/>
        <v>#VALUE!</v>
      </c>
      <c r="AB67" s="23">
        <f ca="1">_xll.meLWOBondModifiedDuration($N67,$C$4,$U67%)</f>
        <v>8.8858025425221854</v>
      </c>
      <c r="AC67" s="23" t="str">
        <f ca="1">_xll.BDP($B67,AC$6, "YLD_YTM_ASK="&amp;$U67,"YAS_YLD_CONV=1")</f>
        <v>#N/A Requesting Data...</v>
      </c>
      <c r="AD67" s="22" t="e">
        <f t="shared" ca="1" si="3"/>
        <v>#VALUE!</v>
      </c>
      <c r="AE67" s="24">
        <f ca="1">_xll.meLWOBondDV01Numerical($N67,$C$4,$U67%, 0.5, "CENTRAL")</f>
        <v>638.91161725294421</v>
      </c>
    </row>
    <row r="68" spans="2:31">
      <c r="B68" s="15" t="s">
        <v>638</v>
      </c>
      <c r="C68" s="15" t="s">
        <v>639</v>
      </c>
      <c r="D68" s="15" t="s">
        <v>639</v>
      </c>
      <c r="E68" s="16">
        <v>36003</v>
      </c>
      <c r="F68" s="16" t="s">
        <v>333</v>
      </c>
      <c r="G68" s="19" t="str">
        <f t="shared" si="0"/>
        <v/>
      </c>
      <c r="H68" s="16" t="s">
        <v>333</v>
      </c>
      <c r="I68" s="16" t="s">
        <v>333</v>
      </c>
      <c r="J68" s="48">
        <v>0</v>
      </c>
      <c r="K68" s="16">
        <v>46692</v>
      </c>
      <c r="L68" s="49" t="s">
        <v>333</v>
      </c>
      <c r="M68" s="15" t="s">
        <v>297</v>
      </c>
      <c r="N68" s="20" t="str">
        <f ca="1">_xll.meLWOBondCreateFromGeneratorLVB(C68,$N$4,_xll.meUtilityLVBFromKeysValues($C$6:$M$6,C68:M68))</f>
        <v>IT0001247409:1</v>
      </c>
      <c r="O68" s="92">
        <f ca="1">_xll.BDP($B68,$O$5)</f>
        <v>3.5822440435061109</v>
      </c>
      <c r="P68" s="89">
        <f ca="1">_xll.meLWOBondCleanPrice($N68,$C$4,$O68%)</f>
        <v>72.744886881718855</v>
      </c>
      <c r="Q68" s="89">
        <f ca="1">_xll.meLWOBondDirtyPrice($N68,$C$4,$O68%)</f>
        <v>72.744886881718855</v>
      </c>
      <c r="R68" s="72">
        <f ca="1">_xll.meLWOBondYield($N68,$C$4,P68)</f>
        <v>3.5822440435061109E-2</v>
      </c>
      <c r="S68" s="89">
        <f ca="1">_xll.meLWOBondModifiedDuration($N68,$C$4,$O68%)</f>
        <v>8.8830544552531023</v>
      </c>
      <c r="T68" s="23">
        <f ca="1">_xll.meLWOBondDV01($N68,$C$4,$O68%)</f>
        <v>646.19679151153559</v>
      </c>
      <c r="U68" s="85">
        <f t="shared" ca="1" si="4"/>
        <v>3.5822440435061109</v>
      </c>
      <c r="V68" s="22" t="str">
        <f ca="1">_xll.BDP($B68,V$6, "YAS_BOND_YLD="&amp;U68,"YAS_YLD_CONV=1")</f>
        <v>#N/A Requesting Data...</v>
      </c>
      <c r="W68" s="89">
        <f t="shared" ca="1" si="5"/>
        <v>72.744886881718855</v>
      </c>
      <c r="X68" s="24" t="e">
        <f t="shared" ca="1" si="1"/>
        <v>#VALUE!</v>
      </c>
      <c r="Y68" s="23">
        <f ca="1">_xll.meLWOBondDV01($N68,$C$4,$U68%)</f>
        <v>646.19679151153559</v>
      </c>
      <c r="Z68" s="22" t="e">
        <f ca="1">_xll.BDP($B68,Z$6, "YLD_YTM_ASK="&amp;$U68,"YAS_YLD_CONV=33")*$Z$3*0.0001</f>
        <v>#VALUE!</v>
      </c>
      <c r="AA68" s="24" t="e">
        <f t="shared" ca="1" si="2"/>
        <v>#VALUE!</v>
      </c>
      <c r="AB68" s="23">
        <f ca="1">_xll.meLWOBondModifiedDuration($N68,$C$4,$U68%)</f>
        <v>8.8830544552531023</v>
      </c>
      <c r="AC68" s="23" t="str">
        <f ca="1">_xll.BDP($B68,AC$6, "YLD_YTM_ASK="&amp;$U68,"YAS_YLD_CONV=1")</f>
        <v>#N/A Requesting Data...</v>
      </c>
      <c r="AD68" s="22" t="e">
        <f t="shared" ca="1" si="3"/>
        <v>#VALUE!</v>
      </c>
      <c r="AE68" s="24">
        <f ca="1">_xll.meLWOBondDV01Numerical($N68,$C$4,$U68%, 0.5, "CENTRAL")</f>
        <v>634.9551364354511</v>
      </c>
    </row>
    <row r="69" spans="2:31">
      <c r="B69" s="15" t="s">
        <v>662</v>
      </c>
      <c r="C69" s="15" t="s">
        <v>663</v>
      </c>
      <c r="D69" s="15" t="s">
        <v>663</v>
      </c>
      <c r="E69" s="16">
        <v>37333</v>
      </c>
      <c r="F69" s="16" t="s">
        <v>333</v>
      </c>
      <c r="G69" s="19" t="str">
        <f t="shared" si="0"/>
        <v/>
      </c>
      <c r="H69" s="16" t="s">
        <v>333</v>
      </c>
      <c r="I69" s="16" t="s">
        <v>333</v>
      </c>
      <c r="J69" s="48">
        <v>0</v>
      </c>
      <c r="K69" s="16">
        <v>46784</v>
      </c>
      <c r="L69" s="49" t="s">
        <v>333</v>
      </c>
      <c r="M69" s="15" t="s">
        <v>297</v>
      </c>
      <c r="N69" s="20" t="str">
        <f ca="1">_xll.meLWOBondCreateFromGeneratorLVB(C69,$N$4,_xll.meUtilityLVBFromKeysValues($C$6:$M$6,C69:M69))</f>
        <v>IT0003268890:1</v>
      </c>
      <c r="O69" s="92">
        <f ca="1">_xll.BDP($B69,$O$5)</f>
        <v>3.5854482143250932</v>
      </c>
      <c r="P69" s="89">
        <f ca="1">_xll.meLWOBondCleanPrice($N69,$C$4,$O69%)</f>
        <v>72.087885523405731</v>
      </c>
      <c r="Q69" s="89">
        <f ca="1">_xll.meLWOBondDirtyPrice($N69,$C$4,$O69%)</f>
        <v>72.087885523405731</v>
      </c>
      <c r="R69" s="72">
        <f ca="1">_xll.meLWOBondYield($N69,$C$4,P69)</f>
        <v>3.5854482143250932E-2</v>
      </c>
      <c r="S69" s="89">
        <f ca="1">_xll.meLWOBondModifiedDuration($N69,$C$4,$O69%)</f>
        <v>9.1285522839889772</v>
      </c>
      <c r="T69" s="23">
        <f ca="1">_xll.meLWOBondDV01($N69,$C$4,$O69%)</f>
        <v>658.05803204262133</v>
      </c>
      <c r="U69" s="85">
        <f t="shared" ca="1" si="4"/>
        <v>3.5854482143250932</v>
      </c>
      <c r="V69" s="22" t="str">
        <f ca="1">_xll.BDP($B69,V$6, "YAS_BOND_YLD="&amp;U69,"YAS_YLD_CONV=1")</f>
        <v>#N/A Requesting Data...</v>
      </c>
      <c r="W69" s="89">
        <f t="shared" ca="1" si="5"/>
        <v>72.087885523405731</v>
      </c>
      <c r="X69" s="24" t="e">
        <f t="shared" ca="1" si="1"/>
        <v>#VALUE!</v>
      </c>
      <c r="Y69" s="23">
        <f ca="1">_xll.meLWOBondDV01($N69,$C$4,$U69%)</f>
        <v>658.05803204262133</v>
      </c>
      <c r="Z69" s="22" t="e">
        <f ca="1">_xll.BDP($B69,Z$6, "YLD_YTM_ASK="&amp;$U69,"YAS_YLD_CONV=33")*$Z$3*0.0001</f>
        <v>#VALUE!</v>
      </c>
      <c r="AA69" s="24" t="e">
        <f t="shared" ca="1" si="2"/>
        <v>#VALUE!</v>
      </c>
      <c r="AB69" s="23">
        <f ca="1">_xll.meLWOBondModifiedDuration($N69,$C$4,$U69%)</f>
        <v>9.1285522839889772</v>
      </c>
      <c r="AC69" s="23" t="str">
        <f ca="1">_xll.BDP($B69,AC$6, "YLD_YTM_ASK="&amp;$U69,"YAS_YLD_CONV=1")</f>
        <v>#N/A Requesting Data...</v>
      </c>
      <c r="AD69" s="22" t="e">
        <f t="shared" ca="1" si="3"/>
        <v>#VALUE!</v>
      </c>
      <c r="AE69" s="24">
        <f ca="1">_xll.meLWOBondDV01Numerical($N69,$C$4,$U69%, 0.5, "CENTRAL")</f>
        <v>646.57207606444445</v>
      </c>
    </row>
    <row r="70" spans="2:31">
      <c r="B70" s="15" t="s">
        <v>666</v>
      </c>
      <c r="C70" s="15" t="s">
        <v>667</v>
      </c>
      <c r="D70" s="15" t="s">
        <v>667</v>
      </c>
      <c r="E70" s="16">
        <v>41416</v>
      </c>
      <c r="F70" s="16" t="s">
        <v>333</v>
      </c>
      <c r="G70" s="19" t="str">
        <f t="shared" si="0"/>
        <v/>
      </c>
      <c r="H70" s="16" t="s">
        <v>333</v>
      </c>
      <c r="I70" s="16" t="s">
        <v>333</v>
      </c>
      <c r="J70" s="48">
        <v>0</v>
      </c>
      <c r="K70" s="16">
        <v>46813</v>
      </c>
      <c r="L70" s="49" t="s">
        <v>333</v>
      </c>
      <c r="M70" s="15" t="s">
        <v>297</v>
      </c>
      <c r="N70" s="20" t="str">
        <f ca="1">_xll.meLWOBondCreateFromGeneratorLVB(C70,$N$4,_xll.meUtilityLVBFromKeysValues($C$6:$M$6,C70:M70))</f>
        <v>IT0004976517:1</v>
      </c>
      <c r="O70" s="92">
        <f ca="1">_xll.BDP($B70,$O$5)</f>
        <v>3.5752511856331326</v>
      </c>
      <c r="P70" s="89">
        <f ca="1">_xll.meLWOBondCleanPrice($N70,$C$4,$O70%)</f>
        <v>71.945772231960731</v>
      </c>
      <c r="Q70" s="89">
        <f ca="1">_xll.meLWOBondDirtyPrice($N70,$C$4,$O70%)</f>
        <v>71.945772231960731</v>
      </c>
      <c r="R70" s="72">
        <f ca="1">_xll.meLWOBondYield($N70,$C$4,P70)</f>
        <v>3.5752511856331326E-2</v>
      </c>
      <c r="S70" s="89">
        <f ca="1">_xll.meLWOBondModifiedDuration($N70,$C$4,$O70%)</f>
        <v>9.2097383395724695</v>
      </c>
      <c r="T70" s="23">
        <f ca="1">_xll.meLWOBondDV01($N70,$C$4,$O70%)</f>
        <v>662.60173689483713</v>
      </c>
      <c r="U70" s="85">
        <f t="shared" ca="1" si="4"/>
        <v>3.5752511856331326</v>
      </c>
      <c r="V70" s="22" t="str">
        <f ca="1">_xll.BDP($B70,V$6, "YAS_BOND_YLD="&amp;U70,"YAS_YLD_CONV=1")</f>
        <v>#N/A Requesting Data...</v>
      </c>
      <c r="W70" s="89">
        <f t="shared" ca="1" si="5"/>
        <v>71.945772231960731</v>
      </c>
      <c r="X70" s="24" t="e">
        <f t="shared" ca="1" si="1"/>
        <v>#VALUE!</v>
      </c>
      <c r="Y70" s="23">
        <f ca="1">_xll.meLWOBondDV01($N70,$C$4,$U70%)</f>
        <v>662.60173689483713</v>
      </c>
      <c r="Z70" s="22" t="e">
        <f ca="1">_xll.BDP($B70,Z$6, "YLD_YTM_ASK="&amp;$U70,"YAS_YLD_CONV=33")*$Z$3*0.0001</f>
        <v>#VALUE!</v>
      </c>
      <c r="AA70" s="24" t="e">
        <f t="shared" ca="1" si="2"/>
        <v>#VALUE!</v>
      </c>
      <c r="AB70" s="23">
        <f ca="1">_xll.meLWOBondModifiedDuration($N70,$C$4,$U70%)</f>
        <v>9.2097383395724695</v>
      </c>
      <c r="AC70" s="23" t="str">
        <f ca="1">_xll.BDP($B70,AC$6, "YLD_YTM_ASK="&amp;$U70,"YAS_YLD_CONV=1")</f>
        <v>#N/A Requesting Data...</v>
      </c>
      <c r="AD70" s="22" t="e">
        <f t="shared" ca="1" si="3"/>
        <v>#VALUE!</v>
      </c>
      <c r="AE70" s="24">
        <f ca="1">_xll.meLWOBondDV01Numerical($N70,$C$4,$U70%, 0.5, "CENTRAL")</f>
        <v>651.07162160515486</v>
      </c>
    </row>
    <row r="71" spans="2:31">
      <c r="B71" s="15" t="s">
        <v>676</v>
      </c>
      <c r="C71" s="15" t="s">
        <v>677</v>
      </c>
      <c r="D71" s="15" t="s">
        <v>677</v>
      </c>
      <c r="E71" s="16">
        <v>40072</v>
      </c>
      <c r="F71" s="16" t="s">
        <v>333</v>
      </c>
      <c r="G71" s="19" t="str">
        <f t="shared" ref="G71:G134" si="6">IF(DAY(K71+1)=1, "EOM","")</f>
        <v/>
      </c>
      <c r="H71" s="16" t="s">
        <v>333</v>
      </c>
      <c r="I71" s="16" t="s">
        <v>333</v>
      </c>
      <c r="J71" s="48">
        <v>0</v>
      </c>
      <c r="K71" s="16">
        <v>46813</v>
      </c>
      <c r="L71" s="49" t="s">
        <v>333</v>
      </c>
      <c r="M71" s="15" t="s">
        <v>297</v>
      </c>
      <c r="N71" s="20" t="str">
        <f ca="1">_xll.meLWOBondCreateFromGeneratorLVB(C71,$N$4,_xll.meUtilityLVBFromKeysValues($C$6:$M$6,C71:M71))</f>
        <v>IT0004534340:1</v>
      </c>
      <c r="O71" s="92">
        <f ca="1">_xll.BDP($B71,$O$5)</f>
        <v>3.6537380807749154</v>
      </c>
      <c r="P71" s="89">
        <f ca="1">_xll.meLWOBondCleanPrice($N71,$C$4,$O71%)</f>
        <v>71.436768961355739</v>
      </c>
      <c r="Q71" s="89">
        <f ca="1">_xll.meLWOBondDirtyPrice($N71,$C$4,$O71%)</f>
        <v>71.436768961355739</v>
      </c>
      <c r="R71" s="72">
        <f ca="1">_xll.meLWOBondYield($N71,$C$4,P71)</f>
        <v>3.653738080774982E-2</v>
      </c>
      <c r="S71" s="89">
        <f ca="1">_xll.meLWOBondModifiedDuration($N71,$C$4,$O71%)</f>
        <v>9.2062508596832764</v>
      </c>
      <c r="T71" s="23">
        <f ca="1">_xll.meLWOBondDV01($N71,$C$4,$O71%)</f>
        <v>657.66481566347693</v>
      </c>
      <c r="U71" s="85">
        <f t="shared" ca="1" si="4"/>
        <v>3.6537380807749154</v>
      </c>
      <c r="V71" s="22" t="str">
        <f ca="1">_xll.BDP($B71,V$6, "YAS_BOND_YLD="&amp;U71,"YAS_YLD_CONV=1")</f>
        <v>#N/A Requesting Data...</v>
      </c>
      <c r="W71" s="89">
        <f t="shared" ca="1" si="5"/>
        <v>71.436768961355739</v>
      </c>
      <c r="X71" s="24" t="e">
        <f t="shared" ref="X71:X134" ca="1" si="7">ABS(W71-V71)</f>
        <v>#VALUE!</v>
      </c>
      <c r="Y71" s="23">
        <f ca="1">_xll.meLWOBondDV01($N71,$C$4,$U71%)</f>
        <v>657.66481566347693</v>
      </c>
      <c r="Z71" s="22" t="e">
        <f ca="1">_xll.BDP($B71,Z$6, "YLD_YTM_ASK="&amp;$U71,"YAS_YLD_CONV=33")*$Z$3*0.0001</f>
        <v>#VALUE!</v>
      </c>
      <c r="AA71" s="24" t="e">
        <f t="shared" ref="AA71:AA134" ca="1" si="8">ABS(Z71-Y71)</f>
        <v>#VALUE!</v>
      </c>
      <c r="AB71" s="23">
        <f ca="1">_xll.meLWOBondModifiedDuration($N71,$C$4,$U71%)</f>
        <v>9.2062508596832764</v>
      </c>
      <c r="AC71" s="23" t="str">
        <f ca="1">_xll.BDP($B71,AC$6, "YLD_YTM_ASK="&amp;$U71,"YAS_YLD_CONV=1")</f>
        <v>#N/A Requesting Data...</v>
      </c>
      <c r="AD71" s="22" t="e">
        <f t="shared" ref="AD71:AD134" ca="1" si="9">ABS(AC71-AB71)</f>
        <v>#VALUE!</v>
      </c>
      <c r="AE71" s="24">
        <f ca="1">_xll.meLWOBondDV01Numerical($N71,$C$4,$U71%, 0.5, "CENTRAL")</f>
        <v>645.97590271347372</v>
      </c>
    </row>
    <row r="72" spans="2:31">
      <c r="B72" s="15" t="s">
        <v>550</v>
      </c>
      <c r="C72" s="15" t="s">
        <v>551</v>
      </c>
      <c r="D72" s="15" t="s">
        <v>551</v>
      </c>
      <c r="E72" s="16">
        <v>36117</v>
      </c>
      <c r="F72" s="16" t="s">
        <v>333</v>
      </c>
      <c r="G72" s="19" t="str">
        <f t="shared" si="6"/>
        <v/>
      </c>
      <c r="H72" s="16" t="s">
        <v>333</v>
      </c>
      <c r="I72" s="16" t="s">
        <v>333</v>
      </c>
      <c r="J72" s="48">
        <v>0</v>
      </c>
      <c r="K72" s="16">
        <v>46874</v>
      </c>
      <c r="L72" s="49" t="s">
        <v>333</v>
      </c>
      <c r="M72" s="15" t="s">
        <v>297</v>
      </c>
      <c r="N72" s="20" t="str">
        <f ca="1">_xll.meLWOBondCreateFromGeneratorLVB(C72,$N$4,_xll.meUtilityLVBFromKeysValues($C$6:$M$6,C72:M72))</f>
        <v>IT0001312781:1</v>
      </c>
      <c r="O72" s="92">
        <f ca="1">_xll.BDP($B72,$O$5)</f>
        <v>3.6076666808208868</v>
      </c>
      <c r="P72" s="89">
        <f ca="1">_xll.meLWOBondCleanPrice($N72,$C$4,$O72%)</f>
        <v>71.30182584999676</v>
      </c>
      <c r="Q72" s="89">
        <f ca="1">_xll.meLWOBondDirtyPrice($N72,$C$4,$O72%)</f>
        <v>71.30182584999676</v>
      </c>
      <c r="R72" s="72">
        <f ca="1">_xll.meLWOBondYield($N72,$C$4,P72)</f>
        <v>3.6076666808208868E-2</v>
      </c>
      <c r="S72" s="89">
        <f ca="1">_xll.meLWOBondModifiedDuration($N72,$C$4,$O72%)</f>
        <v>9.3731823097181994</v>
      </c>
      <c r="T72" s="23">
        <f ca="1">_xll.meLWOBondDV01($N72,$C$4,$O72%)</f>
        <v>668.32501270779744</v>
      </c>
      <c r="U72" s="85">
        <f t="shared" ref="U72:U135" ca="1" si="10">O72</f>
        <v>3.6076666808208868</v>
      </c>
      <c r="V72" s="22" t="str">
        <f ca="1">_xll.BDP($B72,V$6, "YAS_BOND_YLD="&amp;U72,"YAS_YLD_CONV=1")</f>
        <v>#N/A Requesting Data...</v>
      </c>
      <c r="W72" s="89">
        <f t="shared" ref="W72:W135" ca="1" si="11">P72</f>
        <v>71.30182584999676</v>
      </c>
      <c r="X72" s="24" t="e">
        <f t="shared" ca="1" si="7"/>
        <v>#VALUE!</v>
      </c>
      <c r="Y72" s="23">
        <f ca="1">_xll.meLWOBondDV01($N72,$C$4,$U72%)</f>
        <v>668.32501270779744</v>
      </c>
      <c r="Z72" s="22" t="e">
        <f ca="1">_xll.BDP($B72,Z$6, "YLD_YTM_ASK="&amp;$U72,"YAS_YLD_CONV=33")*$Z$3*0.0001</f>
        <v>#VALUE!</v>
      </c>
      <c r="AA72" s="24" t="e">
        <f t="shared" ca="1" si="8"/>
        <v>#VALUE!</v>
      </c>
      <c r="AB72" s="23">
        <f ca="1">_xll.meLWOBondModifiedDuration($N72,$C$4,$U72%)</f>
        <v>9.3731823097181994</v>
      </c>
      <c r="AC72" s="23" t="str">
        <f ca="1">_xll.BDP($B72,AC$6, "YLD_YTM_ASK="&amp;$U72,"YAS_YLD_CONV=1")</f>
        <v>#N/A Requesting Data...</v>
      </c>
      <c r="AD72" s="22" t="e">
        <f t="shared" ca="1" si="9"/>
        <v>#VALUE!</v>
      </c>
      <c r="AE72" s="24">
        <f ca="1">_xll.meLWOBondDV01Numerical($N72,$C$4,$U72%, 0.5, "CENTRAL")</f>
        <v>656.80523907872157</v>
      </c>
    </row>
    <row r="73" spans="2:31">
      <c r="B73" s="15" t="s">
        <v>640</v>
      </c>
      <c r="C73" s="15" t="s">
        <v>641</v>
      </c>
      <c r="D73" s="15" t="s">
        <v>641</v>
      </c>
      <c r="E73" s="16">
        <v>37333</v>
      </c>
      <c r="F73" s="16" t="s">
        <v>333</v>
      </c>
      <c r="G73" s="19" t="str">
        <f t="shared" si="6"/>
        <v/>
      </c>
      <c r="H73" s="16" t="s">
        <v>333</v>
      </c>
      <c r="I73" s="16" t="s">
        <v>333</v>
      </c>
      <c r="J73" s="48">
        <v>0</v>
      </c>
      <c r="K73" s="16">
        <v>46966</v>
      </c>
      <c r="L73" s="49" t="s">
        <v>333</v>
      </c>
      <c r="M73" s="15" t="s">
        <v>297</v>
      </c>
      <c r="N73" s="20" t="str">
        <f ca="1">_xll.meLWOBondCreateFromGeneratorLVB(C73,$N$4,_xll.meUtilityLVBFromKeysValues($C$6:$M$6,C73:M73))</f>
        <v>IT0003268908:1</v>
      </c>
      <c r="O73" s="92">
        <f ca="1">_xll.BDP($B73,$O$5)</f>
        <v>3.6263745387502544</v>
      </c>
      <c r="P73" s="89">
        <f ca="1">_xll.meLWOBondCleanPrice($N73,$C$4,$O73%)</f>
        <v>70.555886646504035</v>
      </c>
      <c r="Q73" s="89">
        <f ca="1">_xll.meLWOBondDirtyPrice($N73,$C$4,$O73%)</f>
        <v>70.555886646504035</v>
      </c>
      <c r="R73" s="72">
        <f ca="1">_xll.meLWOBondYield($N73,$C$4,P73)</f>
        <v>3.6263745387502544E-2</v>
      </c>
      <c r="S73" s="89">
        <f ca="1">_xll.meLWOBondModifiedDuration($N73,$C$4,$O73%)</f>
        <v>9.6179229001143316</v>
      </c>
      <c r="T73" s="23">
        <f ca="1">_xll.meLWOBondDV01($N73,$C$4,$O73%)</f>
        <v>678.60107791528208</v>
      </c>
      <c r="U73" s="85">
        <f t="shared" ca="1" si="10"/>
        <v>3.6263745387502544</v>
      </c>
      <c r="V73" s="22" t="str">
        <f ca="1">_xll.BDP($B73,V$6, "YAS_BOND_YLD="&amp;U73,"YAS_YLD_CONV=1")</f>
        <v>#N/A Requesting Data...</v>
      </c>
      <c r="W73" s="89">
        <f t="shared" ca="1" si="11"/>
        <v>70.555886646504035</v>
      </c>
      <c r="X73" s="24" t="e">
        <f t="shared" ca="1" si="7"/>
        <v>#VALUE!</v>
      </c>
      <c r="Y73" s="23">
        <f ca="1">_xll.meLWOBondDV01($N73,$C$4,$U73%)</f>
        <v>678.60107791528208</v>
      </c>
      <c r="Z73" s="22" t="e">
        <f ca="1">_xll.BDP($B73,Z$6, "YLD_YTM_ASK="&amp;$U73,"YAS_YLD_CONV=33")*$Z$3*0.0001</f>
        <v>#VALUE!</v>
      </c>
      <c r="AA73" s="24" t="e">
        <f t="shared" ca="1" si="8"/>
        <v>#VALUE!</v>
      </c>
      <c r="AB73" s="23">
        <f ca="1">_xll.meLWOBondModifiedDuration($N73,$C$4,$U73%)</f>
        <v>9.6179229001143316</v>
      </c>
      <c r="AC73" s="23" t="str">
        <f ca="1">_xll.BDP($B73,AC$6, "YLD_YTM_ASK="&amp;$U73,"YAS_YLD_CONV=1")</f>
        <v>#N/A Requesting Data...</v>
      </c>
      <c r="AD73" s="22" t="e">
        <f t="shared" ca="1" si="9"/>
        <v>#VALUE!</v>
      </c>
      <c r="AE73" s="24">
        <f ca="1">_xll.meLWOBondDV01Numerical($N73,$C$4,$U73%, 0.5, "CENTRAL")</f>
        <v>666.62471700382753</v>
      </c>
    </row>
    <row r="74" spans="2:31">
      <c r="B74" s="15" t="s">
        <v>342</v>
      </c>
      <c r="C74" s="15" t="s">
        <v>343</v>
      </c>
      <c r="D74" s="15" t="s">
        <v>343</v>
      </c>
      <c r="E74" s="16">
        <v>41296</v>
      </c>
      <c r="F74" s="16">
        <v>41296</v>
      </c>
      <c r="G74" s="19" t="str">
        <f t="shared" si="6"/>
        <v/>
      </c>
      <c r="H74" s="16">
        <v>41334</v>
      </c>
      <c r="I74" s="16">
        <v>46813</v>
      </c>
      <c r="J74" s="48">
        <v>4.7500000000000001E-2</v>
      </c>
      <c r="K74" s="16">
        <v>46997</v>
      </c>
      <c r="L74" s="49">
        <v>100.01700000000001</v>
      </c>
      <c r="M74" s="15" t="s">
        <v>297</v>
      </c>
      <c r="N74" s="20" t="str">
        <f ca="1">_xll.meLWOBondCreateFromGeneratorLVB(C74,$N$4,_xll.meUtilityLVBFromKeysValues($C$6:$M$6,C74:M74))</f>
        <v>IT0004889033:1</v>
      </c>
      <c r="O74" s="92">
        <f ca="1">_xll.BDP($B74,$O$5)</f>
        <v>3.5042555383253404</v>
      </c>
      <c r="P74" s="89">
        <f ca="1">_xll.meLWOBondCleanPrice($N74,$C$4,$O74%)</f>
        <v>110.58174571584924</v>
      </c>
      <c r="Q74" s="89">
        <f ca="1">_xll.meLWOBondDirtyPrice($N74,$C$4,$O74%)</f>
        <v>111.18533571584923</v>
      </c>
      <c r="R74" s="72">
        <f ca="1">_xll.meLWOBondYield($N74,$C$4,P74)</f>
        <v>3.504255538316503E-2</v>
      </c>
      <c r="S74" s="89">
        <f ca="1">_xll.meLWOBondModifiedDuration($N74,$C$4,$O74%)</f>
        <v>7.923104545078469</v>
      </c>
      <c r="T74" s="23">
        <f ca="1">_xll.meLWOBondDV01($N74,$C$4,$O74%)</f>
        <v>880.93303875632046</v>
      </c>
      <c r="U74" s="85">
        <f t="shared" ca="1" si="10"/>
        <v>3.5042555383253404</v>
      </c>
      <c r="V74" s="22" t="str">
        <f ca="1">_xll.BDP($B74,V$6, "YAS_BOND_YLD="&amp;U74,"YAS_YLD_CONV=1")</f>
        <v>#N/A Requesting Data...</v>
      </c>
      <c r="W74" s="89">
        <f t="shared" ca="1" si="11"/>
        <v>110.58174571584924</v>
      </c>
      <c r="X74" s="24" t="e">
        <f t="shared" ca="1" si="7"/>
        <v>#VALUE!</v>
      </c>
      <c r="Y74" s="23">
        <f ca="1">_xll.meLWOBondDV01($N74,$C$4,$U74%)</f>
        <v>880.93303875632046</v>
      </c>
      <c r="Z74" s="22" t="e">
        <f ca="1">_xll.BDP($B74,Z$6, "YLD_YTM_ASK="&amp;$U74,"YAS_YLD_CONV=33")*$Z$3*0.0001</f>
        <v>#VALUE!</v>
      </c>
      <c r="AA74" s="24" t="e">
        <f t="shared" ca="1" si="8"/>
        <v>#VALUE!</v>
      </c>
      <c r="AB74" s="23">
        <f ca="1">_xll.meLWOBondModifiedDuration($N74,$C$4,$U74%)</f>
        <v>7.923104545078469</v>
      </c>
      <c r="AC74" s="23" t="str">
        <f ca="1">_xll.BDP($B74,AC$6, "YLD_YTM_ASK="&amp;$U74,"YAS_YLD_CONV=1")</f>
        <v>#N/A Requesting Data...</v>
      </c>
      <c r="AD74" s="22" t="e">
        <f t="shared" ca="1" si="9"/>
        <v>#VALUE!</v>
      </c>
      <c r="AE74" s="24">
        <f ca="1">_xll.meLWOBondDV01Numerical($N74,$C$4,$U74%, 0.5, "CENTRAL")</f>
        <v>865.93139260315866</v>
      </c>
    </row>
    <row r="75" spans="2:31">
      <c r="B75" s="15" t="s">
        <v>478</v>
      </c>
      <c r="C75" s="15" t="s">
        <v>479</v>
      </c>
      <c r="D75" s="15" t="s">
        <v>479</v>
      </c>
      <c r="E75" s="16">
        <v>41416</v>
      </c>
      <c r="F75" s="16" t="s">
        <v>333</v>
      </c>
      <c r="G75" s="19" t="str">
        <f t="shared" si="6"/>
        <v/>
      </c>
      <c r="H75" s="16" t="s">
        <v>333</v>
      </c>
      <c r="I75" s="16" t="s">
        <v>333</v>
      </c>
      <c r="J75" s="48">
        <v>0</v>
      </c>
      <c r="K75" s="16">
        <v>46997</v>
      </c>
      <c r="L75" s="49" t="s">
        <v>333</v>
      </c>
      <c r="M75" s="15" t="s">
        <v>297</v>
      </c>
      <c r="N75" s="20" t="str">
        <f ca="1">_xll.meLWOBondCreateFromGeneratorLVB(C75,$N$4,_xll.meUtilityLVBFromKeysValues($C$6:$M$6,C75:M75))</f>
        <v>IT0004976525:1</v>
      </c>
      <c r="O75" s="92">
        <f ca="1">_xll.BDP($B75,$O$5)</f>
        <v>3.5459674204195268</v>
      </c>
      <c r="P75" s="89">
        <f ca="1">_xll.meLWOBondCleanPrice($N75,$C$4,$O75%)</f>
        <v>70.890777330891382</v>
      </c>
      <c r="Q75" s="89">
        <f ca="1">_xll.meLWOBondDirtyPrice($N75,$C$4,$O75%)</f>
        <v>70.890777330891382</v>
      </c>
      <c r="R75" s="72">
        <f ca="1">_xll.meLWOBondYield($N75,$C$4,P75)</f>
        <v>3.5459674204195268E-2</v>
      </c>
      <c r="S75" s="89">
        <f ca="1">_xll.meLWOBondModifiedDuration($N75,$C$4,$O75%)</f>
        <v>9.7024046320663846</v>
      </c>
      <c r="T75" s="23">
        <f ca="1">_xll.meLWOBondDV01($N75,$C$4,$O75%)</f>
        <v>687.81100634602717</v>
      </c>
      <c r="U75" s="85">
        <f t="shared" ca="1" si="10"/>
        <v>3.5459674204195268</v>
      </c>
      <c r="V75" s="22" t="str">
        <f ca="1">_xll.BDP($B75,V$6, "YAS_BOND_YLD="&amp;U75,"YAS_YLD_CONV=1")</f>
        <v>#N/A Requesting Data...</v>
      </c>
      <c r="W75" s="89">
        <f t="shared" ca="1" si="11"/>
        <v>70.890777330891382</v>
      </c>
      <c r="X75" s="24" t="e">
        <f t="shared" ca="1" si="7"/>
        <v>#VALUE!</v>
      </c>
      <c r="Y75" s="23">
        <f ca="1">_xll.meLWOBondDV01($N75,$C$4,$U75%)</f>
        <v>687.81100634602717</v>
      </c>
      <c r="Z75" s="22" t="e">
        <f ca="1">_xll.BDP($B75,Z$6, "YLD_YTM_ASK="&amp;$U75,"YAS_YLD_CONV=33")*$Z$3*0.0001</f>
        <v>#VALUE!</v>
      </c>
      <c r="AA75" s="24" t="e">
        <f t="shared" ca="1" si="8"/>
        <v>#VALUE!</v>
      </c>
      <c r="AB75" s="23">
        <f ca="1">_xll.meLWOBondModifiedDuration($N75,$C$4,$U75%)</f>
        <v>9.7024046320663846</v>
      </c>
      <c r="AC75" s="23" t="str">
        <f ca="1">_xll.BDP($B75,AC$6, "YLD_YTM_ASK="&amp;$U75,"YAS_YLD_CONV=1")</f>
        <v>#N/A Requesting Data...</v>
      </c>
      <c r="AD75" s="22" t="e">
        <f t="shared" ca="1" si="9"/>
        <v>#VALUE!</v>
      </c>
      <c r="AE75" s="24">
        <f ca="1">_xll.meLWOBondDV01Numerical($N75,$C$4,$U75%, 0.5, "CENTRAL")</f>
        <v>675.93745205329014</v>
      </c>
    </row>
    <row r="76" spans="2:31">
      <c r="B76" s="15" t="s">
        <v>678</v>
      </c>
      <c r="C76" s="15" t="s">
        <v>679</v>
      </c>
      <c r="D76" s="15" t="s">
        <v>679</v>
      </c>
      <c r="E76" s="16">
        <v>40072</v>
      </c>
      <c r="F76" s="16" t="s">
        <v>333</v>
      </c>
      <c r="G76" s="19" t="str">
        <f t="shared" si="6"/>
        <v/>
      </c>
      <c r="H76" s="16" t="s">
        <v>333</v>
      </c>
      <c r="I76" s="16" t="s">
        <v>333</v>
      </c>
      <c r="J76" s="48">
        <v>0</v>
      </c>
      <c r="K76" s="16">
        <v>46997</v>
      </c>
      <c r="L76" s="49" t="s">
        <v>333</v>
      </c>
      <c r="M76" s="15" t="s">
        <v>297</v>
      </c>
      <c r="N76" s="20" t="str">
        <f ca="1">_xll.meLWOBondCreateFromGeneratorLVB(C76,$N$4,_xll.meUtilityLVBFromKeysValues($C$6:$M$6,C76:M76))</f>
        <v>IT0004534357:1</v>
      </c>
      <c r="O76" s="92">
        <f ca="1">_xll.BDP($B76,$O$5)</f>
        <v>3.6947710771016107</v>
      </c>
      <c r="P76" s="89">
        <f ca="1">_xll.meLWOBondCleanPrice($N76,$C$4,$O76%)</f>
        <v>69.892771404202449</v>
      </c>
      <c r="Q76" s="89">
        <f ca="1">_xll.meLWOBondDirtyPrice($N76,$C$4,$O76%)</f>
        <v>69.892771404202449</v>
      </c>
      <c r="R76" s="72">
        <f ca="1">_xll.meLWOBondYield($N76,$C$4,P76)</f>
        <v>3.6947710771016107E-2</v>
      </c>
      <c r="S76" s="89">
        <f ca="1">_xll.meLWOBondModifiedDuration($N76,$C$4,$O76%)</f>
        <v>9.6954405797949992</v>
      </c>
      <c r="T76" s="23">
        <f ca="1">_xll.meLWOBondDV01($N76,$C$4,$O76%)</f>
        <v>677.64121210663995</v>
      </c>
      <c r="U76" s="85">
        <f t="shared" ca="1" si="10"/>
        <v>3.6947710771016107</v>
      </c>
      <c r="V76" s="22" t="str">
        <f ca="1">_xll.BDP($B76,V$6, "YAS_BOND_YLD="&amp;U76,"YAS_YLD_CONV=1")</f>
        <v>#N/A Requesting Data...</v>
      </c>
      <c r="W76" s="89">
        <f t="shared" ca="1" si="11"/>
        <v>69.892771404202449</v>
      </c>
      <c r="X76" s="24" t="e">
        <f t="shared" ca="1" si="7"/>
        <v>#VALUE!</v>
      </c>
      <c r="Y76" s="23">
        <f ca="1">_xll.meLWOBondDV01($N76,$C$4,$U76%)</f>
        <v>677.64121210663995</v>
      </c>
      <c r="Z76" s="22" t="e">
        <f ca="1">_xll.BDP($B76,Z$6, "YLD_YTM_ASK="&amp;$U76,"YAS_YLD_CONV=33")*$Z$3*0.0001</f>
        <v>#VALUE!</v>
      </c>
      <c r="AA76" s="24" t="e">
        <f t="shared" ca="1" si="8"/>
        <v>#VALUE!</v>
      </c>
      <c r="AB76" s="23">
        <f ca="1">_xll.meLWOBondModifiedDuration($N76,$C$4,$U76%)</f>
        <v>9.6954405797949992</v>
      </c>
      <c r="AC76" s="23" t="str">
        <f ca="1">_xll.BDP($B76,AC$6, "YLD_YTM_ASK="&amp;$U76,"YAS_YLD_CONV=1")</f>
        <v>#N/A Requesting Data...</v>
      </c>
      <c r="AD76" s="22" t="e">
        <f t="shared" ca="1" si="9"/>
        <v>#VALUE!</v>
      </c>
      <c r="AE76" s="24">
        <f ca="1">_xll.meLWOBondDV01Numerical($N76,$C$4,$U76%, 0.5, "CENTRAL")</f>
        <v>665.46522587017876</v>
      </c>
    </row>
    <row r="77" spans="2:31">
      <c r="B77" s="15" t="s">
        <v>422</v>
      </c>
      <c r="C77" s="15" t="s">
        <v>423</v>
      </c>
      <c r="D77" s="15" t="s">
        <v>423</v>
      </c>
      <c r="E77" s="16">
        <v>36117</v>
      </c>
      <c r="F77" s="16" t="s">
        <v>333</v>
      </c>
      <c r="G77" s="19" t="str">
        <f t="shared" si="6"/>
        <v/>
      </c>
      <c r="H77" s="16" t="s">
        <v>333</v>
      </c>
      <c r="I77" s="16" t="s">
        <v>333</v>
      </c>
      <c r="J77" s="48">
        <v>0</v>
      </c>
      <c r="K77" s="16">
        <v>47058</v>
      </c>
      <c r="L77" s="49" t="s">
        <v>333</v>
      </c>
      <c r="M77" s="15" t="s">
        <v>297</v>
      </c>
      <c r="N77" s="20" t="str">
        <f ca="1">_xll.meLWOBondCreateFromGeneratorLVB(C77,$N$4,_xll.meUtilityLVBFromKeysValues($C$6:$M$6,C77:M77))</f>
        <v>IT0001312799:1</v>
      </c>
      <c r="O77" s="92">
        <f ca="1">_xll.BDP($B77,$O$5)</f>
        <v>3.6603000209780578</v>
      </c>
      <c r="P77" s="89">
        <f ca="1">_xll.meLWOBondCleanPrice($N77,$C$4,$O77%)</f>
        <v>69.699835718377329</v>
      </c>
      <c r="Q77" s="89">
        <f ca="1">_xll.meLWOBondDirtyPrice($N77,$C$4,$O77%)</f>
        <v>69.699835718377329</v>
      </c>
      <c r="R77" s="72">
        <f ca="1">_xll.meLWOBondYield($N77,$C$4,P77)</f>
        <v>3.6603000209780578E-2</v>
      </c>
      <c r="S77" s="89">
        <f ca="1">_xll.meLWOBondModifiedDuration($N77,$C$4,$O77%)</f>
        <v>9.8618954326560839</v>
      </c>
      <c r="T77" s="23">
        <f ca="1">_xll.meLWOBondDV01($N77,$C$4,$O77%)</f>
        <v>687.37249152794482</v>
      </c>
      <c r="U77" s="85">
        <f t="shared" ca="1" si="10"/>
        <v>3.6603000209780578</v>
      </c>
      <c r="V77" s="22" t="str">
        <f ca="1">_xll.BDP($B77,V$6, "YAS_BOND_YLD="&amp;U77,"YAS_YLD_CONV=1")</f>
        <v>#N/A Requesting Data...</v>
      </c>
      <c r="W77" s="89">
        <f t="shared" ca="1" si="11"/>
        <v>69.699835718377329</v>
      </c>
      <c r="X77" s="24" t="e">
        <f t="shared" ca="1" si="7"/>
        <v>#VALUE!</v>
      </c>
      <c r="Y77" s="23">
        <f ca="1">_xll.meLWOBondDV01($N77,$C$4,$U77%)</f>
        <v>687.37249152794482</v>
      </c>
      <c r="Z77" s="22" t="e">
        <f ca="1">_xll.BDP($B77,Z$6, "YLD_YTM_ASK="&amp;$U77,"YAS_YLD_CONV=33")*$Z$3*0.0001</f>
        <v>#VALUE!</v>
      </c>
      <c r="AA77" s="24" t="e">
        <f t="shared" ca="1" si="8"/>
        <v>#VALUE!</v>
      </c>
      <c r="AB77" s="23">
        <f ca="1">_xll.meLWOBondModifiedDuration($N77,$C$4,$U77%)</f>
        <v>9.8618954326560839</v>
      </c>
      <c r="AC77" s="23" t="str">
        <f ca="1">_xll.BDP($B77,AC$6, "YLD_YTM_ASK="&amp;$U77,"YAS_YLD_CONV=1")</f>
        <v>#N/A Requesting Data...</v>
      </c>
      <c r="AD77" s="22" t="e">
        <f t="shared" ca="1" si="9"/>
        <v>#VALUE!</v>
      </c>
      <c r="AE77" s="24">
        <f ca="1">_xll.meLWOBondDV01Numerical($N77,$C$4,$U77%, 0.5, "CENTRAL")</f>
        <v>675.15895720035246</v>
      </c>
    </row>
    <row r="78" spans="2:31">
      <c r="B78" s="15" t="s">
        <v>430</v>
      </c>
      <c r="C78" s="15" t="s">
        <v>431</v>
      </c>
      <c r="D78" s="15" t="s">
        <v>431</v>
      </c>
      <c r="E78" s="16">
        <v>37333</v>
      </c>
      <c r="F78" s="16" t="s">
        <v>333</v>
      </c>
      <c r="G78" s="19" t="str">
        <f t="shared" si="6"/>
        <v/>
      </c>
      <c r="H78" s="16" t="s">
        <v>333</v>
      </c>
      <c r="I78" s="16" t="s">
        <v>333</v>
      </c>
      <c r="J78" s="48">
        <v>0</v>
      </c>
      <c r="K78" s="16">
        <v>47150</v>
      </c>
      <c r="L78" s="49" t="s">
        <v>333</v>
      </c>
      <c r="M78" s="15" t="s">
        <v>297</v>
      </c>
      <c r="N78" s="20" t="str">
        <f ca="1">_xll.meLWOBondCreateFromGeneratorLVB(C78,$N$4,_xll.meUtilityLVBFromKeysValues($C$6:$M$6,C78:M78))</f>
        <v>IT0003268924:1</v>
      </c>
      <c r="O78" s="92">
        <f ca="1">_xll.BDP($B78,$O$5)</f>
        <v>3.681671447992696</v>
      </c>
      <c r="P78" s="89">
        <f ca="1">_xll.meLWOBondCleanPrice($N78,$C$4,$O78%)</f>
        <v>68.930887522466904</v>
      </c>
      <c r="Q78" s="89">
        <f ca="1">_xll.meLWOBondDirtyPrice($N78,$C$4,$O78%)</f>
        <v>68.930887522466904</v>
      </c>
      <c r="R78" s="72">
        <f ca="1">_xll.meLWOBondYield($N78,$C$4,P78)</f>
        <v>3.681671447992696E-2</v>
      </c>
      <c r="S78" s="89">
        <f ca="1">_xll.meLWOBondModifiedDuration($N78,$C$4,$O78%)</f>
        <v>10.106400195525255</v>
      </c>
      <c r="T78" s="23">
        <f ca="1">_xll.meLWOBondDV01($N78,$C$4,$O78%)</f>
        <v>696.64313513478885</v>
      </c>
      <c r="U78" s="85">
        <f t="shared" ca="1" si="10"/>
        <v>3.681671447992696</v>
      </c>
      <c r="V78" s="22" t="str">
        <f ca="1">_xll.BDP($B78,V$6, "YAS_BOND_YLD="&amp;U78,"YAS_YLD_CONV=1")</f>
        <v>#N/A Requesting Data...</v>
      </c>
      <c r="W78" s="89">
        <f t="shared" ca="1" si="11"/>
        <v>68.930887522466904</v>
      </c>
      <c r="X78" s="24" t="e">
        <f t="shared" ca="1" si="7"/>
        <v>#VALUE!</v>
      </c>
      <c r="Y78" s="23">
        <f ca="1">_xll.meLWOBondDV01($N78,$C$4,$U78%)</f>
        <v>696.64313513478885</v>
      </c>
      <c r="Z78" s="22" t="e">
        <f ca="1">_xll.BDP($B78,Z$6, "YLD_YTM_ASK="&amp;$U78,"YAS_YLD_CONV=33")*$Z$3*0.0001</f>
        <v>#VALUE!</v>
      </c>
      <c r="AA78" s="24" t="e">
        <f t="shared" ca="1" si="8"/>
        <v>#VALUE!</v>
      </c>
      <c r="AB78" s="23">
        <f ca="1">_xll.meLWOBondModifiedDuration($N78,$C$4,$U78%)</f>
        <v>10.106400195525255</v>
      </c>
      <c r="AC78" s="23" t="str">
        <f ca="1">_xll.BDP($B78,AC$6, "YLD_YTM_ASK="&amp;$U78,"YAS_YLD_CONV=1")</f>
        <v>#N/A Requesting Data...</v>
      </c>
      <c r="AD78" s="22" t="e">
        <f t="shared" ca="1" si="9"/>
        <v>#VALUE!</v>
      </c>
      <c r="AE78" s="24">
        <f ca="1">_xll.meLWOBondDV01Numerical($N78,$C$4,$U78%, 0.5, "CENTRAL")</f>
        <v>684.16568993328053</v>
      </c>
    </row>
    <row r="79" spans="2:31">
      <c r="B79" s="15" t="s">
        <v>418</v>
      </c>
      <c r="C79" s="15" t="s">
        <v>419</v>
      </c>
      <c r="D79" s="15" t="s">
        <v>419</v>
      </c>
      <c r="E79" s="16">
        <v>41416</v>
      </c>
      <c r="F79" s="16" t="s">
        <v>333</v>
      </c>
      <c r="G79" s="19" t="str">
        <f t="shared" si="6"/>
        <v/>
      </c>
      <c r="H79" s="16" t="s">
        <v>333</v>
      </c>
      <c r="I79" s="16" t="s">
        <v>333</v>
      </c>
      <c r="J79" s="48">
        <v>0</v>
      </c>
      <c r="K79" s="16">
        <v>47178</v>
      </c>
      <c r="L79" s="49" t="s">
        <v>333</v>
      </c>
      <c r="M79" s="15" t="s">
        <v>297</v>
      </c>
      <c r="N79" s="20" t="str">
        <f ca="1">_xll.meLWOBondCreateFromGeneratorLVB(C79,$N$4,_xll.meUtilityLVBFromKeysValues($C$6:$M$6,C79:M79))</f>
        <v>IT0004976533:1</v>
      </c>
      <c r="O79" s="92">
        <f ca="1">_xll.BDP($B79,$O$5)</f>
        <v>3.7401097252337978</v>
      </c>
      <c r="P79" s="89">
        <f ca="1">_xll.meLWOBondCleanPrice($N79,$C$4,$O79%)</f>
        <v>68.325773756974556</v>
      </c>
      <c r="Q79" s="89">
        <f ca="1">_xll.meLWOBondDirtyPrice($N79,$C$4,$O79%)</f>
        <v>68.325773756974556</v>
      </c>
      <c r="R79" s="72">
        <f ca="1">_xll.meLWOBondYield($N79,$C$4,P79)</f>
        <v>3.7401097252337978E-2</v>
      </c>
      <c r="S79" s="89">
        <f ca="1">_xll.meLWOBondModifiedDuration($N79,$C$4,$O79%)</f>
        <v>10.184225789958438</v>
      </c>
      <c r="T79" s="23">
        <f ca="1">_xll.meLWOBondDV01($N79,$C$4,$O79%)</f>
        <v>695.84510721464574</v>
      </c>
      <c r="U79" s="85">
        <f t="shared" ca="1" si="10"/>
        <v>3.7401097252337978</v>
      </c>
      <c r="V79" s="22" t="str">
        <f ca="1">_xll.BDP($B79,V$6, "YAS_BOND_YLD="&amp;U79,"YAS_YLD_CONV=1")</f>
        <v>#N/A Requesting Data...</v>
      </c>
      <c r="W79" s="89">
        <f t="shared" ca="1" si="11"/>
        <v>68.325773756974556</v>
      </c>
      <c r="X79" s="24" t="e">
        <f t="shared" ca="1" si="7"/>
        <v>#VALUE!</v>
      </c>
      <c r="Y79" s="23">
        <f ca="1">_xll.meLWOBondDV01($N79,$C$4,$U79%)</f>
        <v>695.84510721464574</v>
      </c>
      <c r="Z79" s="22" t="e">
        <f ca="1">_xll.BDP($B79,Z$6, "YLD_YTM_ASK="&amp;$U79,"YAS_YLD_CONV=33")*$Z$3*0.0001</f>
        <v>#VALUE!</v>
      </c>
      <c r="AA79" s="24" t="e">
        <f t="shared" ca="1" si="8"/>
        <v>#VALUE!</v>
      </c>
      <c r="AB79" s="23">
        <f ca="1">_xll.meLWOBondModifiedDuration($N79,$C$4,$U79%)</f>
        <v>10.184225789958438</v>
      </c>
      <c r="AC79" s="23" t="str">
        <f ca="1">_xll.BDP($B79,AC$6, "YLD_YTM_ASK="&amp;$U79,"YAS_YLD_CONV=1")</f>
        <v>#N/A Requesting Data...</v>
      </c>
      <c r="AD79" s="22" t="e">
        <f t="shared" ca="1" si="9"/>
        <v>#VALUE!</v>
      </c>
      <c r="AE79" s="24">
        <f ca="1">_xll.meLWOBondDV01Numerical($N79,$C$4,$U79%, 0.5, "CENTRAL")</f>
        <v>683.19239205578697</v>
      </c>
    </row>
    <row r="80" spans="2:31">
      <c r="B80" s="15" t="s">
        <v>680</v>
      </c>
      <c r="C80" s="15" t="s">
        <v>681</v>
      </c>
      <c r="D80" s="15" t="s">
        <v>681</v>
      </c>
      <c r="E80" s="16">
        <v>40072</v>
      </c>
      <c r="F80" s="16" t="s">
        <v>333</v>
      </c>
      <c r="G80" s="19" t="str">
        <f t="shared" si="6"/>
        <v/>
      </c>
      <c r="H80" s="16" t="s">
        <v>333</v>
      </c>
      <c r="I80" s="16" t="s">
        <v>333</v>
      </c>
      <c r="J80" s="48">
        <v>0</v>
      </c>
      <c r="K80" s="16">
        <v>47178</v>
      </c>
      <c r="L80" s="49" t="s">
        <v>333</v>
      </c>
      <c r="M80" s="15" t="s">
        <v>297</v>
      </c>
      <c r="N80" s="20" t="str">
        <f ca="1">_xll.meLWOBondCreateFromGeneratorLVB(C80,$N$4,_xll.meUtilityLVBFromKeysValues($C$6:$M$6,C80:M80))</f>
        <v>IT0004534365:1</v>
      </c>
      <c r="O80" s="92">
        <f ca="1">_xll.BDP($B80,$O$5)</f>
        <v>3.7310391448373892</v>
      </c>
      <c r="P80" s="89">
        <f ca="1">_xll.meLWOBondCleanPrice($N80,$C$4,$O80%)</f>
        <v>68.387774091350053</v>
      </c>
      <c r="Q80" s="89">
        <f ca="1">_xll.meLWOBondDirtyPrice($N80,$C$4,$O80%)</f>
        <v>68.387774091350053</v>
      </c>
      <c r="R80" s="72">
        <f ca="1">_xll.meLWOBondYield($N80,$C$4,P80)</f>
        <v>3.7310391448373892E-2</v>
      </c>
      <c r="S80" s="89">
        <f ca="1">_xll.meLWOBondModifiedDuration($N80,$C$4,$O80%)</f>
        <v>10.184671051185068</v>
      </c>
      <c r="T80" s="23">
        <f ca="1">_xll.meLWOBondDV01($N80,$C$4,$O80%)</f>
        <v>696.50698304315711</v>
      </c>
      <c r="U80" s="85">
        <f t="shared" ca="1" si="10"/>
        <v>3.7310391448373892</v>
      </c>
      <c r="V80" s="22" t="str">
        <f ca="1">_xll.BDP($B80,V$6, "YAS_BOND_YLD="&amp;U80,"YAS_YLD_CONV=1")</f>
        <v>#N/A Requesting Data...</v>
      </c>
      <c r="W80" s="89">
        <f t="shared" ca="1" si="11"/>
        <v>68.387774091350053</v>
      </c>
      <c r="X80" s="24" t="e">
        <f t="shared" ca="1" si="7"/>
        <v>#VALUE!</v>
      </c>
      <c r="Y80" s="23">
        <f ca="1">_xll.meLWOBondDV01($N80,$C$4,$U80%)</f>
        <v>696.50698304315711</v>
      </c>
      <c r="Z80" s="22" t="e">
        <f ca="1">_xll.BDP($B80,Z$6, "YLD_YTM_ASK="&amp;$U80,"YAS_YLD_CONV=33")*$Z$3*0.0001</f>
        <v>#VALUE!</v>
      </c>
      <c r="AA80" s="24" t="e">
        <f t="shared" ca="1" si="8"/>
        <v>#VALUE!</v>
      </c>
      <c r="AB80" s="23">
        <f ca="1">_xll.meLWOBondModifiedDuration($N80,$C$4,$U80%)</f>
        <v>10.184671051185068</v>
      </c>
      <c r="AC80" s="23" t="str">
        <f ca="1">_xll.BDP($B80,AC$6, "YLD_YTM_ASK="&amp;$U80,"YAS_YLD_CONV=1")</f>
        <v>#N/A Requesting Data...</v>
      </c>
      <c r="AD80" s="22" t="e">
        <f t="shared" ca="1" si="9"/>
        <v>#VALUE!</v>
      </c>
      <c r="AE80" s="24">
        <f ca="1">_xll.meLWOBondDV01Numerical($N80,$C$4,$U80%, 0.5, "CENTRAL")</f>
        <v>683.87213089110332</v>
      </c>
    </row>
    <row r="81" spans="2:31">
      <c r="B81" s="15" t="s">
        <v>448</v>
      </c>
      <c r="C81" s="15" t="s">
        <v>449</v>
      </c>
      <c r="D81" s="15" t="s">
        <v>449</v>
      </c>
      <c r="E81" s="16">
        <v>36117</v>
      </c>
      <c r="F81" s="16" t="s">
        <v>333</v>
      </c>
      <c r="G81" s="19" t="str">
        <f t="shared" si="6"/>
        <v/>
      </c>
      <c r="H81" s="16" t="s">
        <v>333</v>
      </c>
      <c r="I81" s="16" t="s">
        <v>333</v>
      </c>
      <c r="J81" s="48">
        <v>0</v>
      </c>
      <c r="K81" s="16">
        <v>47239</v>
      </c>
      <c r="L81" s="49" t="s">
        <v>333</v>
      </c>
      <c r="M81" s="15" t="s">
        <v>297</v>
      </c>
      <c r="N81" s="20" t="str">
        <f ca="1">_xll.meLWOBondCreateFromGeneratorLVB(C81,$N$4,_xll.meUtilityLVBFromKeysValues($C$6:$M$6,C81:M81))</f>
        <v>IT0001312807:1</v>
      </c>
      <c r="O81" s="92">
        <f ca="1">_xll.BDP($B81,$O$5)</f>
        <v>3.7202001647654637</v>
      </c>
      <c r="P81" s="89">
        <f ca="1">_xll.meLWOBondCleanPrice($N81,$C$4,$O81%)</f>
        <v>68.035733231916012</v>
      </c>
      <c r="Q81" s="89">
        <f ca="1">_xll.meLWOBondDirtyPrice($N81,$C$4,$O81%)</f>
        <v>68.035733231916012</v>
      </c>
      <c r="R81" s="72">
        <f ca="1">_xll.meLWOBondYield($N81,$C$4,P81)</f>
        <v>3.7202001647654637E-2</v>
      </c>
      <c r="S81" s="89">
        <f ca="1">_xll.meLWOBondModifiedDuration($N81,$C$4,$O81%)</f>
        <v>10.34999852296108</v>
      </c>
      <c r="T81" s="23">
        <f ca="1">_xll.meLWOBondDV01($N81,$C$4,$O81%)</f>
        <v>704.16973845890482</v>
      </c>
      <c r="U81" s="85">
        <f t="shared" ca="1" si="10"/>
        <v>3.7202001647654637</v>
      </c>
      <c r="V81" s="22" t="str">
        <f ca="1">_xll.BDP($B81,V$6, "YAS_BOND_YLD="&amp;U81,"YAS_YLD_CONV=1")</f>
        <v>#N/A Requesting Data...</v>
      </c>
      <c r="W81" s="89">
        <f t="shared" ca="1" si="11"/>
        <v>68.035733231916012</v>
      </c>
      <c r="X81" s="24" t="e">
        <f t="shared" ca="1" si="7"/>
        <v>#VALUE!</v>
      </c>
      <c r="Y81" s="23">
        <f ca="1">_xll.meLWOBondDV01($N81,$C$4,$U81%)</f>
        <v>704.16973845890482</v>
      </c>
      <c r="Z81" s="22" t="e">
        <f ca="1">_xll.BDP($B81,Z$6, "YLD_YTM_ASK="&amp;$U81,"YAS_YLD_CONV=33")*$Z$3*0.0001</f>
        <v>#VALUE!</v>
      </c>
      <c r="AA81" s="24" t="e">
        <f t="shared" ca="1" si="8"/>
        <v>#VALUE!</v>
      </c>
      <c r="AB81" s="23">
        <f ca="1">_xll.meLWOBondModifiedDuration($N81,$C$4,$U81%)</f>
        <v>10.34999852296108</v>
      </c>
      <c r="AC81" s="23" t="str">
        <f ca="1">_xll.BDP($B81,AC$6, "YLD_YTM_ASK="&amp;$U81,"YAS_YLD_CONV=1")</f>
        <v>#N/A Requesting Data...</v>
      </c>
      <c r="AD81" s="22" t="e">
        <f t="shared" ca="1" si="9"/>
        <v>#VALUE!</v>
      </c>
      <c r="AE81" s="24">
        <f ca="1">_xll.meLWOBondDV01Numerical($N81,$C$4,$U81%, 0.5, "CENTRAL")</f>
        <v>691.63768104147039</v>
      </c>
    </row>
    <row r="82" spans="2:31">
      <c r="B82" s="15" t="s">
        <v>454</v>
      </c>
      <c r="C82" s="15" t="s">
        <v>455</v>
      </c>
      <c r="D82" s="15" t="s">
        <v>455</v>
      </c>
      <c r="E82" s="16">
        <v>37333</v>
      </c>
      <c r="F82" s="16" t="s">
        <v>333</v>
      </c>
      <c r="G82" s="19" t="str">
        <f t="shared" si="6"/>
        <v/>
      </c>
      <c r="H82" s="16" t="s">
        <v>333</v>
      </c>
      <c r="I82" s="16" t="s">
        <v>333</v>
      </c>
      <c r="J82" s="48">
        <v>0</v>
      </c>
      <c r="K82" s="16">
        <v>47331</v>
      </c>
      <c r="L82" s="49" t="s">
        <v>333</v>
      </c>
      <c r="M82" s="15" t="s">
        <v>297</v>
      </c>
      <c r="N82" s="20" t="str">
        <f ca="1">_xll.meLWOBondCreateFromGeneratorLVB(C82,$N$4,_xll.meUtilityLVBFromKeysValues($C$6:$M$6,C82:M82))</f>
        <v>IT0003268932:1</v>
      </c>
      <c r="O82" s="92">
        <f ca="1">_xll.BDP($B82,$O$5)</f>
        <v>3.751937582606546</v>
      </c>
      <c r="P82" s="89">
        <f ca="1">_xll.meLWOBondCleanPrice($N82,$C$4,$O82%)</f>
        <v>67.202888182666797</v>
      </c>
      <c r="Q82" s="89">
        <f ca="1">_xll.meLWOBondDirtyPrice($N82,$C$4,$O82%)</f>
        <v>67.202888182666797</v>
      </c>
      <c r="R82" s="72">
        <f ca="1">_xll.meLWOBondYield($N82,$C$4,P82)</f>
        <v>3.751937582606546E-2</v>
      </c>
      <c r="S82" s="89">
        <f ca="1">_xll.meLWOBondModifiedDuration($N82,$C$4,$O82%)</f>
        <v>10.593853439574254</v>
      </c>
      <c r="T82" s="23">
        <f ca="1">_xll.meLWOBondDV01($N82,$C$4,$O82%)</f>
        <v>711.93754812326858</v>
      </c>
      <c r="U82" s="85">
        <f t="shared" ca="1" si="10"/>
        <v>3.751937582606546</v>
      </c>
      <c r="V82" s="22" t="str">
        <f ca="1">_xll.BDP($B82,V$6, "YAS_BOND_YLD="&amp;U82,"YAS_YLD_CONV=1")</f>
        <v>#N/A Requesting Data...</v>
      </c>
      <c r="W82" s="89">
        <f t="shared" ca="1" si="11"/>
        <v>67.202888182666797</v>
      </c>
      <c r="X82" s="24" t="e">
        <f t="shared" ca="1" si="7"/>
        <v>#VALUE!</v>
      </c>
      <c r="Y82" s="23">
        <f ca="1">_xll.meLWOBondDV01($N82,$C$4,$U82%)</f>
        <v>711.93754812326858</v>
      </c>
      <c r="Z82" s="22" t="e">
        <f ca="1">_xll.BDP($B82,Z$6, "YLD_YTM_ASK="&amp;$U82,"YAS_YLD_CONV=33")*$Z$3*0.0001</f>
        <v>#VALUE!</v>
      </c>
      <c r="AA82" s="24" t="e">
        <f t="shared" ca="1" si="8"/>
        <v>#VALUE!</v>
      </c>
      <c r="AB82" s="23">
        <f ca="1">_xll.meLWOBondModifiedDuration($N82,$C$4,$U82%)</f>
        <v>10.593853439574254</v>
      </c>
      <c r="AC82" s="23" t="str">
        <f ca="1">_xll.BDP($B82,AC$6, "YLD_YTM_ASK="&amp;$U82,"YAS_YLD_CONV=1")</f>
        <v>#N/A Requesting Data...</v>
      </c>
      <c r="AD82" s="22" t="e">
        <f t="shared" ca="1" si="9"/>
        <v>#VALUE!</v>
      </c>
      <c r="AE82" s="24">
        <f ca="1">_xll.meLWOBondDV01Numerical($N82,$C$4,$U82%, 0.5, "CENTRAL")</f>
        <v>698.94922653489289</v>
      </c>
    </row>
    <row r="83" spans="2:31">
      <c r="B83" s="15" t="s">
        <v>668</v>
      </c>
      <c r="C83" s="15" t="s">
        <v>669</v>
      </c>
      <c r="D83" s="15" t="s">
        <v>669</v>
      </c>
      <c r="E83" s="16">
        <v>41416</v>
      </c>
      <c r="F83" s="16" t="s">
        <v>333</v>
      </c>
      <c r="G83" s="19" t="str">
        <f t="shared" si="6"/>
        <v/>
      </c>
      <c r="H83" s="16" t="s">
        <v>333</v>
      </c>
      <c r="I83" s="16" t="s">
        <v>333</v>
      </c>
      <c r="J83" s="48">
        <v>0</v>
      </c>
      <c r="K83" s="16">
        <v>47362</v>
      </c>
      <c r="L83" s="49" t="s">
        <v>333</v>
      </c>
      <c r="M83" s="15" t="s">
        <v>297</v>
      </c>
      <c r="N83" s="20" t="str">
        <f ca="1">_xll.meLWOBondCreateFromGeneratorLVB(C83,$N$4,_xll.meUtilityLVBFromKeysValues($C$6:$M$6,C83:M83))</f>
        <v>IT0004976541:1</v>
      </c>
      <c r="O83" s="92">
        <f ca="1">_xll.BDP($B83,$O$5)</f>
        <v>3.7963711114056498</v>
      </c>
      <c r="P83" s="89">
        <f ca="1">_xll.meLWOBondCleanPrice($N83,$C$4,$O83%)</f>
        <v>66.67499964435217</v>
      </c>
      <c r="Q83" s="89">
        <f ca="1">_xll.meLWOBondDirtyPrice($N83,$C$4,$O83%)</f>
        <v>66.67499964435217</v>
      </c>
      <c r="R83" s="72">
        <f ca="1">_xll.meLWOBondYield($N83,$C$4,P83)</f>
        <v>3.7963711114056498E-2</v>
      </c>
      <c r="S83" s="89">
        <f ca="1">_xll.meLWOBondModifiedDuration($N83,$C$4,$O83%)</f>
        <v>10.67223633728368</v>
      </c>
      <c r="T83" s="23">
        <f ca="1">_xll.meLWOBondDV01($N83,$C$4,$O83%)</f>
        <v>711.57135399283163</v>
      </c>
      <c r="U83" s="85">
        <f t="shared" ca="1" si="10"/>
        <v>3.7963711114056498</v>
      </c>
      <c r="V83" s="22" t="str">
        <f ca="1">_xll.BDP($B83,V$6, "YAS_BOND_YLD="&amp;U83,"YAS_YLD_CONV=1")</f>
        <v>#N/A Requesting Data...</v>
      </c>
      <c r="W83" s="89">
        <f t="shared" ca="1" si="11"/>
        <v>66.67499964435217</v>
      </c>
      <c r="X83" s="24" t="e">
        <f t="shared" ca="1" si="7"/>
        <v>#VALUE!</v>
      </c>
      <c r="Y83" s="23">
        <f ca="1">_xll.meLWOBondDV01($N83,$C$4,$U83%)</f>
        <v>711.57135399283163</v>
      </c>
      <c r="Z83" s="22" t="e">
        <f ca="1">_xll.BDP($B83,Z$6, "YLD_YTM_ASK="&amp;$U83,"YAS_YLD_CONV=33")*$Z$3*0.0001</f>
        <v>#VALUE!</v>
      </c>
      <c r="AA83" s="24" t="e">
        <f t="shared" ca="1" si="8"/>
        <v>#VALUE!</v>
      </c>
      <c r="AB83" s="23">
        <f ca="1">_xll.meLWOBondModifiedDuration($N83,$C$4,$U83%)</f>
        <v>10.67223633728368</v>
      </c>
      <c r="AC83" s="23" t="str">
        <f ca="1">_xll.BDP($B83,AC$6, "YLD_YTM_ASK="&amp;$U83,"YAS_YLD_CONV=1")</f>
        <v>#N/A Requesting Data...</v>
      </c>
      <c r="AD83" s="22" t="e">
        <f t="shared" ca="1" si="9"/>
        <v>#VALUE!</v>
      </c>
      <c r="AE83" s="24">
        <f ca="1">_xll.meLWOBondDV01Numerical($N83,$C$4,$U83%, 0.5, "CENTRAL")</f>
        <v>698.79215201240186</v>
      </c>
    </row>
    <row r="84" spans="2:31">
      <c r="B84" s="15" t="s">
        <v>682</v>
      </c>
      <c r="C84" s="15" t="s">
        <v>683</v>
      </c>
      <c r="D84" s="15" t="s">
        <v>683</v>
      </c>
      <c r="E84" s="16">
        <v>40072</v>
      </c>
      <c r="F84" s="16" t="s">
        <v>333</v>
      </c>
      <c r="G84" s="19" t="str">
        <f t="shared" si="6"/>
        <v/>
      </c>
      <c r="H84" s="16" t="s">
        <v>333</v>
      </c>
      <c r="I84" s="16" t="s">
        <v>333</v>
      </c>
      <c r="J84" s="48">
        <v>0</v>
      </c>
      <c r="K84" s="16">
        <v>47362</v>
      </c>
      <c r="L84" s="49" t="s">
        <v>333</v>
      </c>
      <c r="M84" s="15" t="s">
        <v>297</v>
      </c>
      <c r="N84" s="20" t="str">
        <f ca="1">_xll.meLWOBondCreateFromGeneratorLVB(C84,$N$4,_xll.meUtilityLVBFromKeysValues($C$6:$M$6,C84:M84))</f>
        <v>IT0004534373:1</v>
      </c>
      <c r="O84" s="92">
        <f ca="1">_xll.BDP($B84,$O$5)</f>
        <v>3.766513432618912</v>
      </c>
      <c r="P84" s="89">
        <f ca="1">_xll.meLWOBondCleanPrice($N84,$C$4,$O84%)</f>
        <v>66.883999646287123</v>
      </c>
      <c r="Q84" s="89">
        <f ca="1">_xll.meLWOBondDirtyPrice($N84,$C$4,$O84%)</f>
        <v>66.883999646287123</v>
      </c>
      <c r="R84" s="72">
        <f ca="1">_xll.meLWOBondYield($N84,$C$4,P84)</f>
        <v>3.766513432618912E-2</v>
      </c>
      <c r="S84" s="89">
        <f ca="1">_xll.meLWOBondModifiedDuration($N84,$C$4,$O84%)</f>
        <v>10.673771636463389</v>
      </c>
      <c r="T84" s="23">
        <f ca="1">_xll.meLWOBondDV01($N84,$C$4,$O84%)</f>
        <v>713.9045383577668</v>
      </c>
      <c r="U84" s="85">
        <f t="shared" ca="1" si="10"/>
        <v>3.766513432618912</v>
      </c>
      <c r="V84" s="22" t="str">
        <f ca="1">_xll.BDP($B84,V$6, "YAS_BOND_YLD="&amp;U84,"YAS_YLD_CONV=1")</f>
        <v>#N/A Requesting Data...</v>
      </c>
      <c r="W84" s="89">
        <f t="shared" ca="1" si="11"/>
        <v>66.883999646287123</v>
      </c>
      <c r="X84" s="24" t="e">
        <f t="shared" ca="1" si="7"/>
        <v>#VALUE!</v>
      </c>
      <c r="Y84" s="23">
        <f ca="1">_xll.meLWOBondDV01($N84,$C$4,$U84%)</f>
        <v>713.9045383577668</v>
      </c>
      <c r="Z84" s="22" t="e">
        <f ca="1">_xll.BDP($B84,Z$6, "YLD_YTM_ASK="&amp;$U84,"YAS_YLD_CONV=33")*$Z$3*0.0001</f>
        <v>#VALUE!</v>
      </c>
      <c r="AA84" s="24" t="e">
        <f t="shared" ca="1" si="8"/>
        <v>#VALUE!</v>
      </c>
      <c r="AB84" s="23">
        <f ca="1">_xll.meLWOBondModifiedDuration($N84,$C$4,$U84%)</f>
        <v>10.673771636463389</v>
      </c>
      <c r="AC84" s="23" t="str">
        <f ca="1">_xll.BDP($B84,AC$6, "YLD_YTM_ASK="&amp;$U84,"YAS_YLD_CONV=1")</f>
        <v>#N/A Requesting Data...</v>
      </c>
      <c r="AD84" s="22" t="e">
        <f t="shared" ca="1" si="9"/>
        <v>#VALUE!</v>
      </c>
      <c r="AE84" s="24">
        <f ca="1">_xll.meLWOBondDV01Numerical($N84,$C$4,$U84%, 0.5, "CENTRAL")</f>
        <v>701.18429172850949</v>
      </c>
    </row>
    <row r="85" spans="2:31">
      <c r="B85" s="15" t="s">
        <v>356</v>
      </c>
      <c r="C85" s="15" t="s">
        <v>357</v>
      </c>
      <c r="D85" s="15" t="s">
        <v>357</v>
      </c>
      <c r="E85" s="16">
        <v>36117</v>
      </c>
      <c r="F85" s="16">
        <v>36100</v>
      </c>
      <c r="G85" s="19" t="str">
        <f t="shared" si="6"/>
        <v/>
      </c>
      <c r="H85" s="16">
        <v>36281</v>
      </c>
      <c r="I85" s="16">
        <v>47239</v>
      </c>
      <c r="J85" s="48">
        <v>5.2499999999999998E-2</v>
      </c>
      <c r="K85" s="16">
        <v>47423</v>
      </c>
      <c r="L85" s="49">
        <v>99.7</v>
      </c>
      <c r="M85" s="15" t="s">
        <v>297</v>
      </c>
      <c r="N85" s="20" t="str">
        <f ca="1">_xll.meLWOBondCreateFromGeneratorLVB(C85,$N$4,_xll.meUtilityLVBFromKeysValues($C$6:$M$6,C85:M85))</f>
        <v>IT0001278511:1</v>
      </c>
      <c r="O85" s="92">
        <f ca="1">_xll.BDP($B85,$O$5)</f>
        <v>3.6187681567104724</v>
      </c>
      <c r="P85" s="89">
        <f ca="1">_xll.meLWOBondCleanPrice($N85,$C$4,$O85%)</f>
        <v>115.04731206631155</v>
      </c>
      <c r="Q85" s="89">
        <f ca="1">_xll.meLWOBondDirtyPrice($N85,$C$4,$O85%)</f>
        <v>117.45832206631155</v>
      </c>
      <c r="R85" s="72">
        <f ca="1">_xll.meLWOBondYield($N85,$C$4,P85)</f>
        <v>3.6187681567103613E-2</v>
      </c>
      <c r="S85" s="89">
        <f ca="1">_xll.meLWOBondModifiedDuration($N85,$C$4,$O85%)</f>
        <v>8.3870338277219965</v>
      </c>
      <c r="T85" s="23">
        <f ca="1">_xll.meLWOBondDV01($N85,$C$4,$O85%)</f>
        <v>985.12692051761996</v>
      </c>
      <c r="U85" s="85">
        <f t="shared" ca="1" si="10"/>
        <v>3.6187681567104724</v>
      </c>
      <c r="V85" s="22" t="str">
        <f ca="1">_xll.BDP($B85,V$6, "YAS_BOND_YLD="&amp;U85,"YAS_YLD_CONV=1")</f>
        <v>#N/A Requesting Data...</v>
      </c>
      <c r="W85" s="89">
        <f t="shared" ca="1" si="11"/>
        <v>115.04731206631155</v>
      </c>
      <c r="X85" s="24" t="e">
        <f t="shared" ca="1" si="7"/>
        <v>#VALUE!</v>
      </c>
      <c r="Y85" s="23">
        <f ca="1">_xll.meLWOBondDV01($N85,$C$4,$U85%)</f>
        <v>985.12692051761996</v>
      </c>
      <c r="Z85" s="22" t="e">
        <f ca="1">_xll.BDP($B85,Z$6, "YLD_YTM_ASK="&amp;$U85,"YAS_YLD_CONV=33")*$Z$3*0.0001</f>
        <v>#VALUE!</v>
      </c>
      <c r="AA85" s="24" t="e">
        <f t="shared" ca="1" si="8"/>
        <v>#VALUE!</v>
      </c>
      <c r="AB85" s="23">
        <f ca="1">_xll.meLWOBondModifiedDuration($N85,$C$4,$U85%)</f>
        <v>8.3870338277219965</v>
      </c>
      <c r="AC85" s="23" t="str">
        <f ca="1">_xll.BDP($B85,AC$6, "YLD_YTM_ASK="&amp;$U85,"YAS_YLD_CONV=1")</f>
        <v>#N/A Requesting Data...</v>
      </c>
      <c r="AD85" s="22" t="e">
        <f t="shared" ca="1" si="9"/>
        <v>#VALUE!</v>
      </c>
      <c r="AE85" s="24">
        <f ca="1">_xll.meLWOBondDV01Numerical($N85,$C$4,$U85%, 0.5, "CENTRAL")</f>
        <v>967.93785174497782</v>
      </c>
    </row>
    <row r="86" spans="2:31">
      <c r="B86" s="15" t="s">
        <v>394</v>
      </c>
      <c r="C86" s="15" t="s">
        <v>395</v>
      </c>
      <c r="D86" s="15" t="s">
        <v>395</v>
      </c>
      <c r="E86" s="16">
        <v>36117</v>
      </c>
      <c r="F86" s="16" t="s">
        <v>333</v>
      </c>
      <c r="G86" s="19" t="str">
        <f t="shared" si="6"/>
        <v/>
      </c>
      <c r="H86" s="16" t="s">
        <v>333</v>
      </c>
      <c r="I86" s="16" t="s">
        <v>333</v>
      </c>
      <c r="J86" s="48">
        <v>0</v>
      </c>
      <c r="K86" s="16">
        <v>47423</v>
      </c>
      <c r="L86" s="49" t="s">
        <v>333</v>
      </c>
      <c r="M86" s="15" t="s">
        <v>297</v>
      </c>
      <c r="N86" s="20" t="str">
        <f ca="1">_xll.meLWOBondCreateFromGeneratorLVB(C86,$N$4,_xll.meUtilityLVBFromKeysValues($C$6:$M$6,C86:M86))</f>
        <v>IT0004848484:1</v>
      </c>
      <c r="O86" s="92">
        <f ca="1">_xll.BDP($B86,$O$5)</f>
        <v>3.6836252461790897</v>
      </c>
      <c r="P86" s="89">
        <f ca="1">_xll.meLWOBondCleanPrice($N86,$C$4,$O86%)</f>
        <v>67.071763128627879</v>
      </c>
      <c r="Q86" s="89">
        <f ca="1">_xll.meLWOBondDirtyPrice($N86,$C$4,$O86%)</f>
        <v>67.071763128627879</v>
      </c>
      <c r="R86" s="72">
        <f ca="1">_xll.meLWOBondYield($N86,$C$4,P86)</f>
        <v>3.6836252461790897E-2</v>
      </c>
      <c r="S86" s="89">
        <f ca="1">_xll.meLWOBondModifiedDuration($N86,$C$4,$O86%)</f>
        <v>10.842861660086079</v>
      </c>
      <c r="T86" s="23">
        <f ca="1">_xll.meLWOBondDV01($N86,$C$4,$O86%)</f>
        <v>727.24984890177439</v>
      </c>
      <c r="U86" s="85">
        <f t="shared" ca="1" si="10"/>
        <v>3.6836252461790897</v>
      </c>
      <c r="V86" s="22" t="str">
        <f ca="1">_xll.BDP($B86,V$6, "YAS_BOND_YLD="&amp;U86,"YAS_YLD_CONV=1")</f>
        <v>#N/A Requesting Data...</v>
      </c>
      <c r="W86" s="89">
        <f t="shared" ca="1" si="11"/>
        <v>67.071763128627879</v>
      </c>
      <c r="X86" s="24" t="e">
        <f t="shared" ca="1" si="7"/>
        <v>#VALUE!</v>
      </c>
      <c r="Y86" s="23">
        <f ca="1">_xll.meLWOBondDV01($N86,$C$4,$U86%)</f>
        <v>727.24984890177439</v>
      </c>
      <c r="Z86" s="22" t="e">
        <f ca="1">_xll.BDP($B86,Z$6, "YLD_YTM_ASK="&amp;$U86,"YAS_YLD_CONV=33")*$Z$3*0.0001</f>
        <v>#VALUE!</v>
      </c>
      <c r="AA86" s="24" t="e">
        <f t="shared" ca="1" si="8"/>
        <v>#VALUE!</v>
      </c>
      <c r="AB86" s="23">
        <f ca="1">_xll.meLWOBondModifiedDuration($N86,$C$4,$U86%)</f>
        <v>10.842861660086079</v>
      </c>
      <c r="AC86" s="23" t="str">
        <f ca="1">_xll.BDP($B86,AC$6, "YLD_YTM_ASK="&amp;$U86,"YAS_YLD_CONV=1")</f>
        <v>#N/A Requesting Data...</v>
      </c>
      <c r="AD86" s="22" t="e">
        <f t="shared" ca="1" si="9"/>
        <v>#VALUE!</v>
      </c>
      <c r="AE86" s="24">
        <f ca="1">_xll.meLWOBondDV01Numerical($N86,$C$4,$U86%, 0.5, "CENTRAL")</f>
        <v>714.24732933422774</v>
      </c>
    </row>
    <row r="87" spans="2:31">
      <c r="B87" s="15" t="s">
        <v>626</v>
      </c>
      <c r="C87" s="15" t="s">
        <v>627</v>
      </c>
      <c r="D87" s="15" t="s">
        <v>627</v>
      </c>
      <c r="E87" s="16">
        <v>36117</v>
      </c>
      <c r="F87" s="16" t="s">
        <v>333</v>
      </c>
      <c r="G87" s="19" t="str">
        <f t="shared" si="6"/>
        <v/>
      </c>
      <c r="H87" s="16" t="s">
        <v>333</v>
      </c>
      <c r="I87" s="16" t="s">
        <v>333</v>
      </c>
      <c r="J87" s="48">
        <v>0</v>
      </c>
      <c r="K87" s="16">
        <v>47423</v>
      </c>
      <c r="L87" s="49" t="s">
        <v>333</v>
      </c>
      <c r="M87" s="15" t="s">
        <v>297</v>
      </c>
      <c r="N87" s="20" t="str">
        <f ca="1">_xll.meLWOBondCreateFromGeneratorLVB(C87,$N$4,_xll.meUtilityLVBFromKeysValues($C$6:$M$6,C87:M87))</f>
        <v>IT0001312773:1</v>
      </c>
      <c r="O87" s="92">
        <f ca="1">_xll.BDP($B87,$O$5)</f>
        <v>3.5876938960706539</v>
      </c>
      <c r="P87" s="89">
        <f ca="1">_xll.meLWOBondCleanPrice($N87,$C$4,$O87%)</f>
        <v>67.760782416114154</v>
      </c>
      <c r="Q87" s="89">
        <f ca="1">_xll.meLWOBondDirtyPrice($N87,$C$4,$O87%)</f>
        <v>67.760782416114154</v>
      </c>
      <c r="R87" s="72">
        <f ca="1">_xll.meLWOBondYield($N87,$C$4,P87)</f>
        <v>3.5876938960706539E-2</v>
      </c>
      <c r="S87" s="89">
        <f ca="1">_xll.meLWOBondModifiedDuration($N87,$C$4,$O87%)</f>
        <v>10.847881221812132</v>
      </c>
      <c r="T87" s="23">
        <f ca="1">_xll.meLWOBondDV01($N87,$C$4,$O87%)</f>
        <v>735.06091914706246</v>
      </c>
      <c r="U87" s="85">
        <f t="shared" ca="1" si="10"/>
        <v>3.5876938960706539</v>
      </c>
      <c r="V87" s="22" t="str">
        <f ca="1">_xll.BDP($B87,V$6, "YAS_BOND_YLD="&amp;U87,"YAS_YLD_CONV=1")</f>
        <v>#N/A Requesting Data...</v>
      </c>
      <c r="W87" s="89">
        <f t="shared" ca="1" si="11"/>
        <v>67.760782416114154</v>
      </c>
      <c r="X87" s="24" t="e">
        <f t="shared" ca="1" si="7"/>
        <v>#VALUE!</v>
      </c>
      <c r="Y87" s="23">
        <f ca="1">_xll.meLWOBondDV01($N87,$C$4,$U87%)</f>
        <v>735.06091914706246</v>
      </c>
      <c r="Z87" s="22" t="e">
        <f ca="1">_xll.BDP($B87,Z$6, "YLD_YTM_ASK="&amp;$U87,"YAS_YLD_CONV=33")*$Z$3*0.0001</f>
        <v>#VALUE!</v>
      </c>
      <c r="AA87" s="24" t="e">
        <f t="shared" ca="1" si="8"/>
        <v>#VALUE!</v>
      </c>
      <c r="AB87" s="23">
        <f ca="1">_xll.meLWOBondModifiedDuration($N87,$C$4,$U87%)</f>
        <v>10.847881221812132</v>
      </c>
      <c r="AC87" s="23" t="str">
        <f ca="1">_xll.BDP($B87,AC$6, "YLD_YTM_ASK="&amp;$U87,"YAS_YLD_CONV=1")</f>
        <v>#N/A Requesting Data...</v>
      </c>
      <c r="AD87" s="22" t="e">
        <f t="shared" ca="1" si="9"/>
        <v>#VALUE!</v>
      </c>
      <c r="AE87" s="24">
        <f ca="1">_xll.meLWOBondDV01Numerical($N87,$C$4,$U87%, 0.5, "CENTRAL")</f>
        <v>722.25294821294028</v>
      </c>
    </row>
    <row r="88" spans="2:31">
      <c r="B88" s="15" t="s">
        <v>700</v>
      </c>
      <c r="C88" s="15" t="s">
        <v>701</v>
      </c>
      <c r="D88" s="15" t="s">
        <v>701</v>
      </c>
      <c r="E88" s="16">
        <v>36117</v>
      </c>
      <c r="F88" s="16" t="s">
        <v>333</v>
      </c>
      <c r="G88" s="19" t="str">
        <f t="shared" si="6"/>
        <v/>
      </c>
      <c r="H88" s="16" t="s">
        <v>333</v>
      </c>
      <c r="I88" s="16" t="s">
        <v>333</v>
      </c>
      <c r="J88" s="48">
        <v>0</v>
      </c>
      <c r="K88" s="16">
        <v>47423</v>
      </c>
      <c r="L88" s="49" t="s">
        <v>333</v>
      </c>
      <c r="M88" s="15" t="s">
        <v>297</v>
      </c>
      <c r="N88" s="20" t="str">
        <f ca="1">_xll.meLWOBondCreateFromGeneratorLVB(C88,$N$4,_xll.meUtilityLVBFromKeysValues($C$6:$M$6,C88:M88))</f>
        <v>IT0001312815:1</v>
      </c>
      <c r="O88" s="92">
        <f ca="1">_xll.BDP($B88,$O$5)</f>
        <v>3.6413059610004961</v>
      </c>
      <c r="P88" s="89">
        <f ca="1">_xll.meLWOBondCleanPrice($N88,$C$4,$O88%)</f>
        <v>67.374771569396728</v>
      </c>
      <c r="Q88" s="89">
        <f ca="1">_xll.meLWOBondDirtyPrice($N88,$C$4,$O88%)</f>
        <v>67.374771569396728</v>
      </c>
      <c r="R88" s="72">
        <f ca="1">_xll.meLWOBondYield($N88,$C$4,P88)</f>
        <v>3.6413059610004961E-2</v>
      </c>
      <c r="S88" s="89">
        <f ca="1">_xll.meLWOBondModifiedDuration($N88,$C$4,$O88%)</f>
        <v>10.845075137226713</v>
      </c>
      <c r="T88" s="23">
        <f ca="1">_xll.meLWOBondDV01($N88,$C$4,$O88%)</f>
        <v>730.68446002359372</v>
      </c>
      <c r="U88" s="85">
        <f t="shared" ca="1" si="10"/>
        <v>3.6413059610004961</v>
      </c>
      <c r="V88" s="22" t="str">
        <f ca="1">_xll.BDP($B88,V$6, "YAS_BOND_YLD="&amp;U88,"YAS_YLD_CONV=1")</f>
        <v>#N/A Requesting Data...</v>
      </c>
      <c r="W88" s="89">
        <f t="shared" ca="1" si="11"/>
        <v>67.374771569396728</v>
      </c>
      <c r="X88" s="24" t="e">
        <f t="shared" ca="1" si="7"/>
        <v>#VALUE!</v>
      </c>
      <c r="Y88" s="23">
        <f ca="1">_xll.meLWOBondDV01($N88,$C$4,$U88%)</f>
        <v>730.68446002359372</v>
      </c>
      <c r="Z88" s="22" t="e">
        <f ca="1">_xll.BDP($B88,Z$6, "YLD_YTM_ASK="&amp;$U88,"YAS_YLD_CONV=33")*$Z$3*0.0001</f>
        <v>#VALUE!</v>
      </c>
      <c r="AA88" s="24" t="e">
        <f t="shared" ca="1" si="8"/>
        <v>#VALUE!</v>
      </c>
      <c r="AB88" s="23">
        <f ca="1">_xll.meLWOBondModifiedDuration($N88,$C$4,$U88%)</f>
        <v>10.845075137226713</v>
      </c>
      <c r="AC88" s="23" t="str">
        <f ca="1">_xll.BDP($B88,AC$6, "YLD_YTM_ASK="&amp;$U88,"YAS_YLD_CONV=1")</f>
        <v>#N/A Requesting Data...</v>
      </c>
      <c r="AD88" s="22" t="e">
        <f t="shared" ca="1" si="9"/>
        <v>#VALUE!</v>
      </c>
      <c r="AE88" s="24">
        <f ca="1">_xll.meLWOBondDV01Numerical($N88,$C$4,$U88%, 0.5, "CENTRAL")</f>
        <v>717.767029057228</v>
      </c>
    </row>
    <row r="89" spans="2:31">
      <c r="B89" s="15" t="s">
        <v>434</v>
      </c>
      <c r="C89" s="15" t="s">
        <v>435</v>
      </c>
      <c r="D89" s="15" t="s">
        <v>435</v>
      </c>
      <c r="E89" s="16">
        <v>37333</v>
      </c>
      <c r="F89" s="16" t="s">
        <v>333</v>
      </c>
      <c r="G89" s="19" t="str">
        <f t="shared" si="6"/>
        <v/>
      </c>
      <c r="H89" s="16" t="s">
        <v>333</v>
      </c>
      <c r="I89" s="16" t="s">
        <v>333</v>
      </c>
      <c r="J89" s="48">
        <v>0</v>
      </c>
      <c r="K89" s="16">
        <v>47515</v>
      </c>
      <c r="L89" s="49" t="s">
        <v>333</v>
      </c>
      <c r="M89" s="15" t="s">
        <v>297</v>
      </c>
      <c r="N89" s="20" t="str">
        <f ca="1">_xll.meLWOBondCreateFromGeneratorLVB(C89,$N$4,_xll.meUtilityLVBFromKeysValues($C$6:$M$6,C89:M89))</f>
        <v>IT0003268957:1</v>
      </c>
      <c r="O89" s="92">
        <f ca="1">_xll.BDP($B89,$O$5)</f>
        <v>3.7578860925119528</v>
      </c>
      <c r="P89" s="89">
        <f ca="1">_xll.meLWOBondCleanPrice($N89,$C$4,$O89%)</f>
        <v>65.933889988648048</v>
      </c>
      <c r="Q89" s="89">
        <f ca="1">_xll.meLWOBondDirtyPrice($N89,$C$4,$O89%)</f>
        <v>65.933889988648048</v>
      </c>
      <c r="R89" s="72">
        <f ca="1">_xll.meLWOBondYield($N89,$C$4,P89)</f>
        <v>3.7578860925119528E-2</v>
      </c>
      <c r="S89" s="89">
        <f ca="1">_xll.meLWOBondModifiedDuration($N89,$C$4,$O89%)</f>
        <v>11.084411797510523</v>
      </c>
      <c r="T89" s="23">
        <f ca="1">_xll.meLWOBondDV01($N89,$C$4,$O89%)</f>
        <v>730.83838804593131</v>
      </c>
      <c r="U89" s="85">
        <f t="shared" ca="1" si="10"/>
        <v>3.7578860925119528</v>
      </c>
      <c r="V89" s="22" t="str">
        <f ca="1">_xll.BDP($B89,V$6, "YAS_BOND_YLD="&amp;U89,"YAS_YLD_CONV=1")</f>
        <v>#N/A Requesting Data...</v>
      </c>
      <c r="W89" s="89">
        <f t="shared" ca="1" si="11"/>
        <v>65.933889988648048</v>
      </c>
      <c r="X89" s="24" t="e">
        <f t="shared" ca="1" si="7"/>
        <v>#VALUE!</v>
      </c>
      <c r="Y89" s="23">
        <f ca="1">_xll.meLWOBondDV01($N89,$C$4,$U89%)</f>
        <v>730.83838804593131</v>
      </c>
      <c r="Z89" s="22" t="e">
        <f ca="1">_xll.BDP($B89,Z$6, "YLD_YTM_ASK="&amp;$U89,"YAS_YLD_CONV=33")*$Z$3*0.0001</f>
        <v>#VALUE!</v>
      </c>
      <c r="AA89" s="24" t="e">
        <f t="shared" ca="1" si="8"/>
        <v>#VALUE!</v>
      </c>
      <c r="AB89" s="23">
        <f ca="1">_xll.meLWOBondModifiedDuration($N89,$C$4,$U89%)</f>
        <v>11.084411797510523</v>
      </c>
      <c r="AC89" s="23" t="str">
        <f ca="1">_xll.BDP($B89,AC$6, "YLD_YTM_ASK="&amp;$U89,"YAS_YLD_CONV=1")</f>
        <v>#N/A Requesting Data...</v>
      </c>
      <c r="AD89" s="22" t="e">
        <f t="shared" ca="1" si="9"/>
        <v>#VALUE!</v>
      </c>
      <c r="AE89" s="24">
        <f ca="1">_xll.meLWOBondDV01Numerical($N89,$C$4,$U89%, 0.5, "CENTRAL")</f>
        <v>717.48454965927533</v>
      </c>
    </row>
    <row r="90" spans="2:31">
      <c r="B90" s="15" t="s">
        <v>325</v>
      </c>
      <c r="C90" s="15" t="s">
        <v>326</v>
      </c>
      <c r="D90" s="15" t="s">
        <v>326</v>
      </c>
      <c r="E90" s="16">
        <v>41780</v>
      </c>
      <c r="F90" s="16">
        <v>41699</v>
      </c>
      <c r="G90" s="19" t="str">
        <f t="shared" si="6"/>
        <v/>
      </c>
      <c r="H90" s="16">
        <v>41883</v>
      </c>
      <c r="I90" s="16">
        <v>47362</v>
      </c>
      <c r="J90" s="48">
        <v>3.5000000000000003E-2</v>
      </c>
      <c r="K90" s="16">
        <v>47543</v>
      </c>
      <c r="L90" s="49">
        <v>99.471000000000004</v>
      </c>
      <c r="M90" s="15" t="s">
        <v>297</v>
      </c>
      <c r="N90" s="20" t="str">
        <f ca="1">_xll.meLWOBondCreateFromGeneratorLVB(C90,$N$4,_xll.meUtilityLVBFromKeysValues($C$6:$M$6,C90:M90))</f>
        <v>IT0005024234:1</v>
      </c>
      <c r="O90" s="92">
        <f ca="1">_xll.BDP($B90,$O$5)</f>
        <v>3.6376406188127319</v>
      </c>
      <c r="P90" s="89">
        <f ca="1">_xll.meLWOBondCleanPrice($N90,$C$4,$O90%)</f>
        <v>99.02197055006225</v>
      </c>
      <c r="Q90" s="89">
        <f ca="1">_xll.meLWOBondDirtyPrice($N90,$C$4,$O90%)</f>
        <v>99.466720550062249</v>
      </c>
      <c r="R90" s="72">
        <f ca="1">_xll.meLWOBondYield($N90,$C$4,P90)</f>
        <v>3.6376406188128207E-2</v>
      </c>
      <c r="S90" s="89">
        <f ca="1">_xll.meLWOBondModifiedDuration($N90,$C$4,$O90%)</f>
        <v>9.2595654618270355</v>
      </c>
      <c r="T90" s="23">
        <f ca="1">_xll.meLWOBondDV01($N90,$C$4,$O90%)</f>
        <v>921.01861020655781</v>
      </c>
      <c r="U90" s="85">
        <f t="shared" ca="1" si="10"/>
        <v>3.6376406188127319</v>
      </c>
      <c r="V90" s="22" t="str">
        <f ca="1">_xll.BDP($B90,V$6, "YAS_BOND_YLD="&amp;U90,"YAS_YLD_CONV=1")</f>
        <v>#N/A Requesting Data...</v>
      </c>
      <c r="W90" s="89">
        <f t="shared" ca="1" si="11"/>
        <v>99.02197055006225</v>
      </c>
      <c r="X90" s="24" t="e">
        <f t="shared" ca="1" si="7"/>
        <v>#VALUE!</v>
      </c>
      <c r="Y90" s="23">
        <f ca="1">_xll.meLWOBondDV01($N90,$C$4,$U90%)</f>
        <v>921.01861020655781</v>
      </c>
      <c r="Z90" s="22" t="e">
        <f ca="1">_xll.BDP($B90,Z$6, "YLD_YTM_ASK="&amp;$U90,"YAS_YLD_CONV=33")*$Z$3*0.0001</f>
        <v>#VALUE!</v>
      </c>
      <c r="AA90" s="24" t="e">
        <f t="shared" ca="1" si="8"/>
        <v>#VALUE!</v>
      </c>
      <c r="AB90" s="23">
        <f ca="1">_xll.meLWOBondModifiedDuration($N90,$C$4,$U90%)</f>
        <v>9.2595654618270355</v>
      </c>
      <c r="AC90" s="23" t="str">
        <f ca="1">_xll.BDP($B90,AC$6, "YLD_YTM_ASK="&amp;$U90,"YAS_YLD_CONV=1")</f>
        <v>#N/A Requesting Data...</v>
      </c>
      <c r="AD90" s="22" t="e">
        <f t="shared" ca="1" si="9"/>
        <v>#VALUE!</v>
      </c>
      <c r="AE90" s="24">
        <f ca="1">_xll.meLWOBondDV01Numerical($N90,$C$4,$U90%, 0.5, "CENTRAL")</f>
        <v>904.74117481306848</v>
      </c>
    </row>
    <row r="91" spans="2:31">
      <c r="B91" s="15" t="s">
        <v>690</v>
      </c>
      <c r="C91" s="15" t="s">
        <v>691</v>
      </c>
      <c r="D91" s="15" t="s">
        <v>691</v>
      </c>
      <c r="E91" s="16">
        <v>41416</v>
      </c>
      <c r="F91" s="16" t="s">
        <v>333</v>
      </c>
      <c r="G91" s="19" t="str">
        <f t="shared" si="6"/>
        <v/>
      </c>
      <c r="H91" s="16" t="s">
        <v>333</v>
      </c>
      <c r="I91" s="16" t="s">
        <v>333</v>
      </c>
      <c r="J91" s="48">
        <v>0</v>
      </c>
      <c r="K91" s="16">
        <v>47543</v>
      </c>
      <c r="L91" s="49" t="s">
        <v>333</v>
      </c>
      <c r="M91" s="15" t="s">
        <v>297</v>
      </c>
      <c r="N91" s="20" t="str">
        <f ca="1">_xll.meLWOBondCreateFromGeneratorLVB(C91,$N$4,_xll.meUtilityLVBFromKeysValues($C$6:$M$6,C91:M91))</f>
        <v>IT0004976558:1</v>
      </c>
      <c r="O91" s="92">
        <f ca="1">_xll.BDP($B91,$O$5)</f>
        <v>3.6661569210147071</v>
      </c>
      <c r="P91" s="89">
        <f ca="1">_xll.meLWOBondCleanPrice($N91,$C$4,$O91%)</f>
        <v>66.398999531741026</v>
      </c>
      <c r="Q91" s="89">
        <f ca="1">_xll.meLWOBondDirtyPrice($N91,$C$4,$O91%)</f>
        <v>66.398999531741026</v>
      </c>
      <c r="R91" s="72">
        <f ca="1">_xll.meLWOBondYield($N91,$C$4,P91)</f>
        <v>3.6661569210147071E-2</v>
      </c>
      <c r="S91" s="89">
        <f ca="1">_xll.meLWOBondModifiedDuration($N91,$C$4,$O91%)</f>
        <v>11.170016047815006</v>
      </c>
      <c r="T91" s="23">
        <f ca="1">_xll.meLWOBondDV01($N91,$C$4,$O91%)</f>
        <v>741.67789032840835</v>
      </c>
      <c r="U91" s="85">
        <f t="shared" ca="1" si="10"/>
        <v>3.6661569210147071</v>
      </c>
      <c r="V91" s="22" t="str">
        <f ca="1">_xll.BDP($B91,V$6, "YAS_BOND_YLD="&amp;U91,"YAS_YLD_CONV=1")</f>
        <v>#N/A Requesting Data...</v>
      </c>
      <c r="W91" s="89">
        <f t="shared" ca="1" si="11"/>
        <v>66.398999531741026</v>
      </c>
      <c r="X91" s="24" t="e">
        <f t="shared" ca="1" si="7"/>
        <v>#VALUE!</v>
      </c>
      <c r="Y91" s="23">
        <f ca="1">_xll.meLWOBondDV01($N91,$C$4,$U91%)</f>
        <v>741.67789032840835</v>
      </c>
      <c r="Z91" s="22" t="e">
        <f ca="1">_xll.BDP($B91,Z$6, "YLD_YTM_ASK="&amp;$U91,"YAS_YLD_CONV=33")*$Z$3*0.0001</f>
        <v>#VALUE!</v>
      </c>
      <c r="AA91" s="24" t="e">
        <f t="shared" ca="1" si="8"/>
        <v>#VALUE!</v>
      </c>
      <c r="AB91" s="23">
        <f ca="1">_xll.meLWOBondModifiedDuration($N91,$C$4,$U91%)</f>
        <v>11.170016047815006</v>
      </c>
      <c r="AC91" s="23" t="str">
        <f ca="1">_xll.BDP($B91,AC$6, "YLD_YTM_ASK="&amp;$U91,"YAS_YLD_CONV=1")</f>
        <v>#N/A Requesting Data...</v>
      </c>
      <c r="AD91" s="22" t="e">
        <f t="shared" ca="1" si="9"/>
        <v>#VALUE!</v>
      </c>
      <c r="AE91" s="24">
        <f ca="1">_xll.meLWOBondDV01Numerical($N91,$C$4,$U91%, 0.5, "CENTRAL")</f>
        <v>728.44515853546466</v>
      </c>
    </row>
    <row r="92" spans="2:31">
      <c r="B92" s="15" t="s">
        <v>450</v>
      </c>
      <c r="C92" s="15" t="s">
        <v>451</v>
      </c>
      <c r="D92" s="15" t="s">
        <v>451</v>
      </c>
      <c r="E92" s="16">
        <v>36602</v>
      </c>
      <c r="F92" s="16" t="s">
        <v>333</v>
      </c>
      <c r="G92" s="19" t="str">
        <f t="shared" si="6"/>
        <v/>
      </c>
      <c r="H92" s="16" t="s">
        <v>333</v>
      </c>
      <c r="I92" s="16" t="s">
        <v>333</v>
      </c>
      <c r="J92" s="48">
        <v>0</v>
      </c>
      <c r="K92" s="16">
        <v>47604</v>
      </c>
      <c r="L92" s="49" t="s">
        <v>333</v>
      </c>
      <c r="M92" s="15" t="s">
        <v>297</v>
      </c>
      <c r="N92" s="20" t="str">
        <f ca="1">_xll.meLWOBondCreateFromGeneratorLVB(C92,$N$4,_xll.meUtilityLVBFromKeysValues($C$6:$M$6,C92:M92))</f>
        <v>IT0001464194:1</v>
      </c>
      <c r="O92" s="92">
        <f ca="1">_xll.BDP($B92,$O$5)</f>
        <v>3.7709921556782877</v>
      </c>
      <c r="P92" s="89">
        <f ca="1">_xll.meLWOBondCleanPrice($N92,$C$4,$O92%)</f>
        <v>65.225660256556509</v>
      </c>
      <c r="Q92" s="89">
        <f ca="1">_xll.meLWOBondDirtyPrice($N92,$C$4,$O92%)</f>
        <v>65.225660256556509</v>
      </c>
      <c r="R92" s="72">
        <f ca="1">_xll.meLWOBondYield($N92,$C$4,P92)</f>
        <v>3.7709921556782877E-2</v>
      </c>
      <c r="S92" s="89">
        <f ca="1">_xll.meLWOBondModifiedDuration($N92,$C$4,$O92%)</f>
        <v>11.329127326323473</v>
      </c>
      <c r="T92" s="23">
        <f ca="1">_xll.meLWOBondDV01($N92,$C$4,$O92%)</f>
        <v>738.9498099900452</v>
      </c>
      <c r="U92" s="85">
        <f t="shared" ca="1" si="10"/>
        <v>3.7709921556782877</v>
      </c>
      <c r="V92" s="22" t="str">
        <f ca="1">_xll.BDP($B92,V$6, "YAS_BOND_YLD="&amp;U92,"YAS_YLD_CONV=1")</f>
        <v>#N/A Requesting Data...</v>
      </c>
      <c r="W92" s="89">
        <f t="shared" ca="1" si="11"/>
        <v>65.225660256556509</v>
      </c>
      <c r="X92" s="24" t="e">
        <f t="shared" ca="1" si="7"/>
        <v>#VALUE!</v>
      </c>
      <c r="Y92" s="23">
        <f ca="1">_xll.meLWOBondDV01($N92,$C$4,$U92%)</f>
        <v>738.9498099900452</v>
      </c>
      <c r="Z92" s="22" t="e">
        <f ca="1">_xll.BDP($B92,Z$6, "YLD_YTM_ASK="&amp;$U92,"YAS_YLD_CONV=33")*$Z$3*0.0001</f>
        <v>#VALUE!</v>
      </c>
      <c r="AA92" s="24" t="e">
        <f t="shared" ca="1" si="8"/>
        <v>#VALUE!</v>
      </c>
      <c r="AB92" s="23">
        <f ca="1">_xll.meLWOBondModifiedDuration($N92,$C$4,$U92%)</f>
        <v>11.329127326323473</v>
      </c>
      <c r="AC92" s="23" t="str">
        <f ca="1">_xll.BDP($B92,AC$6, "YLD_YTM_ASK="&amp;$U92,"YAS_YLD_CONV=1")</f>
        <v>#N/A Requesting Data...</v>
      </c>
      <c r="AD92" s="22" t="e">
        <f t="shared" ca="1" si="9"/>
        <v>#VALUE!</v>
      </c>
      <c r="AE92" s="24">
        <f ca="1">_xll.meLWOBondDV01Numerical($N92,$C$4,$U92%, 0.5, "CENTRAL")</f>
        <v>725.60472189820757</v>
      </c>
    </row>
    <row r="93" spans="2:31">
      <c r="B93" s="15" t="s">
        <v>514</v>
      </c>
      <c r="C93" s="15" t="s">
        <v>515</v>
      </c>
      <c r="D93" s="15" t="s">
        <v>515</v>
      </c>
      <c r="E93" s="16">
        <v>37333</v>
      </c>
      <c r="F93" s="16" t="s">
        <v>333</v>
      </c>
      <c r="G93" s="19" t="str">
        <f t="shared" si="6"/>
        <v/>
      </c>
      <c r="H93" s="16" t="s">
        <v>333</v>
      </c>
      <c r="I93" s="16" t="s">
        <v>333</v>
      </c>
      <c r="J93" s="48">
        <v>0</v>
      </c>
      <c r="K93" s="16">
        <v>47696</v>
      </c>
      <c r="L93" s="49" t="s">
        <v>333</v>
      </c>
      <c r="M93" s="15" t="s">
        <v>297</v>
      </c>
      <c r="N93" s="20" t="str">
        <f ca="1">_xll.meLWOBondCreateFromGeneratorLVB(C93,$N$4,_xll.meUtilityLVBFromKeysValues($C$6:$M$6,C93:M93))</f>
        <v>IT0003268973:1</v>
      </c>
      <c r="O93" s="92">
        <f ca="1">_xll.BDP($B93,$O$5)</f>
        <v>3.8095749771545284</v>
      </c>
      <c r="P93" s="89">
        <f ca="1">_xll.meLWOBondCleanPrice($N93,$C$4,$O93%)</f>
        <v>64.349891003301593</v>
      </c>
      <c r="Q93" s="89">
        <f ca="1">_xll.meLWOBondDirtyPrice($N93,$C$4,$O93%)</f>
        <v>64.349891003301593</v>
      </c>
      <c r="R93" s="72">
        <f ca="1">_xll.meLWOBondYield($N93,$C$4,P93)</f>
        <v>3.8095749771545728E-2</v>
      </c>
      <c r="S93" s="89">
        <f ca="1">_xll.meLWOBondModifiedDuration($N93,$C$4,$O93%)</f>
        <v>11.572391696034325</v>
      </c>
      <c r="T93" s="23">
        <f ca="1">_xll.meLWOBondDV01($N93,$C$4,$O93%)</f>
        <v>744.68214428732131</v>
      </c>
      <c r="U93" s="85">
        <f t="shared" ca="1" si="10"/>
        <v>3.8095749771545284</v>
      </c>
      <c r="V93" s="22" t="str">
        <f ca="1">_xll.BDP($B93,V$6, "YAS_BOND_YLD="&amp;U93,"YAS_YLD_CONV=1")</f>
        <v>#N/A Requesting Data...</v>
      </c>
      <c r="W93" s="89">
        <f t="shared" ca="1" si="11"/>
        <v>64.349891003301593</v>
      </c>
      <c r="X93" s="24" t="e">
        <f t="shared" ca="1" si="7"/>
        <v>#VALUE!</v>
      </c>
      <c r="Y93" s="23">
        <f ca="1">_xll.meLWOBondDV01($N93,$C$4,$U93%)</f>
        <v>744.68214428732131</v>
      </c>
      <c r="Z93" s="22" t="e">
        <f ca="1">_xll.BDP($B93,Z$6, "YLD_YTM_ASK="&amp;$U93,"YAS_YLD_CONV=33")*$Z$3*0.0001</f>
        <v>#VALUE!</v>
      </c>
      <c r="AA93" s="24" t="e">
        <f t="shared" ca="1" si="8"/>
        <v>#VALUE!</v>
      </c>
      <c r="AB93" s="23">
        <f ca="1">_xll.meLWOBondModifiedDuration($N93,$C$4,$U93%)</f>
        <v>11.572391696034325</v>
      </c>
      <c r="AC93" s="23" t="str">
        <f ca="1">_xll.BDP($B93,AC$6, "YLD_YTM_ASK="&amp;$U93,"YAS_YLD_CONV=1")</f>
        <v>#N/A Requesting Data...</v>
      </c>
      <c r="AD93" s="22" t="e">
        <f t="shared" ca="1" si="9"/>
        <v>#VALUE!</v>
      </c>
      <c r="AE93" s="24">
        <f ca="1">_xll.meLWOBondDV01Numerical($N93,$C$4,$U93%, 0.5, "CENTRAL")</f>
        <v>730.89320229911448</v>
      </c>
    </row>
    <row r="94" spans="2:31">
      <c r="B94" s="15" t="s">
        <v>414</v>
      </c>
      <c r="C94" s="15" t="s">
        <v>415</v>
      </c>
      <c r="D94" s="15" t="s">
        <v>415</v>
      </c>
      <c r="E94" s="16">
        <v>36602</v>
      </c>
      <c r="F94" s="16" t="s">
        <v>333</v>
      </c>
      <c r="G94" s="19" t="str">
        <f t="shared" si="6"/>
        <v/>
      </c>
      <c r="H94" s="16" t="s">
        <v>333</v>
      </c>
      <c r="I94" s="16" t="s">
        <v>333</v>
      </c>
      <c r="J94" s="48">
        <v>0</v>
      </c>
      <c r="K94" s="16">
        <v>47788</v>
      </c>
      <c r="L94" s="49" t="s">
        <v>333</v>
      </c>
      <c r="M94" s="15" t="s">
        <v>297</v>
      </c>
      <c r="N94" s="20" t="str">
        <f ca="1">_xll.meLWOBondCreateFromGeneratorLVB(C94,$N$4,_xll.meUtilityLVBFromKeysValues($C$6:$M$6,C94:M94))</f>
        <v>IT0001464202:1</v>
      </c>
      <c r="O94" s="92">
        <f ca="1">_xll.BDP($B94,$O$5)</f>
        <v>3.8113768759377109</v>
      </c>
      <c r="P94" s="89">
        <f ca="1">_xll.meLWOBondCleanPrice($N94,$C$4,$O94%)</f>
        <v>63.736676876699029</v>
      </c>
      <c r="Q94" s="89">
        <f ca="1">_xll.meLWOBondDirtyPrice($N94,$C$4,$O94%)</f>
        <v>63.736676876699029</v>
      </c>
      <c r="R94" s="72">
        <f ca="1">_xll.meLWOBondYield($N94,$C$4,P94)</f>
        <v>3.8113768759377109E-2</v>
      </c>
      <c r="S94" s="89">
        <f ca="1">_xll.meLWOBondModifiedDuration($N94,$C$4,$O94%)</f>
        <v>11.817659041803804</v>
      </c>
      <c r="T94" s="23">
        <f ca="1">_xll.meLWOBondDV01($N94,$C$4,$O94%)</f>
        <v>753.21831578644969</v>
      </c>
      <c r="U94" s="85">
        <f t="shared" ca="1" si="10"/>
        <v>3.8113768759377109</v>
      </c>
      <c r="V94" s="22" t="str">
        <f ca="1">_xll.BDP($B94,V$6, "YAS_BOND_YLD="&amp;U94,"YAS_YLD_CONV=1")</f>
        <v>#N/A Requesting Data...</v>
      </c>
      <c r="W94" s="89">
        <f t="shared" ca="1" si="11"/>
        <v>63.736676876699029</v>
      </c>
      <c r="X94" s="24" t="e">
        <f t="shared" ca="1" si="7"/>
        <v>#VALUE!</v>
      </c>
      <c r="Y94" s="23">
        <f ca="1">_xll.meLWOBondDV01($N94,$C$4,$U94%)</f>
        <v>753.21831578644969</v>
      </c>
      <c r="Z94" s="22" t="e">
        <f ca="1">_xll.BDP($B94,Z$6, "YLD_YTM_ASK="&amp;$U94,"YAS_YLD_CONV=33")*$Z$3*0.0001</f>
        <v>#VALUE!</v>
      </c>
      <c r="AA94" s="24" t="e">
        <f t="shared" ca="1" si="8"/>
        <v>#VALUE!</v>
      </c>
      <c r="AB94" s="23">
        <f ca="1">_xll.meLWOBondModifiedDuration($N94,$C$4,$U94%)</f>
        <v>11.817659041803804</v>
      </c>
      <c r="AC94" s="23" t="str">
        <f ca="1">_xll.BDP($B94,AC$6, "YLD_YTM_ASK="&amp;$U94,"YAS_YLD_CONV=1")</f>
        <v>#N/A Requesting Data...</v>
      </c>
      <c r="AD94" s="22" t="e">
        <f t="shared" ca="1" si="9"/>
        <v>#VALUE!</v>
      </c>
      <c r="AE94" s="24">
        <f ca="1">_xll.meLWOBondDV01Numerical($N94,$C$4,$U94%, 0.5, "CENTRAL")</f>
        <v>739.29612992372995</v>
      </c>
    </row>
    <row r="95" spans="2:31">
      <c r="B95" s="15" t="s">
        <v>462</v>
      </c>
      <c r="C95" s="15" t="s">
        <v>463</v>
      </c>
      <c r="D95" s="15" t="s">
        <v>463</v>
      </c>
      <c r="E95" s="16">
        <v>37333</v>
      </c>
      <c r="F95" s="16" t="s">
        <v>333</v>
      </c>
      <c r="G95" s="19" t="str">
        <f t="shared" si="6"/>
        <v/>
      </c>
      <c r="H95" s="16" t="s">
        <v>333</v>
      </c>
      <c r="I95" s="16" t="s">
        <v>333</v>
      </c>
      <c r="J95" s="48">
        <v>0</v>
      </c>
      <c r="K95" s="16">
        <v>47880</v>
      </c>
      <c r="L95" s="49" t="s">
        <v>333</v>
      </c>
      <c r="M95" s="15" t="s">
        <v>297</v>
      </c>
      <c r="N95" s="20" t="str">
        <f ca="1">_xll.meLWOBondCreateFromGeneratorLVB(C95,$N$4,_xll.meUtilityLVBFromKeysValues($C$6:$M$6,C95:M95))</f>
        <v>IT0003268999:1</v>
      </c>
      <c r="O95" s="92">
        <f ca="1">_xll.BDP($B95,$O$5)</f>
        <v>3.8594922792035691</v>
      </c>
      <c r="P95" s="89">
        <f ca="1">_xll.meLWOBondCleanPrice($N95,$C$4,$O95%)</f>
        <v>62.773107065418529</v>
      </c>
      <c r="Q95" s="89">
        <f ca="1">_xll.meLWOBondDirtyPrice($N95,$C$4,$O95%)</f>
        <v>62.773107065418529</v>
      </c>
      <c r="R95" s="72">
        <f ca="1">_xll.meLWOBondYield($N95,$C$4,P95)</f>
        <v>3.8594922792035691E-2</v>
      </c>
      <c r="S95" s="89">
        <f ca="1">_xll.meLWOBondModifiedDuration($N95,$C$4,$O95%)</f>
        <v>12.06023225441005</v>
      </c>
      <c r="T95" s="23">
        <f ca="1">_xll.meLWOBondDV01($N95,$C$4,$O95%)</f>
        <v>757.05825053989588</v>
      </c>
      <c r="U95" s="85">
        <f t="shared" ca="1" si="10"/>
        <v>3.8594922792035691</v>
      </c>
      <c r="V95" s="22" t="str">
        <f ca="1">_xll.BDP($B95,V$6, "YAS_BOND_YLD="&amp;U95,"YAS_YLD_CONV=1")</f>
        <v>#N/A Requesting Data...</v>
      </c>
      <c r="W95" s="89">
        <f t="shared" ca="1" si="11"/>
        <v>62.773107065418529</v>
      </c>
      <c r="X95" s="24" t="e">
        <f t="shared" ca="1" si="7"/>
        <v>#VALUE!</v>
      </c>
      <c r="Y95" s="23">
        <f ca="1">_xll.meLWOBondDV01($N95,$C$4,$U95%)</f>
        <v>757.05825053989588</v>
      </c>
      <c r="Z95" s="22" t="e">
        <f ca="1">_xll.BDP($B95,Z$6, "YLD_YTM_ASK="&amp;$U95,"YAS_YLD_CONV=33")*$Z$3*0.0001</f>
        <v>#VALUE!</v>
      </c>
      <c r="AA95" s="24" t="e">
        <f t="shared" ca="1" si="8"/>
        <v>#VALUE!</v>
      </c>
      <c r="AB95" s="23">
        <f ca="1">_xll.meLWOBondModifiedDuration($N95,$C$4,$U95%)</f>
        <v>12.06023225441005</v>
      </c>
      <c r="AC95" s="23" t="str">
        <f ca="1">_xll.BDP($B95,AC$6, "YLD_YTM_ASK="&amp;$U95,"YAS_YLD_CONV=1")</f>
        <v>#N/A Requesting Data...</v>
      </c>
      <c r="AD95" s="22" t="e">
        <f t="shared" ca="1" si="9"/>
        <v>#VALUE!</v>
      </c>
      <c r="AE95" s="24">
        <f ca="1">_xll.meLWOBondDV01Numerical($N95,$C$4,$U95%, 0.5, "CENTRAL")</f>
        <v>743.18993207889162</v>
      </c>
    </row>
    <row r="96" spans="2:31">
      <c r="B96" s="15" t="s">
        <v>354</v>
      </c>
      <c r="C96" s="15" t="s">
        <v>355</v>
      </c>
      <c r="D96" s="15" t="s">
        <v>355</v>
      </c>
      <c r="E96" s="16">
        <v>36602</v>
      </c>
      <c r="F96" s="16">
        <v>36465</v>
      </c>
      <c r="G96" s="19" t="str">
        <f t="shared" si="6"/>
        <v/>
      </c>
      <c r="H96" s="16">
        <v>36647</v>
      </c>
      <c r="I96" s="16">
        <v>47788</v>
      </c>
      <c r="J96" s="48">
        <v>0.06</v>
      </c>
      <c r="K96" s="16">
        <v>47969</v>
      </c>
      <c r="L96" s="49">
        <v>102.4</v>
      </c>
      <c r="M96" s="15" t="s">
        <v>297</v>
      </c>
      <c r="N96" s="20" t="str">
        <f ca="1">_xll.meLWOBondCreateFromGeneratorLVB(C96,$N$4,_xll.meUtilityLVBFromKeysValues($C$6:$M$6,C96:M96))</f>
        <v>IT0001444378:1</v>
      </c>
      <c r="O96" s="92">
        <f ca="1">_xll.BDP($B96,$O$5)</f>
        <v>3.7132203028623412</v>
      </c>
      <c r="P96" s="89">
        <f ca="1">_xll.meLWOBondCleanPrice($N96,$C$4,$O96%)</f>
        <v>123.12895433190216</v>
      </c>
      <c r="Q96" s="89">
        <f ca="1">_xll.meLWOBondDirtyPrice($N96,$C$4,$O96%)</f>
        <v>125.88438433190217</v>
      </c>
      <c r="R96" s="72">
        <f ca="1">_xll.meLWOBondYield($N96,$C$4,P96)</f>
        <v>3.7132203028623412E-2</v>
      </c>
      <c r="S96" s="89">
        <f ca="1">_xll.meLWOBondModifiedDuration($N96,$C$4,$O96%)</f>
        <v>9.0135342455586329</v>
      </c>
      <c r="T96" s="23">
        <f ca="1">_xll.meLWOBondDV01($N96,$C$4,$O96%)</f>
        <v>1134.6632091566648</v>
      </c>
      <c r="U96" s="85">
        <f t="shared" ca="1" si="10"/>
        <v>3.7132203028623412</v>
      </c>
      <c r="V96" s="22" t="str">
        <f ca="1">_xll.BDP($B96,V$6, "YAS_BOND_YLD="&amp;U96,"YAS_YLD_CONV=1")</f>
        <v>#N/A Requesting Data...</v>
      </c>
      <c r="W96" s="89">
        <f t="shared" ca="1" si="11"/>
        <v>123.12895433190216</v>
      </c>
      <c r="X96" s="24" t="e">
        <f t="shared" ca="1" si="7"/>
        <v>#VALUE!</v>
      </c>
      <c r="Y96" s="23">
        <f ca="1">_xll.meLWOBondDV01($N96,$C$4,$U96%)</f>
        <v>1134.6632091566648</v>
      </c>
      <c r="Z96" s="22" t="e">
        <f ca="1">_xll.BDP($B96,Z$6, "YLD_YTM_ASK="&amp;$U96,"YAS_YLD_CONV=33")*$Z$3*0.0001</f>
        <v>#VALUE!</v>
      </c>
      <c r="AA96" s="24" t="e">
        <f t="shared" ca="1" si="8"/>
        <v>#VALUE!</v>
      </c>
      <c r="AB96" s="23">
        <f ca="1">_xll.meLWOBondModifiedDuration($N96,$C$4,$U96%)</f>
        <v>9.0135342455586329</v>
      </c>
      <c r="AC96" s="23" t="str">
        <f ca="1">_xll.BDP($B96,AC$6, "YLD_YTM_ASK="&amp;$U96,"YAS_YLD_CONV=1")</f>
        <v>#N/A Requesting Data...</v>
      </c>
      <c r="AD96" s="22" t="e">
        <f t="shared" ca="1" si="9"/>
        <v>#VALUE!</v>
      </c>
      <c r="AE96" s="24">
        <f ca="1">_xll.meLWOBondDV01Numerical($N96,$C$4,$U96%, 0.5, "CENTRAL")</f>
        <v>1114.5327201079169</v>
      </c>
    </row>
    <row r="97" spans="2:31">
      <c r="B97" s="15" t="s">
        <v>386</v>
      </c>
      <c r="C97" s="15" t="s">
        <v>387</v>
      </c>
      <c r="D97" s="15" t="s">
        <v>387</v>
      </c>
      <c r="E97" s="16">
        <v>36602</v>
      </c>
      <c r="F97" s="16" t="s">
        <v>333</v>
      </c>
      <c r="G97" s="19" t="str">
        <f t="shared" si="6"/>
        <v/>
      </c>
      <c r="H97" s="16" t="s">
        <v>333</v>
      </c>
      <c r="I97" s="16" t="s">
        <v>333</v>
      </c>
      <c r="J97" s="48">
        <v>0</v>
      </c>
      <c r="K97" s="16">
        <v>47969</v>
      </c>
      <c r="L97" s="49" t="s">
        <v>333</v>
      </c>
      <c r="M97" s="15" t="s">
        <v>297</v>
      </c>
      <c r="N97" s="20" t="str">
        <f ca="1">_xll.meLWOBondCreateFromGeneratorLVB(C97,$N$4,_xll.meUtilityLVBFromKeysValues($C$6:$M$6,C97:M97))</f>
        <v>IT0001464186:1</v>
      </c>
      <c r="O97" s="92">
        <f ca="1">_xll.BDP($B97,$O$5)</f>
        <v>3.7396894915502799</v>
      </c>
      <c r="P97" s="89">
        <f ca="1">_xll.meLWOBondCleanPrice($N97,$C$4,$O97%)</f>
        <v>63.093610797757407</v>
      </c>
      <c r="Q97" s="89">
        <f ca="1">_xll.meLWOBondDirtyPrice($N97,$C$4,$O97%)</f>
        <v>63.093610797757407</v>
      </c>
      <c r="R97" s="72">
        <f ca="1">_xll.meLWOBondYield($N97,$C$4,P97)</f>
        <v>3.7396894915503243E-2</v>
      </c>
      <c r="S97" s="89">
        <f ca="1">_xll.meLWOBondModifiedDuration($N97,$C$4,$O97%)</f>
        <v>12.312646610427363</v>
      </c>
      <c r="T97" s="23">
        <f ca="1">_xll.meLWOBondDV01($N97,$C$4,$O97%)</f>
        <v>776.84933312863097</v>
      </c>
      <c r="U97" s="85">
        <f t="shared" ca="1" si="10"/>
        <v>3.7396894915502799</v>
      </c>
      <c r="V97" s="22" t="str">
        <f ca="1">_xll.BDP($B97,V$6, "YAS_BOND_YLD="&amp;U97,"YAS_YLD_CONV=1")</f>
        <v>#N/A Requesting Data...</v>
      </c>
      <c r="W97" s="89">
        <f t="shared" ca="1" si="11"/>
        <v>63.093610797757407</v>
      </c>
      <c r="X97" s="24" t="e">
        <f t="shared" ca="1" si="7"/>
        <v>#VALUE!</v>
      </c>
      <c r="Y97" s="23">
        <f ca="1">_xll.meLWOBondDV01($N97,$C$4,$U97%)</f>
        <v>776.84933312863097</v>
      </c>
      <c r="Z97" s="22" t="e">
        <f ca="1">_xll.BDP($B97,Z$6, "YLD_YTM_ASK="&amp;$U97,"YAS_YLD_CONV=33")*$Z$3*0.0001</f>
        <v>#VALUE!</v>
      </c>
      <c r="AA97" s="24" t="e">
        <f t="shared" ca="1" si="8"/>
        <v>#VALUE!</v>
      </c>
      <c r="AB97" s="23">
        <f ca="1">_xll.meLWOBondModifiedDuration($N97,$C$4,$U97%)</f>
        <v>12.312646610427363</v>
      </c>
      <c r="AC97" s="23" t="str">
        <f ca="1">_xll.BDP($B97,AC$6, "YLD_YTM_ASK="&amp;$U97,"YAS_YLD_CONV=1")</f>
        <v>#N/A Requesting Data...</v>
      </c>
      <c r="AD97" s="22" t="e">
        <f t="shared" ca="1" si="9"/>
        <v>#VALUE!</v>
      </c>
      <c r="AE97" s="24">
        <f ca="1">_xll.meLWOBondDV01Numerical($N97,$C$4,$U97%, 0.5, "CENTRAL")</f>
        <v>762.92037998747742</v>
      </c>
    </row>
    <row r="98" spans="2:31">
      <c r="B98" s="15" t="s">
        <v>388</v>
      </c>
      <c r="C98" s="15" t="s">
        <v>389</v>
      </c>
      <c r="D98" s="15" t="s">
        <v>389</v>
      </c>
      <c r="E98" s="16">
        <v>36602</v>
      </c>
      <c r="F98" s="16" t="s">
        <v>333</v>
      </c>
      <c r="G98" s="19" t="str">
        <f t="shared" si="6"/>
        <v/>
      </c>
      <c r="H98" s="16" t="s">
        <v>333</v>
      </c>
      <c r="I98" s="16" t="s">
        <v>333</v>
      </c>
      <c r="J98" s="48">
        <v>0</v>
      </c>
      <c r="K98" s="16">
        <v>47969</v>
      </c>
      <c r="L98" s="49" t="s">
        <v>333</v>
      </c>
      <c r="M98" s="15" t="s">
        <v>297</v>
      </c>
      <c r="N98" s="20" t="str">
        <f ca="1">_xll.meLWOBondCreateFromGeneratorLVB(C98,$N$4,_xll.meUtilityLVBFromKeysValues($C$6:$M$6,C98:M98))</f>
        <v>IT0004848492:1</v>
      </c>
      <c r="O98" s="92">
        <f ca="1">_xll.BDP($B98,$O$5)</f>
        <v>3.8213923490995949</v>
      </c>
      <c r="P98" s="89">
        <f ca="1">_xll.meLWOBondCleanPrice($N98,$C$4,$O98%)</f>
        <v>62.473594953267806</v>
      </c>
      <c r="Q98" s="89">
        <f ca="1">_xll.meLWOBondDirtyPrice($N98,$C$4,$O98%)</f>
        <v>62.473594953267806</v>
      </c>
      <c r="R98" s="72">
        <f ca="1">_xll.meLWOBondYield($N98,$C$4,P98)</f>
        <v>3.8213923490996393E-2</v>
      </c>
      <c r="S98" s="89">
        <f ca="1">_xll.meLWOBondModifiedDuration($N98,$C$4,$O98%)</f>
        <v>12.307800901935227</v>
      </c>
      <c r="T98" s="23">
        <f ca="1">_xll.meLWOBondDV01($N98,$C$4,$O98%)</f>
        <v>768.91256831296562</v>
      </c>
      <c r="U98" s="85">
        <f t="shared" ca="1" si="10"/>
        <v>3.8213923490995949</v>
      </c>
      <c r="V98" s="22" t="str">
        <f ca="1">_xll.BDP($B98,V$6, "YAS_BOND_YLD="&amp;U98,"YAS_YLD_CONV=1")</f>
        <v>#N/A Requesting Data...</v>
      </c>
      <c r="W98" s="89">
        <f t="shared" ca="1" si="11"/>
        <v>62.473594953267806</v>
      </c>
      <c r="X98" s="24" t="e">
        <f t="shared" ca="1" si="7"/>
        <v>#VALUE!</v>
      </c>
      <c r="Y98" s="23">
        <f ca="1">_xll.meLWOBondDV01($N98,$C$4,$U98%)</f>
        <v>768.91256831296562</v>
      </c>
      <c r="Z98" s="22" t="e">
        <f ca="1">_xll.BDP($B98,Z$6, "YLD_YTM_ASK="&amp;$U98,"YAS_YLD_CONV=33")*$Z$3*0.0001</f>
        <v>#VALUE!</v>
      </c>
      <c r="AA98" s="24" t="e">
        <f t="shared" ca="1" si="8"/>
        <v>#VALUE!</v>
      </c>
      <c r="AB98" s="23">
        <f ca="1">_xll.meLWOBondModifiedDuration($N98,$C$4,$U98%)</f>
        <v>12.307800901935227</v>
      </c>
      <c r="AC98" s="23" t="str">
        <f ca="1">_xll.BDP($B98,AC$6, "YLD_YTM_ASK="&amp;$U98,"YAS_YLD_CONV=1")</f>
        <v>#N/A Requesting Data...</v>
      </c>
      <c r="AD98" s="22" t="e">
        <f t="shared" ca="1" si="9"/>
        <v>#VALUE!</v>
      </c>
      <c r="AE98" s="24">
        <f ca="1">_xll.meLWOBondDV01Numerical($N98,$C$4,$U98%, 0.5, "CENTRAL")</f>
        <v>754.82873784892502</v>
      </c>
    </row>
    <row r="99" spans="2:31">
      <c r="B99" s="15" t="s">
        <v>702</v>
      </c>
      <c r="C99" s="15" t="s">
        <v>703</v>
      </c>
      <c r="D99" s="15" t="s">
        <v>703</v>
      </c>
      <c r="E99" s="16">
        <v>36602</v>
      </c>
      <c r="F99" s="16" t="s">
        <v>333</v>
      </c>
      <c r="G99" s="19" t="str">
        <f t="shared" si="6"/>
        <v/>
      </c>
      <c r="H99" s="16" t="s">
        <v>333</v>
      </c>
      <c r="I99" s="16" t="s">
        <v>333</v>
      </c>
      <c r="J99" s="48">
        <v>0</v>
      </c>
      <c r="K99" s="16">
        <v>47969</v>
      </c>
      <c r="L99" s="49" t="s">
        <v>333</v>
      </c>
      <c r="M99" s="15" t="s">
        <v>297</v>
      </c>
      <c r="N99" s="20" t="str">
        <f ca="1">_xll.meLWOBondCreateFromGeneratorLVB(C99,$N$4,_xll.meUtilityLVBFromKeysValues($C$6:$M$6,C99:M99))</f>
        <v>IT0001464210:1</v>
      </c>
      <c r="O99" s="92">
        <f ca="1">_xll.BDP($B99,$O$5)</f>
        <v>3.7850456326636195</v>
      </c>
      <c r="P99" s="89">
        <f ca="1">_xll.meLWOBondCleanPrice($N99,$C$4,$O99%)</f>
        <v>62.748601944934457</v>
      </c>
      <c r="Q99" s="89">
        <f ca="1">_xll.meLWOBondDirtyPrice($N99,$C$4,$O99%)</f>
        <v>62.748601944934457</v>
      </c>
      <c r="R99" s="72">
        <f ca="1">_xll.meLWOBondYield($N99,$C$4,P99)</f>
        <v>3.7850456326636195E-2</v>
      </c>
      <c r="S99" s="89">
        <f ca="1">_xll.meLWOBondModifiedDuration($N99,$C$4,$O99%)</f>
        <v>12.3099558799807</v>
      </c>
      <c r="T99" s="23">
        <f ca="1">_xll.meLWOBondDV01($N99,$C$4,$O99%)</f>
        <v>772.43252147261433</v>
      </c>
      <c r="U99" s="85">
        <f t="shared" ca="1" si="10"/>
        <v>3.7850456326636195</v>
      </c>
      <c r="V99" s="22" t="str">
        <f ca="1">_xll.BDP($B99,V$6, "YAS_BOND_YLD="&amp;U99,"YAS_YLD_CONV=1")</f>
        <v>#N/A Requesting Data...</v>
      </c>
      <c r="W99" s="89">
        <f t="shared" ca="1" si="11"/>
        <v>62.748601944934457</v>
      </c>
      <c r="X99" s="24" t="e">
        <f t="shared" ca="1" si="7"/>
        <v>#VALUE!</v>
      </c>
      <c r="Y99" s="23">
        <f ca="1">_xll.meLWOBondDV01($N99,$C$4,$U99%)</f>
        <v>772.43252147261433</v>
      </c>
      <c r="Z99" s="22" t="e">
        <f ca="1">_xll.BDP($B99,Z$6, "YLD_YTM_ASK="&amp;$U99,"YAS_YLD_CONV=33")*$Z$3*0.0001</f>
        <v>#VALUE!</v>
      </c>
      <c r="AA99" s="24" t="e">
        <f t="shared" ca="1" si="8"/>
        <v>#VALUE!</v>
      </c>
      <c r="AB99" s="23">
        <f ca="1">_xll.meLWOBondModifiedDuration($N99,$C$4,$U99%)</f>
        <v>12.3099558799807</v>
      </c>
      <c r="AC99" s="23" t="str">
        <f ca="1">_xll.BDP($B99,AC$6, "YLD_YTM_ASK="&amp;$U99,"YAS_YLD_CONV=1")</f>
        <v>#N/A Requesting Data...</v>
      </c>
      <c r="AD99" s="22" t="e">
        <f t="shared" ca="1" si="9"/>
        <v>#VALUE!</v>
      </c>
      <c r="AE99" s="24">
        <f ca="1">_xll.meLWOBondDV01Numerical($N99,$C$4,$U99%, 0.5, "CENTRAL")</f>
        <v>758.41698593215767</v>
      </c>
    </row>
    <row r="100" spans="2:31">
      <c r="B100" s="15" t="s">
        <v>530</v>
      </c>
      <c r="C100" s="15" t="s">
        <v>531</v>
      </c>
      <c r="D100" s="15" t="s">
        <v>531</v>
      </c>
      <c r="E100" s="16">
        <v>37333</v>
      </c>
      <c r="F100" s="16" t="s">
        <v>333</v>
      </c>
      <c r="G100" s="19" t="str">
        <f t="shared" si="6"/>
        <v/>
      </c>
      <c r="H100" s="16" t="s">
        <v>333</v>
      </c>
      <c r="I100" s="16" t="s">
        <v>333</v>
      </c>
      <c r="J100" s="48">
        <v>0</v>
      </c>
      <c r="K100" s="16">
        <v>48061</v>
      </c>
      <c r="L100" s="49" t="s">
        <v>333</v>
      </c>
      <c r="M100" s="15" t="s">
        <v>297</v>
      </c>
      <c r="N100" s="20" t="str">
        <f ca="1">_xll.meLWOBondCreateFromGeneratorLVB(C100,$N$4,_xll.meUtilityLVBFromKeysValues($C$6:$M$6,C100:M100))</f>
        <v>IT0003269013:1</v>
      </c>
      <c r="O100" s="92">
        <f ca="1">_xll.BDP($B100,$O$5)</f>
        <v>3.8751268508230741</v>
      </c>
      <c r="P100" s="89">
        <f ca="1">_xll.meLWOBondCleanPrice($N100,$C$4,$O100%)</f>
        <v>61.490105294010043</v>
      </c>
      <c r="Q100" s="89">
        <f ca="1">_xll.meLWOBondDirtyPrice($N100,$C$4,$O100%)</f>
        <v>61.490105294010043</v>
      </c>
      <c r="R100" s="72">
        <f ca="1">_xll.meLWOBondYield($N100,$C$4,P100)</f>
        <v>3.8751268508230741E-2</v>
      </c>
      <c r="S100" s="89">
        <f ca="1">_xll.meLWOBondModifiedDuration($N100,$C$4,$O100%)</f>
        <v>12.549909558341982</v>
      </c>
      <c r="T100" s="23">
        <f ca="1">_xll.meLWOBondDV01($N100,$C$4,$O100%)</f>
        <v>771.69526017275155</v>
      </c>
      <c r="U100" s="85">
        <f t="shared" ca="1" si="10"/>
        <v>3.8751268508230741</v>
      </c>
      <c r="V100" s="22" t="str">
        <f ca="1">_xll.BDP($B100,V$6, "YAS_BOND_YLD="&amp;U100,"YAS_YLD_CONV=1")</f>
        <v>#N/A Requesting Data...</v>
      </c>
      <c r="W100" s="89">
        <f t="shared" ca="1" si="11"/>
        <v>61.490105294010043</v>
      </c>
      <c r="X100" s="24" t="e">
        <f t="shared" ca="1" si="7"/>
        <v>#VALUE!</v>
      </c>
      <c r="Y100" s="23">
        <f ca="1">_xll.meLWOBondDV01($N100,$C$4,$U100%)</f>
        <v>771.69526017275155</v>
      </c>
      <c r="Z100" s="22" t="e">
        <f ca="1">_xll.BDP($B100,Z$6, "YLD_YTM_ASK="&amp;$U100,"YAS_YLD_CONV=33")*$Z$3*0.0001</f>
        <v>#VALUE!</v>
      </c>
      <c r="AA100" s="24" t="e">
        <f t="shared" ca="1" si="8"/>
        <v>#VALUE!</v>
      </c>
      <c r="AB100" s="23">
        <f ca="1">_xll.meLWOBondModifiedDuration($N100,$C$4,$U100%)</f>
        <v>12.549909558341982</v>
      </c>
      <c r="AC100" s="23" t="str">
        <f ca="1">_xll.BDP($B100,AC$6, "YLD_YTM_ASK="&amp;$U100,"YAS_YLD_CONV=1")</f>
        <v>#N/A Requesting Data...</v>
      </c>
      <c r="AD100" s="22" t="e">
        <f t="shared" ca="1" si="9"/>
        <v>#VALUE!</v>
      </c>
      <c r="AE100" s="24">
        <f ca="1">_xll.meLWOBondDV01Numerical($N100,$C$4,$U100%, 0.5, "CENTRAL")</f>
        <v>757.16155441611477</v>
      </c>
    </row>
    <row r="101" spans="2:31">
      <c r="B101" s="15" t="s">
        <v>424</v>
      </c>
      <c r="C101" s="15" t="s">
        <v>425</v>
      </c>
      <c r="D101" s="15" t="s">
        <v>425</v>
      </c>
      <c r="E101" s="16">
        <v>37333</v>
      </c>
      <c r="F101" s="16" t="s">
        <v>333</v>
      </c>
      <c r="G101" s="19" t="str">
        <f t="shared" si="6"/>
        <v/>
      </c>
      <c r="H101" s="16" t="s">
        <v>333</v>
      </c>
      <c r="I101" s="16" t="s">
        <v>333</v>
      </c>
      <c r="J101" s="48">
        <v>0</v>
      </c>
      <c r="K101" s="16">
        <v>48245</v>
      </c>
      <c r="L101" s="49" t="s">
        <v>333</v>
      </c>
      <c r="M101" s="15" t="s">
        <v>297</v>
      </c>
      <c r="N101" s="20" t="str">
        <f ca="1">_xll.meLWOBondCreateFromGeneratorLVB(C101,$N$4,_xll.meUtilityLVBFromKeysValues($C$6:$M$6,C101:M101))</f>
        <v>IT0003269021:1</v>
      </c>
      <c r="O101" s="92">
        <f ca="1">_xll.BDP($B101,$O$5)</f>
        <v>3.8832705065759088</v>
      </c>
      <c r="P101" s="89">
        <f ca="1">_xll.meLWOBondCleanPrice($N101,$C$4,$O101%)</f>
        <v>60.263171964169324</v>
      </c>
      <c r="Q101" s="89">
        <f ca="1">_xll.meLWOBondDirtyPrice($N101,$C$4,$O101%)</f>
        <v>60.263171964169324</v>
      </c>
      <c r="R101" s="72">
        <f ca="1">_xll.meLWOBondYield($N101,$C$4,P101)</f>
        <v>3.8832705065759532E-2</v>
      </c>
      <c r="S101" s="89">
        <f ca="1">_xll.meLWOBondModifiedDuration($N101,$C$4,$O101%)</f>
        <v>13.03998336049623</v>
      </c>
      <c r="T101" s="23">
        <f ca="1">_xll.meLWOBondDV01($N101,$C$4,$O101%)</f>
        <v>785.83075966349088</v>
      </c>
      <c r="U101" s="85">
        <f t="shared" ca="1" si="10"/>
        <v>3.8832705065759088</v>
      </c>
      <c r="V101" s="22" t="str">
        <f ca="1">_xll.BDP($B101,V$6, "YAS_BOND_YLD="&amp;U101,"YAS_YLD_CONV=1")</f>
        <v>#N/A Requesting Data...</v>
      </c>
      <c r="W101" s="89">
        <f t="shared" ca="1" si="11"/>
        <v>60.263171964169324</v>
      </c>
      <c r="X101" s="24" t="e">
        <f t="shared" ca="1" si="7"/>
        <v>#VALUE!</v>
      </c>
      <c r="Y101" s="23">
        <f ca="1">_xll.meLWOBondDV01($N101,$C$4,$U101%)</f>
        <v>785.83075966349088</v>
      </c>
      <c r="Z101" s="22" t="e">
        <f ca="1">_xll.BDP($B101,Z$6, "YLD_YTM_ASK="&amp;$U101,"YAS_YLD_CONV=33")*$Z$3*0.0001</f>
        <v>#VALUE!</v>
      </c>
      <c r="AA101" s="24" t="e">
        <f t="shared" ca="1" si="8"/>
        <v>#VALUE!</v>
      </c>
      <c r="AB101" s="23">
        <f ca="1">_xll.meLWOBondModifiedDuration($N101,$C$4,$U101%)</f>
        <v>13.03998336049623</v>
      </c>
      <c r="AC101" s="23" t="str">
        <f ca="1">_xll.BDP($B101,AC$6, "YLD_YTM_ASK="&amp;$U101,"YAS_YLD_CONV=1")</f>
        <v>#N/A Requesting Data...</v>
      </c>
      <c r="AD101" s="22" t="e">
        <f t="shared" ca="1" si="9"/>
        <v>#VALUE!</v>
      </c>
      <c r="AE101" s="24">
        <f ca="1">_xll.meLWOBondDV01Numerical($N101,$C$4,$U101%, 0.5, "CENTRAL")</f>
        <v>771.15835486459628</v>
      </c>
    </row>
    <row r="102" spans="2:31">
      <c r="B102" s="15" t="s">
        <v>317</v>
      </c>
      <c r="C102" s="15" t="s">
        <v>318</v>
      </c>
      <c r="D102" s="15" t="s">
        <v>318</v>
      </c>
      <c r="E102" s="16">
        <v>42087</v>
      </c>
      <c r="F102" s="16">
        <v>42064</v>
      </c>
      <c r="G102" s="19" t="str">
        <f t="shared" si="6"/>
        <v/>
      </c>
      <c r="H102" s="16">
        <v>42248</v>
      </c>
      <c r="I102" s="16">
        <v>48092</v>
      </c>
      <c r="J102" s="48">
        <v>1.6500000000000001E-2</v>
      </c>
      <c r="K102" s="16">
        <v>48274</v>
      </c>
      <c r="L102" s="49">
        <v>99.501000000000005</v>
      </c>
      <c r="M102" s="15" t="s">
        <v>297</v>
      </c>
      <c r="N102" s="20" t="str">
        <f ca="1">_xll.meLWOBondCreateFromGeneratorLVB(C102,$N$4,_xll.meUtilityLVBFromKeysValues($C$6:$M$6,C102:M102))</f>
        <v>IT0005094088:1</v>
      </c>
      <c r="O102" s="92">
        <f ca="1">_xll.BDP($B102,$O$5)</f>
        <v>3.4874540234087315</v>
      </c>
      <c r="P102" s="89">
        <f ca="1">_xll.meLWOBondCleanPrice($N102,$C$4,$O102%)</f>
        <v>80.773887435687385</v>
      </c>
      <c r="Q102" s="89">
        <f ca="1">_xll.meLWOBondDirtyPrice($N102,$C$4,$O102%)</f>
        <v>80.983557435687388</v>
      </c>
      <c r="R102" s="72">
        <f ca="1">_xll.meLWOBondYield($N102,$C$4,P102)</f>
        <v>3.4874540234087315E-2</v>
      </c>
      <c r="S102" s="89">
        <f ca="1">_xll.meLWOBondModifiedDuration($N102,$C$4,$O102%)</f>
        <v>11.633076408930645</v>
      </c>
      <c r="T102" s="23">
        <f ca="1">_xll.meLWOBondDV01($N102,$C$4,$O102%)</f>
        <v>942.08791151637479</v>
      </c>
      <c r="U102" s="85">
        <f t="shared" ca="1" si="10"/>
        <v>3.4874540234087315</v>
      </c>
      <c r="V102" s="22" t="str">
        <f ca="1">_xll.BDP($B102,V$6, "YAS_BOND_YLD="&amp;U102,"YAS_YLD_CONV=1")</f>
        <v>#N/A Requesting Data...</v>
      </c>
      <c r="W102" s="89">
        <f t="shared" ca="1" si="11"/>
        <v>80.773887435687385</v>
      </c>
      <c r="X102" s="24" t="e">
        <f t="shared" ca="1" si="7"/>
        <v>#VALUE!</v>
      </c>
      <c r="Y102" s="23">
        <f ca="1">_xll.meLWOBondDV01($N102,$C$4,$U102%)</f>
        <v>942.08791151637479</v>
      </c>
      <c r="Z102" s="22" t="e">
        <f ca="1">_xll.BDP($B102,Z$6, "YLD_YTM_ASK="&amp;$U102,"YAS_YLD_CONV=33")*$Z$3*0.0001</f>
        <v>#VALUE!</v>
      </c>
      <c r="AA102" s="24" t="e">
        <f t="shared" ca="1" si="8"/>
        <v>#VALUE!</v>
      </c>
      <c r="AB102" s="23">
        <f ca="1">_xll.meLWOBondModifiedDuration($N102,$C$4,$U102%)</f>
        <v>11.633076408930645</v>
      </c>
      <c r="AC102" s="23" t="str">
        <f ca="1">_xll.BDP($B102,AC$6, "YLD_YTM_ASK="&amp;$U102,"YAS_YLD_CONV=1")</f>
        <v>#N/A Requesting Data...</v>
      </c>
      <c r="AD102" s="22" t="e">
        <f t="shared" ca="1" si="9"/>
        <v>#VALUE!</v>
      </c>
      <c r="AE102" s="24">
        <f ca="1">_xll.meLWOBondDV01Numerical($N102,$C$4,$U102%, 0.5, "CENTRAL")</f>
        <v>926.09976493307045</v>
      </c>
    </row>
    <row r="103" spans="2:31">
      <c r="B103" s="15" t="s">
        <v>516</v>
      </c>
      <c r="C103" s="15" t="s">
        <v>517</v>
      </c>
      <c r="D103" s="15" t="s">
        <v>517</v>
      </c>
      <c r="E103" s="16">
        <v>40072</v>
      </c>
      <c r="F103" s="16" t="s">
        <v>333</v>
      </c>
      <c r="G103" s="19" t="str">
        <f t="shared" si="6"/>
        <v/>
      </c>
      <c r="H103" s="16" t="s">
        <v>333</v>
      </c>
      <c r="I103" s="16" t="s">
        <v>333</v>
      </c>
      <c r="J103" s="48">
        <v>0</v>
      </c>
      <c r="K103" s="16">
        <v>48274</v>
      </c>
      <c r="L103" s="49" t="s">
        <v>333</v>
      </c>
      <c r="M103" s="15" t="s">
        <v>297</v>
      </c>
      <c r="N103" s="20" t="str">
        <f ca="1">_xll.meLWOBondCreateFromGeneratorLVB(C103,$N$4,_xll.meUtilityLVBFromKeysValues($C$6:$M$6,C103:M103))</f>
        <v>IT0004534423:1</v>
      </c>
      <c r="O103" s="92">
        <f ca="1">_xll.BDP($B103,$O$5)</f>
        <v>3.8808061210656497</v>
      </c>
      <c r="P103" s="89">
        <f ca="1">_xll.meLWOBondCleanPrice($N103,$C$4,$O103%)</f>
        <v>60.099896938348799</v>
      </c>
      <c r="Q103" s="89">
        <f ca="1">_xll.meLWOBondDirtyPrice($N103,$C$4,$O103%)</f>
        <v>60.099896938348799</v>
      </c>
      <c r="R103" s="72">
        <f ca="1">_xll.meLWOBondYield($N103,$C$4,P103)</f>
        <v>3.8808061210656941E-2</v>
      </c>
      <c r="S103" s="89">
        <f ca="1">_xll.meLWOBondModifiedDuration($N103,$C$4,$O103%)</f>
        <v>13.120755919433714</v>
      </c>
      <c r="T103" s="23">
        <f ca="1">_xll.meLWOBondDV01($N103,$C$4,$O103%)</f>
        <v>788.55607851119612</v>
      </c>
      <c r="U103" s="85">
        <f t="shared" ca="1" si="10"/>
        <v>3.8808061210656497</v>
      </c>
      <c r="V103" s="22" t="str">
        <f ca="1">_xll.BDP($B103,V$6, "YAS_BOND_YLD="&amp;U103,"YAS_YLD_CONV=1")</f>
        <v>#N/A Requesting Data...</v>
      </c>
      <c r="W103" s="89">
        <f t="shared" ca="1" si="11"/>
        <v>60.099896938348799</v>
      </c>
      <c r="X103" s="24" t="e">
        <f t="shared" ca="1" si="7"/>
        <v>#VALUE!</v>
      </c>
      <c r="Y103" s="23">
        <f ca="1">_xll.meLWOBondDV01($N103,$C$4,$U103%)</f>
        <v>788.55607851119612</v>
      </c>
      <c r="Z103" s="22" t="e">
        <f ca="1">_xll.BDP($B103,Z$6, "YLD_YTM_ASK="&amp;$U103,"YAS_YLD_CONV=33")*$Z$3*0.0001</f>
        <v>#VALUE!</v>
      </c>
      <c r="AA103" s="24" t="e">
        <f t="shared" ca="1" si="8"/>
        <v>#VALUE!</v>
      </c>
      <c r="AB103" s="23">
        <f ca="1">_xll.meLWOBondModifiedDuration($N103,$C$4,$U103%)</f>
        <v>13.120755919433714</v>
      </c>
      <c r="AC103" s="23" t="str">
        <f ca="1">_xll.BDP($B103,AC$6, "YLD_YTM_ASK="&amp;$U103,"YAS_YLD_CONV=1")</f>
        <v>#N/A Requesting Data...</v>
      </c>
      <c r="AD103" s="22" t="e">
        <f t="shared" ca="1" si="9"/>
        <v>#VALUE!</v>
      </c>
      <c r="AE103" s="24">
        <f ca="1">_xll.meLWOBondDV01Numerical($N103,$C$4,$U103%, 0.5, "CENTRAL")</f>
        <v>773.68901017429437</v>
      </c>
    </row>
    <row r="104" spans="2:31">
      <c r="B104" s="15" t="s">
        <v>596</v>
      </c>
      <c r="C104" s="15" t="s">
        <v>597</v>
      </c>
      <c r="D104" s="15" t="s">
        <v>597</v>
      </c>
      <c r="E104" s="16">
        <v>41416</v>
      </c>
      <c r="F104" s="16" t="s">
        <v>333</v>
      </c>
      <c r="G104" s="19" t="str">
        <f t="shared" si="6"/>
        <v/>
      </c>
      <c r="H104" s="16" t="s">
        <v>333</v>
      </c>
      <c r="I104" s="16" t="s">
        <v>333</v>
      </c>
      <c r="J104" s="48">
        <v>0</v>
      </c>
      <c r="K104" s="16">
        <v>48274</v>
      </c>
      <c r="L104" s="49" t="s">
        <v>333</v>
      </c>
      <c r="M104" s="15" t="s">
        <v>297</v>
      </c>
      <c r="N104" s="20" t="str">
        <f ca="1">_xll.meLWOBondCreateFromGeneratorLVB(C104,$N$4,_xll.meUtilityLVBFromKeysValues($C$6:$M$6,C104:M104))</f>
        <v>IT0004976590:1</v>
      </c>
      <c r="O104" s="92">
        <f ca="1">_xll.BDP($B104,$O$5)</f>
        <v>3.4307367957027379</v>
      </c>
      <c r="P104" s="89">
        <f ca="1">_xll.meLWOBondCleanPrice($N104,$C$4,$O104%)</f>
        <v>63.692903232773723</v>
      </c>
      <c r="Q104" s="89">
        <f ca="1">_xll.meLWOBondDirtyPrice($N104,$C$4,$O104%)</f>
        <v>63.692903232773723</v>
      </c>
      <c r="R104" s="72">
        <f ca="1">_xll.meLWOBondYield($N104,$C$4,P104)</f>
        <v>3.4307367957027379E-2</v>
      </c>
      <c r="S104" s="89">
        <f ca="1">_xll.meLWOBondModifiedDuration($N104,$C$4,$O104%)</f>
        <v>13.149271812527697</v>
      </c>
      <c r="T104" s="23">
        <f ca="1">_xll.meLWOBondDV01($N104,$C$4,$O104%)</f>
        <v>837.51529713676575</v>
      </c>
      <c r="U104" s="85">
        <f t="shared" ca="1" si="10"/>
        <v>3.4307367957027379</v>
      </c>
      <c r="V104" s="22" t="str">
        <f ca="1">_xll.BDP($B104,V$6, "YAS_BOND_YLD="&amp;U104,"YAS_YLD_CONV=1")</f>
        <v>#N/A Requesting Data...</v>
      </c>
      <c r="W104" s="89">
        <f t="shared" ca="1" si="11"/>
        <v>63.692903232773723</v>
      </c>
      <c r="X104" s="24" t="e">
        <f t="shared" ca="1" si="7"/>
        <v>#VALUE!</v>
      </c>
      <c r="Y104" s="23">
        <f ca="1">_xll.meLWOBondDV01($N104,$C$4,$U104%)</f>
        <v>837.51529713676575</v>
      </c>
      <c r="Z104" s="22" t="e">
        <f ca="1">_xll.BDP($B104,Z$6, "YLD_YTM_ASK="&amp;$U104,"YAS_YLD_CONV=33")*$Z$3*0.0001</f>
        <v>#VALUE!</v>
      </c>
      <c r="AA104" s="24" t="e">
        <f t="shared" ca="1" si="8"/>
        <v>#VALUE!</v>
      </c>
      <c r="AB104" s="23">
        <f ca="1">_xll.meLWOBondModifiedDuration($N104,$C$4,$U104%)</f>
        <v>13.149271812527697</v>
      </c>
      <c r="AC104" s="23" t="str">
        <f ca="1">_xll.BDP($B104,AC$6, "YLD_YTM_ASK="&amp;$U104,"YAS_YLD_CONV=1")</f>
        <v>#N/A Requesting Data...</v>
      </c>
      <c r="AD104" s="22" t="e">
        <f t="shared" ca="1" si="9"/>
        <v>#VALUE!</v>
      </c>
      <c r="AE104" s="24">
        <f ca="1">_xll.meLWOBondDV01Numerical($N104,$C$4,$U104%, 0.5, "CENTRAL")</f>
        <v>823.51106518110839</v>
      </c>
    </row>
    <row r="105" spans="2:31">
      <c r="B105" s="15" t="s">
        <v>410</v>
      </c>
      <c r="C105" s="15" t="s">
        <v>411</v>
      </c>
      <c r="D105" s="15" t="s">
        <v>411</v>
      </c>
      <c r="E105" s="16">
        <v>37333</v>
      </c>
      <c r="F105" s="16" t="s">
        <v>333</v>
      </c>
      <c r="G105" s="19" t="str">
        <f t="shared" si="6"/>
        <v/>
      </c>
      <c r="H105" s="16" t="s">
        <v>333</v>
      </c>
      <c r="I105" s="16" t="s">
        <v>333</v>
      </c>
      <c r="J105" s="48">
        <v>0</v>
      </c>
      <c r="K105" s="16">
        <v>48427</v>
      </c>
      <c r="L105" s="49" t="s">
        <v>333</v>
      </c>
      <c r="M105" s="15" t="s">
        <v>297</v>
      </c>
      <c r="N105" s="20" t="str">
        <f ca="1">_xll.meLWOBondCreateFromGeneratorLVB(C105,$N$4,_xll.meUtilityLVBFromKeysValues($C$6:$M$6,C105:M105))</f>
        <v>IT0003269039:1</v>
      </c>
      <c r="O105" s="92">
        <f ca="1">_xll.BDP($B105,$O$5)</f>
        <v>3.9295321475258715</v>
      </c>
      <c r="P105" s="89">
        <f ca="1">_xll.meLWOBondCleanPrice($N105,$C$4,$O105%)</f>
        <v>58.764102011929239</v>
      </c>
      <c r="Q105" s="89">
        <f ca="1">_xll.meLWOBondDirtyPrice($N105,$C$4,$O105%)</f>
        <v>58.764102011929239</v>
      </c>
      <c r="R105" s="72">
        <f ca="1">_xll.meLWOBondYield($N105,$C$4,P105)</f>
        <v>3.929532147525916E-2</v>
      </c>
      <c r="S105" s="89">
        <f ca="1">_xll.meLWOBondModifiedDuration($N105,$C$4,$O105%)</f>
        <v>13.527537352332791</v>
      </c>
      <c r="T105" s="23">
        <f ca="1">_xll.meLWOBondDV01($N105,$C$4,$O105%)</f>
        <v>794.93358494266727</v>
      </c>
      <c r="U105" s="85">
        <f t="shared" ca="1" si="10"/>
        <v>3.9295321475258715</v>
      </c>
      <c r="V105" s="22" t="str">
        <f ca="1">_xll.BDP($B105,V$6, "YAS_BOND_YLD="&amp;U105,"YAS_YLD_CONV=1")</f>
        <v>#N/A Requesting Data...</v>
      </c>
      <c r="W105" s="89">
        <f t="shared" ca="1" si="11"/>
        <v>58.764102011929239</v>
      </c>
      <c r="X105" s="24" t="e">
        <f t="shared" ca="1" si="7"/>
        <v>#VALUE!</v>
      </c>
      <c r="Y105" s="23">
        <f ca="1">_xll.meLWOBondDV01($N105,$C$4,$U105%)</f>
        <v>794.93358494266727</v>
      </c>
      <c r="Z105" s="22" t="e">
        <f ca="1">_xll.BDP($B105,Z$6, "YLD_YTM_ASK="&amp;$U105,"YAS_YLD_CONV=33")*$Z$3*0.0001</f>
        <v>#VALUE!</v>
      </c>
      <c r="AA105" s="24" t="e">
        <f t="shared" ca="1" si="8"/>
        <v>#VALUE!</v>
      </c>
      <c r="AB105" s="23">
        <f ca="1">_xll.meLWOBondModifiedDuration($N105,$C$4,$U105%)</f>
        <v>13.527537352332791</v>
      </c>
      <c r="AC105" s="23" t="str">
        <f ca="1">_xll.BDP($B105,AC$6, "YLD_YTM_ASK="&amp;$U105,"YAS_YLD_CONV=1")</f>
        <v>#N/A Requesting Data...</v>
      </c>
      <c r="AD105" s="22" t="e">
        <f t="shared" ca="1" si="9"/>
        <v>#VALUE!</v>
      </c>
      <c r="AE105" s="24">
        <f ca="1">_xll.meLWOBondDV01Numerical($N105,$C$4,$U105%, 0.5, "CENTRAL")</f>
        <v>779.911901084276</v>
      </c>
    </row>
    <row r="106" spans="2:31">
      <c r="B106" s="15" t="s">
        <v>684</v>
      </c>
      <c r="C106" s="15" t="s">
        <v>685</v>
      </c>
      <c r="D106" s="15" t="s">
        <v>685</v>
      </c>
      <c r="E106" s="16">
        <v>42291</v>
      </c>
      <c r="F106" s="16" t="s">
        <v>333</v>
      </c>
      <c r="G106" s="19" t="str">
        <f t="shared" si="6"/>
        <v/>
      </c>
      <c r="H106" s="16" t="s">
        <v>333</v>
      </c>
      <c r="I106" s="16" t="s">
        <v>333</v>
      </c>
      <c r="J106" s="48">
        <v>0</v>
      </c>
      <c r="K106" s="16">
        <v>48472</v>
      </c>
      <c r="L106" s="49" t="s">
        <v>333</v>
      </c>
      <c r="M106" s="15" t="s">
        <v>297</v>
      </c>
      <c r="N106" s="20" t="str">
        <f ca="1">_xll.meLWOBondCreateFromGeneratorLVB(C106,$N$4,_xll.meUtilityLVBFromKeysValues($C$6:$M$6,C106:M106))</f>
        <v>IT0005155442:1</v>
      </c>
      <c r="O106" s="92">
        <f ca="1">_xll.BDP($B106,$O$5)</f>
        <v>3.8260999548177521</v>
      </c>
      <c r="P106" s="89">
        <f ca="1">_xll.meLWOBondCleanPrice($N106,$C$4,$O106%)</f>
        <v>59.312899695125175</v>
      </c>
      <c r="Q106" s="89">
        <f ca="1">_xll.meLWOBondDirtyPrice($N106,$C$4,$O106%)</f>
        <v>59.312899695125175</v>
      </c>
      <c r="R106" s="72">
        <f ca="1">_xll.meLWOBondYield($N106,$C$4,P106)</f>
        <v>3.8260999548177965E-2</v>
      </c>
      <c r="S106" s="89">
        <f ca="1">_xll.meLWOBondModifiedDuration($N106,$C$4,$O106%)</f>
        <v>13.652867658586469</v>
      </c>
      <c r="T106" s="23">
        <f ca="1">_xll.meLWOBondDV01($N106,$C$4,$O106%)</f>
        <v>809.79116998455777</v>
      </c>
      <c r="U106" s="85">
        <f t="shared" ca="1" si="10"/>
        <v>3.8260999548177521</v>
      </c>
      <c r="V106" s="22" t="str">
        <f ca="1">_xll.BDP($B106,V$6, "YAS_BOND_YLD="&amp;U106,"YAS_YLD_CONV=1")</f>
        <v>#N/A Requesting Data...</v>
      </c>
      <c r="W106" s="89">
        <f t="shared" ca="1" si="11"/>
        <v>59.312899695125175</v>
      </c>
      <c r="X106" s="24" t="e">
        <f t="shared" ca="1" si="7"/>
        <v>#VALUE!</v>
      </c>
      <c r="Y106" s="23">
        <f ca="1">_xll.meLWOBondDV01($N106,$C$4,$U106%)</f>
        <v>809.79116998455777</v>
      </c>
      <c r="Z106" s="22" t="e">
        <f ca="1">_xll.BDP($B106,Z$6, "YLD_YTM_ASK="&amp;$U106,"YAS_YLD_CONV=33")*$Z$3*0.0001</f>
        <v>#VALUE!</v>
      </c>
      <c r="AA106" s="24" t="e">
        <f t="shared" ca="1" si="8"/>
        <v>#VALUE!</v>
      </c>
      <c r="AB106" s="23">
        <f ca="1">_xll.meLWOBondModifiedDuration($N106,$C$4,$U106%)</f>
        <v>13.652867658586469</v>
      </c>
      <c r="AC106" s="23" t="str">
        <f ca="1">_xll.BDP($B106,AC$6, "YLD_YTM_ASK="&amp;$U106,"YAS_YLD_CONV=1")</f>
        <v>#N/A Requesting Data...</v>
      </c>
      <c r="AD106" s="22" t="e">
        <f t="shared" ca="1" si="9"/>
        <v>#VALUE!</v>
      </c>
      <c r="AE106" s="24">
        <f ca="1">_xll.meLWOBondDV01Numerical($N106,$C$4,$U106%, 0.5, "CENTRAL")</f>
        <v>794.73293703728132</v>
      </c>
    </row>
    <row r="107" spans="2:31">
      <c r="B107" s="15" t="s">
        <v>362</v>
      </c>
      <c r="C107" s="15" t="s">
        <v>363</v>
      </c>
      <c r="D107" s="15" t="s">
        <v>363</v>
      </c>
      <c r="E107" s="16">
        <v>37333</v>
      </c>
      <c r="F107" s="16">
        <v>37288</v>
      </c>
      <c r="G107" s="19" t="str">
        <f t="shared" si="6"/>
        <v/>
      </c>
      <c r="H107" s="16">
        <v>37469</v>
      </c>
      <c r="I107" s="16">
        <v>48427</v>
      </c>
      <c r="J107" s="48">
        <v>5.7500000000000002E-2</v>
      </c>
      <c r="K107" s="16">
        <v>48611</v>
      </c>
      <c r="L107" s="49">
        <v>101.15</v>
      </c>
      <c r="M107" s="15" t="s">
        <v>297</v>
      </c>
      <c r="N107" s="20" t="str">
        <f ca="1">_xll.meLWOBondCreateFromGeneratorLVB(C107,$N$4,_xll.meUtilityLVBFromKeysValues($C$6:$M$6,C107:M107))</f>
        <v>IT0003256820:1</v>
      </c>
      <c r="O107" s="92">
        <f ca="1">_xll.BDP($B107,$O$5)</f>
        <v>3.8010247032769007</v>
      </c>
      <c r="P107" s="89">
        <f ca="1">_xll.meLWOBondCleanPrice($N107,$C$4,$O107%)</f>
        <v>121.76708440560189</v>
      </c>
      <c r="Q107" s="89">
        <f ca="1">_xll.meLWOBondDirtyPrice($N107,$C$4,$O107%)</f>
        <v>122.97021440560189</v>
      </c>
      <c r="R107" s="72">
        <f ca="1">_xll.meLWOBondYield($N107,$C$4,P107)</f>
        <v>3.8010247032769007E-2</v>
      </c>
      <c r="S107" s="89">
        <f ca="1">_xll.meLWOBondModifiedDuration($N107,$C$4,$O107%)</f>
        <v>10.101054186243571</v>
      </c>
      <c r="T107" s="23">
        <f ca="1">_xll.meLWOBondDV01($N107,$C$4,$O107%)</f>
        <v>1242.1287990049746</v>
      </c>
      <c r="U107" s="85">
        <f t="shared" ca="1" si="10"/>
        <v>3.8010247032769007</v>
      </c>
      <c r="V107" s="22" t="str">
        <f ca="1">_xll.BDP($B107,V$6, "YAS_BOND_YLD="&amp;U107,"YAS_YLD_CONV=1")</f>
        <v>#N/A Requesting Data...</v>
      </c>
      <c r="W107" s="89">
        <f t="shared" ca="1" si="11"/>
        <v>121.76708440560189</v>
      </c>
      <c r="X107" s="24" t="e">
        <f t="shared" ca="1" si="7"/>
        <v>#VALUE!</v>
      </c>
      <c r="Y107" s="23">
        <f ca="1">_xll.meLWOBondDV01($N107,$C$4,$U107%)</f>
        <v>1242.1287990049746</v>
      </c>
      <c r="Z107" s="22" t="e">
        <f ca="1">_xll.BDP($B107,Z$6, "YLD_YTM_ASK="&amp;$U107,"YAS_YLD_CONV=33")*$Z$3*0.0001</f>
        <v>#VALUE!</v>
      </c>
      <c r="AA107" s="24" t="e">
        <f t="shared" ca="1" si="8"/>
        <v>#VALUE!</v>
      </c>
      <c r="AB107" s="23">
        <f ca="1">_xll.meLWOBondModifiedDuration($N107,$C$4,$U107%)</f>
        <v>10.101054186243571</v>
      </c>
      <c r="AC107" s="23" t="str">
        <f ca="1">_xll.BDP($B107,AC$6, "YLD_YTM_ASK="&amp;$U107,"YAS_YLD_CONV=1")</f>
        <v>#N/A Requesting Data...</v>
      </c>
      <c r="AD107" s="22" t="e">
        <f t="shared" ca="1" si="9"/>
        <v>#VALUE!</v>
      </c>
      <c r="AE107" s="24">
        <f ca="1">_xll.meLWOBondDV01Numerical($N107,$C$4,$U107%, 0.5, "CENTRAL")</f>
        <v>1219.2610177928034</v>
      </c>
    </row>
    <row r="108" spans="2:31">
      <c r="B108" s="15" t="s">
        <v>396</v>
      </c>
      <c r="C108" s="15" t="s">
        <v>397</v>
      </c>
      <c r="D108" s="15" t="s">
        <v>397</v>
      </c>
      <c r="E108" s="16">
        <v>37333</v>
      </c>
      <c r="F108" s="16" t="s">
        <v>333</v>
      </c>
      <c r="G108" s="19" t="str">
        <f t="shared" si="6"/>
        <v/>
      </c>
      <c r="H108" s="16" t="s">
        <v>333</v>
      </c>
      <c r="I108" s="16" t="s">
        <v>333</v>
      </c>
      <c r="J108" s="48">
        <v>0</v>
      </c>
      <c r="K108" s="16">
        <v>48611</v>
      </c>
      <c r="L108" s="49" t="s">
        <v>333</v>
      </c>
      <c r="M108" s="15" t="s">
        <v>297</v>
      </c>
      <c r="N108" s="20" t="str">
        <f ca="1">_xll.meLWOBondCreateFromGeneratorLVB(C108,$N$4,_xll.meUtilityLVBFromKeysValues($C$6:$M$6,C108:M108))</f>
        <v>IT0004848534:1</v>
      </c>
      <c r="O108" s="92">
        <f ca="1">_xll.BDP($B108,$O$5)</f>
        <v>3.9227752689116713</v>
      </c>
      <c r="P108" s="89">
        <f ca="1">_xll.meLWOBondCleanPrice($N108,$C$4,$O108%)</f>
        <v>57.702099999357124</v>
      </c>
      <c r="Q108" s="89">
        <f ca="1">_xll.meLWOBondDirtyPrice($N108,$C$4,$O108%)</f>
        <v>57.702099999357124</v>
      </c>
      <c r="R108" s="72">
        <f ca="1">_xll.meLWOBondYield($N108,$C$4,P108)</f>
        <v>3.9227752689117601E-2</v>
      </c>
      <c r="S108" s="89">
        <f ca="1">_xll.meLWOBondModifiedDuration($N108,$C$4,$O108%)</f>
        <v>14.018449584416743</v>
      </c>
      <c r="T108" s="23">
        <f ca="1">_xll.meLWOBondDV01($N108,$C$4,$O108%)</f>
        <v>808.89397975596125</v>
      </c>
      <c r="U108" s="85">
        <f t="shared" ca="1" si="10"/>
        <v>3.9227752689116713</v>
      </c>
      <c r="V108" s="22" t="str">
        <f ca="1">_xll.BDP($B108,V$6, "YAS_BOND_YLD="&amp;U108,"YAS_YLD_CONV=1")</f>
        <v>#N/A Requesting Data...</v>
      </c>
      <c r="W108" s="89">
        <f t="shared" ca="1" si="11"/>
        <v>57.702099999357124</v>
      </c>
      <c r="X108" s="24" t="e">
        <f t="shared" ca="1" si="7"/>
        <v>#VALUE!</v>
      </c>
      <c r="Y108" s="23">
        <f ca="1">_xll.meLWOBondDV01($N108,$C$4,$U108%)</f>
        <v>808.89397975596125</v>
      </c>
      <c r="Z108" s="22" t="e">
        <f ca="1">_xll.BDP($B108,Z$6, "YLD_YTM_ASK="&amp;$U108,"YAS_YLD_CONV=33")*$Z$3*0.0001</f>
        <v>#VALUE!</v>
      </c>
      <c r="AA108" s="24" t="e">
        <f t="shared" ca="1" si="8"/>
        <v>#VALUE!</v>
      </c>
      <c r="AB108" s="23">
        <f ca="1">_xll.meLWOBondModifiedDuration($N108,$C$4,$U108%)</f>
        <v>14.018449584416743</v>
      </c>
      <c r="AC108" s="23" t="str">
        <f ca="1">_xll.BDP($B108,AC$6, "YLD_YTM_ASK="&amp;$U108,"YAS_YLD_CONV=1")</f>
        <v>#N/A Requesting Data...</v>
      </c>
      <c r="AD108" s="22" t="e">
        <f t="shared" ca="1" si="9"/>
        <v>#VALUE!</v>
      </c>
      <c r="AE108" s="24">
        <f ca="1">_xll.meLWOBondDV01Numerical($N108,$C$4,$U108%, 0.5, "CENTRAL")</f>
        <v>793.47803308415621</v>
      </c>
    </row>
    <row r="109" spans="2:31">
      <c r="B109" s="15" t="s">
        <v>496</v>
      </c>
      <c r="C109" s="15" t="s">
        <v>497</v>
      </c>
      <c r="D109" s="15" t="s">
        <v>497</v>
      </c>
      <c r="E109" s="16">
        <v>37333</v>
      </c>
      <c r="F109" s="16" t="s">
        <v>333</v>
      </c>
      <c r="G109" s="19" t="str">
        <f t="shared" si="6"/>
        <v/>
      </c>
      <c r="H109" s="16" t="s">
        <v>333</v>
      </c>
      <c r="I109" s="16" t="s">
        <v>333</v>
      </c>
      <c r="J109" s="48">
        <v>0</v>
      </c>
      <c r="K109" s="16">
        <v>48611</v>
      </c>
      <c r="L109" s="49" t="s">
        <v>333</v>
      </c>
      <c r="M109" s="15" t="s">
        <v>297</v>
      </c>
      <c r="N109" s="20" t="str">
        <f ca="1">_xll.meLWOBondCreateFromGeneratorLVB(C109,$N$4,_xll.meUtilityLVBFromKeysValues($C$6:$M$6,C109:M109))</f>
        <v>IT0003269062:1</v>
      </c>
      <c r="O109" s="92">
        <f ca="1">_xll.BDP($B109,$O$5)</f>
        <v>3.9124488821307368</v>
      </c>
      <c r="P109" s="89">
        <f ca="1">_xll.meLWOBondCleanPrice($N109,$C$4,$O109%)</f>
        <v>57.784099882845531</v>
      </c>
      <c r="Q109" s="89">
        <f ca="1">_xll.meLWOBondDirtyPrice($N109,$C$4,$O109%)</f>
        <v>57.784099882845531</v>
      </c>
      <c r="R109" s="72">
        <f ca="1">_xll.meLWOBondYield($N109,$C$4,P109)</f>
        <v>3.9124488821308256E-2</v>
      </c>
      <c r="S109" s="89">
        <f ca="1">_xll.meLWOBondModifiedDuration($N109,$C$4,$O109%)</f>
        <v>14.019146114706441</v>
      </c>
      <c r="T109" s="23">
        <f ca="1">_xll.meLWOBondDV01($N109,$C$4,$O109%)</f>
        <v>810.08373936440285</v>
      </c>
      <c r="U109" s="85">
        <f t="shared" ca="1" si="10"/>
        <v>3.9124488821307368</v>
      </c>
      <c r="V109" s="22" t="str">
        <f ca="1">_xll.BDP($B109,V$6, "YAS_BOND_YLD="&amp;U109,"YAS_YLD_CONV=1")</f>
        <v>#N/A Requesting Data...</v>
      </c>
      <c r="W109" s="89">
        <f t="shared" ca="1" si="11"/>
        <v>57.784099882845531</v>
      </c>
      <c r="X109" s="24" t="e">
        <f t="shared" ca="1" si="7"/>
        <v>#VALUE!</v>
      </c>
      <c r="Y109" s="23">
        <f ca="1">_xll.meLWOBondDV01($N109,$C$4,$U109%)</f>
        <v>810.08373936440285</v>
      </c>
      <c r="Z109" s="22" t="e">
        <f ca="1">_xll.BDP($B109,Z$6, "YLD_YTM_ASK="&amp;$U109,"YAS_YLD_CONV=33")*$Z$3*0.0001</f>
        <v>#VALUE!</v>
      </c>
      <c r="AA109" s="24" t="e">
        <f t="shared" ca="1" si="8"/>
        <v>#VALUE!</v>
      </c>
      <c r="AB109" s="23">
        <f ca="1">_xll.meLWOBondModifiedDuration($N109,$C$4,$U109%)</f>
        <v>14.019146114706441</v>
      </c>
      <c r="AC109" s="23" t="str">
        <f ca="1">_xll.BDP($B109,AC$6, "YLD_YTM_ASK="&amp;$U109,"YAS_YLD_CONV=1")</f>
        <v>#N/A Requesting Data...</v>
      </c>
      <c r="AD109" s="22" t="e">
        <f t="shared" ca="1" si="9"/>
        <v>#VALUE!</v>
      </c>
      <c r="AE109" s="24">
        <f ca="1">_xll.meLWOBondDV01Numerical($N109,$C$4,$U109%, 0.5, "CENTRAL")</f>
        <v>794.68460147957387</v>
      </c>
    </row>
    <row r="110" spans="2:31">
      <c r="B110" s="15" t="s">
        <v>504</v>
      </c>
      <c r="C110" s="15" t="s">
        <v>505</v>
      </c>
      <c r="D110" s="15" t="s">
        <v>505</v>
      </c>
      <c r="E110" s="16">
        <v>37333</v>
      </c>
      <c r="F110" s="16" t="s">
        <v>333</v>
      </c>
      <c r="G110" s="19" t="str">
        <f t="shared" si="6"/>
        <v/>
      </c>
      <c r="H110" s="16" t="s">
        <v>333</v>
      </c>
      <c r="I110" s="16" t="s">
        <v>333</v>
      </c>
      <c r="J110" s="48">
        <v>0</v>
      </c>
      <c r="K110" s="16">
        <v>48611</v>
      </c>
      <c r="L110" s="49" t="s">
        <v>333</v>
      </c>
      <c r="M110" s="15" t="s">
        <v>297</v>
      </c>
      <c r="N110" s="20" t="str">
        <f ca="1">_xll.meLWOBondCreateFromGeneratorLVB(C110,$N$4,_xll.meUtilityLVBFromKeysValues($C$6:$M$6,C110:M110))</f>
        <v>IT0003268460:1</v>
      </c>
      <c r="O110" s="92">
        <f ca="1">_xll.BDP($B110,$O$5)</f>
        <v>3.8243087835523104</v>
      </c>
      <c r="P110" s="89">
        <f ca="1">_xll.meLWOBondCleanPrice($N110,$C$4,$O110%)</f>
        <v>58.489098866051329</v>
      </c>
      <c r="Q110" s="89">
        <f ca="1">_xll.meLWOBondDirtyPrice($N110,$C$4,$O110%)</f>
        <v>58.489098866051329</v>
      </c>
      <c r="R110" s="72">
        <f ca="1">_xll.meLWOBondYield($N110,$C$4,P110)</f>
        <v>3.8243087835523548E-2</v>
      </c>
      <c r="S110" s="89">
        <f ca="1">_xll.meLWOBondModifiedDuration($N110,$C$4,$O110%)</f>
        <v>14.025095524819715</v>
      </c>
      <c r="T110" s="23">
        <f ca="1">_xll.meLWOBondDV01($N110,$C$4,$O110%)</f>
        <v>820.31519875699439</v>
      </c>
      <c r="U110" s="85">
        <f t="shared" ca="1" si="10"/>
        <v>3.8243087835523104</v>
      </c>
      <c r="V110" s="22" t="str">
        <f ca="1">_xll.BDP($B110,V$6, "YAS_BOND_YLD="&amp;U110,"YAS_YLD_CONV=1")</f>
        <v>#N/A Requesting Data...</v>
      </c>
      <c r="W110" s="89">
        <f t="shared" ca="1" si="11"/>
        <v>58.489098866051329</v>
      </c>
      <c r="X110" s="24" t="e">
        <f t="shared" ca="1" si="7"/>
        <v>#VALUE!</v>
      </c>
      <c r="Y110" s="23">
        <f ca="1">_xll.meLWOBondDV01($N110,$C$4,$U110%)</f>
        <v>820.31519875699439</v>
      </c>
      <c r="Z110" s="22" t="e">
        <f ca="1">_xll.BDP($B110,Z$6, "YLD_YTM_ASK="&amp;$U110,"YAS_YLD_CONV=33")*$Z$3*0.0001</f>
        <v>#VALUE!</v>
      </c>
      <c r="AA110" s="24" t="e">
        <f t="shared" ca="1" si="8"/>
        <v>#VALUE!</v>
      </c>
      <c r="AB110" s="23">
        <f ca="1">_xll.meLWOBondModifiedDuration($N110,$C$4,$U110%)</f>
        <v>14.025095524819715</v>
      </c>
      <c r="AC110" s="23" t="str">
        <f ca="1">_xll.BDP($B110,AC$6, "YLD_YTM_ASK="&amp;$U110,"YAS_YLD_CONV=1")</f>
        <v>#N/A Requesting Data...</v>
      </c>
      <c r="AD110" s="22" t="e">
        <f t="shared" ca="1" si="9"/>
        <v>#VALUE!</v>
      </c>
      <c r="AE110" s="24">
        <f ca="1">_xll.meLWOBondDV01Numerical($N110,$C$4,$U110%, 0.5, "CENTRAL")</f>
        <v>805.06307368544583</v>
      </c>
    </row>
    <row r="111" spans="2:31">
      <c r="B111" s="15" t="s">
        <v>494</v>
      </c>
      <c r="C111" s="15" t="s">
        <v>495</v>
      </c>
      <c r="D111" s="15" t="s">
        <v>495</v>
      </c>
      <c r="E111" s="16">
        <v>41416</v>
      </c>
      <c r="F111" s="16" t="s">
        <v>333</v>
      </c>
      <c r="G111" s="19" t="str">
        <f t="shared" si="6"/>
        <v/>
      </c>
      <c r="H111" s="16" t="s">
        <v>333</v>
      </c>
      <c r="I111" s="16" t="s">
        <v>333</v>
      </c>
      <c r="J111" s="48">
        <v>0</v>
      </c>
      <c r="K111" s="16">
        <v>48639</v>
      </c>
      <c r="L111" s="49" t="s">
        <v>333</v>
      </c>
      <c r="M111" s="15" t="s">
        <v>297</v>
      </c>
      <c r="N111" s="20" t="str">
        <f ca="1">_xll.meLWOBondCreateFromGeneratorLVB(C111,$N$4,_xll.meUtilityLVBFromKeysValues($C$6:$M$6,C111:M111))</f>
        <v>IT0004976616:1</v>
      </c>
      <c r="O111" s="92">
        <f ca="1">_xll.BDP($B111,$O$5)</f>
        <v>4.0080164145211983</v>
      </c>
      <c r="P111" s="89">
        <f ca="1">_xll.meLWOBondCleanPrice($N111,$C$4,$O111%)</f>
        <v>56.845899385010313</v>
      </c>
      <c r="Q111" s="89">
        <f ca="1">_xll.meLWOBondDirtyPrice($N111,$C$4,$O111%)</f>
        <v>56.845899385010313</v>
      </c>
      <c r="R111" s="72">
        <f ca="1">_xll.meLWOBondYield($N111,$C$4,P111)</f>
        <v>4.0080164145212871E-2</v>
      </c>
      <c r="S111" s="89">
        <f ca="1">_xll.meLWOBondModifiedDuration($N111,$C$4,$O111%)</f>
        <v>14.093272472600228</v>
      </c>
      <c r="T111" s="23">
        <f ca="1">_xll.meLWOBondDV01($N111,$C$4,$O111%)</f>
        <v>801.14474898296805</v>
      </c>
      <c r="U111" s="85">
        <f t="shared" ca="1" si="10"/>
        <v>4.0080164145211983</v>
      </c>
      <c r="V111" s="22" t="str">
        <f ca="1">_xll.BDP($B111,V$6, "YAS_BOND_YLD="&amp;U111,"YAS_YLD_CONV=1")</f>
        <v>#N/A Requesting Data...</v>
      </c>
      <c r="W111" s="89">
        <f t="shared" ca="1" si="11"/>
        <v>56.845899385010313</v>
      </c>
      <c r="X111" s="24" t="e">
        <f t="shared" ca="1" si="7"/>
        <v>#VALUE!</v>
      </c>
      <c r="Y111" s="23">
        <f ca="1">_xll.meLWOBondDV01($N111,$C$4,$U111%)</f>
        <v>801.14474898296805</v>
      </c>
      <c r="Z111" s="22" t="e">
        <f ca="1">_xll.BDP($B111,Z$6, "YLD_YTM_ASK="&amp;$U111,"YAS_YLD_CONV=33")*$Z$3*0.0001</f>
        <v>#VALUE!</v>
      </c>
      <c r="AA111" s="24" t="e">
        <f t="shared" ca="1" si="8"/>
        <v>#VALUE!</v>
      </c>
      <c r="AB111" s="23">
        <f ca="1">_xll.meLWOBondModifiedDuration($N111,$C$4,$U111%)</f>
        <v>14.093272472600228</v>
      </c>
      <c r="AC111" s="23" t="str">
        <f ca="1">_xll.BDP($B111,AC$6, "YLD_YTM_ASK="&amp;$U111,"YAS_YLD_CONV=1")</f>
        <v>#N/A Requesting Data...</v>
      </c>
      <c r="AD111" s="22" t="e">
        <f t="shared" ca="1" si="9"/>
        <v>#VALUE!</v>
      </c>
      <c r="AE111" s="24">
        <f ca="1">_xll.meLWOBondDV01Numerical($N111,$C$4,$U111%, 0.5, "CENTRAL")</f>
        <v>785.55932196678668</v>
      </c>
    </row>
    <row r="112" spans="2:31">
      <c r="B112" s="15" t="s">
        <v>698</v>
      </c>
      <c r="C112" s="15" t="s">
        <v>699</v>
      </c>
      <c r="D112" s="15" t="s">
        <v>699</v>
      </c>
      <c r="E112" s="16">
        <v>40072</v>
      </c>
      <c r="F112" s="16" t="s">
        <v>333</v>
      </c>
      <c r="G112" s="19" t="str">
        <f t="shared" si="6"/>
        <v/>
      </c>
      <c r="H112" s="16" t="s">
        <v>333</v>
      </c>
      <c r="I112" s="16" t="s">
        <v>333</v>
      </c>
      <c r="J112" s="48">
        <v>0</v>
      </c>
      <c r="K112" s="16">
        <v>48639</v>
      </c>
      <c r="L112" s="49" t="s">
        <v>333</v>
      </c>
      <c r="M112" s="15" t="s">
        <v>297</v>
      </c>
      <c r="N112" s="20" t="str">
        <f ca="1">_xll.meLWOBondCreateFromGeneratorLVB(C112,$N$4,_xll.meUtilityLVBFromKeysValues($C$6:$M$6,C112:M112))</f>
        <v>IT0004534449:1</v>
      </c>
      <c r="O112" s="92">
        <f ca="1">_xll.BDP($B112,$O$5)</f>
        <v>3.9112023510796456</v>
      </c>
      <c r="P112" s="89">
        <f ca="1">_xll.meLWOBondCleanPrice($N112,$C$4,$O112%)</f>
        <v>57.611900445686771</v>
      </c>
      <c r="Q112" s="89">
        <f ca="1">_xll.meLWOBondDirtyPrice($N112,$C$4,$O112%)</f>
        <v>57.611900445686771</v>
      </c>
      <c r="R112" s="72">
        <f ca="1">_xll.meLWOBondYield($N112,$C$4,P112)</f>
        <v>3.9112023510797345E-2</v>
      </c>
      <c r="S112" s="89">
        <f ca="1">_xll.meLWOBondModifiedDuration($N112,$C$4,$O112%)</f>
        <v>14.099836294802367</v>
      </c>
      <c r="T112" s="23">
        <f ca="1">_xll.meLWOBondDV01($N112,$C$4,$O112%)</f>
        <v>812.31836491663501</v>
      </c>
      <c r="U112" s="85">
        <f t="shared" ca="1" si="10"/>
        <v>3.9112023510796456</v>
      </c>
      <c r="V112" s="22" t="str">
        <f ca="1">_xll.BDP($B112,V$6, "YAS_BOND_YLD="&amp;U112,"YAS_YLD_CONV=1")</f>
        <v>#N/A Requesting Data...</v>
      </c>
      <c r="W112" s="89">
        <f t="shared" ca="1" si="11"/>
        <v>57.611900445686771</v>
      </c>
      <c r="X112" s="24" t="e">
        <f t="shared" ca="1" si="7"/>
        <v>#VALUE!</v>
      </c>
      <c r="Y112" s="23">
        <f ca="1">_xll.meLWOBondDV01($N112,$C$4,$U112%)</f>
        <v>812.31836491663501</v>
      </c>
      <c r="Z112" s="22" t="e">
        <f ca="1">_xll.BDP($B112,Z$6, "YLD_YTM_ASK="&amp;$U112,"YAS_YLD_CONV=33")*$Z$3*0.0001</f>
        <v>#VALUE!</v>
      </c>
      <c r="AA112" s="24" t="e">
        <f t="shared" ca="1" si="8"/>
        <v>#VALUE!</v>
      </c>
      <c r="AB112" s="23">
        <f ca="1">_xll.meLWOBondModifiedDuration($N112,$C$4,$U112%)</f>
        <v>14.099836294802367</v>
      </c>
      <c r="AC112" s="23" t="str">
        <f ca="1">_xll.BDP($B112,AC$6, "YLD_YTM_ASK="&amp;$U112,"YAS_YLD_CONV=1")</f>
        <v>#N/A Requesting Data...</v>
      </c>
      <c r="AD112" s="22" t="e">
        <f t="shared" ca="1" si="9"/>
        <v>#VALUE!</v>
      </c>
      <c r="AE112" s="24">
        <f ca="1">_xll.meLWOBondDV01Numerical($N112,$C$4,$U112%, 0.5, "CENTRAL")</f>
        <v>796.88653748924321</v>
      </c>
    </row>
    <row r="113" spans="2:31">
      <c r="B113" s="15" t="s">
        <v>442</v>
      </c>
      <c r="C113" s="15" t="s">
        <v>443</v>
      </c>
      <c r="D113" s="15" t="s">
        <v>443</v>
      </c>
      <c r="E113" s="16">
        <v>37888</v>
      </c>
      <c r="F113" s="16" t="s">
        <v>333</v>
      </c>
      <c r="G113" s="19" t="str">
        <f t="shared" si="6"/>
        <v/>
      </c>
      <c r="H113" s="16" t="s">
        <v>333</v>
      </c>
      <c r="I113" s="16" t="s">
        <v>333</v>
      </c>
      <c r="J113" s="48">
        <v>0</v>
      </c>
      <c r="K113" s="16">
        <v>48792</v>
      </c>
      <c r="L113" s="49" t="s">
        <v>333</v>
      </c>
      <c r="M113" s="15" t="s">
        <v>297</v>
      </c>
      <c r="N113" s="20" t="str">
        <f ca="1">_xll.meLWOBondCreateFromGeneratorLVB(C113,$N$4,_xll.meUtilityLVBFromKeysValues($C$6:$M$6,C113:M113))</f>
        <v>IT0003540389:1</v>
      </c>
      <c r="O113" s="92">
        <f ca="1">_xll.BDP($B113,$O$5)</f>
        <v>3.9418553425712988</v>
      </c>
      <c r="P113" s="89">
        <f ca="1">_xll.meLWOBondCleanPrice($N113,$C$4,$O113%)</f>
        <v>56.449098294597086</v>
      </c>
      <c r="Q113" s="89">
        <f ca="1">_xll.meLWOBondDirtyPrice($N113,$C$4,$O113%)</f>
        <v>56.449098294597086</v>
      </c>
      <c r="R113" s="72">
        <f ca="1">_xll.meLWOBondYield($N113,$C$4,P113)</f>
        <v>3.9418553425714542E-2</v>
      </c>
      <c r="S113" s="89">
        <f ca="1">_xll.meLWOBondModifiedDuration($N113,$C$4,$O113%)</f>
        <v>14.507590329792446</v>
      </c>
      <c r="T113" s="23">
        <f ca="1">_xll.meLWOBondDV01($N113,$C$4,$O113%)</f>
        <v>818.94039254419999</v>
      </c>
      <c r="U113" s="85">
        <f t="shared" ca="1" si="10"/>
        <v>3.9418553425712988</v>
      </c>
      <c r="V113" s="22" t="str">
        <f ca="1">_xll.BDP($B113,V$6, "YAS_BOND_YLD="&amp;U113,"YAS_YLD_CONV=1")</f>
        <v>#N/A Requesting Data...</v>
      </c>
      <c r="W113" s="89">
        <f t="shared" ca="1" si="11"/>
        <v>56.449098294597086</v>
      </c>
      <c r="X113" s="24" t="e">
        <f t="shared" ca="1" si="7"/>
        <v>#VALUE!</v>
      </c>
      <c r="Y113" s="23">
        <f ca="1">_xll.meLWOBondDV01($N113,$C$4,$U113%)</f>
        <v>818.94039254419999</v>
      </c>
      <c r="Z113" s="22" t="e">
        <f ca="1">_xll.BDP($B113,Z$6, "YLD_YTM_ASK="&amp;$U113,"YAS_YLD_CONV=33")*$Z$3*0.0001</f>
        <v>#VALUE!</v>
      </c>
      <c r="AA113" s="24" t="e">
        <f t="shared" ca="1" si="8"/>
        <v>#VALUE!</v>
      </c>
      <c r="AB113" s="23">
        <f ca="1">_xll.meLWOBondModifiedDuration($N113,$C$4,$U113%)</f>
        <v>14.507590329792446</v>
      </c>
      <c r="AC113" s="23" t="str">
        <f ca="1">_xll.BDP($B113,AC$6, "YLD_YTM_ASK="&amp;$U113,"YAS_YLD_CONV=1")</f>
        <v>#N/A Requesting Data...</v>
      </c>
      <c r="AD113" s="22" t="e">
        <f t="shared" ca="1" si="9"/>
        <v>#VALUE!</v>
      </c>
      <c r="AE113" s="24">
        <f ca="1">_xll.meLWOBondDV01Numerical($N113,$C$4,$U113%, 0.5, "CENTRAL")</f>
        <v>803.25933605230659</v>
      </c>
    </row>
    <row r="114" spans="2:31">
      <c r="B114" s="15" t="s">
        <v>331</v>
      </c>
      <c r="C114" s="15" t="s">
        <v>332</v>
      </c>
      <c r="D114" s="15" t="s">
        <v>332</v>
      </c>
      <c r="E114" s="16">
        <v>42760</v>
      </c>
      <c r="F114" s="16">
        <v>42614</v>
      </c>
      <c r="G114" s="19" t="str">
        <f t="shared" si="6"/>
        <v/>
      </c>
      <c r="H114" s="16">
        <v>42795</v>
      </c>
      <c r="I114" s="16">
        <v>48639</v>
      </c>
      <c r="J114" s="48">
        <v>2.4500000000000001E-2</v>
      </c>
      <c r="K114" s="16">
        <v>48823</v>
      </c>
      <c r="L114" s="49" t="s">
        <v>333</v>
      </c>
      <c r="M114" s="15" t="s">
        <v>297</v>
      </c>
      <c r="N114" s="20" t="str">
        <f ca="1">_xll.meLWOBondCreateFromGeneratorLVB(C114,$N$4,_xll.meUtilityLVBFromKeysValues($C$6:$M$6,C114:M114))</f>
        <v>IT0005240350:1</v>
      </c>
      <c r="O114" s="92">
        <f ca="1">_xll.BDP($B114,$O$5)</f>
        <v>3.6400087545594983</v>
      </c>
      <c r="P114" s="89">
        <f ca="1">_xll.meLWOBondCleanPrice($N114,$C$4,$O114%)</f>
        <v>86.763879028400623</v>
      </c>
      <c r="Q114" s="89">
        <f ca="1">_xll.meLWOBondDirtyPrice($N114,$C$4,$O114%)</f>
        <v>87.075209028400621</v>
      </c>
      <c r="R114" s="72">
        <f ca="1">_xll.meLWOBondYield($N114,$C$4,P114)</f>
        <v>3.6400087545594983E-2</v>
      </c>
      <c r="S114" s="89">
        <f ca="1">_xll.meLWOBondModifiedDuration($N114,$C$4,$O114%)</f>
        <v>12.080489288358379</v>
      </c>
      <c r="T114" s="23">
        <f ca="1">_xll.meLWOBondDV01($N114,$C$4,$O114%)</f>
        <v>1051.9111299491606</v>
      </c>
      <c r="U114" s="85">
        <f t="shared" ca="1" si="10"/>
        <v>3.6400087545594983</v>
      </c>
      <c r="V114" s="22" t="str">
        <f ca="1">_xll.BDP($B114,V$6, "YAS_BOND_YLD="&amp;U114,"YAS_YLD_CONV=1")</f>
        <v>#N/A Requesting Data...</v>
      </c>
      <c r="W114" s="89">
        <f t="shared" ca="1" si="11"/>
        <v>86.763879028400623</v>
      </c>
      <c r="X114" s="24" t="e">
        <f t="shared" ca="1" si="7"/>
        <v>#VALUE!</v>
      </c>
      <c r="Y114" s="23">
        <f ca="1">_xll.meLWOBondDV01($N114,$C$4,$U114%)</f>
        <v>1051.9111299491606</v>
      </c>
      <c r="Z114" s="22" t="e">
        <f ca="1">_xll.BDP($B114,Z$6, "YLD_YTM_ASK="&amp;$U114,"YAS_YLD_CONV=33")*$Z$3*0.0001</f>
        <v>#VALUE!</v>
      </c>
      <c r="AA114" s="24" t="e">
        <f t="shared" ca="1" si="8"/>
        <v>#VALUE!</v>
      </c>
      <c r="AB114" s="23">
        <f ca="1">_xll.meLWOBondModifiedDuration($N114,$C$4,$U114%)</f>
        <v>12.080489288358379</v>
      </c>
      <c r="AC114" s="23" t="str">
        <f ca="1">_xll.BDP($B114,AC$6, "YLD_YTM_ASK="&amp;$U114,"YAS_YLD_CONV=1")</f>
        <v>#N/A Requesting Data...</v>
      </c>
      <c r="AD114" s="22" t="e">
        <f t="shared" ca="1" si="9"/>
        <v>#VALUE!</v>
      </c>
      <c r="AE114" s="24">
        <f ca="1">_xll.meLWOBondDV01Numerical($N114,$C$4,$U114%, 0.5, "CENTRAL")</f>
        <v>1033.3040744595226</v>
      </c>
    </row>
    <row r="115" spans="2:31">
      <c r="B115" s="15" t="s">
        <v>692</v>
      </c>
      <c r="C115" s="15" t="s">
        <v>693</v>
      </c>
      <c r="D115" s="15" t="s">
        <v>693</v>
      </c>
      <c r="E115" s="16">
        <v>41416</v>
      </c>
      <c r="F115" s="16" t="s">
        <v>333</v>
      </c>
      <c r="G115" s="19" t="str">
        <f t="shared" si="6"/>
        <v/>
      </c>
      <c r="H115" s="16" t="s">
        <v>333</v>
      </c>
      <c r="I115" s="16" t="s">
        <v>333</v>
      </c>
      <c r="J115" s="48">
        <v>0</v>
      </c>
      <c r="K115" s="16">
        <v>48823</v>
      </c>
      <c r="L115" s="49" t="s">
        <v>333</v>
      </c>
      <c r="M115" s="15" t="s">
        <v>297</v>
      </c>
      <c r="N115" s="20" t="str">
        <f ca="1">_xll.meLWOBondCreateFromGeneratorLVB(C115,$N$4,_xll.meUtilityLVBFromKeysValues($C$6:$M$6,C115:M115))</f>
        <v>IT0004976624:1</v>
      </c>
      <c r="O115" s="92">
        <f ca="1">_xll.BDP($B115,$O$5)</f>
        <v>3.6533351101857958</v>
      </c>
      <c r="P115" s="89">
        <f ca="1">_xll.meLWOBondCleanPrice($N115,$C$4,$O115%)</f>
        <v>58.64490522356909</v>
      </c>
      <c r="Q115" s="89">
        <f ca="1">_xll.meLWOBondDirtyPrice($N115,$C$4,$O115%)</f>
        <v>58.64490522356909</v>
      </c>
      <c r="R115" s="72">
        <f ca="1">_xll.meLWOBondYield($N115,$C$4,P115)</f>
        <v>3.6533351101858402E-2</v>
      </c>
      <c r="S115" s="89">
        <f ca="1">_xll.meLWOBondModifiedDuration($N115,$C$4,$O115%)</f>
        <v>14.608473615561614</v>
      </c>
      <c r="T115" s="23">
        <f ca="1">_xll.meLWOBondDV01($N115,$C$4,$O115%)</f>
        <v>856.71255064562058</v>
      </c>
      <c r="U115" s="85">
        <f t="shared" ca="1" si="10"/>
        <v>3.6533351101857958</v>
      </c>
      <c r="V115" s="22" t="str">
        <f ca="1">_xll.BDP($B115,V$6, "YAS_BOND_YLD="&amp;U115,"YAS_YLD_CONV=1")</f>
        <v>#N/A Requesting Data...</v>
      </c>
      <c r="W115" s="89">
        <f t="shared" ca="1" si="11"/>
        <v>58.64490522356909</v>
      </c>
      <c r="X115" s="24" t="e">
        <f t="shared" ca="1" si="7"/>
        <v>#VALUE!</v>
      </c>
      <c r="Y115" s="23">
        <f ca="1">_xll.meLWOBondDV01($N115,$C$4,$U115%)</f>
        <v>856.71255064562058</v>
      </c>
      <c r="Z115" s="22" t="e">
        <f ca="1">_xll.BDP($B115,Z$6, "YLD_YTM_ASK="&amp;$U115,"YAS_YLD_CONV=33")*$Z$3*0.0001</f>
        <v>#VALUE!</v>
      </c>
      <c r="AA115" s="24" t="e">
        <f t="shared" ca="1" si="8"/>
        <v>#VALUE!</v>
      </c>
      <c r="AB115" s="23">
        <f ca="1">_xll.meLWOBondModifiedDuration($N115,$C$4,$U115%)</f>
        <v>14.608473615561614</v>
      </c>
      <c r="AC115" s="23" t="str">
        <f ca="1">_xll.BDP($B115,AC$6, "YLD_YTM_ASK="&amp;$U115,"YAS_YLD_CONV=1")</f>
        <v>#N/A Requesting Data...</v>
      </c>
      <c r="AD115" s="22" t="e">
        <f t="shared" ca="1" si="9"/>
        <v>#VALUE!</v>
      </c>
      <c r="AE115" s="24">
        <f ca="1">_xll.meLWOBondDV01Numerical($N115,$C$4,$U115%, 0.5, "CENTRAL")</f>
        <v>841.48203657619547</v>
      </c>
    </row>
    <row r="116" spans="2:31">
      <c r="B116" s="15" t="s">
        <v>670</v>
      </c>
      <c r="C116" s="15" t="s">
        <v>671</v>
      </c>
      <c r="D116" s="15" t="s">
        <v>671</v>
      </c>
      <c r="E116" s="16">
        <v>41416</v>
      </c>
      <c r="F116" s="16" t="s">
        <v>333</v>
      </c>
      <c r="G116" s="19" t="str">
        <f t="shared" si="6"/>
        <v/>
      </c>
      <c r="H116" s="16" t="s">
        <v>333</v>
      </c>
      <c r="I116" s="16" t="s">
        <v>333</v>
      </c>
      <c r="J116" s="48">
        <v>0</v>
      </c>
      <c r="K116" s="16">
        <v>49004</v>
      </c>
      <c r="L116" s="49" t="s">
        <v>333</v>
      </c>
      <c r="M116" s="15" t="s">
        <v>297</v>
      </c>
      <c r="N116" s="20" t="str">
        <f ca="1">_xll.meLWOBondCreateFromGeneratorLVB(C116,$N$4,_xll.meUtilityLVBFromKeysValues($C$6:$M$6,C116:M116))</f>
        <v>IT0004976632:1</v>
      </c>
      <c r="O116" s="92">
        <f ca="1">_xll.BDP($B116,$O$5)</f>
        <v>3.8780664489763472</v>
      </c>
      <c r="P116" s="89">
        <f ca="1">_xll.meLWOBondCleanPrice($N116,$C$4,$O116%)</f>
        <v>55.715904522297535</v>
      </c>
      <c r="Q116" s="89">
        <f ca="1">_xll.meLWOBondDirtyPrice($N116,$C$4,$O116%)</f>
        <v>55.715904522297535</v>
      </c>
      <c r="R116" s="72">
        <f ca="1">_xll.meLWOBondYield($N116,$C$4,P116)</f>
        <v>3.8780664489764805E-2</v>
      </c>
      <c r="S116" s="89">
        <f ca="1">_xll.meLWOBondModifiedDuration($N116,$C$4,$O116%)</f>
        <v>15.083240974538988</v>
      </c>
      <c r="T116" s="23">
        <f ca="1">_xll.meLWOBondDV01($N116,$C$4,$O116%)</f>
        <v>840.37641402422025</v>
      </c>
      <c r="U116" s="85">
        <f t="shared" ca="1" si="10"/>
        <v>3.8780664489763472</v>
      </c>
      <c r="V116" s="22" t="str">
        <f ca="1">_xll.BDP($B116,V$6, "YAS_BOND_YLD="&amp;U116,"YAS_YLD_CONV=1")</f>
        <v>#N/A Requesting Data...</v>
      </c>
      <c r="W116" s="89">
        <f t="shared" ca="1" si="11"/>
        <v>55.715904522297535</v>
      </c>
      <c r="X116" s="24" t="e">
        <f t="shared" ca="1" si="7"/>
        <v>#VALUE!</v>
      </c>
      <c r="Y116" s="23">
        <f ca="1">_xll.meLWOBondDV01($N116,$C$4,$U116%)</f>
        <v>840.37641402422025</v>
      </c>
      <c r="Z116" s="22" t="e">
        <f ca="1">_xll.BDP($B116,Z$6, "YLD_YTM_ASK="&amp;$U116,"YAS_YLD_CONV=33")*$Z$3*0.0001</f>
        <v>#VALUE!</v>
      </c>
      <c r="AA116" s="24" t="e">
        <f t="shared" ca="1" si="8"/>
        <v>#VALUE!</v>
      </c>
      <c r="AB116" s="23">
        <f ca="1">_xll.meLWOBondModifiedDuration($N116,$C$4,$U116%)</f>
        <v>15.083240974538988</v>
      </c>
      <c r="AC116" s="23" t="str">
        <f ca="1">_xll.BDP($B116,AC$6, "YLD_YTM_ASK="&amp;$U116,"YAS_YLD_CONV=1")</f>
        <v>#N/A Requesting Data...</v>
      </c>
      <c r="AD116" s="22" t="e">
        <f t="shared" ca="1" si="9"/>
        <v>#VALUE!</v>
      </c>
      <c r="AE116" s="24">
        <f ca="1">_xll.meLWOBondDV01Numerical($N116,$C$4,$U116%, 0.5, "CENTRAL")</f>
        <v>824.54288119393493</v>
      </c>
    </row>
    <row r="117" spans="2:31">
      <c r="B117" s="15" t="s">
        <v>348</v>
      </c>
      <c r="C117" s="15" t="s">
        <v>349</v>
      </c>
      <c r="D117" s="15" t="s">
        <v>349</v>
      </c>
      <c r="E117" s="16">
        <v>37888</v>
      </c>
      <c r="F117" s="16">
        <v>37834</v>
      </c>
      <c r="G117" s="19" t="str">
        <f t="shared" si="6"/>
        <v/>
      </c>
      <c r="H117" s="16">
        <v>38018</v>
      </c>
      <c r="I117" s="16">
        <v>48976</v>
      </c>
      <c r="J117" s="48">
        <v>0.05</v>
      </c>
      <c r="K117" s="16">
        <v>49157</v>
      </c>
      <c r="L117" s="49">
        <v>98.106000000000009</v>
      </c>
      <c r="M117" s="15" t="s">
        <v>297</v>
      </c>
      <c r="N117" s="20" t="str">
        <f ca="1">_xll.meLWOBondCreateFromGeneratorLVB(C117,$N$4,_xll.meUtilityLVBFromKeysValues($C$6:$M$6,C117:M117))</f>
        <v>IT0003535157:1</v>
      </c>
      <c r="O117" s="92">
        <f ca="1">_xll.BDP($B117,$O$5)</f>
        <v>3.7918281978632562</v>
      </c>
      <c r="P117" s="89">
        <f ca="1">_xll.meLWOBondCleanPrice($N117,$C$4,$O117%)</f>
        <v>114.7010879434621</v>
      </c>
      <c r="Q117" s="89">
        <f ca="1">_xll.meLWOBondDirtyPrice($N117,$C$4,$O117%)</f>
        <v>115.7472879434621</v>
      </c>
      <c r="R117" s="72">
        <f ca="1">_xll.meLWOBondYield($N117,$C$4,P117)</f>
        <v>3.7918281978632562E-2</v>
      </c>
      <c r="S117" s="89">
        <f ca="1">_xll.meLWOBondModifiedDuration($N117,$C$4,$O117%)</f>
        <v>11.14166600948057</v>
      </c>
      <c r="T117" s="23">
        <f ca="1">_xll.meLWOBondDV01($N117,$C$4,$O117%)</f>
        <v>1289.6176237692318</v>
      </c>
      <c r="U117" s="85">
        <f t="shared" ca="1" si="10"/>
        <v>3.7918281978632562</v>
      </c>
      <c r="V117" s="22" t="str">
        <f ca="1">_xll.BDP($B117,V$6, "YAS_BOND_YLD="&amp;U117,"YAS_YLD_CONV=1")</f>
        <v>#N/A Requesting Data...</v>
      </c>
      <c r="W117" s="89">
        <f t="shared" ca="1" si="11"/>
        <v>114.7010879434621</v>
      </c>
      <c r="X117" s="24" t="e">
        <f t="shared" ca="1" si="7"/>
        <v>#VALUE!</v>
      </c>
      <c r="Y117" s="23">
        <f ca="1">_xll.meLWOBondDV01($N117,$C$4,$U117%)</f>
        <v>1289.6176237692318</v>
      </c>
      <c r="Z117" s="22" t="e">
        <f ca="1">_xll.BDP($B117,Z$6, "YLD_YTM_ASK="&amp;$U117,"YAS_YLD_CONV=33")*$Z$3*0.0001</f>
        <v>#VALUE!</v>
      </c>
      <c r="AA117" s="24" t="e">
        <f t="shared" ca="1" si="8"/>
        <v>#VALUE!</v>
      </c>
      <c r="AB117" s="23">
        <f ca="1">_xll.meLWOBondModifiedDuration($N117,$C$4,$U117%)</f>
        <v>11.14166600948057</v>
      </c>
      <c r="AC117" s="23" t="str">
        <f ca="1">_xll.BDP($B117,AC$6, "YLD_YTM_ASK="&amp;$U117,"YAS_YLD_CONV=1")</f>
        <v>#N/A Requesting Data...</v>
      </c>
      <c r="AD117" s="22" t="e">
        <f t="shared" ca="1" si="9"/>
        <v>#VALUE!</v>
      </c>
      <c r="AE117" s="24">
        <f ca="1">_xll.meLWOBondDV01Numerical($N117,$C$4,$U117%, 0.5, "CENTRAL")</f>
        <v>1265.9167270170713</v>
      </c>
    </row>
    <row r="118" spans="2:31">
      <c r="B118" s="15" t="s">
        <v>372</v>
      </c>
      <c r="C118" s="15" t="s">
        <v>373</v>
      </c>
      <c r="D118" s="15" t="s">
        <v>373</v>
      </c>
      <c r="E118" s="16">
        <v>37888</v>
      </c>
      <c r="F118" s="16" t="s">
        <v>333</v>
      </c>
      <c r="G118" s="19" t="str">
        <f t="shared" si="6"/>
        <v/>
      </c>
      <c r="H118" s="16" t="s">
        <v>333</v>
      </c>
      <c r="I118" s="16" t="s">
        <v>333</v>
      </c>
      <c r="J118" s="48">
        <v>0</v>
      </c>
      <c r="K118" s="16">
        <v>49157</v>
      </c>
      <c r="L118" s="49" t="s">
        <v>333</v>
      </c>
      <c r="M118" s="15" t="s">
        <v>297</v>
      </c>
      <c r="N118" s="20" t="str">
        <f ca="1">_xll.meLWOBondCreateFromGeneratorLVB(C118,$N$4,_xll.meUtilityLVBFromKeysValues($C$6:$M$6,C118:M118))</f>
        <v>IT0004848591:1</v>
      </c>
      <c r="O118" s="92">
        <f ca="1">_xll.BDP($B118,$O$5)</f>
        <v>3.8729410059041625</v>
      </c>
      <c r="P118" s="89">
        <f ca="1">_xll.meLWOBondCleanPrice($N118,$C$4,$O118%)</f>
        <v>54.880093923071897</v>
      </c>
      <c r="Q118" s="89">
        <f ca="1">_xll.meLWOBondDirtyPrice($N118,$C$4,$O118%)</f>
        <v>54.880093923071897</v>
      </c>
      <c r="R118" s="72">
        <f ca="1">_xll.meLWOBondYield($N118,$C$4,P118)</f>
        <v>3.8729410059043401E-2</v>
      </c>
      <c r="S118" s="89">
        <f ca="1">_xll.meLWOBondModifiedDuration($N118,$C$4,$O118%)</f>
        <v>15.493582273805602</v>
      </c>
      <c r="T118" s="23">
        <f ca="1">_xll.meLWOBondDV01($N118,$C$4,$O118%)</f>
        <v>850.28925039129331</v>
      </c>
      <c r="U118" s="85">
        <f t="shared" ca="1" si="10"/>
        <v>3.8729410059041625</v>
      </c>
      <c r="V118" s="22" t="str">
        <f ca="1">_xll.BDP($B118,V$6, "YAS_BOND_YLD="&amp;U118,"YAS_YLD_CONV=1")</f>
        <v>#N/A Requesting Data...</v>
      </c>
      <c r="W118" s="89">
        <f t="shared" ca="1" si="11"/>
        <v>54.880093923071897</v>
      </c>
      <c r="X118" s="24" t="e">
        <f t="shared" ca="1" si="7"/>
        <v>#VALUE!</v>
      </c>
      <c r="Y118" s="23">
        <f ca="1">_xll.meLWOBondDV01($N118,$C$4,$U118%)</f>
        <v>850.28925039129331</v>
      </c>
      <c r="Z118" s="22" t="e">
        <f ca="1">_xll.BDP($B118,Z$6, "YLD_YTM_ASK="&amp;$U118,"YAS_YLD_CONV=33")*$Z$3*0.0001</f>
        <v>#VALUE!</v>
      </c>
      <c r="AA118" s="24" t="e">
        <f t="shared" ca="1" si="8"/>
        <v>#VALUE!</v>
      </c>
      <c r="AB118" s="23">
        <f ca="1">_xll.meLWOBondModifiedDuration($N118,$C$4,$U118%)</f>
        <v>15.493582273805602</v>
      </c>
      <c r="AC118" s="23" t="str">
        <f ca="1">_xll.BDP($B118,AC$6, "YLD_YTM_ASK="&amp;$U118,"YAS_YLD_CONV=1")</f>
        <v>#N/A Requesting Data...</v>
      </c>
      <c r="AD118" s="22" t="e">
        <f t="shared" ca="1" si="9"/>
        <v>#VALUE!</v>
      </c>
      <c r="AE118" s="24">
        <f ca="1">_xll.meLWOBondDV01Numerical($N118,$C$4,$U118%, 0.5, "CENTRAL")</f>
        <v>834.28471306746144</v>
      </c>
    </row>
    <row r="119" spans="2:31">
      <c r="B119" s="15" t="s">
        <v>480</v>
      </c>
      <c r="C119" s="15" t="s">
        <v>481</v>
      </c>
      <c r="D119" s="15" t="s">
        <v>481</v>
      </c>
      <c r="E119" s="16">
        <v>37888</v>
      </c>
      <c r="F119" s="16" t="s">
        <v>333</v>
      </c>
      <c r="G119" s="19" t="str">
        <f t="shared" si="6"/>
        <v/>
      </c>
      <c r="H119" s="16" t="s">
        <v>333</v>
      </c>
      <c r="I119" s="16" t="s">
        <v>333</v>
      </c>
      <c r="J119" s="48">
        <v>0</v>
      </c>
      <c r="K119" s="16">
        <v>49157</v>
      </c>
      <c r="L119" s="49" t="s">
        <v>333</v>
      </c>
      <c r="M119" s="15" t="s">
        <v>297</v>
      </c>
      <c r="N119" s="20" t="str">
        <f ca="1">_xll.meLWOBondCreateFromGeneratorLVB(C119,$N$4,_xll.meUtilityLVBFromKeysValues($C$6:$M$6,C119:M119))</f>
        <v>IT0003540371:1</v>
      </c>
      <c r="O119" s="92">
        <f ca="1">_xll.BDP($B119,$O$5)</f>
        <v>3.8807370132414309</v>
      </c>
      <c r="P119" s="89">
        <f ca="1">_xll.meLWOBondCleanPrice($N119,$C$4,$O119%)</f>
        <v>54.815093997118112</v>
      </c>
      <c r="Q119" s="89">
        <f ca="1">_xll.meLWOBondDirtyPrice($N119,$C$4,$O119%)</f>
        <v>54.815093997118112</v>
      </c>
      <c r="R119" s="72">
        <f ca="1">_xll.meLWOBondYield($N119,$C$4,P119)</f>
        <v>3.8807370132416308E-2</v>
      </c>
      <c r="S119" s="89">
        <f ca="1">_xll.meLWOBondModifiedDuration($N119,$C$4,$O119%)</f>
        <v>15.493000884267657</v>
      </c>
      <c r="T119" s="23">
        <f ca="1">_xll.meLWOBondDV01($N119,$C$4,$O119%)</f>
        <v>849.25029976856558</v>
      </c>
      <c r="U119" s="85">
        <f t="shared" ca="1" si="10"/>
        <v>3.8807370132414309</v>
      </c>
      <c r="V119" s="22" t="str">
        <f ca="1">_xll.BDP($B119,V$6, "YAS_BOND_YLD="&amp;U119,"YAS_YLD_CONV=1")</f>
        <v>#N/A Requesting Data...</v>
      </c>
      <c r="W119" s="89">
        <f t="shared" ca="1" si="11"/>
        <v>54.815093997118112</v>
      </c>
      <c r="X119" s="24" t="e">
        <f t="shared" ca="1" si="7"/>
        <v>#VALUE!</v>
      </c>
      <c r="Y119" s="23">
        <f ca="1">_xll.meLWOBondDV01($N119,$C$4,$U119%)</f>
        <v>849.25029976856558</v>
      </c>
      <c r="Z119" s="22" t="e">
        <f ca="1">_xll.BDP($B119,Z$6, "YLD_YTM_ASK="&amp;$U119,"YAS_YLD_CONV=33")*$Z$3*0.0001</f>
        <v>#VALUE!</v>
      </c>
      <c r="AA119" s="24" t="e">
        <f t="shared" ca="1" si="8"/>
        <v>#VALUE!</v>
      </c>
      <c r="AB119" s="23">
        <f ca="1">_xll.meLWOBondModifiedDuration($N119,$C$4,$U119%)</f>
        <v>15.493000884267657</v>
      </c>
      <c r="AC119" s="23" t="str">
        <f ca="1">_xll.BDP($B119,AC$6, "YLD_YTM_ASK="&amp;$U119,"YAS_YLD_CONV=1")</f>
        <v>#N/A Requesting Data...</v>
      </c>
      <c r="AD119" s="22" t="e">
        <f t="shared" ca="1" si="9"/>
        <v>#VALUE!</v>
      </c>
      <c r="AE119" s="24">
        <f ca="1">_xll.meLWOBondDV01Numerical($N119,$C$4,$U119%, 0.5, "CENTRAL")</f>
        <v>833.23405014276375</v>
      </c>
    </row>
    <row r="120" spans="2:31">
      <c r="B120" s="15" t="s">
        <v>648</v>
      </c>
      <c r="C120" s="15" t="s">
        <v>649</v>
      </c>
      <c r="D120" s="15" t="s">
        <v>649</v>
      </c>
      <c r="E120" s="16">
        <v>37888</v>
      </c>
      <c r="F120" s="16" t="s">
        <v>333</v>
      </c>
      <c r="G120" s="19" t="str">
        <f t="shared" si="6"/>
        <v/>
      </c>
      <c r="H120" s="16" t="s">
        <v>333</v>
      </c>
      <c r="I120" s="16" t="s">
        <v>333</v>
      </c>
      <c r="J120" s="48">
        <v>0</v>
      </c>
      <c r="K120" s="16">
        <v>49157</v>
      </c>
      <c r="L120" s="49" t="s">
        <v>333</v>
      </c>
      <c r="M120" s="15" t="s">
        <v>297</v>
      </c>
      <c r="N120" s="20" t="str">
        <f ca="1">_xll.meLWOBondCreateFromGeneratorLVB(C120,$N$4,_xll.meUtilityLVBFromKeysValues($C$6:$M$6,C120:M120))</f>
        <v>IT0003540405:1</v>
      </c>
      <c r="O120" s="92">
        <f ca="1">_xll.BDP($B120,$O$5)</f>
        <v>3.9420065415648464</v>
      </c>
      <c r="P120" s="89">
        <f ca="1">_xll.meLWOBondCleanPrice($N120,$C$4,$O120%)</f>
        <v>54.307094568225068</v>
      </c>
      <c r="Q120" s="89">
        <f ca="1">_xll.meLWOBondDirtyPrice($N120,$C$4,$O120%)</f>
        <v>54.307094568225068</v>
      </c>
      <c r="R120" s="72">
        <f ca="1">_xll.meLWOBondYield($N120,$C$4,P120)</f>
        <v>3.9420065415650685E-2</v>
      </c>
      <c r="S120" s="89">
        <f ca="1">_xll.meLWOBondModifiedDuration($N120,$C$4,$O120%)</f>
        <v>15.488433968469636</v>
      </c>
      <c r="T120" s="23">
        <f ca="1">_xll.meLWOBondDV01($N120,$C$4,$O120%)</f>
        <v>841.13184823939002</v>
      </c>
      <c r="U120" s="85">
        <f t="shared" ca="1" si="10"/>
        <v>3.9420065415648464</v>
      </c>
      <c r="V120" s="22" t="str">
        <f ca="1">_xll.BDP($B120,V$6, "YAS_BOND_YLD="&amp;U120,"YAS_YLD_CONV=1")</f>
        <v>#N/A Requesting Data...</v>
      </c>
      <c r="W120" s="89">
        <f t="shared" ca="1" si="11"/>
        <v>54.307094568225068</v>
      </c>
      <c r="X120" s="24" t="e">
        <f t="shared" ca="1" si="7"/>
        <v>#VALUE!</v>
      </c>
      <c r="Y120" s="23">
        <f ca="1">_xll.meLWOBondDV01($N120,$C$4,$U120%)</f>
        <v>841.13184823939002</v>
      </c>
      <c r="Z120" s="22" t="e">
        <f ca="1">_xll.BDP($B120,Z$6, "YLD_YTM_ASK="&amp;$U120,"YAS_YLD_CONV=33")*$Z$3*0.0001</f>
        <v>#VALUE!</v>
      </c>
      <c r="AA120" s="24" t="e">
        <f t="shared" ca="1" si="8"/>
        <v>#VALUE!</v>
      </c>
      <c r="AB120" s="23">
        <f ca="1">_xll.meLWOBondModifiedDuration($N120,$C$4,$U120%)</f>
        <v>15.488433968469636</v>
      </c>
      <c r="AC120" s="23" t="str">
        <f ca="1">_xll.BDP($B120,AC$6, "YLD_YTM_ASK="&amp;$U120,"YAS_YLD_CONV=1")</f>
        <v>#N/A Requesting Data...</v>
      </c>
      <c r="AD120" s="22" t="e">
        <f t="shared" ca="1" si="9"/>
        <v>#VALUE!</v>
      </c>
      <c r="AE120" s="24">
        <f ca="1">_xll.meLWOBondDV01Numerical($N120,$C$4,$U120%, 0.5, "CENTRAL")</f>
        <v>825.02543986151977</v>
      </c>
    </row>
    <row r="121" spans="2:31">
      <c r="B121" s="15" t="s">
        <v>466</v>
      </c>
      <c r="C121" s="15" t="s">
        <v>467</v>
      </c>
      <c r="D121" s="15" t="s">
        <v>467</v>
      </c>
      <c r="E121" s="16">
        <v>38565</v>
      </c>
      <c r="F121" s="16" t="s">
        <v>333</v>
      </c>
      <c r="G121" s="19" t="str">
        <f t="shared" si="6"/>
        <v/>
      </c>
      <c r="H121" s="16" t="s">
        <v>333</v>
      </c>
      <c r="I121" s="16" t="s">
        <v>333</v>
      </c>
      <c r="J121" s="48">
        <v>0</v>
      </c>
      <c r="K121" s="16">
        <v>49341</v>
      </c>
      <c r="L121" s="49" t="s">
        <v>333</v>
      </c>
      <c r="M121" s="15" t="s">
        <v>297</v>
      </c>
      <c r="N121" s="20" t="str">
        <f ca="1">_xll.meLWOBondCreateFromGeneratorLVB(C121,$N$4,_xll.meUtilityLVBFromKeysValues($C$6:$M$6,C121:M121))</f>
        <v>IT0004002819:1</v>
      </c>
      <c r="O121" s="92">
        <f ca="1">_xll.BDP($B121,$O$5)</f>
        <v>3.9252901753439096</v>
      </c>
      <c r="P121" s="89">
        <f ca="1">_xll.meLWOBondCleanPrice($N121,$C$4,$O121%)</f>
        <v>53.407092614057142</v>
      </c>
      <c r="Q121" s="89">
        <f ca="1">_xll.meLWOBondDirtyPrice($N121,$C$4,$O121%)</f>
        <v>53.407092614057142</v>
      </c>
      <c r="R121" s="72">
        <f ca="1">_xll.meLWOBondYield($N121,$C$4,P121)</f>
        <v>3.925290175344176E-2</v>
      </c>
      <c r="S121" s="89">
        <f ca="1">_xll.meLWOBondModifiedDuration($N121,$C$4,$O121%)</f>
        <v>15.980146110612219</v>
      </c>
      <c r="T121" s="23">
        <f ca="1">_xll.meLWOBondDV01($N121,$C$4,$O121%)</f>
        <v>853.45314331563179</v>
      </c>
      <c r="U121" s="85">
        <f t="shared" ca="1" si="10"/>
        <v>3.9252901753439096</v>
      </c>
      <c r="V121" s="22" t="str">
        <f ca="1">_xll.BDP($B121,V$6, "YAS_BOND_YLD="&amp;U121,"YAS_YLD_CONV=1")</f>
        <v>#N/A Requesting Data...</v>
      </c>
      <c r="W121" s="89">
        <f t="shared" ca="1" si="11"/>
        <v>53.407092614057142</v>
      </c>
      <c r="X121" s="24" t="e">
        <f t="shared" ca="1" si="7"/>
        <v>#VALUE!</v>
      </c>
      <c r="Y121" s="23">
        <f ca="1">_xll.meLWOBondDV01($N121,$C$4,$U121%)</f>
        <v>853.45314331563179</v>
      </c>
      <c r="Z121" s="22" t="e">
        <f ca="1">_xll.BDP($B121,Z$6, "YLD_YTM_ASK="&amp;$U121,"YAS_YLD_CONV=33")*$Z$3*0.0001</f>
        <v>#VALUE!</v>
      </c>
      <c r="AA121" s="24" t="e">
        <f t="shared" ca="1" si="8"/>
        <v>#VALUE!</v>
      </c>
      <c r="AB121" s="23">
        <f ca="1">_xll.meLWOBondModifiedDuration($N121,$C$4,$U121%)</f>
        <v>15.980146110612219</v>
      </c>
      <c r="AC121" s="23" t="str">
        <f ca="1">_xll.BDP($B121,AC$6, "YLD_YTM_ASK="&amp;$U121,"YAS_YLD_CONV=1")</f>
        <v>#N/A Requesting Data...</v>
      </c>
      <c r="AD121" s="22" t="e">
        <f t="shared" ca="1" si="9"/>
        <v>#VALUE!</v>
      </c>
      <c r="AE121" s="24">
        <f ca="1">_xll.meLWOBondDV01Numerical($N121,$C$4,$U121%, 0.5, "CENTRAL")</f>
        <v>837.17820153481171</v>
      </c>
    </row>
    <row r="122" spans="2:31">
      <c r="B122" s="15" t="s">
        <v>620</v>
      </c>
      <c r="C122" s="15" t="s">
        <v>621</v>
      </c>
      <c r="D122" s="15" t="s">
        <v>621</v>
      </c>
      <c r="E122" s="16">
        <v>41416</v>
      </c>
      <c r="F122" s="16" t="s">
        <v>333</v>
      </c>
      <c r="G122" s="19" t="str">
        <f t="shared" si="6"/>
        <v/>
      </c>
      <c r="H122" s="16" t="s">
        <v>333</v>
      </c>
      <c r="I122" s="16" t="s">
        <v>333</v>
      </c>
      <c r="J122" s="48">
        <v>0</v>
      </c>
      <c r="K122" s="16">
        <v>49369</v>
      </c>
      <c r="L122" s="49" t="s">
        <v>333</v>
      </c>
      <c r="M122" s="15" t="s">
        <v>297</v>
      </c>
      <c r="N122" s="20" t="str">
        <f ca="1">_xll.meLWOBondCreateFromGeneratorLVB(C122,$N$4,_xll.meUtilityLVBFromKeysValues($C$6:$M$6,C122:M122))</f>
        <v>IT0004976657:1</v>
      </c>
      <c r="O122" s="92">
        <f ca="1">_xll.BDP($B122,$O$5)</f>
        <v>3.9314105351115014</v>
      </c>
      <c r="P122" s="89">
        <f ca="1">_xll.meLWOBondCleanPrice($N122,$C$4,$O122%)</f>
        <v>53.186907626172761</v>
      </c>
      <c r="Q122" s="89">
        <f ca="1">_xll.meLWOBondDirtyPrice($N122,$C$4,$O122%)</f>
        <v>53.186907626172761</v>
      </c>
      <c r="R122" s="72">
        <f ca="1">_xll.meLWOBondYield($N122,$C$4,P122)</f>
        <v>3.9314105351118123E-2</v>
      </c>
      <c r="S122" s="89">
        <f ca="1">_xll.meLWOBondModifiedDuration($N122,$C$4,$O122%)</f>
        <v>16.060273836529735</v>
      </c>
      <c r="T122" s="23">
        <f ca="1">_xll.meLWOBondDV01($N122,$C$4,$O122%)</f>
        <v>854.19630099454616</v>
      </c>
      <c r="U122" s="85">
        <f t="shared" ca="1" si="10"/>
        <v>3.9314105351115014</v>
      </c>
      <c r="V122" s="22" t="str">
        <f ca="1">_xll.BDP($B122,V$6, "YAS_BOND_YLD="&amp;U122,"YAS_YLD_CONV=1")</f>
        <v>#N/A Requesting Data...</v>
      </c>
      <c r="W122" s="89">
        <f t="shared" ca="1" si="11"/>
        <v>53.186907626172761</v>
      </c>
      <c r="X122" s="24" t="e">
        <f t="shared" ca="1" si="7"/>
        <v>#VALUE!</v>
      </c>
      <c r="Y122" s="23">
        <f ca="1">_xll.meLWOBondDV01($N122,$C$4,$U122%)</f>
        <v>854.19630099454616</v>
      </c>
      <c r="Z122" s="22" t="e">
        <f ca="1">_xll.BDP($B122,Z$6, "YLD_YTM_ASK="&amp;$U122,"YAS_YLD_CONV=33")*$Z$3*0.0001</f>
        <v>#VALUE!</v>
      </c>
      <c r="AA122" s="24" t="e">
        <f t="shared" ca="1" si="8"/>
        <v>#VALUE!</v>
      </c>
      <c r="AB122" s="23">
        <f ca="1">_xll.meLWOBondModifiedDuration($N122,$C$4,$U122%)</f>
        <v>16.060273836529735</v>
      </c>
      <c r="AC122" s="23" t="str">
        <f ca="1">_xll.BDP($B122,AC$6, "YLD_YTM_ASK="&amp;$U122,"YAS_YLD_CONV=1")</f>
        <v>#N/A Requesting Data...</v>
      </c>
      <c r="AD122" s="22" t="e">
        <f t="shared" ca="1" si="9"/>
        <v>#VALUE!</v>
      </c>
      <c r="AE122" s="24">
        <f ca="1">_xll.meLWOBondDV01Numerical($N122,$C$4,$U122%, 0.5, "CENTRAL")</f>
        <v>837.88713802931625</v>
      </c>
    </row>
    <row r="123" spans="2:31">
      <c r="B123" s="15" t="s">
        <v>654</v>
      </c>
      <c r="C123" s="15" t="s">
        <v>655</v>
      </c>
      <c r="D123" s="15" t="s">
        <v>655</v>
      </c>
      <c r="E123" s="16">
        <v>40072</v>
      </c>
      <c r="F123" s="16" t="s">
        <v>333</v>
      </c>
      <c r="G123" s="19" t="str">
        <f t="shared" si="6"/>
        <v/>
      </c>
      <c r="H123" s="16" t="s">
        <v>333</v>
      </c>
      <c r="I123" s="16" t="s">
        <v>333</v>
      </c>
      <c r="J123" s="48">
        <v>0</v>
      </c>
      <c r="K123" s="16">
        <v>49369</v>
      </c>
      <c r="L123" s="49" t="s">
        <v>333</v>
      </c>
      <c r="M123" s="15" t="s">
        <v>297</v>
      </c>
      <c r="N123" s="20" t="str">
        <f ca="1">_xll.meLWOBondCreateFromGeneratorLVB(C123,$N$4,_xll.meUtilityLVBFromKeysValues($C$6:$M$6,C123:M123))</f>
        <v>IT0004534480:1</v>
      </c>
      <c r="O123" s="92">
        <f ca="1">_xll.BDP($B123,$O$5)</f>
        <v>3.9435964284018521</v>
      </c>
      <c r="P123" s="89">
        <f ca="1">_xll.meLWOBondCleanPrice($N123,$C$4,$O123%)</f>
        <v>53.084907523007708</v>
      </c>
      <c r="Q123" s="89">
        <f ca="1">_xll.meLWOBondDirtyPrice($N123,$C$4,$O123%)</f>
        <v>53.084907523007708</v>
      </c>
      <c r="R123" s="72">
        <f ca="1">_xll.meLWOBondYield($N123,$C$4,P123)</f>
        <v>3.9435964284022296E-2</v>
      </c>
      <c r="S123" s="89">
        <f ca="1">_xll.meLWOBondModifiedDuration($N123,$C$4,$O123%)</f>
        <v>16.059332390754051</v>
      </c>
      <c r="T123" s="23">
        <f ca="1">_xll.meLWOBondDV01($N123,$C$4,$O123%)</f>
        <v>852.50817484442109</v>
      </c>
      <c r="U123" s="85">
        <f t="shared" ca="1" si="10"/>
        <v>3.9435964284018521</v>
      </c>
      <c r="V123" s="22" t="str">
        <f ca="1">_xll.BDP($B123,V$6, "YAS_BOND_YLD="&amp;U123,"YAS_YLD_CONV=1")</f>
        <v>#N/A Requesting Data...</v>
      </c>
      <c r="W123" s="89">
        <f t="shared" ca="1" si="11"/>
        <v>53.084907523007708</v>
      </c>
      <c r="X123" s="24" t="e">
        <f t="shared" ca="1" si="7"/>
        <v>#VALUE!</v>
      </c>
      <c r="Y123" s="23">
        <f ca="1">_xll.meLWOBondDV01($N123,$C$4,$U123%)</f>
        <v>852.50817484442109</v>
      </c>
      <c r="Z123" s="22" t="e">
        <f ca="1">_xll.BDP($B123,Z$6, "YLD_YTM_ASK="&amp;$U123,"YAS_YLD_CONV=33")*$Z$3*0.0001</f>
        <v>#VALUE!</v>
      </c>
      <c r="AA123" s="24" t="e">
        <f t="shared" ca="1" si="8"/>
        <v>#VALUE!</v>
      </c>
      <c r="AB123" s="23">
        <f ca="1">_xll.meLWOBondModifiedDuration($N123,$C$4,$U123%)</f>
        <v>16.059332390754051</v>
      </c>
      <c r="AC123" s="23" t="str">
        <f ca="1">_xll.BDP($B123,AC$6, "YLD_YTM_ASK="&amp;$U123,"YAS_YLD_CONV=1")</f>
        <v>#N/A Requesting Data...</v>
      </c>
      <c r="AD123" s="22" t="e">
        <f t="shared" ca="1" si="9"/>
        <v>#VALUE!</v>
      </c>
      <c r="AE123" s="24">
        <f ca="1">_xll.meLWOBondDV01Numerical($N123,$C$4,$U123%, 0.5, "CENTRAL")</f>
        <v>836.18222375150708</v>
      </c>
    </row>
    <row r="124" spans="2:31">
      <c r="B124" s="15" t="s">
        <v>528</v>
      </c>
      <c r="C124" s="15" t="s">
        <v>529</v>
      </c>
      <c r="D124" s="15" t="s">
        <v>529</v>
      </c>
      <c r="E124" s="16">
        <v>38565</v>
      </c>
      <c r="F124" s="16" t="s">
        <v>333</v>
      </c>
      <c r="G124" s="19" t="str">
        <f t="shared" si="6"/>
        <v/>
      </c>
      <c r="H124" s="16" t="s">
        <v>333</v>
      </c>
      <c r="I124" s="16" t="s">
        <v>333</v>
      </c>
      <c r="J124" s="48">
        <v>0</v>
      </c>
      <c r="K124" s="16">
        <v>49522</v>
      </c>
      <c r="L124" s="49" t="s">
        <v>333</v>
      </c>
      <c r="M124" s="15" t="s">
        <v>297</v>
      </c>
      <c r="N124" s="20" t="str">
        <f ca="1">_xll.meLWOBondCreateFromGeneratorLVB(C124,$N$4,_xll.meUtilityLVBFromKeysValues($C$6:$M$6,C124:M124))</f>
        <v>IT0004002827:1</v>
      </c>
      <c r="O124" s="92">
        <f ca="1">_xll.BDP($B124,$O$5)</f>
        <v>3.9172256043302323</v>
      </c>
      <c r="P124" s="89">
        <f ca="1">_xll.meLWOBondCleanPrice($N124,$C$4,$O124%)</f>
        <v>52.457090783216188</v>
      </c>
      <c r="Q124" s="89">
        <f ca="1">_xll.meLWOBondDirtyPrice($N124,$C$4,$O124%)</f>
        <v>52.457090783216188</v>
      </c>
      <c r="R124" s="72">
        <f ca="1">_xll.meLWOBondYield($N124,$C$4,P124)</f>
        <v>3.9172256043306541E-2</v>
      </c>
      <c r="S124" s="89">
        <f ca="1">_xll.meLWOBondModifiedDuration($N124,$C$4,$O124%)</f>
        <v>16.471251741254108</v>
      </c>
      <c r="T124" s="23">
        <f ca="1">_xll.meLWOBondDV01($N124,$C$4,$O124%)</f>
        <v>864.0339479041744</v>
      </c>
      <c r="U124" s="85">
        <f t="shared" ca="1" si="10"/>
        <v>3.9172256043302323</v>
      </c>
      <c r="V124" s="22" t="str">
        <f ca="1">_xll.BDP($B124,V$6, "YAS_BOND_YLD="&amp;U124,"YAS_YLD_CONV=1")</f>
        <v>#N/A Requesting Data...</v>
      </c>
      <c r="W124" s="89">
        <f t="shared" ca="1" si="11"/>
        <v>52.457090783216188</v>
      </c>
      <c r="X124" s="24" t="e">
        <f t="shared" ca="1" si="7"/>
        <v>#VALUE!</v>
      </c>
      <c r="Y124" s="23">
        <f ca="1">_xll.meLWOBondDV01($N124,$C$4,$U124%)</f>
        <v>864.0339479041744</v>
      </c>
      <c r="Z124" s="22" t="e">
        <f ca="1">_xll.BDP($B124,Z$6, "YLD_YTM_ASK="&amp;$U124,"YAS_YLD_CONV=33")*$Z$3*0.0001</f>
        <v>#VALUE!</v>
      </c>
      <c r="AA124" s="24" t="e">
        <f t="shared" ca="1" si="8"/>
        <v>#VALUE!</v>
      </c>
      <c r="AB124" s="23">
        <f ca="1">_xll.meLWOBondModifiedDuration($N124,$C$4,$U124%)</f>
        <v>16.471251741254108</v>
      </c>
      <c r="AC124" s="23" t="str">
        <f ca="1">_xll.BDP($B124,AC$6, "YLD_YTM_ASK="&amp;$U124,"YAS_YLD_CONV=1")</f>
        <v>#N/A Requesting Data...</v>
      </c>
      <c r="AD124" s="22" t="e">
        <f t="shared" ca="1" si="9"/>
        <v>#VALUE!</v>
      </c>
      <c r="AE124" s="24">
        <f ca="1">_xll.meLWOBondDV01Numerical($N124,$C$4,$U124%, 0.5, "CENTRAL")</f>
        <v>847.59019796557322</v>
      </c>
    </row>
    <row r="125" spans="2:31">
      <c r="B125" s="15" t="s">
        <v>464</v>
      </c>
      <c r="C125" s="15" t="s">
        <v>465</v>
      </c>
      <c r="D125" s="15" t="s">
        <v>465</v>
      </c>
      <c r="E125" s="16">
        <v>41416</v>
      </c>
      <c r="F125" s="16" t="s">
        <v>333</v>
      </c>
      <c r="G125" s="19" t="str">
        <f t="shared" si="6"/>
        <v/>
      </c>
      <c r="H125" s="16" t="s">
        <v>333</v>
      </c>
      <c r="I125" s="16" t="s">
        <v>333</v>
      </c>
      <c r="J125" s="48">
        <v>0</v>
      </c>
      <c r="K125" s="16">
        <v>49553</v>
      </c>
      <c r="L125" s="49" t="s">
        <v>333</v>
      </c>
      <c r="M125" s="15" t="s">
        <v>297</v>
      </c>
      <c r="N125" s="20" t="str">
        <f ca="1">_xll.meLWOBondCreateFromGeneratorLVB(C125,$N$4,_xll.meUtilityLVBFromKeysValues($C$6:$M$6,C125:M125))</f>
        <v>IT0004976665:1</v>
      </c>
      <c r="O125" s="92">
        <f ca="1">_xll.BDP($B125,$O$5)</f>
        <v>3.8782122346193937</v>
      </c>
      <c r="P125" s="89">
        <f ca="1">_xll.meLWOBondCleanPrice($N125,$C$4,$O125%)</f>
        <v>52.613029393712765</v>
      </c>
      <c r="Q125" s="89">
        <f ca="1">_xll.meLWOBondDirtyPrice($N125,$C$4,$O125%)</f>
        <v>52.613029393712765</v>
      </c>
      <c r="R125" s="72">
        <f ca="1">_xll.meLWOBondYield($N125,$C$4,P125)</f>
        <v>3.8782122346197045E-2</v>
      </c>
      <c r="S125" s="89">
        <f ca="1">_xll.meLWOBondModifiedDuration($N125,$C$4,$O125%)</f>
        <v>16.554963382682011</v>
      </c>
      <c r="T125" s="23">
        <f ca="1">_xll.meLWOBondDV01($N125,$C$4,$O125%)</f>
        <v>871.00677506488717</v>
      </c>
      <c r="U125" s="85">
        <f t="shared" ca="1" si="10"/>
        <v>3.8782122346193937</v>
      </c>
      <c r="V125" s="22" t="str">
        <f ca="1">_xll.BDP($B125,V$6, "YAS_BOND_YLD="&amp;U125,"YAS_YLD_CONV=1")</f>
        <v>#N/A Requesting Data...</v>
      </c>
      <c r="W125" s="89">
        <f t="shared" ca="1" si="11"/>
        <v>52.613029393712765</v>
      </c>
      <c r="X125" s="24" t="e">
        <f t="shared" ca="1" si="7"/>
        <v>#VALUE!</v>
      </c>
      <c r="Y125" s="23">
        <f ca="1">_xll.meLWOBondDV01($N125,$C$4,$U125%)</f>
        <v>871.00677506488717</v>
      </c>
      <c r="Z125" s="22" t="e">
        <f ca="1">_xll.BDP($B125,Z$6, "YLD_YTM_ASK="&amp;$U125,"YAS_YLD_CONV=33")*$Z$3*0.0001</f>
        <v>#VALUE!</v>
      </c>
      <c r="AA125" s="24" t="e">
        <f t="shared" ca="1" si="8"/>
        <v>#VALUE!</v>
      </c>
      <c r="AB125" s="23">
        <f ca="1">_xll.meLWOBondModifiedDuration($N125,$C$4,$U125%)</f>
        <v>16.554963382682011</v>
      </c>
      <c r="AC125" s="23" t="str">
        <f ca="1">_xll.BDP($B125,AC$6, "YLD_YTM_ASK="&amp;$U125,"YAS_YLD_CONV=1")</f>
        <v>#N/A Requesting Data...</v>
      </c>
      <c r="AD125" s="22" t="e">
        <f t="shared" ca="1" si="9"/>
        <v>#VALUE!</v>
      </c>
      <c r="AE125" s="24">
        <f ca="1">_xll.meLWOBondDV01Numerical($N125,$C$4,$U125%, 0.5, "CENTRAL")</f>
        <v>854.87059586519365</v>
      </c>
    </row>
    <row r="126" spans="2:31">
      <c r="B126" s="15" t="s">
        <v>618</v>
      </c>
      <c r="C126" s="15" t="s">
        <v>619</v>
      </c>
      <c r="D126" s="15" t="s">
        <v>619</v>
      </c>
      <c r="E126" s="16">
        <v>38565</v>
      </c>
      <c r="F126" s="16" t="s">
        <v>333</v>
      </c>
      <c r="G126" s="19" t="str">
        <f t="shared" si="6"/>
        <v/>
      </c>
      <c r="H126" s="16" t="s">
        <v>333</v>
      </c>
      <c r="I126" s="16" t="s">
        <v>333</v>
      </c>
      <c r="J126" s="48">
        <v>0</v>
      </c>
      <c r="K126" s="16">
        <v>49706</v>
      </c>
      <c r="L126" s="49" t="s">
        <v>333</v>
      </c>
      <c r="M126" s="15" t="s">
        <v>297</v>
      </c>
      <c r="N126" s="20" t="str">
        <f ca="1">_xll.meLWOBondCreateFromGeneratorLVB(C126,$N$4,_xll.meUtilityLVBFromKeysValues($C$6:$M$6,C126:M126))</f>
        <v>IT0004002835:1</v>
      </c>
      <c r="O126" s="92">
        <f ca="1">_xll.BDP($B126,$O$5)</f>
        <v>3.9077503133743141</v>
      </c>
      <c r="P126" s="89">
        <f ca="1">_xll.meLWOBondCleanPrice($N126,$C$4,$O126%)</f>
        <v>51.540088984452204</v>
      </c>
      <c r="Q126" s="89">
        <f ca="1">_xll.meLWOBondDirtyPrice($N126,$C$4,$O126%)</f>
        <v>51.540088984452204</v>
      </c>
      <c r="R126" s="72">
        <f ca="1">_xll.meLWOBondYield($N126,$C$4,P126)</f>
        <v>3.9077503133748248E-2</v>
      </c>
      <c r="S126" s="89">
        <f ca="1">_xll.meLWOBondModifiedDuration($N126,$C$4,$O126%)</f>
        <v>16.96251065670835</v>
      </c>
      <c r="T126" s="23">
        <f ca="1">_xll.meLWOBondDV01($N126,$C$4,$O126%)</f>
        <v>874.24930864646717</v>
      </c>
      <c r="U126" s="85">
        <f t="shared" ca="1" si="10"/>
        <v>3.9077503133743141</v>
      </c>
      <c r="V126" s="22" t="str">
        <f ca="1">_xll.BDP($B126,V$6, "YAS_BOND_YLD="&amp;U126,"YAS_YLD_CONV=1")</f>
        <v>#N/A Requesting Data...</v>
      </c>
      <c r="W126" s="89">
        <f t="shared" ca="1" si="11"/>
        <v>51.540088984452204</v>
      </c>
      <c r="X126" s="24" t="e">
        <f t="shared" ca="1" si="7"/>
        <v>#VALUE!</v>
      </c>
      <c r="Y126" s="23">
        <f ca="1">_xll.meLWOBondDV01($N126,$C$4,$U126%)</f>
        <v>874.24930864646717</v>
      </c>
      <c r="Z126" s="22" t="e">
        <f ca="1">_xll.BDP($B126,Z$6, "YLD_YTM_ASK="&amp;$U126,"YAS_YLD_CONV=33")*$Z$3*0.0001</f>
        <v>#VALUE!</v>
      </c>
      <c r="AA126" s="24" t="e">
        <f t="shared" ca="1" si="8"/>
        <v>#VALUE!</v>
      </c>
      <c r="AB126" s="23">
        <f ca="1">_xll.meLWOBondModifiedDuration($N126,$C$4,$U126%)</f>
        <v>16.96251065670835</v>
      </c>
      <c r="AC126" s="23" t="str">
        <f ca="1">_xll.BDP($B126,AC$6, "YLD_YTM_ASK="&amp;$U126,"YAS_YLD_CONV=1")</f>
        <v>#N/A Requesting Data...</v>
      </c>
      <c r="AD126" s="22" t="e">
        <f t="shared" ca="1" si="9"/>
        <v>#VALUE!</v>
      </c>
      <c r="AE126" s="24">
        <f ca="1">_xll.meLWOBondDV01Numerical($N126,$C$4,$U126%, 0.5, "CENTRAL")</f>
        <v>857.65032073148006</v>
      </c>
    </row>
    <row r="127" spans="2:31">
      <c r="B127" s="15" t="s">
        <v>472</v>
      </c>
      <c r="C127" s="15" t="s">
        <v>473</v>
      </c>
      <c r="D127" s="15" t="s">
        <v>473</v>
      </c>
      <c r="E127" s="16">
        <v>41416</v>
      </c>
      <c r="F127" s="16" t="s">
        <v>333</v>
      </c>
      <c r="G127" s="19" t="str">
        <f t="shared" si="6"/>
        <v/>
      </c>
      <c r="H127" s="16" t="s">
        <v>333</v>
      </c>
      <c r="I127" s="16" t="s">
        <v>333</v>
      </c>
      <c r="J127" s="48">
        <v>0</v>
      </c>
      <c r="K127" s="16">
        <v>49735</v>
      </c>
      <c r="L127" s="49" t="s">
        <v>333</v>
      </c>
      <c r="M127" s="15" t="s">
        <v>297</v>
      </c>
      <c r="N127" s="20" t="str">
        <f ca="1">_xll.meLWOBondCreateFromGeneratorLVB(C127,$N$4,_xll.meUtilityLVBFromKeysValues($C$6:$M$6,C127:M127))</f>
        <v>IT0004976673:1</v>
      </c>
      <c r="O127" s="92">
        <f ca="1">_xll.BDP($B127,$O$5)</f>
        <v>3.8147266358071752</v>
      </c>
      <c r="P127" s="89">
        <f ca="1">_xll.meLWOBondCleanPrice($N127,$C$4,$O127%)</f>
        <v>52.172912026704722</v>
      </c>
      <c r="Q127" s="89">
        <f ca="1">_xll.meLWOBondDirtyPrice($N127,$C$4,$O127%)</f>
        <v>52.172912026704722</v>
      </c>
      <c r="R127" s="72">
        <f ca="1">_xll.meLWOBondYield($N127,$C$4,P127)</f>
        <v>3.8147266358075749E-2</v>
      </c>
      <c r="S127" s="89">
        <f ca="1">_xll.meLWOBondModifiedDuration($N127,$C$4,$O127%)</f>
        <v>17.050752161926479</v>
      </c>
      <c r="T127" s="23">
        <f ca="1">_xll.meLWOBondDV01($N127,$C$4,$O127%)</f>
        <v>889.58739253333556</v>
      </c>
      <c r="U127" s="85">
        <f t="shared" ca="1" si="10"/>
        <v>3.8147266358071752</v>
      </c>
      <c r="V127" s="22" t="str">
        <f ca="1">_xll.BDP($B127,V$6, "YAS_BOND_YLD="&amp;U127,"YAS_YLD_CONV=1")</f>
        <v>#N/A Requesting Data...</v>
      </c>
      <c r="W127" s="89">
        <f t="shared" ca="1" si="11"/>
        <v>52.172912026704722</v>
      </c>
      <c r="X127" s="24" t="e">
        <f t="shared" ca="1" si="7"/>
        <v>#VALUE!</v>
      </c>
      <c r="Y127" s="23">
        <f ca="1">_xll.meLWOBondDV01($N127,$C$4,$U127%)</f>
        <v>889.58739253333556</v>
      </c>
      <c r="Z127" s="22" t="e">
        <f ca="1">_xll.BDP($B127,Z$6, "YLD_YTM_ASK="&amp;$U127,"YAS_YLD_CONV=33")*$Z$3*0.0001</f>
        <v>#VALUE!</v>
      </c>
      <c r="AA127" s="24" t="e">
        <f t="shared" ca="1" si="8"/>
        <v>#VALUE!</v>
      </c>
      <c r="AB127" s="23">
        <f ca="1">_xll.meLWOBondModifiedDuration($N127,$C$4,$U127%)</f>
        <v>17.050752161926479</v>
      </c>
      <c r="AC127" s="23" t="str">
        <f ca="1">_xll.BDP($B127,AC$6, "YLD_YTM_ASK="&amp;$U127,"YAS_YLD_CONV=1")</f>
        <v>#N/A Requesting Data...</v>
      </c>
      <c r="AD127" s="22" t="e">
        <f t="shared" ca="1" si="9"/>
        <v>#VALUE!</v>
      </c>
      <c r="AE127" s="24">
        <f ca="1">_xll.meLWOBondDV01Numerical($N127,$C$4,$U127%, 0.5, "CENTRAL")</f>
        <v>873.36576025528245</v>
      </c>
    </row>
    <row r="128" spans="2:31">
      <c r="B128" s="15" t="s">
        <v>522</v>
      </c>
      <c r="C128" s="15" t="s">
        <v>523</v>
      </c>
      <c r="D128" s="15" t="s">
        <v>523</v>
      </c>
      <c r="E128" s="16">
        <v>38565</v>
      </c>
      <c r="F128" s="16" t="s">
        <v>333</v>
      </c>
      <c r="G128" s="19" t="str">
        <f t="shared" si="6"/>
        <v/>
      </c>
      <c r="H128" s="16" t="s">
        <v>333</v>
      </c>
      <c r="I128" s="16" t="s">
        <v>333</v>
      </c>
      <c r="J128" s="48">
        <v>0</v>
      </c>
      <c r="K128" s="16">
        <v>49888</v>
      </c>
      <c r="L128" s="49" t="s">
        <v>333</v>
      </c>
      <c r="M128" s="15" t="s">
        <v>297</v>
      </c>
      <c r="N128" s="20" t="str">
        <f ca="1">_xll.meLWOBondCreateFromGeneratorLVB(C128,$N$4,_xll.meUtilityLVBFromKeysValues($C$6:$M$6,C128:M128))</f>
        <v>IT0004002843:1</v>
      </c>
      <c r="O128" s="92">
        <f ca="1">_xll.BDP($B128,$O$5)</f>
        <v>3.8644362010708866</v>
      </c>
      <c r="P128" s="89">
        <f ca="1">_xll.meLWOBondCleanPrice($N128,$C$4,$O128%)</f>
        <v>50.938086988376384</v>
      </c>
      <c r="Q128" s="89">
        <f ca="1">_xll.meLWOBondDirtyPrice($N128,$C$4,$O128%)</f>
        <v>50.938086988376384</v>
      </c>
      <c r="R128" s="72">
        <f ca="1">_xll.meLWOBondYield($N128,$C$4,P128)</f>
        <v>3.8644362010714417E-2</v>
      </c>
      <c r="S128" s="89">
        <f ca="1">_xll.meLWOBondModifiedDuration($N128,$C$4,$O128%)</f>
        <v>17.456657384118763</v>
      </c>
      <c r="T128" s="23">
        <f ca="1">_xll.meLWOBondDV01($N128,$C$4,$O128%)</f>
        <v>889.20873235852446</v>
      </c>
      <c r="U128" s="85">
        <f t="shared" ca="1" si="10"/>
        <v>3.8644362010708866</v>
      </c>
      <c r="V128" s="22" t="str">
        <f ca="1">_xll.BDP($B128,V$6, "YAS_BOND_YLD="&amp;U128,"YAS_YLD_CONV=1")</f>
        <v>#N/A Requesting Data...</v>
      </c>
      <c r="W128" s="89">
        <f t="shared" ca="1" si="11"/>
        <v>50.938086988376384</v>
      </c>
      <c r="X128" s="24" t="e">
        <f t="shared" ca="1" si="7"/>
        <v>#VALUE!</v>
      </c>
      <c r="Y128" s="23">
        <f ca="1">_xll.meLWOBondDV01($N128,$C$4,$U128%)</f>
        <v>889.20873235852446</v>
      </c>
      <c r="Z128" s="22" t="e">
        <f ca="1">_xll.BDP($B128,Z$6, "YLD_YTM_ASK="&amp;$U128,"YAS_YLD_CONV=33")*$Z$3*0.0001</f>
        <v>#VALUE!</v>
      </c>
      <c r="AA128" s="24" t="e">
        <f t="shared" ca="1" si="8"/>
        <v>#VALUE!</v>
      </c>
      <c r="AB128" s="23">
        <f ca="1">_xll.meLWOBondModifiedDuration($N128,$C$4,$U128%)</f>
        <v>17.456657384118763</v>
      </c>
      <c r="AC128" s="23" t="str">
        <f ca="1">_xll.BDP($B128,AC$6, "YLD_YTM_ASK="&amp;$U128,"YAS_YLD_CONV=1")</f>
        <v>#N/A Requesting Data...</v>
      </c>
      <c r="AD128" s="22" t="e">
        <f t="shared" ca="1" si="9"/>
        <v>#VALUE!</v>
      </c>
      <c r="AE128" s="24">
        <f ca="1">_xll.meLWOBondDV01Numerical($N128,$C$4,$U128%, 0.5, "CENTRAL")</f>
        <v>872.50765886970783</v>
      </c>
    </row>
    <row r="129" spans="2:31">
      <c r="B129" s="15" t="s">
        <v>310</v>
      </c>
      <c r="C129" s="15" t="s">
        <v>311</v>
      </c>
      <c r="D129" s="15" t="s">
        <v>311</v>
      </c>
      <c r="E129" s="16">
        <v>42486</v>
      </c>
      <c r="F129" s="16">
        <v>42430</v>
      </c>
      <c r="G129" s="19" t="str">
        <f t="shared" si="6"/>
        <v/>
      </c>
      <c r="H129" s="16">
        <v>42614</v>
      </c>
      <c r="I129" s="16">
        <v>49735</v>
      </c>
      <c r="J129" s="48">
        <v>2.2499999999999999E-2</v>
      </c>
      <c r="K129" s="16">
        <v>49919</v>
      </c>
      <c r="L129" s="49">
        <v>99.367999999999995</v>
      </c>
      <c r="M129" s="15" t="s">
        <v>297</v>
      </c>
      <c r="N129" s="20" t="str">
        <f ca="1">_xll.meLWOBondCreateFromGeneratorLVB(C129,$N$4,_xll.meUtilityLVBFromKeysValues($C$6:$M$6,C129:M129))</f>
        <v>IT0005177909:1</v>
      </c>
      <c r="O129" s="92">
        <f ca="1">_xll.BDP($B129,$O$5)</f>
        <v>3.6515306400632497</v>
      </c>
      <c r="P129" s="89">
        <f ca="1">_xll.meLWOBondCleanPrice($N129,$C$4,$O129%)</f>
        <v>82.096885966453897</v>
      </c>
      <c r="Q129" s="89">
        <f ca="1">_xll.meLWOBondDirtyPrice($N129,$C$4,$O129%)</f>
        <v>82.382795966453898</v>
      </c>
      <c r="R129" s="72">
        <f ca="1">_xll.meLWOBondYield($N129,$C$4,P129)</f>
        <v>3.6515306400632497E-2</v>
      </c>
      <c r="S129" s="89">
        <f ca="1">_xll.meLWOBondModifiedDuration($N129,$C$4,$O129%)</f>
        <v>14.115829244007497</v>
      </c>
      <c r="T129" s="23">
        <f ca="1">_xll.meLWOBondDV01($N129,$C$4,$O129%)</f>
        <v>1162.9014805063728</v>
      </c>
      <c r="U129" s="85">
        <f t="shared" ca="1" si="10"/>
        <v>3.6515306400632497</v>
      </c>
      <c r="V129" s="22" t="str">
        <f ca="1">_xll.BDP($B129,V$6, "YAS_BOND_YLD="&amp;U129,"YAS_YLD_CONV=1")</f>
        <v>#N/A Requesting Data...</v>
      </c>
      <c r="W129" s="89">
        <f t="shared" ca="1" si="11"/>
        <v>82.096885966453897</v>
      </c>
      <c r="X129" s="24" t="e">
        <f t="shared" ca="1" si="7"/>
        <v>#VALUE!</v>
      </c>
      <c r="Y129" s="23">
        <f ca="1">_xll.meLWOBondDV01($N129,$C$4,$U129%)</f>
        <v>1162.9014805063728</v>
      </c>
      <c r="Z129" s="22" t="e">
        <f ca="1">_xll.BDP($B129,Z$6, "YLD_YTM_ASK="&amp;$U129,"YAS_YLD_CONV=33")*$Z$3*0.0001</f>
        <v>#VALUE!</v>
      </c>
      <c r="AA129" s="24" t="e">
        <f t="shared" ca="1" si="8"/>
        <v>#VALUE!</v>
      </c>
      <c r="AB129" s="23">
        <f ca="1">_xll.meLWOBondModifiedDuration($N129,$C$4,$U129%)</f>
        <v>14.115829244007497</v>
      </c>
      <c r="AC129" s="23" t="str">
        <f ca="1">_xll.BDP($B129,AC$6, "YLD_YTM_ASK="&amp;$U129,"YAS_YLD_CONV=1")</f>
        <v>#N/A Requesting Data...</v>
      </c>
      <c r="AD129" s="22" t="e">
        <f t="shared" ca="1" si="9"/>
        <v>#VALUE!</v>
      </c>
      <c r="AE129" s="24">
        <f ca="1">_xll.meLWOBondDV01Numerical($N129,$C$4,$U129%, 0.5, "CENTRAL")</f>
        <v>1142.2684665355121</v>
      </c>
    </row>
    <row r="130" spans="2:31">
      <c r="B130" s="15" t="s">
        <v>440</v>
      </c>
      <c r="C130" s="15" t="s">
        <v>441</v>
      </c>
      <c r="D130" s="15" t="s">
        <v>441</v>
      </c>
      <c r="E130" s="16">
        <v>41416</v>
      </c>
      <c r="F130" s="16" t="s">
        <v>333</v>
      </c>
      <c r="G130" s="19" t="str">
        <f t="shared" si="6"/>
        <v/>
      </c>
      <c r="H130" s="16" t="s">
        <v>333</v>
      </c>
      <c r="I130" s="16" t="s">
        <v>333</v>
      </c>
      <c r="J130" s="48">
        <v>0</v>
      </c>
      <c r="K130" s="16">
        <v>49919</v>
      </c>
      <c r="L130" s="49" t="s">
        <v>333</v>
      </c>
      <c r="M130" s="15" t="s">
        <v>297</v>
      </c>
      <c r="N130" s="20" t="str">
        <f ca="1">_xll.meLWOBondCreateFromGeneratorLVB(C130,$N$4,_xll.meUtilityLVBFromKeysValues($C$6:$M$6,C130:M130))</f>
        <v>IT0004976681:1</v>
      </c>
      <c r="O130" s="92">
        <f ca="1">_xll.BDP($B130,$O$5)</f>
        <v>3.6153655667604534</v>
      </c>
      <c r="P130" s="89">
        <f ca="1">_xll.meLWOBondCleanPrice($N130,$C$4,$O130%)</f>
        <v>53.005915210998452</v>
      </c>
      <c r="Q130" s="89">
        <f ca="1">_xll.meLWOBondDirtyPrice($N130,$C$4,$O130%)</f>
        <v>53.005915210998452</v>
      </c>
      <c r="R130" s="72">
        <f ca="1">_xll.meLWOBondYield($N130,$C$4,P130)</f>
        <v>3.6153655667607643E-2</v>
      </c>
      <c r="S130" s="89">
        <f ca="1">_xll.meLWOBondModifiedDuration($N130,$C$4,$O130%)</f>
        <v>17.558347030358117</v>
      </c>
      <c r="T130" s="23">
        <f ca="1">_xll.meLWOBondDV01($N130,$C$4,$O130%)</f>
        <v>930.6962539364489</v>
      </c>
      <c r="U130" s="85">
        <f t="shared" ca="1" si="10"/>
        <v>3.6153655667604534</v>
      </c>
      <c r="V130" s="22" t="str">
        <f ca="1">_xll.BDP($B130,V$6, "YAS_BOND_YLD="&amp;U130,"YAS_YLD_CONV=1")</f>
        <v>#N/A Requesting Data...</v>
      </c>
      <c r="W130" s="89">
        <f t="shared" ca="1" si="11"/>
        <v>53.005915210998452</v>
      </c>
      <c r="X130" s="24" t="e">
        <f t="shared" ca="1" si="7"/>
        <v>#VALUE!</v>
      </c>
      <c r="Y130" s="23">
        <f ca="1">_xll.meLWOBondDV01($N130,$C$4,$U130%)</f>
        <v>930.6962539364489</v>
      </c>
      <c r="Z130" s="22" t="e">
        <f ca="1">_xll.BDP($B130,Z$6, "YLD_YTM_ASK="&amp;$U130,"YAS_YLD_CONV=33")*$Z$3*0.0001</f>
        <v>#VALUE!</v>
      </c>
      <c r="AA130" s="24" t="e">
        <f t="shared" ca="1" si="8"/>
        <v>#VALUE!</v>
      </c>
      <c r="AB130" s="23">
        <f ca="1">_xll.meLWOBondModifiedDuration($N130,$C$4,$U130%)</f>
        <v>17.558347030358117</v>
      </c>
      <c r="AC130" s="23" t="str">
        <f ca="1">_xll.BDP($B130,AC$6, "YLD_YTM_ASK="&amp;$U130,"YAS_YLD_CONV=1")</f>
        <v>#N/A Requesting Data...</v>
      </c>
      <c r="AD130" s="22" t="e">
        <f t="shared" ca="1" si="9"/>
        <v>#VALUE!</v>
      </c>
      <c r="AE130" s="24">
        <f ca="1">_xll.meLWOBondDV01Numerical($N130,$C$4,$U130%, 0.5, "CENTRAL")</f>
        <v>914.31751999081712</v>
      </c>
    </row>
    <row r="131" spans="2:31">
      <c r="B131" s="15" t="s">
        <v>329</v>
      </c>
      <c r="C131" s="15" t="s">
        <v>330</v>
      </c>
      <c r="D131" s="15" t="s">
        <v>330</v>
      </c>
      <c r="E131" s="16">
        <v>38644</v>
      </c>
      <c r="F131" s="16">
        <v>38565</v>
      </c>
      <c r="G131" s="19" t="str">
        <f t="shared" si="6"/>
        <v/>
      </c>
      <c r="H131" s="16">
        <v>38749</v>
      </c>
      <c r="I131" s="16">
        <v>49888</v>
      </c>
      <c r="J131" s="48">
        <v>0.04</v>
      </c>
      <c r="K131" s="16">
        <v>50072</v>
      </c>
      <c r="L131" s="49">
        <v>101.289</v>
      </c>
      <c r="M131" s="15" t="s">
        <v>297</v>
      </c>
      <c r="N131" s="20" t="str">
        <f ca="1">_xll.meLWOBondCreateFromGeneratorLVB(C131,$N$4,_xll.meUtilityLVBFromKeysValues($C$6:$M$6,C131:M131))</f>
        <v>IT0003934657:1</v>
      </c>
      <c r="O131" s="92">
        <f ca="1">_xll.BDP($B131,$O$5)</f>
        <v>3.7885343112424419</v>
      </c>
      <c r="P131" s="89">
        <f ca="1">_xll.meLWOBondCleanPrice($N131,$C$4,$O131%)</f>
        <v>103.23117601301556</v>
      </c>
      <c r="Q131" s="89">
        <f ca="1">_xll.meLWOBondDirtyPrice($N131,$C$4,$O131%)</f>
        <v>104.06813601301556</v>
      </c>
      <c r="R131" s="72">
        <f ca="1">_xll.meLWOBondYield($N131,$C$4,P131)</f>
        <v>3.7885343112440628E-2</v>
      </c>
      <c r="S131" s="89">
        <f ca="1">_xll.meLWOBondModifiedDuration($N131,$C$4,$O131%)</f>
        <v>12.889391841517408</v>
      </c>
      <c r="T131" s="23">
        <f ca="1">_xll.meLWOBondDV01($N131,$C$4,$O131%)</f>
        <v>1341.3749832880867</v>
      </c>
      <c r="U131" s="85">
        <f t="shared" ca="1" si="10"/>
        <v>3.7885343112424419</v>
      </c>
      <c r="V131" s="22" t="str">
        <f ca="1">_xll.BDP($B131,V$6, "YAS_BOND_YLD="&amp;U131,"YAS_YLD_CONV=1")</f>
        <v>#N/A Requesting Data...</v>
      </c>
      <c r="W131" s="89">
        <f t="shared" ca="1" si="11"/>
        <v>103.23117601301556</v>
      </c>
      <c r="X131" s="24" t="e">
        <f t="shared" ca="1" si="7"/>
        <v>#VALUE!</v>
      </c>
      <c r="Y131" s="23">
        <f ca="1">_xll.meLWOBondDV01($N131,$C$4,$U131%)</f>
        <v>1341.3749832880867</v>
      </c>
      <c r="Z131" s="22" t="e">
        <f ca="1">_xll.BDP($B131,Z$6, "YLD_YTM_ASK="&amp;$U131,"YAS_YLD_CONV=33")*$Z$3*0.0001</f>
        <v>#VALUE!</v>
      </c>
      <c r="AA131" s="24" t="e">
        <f t="shared" ca="1" si="8"/>
        <v>#VALUE!</v>
      </c>
      <c r="AB131" s="23">
        <f ca="1">_xll.meLWOBondModifiedDuration($N131,$C$4,$U131%)</f>
        <v>12.889391841517408</v>
      </c>
      <c r="AC131" s="23" t="str">
        <f ca="1">_xll.BDP($B131,AC$6, "YLD_YTM_ASK="&amp;$U131,"YAS_YLD_CONV=1")</f>
        <v>#N/A Requesting Data...</v>
      </c>
      <c r="AD131" s="22" t="e">
        <f t="shared" ca="1" si="9"/>
        <v>#VALUE!</v>
      </c>
      <c r="AE131" s="24">
        <f ca="1">_xll.meLWOBondDV01Numerical($N131,$C$4,$U131%, 0.5, "CENTRAL")</f>
        <v>1316.8605878458097</v>
      </c>
    </row>
    <row r="132" spans="2:31">
      <c r="B132" s="15" t="s">
        <v>398</v>
      </c>
      <c r="C132" s="15" t="s">
        <v>399</v>
      </c>
      <c r="D132" s="15" t="s">
        <v>399</v>
      </c>
      <c r="E132" s="16">
        <v>38565</v>
      </c>
      <c r="F132" s="16" t="s">
        <v>333</v>
      </c>
      <c r="G132" s="19" t="str">
        <f t="shared" si="6"/>
        <v/>
      </c>
      <c r="H132" s="16" t="s">
        <v>333</v>
      </c>
      <c r="I132" s="16" t="s">
        <v>333</v>
      </c>
      <c r="J132" s="48">
        <v>0</v>
      </c>
      <c r="K132" s="16">
        <v>50072</v>
      </c>
      <c r="L132" s="49" t="s">
        <v>333</v>
      </c>
      <c r="M132" s="15" t="s">
        <v>297</v>
      </c>
      <c r="N132" s="20" t="str">
        <f ca="1">_xll.meLWOBondCreateFromGeneratorLVB(C132,$N$4,_xll.meUtilityLVBFromKeysValues($C$6:$M$6,C132:M132))</f>
        <v>IT0004848641:1</v>
      </c>
      <c r="O132" s="92">
        <f ca="1">_xll.BDP($B132,$O$5)</f>
        <v>3.8300290230430134</v>
      </c>
      <c r="P132" s="89">
        <f ca="1">_xll.meLWOBondCleanPrice($N132,$C$4,$O132%)</f>
        <v>50.280170229183284</v>
      </c>
      <c r="Q132" s="89">
        <f ca="1">_xll.meLWOBondDirtyPrice($N132,$C$4,$O132%)</f>
        <v>50.280170229183284</v>
      </c>
      <c r="R132" s="72">
        <f ca="1">_xll.meLWOBondYield($N132,$C$4,P132)</f>
        <v>3.8300290230437017E-2</v>
      </c>
      <c r="S132" s="89">
        <f ca="1">_xll.meLWOBondModifiedDuration($N132,$C$4,$O132%)</f>
        <v>17.95024101593706</v>
      </c>
      <c r="T132" s="23">
        <f ca="1">_xll.meLWOBondDV01($N132,$C$4,$O132%)</f>
        <v>902.54117393618321</v>
      </c>
      <c r="U132" s="85">
        <f t="shared" ca="1" si="10"/>
        <v>3.8300290230430134</v>
      </c>
      <c r="V132" s="22" t="str">
        <f ca="1">_xll.BDP($B132,V$6, "YAS_BOND_YLD="&amp;U132,"YAS_YLD_CONV=1")</f>
        <v>#N/A Requesting Data...</v>
      </c>
      <c r="W132" s="89">
        <f t="shared" ca="1" si="11"/>
        <v>50.280170229183284</v>
      </c>
      <c r="X132" s="24" t="e">
        <f t="shared" ca="1" si="7"/>
        <v>#VALUE!</v>
      </c>
      <c r="Y132" s="23">
        <f ca="1">_xll.meLWOBondDV01($N132,$C$4,$U132%)</f>
        <v>902.54117393618321</v>
      </c>
      <c r="Z132" s="22" t="e">
        <f ca="1">_xll.BDP($B132,Z$6, "YLD_YTM_ASK="&amp;$U132,"YAS_YLD_CONV=33")*$Z$3*0.0001</f>
        <v>#VALUE!</v>
      </c>
      <c r="AA132" s="24" t="e">
        <f t="shared" ca="1" si="8"/>
        <v>#VALUE!</v>
      </c>
      <c r="AB132" s="23">
        <f ca="1">_xll.meLWOBondModifiedDuration($N132,$C$4,$U132%)</f>
        <v>17.95024101593706</v>
      </c>
      <c r="AC132" s="23" t="str">
        <f ca="1">_xll.BDP($B132,AC$6, "YLD_YTM_ASK="&amp;$U132,"YAS_YLD_CONV=1")</f>
        <v>#N/A Requesting Data...</v>
      </c>
      <c r="AD132" s="22" t="e">
        <f t="shared" ca="1" si="9"/>
        <v>#VALUE!</v>
      </c>
      <c r="AE132" s="24">
        <f ca="1">_xll.meLWOBondDV01Numerical($N132,$C$4,$U132%, 0.5, "CENTRAL")</f>
        <v>885.8680713903766</v>
      </c>
    </row>
    <row r="133" spans="2:31">
      <c r="B133" s="15" t="s">
        <v>630</v>
      </c>
      <c r="C133" s="15" t="s">
        <v>631</v>
      </c>
      <c r="D133" s="15" t="s">
        <v>631</v>
      </c>
      <c r="E133" s="16">
        <v>38565</v>
      </c>
      <c r="F133" s="16" t="s">
        <v>333</v>
      </c>
      <c r="G133" s="19" t="str">
        <f t="shared" si="6"/>
        <v/>
      </c>
      <c r="H133" s="16" t="s">
        <v>333</v>
      </c>
      <c r="I133" s="16" t="s">
        <v>333</v>
      </c>
      <c r="J133" s="48">
        <v>0</v>
      </c>
      <c r="K133" s="16">
        <v>50072</v>
      </c>
      <c r="L133" s="49" t="s">
        <v>333</v>
      </c>
      <c r="M133" s="15" t="s">
        <v>297</v>
      </c>
      <c r="N133" s="20" t="str">
        <f ca="1">_xll.meLWOBondCreateFromGeneratorLVB(C133,$N$4,_xll.meUtilityLVBFromKeysValues($C$6:$M$6,C133:M133))</f>
        <v>IT0004002801:1</v>
      </c>
      <c r="O133" s="92">
        <f ca="1">_xll.BDP($B133,$O$5)</f>
        <v>3.9634024813878233</v>
      </c>
      <c r="P133" s="89">
        <f ca="1">_xll.meLWOBondCleanPrice($N133,$C$4,$O133%)</f>
        <v>49.113171957451762</v>
      </c>
      <c r="Q133" s="89">
        <f ca="1">_xll.meLWOBondDirtyPrice($N133,$C$4,$O133%)</f>
        <v>49.113171957451762</v>
      </c>
      <c r="R133" s="72">
        <f ca="1">_xll.meLWOBondYield($N133,$C$4,P133)</f>
        <v>3.963402481388778E-2</v>
      </c>
      <c r="S133" s="89">
        <f ca="1">_xll.meLWOBondModifiedDuration($N133,$C$4,$O133%)</f>
        <v>17.938723241439178</v>
      </c>
      <c r="T133" s="23">
        <f ca="1">_xll.meLWOBondDV01($N133,$C$4,$O133%)</f>
        <v>881.02759925393877</v>
      </c>
      <c r="U133" s="85">
        <f t="shared" ca="1" si="10"/>
        <v>3.9634024813878233</v>
      </c>
      <c r="V133" s="22" t="str">
        <f ca="1">_xll.BDP($B133,V$6, "YAS_BOND_YLD="&amp;U133,"YAS_YLD_CONV=1")</f>
        <v>#N/A Requesting Data...</v>
      </c>
      <c r="W133" s="89">
        <f t="shared" ca="1" si="11"/>
        <v>49.113171957451762</v>
      </c>
      <c r="X133" s="24" t="e">
        <f t="shared" ca="1" si="7"/>
        <v>#VALUE!</v>
      </c>
      <c r="Y133" s="23">
        <f ca="1">_xll.meLWOBondDV01($N133,$C$4,$U133%)</f>
        <v>881.02759925393877</v>
      </c>
      <c r="Z133" s="22" t="e">
        <f ca="1">_xll.BDP($B133,Z$6, "YLD_YTM_ASK="&amp;$U133,"YAS_YLD_CONV=33")*$Z$3*0.0001</f>
        <v>#VALUE!</v>
      </c>
      <c r="AA133" s="24" t="e">
        <f t="shared" ca="1" si="8"/>
        <v>#VALUE!</v>
      </c>
      <c r="AB133" s="23">
        <f ca="1">_xll.meLWOBondModifiedDuration($N133,$C$4,$U133%)</f>
        <v>17.938723241439178</v>
      </c>
      <c r="AC133" s="23" t="str">
        <f ca="1">_xll.BDP($B133,AC$6, "YLD_YTM_ASK="&amp;$U133,"YAS_YLD_CONV=1")</f>
        <v>#N/A Requesting Data...</v>
      </c>
      <c r="AD133" s="22" t="e">
        <f t="shared" ca="1" si="9"/>
        <v>#VALUE!</v>
      </c>
      <c r="AE133" s="24">
        <f ca="1">_xll.meLWOBondDV01Numerical($N133,$C$4,$U133%, 0.5, "CENTRAL")</f>
        <v>864.19705939640335</v>
      </c>
    </row>
    <row r="134" spans="2:31">
      <c r="B134" s="15" t="s">
        <v>492</v>
      </c>
      <c r="C134" s="15" t="s">
        <v>493</v>
      </c>
      <c r="D134" s="15" t="s">
        <v>493</v>
      </c>
      <c r="E134" s="16">
        <v>39295</v>
      </c>
      <c r="F134" s="16" t="s">
        <v>333</v>
      </c>
      <c r="G134" s="19" t="str">
        <f t="shared" si="6"/>
        <v/>
      </c>
      <c r="H134" s="16" t="s">
        <v>333</v>
      </c>
      <c r="I134" s="16" t="s">
        <v>333</v>
      </c>
      <c r="J134" s="48">
        <v>0</v>
      </c>
      <c r="K134" s="16">
        <v>50253</v>
      </c>
      <c r="L134" s="49" t="s">
        <v>333</v>
      </c>
      <c r="M134" s="15" t="s">
        <v>297</v>
      </c>
      <c r="N134" s="20" t="str">
        <f ca="1">_xll.meLWOBondCreateFromGeneratorLVB(C134,$N$4,_xll.meUtilityLVBFromKeysValues($C$6:$M$6,C134:M134))</f>
        <v>IT0004288590:1</v>
      </c>
      <c r="O134" s="92">
        <f ca="1">_xll.BDP($B134,$O$5)</f>
        <v>3.9912369623797295</v>
      </c>
      <c r="P134" s="89">
        <f ca="1">_xll.meLWOBondCleanPrice($N134,$C$4,$O134%)</f>
        <v>47.920999999120014</v>
      </c>
      <c r="Q134" s="89">
        <f ca="1">_xll.meLWOBondDirtyPrice($N134,$C$4,$O134%)</f>
        <v>47.920999999120014</v>
      </c>
      <c r="R134" s="72">
        <f ca="1">_xll.meLWOBondYield($N134,$C$4,P134)</f>
        <v>3.9912369623809951E-2</v>
      </c>
      <c r="S134" s="89">
        <f ca="1">_xll.meLWOBondModifiedDuration($N134,$C$4,$O134%)</f>
        <v>18.42663332042947</v>
      </c>
      <c r="T134" s="23">
        <f ca="1">_xll.meLWOBondDV01($N134,$C$4,$O134%)</f>
        <v>883.02269533208539</v>
      </c>
      <c r="U134" s="85">
        <f t="shared" ca="1" si="10"/>
        <v>3.9912369623797295</v>
      </c>
      <c r="V134" s="22" t="str">
        <f ca="1">_xll.BDP($B134,V$6, "YAS_BOND_YLD="&amp;U134,"YAS_YLD_CONV=1")</f>
        <v>#N/A Requesting Data...</v>
      </c>
      <c r="W134" s="89">
        <f t="shared" ca="1" si="11"/>
        <v>47.920999999120014</v>
      </c>
      <c r="X134" s="24" t="e">
        <f t="shared" ca="1" si="7"/>
        <v>#VALUE!</v>
      </c>
      <c r="Y134" s="23">
        <f ca="1">_xll.meLWOBondDV01($N134,$C$4,$U134%)</f>
        <v>883.02269533208539</v>
      </c>
      <c r="Z134" s="22" t="e">
        <f ca="1">_xll.BDP($B134,Z$6, "YLD_YTM_ASK="&amp;$U134,"YAS_YLD_CONV=33")*$Z$3*0.0001</f>
        <v>#VALUE!</v>
      </c>
      <c r="AA134" s="24" t="e">
        <f t="shared" ca="1" si="8"/>
        <v>#VALUE!</v>
      </c>
      <c r="AB134" s="23">
        <f ca="1">_xll.meLWOBondModifiedDuration($N134,$C$4,$U134%)</f>
        <v>18.42663332042947</v>
      </c>
      <c r="AC134" s="23" t="str">
        <f ca="1">_xll.BDP($B134,AC$6, "YLD_YTM_ASK="&amp;$U134,"YAS_YLD_CONV=1")</f>
        <v>#N/A Requesting Data...</v>
      </c>
      <c r="AD134" s="22" t="e">
        <f t="shared" ca="1" si="9"/>
        <v>#VALUE!</v>
      </c>
      <c r="AE134" s="24">
        <f ca="1">_xll.meLWOBondDV01Numerical($N134,$C$4,$U134%, 0.5, "CENTRAL")</f>
        <v>866.16205463059271</v>
      </c>
    </row>
    <row r="135" spans="2:31">
      <c r="B135" s="15" t="s">
        <v>402</v>
      </c>
      <c r="C135" s="15" t="s">
        <v>403</v>
      </c>
      <c r="D135" s="15" t="s">
        <v>403</v>
      </c>
      <c r="E135" s="16">
        <v>41416</v>
      </c>
      <c r="F135" s="16" t="s">
        <v>333</v>
      </c>
      <c r="G135" s="19" t="str">
        <f t="shared" ref="G135:G198" si="12">IF(DAY(K135+1)=1, "EOM","")</f>
        <v/>
      </c>
      <c r="H135" s="16" t="s">
        <v>333</v>
      </c>
      <c r="I135" s="16" t="s">
        <v>333</v>
      </c>
      <c r="J135" s="48">
        <v>0</v>
      </c>
      <c r="K135" s="16">
        <v>50284</v>
      </c>
      <c r="L135" s="49" t="s">
        <v>333</v>
      </c>
      <c r="M135" s="15" t="s">
        <v>297</v>
      </c>
      <c r="N135" s="20" t="str">
        <f ca="1">_xll.meLWOBondCreateFromGeneratorLVB(C135,$N$4,_xll.meUtilityLVBFromKeysValues($C$6:$M$6,C135:M135))</f>
        <v>IT0004976707:1</v>
      </c>
      <c r="O135" s="92">
        <f ca="1">_xll.BDP($B135,$O$5)</f>
        <v>3.9712435243886457</v>
      </c>
      <c r="P135" s="89">
        <f ca="1">_xll.meLWOBondCleanPrice($N135,$C$4,$O135%)</f>
        <v>47.950831784247484</v>
      </c>
      <c r="Q135" s="89">
        <f ca="1">_xll.meLWOBondDirtyPrice($N135,$C$4,$O135%)</f>
        <v>47.950831784247484</v>
      </c>
      <c r="R135" s="72">
        <f ca="1">_xll.meLWOBondYield($N135,$C$4,P135)</f>
        <v>3.9712435243898669E-2</v>
      </c>
      <c r="S135" s="89">
        <f ca="1">_xll.meLWOBondModifiedDuration($N135,$C$4,$O135%)</f>
        <v>18.508987750659493</v>
      </c>
      <c r="T135" s="23">
        <f ca="1">_xll.meLWOBondDV01($N135,$C$4,$O135%)</f>
        <v>887.52135812857057</v>
      </c>
      <c r="U135" s="85">
        <f t="shared" ca="1" si="10"/>
        <v>3.9712435243886457</v>
      </c>
      <c r="V135" s="22" t="str">
        <f ca="1">_xll.BDP($B135,V$6, "YAS_BOND_YLD="&amp;U135,"YAS_YLD_CONV=1")</f>
        <v>#N/A Requesting Data...</v>
      </c>
      <c r="W135" s="89">
        <f t="shared" ca="1" si="11"/>
        <v>47.950831784247484</v>
      </c>
      <c r="X135" s="24" t="e">
        <f t="shared" ref="X135:X198" ca="1" si="13">ABS(W135-V135)</f>
        <v>#VALUE!</v>
      </c>
      <c r="Y135" s="23">
        <f ca="1">_xll.meLWOBondDV01($N135,$C$4,$U135%)</f>
        <v>887.52135812857057</v>
      </c>
      <c r="Z135" s="22" t="e">
        <f ca="1">_xll.BDP($B135,Z$6, "YLD_YTM_ASK="&amp;$U135,"YAS_YLD_CONV=33")*$Z$3*0.0001</f>
        <v>#VALUE!</v>
      </c>
      <c r="AA135" s="24" t="e">
        <f t="shared" ref="AA135:AA198" ca="1" si="14">ABS(Z135-Y135)</f>
        <v>#VALUE!</v>
      </c>
      <c r="AB135" s="23">
        <f ca="1">_xll.meLWOBondModifiedDuration($N135,$C$4,$U135%)</f>
        <v>18.508987750659493</v>
      </c>
      <c r="AC135" s="23" t="str">
        <f ca="1">_xll.BDP($B135,AC$6, "YLD_YTM_ASK="&amp;$U135,"YAS_YLD_CONV=1")</f>
        <v>#N/A Requesting Data...</v>
      </c>
      <c r="AD135" s="22" t="e">
        <f t="shared" ref="AD135:AD198" ca="1" si="15">ABS(AC135-AB135)</f>
        <v>#VALUE!</v>
      </c>
      <c r="AE135" s="24">
        <f ca="1">_xll.meLWOBondDV01Numerical($N135,$C$4,$U135%, 0.5, "CENTRAL")</f>
        <v>870.41093063611186</v>
      </c>
    </row>
    <row r="136" spans="2:31">
      <c r="B136" s="15" t="s">
        <v>632</v>
      </c>
      <c r="C136" s="15" t="s">
        <v>633</v>
      </c>
      <c r="D136" s="15" t="s">
        <v>633</v>
      </c>
      <c r="E136" s="16">
        <v>39295</v>
      </c>
      <c r="F136" s="16" t="s">
        <v>333</v>
      </c>
      <c r="G136" s="19" t="str">
        <f t="shared" si="12"/>
        <v/>
      </c>
      <c r="H136" s="16" t="s">
        <v>333</v>
      </c>
      <c r="I136" s="16" t="s">
        <v>333</v>
      </c>
      <c r="J136" s="48">
        <v>0</v>
      </c>
      <c r="K136" s="16">
        <v>50437</v>
      </c>
      <c r="L136" s="49" t="s">
        <v>333</v>
      </c>
      <c r="M136" s="15" t="s">
        <v>297</v>
      </c>
      <c r="N136" s="20" t="str">
        <f ca="1">_xll.meLWOBondCreateFromGeneratorLVB(C136,$N$4,_xll.meUtilityLVBFromKeysValues($C$6:$M$6,C136:M136))</f>
        <v>IT0004288608:1</v>
      </c>
      <c r="O136" s="92">
        <f ca="1">_xll.BDP($B136,$O$5)</f>
        <v>4.0765131075795047</v>
      </c>
      <c r="P136" s="89">
        <f ca="1">_xll.meLWOBondCleanPrice($N136,$C$4,$O136%)</f>
        <v>46.264999998961557</v>
      </c>
      <c r="Q136" s="89">
        <f ca="1">_xll.meLWOBondDirtyPrice($N136,$C$4,$O136%)</f>
        <v>46.264999998961557</v>
      </c>
      <c r="R136" s="72">
        <f ca="1">_xll.meLWOBondYield($N136,$C$4,P136)</f>
        <v>4.0765131075813255E-2</v>
      </c>
      <c r="S136" s="89">
        <f ca="1">_xll.meLWOBondModifiedDuration($N136,$C$4,$O136%)</f>
        <v>18.909192832400482</v>
      </c>
      <c r="T136" s="23">
        <f ca="1">_xll.meLWOBondDV01($N136,$C$4,$O136%)</f>
        <v>874.83380637137225</v>
      </c>
      <c r="U136" s="85">
        <f t="shared" ref="U136:U199" ca="1" si="16">O136</f>
        <v>4.0765131075795047</v>
      </c>
      <c r="V136" s="22" t="str">
        <f ca="1">_xll.BDP($B136,V$6, "YAS_BOND_YLD="&amp;U136,"YAS_YLD_CONV=1")</f>
        <v>#N/A Requesting Data...</v>
      </c>
      <c r="W136" s="89">
        <f t="shared" ref="W136:W199" ca="1" si="17">P136</f>
        <v>46.264999998961557</v>
      </c>
      <c r="X136" s="24" t="e">
        <f t="shared" ca="1" si="13"/>
        <v>#VALUE!</v>
      </c>
      <c r="Y136" s="23">
        <f ca="1">_xll.meLWOBondDV01($N136,$C$4,$U136%)</f>
        <v>874.83380637137225</v>
      </c>
      <c r="Z136" s="22" t="e">
        <f ca="1">_xll.BDP($B136,Z$6, "YLD_YTM_ASK="&amp;$U136,"YAS_YLD_CONV=33")*$Z$3*0.0001</f>
        <v>#VALUE!</v>
      </c>
      <c r="AA136" s="24" t="e">
        <f t="shared" ca="1" si="14"/>
        <v>#VALUE!</v>
      </c>
      <c r="AB136" s="23">
        <f ca="1">_xll.meLWOBondModifiedDuration($N136,$C$4,$U136%)</f>
        <v>18.909192832400482</v>
      </c>
      <c r="AC136" s="23" t="str">
        <f ca="1">_xll.BDP($B136,AC$6, "YLD_YTM_ASK="&amp;$U136,"YAS_YLD_CONV=1")</f>
        <v>#N/A Requesting Data...</v>
      </c>
      <c r="AD136" s="22" t="e">
        <f t="shared" ca="1" si="15"/>
        <v>#VALUE!</v>
      </c>
      <c r="AE136" s="24">
        <f ca="1">_xll.meLWOBondDV01Numerical($N136,$C$4,$U136%, 0.5, "CENTRAL")</f>
        <v>857.52988188552604</v>
      </c>
    </row>
    <row r="137" spans="2:31">
      <c r="B137" s="15" t="s">
        <v>444</v>
      </c>
      <c r="C137" s="15" t="s">
        <v>445</v>
      </c>
      <c r="D137" s="15" t="s">
        <v>445</v>
      </c>
      <c r="E137" s="16">
        <v>39295</v>
      </c>
      <c r="F137" s="16" t="s">
        <v>333</v>
      </c>
      <c r="G137" s="19" t="str">
        <f t="shared" si="12"/>
        <v/>
      </c>
      <c r="H137" s="16" t="s">
        <v>333</v>
      </c>
      <c r="I137" s="16" t="s">
        <v>333</v>
      </c>
      <c r="J137" s="48">
        <v>0</v>
      </c>
      <c r="K137" s="16">
        <v>50618</v>
      </c>
      <c r="L137" s="49" t="s">
        <v>333</v>
      </c>
      <c r="M137" s="15" t="s">
        <v>297</v>
      </c>
      <c r="N137" s="20" t="str">
        <f ca="1">_xll.meLWOBondCreateFromGeneratorLVB(C137,$N$4,_xll.meUtilityLVBFromKeysValues($C$6:$M$6,C137:M137))</f>
        <v>IT0004288616:1</v>
      </c>
      <c r="O137" s="92">
        <f ca="1">_xll.BDP($B137,$O$5)</f>
        <v>4.1392861813043025</v>
      </c>
      <c r="P137" s="89">
        <f ca="1">_xll.meLWOBondCleanPrice($N137,$C$4,$O137%)</f>
        <v>44.80691814688587</v>
      </c>
      <c r="Q137" s="89">
        <f ca="1">_xll.meLWOBondDirtyPrice($N137,$C$4,$O137%)</f>
        <v>44.80691814688587</v>
      </c>
      <c r="R137" s="72">
        <f ca="1">_xll.meLWOBondYield($N137,$C$4,P137)</f>
        <v>4.1392861813066117E-2</v>
      </c>
      <c r="S137" s="89">
        <f ca="1">_xll.meLWOBondModifiedDuration($N137,$C$4,$O137%)</f>
        <v>19.393455278910583</v>
      </c>
      <c r="T137" s="23">
        <f ca="1">_xll.meLWOBondDV01($N137,$C$4,$O137%)</f>
        <v>868.96096326743816</v>
      </c>
      <c r="U137" s="85">
        <f t="shared" ca="1" si="16"/>
        <v>4.1392861813043025</v>
      </c>
      <c r="V137" s="22" t="str">
        <f ca="1">_xll.BDP($B137,V$6, "YAS_BOND_YLD="&amp;U137,"YAS_YLD_CONV=1")</f>
        <v>#N/A Requesting Data...</v>
      </c>
      <c r="W137" s="89">
        <f t="shared" ca="1" si="17"/>
        <v>44.80691814688587</v>
      </c>
      <c r="X137" s="24" t="e">
        <f t="shared" ca="1" si="13"/>
        <v>#VALUE!</v>
      </c>
      <c r="Y137" s="23">
        <f ca="1">_xll.meLWOBondDV01($N137,$C$4,$U137%)</f>
        <v>868.96096326743816</v>
      </c>
      <c r="Z137" s="22" t="e">
        <f ca="1">_xll.BDP($B137,Z$6, "YLD_YTM_ASK="&amp;$U137,"YAS_YLD_CONV=33")*$Z$3*0.0001</f>
        <v>#VALUE!</v>
      </c>
      <c r="AA137" s="24" t="e">
        <f t="shared" ca="1" si="14"/>
        <v>#VALUE!</v>
      </c>
      <c r="AB137" s="23">
        <f ca="1">_xll.meLWOBondModifiedDuration($N137,$C$4,$U137%)</f>
        <v>19.393455278910583</v>
      </c>
      <c r="AC137" s="23" t="str">
        <f ca="1">_xll.BDP($B137,AC$6, "YLD_YTM_ASK="&amp;$U137,"YAS_YLD_CONV=1")</f>
        <v>#N/A Requesting Data...</v>
      </c>
      <c r="AD137" s="22" t="e">
        <f t="shared" ca="1" si="15"/>
        <v>#VALUE!</v>
      </c>
      <c r="AE137" s="24">
        <f ca="1">_xll.meLWOBondDV01Numerical($N137,$C$4,$U137%, 0.5, "CENTRAL")</f>
        <v>851.63531007317772</v>
      </c>
    </row>
    <row r="138" spans="2:31">
      <c r="B138" s="15" t="s">
        <v>400</v>
      </c>
      <c r="C138" s="15" t="s">
        <v>401</v>
      </c>
      <c r="D138" s="15" t="s">
        <v>401</v>
      </c>
      <c r="E138" s="16">
        <v>41416</v>
      </c>
      <c r="F138" s="16" t="s">
        <v>333</v>
      </c>
      <c r="G138" s="19" t="str">
        <f t="shared" si="12"/>
        <v/>
      </c>
      <c r="H138" s="16" t="s">
        <v>333</v>
      </c>
      <c r="I138" s="16" t="s">
        <v>333</v>
      </c>
      <c r="J138" s="48">
        <v>0</v>
      </c>
      <c r="K138" s="16">
        <v>50649</v>
      </c>
      <c r="L138" s="49" t="s">
        <v>333</v>
      </c>
      <c r="M138" s="15" t="s">
        <v>297</v>
      </c>
      <c r="N138" s="20" t="str">
        <f ca="1">_xll.meLWOBondCreateFromGeneratorLVB(C138,$N$4,_xll.meUtilityLVBFromKeysValues($C$6:$M$6,C138:M138))</f>
        <v>IT0004976723:1</v>
      </c>
      <c r="O138" s="92">
        <f ca="1">_xll.BDP($B138,$O$5)</f>
        <v>3.9613254622182348</v>
      </c>
      <c r="P138" s="89">
        <f ca="1">_xll.meLWOBondCleanPrice($N138,$C$4,$O138%)</f>
        <v>46.206838298569423</v>
      </c>
      <c r="Q138" s="89">
        <f ca="1">_xll.meLWOBondDirtyPrice($N138,$C$4,$O138%)</f>
        <v>46.206838298569423</v>
      </c>
      <c r="R138" s="72">
        <f ca="1">_xll.meLWOBondYield($N138,$C$4,P138)</f>
        <v>3.9613254622201E-2</v>
      </c>
      <c r="S138" s="89">
        <f ca="1">_xll.meLWOBondModifiedDuration($N138,$C$4,$O138%)</f>
        <v>19.490633672922794</v>
      </c>
      <c r="T138" s="23">
        <f ca="1">_xll.meLWOBondDV01($N138,$C$4,$O138%)</f>
        <v>900.60055846139574</v>
      </c>
      <c r="U138" s="85">
        <f t="shared" ca="1" si="16"/>
        <v>3.9613254622182348</v>
      </c>
      <c r="V138" s="22" t="str">
        <f ca="1">_xll.BDP($B138,V$6, "YAS_BOND_YLD="&amp;U138,"YAS_YLD_CONV=1")</f>
        <v>#N/A Requesting Data...</v>
      </c>
      <c r="W138" s="89">
        <f t="shared" ca="1" si="17"/>
        <v>46.206838298569423</v>
      </c>
      <c r="X138" s="24" t="e">
        <f t="shared" ca="1" si="13"/>
        <v>#VALUE!</v>
      </c>
      <c r="Y138" s="23">
        <f ca="1">_xll.meLWOBondDV01($N138,$C$4,$U138%)</f>
        <v>900.60055846139574</v>
      </c>
      <c r="Z138" s="22" t="e">
        <f ca="1">_xll.BDP($B138,Z$6, "YLD_YTM_ASK="&amp;$U138,"YAS_YLD_CONV=33")*$Z$3*0.0001</f>
        <v>#VALUE!</v>
      </c>
      <c r="AA138" s="24" t="e">
        <f t="shared" ca="1" si="14"/>
        <v>#VALUE!</v>
      </c>
      <c r="AB138" s="23">
        <f ca="1">_xll.meLWOBondModifiedDuration($N138,$C$4,$U138%)</f>
        <v>19.490633672922794</v>
      </c>
      <c r="AC138" s="23" t="str">
        <f ca="1">_xll.BDP($B138,AC$6, "YLD_YTM_ASK="&amp;$U138,"YAS_YLD_CONV=1")</f>
        <v>#N/A Requesting Data...</v>
      </c>
      <c r="AD138" s="22" t="e">
        <f t="shared" ca="1" si="15"/>
        <v>#VALUE!</v>
      </c>
      <c r="AE138" s="24">
        <f ca="1">_xll.meLWOBondDV01Numerical($N138,$C$4,$U138%, 0.5, "CENTRAL")</f>
        <v>883.27991068318568</v>
      </c>
    </row>
    <row r="139" spans="2:31">
      <c r="B139" s="15" t="s">
        <v>404</v>
      </c>
      <c r="C139" s="15" t="s">
        <v>405</v>
      </c>
      <c r="D139" s="15" t="s">
        <v>405</v>
      </c>
      <c r="E139" s="16">
        <v>39295</v>
      </c>
      <c r="F139" s="16" t="s">
        <v>333</v>
      </c>
      <c r="G139" s="19" t="str">
        <f t="shared" si="12"/>
        <v/>
      </c>
      <c r="H139" s="16" t="s">
        <v>333</v>
      </c>
      <c r="I139" s="16" t="s">
        <v>333</v>
      </c>
      <c r="J139" s="48">
        <v>0</v>
      </c>
      <c r="K139" s="16">
        <v>50802</v>
      </c>
      <c r="L139" s="49" t="s">
        <v>333</v>
      </c>
      <c r="M139" s="15" t="s">
        <v>297</v>
      </c>
      <c r="N139" s="20" t="str">
        <f ca="1">_xll.meLWOBondCreateFromGeneratorLVB(C139,$N$4,_xll.meUtilityLVBFromKeysValues($C$6:$M$6,C139:M139))</f>
        <v>IT0004288624:1</v>
      </c>
      <c r="O139" s="92">
        <f ca="1">_xll.BDP($B139,$O$5)</f>
        <v>4.2396930434701163</v>
      </c>
      <c r="P139" s="89">
        <f ca="1">_xll.meLWOBondCleanPrice($N139,$C$4,$O139%)</f>
        <v>43.061919465506428</v>
      </c>
      <c r="Q139" s="89">
        <f ca="1">_xll.meLWOBondDirtyPrice($N139,$C$4,$O139%)</f>
        <v>43.061919465506428</v>
      </c>
      <c r="R139" s="72">
        <f ca="1">_xll.meLWOBondYield($N139,$C$4,P139)</f>
        <v>4.2396930434726476E-2</v>
      </c>
      <c r="S139" s="89">
        <f ca="1">_xll.meLWOBondModifiedDuration($N139,$C$4,$O139%)</f>
        <v>19.873839160375269</v>
      </c>
      <c r="T139" s="23">
        <f ca="1">_xll.meLWOBondDV01($N139,$C$4,$O139%)</f>
        <v>855.80566139450764</v>
      </c>
      <c r="U139" s="85">
        <f t="shared" ca="1" si="16"/>
        <v>4.2396930434701163</v>
      </c>
      <c r="V139" s="22" t="str">
        <f ca="1">_xll.BDP($B139,V$6, "YAS_BOND_YLD="&amp;U139,"YAS_YLD_CONV=1")</f>
        <v>#N/A Requesting Data...</v>
      </c>
      <c r="W139" s="89">
        <f t="shared" ca="1" si="17"/>
        <v>43.061919465506428</v>
      </c>
      <c r="X139" s="24" t="e">
        <f t="shared" ca="1" si="13"/>
        <v>#VALUE!</v>
      </c>
      <c r="Y139" s="23">
        <f ca="1">_xll.meLWOBondDV01($N139,$C$4,$U139%)</f>
        <v>855.80566139450764</v>
      </c>
      <c r="Z139" s="22" t="e">
        <f ca="1">_xll.BDP($B139,Z$6, "YLD_YTM_ASK="&amp;$U139,"YAS_YLD_CONV=33")*$Z$3*0.0001</f>
        <v>#VALUE!</v>
      </c>
      <c r="AA139" s="24" t="e">
        <f t="shared" ca="1" si="14"/>
        <v>#VALUE!</v>
      </c>
      <c r="AB139" s="23">
        <f ca="1">_xll.meLWOBondModifiedDuration($N139,$C$4,$U139%)</f>
        <v>19.873839160375269</v>
      </c>
      <c r="AC139" s="23" t="str">
        <f ca="1">_xll.BDP($B139,AC$6, "YLD_YTM_ASK="&amp;$U139,"YAS_YLD_CONV=1")</f>
        <v>#N/A Requesting Data...</v>
      </c>
      <c r="AD139" s="22" t="e">
        <f t="shared" ca="1" si="15"/>
        <v>#VALUE!</v>
      </c>
      <c r="AE139" s="24">
        <f ca="1">_xll.meLWOBondDV01Numerical($N139,$C$4,$U139%, 0.5, "CENTRAL")</f>
        <v>838.22312159050227</v>
      </c>
    </row>
    <row r="140" spans="2:31">
      <c r="B140" s="15" t="s">
        <v>642</v>
      </c>
      <c r="C140" s="15" t="s">
        <v>643</v>
      </c>
      <c r="D140" s="15" t="s">
        <v>643</v>
      </c>
      <c r="E140" s="16">
        <v>41416</v>
      </c>
      <c r="F140" s="16" t="s">
        <v>333</v>
      </c>
      <c r="G140" s="19" t="str">
        <f t="shared" si="12"/>
        <v/>
      </c>
      <c r="H140" s="16" t="s">
        <v>333</v>
      </c>
      <c r="I140" s="16" t="s">
        <v>333</v>
      </c>
      <c r="J140" s="48">
        <v>0</v>
      </c>
      <c r="K140" s="16">
        <v>50830</v>
      </c>
      <c r="L140" s="49" t="s">
        <v>333</v>
      </c>
      <c r="M140" s="15" t="s">
        <v>297</v>
      </c>
      <c r="N140" s="20" t="str">
        <f ca="1">_xll.meLWOBondCreateFromGeneratorLVB(C140,$N$4,_xll.meUtilityLVBFromKeysValues($C$6:$M$6,C140:M140))</f>
        <v>IT0004976731:1</v>
      </c>
      <c r="O140" s="92">
        <f ca="1">_xll.BDP($B140,$O$5)</f>
        <v>4.2856110796751334</v>
      </c>
      <c r="P140" s="89">
        <f ca="1">_xll.meLWOBondCleanPrice($N140,$C$4,$O140%)</f>
        <v>42.531839227595015</v>
      </c>
      <c r="Q140" s="89">
        <f ca="1">_xll.meLWOBondDirtyPrice($N140,$C$4,$O140%)</f>
        <v>42.531839227595015</v>
      </c>
      <c r="R140" s="72">
        <f ca="1">_xll.meLWOBondYield($N140,$C$4,P140)</f>
        <v>4.2856110796773983E-2</v>
      </c>
      <c r="S140" s="89">
        <f ca="1">_xll.meLWOBondModifiedDuration($N140,$C$4,$O140%)</f>
        <v>19.949924615488019</v>
      </c>
      <c r="T140" s="23">
        <f ca="1">_xll.meLWOBondDV01($N140,$C$4,$O140%)</f>
        <v>848.50698634857667</v>
      </c>
      <c r="U140" s="85">
        <f t="shared" ca="1" si="16"/>
        <v>4.2856110796751334</v>
      </c>
      <c r="V140" s="22" t="str">
        <f ca="1">_xll.BDP($B140,V$6, "YAS_BOND_YLD="&amp;U140,"YAS_YLD_CONV=1")</f>
        <v>#N/A Requesting Data...</v>
      </c>
      <c r="W140" s="89">
        <f t="shared" ca="1" si="17"/>
        <v>42.531839227595015</v>
      </c>
      <c r="X140" s="24" t="e">
        <f t="shared" ca="1" si="13"/>
        <v>#VALUE!</v>
      </c>
      <c r="Y140" s="23">
        <f ca="1">_xll.meLWOBondDV01($N140,$C$4,$U140%)</f>
        <v>848.50698634857667</v>
      </c>
      <c r="Z140" s="22" t="e">
        <f ca="1">_xll.BDP($B140,Z$6, "YLD_YTM_ASK="&amp;$U140,"YAS_YLD_CONV=33")*$Z$3*0.0001</f>
        <v>#VALUE!</v>
      </c>
      <c r="AA140" s="24" t="e">
        <f t="shared" ca="1" si="14"/>
        <v>#VALUE!</v>
      </c>
      <c r="AB140" s="23">
        <f ca="1">_xll.meLWOBondModifiedDuration($N140,$C$4,$U140%)</f>
        <v>19.949924615488019</v>
      </c>
      <c r="AC140" s="23" t="str">
        <f ca="1">_xll.BDP($B140,AC$6, "YLD_YTM_ASK="&amp;$U140,"YAS_YLD_CONV=1")</f>
        <v>#N/A Requesting Data...</v>
      </c>
      <c r="AD140" s="22" t="e">
        <f t="shared" ca="1" si="15"/>
        <v>#VALUE!</v>
      </c>
      <c r="AE140" s="24">
        <f ca="1">_xll.meLWOBondDV01Numerical($N140,$C$4,$U140%, 0.5, "CENTRAL")</f>
        <v>830.89324291258038</v>
      </c>
    </row>
    <row r="141" spans="2:31">
      <c r="B141" s="15" t="s">
        <v>364</v>
      </c>
      <c r="C141" s="15" t="s">
        <v>365</v>
      </c>
      <c r="D141" s="15" t="s">
        <v>365</v>
      </c>
      <c r="E141" s="16">
        <v>39378</v>
      </c>
      <c r="F141" s="16">
        <v>39295</v>
      </c>
      <c r="G141" s="19" t="str">
        <f t="shared" si="12"/>
        <v/>
      </c>
      <c r="H141" s="16">
        <v>39479</v>
      </c>
      <c r="I141" s="16">
        <v>50802</v>
      </c>
      <c r="J141" s="48">
        <v>0.05</v>
      </c>
      <c r="K141" s="16">
        <v>50983</v>
      </c>
      <c r="L141" s="49">
        <v>99.98</v>
      </c>
      <c r="M141" s="15" t="s">
        <v>297</v>
      </c>
      <c r="N141" s="20" t="str">
        <f ca="1">_xll.meLWOBondCreateFromGeneratorLVB(C141,$N$4,_xll.meUtilityLVBFromKeysValues($C$6:$M$6,C141:M141))</f>
        <v>IT0004286966:1</v>
      </c>
      <c r="O141" s="92">
        <f ca="1">_xll.BDP($B141,$O$5)</f>
        <v>4.0184516541142967</v>
      </c>
      <c r="P141" s="89">
        <f ca="1">_xll.meLWOBondCleanPrice($N141,$C$4,$O141%)</f>
        <v>114.34092349108222</v>
      </c>
      <c r="Q141" s="89">
        <f ca="1">_xll.meLWOBondDirtyPrice($N141,$C$4,$O141%)</f>
        <v>115.38712349108222</v>
      </c>
      <c r="R141" s="72">
        <f ca="1">_xll.meLWOBondYield($N141,$C$4,P141)</f>
        <v>4.0184516541142967E-2</v>
      </c>
      <c r="S141" s="89">
        <f ca="1">_xll.meLWOBondModifiedDuration($N141,$C$4,$O141%)</f>
        <v>13.307726175445003</v>
      </c>
      <c r="T141" s="23">
        <f ca="1">_xll.meLWOBondDV01($N141,$C$4,$O141%)</f>
        <v>1535.5402435915798</v>
      </c>
      <c r="U141" s="85">
        <f t="shared" ca="1" si="16"/>
        <v>4.0184516541142967</v>
      </c>
      <c r="V141" s="22" t="str">
        <f ca="1">_xll.BDP($B141,V$6, "YAS_BOND_YLD="&amp;U141,"YAS_YLD_CONV=1")</f>
        <v>#N/A Requesting Data...</v>
      </c>
      <c r="W141" s="89">
        <f t="shared" ca="1" si="17"/>
        <v>114.34092349108222</v>
      </c>
      <c r="X141" s="24" t="e">
        <f t="shared" ca="1" si="13"/>
        <v>#VALUE!</v>
      </c>
      <c r="Y141" s="23">
        <f ca="1">_xll.meLWOBondDV01($N141,$C$4,$U141%)</f>
        <v>1535.5402435915798</v>
      </c>
      <c r="Z141" s="22" t="e">
        <f ca="1">_xll.BDP($B141,Z$6, "YLD_YTM_ASK="&amp;$U141,"YAS_YLD_CONV=33")*$Z$3*0.0001</f>
        <v>#VALUE!</v>
      </c>
      <c r="AA141" s="24" t="e">
        <f t="shared" ca="1" si="14"/>
        <v>#VALUE!</v>
      </c>
      <c r="AB141" s="23">
        <f ca="1">_xll.meLWOBondModifiedDuration($N141,$C$4,$U141%)</f>
        <v>13.307726175445003</v>
      </c>
      <c r="AC141" s="23" t="str">
        <f ca="1">_xll.BDP($B141,AC$6, "YLD_YTM_ASK="&amp;$U141,"YAS_YLD_CONV=1")</f>
        <v>#N/A Requesting Data...</v>
      </c>
      <c r="AD141" s="22" t="e">
        <f t="shared" ca="1" si="15"/>
        <v>#VALUE!</v>
      </c>
      <c r="AE141" s="24">
        <f ca="1">_xll.meLWOBondDV01Numerical($N141,$C$4,$U141%, 0.5, "CENTRAL")</f>
        <v>1505.6781009043621</v>
      </c>
    </row>
    <row r="142" spans="2:31">
      <c r="B142" s="15" t="s">
        <v>366</v>
      </c>
      <c r="C142" s="15" t="s">
        <v>367</v>
      </c>
      <c r="D142" s="15" t="s">
        <v>367</v>
      </c>
      <c r="E142" s="16">
        <v>39295</v>
      </c>
      <c r="F142" s="16" t="s">
        <v>333</v>
      </c>
      <c r="G142" s="19" t="str">
        <f t="shared" si="12"/>
        <v/>
      </c>
      <c r="H142" s="16" t="s">
        <v>333</v>
      </c>
      <c r="I142" s="16" t="s">
        <v>333</v>
      </c>
      <c r="J142" s="48">
        <v>0</v>
      </c>
      <c r="K142" s="16">
        <v>50983</v>
      </c>
      <c r="L142" s="49" t="s">
        <v>333</v>
      </c>
      <c r="M142" s="15" t="s">
        <v>297</v>
      </c>
      <c r="N142" s="20" t="str">
        <f ca="1">_xll.meLWOBondCreateFromGeneratorLVB(C142,$N$4,_xll.meUtilityLVBFromKeysValues($C$6:$M$6,C142:M142))</f>
        <v>IT0004848690:1</v>
      </c>
      <c r="O142" s="92">
        <f ca="1">_xll.BDP($B142,$O$5)</f>
        <v>4.1977003254995759</v>
      </c>
      <c r="P142" s="89">
        <f ca="1">_xll.meLWOBondCleanPrice($N142,$C$4,$O142%)</f>
        <v>42.531921227943052</v>
      </c>
      <c r="Q142" s="89">
        <f ca="1">_xll.meLWOBondDirtyPrice($N142,$C$4,$O142%)</f>
        <v>42.531921227943052</v>
      </c>
      <c r="R142" s="72">
        <f ca="1">_xll.meLWOBondYield($N142,$C$4,P142)</f>
        <v>4.197700325501974E-2</v>
      </c>
      <c r="S142" s="89">
        <f ca="1">_xll.meLWOBondModifiedDuration($N142,$C$4,$O142%)</f>
        <v>20.367668424093306</v>
      </c>
      <c r="T142" s="23">
        <f ca="1">_xll.meLWOBondDV01($N142,$C$4,$O142%)</f>
        <v>866.27606901039951</v>
      </c>
      <c r="U142" s="85">
        <f t="shared" ca="1" si="16"/>
        <v>4.1977003254995759</v>
      </c>
      <c r="V142" s="22" t="str">
        <f ca="1">_xll.BDP($B142,V$6, "YAS_BOND_YLD="&amp;U142,"YAS_YLD_CONV=1")</f>
        <v>#N/A Requesting Data...</v>
      </c>
      <c r="W142" s="89">
        <f t="shared" ca="1" si="17"/>
        <v>42.531921227943052</v>
      </c>
      <c r="X142" s="24" t="e">
        <f t="shared" ca="1" si="13"/>
        <v>#VALUE!</v>
      </c>
      <c r="Y142" s="23">
        <f ca="1">_xll.meLWOBondDV01($N142,$C$4,$U142%)</f>
        <v>866.27606901039951</v>
      </c>
      <c r="Z142" s="22" t="e">
        <f ca="1">_xll.BDP($B142,Z$6, "YLD_YTM_ASK="&amp;$U142,"YAS_YLD_CONV=33")*$Z$3*0.0001</f>
        <v>#VALUE!</v>
      </c>
      <c r="AA142" s="24" t="e">
        <f t="shared" ca="1" si="14"/>
        <v>#VALUE!</v>
      </c>
      <c r="AB142" s="23">
        <f ca="1">_xll.meLWOBondModifiedDuration($N142,$C$4,$U142%)</f>
        <v>20.367668424093306</v>
      </c>
      <c r="AC142" s="23" t="str">
        <f ca="1">_xll.BDP($B142,AC$6, "YLD_YTM_ASK="&amp;$U142,"YAS_YLD_CONV=1")</f>
        <v>#N/A Requesting Data...</v>
      </c>
      <c r="AD142" s="22" t="e">
        <f t="shared" ca="1" si="15"/>
        <v>#VALUE!</v>
      </c>
      <c r="AE142" s="24">
        <f ca="1">_xll.meLWOBondDV01Numerical($N142,$C$4,$U142%, 0.5, "CENTRAL")</f>
        <v>848.64933196200809</v>
      </c>
    </row>
    <row r="143" spans="2:31">
      <c r="B143" s="15" t="s">
        <v>412</v>
      </c>
      <c r="C143" s="15" t="s">
        <v>413</v>
      </c>
      <c r="D143" s="15" t="s">
        <v>413</v>
      </c>
      <c r="E143" s="16">
        <v>39295</v>
      </c>
      <c r="F143" s="16" t="s">
        <v>333</v>
      </c>
      <c r="G143" s="19" t="str">
        <f t="shared" si="12"/>
        <v/>
      </c>
      <c r="H143" s="16" t="s">
        <v>333</v>
      </c>
      <c r="I143" s="16" t="s">
        <v>333</v>
      </c>
      <c r="J143" s="48">
        <v>0</v>
      </c>
      <c r="K143" s="16">
        <v>50983</v>
      </c>
      <c r="L143" s="49" t="s">
        <v>333</v>
      </c>
      <c r="M143" s="15" t="s">
        <v>297</v>
      </c>
      <c r="N143" s="20" t="str">
        <f ca="1">_xll.meLWOBondCreateFromGeneratorLVB(C143,$N$4,_xll.meUtilityLVBFromKeysValues($C$6:$M$6,C143:M143))</f>
        <v>IT0004288574:1</v>
      </c>
      <c r="O143" s="92">
        <f ca="1">_xll.BDP($B143,$O$5)</f>
        <v>4.081984985834608</v>
      </c>
      <c r="P143" s="89">
        <f ca="1">_xll.meLWOBondCleanPrice($N143,$C$4,$O143%)</f>
        <v>43.5259215647377</v>
      </c>
      <c r="Q143" s="89">
        <f ca="1">_xll.meLWOBondDirtyPrice($N143,$C$4,$O143%)</f>
        <v>43.5259215647377</v>
      </c>
      <c r="R143" s="72">
        <f ca="1">_xll.meLWOBondYield($N143,$C$4,P143)</f>
        <v>4.0819849858372725E-2</v>
      </c>
      <c r="S143" s="89">
        <f ca="1">_xll.meLWOBondModifiedDuration($N143,$C$4,$O143%)</f>
        <v>20.378987371191666</v>
      </c>
      <c r="T143" s="23">
        <f ca="1">_xll.meLWOBondDV01($N143,$C$4,$O143%)</f>
        <v>887.01420588726853</v>
      </c>
      <c r="U143" s="85">
        <f t="shared" ca="1" si="16"/>
        <v>4.081984985834608</v>
      </c>
      <c r="V143" s="22" t="str">
        <f ca="1">_xll.BDP($B143,V$6, "YAS_BOND_YLD="&amp;U143,"YAS_YLD_CONV=1")</f>
        <v>#N/A Requesting Data...</v>
      </c>
      <c r="W143" s="89">
        <f t="shared" ca="1" si="17"/>
        <v>43.5259215647377</v>
      </c>
      <c r="X143" s="24" t="e">
        <f t="shared" ca="1" si="13"/>
        <v>#VALUE!</v>
      </c>
      <c r="Y143" s="23">
        <f ca="1">_xll.meLWOBondDV01($N143,$C$4,$U143%)</f>
        <v>887.01420588726853</v>
      </c>
      <c r="Z143" s="22" t="e">
        <f ca="1">_xll.BDP($B143,Z$6, "YLD_YTM_ASK="&amp;$U143,"YAS_YLD_CONV=33")*$Z$3*0.0001</f>
        <v>#VALUE!</v>
      </c>
      <c r="AA143" s="24" t="e">
        <f t="shared" ca="1" si="14"/>
        <v>#VALUE!</v>
      </c>
      <c r="AB143" s="23">
        <f ca="1">_xll.meLWOBondModifiedDuration($N143,$C$4,$U143%)</f>
        <v>20.378987371191666</v>
      </c>
      <c r="AC143" s="23" t="str">
        <f ca="1">_xll.BDP($B143,AC$6, "YLD_YTM_ASK="&amp;$U143,"YAS_YLD_CONV=1")</f>
        <v>#N/A Requesting Data...</v>
      </c>
      <c r="AD143" s="22" t="e">
        <f t="shared" ca="1" si="15"/>
        <v>#VALUE!</v>
      </c>
      <c r="AE143" s="24">
        <f ca="1">_xll.meLWOBondDV01Numerical($N143,$C$4,$U143%, 0.5, "CENTRAL")</f>
        <v>869.44840670753365</v>
      </c>
    </row>
    <row r="144" spans="2:31">
      <c r="B144" s="15" t="s">
        <v>688</v>
      </c>
      <c r="C144" s="15" t="s">
        <v>689</v>
      </c>
      <c r="D144" s="15" t="s">
        <v>689</v>
      </c>
      <c r="E144" s="16">
        <v>39295</v>
      </c>
      <c r="F144" s="16" t="s">
        <v>333</v>
      </c>
      <c r="G144" s="19" t="str">
        <f t="shared" si="12"/>
        <v/>
      </c>
      <c r="H144" s="16" t="s">
        <v>333</v>
      </c>
      <c r="I144" s="16" t="s">
        <v>333</v>
      </c>
      <c r="J144" s="48">
        <v>0</v>
      </c>
      <c r="K144" s="16">
        <v>50983</v>
      </c>
      <c r="L144" s="49" t="s">
        <v>333</v>
      </c>
      <c r="M144" s="15" t="s">
        <v>297</v>
      </c>
      <c r="N144" s="20" t="str">
        <f ca="1">_xll.meLWOBondCreateFromGeneratorLVB(C144,$N$4,_xll.meUtilityLVBFromKeysValues($C$6:$M$6,C144:M144))</f>
        <v>IT0004288640:1</v>
      </c>
      <c r="O144" s="92">
        <f ca="1">_xll.BDP($B144,$O$5)</f>
        <v>4.3275322873734812</v>
      </c>
      <c r="P144" s="89">
        <f ca="1">_xll.meLWOBondCleanPrice($N144,$C$4,$O144%)</f>
        <v>41.4449209173113</v>
      </c>
      <c r="Q144" s="89">
        <f ca="1">_xll.meLWOBondDirtyPrice($N144,$C$4,$O144%)</f>
        <v>41.4449209173113</v>
      </c>
      <c r="R144" s="72">
        <f ca="1">_xll.meLWOBondYield($N144,$C$4,P144)</f>
        <v>4.327532287374436E-2</v>
      </c>
      <c r="S144" s="89">
        <f ca="1">_xll.meLWOBondModifiedDuration($N144,$C$4,$O144%)</f>
        <v>20.35499105354479</v>
      </c>
      <c r="T144" s="23">
        <f ca="1">_xll.meLWOBondDV01($N144,$C$4,$O144%)</f>
        <v>843.61099448674292</v>
      </c>
      <c r="U144" s="85">
        <f t="shared" ca="1" si="16"/>
        <v>4.3275322873734812</v>
      </c>
      <c r="V144" s="22" t="str">
        <f ca="1">_xll.BDP($B144,V$6, "YAS_BOND_YLD="&amp;U144,"YAS_YLD_CONV=1")</f>
        <v>#N/A Requesting Data...</v>
      </c>
      <c r="W144" s="89">
        <f t="shared" ca="1" si="17"/>
        <v>41.4449209173113</v>
      </c>
      <c r="X144" s="24" t="e">
        <f t="shared" ca="1" si="13"/>
        <v>#VALUE!</v>
      </c>
      <c r="Y144" s="23">
        <f ca="1">_xll.meLWOBondDV01($N144,$C$4,$U144%)</f>
        <v>843.61099448674292</v>
      </c>
      <c r="Z144" s="22" t="e">
        <f ca="1">_xll.BDP($B144,Z$6, "YLD_YTM_ASK="&amp;$U144,"YAS_YLD_CONV=33")*$Z$3*0.0001</f>
        <v>#VALUE!</v>
      </c>
      <c r="AA144" s="24" t="e">
        <f t="shared" ca="1" si="14"/>
        <v>#VALUE!</v>
      </c>
      <c r="AB144" s="23">
        <f ca="1">_xll.meLWOBondModifiedDuration($N144,$C$4,$U144%)</f>
        <v>20.35499105354479</v>
      </c>
      <c r="AC144" s="23" t="str">
        <f ca="1">_xll.BDP($B144,AC$6, "YLD_YTM_ASK="&amp;$U144,"YAS_YLD_CONV=1")</f>
        <v>#N/A Requesting Data...</v>
      </c>
      <c r="AD144" s="22" t="e">
        <f t="shared" ca="1" si="15"/>
        <v>#VALUE!</v>
      </c>
      <c r="AE144" s="24">
        <f ca="1">_xll.meLWOBondDV01Numerical($N144,$C$4,$U144%, 0.5, "CENTRAL")</f>
        <v>825.93103818759062</v>
      </c>
    </row>
    <row r="145" spans="2:31">
      <c r="B145" s="15" t="s">
        <v>598</v>
      </c>
      <c r="C145" s="15" t="s">
        <v>599</v>
      </c>
      <c r="D145" s="15" t="s">
        <v>599</v>
      </c>
      <c r="E145" s="16">
        <v>41416</v>
      </c>
      <c r="F145" s="16" t="s">
        <v>333</v>
      </c>
      <c r="G145" s="19" t="str">
        <f t="shared" si="12"/>
        <v/>
      </c>
      <c r="H145" s="16" t="s">
        <v>333</v>
      </c>
      <c r="I145" s="16" t="s">
        <v>333</v>
      </c>
      <c r="J145" s="48">
        <v>0</v>
      </c>
      <c r="K145" s="16">
        <v>51014</v>
      </c>
      <c r="L145" s="49" t="s">
        <v>333</v>
      </c>
      <c r="M145" s="15" t="s">
        <v>297</v>
      </c>
      <c r="N145" s="20" t="str">
        <f ca="1">_xll.meLWOBondCreateFromGeneratorLVB(C145,$N$4,_xll.meUtilityLVBFromKeysValues($C$6:$M$6,C145:M145))</f>
        <v>IT0004976749:1</v>
      </c>
      <c r="O145" s="92">
        <f ca="1">_xll.BDP($B145,$O$5)</f>
        <v>4.4117725972350641</v>
      </c>
      <c r="P145" s="89">
        <f ca="1">_xll.meLWOBondCleanPrice($N145,$C$4,$O145%)</f>
        <v>40.610842066356284</v>
      </c>
      <c r="Q145" s="89">
        <f ca="1">_xll.meLWOBondDirtyPrice($N145,$C$4,$O145%)</f>
        <v>40.610842066356284</v>
      </c>
      <c r="R145" s="72">
        <f ca="1">_xll.meLWOBondYield($N145,$C$4,P145)</f>
        <v>4.4117725972332433E-2</v>
      </c>
      <c r="S145" s="89">
        <f ca="1">_xll.meLWOBondModifiedDuration($N145,$C$4,$O145%)</f>
        <v>20.427190746266021</v>
      </c>
      <c r="T145" s="23">
        <f ca="1">_xll.meLWOBondDV01($N145,$C$4,$O145%)</f>
        <v>829.565417255944</v>
      </c>
      <c r="U145" s="85">
        <f t="shared" ca="1" si="16"/>
        <v>4.4117725972350641</v>
      </c>
      <c r="V145" s="22" t="str">
        <f ca="1">_xll.BDP($B145,V$6, "YAS_BOND_YLD="&amp;U145,"YAS_YLD_CONV=1")</f>
        <v>#N/A Requesting Data...</v>
      </c>
      <c r="W145" s="89">
        <f t="shared" ca="1" si="17"/>
        <v>40.610842066356284</v>
      </c>
      <c r="X145" s="24" t="e">
        <f t="shared" ca="1" si="13"/>
        <v>#VALUE!</v>
      </c>
      <c r="Y145" s="23">
        <f ca="1">_xll.meLWOBondDV01($N145,$C$4,$U145%)</f>
        <v>829.565417255944</v>
      </c>
      <c r="Z145" s="22" t="e">
        <f ca="1">_xll.BDP($B145,Z$6, "YLD_YTM_ASK="&amp;$U145,"YAS_YLD_CONV=33")*$Z$3*0.0001</f>
        <v>#VALUE!</v>
      </c>
      <c r="AA145" s="24" t="e">
        <f t="shared" ca="1" si="14"/>
        <v>#VALUE!</v>
      </c>
      <c r="AB145" s="23">
        <f ca="1">_xll.meLWOBondModifiedDuration($N145,$C$4,$U145%)</f>
        <v>20.427190746266021</v>
      </c>
      <c r="AC145" s="23" t="str">
        <f ca="1">_xll.BDP($B145,AC$6, "YLD_YTM_ASK="&amp;$U145,"YAS_YLD_CONV=1")</f>
        <v>#N/A Requesting Data...</v>
      </c>
      <c r="AD145" s="22" t="e">
        <f t="shared" ca="1" si="15"/>
        <v>#VALUE!</v>
      </c>
      <c r="AE145" s="24">
        <f ca="1">_xll.meLWOBondDV01Numerical($N145,$C$4,$U145%, 0.5, "CENTRAL")</f>
        <v>811.85386364630574</v>
      </c>
    </row>
    <row r="146" spans="2:31">
      <c r="B146" s="15" t="s">
        <v>656</v>
      </c>
      <c r="C146" s="15" t="s">
        <v>657</v>
      </c>
      <c r="D146" s="15" t="s">
        <v>657</v>
      </c>
      <c r="E146" s="16">
        <v>40072</v>
      </c>
      <c r="F146" s="16" t="s">
        <v>333</v>
      </c>
      <c r="G146" s="19" t="str">
        <f t="shared" si="12"/>
        <v/>
      </c>
      <c r="H146" s="16" t="s">
        <v>333</v>
      </c>
      <c r="I146" s="16" t="s">
        <v>333</v>
      </c>
      <c r="J146" s="48">
        <v>0</v>
      </c>
      <c r="K146" s="16">
        <v>51014</v>
      </c>
      <c r="L146" s="49" t="s">
        <v>333</v>
      </c>
      <c r="M146" s="15" t="s">
        <v>297</v>
      </c>
      <c r="N146" s="20" t="str">
        <f ca="1">_xll.meLWOBondCreateFromGeneratorLVB(C146,$N$4,_xll.meUtilityLVBFromKeysValues($C$6:$M$6,C146:M146))</f>
        <v>IT0004534589:1</v>
      </c>
      <c r="O146" s="92">
        <f ca="1">_xll.BDP($B146,$O$5)</f>
        <v>4.2289568175112313</v>
      </c>
      <c r="P146" s="89">
        <f ca="1">_xll.meLWOBondCleanPrice($N146,$C$4,$O146%)</f>
        <v>42.12384283113817</v>
      </c>
      <c r="Q146" s="89">
        <f ca="1">_xll.meLWOBondDirtyPrice($N146,$C$4,$O146%)</f>
        <v>42.12384283113817</v>
      </c>
      <c r="R146" s="72">
        <f ca="1">_xll.meLWOBondYield($N146,$C$4,P146)</f>
        <v>4.2289568175133185E-2</v>
      </c>
      <c r="S146" s="89">
        <f ca="1">_xll.meLWOBondModifiedDuration($N146,$C$4,$O146%)</f>
        <v>20.445097366597576</v>
      </c>
      <c r="T146" s="23">
        <f ca="1">_xll.meLWOBondDV01($N146,$C$4,$O146%)</f>
        <v>861.2260681378732</v>
      </c>
      <c r="U146" s="85">
        <f t="shared" ca="1" si="16"/>
        <v>4.2289568175112313</v>
      </c>
      <c r="V146" s="22" t="str">
        <f ca="1">_xll.BDP($B146,V$6, "YAS_BOND_YLD="&amp;U146,"YAS_YLD_CONV=1")</f>
        <v>#N/A Requesting Data...</v>
      </c>
      <c r="W146" s="89">
        <f t="shared" ca="1" si="17"/>
        <v>42.12384283113817</v>
      </c>
      <c r="X146" s="24" t="e">
        <f t="shared" ca="1" si="13"/>
        <v>#VALUE!</v>
      </c>
      <c r="Y146" s="23">
        <f ca="1">_xll.meLWOBondDV01($N146,$C$4,$U146%)</f>
        <v>861.2260681378732</v>
      </c>
      <c r="Z146" s="22" t="e">
        <f ca="1">_xll.BDP($B146,Z$6, "YLD_YTM_ASK="&amp;$U146,"YAS_YLD_CONV=33")*$Z$3*0.0001</f>
        <v>#VALUE!</v>
      </c>
      <c r="AA146" s="24" t="e">
        <f t="shared" ca="1" si="14"/>
        <v>#VALUE!</v>
      </c>
      <c r="AB146" s="23">
        <f ca="1">_xll.meLWOBondModifiedDuration($N146,$C$4,$U146%)</f>
        <v>20.445097366597576</v>
      </c>
      <c r="AC146" s="23" t="str">
        <f ca="1">_xll.BDP($B146,AC$6, "YLD_YTM_ASK="&amp;$U146,"YAS_YLD_CONV=1")</f>
        <v>#N/A Requesting Data...</v>
      </c>
      <c r="AD146" s="22" t="e">
        <f t="shared" ca="1" si="15"/>
        <v>#VALUE!</v>
      </c>
      <c r="AE146" s="24">
        <f ca="1">_xll.meLWOBondDV01Numerical($N146,$C$4,$U146%, 0.5, "CENTRAL")</f>
        <v>843.57738577871555</v>
      </c>
    </row>
    <row r="147" spans="2:31">
      <c r="B147" s="15" t="s">
        <v>498</v>
      </c>
      <c r="C147" s="15" t="s">
        <v>499</v>
      </c>
      <c r="D147" s="15" t="s">
        <v>499</v>
      </c>
      <c r="E147" s="16">
        <v>41416</v>
      </c>
      <c r="F147" s="16" t="s">
        <v>333</v>
      </c>
      <c r="G147" s="19" t="str">
        <f t="shared" si="12"/>
        <v/>
      </c>
      <c r="H147" s="16" t="s">
        <v>333</v>
      </c>
      <c r="I147" s="16" t="s">
        <v>333</v>
      </c>
      <c r="J147" s="48">
        <v>0</v>
      </c>
      <c r="K147" s="16">
        <v>51196</v>
      </c>
      <c r="L147" s="49" t="s">
        <v>333</v>
      </c>
      <c r="M147" s="15" t="s">
        <v>297</v>
      </c>
      <c r="N147" s="20" t="str">
        <f ca="1">_xll.meLWOBondCreateFromGeneratorLVB(C147,$N$4,_xll.meUtilityLVBFromKeysValues($C$6:$M$6,C147:M147))</f>
        <v>IT0004976756:1</v>
      </c>
      <c r="O147" s="92">
        <f ca="1">_xll.BDP($B147,$O$5)</f>
        <v>4.496084322858529</v>
      </c>
      <c r="P147" s="89">
        <f ca="1">_xll.meLWOBondCleanPrice($N147,$C$4,$O147%)</f>
        <v>39.06384524238085</v>
      </c>
      <c r="Q147" s="89">
        <f ca="1">_xll.meLWOBondDirtyPrice($N147,$C$4,$O147%)</f>
        <v>39.06384524238085</v>
      </c>
      <c r="R147" s="72">
        <f ca="1">_xll.meLWOBondYield($N147,$C$4,P147)</f>
        <v>4.496084322858529E-2</v>
      </c>
      <c r="S147" s="89">
        <f ca="1">_xll.meLWOBondModifiedDuration($N147,$C$4,$O147%)</f>
        <v>20.908073487838696</v>
      </c>
      <c r="T147" s="23">
        <f ca="1">_xll.meLWOBondDV01($N147,$C$4,$O147%)</f>
        <v>816.74974704525675</v>
      </c>
      <c r="U147" s="85">
        <f t="shared" ca="1" si="16"/>
        <v>4.496084322858529</v>
      </c>
      <c r="V147" s="22" t="str">
        <f ca="1">_xll.BDP($B147,V$6, "YAS_BOND_YLD="&amp;U147,"YAS_YLD_CONV=1")</f>
        <v>#N/A Requesting Data...</v>
      </c>
      <c r="W147" s="89">
        <f t="shared" ca="1" si="17"/>
        <v>39.06384524238085</v>
      </c>
      <c r="X147" s="24" t="e">
        <f t="shared" ca="1" si="13"/>
        <v>#VALUE!</v>
      </c>
      <c r="Y147" s="23">
        <f ca="1">_xll.meLWOBondDV01($N147,$C$4,$U147%)</f>
        <v>816.74974704525675</v>
      </c>
      <c r="Z147" s="22" t="e">
        <f ca="1">_xll.BDP($B147,Z$6, "YLD_YTM_ASK="&amp;$U147,"YAS_YLD_CONV=33")*$Z$3*0.0001</f>
        <v>#VALUE!</v>
      </c>
      <c r="AA147" s="24" t="e">
        <f t="shared" ca="1" si="14"/>
        <v>#VALUE!</v>
      </c>
      <c r="AB147" s="23">
        <f ca="1">_xll.meLWOBondModifiedDuration($N147,$C$4,$U147%)</f>
        <v>20.908073487838696</v>
      </c>
      <c r="AC147" s="23" t="str">
        <f ca="1">_xll.BDP($B147,AC$6, "YLD_YTM_ASK="&amp;$U147,"YAS_YLD_CONV=1")</f>
        <v>#N/A Requesting Data...</v>
      </c>
      <c r="AD147" s="22" t="e">
        <f t="shared" ca="1" si="15"/>
        <v>#VALUE!</v>
      </c>
      <c r="AE147" s="24">
        <f ca="1">_xll.meLWOBondDV01Numerical($N147,$C$4,$U147%, 0.5, "CENTRAL")</f>
        <v>798.98921526442746</v>
      </c>
    </row>
    <row r="148" spans="2:31">
      <c r="B148" s="15" t="s">
        <v>344</v>
      </c>
      <c r="C148" s="15" t="s">
        <v>345</v>
      </c>
      <c r="D148" s="15" t="s">
        <v>345</v>
      </c>
      <c r="E148" s="16">
        <v>40072</v>
      </c>
      <c r="F148" s="16">
        <v>40057</v>
      </c>
      <c r="G148" s="19" t="str">
        <f t="shared" si="12"/>
        <v/>
      </c>
      <c r="H148" s="16">
        <v>40238</v>
      </c>
      <c r="I148" s="16">
        <v>51196</v>
      </c>
      <c r="J148" s="48">
        <v>0.05</v>
      </c>
      <c r="K148" s="16">
        <v>51380</v>
      </c>
      <c r="L148" s="49">
        <v>98.185999999999993</v>
      </c>
      <c r="M148" s="15" t="s">
        <v>297</v>
      </c>
      <c r="N148" s="20" t="str">
        <f ca="1">_xll.meLWOBondCreateFromGeneratorLVB(C148,$N$4,_xll.meUtilityLVBFromKeysValues($C$6:$M$6,C148:M148))</f>
        <v>IT0004532559:1</v>
      </c>
      <c r="O148" s="92">
        <f ca="1">_xll.BDP($B148,$O$5)</f>
        <v>4.0683914439087143</v>
      </c>
      <c r="P148" s="89">
        <f ca="1">_xll.meLWOBondCleanPrice($N148,$C$4,$O148%)</f>
        <v>114.02990317021631</v>
      </c>
      <c r="Q148" s="89">
        <f ca="1">_xll.meLWOBondDirtyPrice($N148,$C$4,$O148%)</f>
        <v>114.66526317021632</v>
      </c>
      <c r="R148" s="72">
        <f ca="1">_xll.meLWOBondYield($N148,$C$4,P148)</f>
        <v>4.0683914439087587E-2</v>
      </c>
      <c r="S148" s="89">
        <f ca="1">_xll.meLWOBondModifiedDuration($N148,$C$4,$O148%)</f>
        <v>13.755109680935028</v>
      </c>
      <c r="T148" s="23">
        <f ca="1">_xll.meLWOBondDV01($N148,$C$4,$O148%)</f>
        <v>1577.2332714996053</v>
      </c>
      <c r="U148" s="85">
        <f t="shared" ca="1" si="16"/>
        <v>4.0683914439087143</v>
      </c>
      <c r="V148" s="22" t="str">
        <f ca="1">_xll.BDP($B148,V$6, "YAS_BOND_YLD="&amp;U148,"YAS_YLD_CONV=1")</f>
        <v>#N/A Requesting Data...</v>
      </c>
      <c r="W148" s="89">
        <f t="shared" ca="1" si="17"/>
        <v>114.02990317021631</v>
      </c>
      <c r="X148" s="24" t="e">
        <f t="shared" ca="1" si="13"/>
        <v>#VALUE!</v>
      </c>
      <c r="Y148" s="23">
        <f ca="1">_xll.meLWOBondDV01($N148,$C$4,$U148%)</f>
        <v>1577.2332714996053</v>
      </c>
      <c r="Z148" s="22" t="e">
        <f ca="1">_xll.BDP($B148,Z$6, "YLD_YTM_ASK="&amp;$U148,"YAS_YLD_CONV=33")*$Z$3*0.0001</f>
        <v>#VALUE!</v>
      </c>
      <c r="AA148" s="24" t="e">
        <f t="shared" ca="1" si="14"/>
        <v>#VALUE!</v>
      </c>
      <c r="AB148" s="23">
        <f ca="1">_xll.meLWOBondModifiedDuration($N148,$C$4,$U148%)</f>
        <v>13.755109680935028</v>
      </c>
      <c r="AC148" s="23" t="str">
        <f ca="1">_xll.BDP($B148,AC$6, "YLD_YTM_ASK="&amp;$U148,"YAS_YLD_CONV=1")</f>
        <v>#N/A Requesting Data...</v>
      </c>
      <c r="AD148" s="22" t="e">
        <f t="shared" ca="1" si="15"/>
        <v>#VALUE!</v>
      </c>
      <c r="AE148" s="24">
        <f ca="1">_xll.meLWOBondDV01Numerical($N148,$C$4,$U148%, 0.5, "CENTRAL")</f>
        <v>1546.3960772507335</v>
      </c>
    </row>
    <row r="149" spans="2:31">
      <c r="B149" s="15" t="s">
        <v>384</v>
      </c>
      <c r="C149" s="15" t="s">
        <v>385</v>
      </c>
      <c r="D149" s="15" t="s">
        <v>385</v>
      </c>
      <c r="E149" s="16">
        <v>41416</v>
      </c>
      <c r="F149" s="16" t="s">
        <v>333</v>
      </c>
      <c r="G149" s="19" t="str">
        <f t="shared" si="12"/>
        <v/>
      </c>
      <c r="H149" s="16" t="s">
        <v>333</v>
      </c>
      <c r="I149" s="16" t="s">
        <v>333</v>
      </c>
      <c r="J149" s="48">
        <v>0</v>
      </c>
      <c r="K149" s="16">
        <v>51380</v>
      </c>
      <c r="L149" s="49" t="s">
        <v>333</v>
      </c>
      <c r="M149" s="15" t="s">
        <v>297</v>
      </c>
      <c r="N149" s="20" t="str">
        <f ca="1">_xll.meLWOBondCreateFromGeneratorLVB(C149,$N$4,_xll.meUtilityLVBFromKeysValues($C$6:$M$6,C149:M149))</f>
        <v>IT0004976764:1</v>
      </c>
      <c r="O149" s="92">
        <f ca="1">_xll.BDP($B149,$O$5)</f>
        <v>4.5020997138793373</v>
      </c>
      <c r="P149" s="89">
        <f ca="1">_xll.meLWOBondCleanPrice($N149,$C$4,$O149%)</f>
        <v>38.15699999915801</v>
      </c>
      <c r="Q149" s="89">
        <f ca="1">_xll.meLWOBondDirtyPrice($N149,$C$4,$O149%)</f>
        <v>38.15699999915801</v>
      </c>
      <c r="R149" s="72">
        <f ca="1">_xll.meLWOBondYield($N149,$C$4,P149)</f>
        <v>4.5020997138793373E-2</v>
      </c>
      <c r="S149" s="89">
        <f ca="1">_xll.meLWOBondModifiedDuration($N149,$C$4,$O149%)</f>
        <v>21.396582794024109</v>
      </c>
      <c r="T149" s="23">
        <f ca="1">_xll.meLWOBondDV01($N149,$C$4,$O149%)</f>
        <v>816.42940965356229</v>
      </c>
      <c r="U149" s="85">
        <f t="shared" ca="1" si="16"/>
        <v>4.5020997138793373</v>
      </c>
      <c r="V149" s="22" t="str">
        <f ca="1">_xll.BDP($B149,V$6, "YAS_BOND_YLD="&amp;U149,"YAS_YLD_CONV=1")</f>
        <v>#N/A Requesting Data...</v>
      </c>
      <c r="W149" s="89">
        <f t="shared" ca="1" si="17"/>
        <v>38.15699999915801</v>
      </c>
      <c r="X149" s="24" t="e">
        <f t="shared" ca="1" si="13"/>
        <v>#VALUE!</v>
      </c>
      <c r="Y149" s="23">
        <f ca="1">_xll.meLWOBondDV01($N149,$C$4,$U149%)</f>
        <v>816.42940965356229</v>
      </c>
      <c r="Z149" s="22" t="e">
        <f ca="1">_xll.BDP($B149,Z$6, "YLD_YTM_ASK="&amp;$U149,"YAS_YLD_CONV=33")*$Z$3*0.0001</f>
        <v>#VALUE!</v>
      </c>
      <c r="AA149" s="24" t="e">
        <f t="shared" ca="1" si="14"/>
        <v>#VALUE!</v>
      </c>
      <c r="AB149" s="23">
        <f ca="1">_xll.meLWOBondModifiedDuration($N149,$C$4,$U149%)</f>
        <v>21.396582794024109</v>
      </c>
      <c r="AC149" s="23" t="str">
        <f ca="1">_xll.BDP($B149,AC$6, "YLD_YTM_ASK="&amp;$U149,"YAS_YLD_CONV=1")</f>
        <v>#N/A Requesting Data...</v>
      </c>
      <c r="AD149" s="22" t="e">
        <f t="shared" ca="1" si="15"/>
        <v>#VALUE!</v>
      </c>
      <c r="AE149" s="24">
        <f ca="1">_xll.meLWOBondDV01Numerical($N149,$C$4,$U149%, 0.5, "CENTRAL")</f>
        <v>798.85122774285833</v>
      </c>
    </row>
    <row r="150" spans="2:31">
      <c r="B150" s="15" t="s">
        <v>458</v>
      </c>
      <c r="C150" s="15" t="s">
        <v>459</v>
      </c>
      <c r="D150" s="15" t="s">
        <v>459</v>
      </c>
      <c r="E150" s="16">
        <v>40057</v>
      </c>
      <c r="F150" s="16" t="s">
        <v>333</v>
      </c>
      <c r="G150" s="19" t="str">
        <f t="shared" si="12"/>
        <v/>
      </c>
      <c r="H150" s="16" t="s">
        <v>333</v>
      </c>
      <c r="I150" s="16" t="s">
        <v>333</v>
      </c>
      <c r="J150" s="48">
        <v>0</v>
      </c>
      <c r="K150" s="16">
        <v>51380</v>
      </c>
      <c r="L150" s="49" t="s">
        <v>333</v>
      </c>
      <c r="M150" s="15" t="s">
        <v>297</v>
      </c>
      <c r="N150" s="20" t="str">
        <f ca="1">_xll.meLWOBondCreateFromGeneratorLVB(C150,$N$4,_xll.meUtilityLVBFromKeysValues($C$6:$M$6,C150:M150))</f>
        <v>IT0004848740:1</v>
      </c>
      <c r="O150" s="92">
        <f ca="1">_xll.BDP($B150,$O$5)</f>
        <v>4.0297156164150083</v>
      </c>
      <c r="P150" s="89">
        <f ca="1">_xll.meLWOBondCleanPrice($N150,$C$4,$O150%)</f>
        <v>42.132999995201693</v>
      </c>
      <c r="Q150" s="89">
        <f ca="1">_xll.meLWOBondDirtyPrice($N150,$C$4,$O150%)</f>
        <v>42.132999995201693</v>
      </c>
      <c r="R150" s="72">
        <f ca="1">_xll.meLWOBondYield($N150,$C$4,P150)</f>
        <v>4.0297156164174508E-2</v>
      </c>
      <c r="S150" s="89">
        <f ca="1">_xll.meLWOBondModifiedDuration($N150,$C$4,$O150%)</f>
        <v>21.445107185819101</v>
      </c>
      <c r="T150" s="23">
        <f ca="1">_xll.meLWOBondDV01($N150,$C$4,$O150%)</f>
        <v>903.54670095721599</v>
      </c>
      <c r="U150" s="85">
        <f t="shared" ca="1" si="16"/>
        <v>4.0297156164150083</v>
      </c>
      <c r="V150" s="22" t="str">
        <f ca="1">_xll.BDP($B150,V$6, "YAS_BOND_YLD="&amp;U150,"YAS_YLD_CONV=1")</f>
        <v>#N/A Requesting Data...</v>
      </c>
      <c r="W150" s="89">
        <f t="shared" ca="1" si="17"/>
        <v>42.132999995201693</v>
      </c>
      <c r="X150" s="24" t="e">
        <f t="shared" ca="1" si="13"/>
        <v>#VALUE!</v>
      </c>
      <c r="Y150" s="23">
        <f ca="1">_xll.meLWOBondDV01($N150,$C$4,$U150%)</f>
        <v>903.54670095721599</v>
      </c>
      <c r="Z150" s="22" t="e">
        <f ca="1">_xll.BDP($B150,Z$6, "YLD_YTM_ASK="&amp;$U150,"YAS_YLD_CONV=33")*$Z$3*0.0001</f>
        <v>#VALUE!</v>
      </c>
      <c r="AA150" s="24" t="e">
        <f t="shared" ca="1" si="14"/>
        <v>#VALUE!</v>
      </c>
      <c r="AB150" s="23">
        <f ca="1">_xll.meLWOBondModifiedDuration($N150,$C$4,$U150%)</f>
        <v>21.445107185819101</v>
      </c>
      <c r="AC150" s="23" t="str">
        <f ca="1">_xll.BDP($B150,AC$6, "YLD_YTM_ASK="&amp;$U150,"YAS_YLD_CONV=1")</f>
        <v>#N/A Requesting Data...</v>
      </c>
      <c r="AD150" s="22" t="e">
        <f t="shared" ca="1" si="15"/>
        <v>#VALUE!</v>
      </c>
      <c r="AE150" s="24">
        <f ca="1">_xll.meLWOBondDV01Numerical($N150,$C$4,$U150%, 0.5, "CENTRAL")</f>
        <v>886.09783290962696</v>
      </c>
    </row>
    <row r="151" spans="2:31">
      <c r="B151" s="15" t="s">
        <v>526</v>
      </c>
      <c r="C151" s="15" t="s">
        <v>527</v>
      </c>
      <c r="D151" s="15" t="s">
        <v>527</v>
      </c>
      <c r="E151" s="16">
        <v>40072</v>
      </c>
      <c r="F151" s="16" t="s">
        <v>333</v>
      </c>
      <c r="G151" s="19" t="str">
        <f t="shared" si="12"/>
        <v/>
      </c>
      <c r="H151" s="16" t="s">
        <v>333</v>
      </c>
      <c r="I151" s="16" t="s">
        <v>333</v>
      </c>
      <c r="J151" s="48">
        <v>0</v>
      </c>
      <c r="K151" s="16">
        <v>51380</v>
      </c>
      <c r="L151" s="49" t="s">
        <v>333</v>
      </c>
      <c r="M151" s="15" t="s">
        <v>297</v>
      </c>
      <c r="N151" s="20" t="str">
        <f ca="1">_xll.meLWOBondCreateFromGeneratorLVB(C151,$N$4,_xll.meUtilityLVBFromKeysValues($C$6:$M$6,C151:M151))</f>
        <v>IT0004534688:1</v>
      </c>
      <c r="O151" s="92">
        <f ca="1">_xll.BDP($B151,$O$5)</f>
        <v>4.1004583790664073</v>
      </c>
      <c r="P151" s="89">
        <f ca="1">_xll.meLWOBondCleanPrice($N151,$C$4,$O151%)</f>
        <v>41.510999995802365</v>
      </c>
      <c r="Q151" s="89">
        <f ca="1">_xll.meLWOBondDirtyPrice($N151,$C$4,$O151%)</f>
        <v>41.510999995802365</v>
      </c>
      <c r="R151" s="72">
        <f ca="1">_xll.meLWOBondYield($N151,$C$4,P151)</f>
        <v>4.1004583790680726E-2</v>
      </c>
      <c r="S151" s="89">
        <f ca="1">_xll.meLWOBondModifiedDuration($N151,$C$4,$O151%)</f>
        <v>21.437819302664643</v>
      </c>
      <c r="T151" s="23">
        <f ca="1">_xll.meLWOBondDV01($N151,$C$4,$O151%)</f>
        <v>889.90531698292386</v>
      </c>
      <c r="U151" s="85">
        <f t="shared" ca="1" si="16"/>
        <v>4.1004583790664073</v>
      </c>
      <c r="V151" s="22" t="str">
        <f ca="1">_xll.BDP($B151,V$6, "YAS_BOND_YLD="&amp;U151,"YAS_YLD_CONV=1")</f>
        <v>#N/A Requesting Data...</v>
      </c>
      <c r="W151" s="89">
        <f t="shared" ca="1" si="17"/>
        <v>41.510999995802365</v>
      </c>
      <c r="X151" s="24" t="e">
        <f t="shared" ca="1" si="13"/>
        <v>#VALUE!</v>
      </c>
      <c r="Y151" s="23">
        <f ca="1">_xll.meLWOBondDV01($N151,$C$4,$U151%)</f>
        <v>889.90531698292386</v>
      </c>
      <c r="Z151" s="22" t="e">
        <f ca="1">_xll.BDP($B151,Z$6, "YLD_YTM_ASK="&amp;$U151,"YAS_YLD_CONV=33")*$Z$3*0.0001</f>
        <v>#VALUE!</v>
      </c>
      <c r="AA151" s="24" t="e">
        <f t="shared" ca="1" si="14"/>
        <v>#VALUE!</v>
      </c>
      <c r="AB151" s="23">
        <f ca="1">_xll.meLWOBondModifiedDuration($N151,$C$4,$U151%)</f>
        <v>21.437819302664643</v>
      </c>
      <c r="AC151" s="23" t="str">
        <f ca="1">_xll.BDP($B151,AC$6, "YLD_YTM_ASK="&amp;$U151,"YAS_YLD_CONV=1")</f>
        <v>#N/A Requesting Data...</v>
      </c>
      <c r="AD151" s="22" t="e">
        <f t="shared" ca="1" si="15"/>
        <v>#VALUE!</v>
      </c>
      <c r="AE151" s="24">
        <f ca="1">_xll.meLWOBondDV01Numerical($N151,$C$4,$U151%, 0.5, "CENTRAL")</f>
        <v>872.42330043544325</v>
      </c>
    </row>
    <row r="152" spans="2:31">
      <c r="B152" s="15" t="s">
        <v>650</v>
      </c>
      <c r="C152" s="15" t="s">
        <v>651</v>
      </c>
      <c r="D152" s="15" t="s">
        <v>651</v>
      </c>
      <c r="E152" s="16">
        <v>40072</v>
      </c>
      <c r="F152" s="16" t="s">
        <v>333</v>
      </c>
      <c r="G152" s="19" t="str">
        <f t="shared" si="12"/>
        <v/>
      </c>
      <c r="H152" s="16" t="s">
        <v>333</v>
      </c>
      <c r="I152" s="16" t="s">
        <v>333</v>
      </c>
      <c r="J152" s="48">
        <v>0</v>
      </c>
      <c r="K152" s="16">
        <v>51380</v>
      </c>
      <c r="L152" s="49" t="s">
        <v>333</v>
      </c>
      <c r="M152" s="15" t="s">
        <v>297</v>
      </c>
      <c r="N152" s="20" t="str">
        <f ca="1">_xll.meLWOBondCreateFromGeneratorLVB(C152,$N$4,_xll.meUtilityLVBFromKeysValues($C$6:$M$6,C152:M152))</f>
        <v>IT0004534613:1</v>
      </c>
      <c r="O152" s="92">
        <f ca="1">_xll.BDP($B152,$O$5)</f>
        <v>4.2603833103030286</v>
      </c>
      <c r="P152" s="89">
        <f ca="1">_xll.meLWOBondCleanPrice($N152,$C$4,$O152%)</f>
        <v>40.139999997303669</v>
      </c>
      <c r="Q152" s="89">
        <f ca="1">_xll.meLWOBondDirtyPrice($N152,$C$4,$O152%)</f>
        <v>40.139999997303669</v>
      </c>
      <c r="R152" s="72">
        <f ca="1">_xll.meLWOBondYield($N152,$C$4,P152)</f>
        <v>4.2603833103001643E-2</v>
      </c>
      <c r="S152" s="89">
        <f ca="1">_xll.meLWOBondModifiedDuration($N152,$C$4,$O152%)</f>
        <v>21.421371264592231</v>
      </c>
      <c r="T152" s="23">
        <f ca="1">_xll.meLWOBondDV01($N152,$C$4,$O152%)</f>
        <v>859.85384250297307</v>
      </c>
      <c r="U152" s="85">
        <f t="shared" ca="1" si="16"/>
        <v>4.2603833103030286</v>
      </c>
      <c r="V152" s="22" t="str">
        <f ca="1">_xll.BDP($B152,V$6, "YAS_BOND_YLD="&amp;U152,"YAS_YLD_CONV=1")</f>
        <v>#N/A Requesting Data...</v>
      </c>
      <c r="W152" s="89">
        <f t="shared" ca="1" si="17"/>
        <v>40.139999997303669</v>
      </c>
      <c r="X152" s="24" t="e">
        <f t="shared" ca="1" si="13"/>
        <v>#VALUE!</v>
      </c>
      <c r="Y152" s="23">
        <f ca="1">_xll.meLWOBondDV01($N152,$C$4,$U152%)</f>
        <v>859.85384250297307</v>
      </c>
      <c r="Z152" s="22" t="e">
        <f ca="1">_xll.BDP($B152,Z$6, "YLD_YTM_ASK="&amp;$U152,"YAS_YLD_CONV=33")*$Z$3*0.0001</f>
        <v>#VALUE!</v>
      </c>
      <c r="AA152" s="24" t="e">
        <f t="shared" ca="1" si="14"/>
        <v>#VALUE!</v>
      </c>
      <c r="AB152" s="23">
        <f ca="1">_xll.meLWOBondModifiedDuration($N152,$C$4,$U152%)</f>
        <v>21.421371264592231</v>
      </c>
      <c r="AC152" s="23" t="str">
        <f ca="1">_xll.BDP($B152,AC$6, "YLD_YTM_ASK="&amp;$U152,"YAS_YLD_CONV=1")</f>
        <v>#N/A Requesting Data...</v>
      </c>
      <c r="AD152" s="22" t="e">
        <f t="shared" ca="1" si="15"/>
        <v>#VALUE!</v>
      </c>
      <c r="AE152" s="24">
        <f ca="1">_xll.meLWOBondDV01Numerical($N152,$C$4,$U152%, 0.5, "CENTRAL")</f>
        <v>842.31542310376994</v>
      </c>
    </row>
    <row r="153" spans="2:31">
      <c r="B153" s="15" t="s">
        <v>452</v>
      </c>
      <c r="C153" s="15" t="s">
        <v>453</v>
      </c>
      <c r="D153" s="15" t="s">
        <v>453</v>
      </c>
      <c r="E153" s="16">
        <v>41416</v>
      </c>
      <c r="F153" s="16" t="s">
        <v>333</v>
      </c>
      <c r="G153" s="19" t="str">
        <f t="shared" si="12"/>
        <v/>
      </c>
      <c r="H153" s="16" t="s">
        <v>333</v>
      </c>
      <c r="I153" s="16" t="s">
        <v>333</v>
      </c>
      <c r="J153" s="48">
        <v>0</v>
      </c>
      <c r="K153" s="16">
        <v>51561</v>
      </c>
      <c r="L153" s="49" t="s">
        <v>333</v>
      </c>
      <c r="M153" s="15" t="s">
        <v>297</v>
      </c>
      <c r="N153" s="20" t="str">
        <f ca="1">_xll.meLWOBondCreateFromGeneratorLVB(C153,$N$4,_xll.meUtilityLVBFromKeysValues($C$6:$M$6,C153:M153))</f>
        <v>IT0004976772:1</v>
      </c>
      <c r="O153" s="92">
        <f ca="1">_xll.BDP($B153,$O$5)</f>
        <v>4.5366506673058415</v>
      </c>
      <c r="P153" s="89">
        <f ca="1">_xll.meLWOBondCleanPrice($N153,$C$4,$O153%)</f>
        <v>37.059999999147465</v>
      </c>
      <c r="Q153" s="89">
        <f ca="1">_xll.meLWOBondDirtyPrice($N153,$C$4,$O153%)</f>
        <v>37.059999999147465</v>
      </c>
      <c r="R153" s="72">
        <f ca="1">_xll.meLWOBondYield($N153,$C$4,P153)</f>
        <v>4.5366506673058415E-2</v>
      </c>
      <c r="S153" s="89">
        <f ca="1">_xll.meLWOBondModifiedDuration($N153,$C$4,$O153%)</f>
        <v>21.882076791958273</v>
      </c>
      <c r="T153" s="23">
        <f ca="1">_xll.meLWOBondDV01($N153,$C$4,$O153%)</f>
        <v>810.94976589131841</v>
      </c>
      <c r="U153" s="85">
        <f t="shared" ca="1" si="16"/>
        <v>4.5366506673058415</v>
      </c>
      <c r="V153" s="22" t="str">
        <f ca="1">_xll.BDP($B153,V$6, "YAS_BOND_YLD="&amp;U153,"YAS_YLD_CONV=1")</f>
        <v>#N/A Requesting Data...</v>
      </c>
      <c r="W153" s="89">
        <f t="shared" ca="1" si="17"/>
        <v>37.059999999147465</v>
      </c>
      <c r="X153" s="24" t="e">
        <f t="shared" ca="1" si="13"/>
        <v>#VALUE!</v>
      </c>
      <c r="Y153" s="23">
        <f ca="1">_xll.meLWOBondDV01($N153,$C$4,$U153%)</f>
        <v>810.94976589131841</v>
      </c>
      <c r="Z153" s="22" t="e">
        <f ca="1">_xll.BDP($B153,Z$6, "YLD_YTM_ASK="&amp;$U153,"YAS_YLD_CONV=33")*$Z$3*0.0001</f>
        <v>#VALUE!</v>
      </c>
      <c r="AA153" s="24" t="e">
        <f t="shared" ca="1" si="14"/>
        <v>#VALUE!</v>
      </c>
      <c r="AB153" s="23">
        <f ca="1">_xll.meLWOBondModifiedDuration($N153,$C$4,$U153%)</f>
        <v>21.882076791958273</v>
      </c>
      <c r="AC153" s="23" t="str">
        <f ca="1">_xll.BDP($B153,AC$6, "YLD_YTM_ASK="&amp;$U153,"YAS_YLD_CONV=1")</f>
        <v>#N/A Requesting Data...</v>
      </c>
      <c r="AD153" s="22" t="e">
        <f t="shared" ca="1" si="15"/>
        <v>#VALUE!</v>
      </c>
      <c r="AE153" s="24">
        <f ca="1">_xll.meLWOBondDV01Numerical($N153,$C$4,$U153%, 0.5, "CENTRAL")</f>
        <v>793.15808667537635</v>
      </c>
    </row>
    <row r="154" spans="2:31">
      <c r="B154" s="15" t="s">
        <v>376</v>
      </c>
      <c r="C154" s="15" t="s">
        <v>377</v>
      </c>
      <c r="D154" s="15" t="s">
        <v>377</v>
      </c>
      <c r="E154" s="16">
        <v>41416</v>
      </c>
      <c r="F154" s="16" t="s">
        <v>333</v>
      </c>
      <c r="G154" s="19" t="str">
        <f t="shared" si="12"/>
        <v/>
      </c>
      <c r="H154" s="16" t="s">
        <v>333</v>
      </c>
      <c r="I154" s="16" t="s">
        <v>333</v>
      </c>
      <c r="J154" s="48">
        <v>0</v>
      </c>
      <c r="K154" s="16">
        <v>51745</v>
      </c>
      <c r="L154" s="49" t="s">
        <v>333</v>
      </c>
      <c r="M154" s="15" t="s">
        <v>297</v>
      </c>
      <c r="N154" s="20" t="str">
        <f ca="1">_xll.meLWOBondCreateFromGeneratorLVB(C154,$N$4,_xll.meUtilityLVBFromKeysValues($C$6:$M$6,C154:M154))</f>
        <v>IT0004976780:1</v>
      </c>
      <c r="O154" s="92">
        <f ca="1">_xll.BDP($B154,$O$5)</f>
        <v>4.5223602923117445</v>
      </c>
      <c r="P154" s="89">
        <f ca="1">_xll.meLWOBondCleanPrice($N154,$C$4,$O154%)</f>
        <v>36.356072425135793</v>
      </c>
      <c r="Q154" s="89">
        <f ca="1">_xll.meLWOBondDirtyPrice($N154,$C$4,$O154%)</f>
        <v>36.356072425135793</v>
      </c>
      <c r="R154" s="72">
        <f ca="1">_xll.meLWOBondYield($N154,$C$4,P154)</f>
        <v>4.5223602923117445E-2</v>
      </c>
      <c r="S154" s="89">
        <f ca="1">_xll.meLWOBondModifiedDuration($N154,$C$4,$O154%)</f>
        <v>22.372636275122847</v>
      </c>
      <c r="T154" s="23">
        <f ca="1">_xll.meLWOBondDV01($N154,$C$4,$O154%)</f>
        <v>813.38118475958652</v>
      </c>
      <c r="U154" s="85">
        <f t="shared" ca="1" si="16"/>
        <v>4.5223602923117445</v>
      </c>
      <c r="V154" s="22" t="str">
        <f ca="1">_xll.BDP($B154,V$6, "YAS_BOND_YLD="&amp;U154,"YAS_YLD_CONV=1")</f>
        <v>#N/A Requesting Data...</v>
      </c>
      <c r="W154" s="89">
        <f t="shared" ca="1" si="17"/>
        <v>36.356072425135793</v>
      </c>
      <c r="X154" s="24" t="e">
        <f t="shared" ca="1" si="13"/>
        <v>#VALUE!</v>
      </c>
      <c r="Y154" s="23">
        <f ca="1">_xll.meLWOBondDV01($N154,$C$4,$U154%)</f>
        <v>813.38118475958652</v>
      </c>
      <c r="Z154" s="22" t="e">
        <f ca="1">_xll.BDP($B154,Z$6, "YLD_YTM_ASK="&amp;$U154,"YAS_YLD_CONV=33")*$Z$3*0.0001</f>
        <v>#VALUE!</v>
      </c>
      <c r="AA154" s="24" t="e">
        <f t="shared" ca="1" si="14"/>
        <v>#VALUE!</v>
      </c>
      <c r="AB154" s="23">
        <f ca="1">_xll.meLWOBondModifiedDuration($N154,$C$4,$U154%)</f>
        <v>22.372636275122847</v>
      </c>
      <c r="AC154" s="23" t="str">
        <f ca="1">_xll.BDP($B154,AC$6, "YLD_YTM_ASK="&amp;$U154,"YAS_YLD_CONV=1")</f>
        <v>#N/A Requesting Data...</v>
      </c>
      <c r="AD154" s="22" t="e">
        <f t="shared" ca="1" si="15"/>
        <v>#VALUE!</v>
      </c>
      <c r="AE154" s="24">
        <f ca="1">_xll.meLWOBondDV01Numerical($N154,$C$4,$U154%, 0.5, "CENTRAL")</f>
        <v>795.68506978311859</v>
      </c>
    </row>
    <row r="155" spans="2:31">
      <c r="B155" s="15" t="s">
        <v>524</v>
      </c>
      <c r="C155" s="15" t="s">
        <v>525</v>
      </c>
      <c r="D155" s="15" t="s">
        <v>525</v>
      </c>
      <c r="E155" s="16">
        <v>40114</v>
      </c>
      <c r="F155" s="16" t="s">
        <v>333</v>
      </c>
      <c r="G155" s="19" t="str">
        <f t="shared" si="12"/>
        <v/>
      </c>
      <c r="H155" s="16" t="s">
        <v>333</v>
      </c>
      <c r="I155" s="16" t="s">
        <v>333</v>
      </c>
      <c r="J155" s="48">
        <v>0</v>
      </c>
      <c r="K155" s="16">
        <v>51759</v>
      </c>
      <c r="L155" s="49" t="s">
        <v>333</v>
      </c>
      <c r="M155" s="15" t="s">
        <v>297</v>
      </c>
      <c r="N155" s="20" t="str">
        <f ca="1">_xll.meLWOBondCreateFromGeneratorLVB(C155,$N$4,_xll.meUtilityLVBFromKeysValues($C$6:$M$6,C155:M155))</f>
        <v>IT0004548290:1</v>
      </c>
      <c r="O155" s="92">
        <f ca="1">_xll.BDP($B155,$O$5)</f>
        <v>4.1145603004993925</v>
      </c>
      <c r="P155" s="89">
        <f ca="1">_xll.meLWOBondCleanPrice($N155,$C$4,$O155%)</f>
        <v>39.695072082169133</v>
      </c>
      <c r="Q155" s="89">
        <f ca="1">_xll.meLWOBondDirtyPrice($N155,$C$4,$O155%)</f>
        <v>39.695072082169133</v>
      </c>
      <c r="R155" s="72">
        <f ca="1">_xll.meLWOBondYield($N155,$C$4,P155)</f>
        <v>4.1145603004950404E-2</v>
      </c>
      <c r="S155" s="89">
        <f ca="1">_xll.meLWOBondModifiedDuration($N155,$C$4,$O155%)</f>
        <v>22.45431060423472</v>
      </c>
      <c r="T155" s="23">
        <f ca="1">_xll.meLWOBondDV01($N155,$C$4,$O155%)</f>
        <v>891.32547799051201</v>
      </c>
      <c r="U155" s="85">
        <f t="shared" ca="1" si="16"/>
        <v>4.1145603004993925</v>
      </c>
      <c r="V155" s="22" t="str">
        <f ca="1">_xll.BDP($B155,V$6, "YAS_BOND_YLD="&amp;U155,"YAS_YLD_CONV=1")</f>
        <v>#N/A Requesting Data...</v>
      </c>
      <c r="W155" s="89">
        <f t="shared" ca="1" si="17"/>
        <v>39.695072082169133</v>
      </c>
      <c r="X155" s="24" t="e">
        <f t="shared" ca="1" si="13"/>
        <v>#VALUE!</v>
      </c>
      <c r="Y155" s="23">
        <f ca="1">_xll.meLWOBondDV01($N155,$C$4,$U155%)</f>
        <v>891.32547799051201</v>
      </c>
      <c r="Z155" s="22" t="e">
        <f ca="1">_xll.BDP($B155,Z$6, "YLD_YTM_ASK="&amp;$U155,"YAS_YLD_CONV=33")*$Z$3*0.0001</f>
        <v>#VALUE!</v>
      </c>
      <c r="AA155" s="24" t="e">
        <f t="shared" ca="1" si="14"/>
        <v>#VALUE!</v>
      </c>
      <c r="AB155" s="23">
        <f ca="1">_xll.meLWOBondModifiedDuration($N155,$C$4,$U155%)</f>
        <v>22.45431060423472</v>
      </c>
      <c r="AC155" s="23" t="str">
        <f ca="1">_xll.BDP($B155,AC$6, "YLD_YTM_ASK="&amp;$U155,"YAS_YLD_CONV=1")</f>
        <v>#N/A Requesting Data...</v>
      </c>
      <c r="AD155" s="22" t="e">
        <f t="shared" ca="1" si="15"/>
        <v>#VALUE!</v>
      </c>
      <c r="AE155" s="24">
        <f ca="1">_xll.meLWOBondDV01Numerical($N155,$C$4,$U155%, 0.5, "CENTRAL")</f>
        <v>873.639358387024</v>
      </c>
    </row>
    <row r="156" spans="2:31">
      <c r="B156" s="15" t="s">
        <v>694</v>
      </c>
      <c r="C156" s="15" t="s">
        <v>695</v>
      </c>
      <c r="D156" s="15" t="s">
        <v>695</v>
      </c>
      <c r="E156" s="16">
        <v>41416</v>
      </c>
      <c r="F156" s="16" t="s">
        <v>333</v>
      </c>
      <c r="G156" s="19" t="str">
        <f t="shared" si="12"/>
        <v/>
      </c>
      <c r="H156" s="16" t="s">
        <v>333</v>
      </c>
      <c r="I156" s="16" t="s">
        <v>333</v>
      </c>
      <c r="J156" s="48">
        <v>0</v>
      </c>
      <c r="K156" s="16">
        <v>51926</v>
      </c>
      <c r="L156" s="49" t="s">
        <v>333</v>
      </c>
      <c r="M156" s="15" t="s">
        <v>297</v>
      </c>
      <c r="N156" s="20" t="str">
        <f ca="1">_xll.meLWOBondCreateFromGeneratorLVB(C156,$N$4,_xll.meUtilityLVBFromKeysValues($C$6:$M$6,C156:M156))</f>
        <v>IT0004976798:1</v>
      </c>
      <c r="O156" s="92">
        <f ca="1">_xll.BDP($B156,$O$5)</f>
        <v>4.4884934898538065</v>
      </c>
      <c r="P156" s="89">
        <f ca="1">_xll.meLWOBondCleanPrice($N156,$C$4,$O156%)</f>
        <v>35.82692914865639</v>
      </c>
      <c r="Q156" s="89">
        <f ca="1">_xll.meLWOBondDirtyPrice($N156,$C$4,$O156%)</f>
        <v>35.82692914865639</v>
      </c>
      <c r="R156" s="72">
        <f ca="1">_xll.meLWOBondYield($N156,$C$4,P156)</f>
        <v>4.4884934898538065E-2</v>
      </c>
      <c r="S156" s="89">
        <f ca="1">_xll.meLWOBondModifiedDuration($N156,$C$4,$O156%)</f>
        <v>22.865404608536778</v>
      </c>
      <c r="T156" s="23">
        <f ca="1">_xll.meLWOBondDV01($N156,$C$4,$O156%)</f>
        <v>819.19723086540841</v>
      </c>
      <c r="U156" s="85">
        <f t="shared" ca="1" si="16"/>
        <v>4.4884934898538065</v>
      </c>
      <c r="V156" s="22" t="str">
        <f ca="1">_xll.BDP($B156,V$6, "YAS_BOND_YLD="&amp;U156,"YAS_YLD_CONV=1")</f>
        <v>#N/A Requesting Data...</v>
      </c>
      <c r="W156" s="89">
        <f t="shared" ca="1" si="17"/>
        <v>35.82692914865639</v>
      </c>
      <c r="X156" s="24" t="e">
        <f t="shared" ca="1" si="13"/>
        <v>#VALUE!</v>
      </c>
      <c r="Y156" s="23">
        <f ca="1">_xll.meLWOBondDV01($N156,$C$4,$U156%)</f>
        <v>819.19723086540841</v>
      </c>
      <c r="Z156" s="22" t="e">
        <f ca="1">_xll.BDP($B156,Z$6, "YLD_YTM_ASK="&amp;$U156,"YAS_YLD_CONV=33")*$Z$3*0.0001</f>
        <v>#VALUE!</v>
      </c>
      <c r="AA156" s="24" t="e">
        <f t="shared" ca="1" si="14"/>
        <v>#VALUE!</v>
      </c>
      <c r="AB156" s="23">
        <f ca="1">_xll.meLWOBondModifiedDuration($N156,$C$4,$U156%)</f>
        <v>22.865404608536778</v>
      </c>
      <c r="AC156" s="23" t="str">
        <f ca="1">_xll.BDP($B156,AC$6, "YLD_YTM_ASK="&amp;$U156,"YAS_YLD_CONV=1")</f>
        <v>#N/A Requesting Data...</v>
      </c>
      <c r="AD156" s="22" t="e">
        <f t="shared" ca="1" si="15"/>
        <v>#VALUE!</v>
      </c>
      <c r="AE156" s="24">
        <f ca="1">_xll.meLWOBondDV01Numerical($N156,$C$4,$U156%, 0.5, "CENTRAL")</f>
        <v>801.59712976900721</v>
      </c>
    </row>
    <row r="157" spans="2:31">
      <c r="B157" s="15" t="s">
        <v>446</v>
      </c>
      <c r="C157" s="15" t="s">
        <v>447</v>
      </c>
      <c r="D157" s="15" t="s">
        <v>447</v>
      </c>
      <c r="E157" s="16">
        <v>41416</v>
      </c>
      <c r="F157" s="16" t="s">
        <v>333</v>
      </c>
      <c r="G157" s="19" t="str">
        <f t="shared" si="12"/>
        <v/>
      </c>
      <c r="H157" s="16" t="s">
        <v>333</v>
      </c>
      <c r="I157" s="16" t="s">
        <v>333</v>
      </c>
      <c r="J157" s="48">
        <v>0</v>
      </c>
      <c r="K157" s="16">
        <v>52110</v>
      </c>
      <c r="L157" s="49" t="s">
        <v>333</v>
      </c>
      <c r="M157" s="15" t="s">
        <v>297</v>
      </c>
      <c r="N157" s="20" t="str">
        <f ca="1">_xll.meLWOBondCreateFromGeneratorLVB(C157,$N$4,_xll.meUtilityLVBFromKeysValues($C$6:$M$6,C157:M157))</f>
        <v>IT0004976806:1</v>
      </c>
      <c r="O157" s="92">
        <f ca="1">_xll.BDP($B157,$O$5)</f>
        <v>4.5048067523074664</v>
      </c>
      <c r="P157" s="89">
        <f ca="1">_xll.meLWOBondCleanPrice($N157,$C$4,$O157%)</f>
        <v>34.926930682609147</v>
      </c>
      <c r="Q157" s="89">
        <f ca="1">_xll.meLWOBondDirtyPrice($N157,$C$4,$O157%)</f>
        <v>34.926930682609147</v>
      </c>
      <c r="R157" s="72">
        <f ca="1">_xll.meLWOBondYield($N157,$C$4,P157)</f>
        <v>4.5048067523074664E-2</v>
      </c>
      <c r="S157" s="89">
        <f ca="1">_xll.meLWOBondModifiedDuration($N157,$C$4,$O157%)</f>
        <v>23.352724626604051</v>
      </c>
      <c r="T157" s="23">
        <f ca="1">_xll.meLWOBondDV01($N157,$C$4,$O157%)</f>
        <v>815.63899428345928</v>
      </c>
      <c r="U157" s="85">
        <f t="shared" ca="1" si="16"/>
        <v>4.5048067523074664</v>
      </c>
      <c r="V157" s="22" t="str">
        <f ca="1">_xll.BDP($B157,V$6, "YAS_BOND_YLD="&amp;U157,"YAS_YLD_CONV=1")</f>
        <v>#N/A Requesting Data...</v>
      </c>
      <c r="W157" s="89">
        <f t="shared" ca="1" si="17"/>
        <v>34.926930682609147</v>
      </c>
      <c r="X157" s="24" t="e">
        <f t="shared" ca="1" si="13"/>
        <v>#VALUE!</v>
      </c>
      <c r="Y157" s="23">
        <f ca="1">_xll.meLWOBondDV01($N157,$C$4,$U157%)</f>
        <v>815.63899428345928</v>
      </c>
      <c r="Z157" s="22" t="e">
        <f ca="1">_xll.BDP($B157,Z$6, "YLD_YTM_ASK="&amp;$U157,"YAS_YLD_CONV=33")*$Z$3*0.0001</f>
        <v>#VALUE!</v>
      </c>
      <c r="AA157" s="24" t="e">
        <f t="shared" ca="1" si="14"/>
        <v>#VALUE!</v>
      </c>
      <c r="AB157" s="23">
        <f ca="1">_xll.meLWOBondModifiedDuration($N157,$C$4,$U157%)</f>
        <v>23.352724626604051</v>
      </c>
      <c r="AC157" s="23" t="str">
        <f ca="1">_xll.BDP($B157,AC$6, "YLD_YTM_ASK="&amp;$U157,"YAS_YLD_CONV=1")</f>
        <v>#N/A Requesting Data...</v>
      </c>
      <c r="AD157" s="22" t="e">
        <f t="shared" ca="1" si="15"/>
        <v>#VALUE!</v>
      </c>
      <c r="AE157" s="24">
        <f ca="1">_xll.meLWOBondDV01Numerical($N157,$C$4,$U157%, 0.5, "CENTRAL")</f>
        <v>797.86749657735368</v>
      </c>
    </row>
    <row r="158" spans="2:31">
      <c r="B158" s="15" t="s">
        <v>644</v>
      </c>
      <c r="C158" s="15" t="s">
        <v>645</v>
      </c>
      <c r="D158" s="15" t="s">
        <v>645</v>
      </c>
      <c r="E158" s="16">
        <v>41416</v>
      </c>
      <c r="F158" s="16" t="s">
        <v>333</v>
      </c>
      <c r="G158" s="19" t="str">
        <f t="shared" si="12"/>
        <v/>
      </c>
      <c r="H158" s="16" t="s">
        <v>333</v>
      </c>
      <c r="I158" s="16" t="s">
        <v>333</v>
      </c>
      <c r="J158" s="48">
        <v>0</v>
      </c>
      <c r="K158" s="16">
        <v>52291</v>
      </c>
      <c r="L158" s="49" t="s">
        <v>333</v>
      </c>
      <c r="M158" s="15" t="s">
        <v>297</v>
      </c>
      <c r="N158" s="20" t="str">
        <f ca="1">_xll.meLWOBondCreateFromGeneratorLVB(C158,$N$4,_xll.meUtilityLVBFromKeysValues($C$6:$M$6,C158:M158))</f>
        <v>IT0004976814:1</v>
      </c>
      <c r="O158" s="92">
        <f ca="1">_xll.BDP($B158,$O$5)</f>
        <v>4.3377931396505476</v>
      </c>
      <c r="P158" s="89">
        <f ca="1">_xll.meLWOBondCleanPrice($N158,$C$4,$O158%)</f>
        <v>35.519864126807136</v>
      </c>
      <c r="Q158" s="89">
        <f ca="1">_xll.meLWOBondDirtyPrice($N158,$C$4,$O158%)</f>
        <v>35.519864126807136</v>
      </c>
      <c r="R158" s="72">
        <f ca="1">_xll.meLWOBondYield($N158,$C$4,P158)</f>
        <v>4.3377931396505476E-2</v>
      </c>
      <c r="S158" s="89">
        <f ca="1">_xll.meLWOBondModifiedDuration($N158,$C$4,$O158%)</f>
        <v>23.860903556360114</v>
      </c>
      <c r="T158" s="23">
        <f ca="1">_xll.meLWOBondDV01($N158,$C$4,$O158%)</f>
        <v>847.53605226476043</v>
      </c>
      <c r="U158" s="85">
        <f t="shared" ca="1" si="16"/>
        <v>4.3377931396505476</v>
      </c>
      <c r="V158" s="22" t="str">
        <f ca="1">_xll.BDP($B158,V$6, "YAS_BOND_YLD="&amp;U158,"YAS_YLD_CONV=1")</f>
        <v>#N/A Requesting Data...</v>
      </c>
      <c r="W158" s="89">
        <f t="shared" ca="1" si="17"/>
        <v>35.519864126807136</v>
      </c>
      <c r="X158" s="24" t="e">
        <f t="shared" ca="1" si="13"/>
        <v>#VALUE!</v>
      </c>
      <c r="Y158" s="23">
        <f ca="1">_xll.meLWOBondDV01($N158,$C$4,$U158%)</f>
        <v>847.53605226476043</v>
      </c>
      <c r="Z158" s="22" t="e">
        <f ca="1">_xll.BDP($B158,Z$6, "YLD_YTM_ASK="&amp;$U158,"YAS_YLD_CONV=33")*$Z$3*0.0001</f>
        <v>#VALUE!</v>
      </c>
      <c r="AA158" s="24" t="e">
        <f t="shared" ca="1" si="14"/>
        <v>#VALUE!</v>
      </c>
      <c r="AB158" s="23">
        <f ca="1">_xll.meLWOBondModifiedDuration($N158,$C$4,$U158%)</f>
        <v>23.860903556360114</v>
      </c>
      <c r="AC158" s="23" t="str">
        <f ca="1">_xll.BDP($B158,AC$6, "YLD_YTM_ASK="&amp;$U158,"YAS_YLD_CONV=1")</f>
        <v>#N/A Requesting Data...</v>
      </c>
      <c r="AD158" s="22" t="e">
        <f t="shared" ca="1" si="15"/>
        <v>#VALUE!</v>
      </c>
      <c r="AE158" s="24">
        <f ca="1">_xll.meLWOBondDV01Numerical($N158,$C$4,$U158%, 0.5, "CENTRAL")</f>
        <v>829.82686707012476</v>
      </c>
    </row>
    <row r="159" spans="2:31">
      <c r="B159" s="15" t="s">
        <v>542</v>
      </c>
      <c r="C159" s="15" t="s">
        <v>543</v>
      </c>
      <c r="D159" s="15" t="s">
        <v>543</v>
      </c>
      <c r="E159" s="16">
        <v>41416</v>
      </c>
      <c r="F159" s="16" t="s">
        <v>333</v>
      </c>
      <c r="G159" s="19" t="str">
        <f t="shared" si="12"/>
        <v/>
      </c>
      <c r="H159" s="16" t="s">
        <v>333</v>
      </c>
      <c r="I159" s="16" t="s">
        <v>333</v>
      </c>
      <c r="J159" s="48">
        <v>0</v>
      </c>
      <c r="K159" s="16">
        <v>52475</v>
      </c>
      <c r="L159" s="49" t="s">
        <v>333</v>
      </c>
      <c r="M159" s="15" t="s">
        <v>297</v>
      </c>
      <c r="N159" s="20" t="str">
        <f ca="1">_xll.meLWOBondCreateFromGeneratorLVB(C159,$N$4,_xll.meUtilityLVBFromKeysValues($C$6:$M$6,C159:M159))</f>
        <v>IT0004976822:1</v>
      </c>
      <c r="O159" s="92">
        <f ca="1">_xll.BDP($B159,$O$5)</f>
        <v>4.444591911687934</v>
      </c>
      <c r="P159" s="89">
        <f ca="1">_xll.meLWOBondCleanPrice($N159,$C$4,$O159%)</f>
        <v>33.903867185424794</v>
      </c>
      <c r="Q159" s="89">
        <f ca="1">_xll.meLWOBondDirtyPrice($N159,$C$4,$O159%)</f>
        <v>33.903867185424794</v>
      </c>
      <c r="R159" s="72">
        <f ca="1">_xll.meLWOBondYield($N159,$C$4,P159)</f>
        <v>4.444591911687934E-2</v>
      </c>
      <c r="S159" s="89">
        <f ca="1">_xll.meLWOBondModifiedDuration($N159,$C$4,$O159%)</f>
        <v>24.337946781532686</v>
      </c>
      <c r="T159" s="23">
        <f ca="1">_xll.meLWOBondDV01($N159,$C$4,$O159%)</f>
        <v>825.15051524702096</v>
      </c>
      <c r="U159" s="85">
        <f t="shared" ca="1" si="16"/>
        <v>4.444591911687934</v>
      </c>
      <c r="V159" s="22" t="str">
        <f ca="1">_xll.BDP($B159,V$6, "YAS_BOND_YLD="&amp;U159,"YAS_YLD_CONV=1")</f>
        <v>#N/A Requesting Data...</v>
      </c>
      <c r="W159" s="89">
        <f t="shared" ca="1" si="17"/>
        <v>33.903867185424794</v>
      </c>
      <c r="X159" s="24" t="e">
        <f t="shared" ca="1" si="13"/>
        <v>#VALUE!</v>
      </c>
      <c r="Y159" s="23">
        <f ca="1">_xll.meLWOBondDV01($N159,$C$4,$U159%)</f>
        <v>825.15051524702096</v>
      </c>
      <c r="Z159" s="22" t="e">
        <f ca="1">_xll.BDP($B159,Z$6, "YLD_YTM_ASK="&amp;$U159,"YAS_YLD_CONV=33")*$Z$3*0.0001</f>
        <v>#VALUE!</v>
      </c>
      <c r="AA159" s="24" t="e">
        <f t="shared" ca="1" si="14"/>
        <v>#VALUE!</v>
      </c>
      <c r="AB159" s="23">
        <f ca="1">_xll.meLWOBondModifiedDuration($N159,$C$4,$U159%)</f>
        <v>24.337946781532686</v>
      </c>
      <c r="AC159" s="23" t="str">
        <f ca="1">_xll.BDP($B159,AC$6, "YLD_YTM_ASK="&amp;$U159,"YAS_YLD_CONV=1")</f>
        <v>#N/A Requesting Data...</v>
      </c>
      <c r="AD159" s="22" t="e">
        <f t="shared" ca="1" si="15"/>
        <v>#VALUE!</v>
      </c>
      <c r="AE159" s="24">
        <f ca="1">_xll.meLWOBondDV01Numerical($N159,$C$4,$U159%, 0.5, "CENTRAL")</f>
        <v>807.40583688800893</v>
      </c>
    </row>
    <row r="160" spans="2:31">
      <c r="B160" s="15" t="s">
        <v>378</v>
      </c>
      <c r="C160" s="15" t="s">
        <v>379</v>
      </c>
      <c r="D160" s="15" t="s">
        <v>379</v>
      </c>
      <c r="E160" s="16">
        <v>41416</v>
      </c>
      <c r="F160" s="16" t="s">
        <v>333</v>
      </c>
      <c r="G160" s="19" t="str">
        <f t="shared" si="12"/>
        <v/>
      </c>
      <c r="H160" s="16" t="s">
        <v>333</v>
      </c>
      <c r="I160" s="16" t="s">
        <v>333</v>
      </c>
      <c r="J160" s="48">
        <v>0</v>
      </c>
      <c r="K160" s="16">
        <v>52657</v>
      </c>
      <c r="L160" s="49" t="s">
        <v>333</v>
      </c>
      <c r="M160" s="15" t="s">
        <v>297</v>
      </c>
      <c r="N160" s="20" t="str">
        <f ca="1">_xll.meLWOBondCreateFromGeneratorLVB(C160,$N$4,_xll.meUtilityLVBFromKeysValues($C$6:$M$6,C160:M160))</f>
        <v>IT0004976830:1</v>
      </c>
      <c r="O160" s="92">
        <f ca="1">_xll.BDP($B160,$O$5)</f>
        <v>4.4330410259234787</v>
      </c>
      <c r="P160" s="89">
        <f ca="1">_xll.meLWOBondCleanPrice($N160,$C$4,$O160%)</f>
        <v>33.267870006609741</v>
      </c>
      <c r="Q160" s="89">
        <f ca="1">_xll.meLWOBondDirtyPrice($N160,$C$4,$O160%)</f>
        <v>33.267870006609741</v>
      </c>
      <c r="R160" s="72">
        <f ca="1">_xll.meLWOBondYield($N160,$C$4,P160)</f>
        <v>4.4330410259234787E-2</v>
      </c>
      <c r="S160" s="89">
        <f ca="1">_xll.meLWOBondModifiedDuration($N160,$C$4,$O160%)</f>
        <v>24.828565467016833</v>
      </c>
      <c r="T160" s="23">
        <f ca="1">_xll.meLWOBondDV01($N160,$C$4,$O160%)</f>
        <v>825.99348840731568</v>
      </c>
      <c r="U160" s="85">
        <f t="shared" ca="1" si="16"/>
        <v>4.4330410259234787</v>
      </c>
      <c r="V160" s="22" t="str">
        <f ca="1">_xll.BDP($B160,V$6, "YAS_BOND_YLD="&amp;U160,"YAS_YLD_CONV=1")</f>
        <v>#N/A Requesting Data...</v>
      </c>
      <c r="W160" s="89">
        <f t="shared" ca="1" si="17"/>
        <v>33.267870006609741</v>
      </c>
      <c r="X160" s="24" t="e">
        <f t="shared" ca="1" si="13"/>
        <v>#VALUE!</v>
      </c>
      <c r="Y160" s="23">
        <f ca="1">_xll.meLWOBondDV01($N160,$C$4,$U160%)</f>
        <v>825.99348840731568</v>
      </c>
      <c r="Z160" s="22" t="e">
        <f ca="1">_xll.BDP($B160,Z$6, "YLD_YTM_ASK="&amp;$U160,"YAS_YLD_CONV=33")*$Z$3*0.0001</f>
        <v>#VALUE!</v>
      </c>
      <c r="AA160" s="24" t="e">
        <f t="shared" ca="1" si="14"/>
        <v>#VALUE!</v>
      </c>
      <c r="AB160" s="23">
        <f ca="1">_xll.meLWOBondModifiedDuration($N160,$C$4,$U160%)</f>
        <v>24.828565467016833</v>
      </c>
      <c r="AC160" s="23" t="str">
        <f ca="1">_xll.BDP($B160,AC$6, "YLD_YTM_ASK="&amp;$U160,"YAS_YLD_CONV=1")</f>
        <v>#N/A Requesting Data...</v>
      </c>
      <c r="AD160" s="22" t="e">
        <f t="shared" ca="1" si="15"/>
        <v>#VALUE!</v>
      </c>
      <c r="AE160" s="24">
        <f ca="1">_xll.meLWOBondDV01Numerical($N160,$C$4,$U160%, 0.5, "CENTRAL")</f>
        <v>808.27532889060194</v>
      </c>
    </row>
    <row r="161" spans="2:31">
      <c r="B161" s="15" t="s">
        <v>338</v>
      </c>
      <c r="C161" s="15" t="s">
        <v>339</v>
      </c>
      <c r="D161" s="15" t="s">
        <v>339</v>
      </c>
      <c r="E161" s="16">
        <v>41416</v>
      </c>
      <c r="F161" s="16">
        <v>41334</v>
      </c>
      <c r="G161" s="19" t="str">
        <f t="shared" si="12"/>
        <v/>
      </c>
      <c r="H161" s="16">
        <v>41518</v>
      </c>
      <c r="I161" s="16">
        <v>52657</v>
      </c>
      <c r="J161" s="48">
        <v>4.7500000000000001E-2</v>
      </c>
      <c r="K161" s="16">
        <v>52841</v>
      </c>
      <c r="L161" s="49">
        <v>97.221000000000004</v>
      </c>
      <c r="M161" s="15" t="s">
        <v>297</v>
      </c>
      <c r="N161" s="20" t="str">
        <f ca="1">_xll.meLWOBondCreateFromGeneratorLVB(C161,$N$4,_xll.meUtilityLVBFromKeysValues($C$6:$M$6,C161:M161))</f>
        <v>IT0004923998:1</v>
      </c>
      <c r="O161" s="92">
        <f ca="1">_xll.BDP($B161,$O$5)</f>
        <v>4.0618170378190044</v>
      </c>
      <c r="P161" s="89">
        <f ca="1">_xll.meLWOBondCleanPrice($N161,$C$4,$O161%)</f>
        <v>111.642765902371</v>
      </c>
      <c r="Q161" s="89">
        <f ca="1">_xll.meLWOBondDirtyPrice($N161,$C$4,$O161%)</f>
        <v>112.24635590237099</v>
      </c>
      <c r="R161" s="72">
        <f ca="1">_xll.meLWOBondYield($N161,$C$4,P161)</f>
        <v>4.0618170378190044E-2</v>
      </c>
      <c r="S161" s="89">
        <f ca="1">_xll.meLWOBondModifiedDuration($N161,$C$4,$O161%)</f>
        <v>15.366183298699939</v>
      </c>
      <c r="T161" s="23">
        <f ca="1">_xll.meLWOBondDV01($N161,$C$4,$O161%)</f>
        <v>1724.7980794069424</v>
      </c>
      <c r="U161" s="85">
        <f t="shared" ca="1" si="16"/>
        <v>4.0618170378190044</v>
      </c>
      <c r="V161" s="22" t="str">
        <f ca="1">_xll.BDP($B161,V$6, "YAS_BOND_YLD="&amp;U161,"YAS_YLD_CONV=1")</f>
        <v>#N/A Requesting Data...</v>
      </c>
      <c r="W161" s="89">
        <f t="shared" ca="1" si="17"/>
        <v>111.642765902371</v>
      </c>
      <c r="X161" s="24" t="e">
        <f t="shared" ca="1" si="13"/>
        <v>#VALUE!</v>
      </c>
      <c r="Y161" s="23">
        <f ca="1">_xll.meLWOBondDV01($N161,$C$4,$U161%)</f>
        <v>1724.7980794069424</v>
      </c>
      <c r="Z161" s="22" t="e">
        <f ca="1">_xll.BDP($B161,Z$6, "YLD_YTM_ASK="&amp;$U161,"YAS_YLD_CONV=33")*$Z$3*0.0001</f>
        <v>#VALUE!</v>
      </c>
      <c r="AA161" s="24" t="e">
        <f t="shared" ca="1" si="14"/>
        <v>#VALUE!</v>
      </c>
      <c r="AB161" s="23">
        <f ca="1">_xll.meLWOBondModifiedDuration($N161,$C$4,$U161%)</f>
        <v>15.366183298699939</v>
      </c>
      <c r="AC161" s="23" t="str">
        <f ca="1">_xll.BDP($B161,AC$6, "YLD_YTM_ASK="&amp;$U161,"YAS_YLD_CONV=1")</f>
        <v>#N/A Requesting Data...</v>
      </c>
      <c r="AD161" s="22" t="e">
        <f t="shared" ca="1" si="15"/>
        <v>#VALUE!</v>
      </c>
      <c r="AE161" s="24">
        <f ca="1">_xll.meLWOBondDV01Numerical($N161,$C$4,$U161%, 0.5, "CENTRAL")</f>
        <v>1690.8887458856725</v>
      </c>
    </row>
    <row r="162" spans="2:31">
      <c r="B162" s="15" t="s">
        <v>370</v>
      </c>
      <c r="C162" s="15" t="s">
        <v>371</v>
      </c>
      <c r="D162" s="15" t="s">
        <v>371</v>
      </c>
      <c r="E162" s="16">
        <v>41416</v>
      </c>
      <c r="F162" s="16" t="s">
        <v>333</v>
      </c>
      <c r="G162" s="19" t="str">
        <f t="shared" si="12"/>
        <v/>
      </c>
      <c r="H162" s="16" t="s">
        <v>333</v>
      </c>
      <c r="I162" s="16" t="s">
        <v>333</v>
      </c>
      <c r="J162" s="48">
        <v>0</v>
      </c>
      <c r="K162" s="16">
        <v>52841</v>
      </c>
      <c r="L162" s="49" t="s">
        <v>333</v>
      </c>
      <c r="M162" s="15" t="s">
        <v>297</v>
      </c>
      <c r="N162" s="20" t="str">
        <f ca="1">_xll.meLWOBondCreateFromGeneratorLVB(C162,$N$4,_xll.meUtilityLVBFromKeysValues($C$6:$M$6,C162:M162))</f>
        <v>IT0004976848:1</v>
      </c>
      <c r="O162" s="92">
        <f ca="1">_xll.BDP($B162,$O$5)</f>
        <v>4.1912895605674683</v>
      </c>
      <c r="P162" s="89">
        <f ca="1">_xll.meLWOBondCleanPrice($N162,$C$4,$O162%)</f>
        <v>34.565872135632567</v>
      </c>
      <c r="Q162" s="89">
        <f ca="1">_xll.meLWOBondDirtyPrice($N162,$C$4,$O162%)</f>
        <v>34.565872135632567</v>
      </c>
      <c r="R162" s="72">
        <f ca="1">_xll.meLWOBondYield($N162,$C$4,P162)</f>
        <v>4.1912895605674683E-2</v>
      </c>
      <c r="S162" s="89">
        <f ca="1">_xll.meLWOBondModifiedDuration($N162,$C$4,$O162%)</f>
        <v>25.3471932689427</v>
      </c>
      <c r="T162" s="23">
        <f ca="1">_xll.meLWOBondDV01($N162,$C$4,$O162%)</f>
        <v>876.14784153143989</v>
      </c>
      <c r="U162" s="85">
        <f t="shared" ca="1" si="16"/>
        <v>4.1912895605674683</v>
      </c>
      <c r="V162" s="22" t="str">
        <f ca="1">_xll.BDP($B162,V$6, "YAS_BOND_YLD="&amp;U162,"YAS_YLD_CONV=1")</f>
        <v>#N/A Requesting Data...</v>
      </c>
      <c r="W162" s="89">
        <f t="shared" ca="1" si="17"/>
        <v>34.565872135632567</v>
      </c>
      <c r="X162" s="24" t="e">
        <f t="shared" ca="1" si="13"/>
        <v>#VALUE!</v>
      </c>
      <c r="Y162" s="23">
        <f ca="1">_xll.meLWOBondDV01($N162,$C$4,$U162%)</f>
        <v>876.14784153143989</v>
      </c>
      <c r="Z162" s="22" t="e">
        <f ca="1">_xll.BDP($B162,Z$6, "YLD_YTM_ASK="&amp;$U162,"YAS_YLD_CONV=33")*$Z$3*0.0001</f>
        <v>#VALUE!</v>
      </c>
      <c r="AA162" s="24" t="e">
        <f t="shared" ca="1" si="14"/>
        <v>#VALUE!</v>
      </c>
      <c r="AB162" s="23">
        <f ca="1">_xll.meLWOBondModifiedDuration($N162,$C$4,$U162%)</f>
        <v>25.3471932689427</v>
      </c>
      <c r="AC162" s="23" t="str">
        <f ca="1">_xll.BDP($B162,AC$6, "YLD_YTM_ASK="&amp;$U162,"YAS_YLD_CONV=1")</f>
        <v>#N/A Requesting Data...</v>
      </c>
      <c r="AD162" s="22" t="e">
        <f t="shared" ca="1" si="15"/>
        <v>#VALUE!</v>
      </c>
      <c r="AE162" s="24">
        <f ca="1">_xll.meLWOBondDV01Numerical($N162,$C$4,$U162%, 0.5, "CENTRAL")</f>
        <v>858.34785391867297</v>
      </c>
    </row>
    <row r="163" spans="2:31">
      <c r="B163" s="15" t="s">
        <v>592</v>
      </c>
      <c r="C163" s="15" t="s">
        <v>593</v>
      </c>
      <c r="D163" s="15" t="s">
        <v>593</v>
      </c>
      <c r="E163" s="16">
        <v>42026</v>
      </c>
      <c r="F163" s="16" t="s">
        <v>333</v>
      </c>
      <c r="G163" s="19" t="str">
        <f t="shared" si="12"/>
        <v/>
      </c>
      <c r="H163" s="16" t="s">
        <v>333</v>
      </c>
      <c r="I163" s="16" t="s">
        <v>333</v>
      </c>
      <c r="J163" s="48">
        <v>0</v>
      </c>
      <c r="K163" s="16">
        <v>53022</v>
      </c>
      <c r="L163" s="49" t="s">
        <v>333</v>
      </c>
      <c r="M163" s="15" t="s">
        <v>297</v>
      </c>
      <c r="N163" s="20" t="str">
        <f ca="1">_xll.meLWOBondCreateFromGeneratorLVB(C163,$N$4,_xll.meUtilityLVBFromKeysValues($C$6:$M$6,C163:M163))</f>
        <v>IT0005093288:1</v>
      </c>
      <c r="O163" s="92">
        <f ca="1">_xll.BDP($B163,$O$5)</f>
        <v>4.3683103699150294</v>
      </c>
      <c r="P163" s="89">
        <f ca="1">_xll.meLWOBondCleanPrice($N163,$C$4,$O163%)</f>
        <v>32.380875273498035</v>
      </c>
      <c r="Q163" s="89">
        <f ca="1">_xll.meLWOBondDirtyPrice($N163,$C$4,$O163%)</f>
        <v>32.380875273498035</v>
      </c>
      <c r="R163" s="72">
        <f ca="1">_xll.meLWOBondYield($N163,$C$4,P163)</f>
        <v>4.3683103699150738E-2</v>
      </c>
      <c r="S163" s="89">
        <f ca="1">_xll.meLWOBondModifiedDuration($N163,$C$4,$O163%)</f>
        <v>25.81511271907706</v>
      </c>
      <c r="T163" s="23">
        <f ca="1">_xll.meLWOBondDV01($N163,$C$4,$O163%)</f>
        <v>835.91594512772701</v>
      </c>
      <c r="U163" s="85">
        <f t="shared" ca="1" si="16"/>
        <v>4.3683103699150294</v>
      </c>
      <c r="V163" s="22" t="str">
        <f ca="1">_xll.BDP($B163,V$6, "YAS_BOND_YLD="&amp;U163,"YAS_YLD_CONV=1")</f>
        <v>#N/A Requesting Data...</v>
      </c>
      <c r="W163" s="89">
        <f t="shared" ca="1" si="17"/>
        <v>32.380875273498035</v>
      </c>
      <c r="X163" s="24" t="e">
        <f t="shared" ca="1" si="13"/>
        <v>#VALUE!</v>
      </c>
      <c r="Y163" s="23">
        <f ca="1">_xll.meLWOBondDV01($N163,$C$4,$U163%)</f>
        <v>835.91594512772701</v>
      </c>
      <c r="Z163" s="22" t="e">
        <f ca="1">_xll.BDP($B163,Z$6, "YLD_YTM_ASK="&amp;$U163,"YAS_YLD_CONV=33")*$Z$3*0.0001</f>
        <v>#VALUE!</v>
      </c>
      <c r="AA163" s="24" t="e">
        <f t="shared" ca="1" si="14"/>
        <v>#VALUE!</v>
      </c>
      <c r="AB163" s="23">
        <f ca="1">_xll.meLWOBondModifiedDuration($N163,$C$4,$U163%)</f>
        <v>25.81511271907706</v>
      </c>
      <c r="AC163" s="23" t="str">
        <f ca="1">_xll.BDP($B163,AC$6, "YLD_YTM_ASK="&amp;$U163,"YAS_YLD_CONV=1")</f>
        <v>#N/A Requesting Data...</v>
      </c>
      <c r="AD163" s="22" t="e">
        <f t="shared" ca="1" si="15"/>
        <v>#VALUE!</v>
      </c>
      <c r="AE163" s="24">
        <f ca="1">_xll.meLWOBondDV01Numerical($N163,$C$4,$U163%, 0.5, "CENTRAL")</f>
        <v>818.23847240023895</v>
      </c>
    </row>
    <row r="164" spans="2:31">
      <c r="B164" s="15" t="s">
        <v>686</v>
      </c>
      <c r="C164" s="15" t="s">
        <v>687</v>
      </c>
      <c r="D164" s="15" t="s">
        <v>687</v>
      </c>
      <c r="E164" s="16">
        <v>42026</v>
      </c>
      <c r="F164" s="16" t="s">
        <v>333</v>
      </c>
      <c r="G164" s="19" t="str">
        <f t="shared" si="12"/>
        <v/>
      </c>
      <c r="H164" s="16" t="s">
        <v>333</v>
      </c>
      <c r="I164" s="16" t="s">
        <v>333</v>
      </c>
      <c r="J164" s="48">
        <v>0</v>
      </c>
      <c r="K164" s="16">
        <v>53206</v>
      </c>
      <c r="L164" s="49" t="s">
        <v>333</v>
      </c>
      <c r="M164" s="15" t="s">
        <v>297</v>
      </c>
      <c r="N164" s="20" t="str">
        <f ca="1">_xll.meLWOBondCreateFromGeneratorLVB(C164,$N$4,_xll.meUtilityLVBFromKeysValues($C$6:$M$6,C164:M164))</f>
        <v>IT0005093296:1</v>
      </c>
      <c r="O164" s="92">
        <f ca="1">_xll.BDP($B164,$O$5)</f>
        <v>4.259281024025019</v>
      </c>
      <c r="P164" s="89">
        <f ca="1">_xll.meLWOBondCleanPrice($N164,$C$4,$O164%)</f>
        <v>32.598877490177458</v>
      </c>
      <c r="Q164" s="89">
        <f ca="1">_xll.meLWOBondDirtyPrice($N164,$C$4,$O164%)</f>
        <v>32.598877490177458</v>
      </c>
      <c r="R164" s="72">
        <f ca="1">_xll.meLWOBondYield($N164,$C$4,P164)</f>
        <v>4.2592810240249745E-2</v>
      </c>
      <c r="S164" s="89">
        <f ca="1">_xll.meLWOBondModifiedDuration($N164,$C$4,$O164%)</f>
        <v>26.31828760424014</v>
      </c>
      <c r="T164" s="23">
        <f ca="1">_xll.meLWOBondDV01($N164,$C$4,$O164%)</f>
        <v>857.94663336188034</v>
      </c>
      <c r="U164" s="85">
        <f t="shared" ca="1" si="16"/>
        <v>4.259281024025019</v>
      </c>
      <c r="V164" s="22" t="str">
        <f ca="1">_xll.BDP($B164,V$6, "YAS_BOND_YLD="&amp;U164,"YAS_YLD_CONV=1")</f>
        <v>#N/A Requesting Data...</v>
      </c>
      <c r="W164" s="89">
        <f t="shared" ca="1" si="17"/>
        <v>32.598877490177458</v>
      </c>
      <c r="X164" s="24" t="e">
        <f t="shared" ca="1" si="13"/>
        <v>#VALUE!</v>
      </c>
      <c r="Y164" s="23">
        <f ca="1">_xll.meLWOBondDV01($N164,$C$4,$U164%)</f>
        <v>857.94663336188034</v>
      </c>
      <c r="Z164" s="22" t="e">
        <f ca="1">_xll.BDP($B164,Z$6, "YLD_YTM_ASK="&amp;$U164,"YAS_YLD_CONV=33")*$Z$3*0.0001</f>
        <v>#VALUE!</v>
      </c>
      <c r="AA164" s="24" t="e">
        <f t="shared" ca="1" si="14"/>
        <v>#VALUE!</v>
      </c>
      <c r="AB164" s="23">
        <f ca="1">_xll.meLWOBondModifiedDuration($N164,$C$4,$U164%)</f>
        <v>26.31828760424014</v>
      </c>
      <c r="AC164" s="23" t="str">
        <f ca="1">_xll.BDP($B164,AC$6, "YLD_YTM_ASK="&amp;$U164,"YAS_YLD_CONV=1")</f>
        <v>#N/A Requesting Data...</v>
      </c>
      <c r="AD164" s="22" t="e">
        <f t="shared" ca="1" si="15"/>
        <v>#VALUE!</v>
      </c>
      <c r="AE164" s="24">
        <f ca="1">_xll.meLWOBondDV01Numerical($N164,$C$4,$U164%, 0.5, "CENTRAL")</f>
        <v>840.24222262037551</v>
      </c>
    </row>
    <row r="165" spans="2:31">
      <c r="B165" s="15" t="s">
        <v>536</v>
      </c>
      <c r="C165" s="15" t="s">
        <v>537</v>
      </c>
      <c r="D165" s="15" t="s">
        <v>537</v>
      </c>
      <c r="E165" s="16">
        <v>42026</v>
      </c>
      <c r="F165" s="16" t="s">
        <v>333</v>
      </c>
      <c r="G165" s="19" t="str">
        <f t="shared" si="12"/>
        <v/>
      </c>
      <c r="H165" s="16" t="s">
        <v>333</v>
      </c>
      <c r="I165" s="16" t="s">
        <v>333</v>
      </c>
      <c r="J165" s="48">
        <v>0</v>
      </c>
      <c r="K165" s="16">
        <v>53387</v>
      </c>
      <c r="L165" s="49" t="s">
        <v>333</v>
      </c>
      <c r="M165" s="15" t="s">
        <v>297</v>
      </c>
      <c r="N165" s="20" t="str">
        <f ca="1">_xll.meLWOBondCreateFromGeneratorLVB(C165,$N$4,_xll.meUtilityLVBFromKeysValues($C$6:$M$6,C165:M165))</f>
        <v>IT0005093304:1</v>
      </c>
      <c r="O165" s="92">
        <f ca="1">_xll.BDP($B165,$O$5)</f>
        <v>4.1357772356486189</v>
      </c>
      <c r="P165" s="89">
        <f ca="1">_xll.meLWOBondCleanPrice($N165,$C$4,$O165%)</f>
        <v>32.978879562296889</v>
      </c>
      <c r="Q165" s="89">
        <f ca="1">_xll.meLWOBondDirtyPrice($N165,$C$4,$O165%)</f>
        <v>32.978879562296889</v>
      </c>
      <c r="R165" s="72">
        <f ca="1">_xll.meLWOBondYield($N165,$C$4,P165)</f>
        <v>4.1357772356486189E-2</v>
      </c>
      <c r="S165" s="89">
        <f ca="1">_xll.meLWOBondModifiedDuration($N165,$C$4,$O165%)</f>
        <v>26.823860168625075</v>
      </c>
      <c r="T165" s="23">
        <f ca="1">_xll.meLWOBondDV01($N165,$C$4,$O165%)</f>
        <v>884.62085389697904</v>
      </c>
      <c r="U165" s="85">
        <f t="shared" ca="1" si="16"/>
        <v>4.1357772356486189</v>
      </c>
      <c r="V165" s="22" t="str">
        <f ca="1">_xll.BDP($B165,V$6, "YAS_BOND_YLD="&amp;U165,"YAS_YLD_CONV=1")</f>
        <v>#N/A Requesting Data...</v>
      </c>
      <c r="W165" s="89">
        <f t="shared" ca="1" si="17"/>
        <v>32.978879562296889</v>
      </c>
      <c r="X165" s="24" t="e">
        <f t="shared" ca="1" si="13"/>
        <v>#VALUE!</v>
      </c>
      <c r="Y165" s="23">
        <f ca="1">_xll.meLWOBondDV01($N165,$C$4,$U165%)</f>
        <v>884.62085389697904</v>
      </c>
      <c r="Z165" s="22" t="e">
        <f ca="1">_xll.BDP($B165,Z$6, "YLD_YTM_ASK="&amp;$U165,"YAS_YLD_CONV=33")*$Z$3*0.0001</f>
        <v>#VALUE!</v>
      </c>
      <c r="AA165" s="24" t="e">
        <f t="shared" ca="1" si="14"/>
        <v>#VALUE!</v>
      </c>
      <c r="AB165" s="23">
        <f ca="1">_xll.meLWOBondModifiedDuration($N165,$C$4,$U165%)</f>
        <v>26.823860168625075</v>
      </c>
      <c r="AC165" s="23" t="str">
        <f ca="1">_xll.BDP($B165,AC$6, "YLD_YTM_ASK="&amp;$U165,"YAS_YLD_CONV=1")</f>
        <v>#N/A Requesting Data...</v>
      </c>
      <c r="AD165" s="22" t="e">
        <f t="shared" ca="1" si="15"/>
        <v>#VALUE!</v>
      </c>
      <c r="AE165" s="24">
        <f ca="1">_xll.meLWOBondDV01Numerical($N165,$C$4,$U165%, 0.5, "CENTRAL")</f>
        <v>866.87955413175644</v>
      </c>
    </row>
    <row r="166" spans="2:31">
      <c r="B166" s="15" t="s">
        <v>315</v>
      </c>
      <c r="C166" s="15" t="s">
        <v>316</v>
      </c>
      <c r="D166" s="15" t="s">
        <v>316</v>
      </c>
      <c r="E166" s="16">
        <v>42026</v>
      </c>
      <c r="F166" s="16">
        <v>41883</v>
      </c>
      <c r="G166" s="19" t="str">
        <f t="shared" si="12"/>
        <v/>
      </c>
      <c r="H166" s="16">
        <v>42064</v>
      </c>
      <c r="I166" s="16">
        <v>53387</v>
      </c>
      <c r="J166" s="48">
        <v>3.2500000000000001E-2</v>
      </c>
      <c r="K166" s="16">
        <v>53571</v>
      </c>
      <c r="L166" s="49">
        <v>99.707000000000008</v>
      </c>
      <c r="M166" s="15" t="s">
        <v>297</v>
      </c>
      <c r="N166" s="20" t="str">
        <f ca="1">_xll.meLWOBondCreateFromGeneratorLVB(C166,$N$4,_xll.meUtilityLVBFromKeysValues($C$6:$M$6,C166:M166))</f>
        <v>IT0005083057:1</v>
      </c>
      <c r="O166" s="92">
        <f ca="1">_xll.BDP($B166,$O$5)</f>
        <v>3.8476691429508714</v>
      </c>
      <c r="P166" s="89">
        <f ca="1">_xll.meLWOBondCleanPrice($N166,$C$4,$O166%)</f>
        <v>90.400922938915272</v>
      </c>
      <c r="Q166" s="89">
        <f ca="1">_xll.meLWOBondDirtyPrice($N166,$C$4,$O166%)</f>
        <v>90.813902938915277</v>
      </c>
      <c r="R166" s="72">
        <f ca="1">_xll.meLWOBondYield($N166,$C$4,P166)</f>
        <v>3.8476691429508714E-2</v>
      </c>
      <c r="S166" s="89">
        <f ca="1">_xll.meLWOBondModifiedDuration($N166,$C$4,$O166%)</f>
        <v>17.582152775292641</v>
      </c>
      <c r="T166" s="23">
        <f ca="1">_xll.meLWOBondDV01($N166,$C$4,$O166%)</f>
        <v>1596.7039155926057</v>
      </c>
      <c r="U166" s="85">
        <f t="shared" ca="1" si="16"/>
        <v>3.8476691429508714</v>
      </c>
      <c r="V166" s="22" t="str">
        <f ca="1">_xll.BDP($B166,V$6, "YAS_BOND_YLD="&amp;U166,"YAS_YLD_CONV=1")</f>
        <v>#N/A Requesting Data...</v>
      </c>
      <c r="W166" s="89">
        <f t="shared" ca="1" si="17"/>
        <v>90.400922938915272</v>
      </c>
      <c r="X166" s="24" t="e">
        <f t="shared" ca="1" si="13"/>
        <v>#VALUE!</v>
      </c>
      <c r="Y166" s="23">
        <f ca="1">_xll.meLWOBondDV01($N166,$C$4,$U166%)</f>
        <v>1596.7039155926057</v>
      </c>
      <c r="Z166" s="22" t="e">
        <f ca="1">_xll.BDP($B166,Z$6, "YLD_YTM_ASK="&amp;$U166,"YAS_YLD_CONV=33")*$Z$3*0.0001</f>
        <v>#VALUE!</v>
      </c>
      <c r="AA166" s="24" t="e">
        <f t="shared" ca="1" si="14"/>
        <v>#VALUE!</v>
      </c>
      <c r="AB166" s="23">
        <f ca="1">_xll.meLWOBondModifiedDuration($N166,$C$4,$U166%)</f>
        <v>17.582152775292641</v>
      </c>
      <c r="AC166" s="23" t="str">
        <f ca="1">_xll.BDP($B166,AC$6, "YLD_YTM_ASK="&amp;$U166,"YAS_YLD_CONV=1")</f>
        <v>#N/A Requesting Data...</v>
      </c>
      <c r="AD166" s="22" t="e">
        <f t="shared" ca="1" si="15"/>
        <v>#VALUE!</v>
      </c>
      <c r="AE166" s="24">
        <f ca="1">_xll.meLWOBondDV01Numerical($N166,$C$4,$U166%, 0.5, "CENTRAL")</f>
        <v>1567.0932954941463</v>
      </c>
    </row>
    <row r="167" spans="2:31">
      <c r="B167" s="15" t="s">
        <v>420</v>
      </c>
      <c r="C167" s="15" t="s">
        <v>421</v>
      </c>
      <c r="D167" s="15" t="s">
        <v>421</v>
      </c>
      <c r="E167" s="16">
        <v>42026</v>
      </c>
      <c r="F167" s="16" t="s">
        <v>333</v>
      </c>
      <c r="G167" s="19" t="str">
        <f t="shared" si="12"/>
        <v/>
      </c>
      <c r="H167" s="16" t="s">
        <v>333</v>
      </c>
      <c r="I167" s="16" t="s">
        <v>333</v>
      </c>
      <c r="J167" s="48">
        <v>0</v>
      </c>
      <c r="K167" s="16">
        <v>53571</v>
      </c>
      <c r="L167" s="49" t="s">
        <v>333</v>
      </c>
      <c r="M167" s="15" t="s">
        <v>297</v>
      </c>
      <c r="N167" s="20" t="str">
        <f ca="1">_xll.meLWOBondCreateFromGeneratorLVB(C167,$N$4,_xll.meUtilityLVBFromKeysValues($C$6:$M$6,C167:M167))</f>
        <v>IT0005093312:1</v>
      </c>
      <c r="O167" s="92">
        <f ca="1">_xll.BDP($B167,$O$5)</f>
        <v>3.7494223666471926</v>
      </c>
      <c r="P167" s="89">
        <f ca="1">_xll.meLWOBondCleanPrice($N167,$C$4,$O167%)</f>
        <v>35.837999901995317</v>
      </c>
      <c r="Q167" s="89">
        <f ca="1">_xll.meLWOBondDirtyPrice($N167,$C$4,$O167%)</f>
        <v>35.837999901995317</v>
      </c>
      <c r="R167" s="72">
        <f ca="1">_xll.meLWOBondYield($N167,$C$4,P167)</f>
        <v>3.7494223666471926E-2</v>
      </c>
      <c r="S167" s="89">
        <f ca="1">_xll.meLWOBondModifiedDuration($N167,$C$4,$O167%)</f>
        <v>27.364640813406051</v>
      </c>
      <c r="T167" s="23">
        <f ca="1">_xll.meLWOBondDV01($N167,$C$4,$O167%)</f>
        <v>980.6939947889831</v>
      </c>
      <c r="U167" s="85">
        <f t="shared" ca="1" si="16"/>
        <v>3.7494223666471926</v>
      </c>
      <c r="V167" s="22" t="str">
        <f ca="1">_xll.BDP($B167,V$6, "YAS_BOND_YLD="&amp;U167,"YAS_YLD_CONV=1")</f>
        <v>#N/A Requesting Data...</v>
      </c>
      <c r="W167" s="89">
        <f t="shared" ca="1" si="17"/>
        <v>35.837999901995317</v>
      </c>
      <c r="X167" s="24" t="e">
        <f t="shared" ca="1" si="13"/>
        <v>#VALUE!</v>
      </c>
      <c r="Y167" s="23">
        <f ca="1">_xll.meLWOBondDV01($N167,$C$4,$U167%)</f>
        <v>980.6939947889831</v>
      </c>
      <c r="Z167" s="22" t="e">
        <f ca="1">_xll.BDP($B167,Z$6, "YLD_YTM_ASK="&amp;$U167,"YAS_YLD_CONV=33")*$Z$3*0.0001</f>
        <v>#VALUE!</v>
      </c>
      <c r="AA167" s="24" t="e">
        <f t="shared" ca="1" si="14"/>
        <v>#VALUE!</v>
      </c>
      <c r="AB167" s="23">
        <f ca="1">_xll.meLWOBondModifiedDuration($N167,$C$4,$U167%)</f>
        <v>27.364640813406051</v>
      </c>
      <c r="AC167" s="23" t="str">
        <f ca="1">_xll.BDP($B167,AC$6, "YLD_YTM_ASK="&amp;$U167,"YAS_YLD_CONV=1")</f>
        <v>#N/A Requesting Data...</v>
      </c>
      <c r="AD167" s="22" t="e">
        <f t="shared" ca="1" si="15"/>
        <v>#VALUE!</v>
      </c>
      <c r="AE167" s="24">
        <f ca="1">_xll.meLWOBondDV01Numerical($N167,$C$4,$U167%, 0.5, "CENTRAL")</f>
        <v>963.00134321580799</v>
      </c>
    </row>
    <row r="168" spans="2:31">
      <c r="B168" s="15" t="s">
        <v>300</v>
      </c>
      <c r="C168" s="15" t="s">
        <v>301</v>
      </c>
      <c r="D168" s="15" t="s">
        <v>301</v>
      </c>
      <c r="E168" s="16">
        <v>42409</v>
      </c>
      <c r="F168" s="16">
        <v>42409</v>
      </c>
      <c r="G168" s="19" t="str">
        <f t="shared" si="12"/>
        <v/>
      </c>
      <c r="H168" s="16">
        <v>42430</v>
      </c>
      <c r="I168" s="16">
        <v>53571</v>
      </c>
      <c r="J168" s="48">
        <v>2.7000000000000003E-2</v>
      </c>
      <c r="K168" s="16">
        <v>53752</v>
      </c>
      <c r="L168" s="49">
        <v>99.181999999999988</v>
      </c>
      <c r="M168" s="15" t="s">
        <v>297</v>
      </c>
      <c r="N168" s="20" t="str">
        <f ca="1">_xll.meLWOBondCreateFromGeneratorLVB(C168,$N$4,_xll.meUtilityLVBFromKeysValues($C$6:$M$6,C168:M168))</f>
        <v>IT0005162828:1</v>
      </c>
      <c r="O168" s="92">
        <f ca="1">_xll.BDP($B168,$O$5)</f>
        <v>3.7679002856236377</v>
      </c>
      <c r="P168" s="89">
        <f ca="1">_xll.meLWOBondCleanPrice($N168,$C$4,$O168%)</f>
        <v>82.01193647902538</v>
      </c>
      <c r="Q168" s="89">
        <f ca="1">_xll.meLWOBondDirtyPrice($N168,$C$4,$O168%)</f>
        <v>82.355026479025383</v>
      </c>
      <c r="R168" s="72">
        <f ca="1">_xll.meLWOBondYield($N168,$C$4,P168)</f>
        <v>3.7679002856236821E-2</v>
      </c>
      <c r="S168" s="89">
        <f ca="1">_xll.meLWOBondModifiedDuration($N168,$C$4,$O168%)</f>
        <v>18.565921202826555</v>
      </c>
      <c r="T168" s="23">
        <f ca="1">_xll.meLWOBondDV01($N168,$C$4,$O168%)</f>
        <v>1528.9969322662798</v>
      </c>
      <c r="U168" s="85">
        <f t="shared" ca="1" si="16"/>
        <v>3.7679002856236377</v>
      </c>
      <c r="V168" s="22" t="str">
        <f ca="1">_xll.BDP($B168,V$6, "YAS_BOND_YLD="&amp;U168,"YAS_YLD_CONV=1")</f>
        <v>#N/A Requesting Data...</v>
      </c>
      <c r="W168" s="89">
        <f t="shared" ca="1" si="17"/>
        <v>82.01193647902538</v>
      </c>
      <c r="X168" s="24" t="e">
        <f t="shared" ca="1" si="13"/>
        <v>#VALUE!</v>
      </c>
      <c r="Y168" s="23">
        <f ca="1">_xll.meLWOBondDV01($N168,$C$4,$U168%)</f>
        <v>1528.9969322662798</v>
      </c>
      <c r="Z168" s="22" t="e">
        <f ca="1">_xll.BDP($B168,Z$6, "YLD_YTM_ASK="&amp;$U168,"YAS_YLD_CONV=33")*$Z$3*0.0001</f>
        <v>#VALUE!</v>
      </c>
      <c r="AA168" s="24" t="e">
        <f t="shared" ca="1" si="14"/>
        <v>#VALUE!</v>
      </c>
      <c r="AB168" s="23">
        <f ca="1">_xll.meLWOBondModifiedDuration($N168,$C$4,$U168%)</f>
        <v>18.565921202826555</v>
      </c>
      <c r="AC168" s="23" t="str">
        <f ca="1">_xll.BDP($B168,AC$6, "YLD_YTM_ASK="&amp;$U168,"YAS_YLD_CONV=1")</f>
        <v>#N/A Requesting Data...</v>
      </c>
      <c r="AD168" s="22" t="e">
        <f t="shared" ca="1" si="15"/>
        <v>#VALUE!</v>
      </c>
      <c r="AE168" s="24">
        <f ca="1">_xll.meLWOBondDV01Numerical($N168,$C$4,$U168%, 0.5, "CENTRAL")</f>
        <v>1501.0333815263266</v>
      </c>
    </row>
    <row r="169" spans="2:31">
      <c r="B169" s="15" t="s">
        <v>436</v>
      </c>
      <c r="C169" s="15" t="s">
        <v>437</v>
      </c>
      <c r="D169" s="15" t="s">
        <v>437</v>
      </c>
      <c r="E169" s="16">
        <v>42409</v>
      </c>
      <c r="F169" s="16" t="s">
        <v>333</v>
      </c>
      <c r="G169" s="19" t="str">
        <f t="shared" si="12"/>
        <v/>
      </c>
      <c r="H169" s="16" t="s">
        <v>333</v>
      </c>
      <c r="I169" s="16" t="s">
        <v>333</v>
      </c>
      <c r="J169" s="48">
        <v>0</v>
      </c>
      <c r="K169" s="16">
        <v>53752</v>
      </c>
      <c r="L169" s="49" t="s">
        <v>333</v>
      </c>
      <c r="M169" s="15" t="s">
        <v>297</v>
      </c>
      <c r="N169" s="20" t="str">
        <f ca="1">_xll.meLWOBondCreateFromGeneratorLVB(C169,$N$4,_xll.meUtilityLVBFromKeysValues($C$6:$M$6,C169:M169))</f>
        <v>IT0005177628:1</v>
      </c>
      <c r="O169" s="92">
        <f ca="1">_xll.BDP($B169,$O$5)</f>
        <v>3.6316681466244782</v>
      </c>
      <c r="P169" s="89">
        <f ca="1">_xll.meLWOBondCleanPrice($N169,$C$4,$O169%)</f>
        <v>36.343999882295371</v>
      </c>
      <c r="Q169" s="89">
        <f ca="1">_xll.meLWOBondDirtyPrice($N169,$C$4,$O169%)</f>
        <v>36.343999882295371</v>
      </c>
      <c r="R169" s="72">
        <f ca="1">_xll.meLWOBondYield($N169,$C$4,P169)</f>
        <v>3.6316681466244782E-2</v>
      </c>
      <c r="S169" s="89">
        <f ca="1">_xll.meLWOBondModifiedDuration($N169,$C$4,$O169%)</f>
        <v>27.871344167311094</v>
      </c>
      <c r="T169" s="23">
        <f ca="1">_xll.meLWOBondDV01($N169,$C$4,$O169%)</f>
        <v>1012.9561291361682</v>
      </c>
      <c r="U169" s="85">
        <f t="shared" ca="1" si="16"/>
        <v>3.6316681466244782</v>
      </c>
      <c r="V169" s="22" t="str">
        <f ca="1">_xll.BDP($B169,V$6, "YAS_BOND_YLD="&amp;U169,"YAS_YLD_CONV=1")</f>
        <v>#N/A Requesting Data...</v>
      </c>
      <c r="W169" s="89">
        <f t="shared" ca="1" si="17"/>
        <v>36.343999882295371</v>
      </c>
      <c r="X169" s="24" t="e">
        <f t="shared" ca="1" si="13"/>
        <v>#VALUE!</v>
      </c>
      <c r="Y169" s="23">
        <f ca="1">_xll.meLWOBondDV01($N169,$C$4,$U169%)</f>
        <v>1012.9561291361682</v>
      </c>
      <c r="Z169" s="22" t="e">
        <f ca="1">_xll.BDP($B169,Z$6, "YLD_YTM_ASK="&amp;$U169,"YAS_YLD_CONV=33")*$Z$3*0.0001</f>
        <v>#VALUE!</v>
      </c>
      <c r="AA169" s="24" t="e">
        <f t="shared" ca="1" si="14"/>
        <v>#VALUE!</v>
      </c>
      <c r="AB169" s="23">
        <f ca="1">_xll.meLWOBondModifiedDuration($N169,$C$4,$U169%)</f>
        <v>27.871344167311094</v>
      </c>
      <c r="AC169" s="23" t="str">
        <f ca="1">_xll.BDP($B169,AC$6, "YLD_YTM_ASK="&amp;$U169,"YAS_YLD_CONV=1")</f>
        <v>#N/A Requesting Data...</v>
      </c>
      <c r="AD169" s="22" t="e">
        <f t="shared" ca="1" si="15"/>
        <v>#VALUE!</v>
      </c>
      <c r="AE169" s="24">
        <f ca="1">_xll.meLWOBondDV01Numerical($N169,$C$4,$U169%, 0.5, "CENTRAL")</f>
        <v>995.04917144180638</v>
      </c>
    </row>
    <row r="170" spans="2:31">
      <c r="B170" s="15" t="s">
        <v>468</v>
      </c>
      <c r="C170" s="15" t="s">
        <v>469</v>
      </c>
      <c r="D170" s="15" t="s">
        <v>469</v>
      </c>
      <c r="E170" s="16">
        <v>42654</v>
      </c>
      <c r="F170" s="16" t="s">
        <v>333</v>
      </c>
      <c r="G170" s="19" t="str">
        <f t="shared" si="12"/>
        <v/>
      </c>
      <c r="H170" s="16" t="s">
        <v>333</v>
      </c>
      <c r="I170" s="16" t="s">
        <v>333</v>
      </c>
      <c r="J170" s="48">
        <v>0</v>
      </c>
      <c r="K170" s="16">
        <v>53936</v>
      </c>
      <c r="L170" s="49" t="s">
        <v>333</v>
      </c>
      <c r="M170" s="15" t="s">
        <v>297</v>
      </c>
      <c r="N170" s="20" t="str">
        <f ca="1">_xll.meLWOBondCreateFromGeneratorLVB(C170,$N$4,_xll.meUtilityLVBFromKeysValues($C$6:$M$6,C170:M170))</f>
        <v>IT0005247876:1</v>
      </c>
      <c r="O170" s="92">
        <f ca="1">_xll.BDP($B170,$O$5)</f>
        <v>4.1037932173239255</v>
      </c>
      <c r="P170" s="89">
        <f ca="1">_xll.meLWOBondCleanPrice($N170,$C$4,$O170%)</f>
        <v>31.307037504859565</v>
      </c>
      <c r="Q170" s="89">
        <f ca="1">_xll.meLWOBondDirtyPrice($N170,$C$4,$O170%)</f>
        <v>31.307037504859565</v>
      </c>
      <c r="R170" s="72">
        <f ca="1">_xll.meLWOBondYield($N170,$C$4,P170)</f>
        <v>4.1037932173238811E-2</v>
      </c>
      <c r="S170" s="89">
        <f ca="1">_xll.meLWOBondModifiedDuration($N170,$C$4,$O170%)</f>
        <v>28.298118015727972</v>
      </c>
      <c r="T170" s="23">
        <f ca="1">_xll.meLWOBondDV01($N170,$C$4,$O170%)</f>
        <v>885.93024203533776</v>
      </c>
      <c r="U170" s="85">
        <f t="shared" ca="1" si="16"/>
        <v>4.1037932173239255</v>
      </c>
      <c r="V170" s="22" t="str">
        <f ca="1">_xll.BDP($B170,V$6, "YAS_BOND_YLD="&amp;U170,"YAS_YLD_CONV=1")</f>
        <v>#N/A Requesting Data...</v>
      </c>
      <c r="W170" s="89">
        <f t="shared" ca="1" si="17"/>
        <v>31.307037504859565</v>
      </c>
      <c r="X170" s="24" t="e">
        <f t="shared" ca="1" si="13"/>
        <v>#VALUE!</v>
      </c>
      <c r="Y170" s="23">
        <f ca="1">_xll.meLWOBondDV01($N170,$C$4,$U170%)</f>
        <v>885.93024203533776</v>
      </c>
      <c r="Z170" s="22" t="e">
        <f ca="1">_xll.BDP($B170,Z$6, "YLD_YTM_ASK="&amp;$U170,"YAS_YLD_CONV=33")*$Z$3*0.0001</f>
        <v>#VALUE!</v>
      </c>
      <c r="AA170" s="24" t="e">
        <f t="shared" ca="1" si="14"/>
        <v>#VALUE!</v>
      </c>
      <c r="AB170" s="23">
        <f ca="1">_xll.meLWOBondModifiedDuration($N170,$C$4,$U170%)</f>
        <v>28.298118015727972</v>
      </c>
      <c r="AC170" s="23" t="str">
        <f ca="1">_xll.BDP($B170,AC$6, "YLD_YTM_ASK="&amp;$U170,"YAS_YLD_CONV=1")</f>
        <v>#N/A Requesting Data...</v>
      </c>
      <c r="AD170" s="22" t="e">
        <f t="shared" ca="1" si="15"/>
        <v>#VALUE!</v>
      </c>
      <c r="AE170" s="24">
        <f ca="1">_xll.meLWOBondDV01Numerical($N170,$C$4,$U170%, 0.5, "CENTRAL")</f>
        <v>868.37492798164101</v>
      </c>
    </row>
    <row r="171" spans="2:31">
      <c r="B171" s="15" t="s">
        <v>572</v>
      </c>
      <c r="C171" s="15" t="s">
        <v>573</v>
      </c>
      <c r="D171" s="15" t="s">
        <v>573</v>
      </c>
      <c r="E171" s="16">
        <v>42654</v>
      </c>
      <c r="F171" s="16" t="s">
        <v>333</v>
      </c>
      <c r="G171" s="19" t="str">
        <f t="shared" si="12"/>
        <v/>
      </c>
      <c r="H171" s="16" t="s">
        <v>333</v>
      </c>
      <c r="I171" s="16" t="s">
        <v>333</v>
      </c>
      <c r="J171" s="48">
        <v>0</v>
      </c>
      <c r="K171" s="16">
        <v>54118</v>
      </c>
      <c r="L171" s="49" t="s">
        <v>333</v>
      </c>
      <c r="M171" s="15" t="s">
        <v>297</v>
      </c>
      <c r="N171" s="20" t="str">
        <f ca="1">_xll.meLWOBondCreateFromGeneratorLVB(C171,$N$4,_xll.meUtilityLVBFromKeysValues($C$6:$M$6,C171:M171))</f>
        <v>IT0005247884:1</v>
      </c>
      <c r="O171" s="92">
        <f ca="1">_xll.BDP($B171,$O$5)</f>
        <v>3.907387411786245</v>
      </c>
      <c r="P171" s="89">
        <f ca="1">_xll.meLWOBondCleanPrice($N171,$C$4,$O171%)</f>
        <v>32.433999839897133</v>
      </c>
      <c r="Q171" s="89">
        <f ca="1">_xll.meLWOBondDirtyPrice($N171,$C$4,$O171%)</f>
        <v>32.433999839897133</v>
      </c>
      <c r="R171" s="72">
        <f ca="1">_xll.meLWOBondYield($N171,$C$4,P171)</f>
        <v>3.907387411786245E-2</v>
      </c>
      <c r="S171" s="89">
        <f ca="1">_xll.meLWOBondModifiedDuration($N171,$C$4,$O171%)</f>
        <v>28.815358736184876</v>
      </c>
      <c r="T171" s="23">
        <f ca="1">_xll.meLWOBondDV01($N171,$C$4,$O171%)</f>
        <v>934.59734063599876</v>
      </c>
      <c r="U171" s="85">
        <f t="shared" ca="1" si="16"/>
        <v>3.907387411786245</v>
      </c>
      <c r="V171" s="22" t="str">
        <f ca="1">_xll.BDP($B171,V$6, "YAS_BOND_YLD="&amp;U171,"YAS_YLD_CONV=1")</f>
        <v>#N/A Requesting Data...</v>
      </c>
      <c r="W171" s="89">
        <f t="shared" ca="1" si="17"/>
        <v>32.433999839897133</v>
      </c>
      <c r="X171" s="24" t="e">
        <f t="shared" ca="1" si="13"/>
        <v>#VALUE!</v>
      </c>
      <c r="Y171" s="23">
        <f ca="1">_xll.meLWOBondDV01($N171,$C$4,$U171%)</f>
        <v>934.59734063599876</v>
      </c>
      <c r="Z171" s="22" t="e">
        <f ca="1">_xll.BDP($B171,Z$6, "YLD_YTM_ASK="&amp;$U171,"YAS_YLD_CONV=33")*$Z$3*0.0001</f>
        <v>#VALUE!</v>
      </c>
      <c r="AA171" s="24" t="e">
        <f t="shared" ca="1" si="14"/>
        <v>#VALUE!</v>
      </c>
      <c r="AB171" s="23">
        <f ca="1">_xll.meLWOBondModifiedDuration($N171,$C$4,$U171%)</f>
        <v>28.815358736184876</v>
      </c>
      <c r="AC171" s="23" t="str">
        <f ca="1">_xll.BDP($B171,AC$6, "YLD_YTM_ASK="&amp;$U171,"YAS_YLD_CONV=1")</f>
        <v>#N/A Requesting Data...</v>
      </c>
      <c r="AD171" s="22" t="e">
        <f t="shared" ca="1" si="15"/>
        <v>#VALUE!</v>
      </c>
      <c r="AE171" s="24">
        <f ca="1">_xll.meLWOBondDV01Numerical($N171,$C$4,$U171%, 0.5, "CENTRAL")</f>
        <v>916.94157443292579</v>
      </c>
    </row>
    <row r="172" spans="2:31">
      <c r="B172" s="15" t="s">
        <v>544</v>
      </c>
      <c r="C172" s="15" t="s">
        <v>545</v>
      </c>
      <c r="D172" s="15" t="s">
        <v>545</v>
      </c>
      <c r="E172" s="16">
        <v>42654</v>
      </c>
      <c r="F172" s="16" t="s">
        <v>333</v>
      </c>
      <c r="G172" s="19" t="str">
        <f t="shared" si="12"/>
        <v/>
      </c>
      <c r="H172" s="16" t="s">
        <v>333</v>
      </c>
      <c r="I172" s="16" t="s">
        <v>333</v>
      </c>
      <c r="J172" s="48">
        <v>0</v>
      </c>
      <c r="K172" s="16">
        <v>54302</v>
      </c>
      <c r="L172" s="49" t="s">
        <v>333</v>
      </c>
      <c r="M172" s="15" t="s">
        <v>297</v>
      </c>
      <c r="N172" s="20" t="str">
        <f ca="1">_xll.meLWOBondCreateFromGeneratorLVB(C172,$N$4,_xll.meUtilityLVBFromKeysValues($C$6:$M$6,C172:M172))</f>
        <v>IT0005247892:1</v>
      </c>
      <c r="O172" s="92">
        <f ca="1">_xll.BDP($B172,$O$5)</f>
        <v>4.2750566576154503</v>
      </c>
      <c r="P172" s="89">
        <f ca="1">_xll.meLWOBondCleanPrice($N172,$C$4,$O172%)</f>
        <v>28.634999919719426</v>
      </c>
      <c r="Q172" s="89">
        <f ca="1">_xll.meLWOBondDirtyPrice($N172,$C$4,$O172%)</f>
        <v>28.634999919719426</v>
      </c>
      <c r="R172" s="72">
        <f ca="1">_xll.meLWOBondYield($N172,$C$4,P172)</f>
        <v>4.2750566576154503E-2</v>
      </c>
      <c r="S172" s="89">
        <f ca="1">_xll.meLWOBondModifiedDuration($N172,$C$4,$O172%)</f>
        <v>29.254156302488397</v>
      </c>
      <c r="T172" s="23">
        <f ca="1">_xll.meLWOBondDV01($N172,$C$4,$O172%)</f>
        <v>837.6927633732148</v>
      </c>
      <c r="U172" s="85">
        <f t="shared" ca="1" si="16"/>
        <v>4.2750566576154503</v>
      </c>
      <c r="V172" s="22" t="str">
        <f ca="1">_xll.BDP($B172,V$6, "YAS_BOND_YLD="&amp;U172,"YAS_YLD_CONV=1")</f>
        <v>#N/A Requesting Data...</v>
      </c>
      <c r="W172" s="89">
        <f t="shared" ca="1" si="17"/>
        <v>28.634999919719426</v>
      </c>
      <c r="X172" s="24" t="e">
        <f t="shared" ca="1" si="13"/>
        <v>#VALUE!</v>
      </c>
      <c r="Y172" s="23">
        <f ca="1">_xll.meLWOBondDV01($N172,$C$4,$U172%)</f>
        <v>837.6927633732148</v>
      </c>
      <c r="Z172" s="22" t="e">
        <f ca="1">_xll.BDP($B172,Z$6, "YLD_YTM_ASK="&amp;$U172,"YAS_YLD_CONV=33")*$Z$3*0.0001</f>
        <v>#VALUE!</v>
      </c>
      <c r="AA172" s="24" t="e">
        <f t="shared" ca="1" si="14"/>
        <v>#VALUE!</v>
      </c>
      <c r="AB172" s="23">
        <f ca="1">_xll.meLWOBondModifiedDuration($N172,$C$4,$U172%)</f>
        <v>29.254156302488397</v>
      </c>
      <c r="AC172" s="23" t="str">
        <f ca="1">_xll.BDP($B172,AC$6, "YLD_YTM_ASK="&amp;$U172,"YAS_YLD_CONV=1")</f>
        <v>#N/A Requesting Data...</v>
      </c>
      <c r="AD172" s="22" t="e">
        <f t="shared" ca="1" si="15"/>
        <v>#VALUE!</v>
      </c>
      <c r="AE172" s="24">
        <f ca="1">_xll.meLWOBondDV01Numerical($N172,$C$4,$U172%, 0.5, "CENTRAL")</f>
        <v>820.34155235049866</v>
      </c>
    </row>
    <row r="173" spans="2:31">
      <c r="B173" s="15" t="s">
        <v>574</v>
      </c>
      <c r="C173" s="15" t="s">
        <v>575</v>
      </c>
      <c r="D173" s="15" t="s">
        <v>575</v>
      </c>
      <c r="E173" s="16">
        <v>42654</v>
      </c>
      <c r="F173" s="16" t="s">
        <v>333</v>
      </c>
      <c r="G173" s="19" t="str">
        <f t="shared" si="12"/>
        <v/>
      </c>
      <c r="H173" s="16" t="s">
        <v>333</v>
      </c>
      <c r="I173" s="16" t="s">
        <v>333</v>
      </c>
      <c r="J173" s="48">
        <v>0</v>
      </c>
      <c r="K173" s="16">
        <v>54483</v>
      </c>
      <c r="L173" s="49" t="s">
        <v>333</v>
      </c>
      <c r="M173" s="15" t="s">
        <v>297</v>
      </c>
      <c r="N173" s="20" t="str">
        <f ca="1">_xll.meLWOBondCreateFromGeneratorLVB(C173,$N$4,_xll.meUtilityLVBFromKeysValues($C$6:$M$6,C173:M173))</f>
        <v>IT0005247900:1</v>
      </c>
      <c r="O173" s="92">
        <f ca="1">_xll.BDP($B173,$O$5)</f>
        <v>4.2630642839490696</v>
      </c>
      <c r="P173" s="89">
        <f ca="1">_xll.meLWOBondCleanPrice($N173,$C$4,$O173%)</f>
        <v>28.139999899473867</v>
      </c>
      <c r="Q173" s="89">
        <f ca="1">_xll.meLWOBondDirtyPrice($N173,$C$4,$O173%)</f>
        <v>28.139999899473867</v>
      </c>
      <c r="R173" s="72">
        <f ca="1">_xll.meLWOBondYield($N173,$C$4,P173)</f>
        <v>4.263064283949114E-2</v>
      </c>
      <c r="S173" s="89">
        <f ca="1">_xll.meLWOBondModifiedDuration($N173,$C$4,$O173%)</f>
        <v>29.745510091484217</v>
      </c>
      <c r="T173" s="23">
        <f ca="1">_xll.meLWOBondDV01($N173,$C$4,$O173%)</f>
        <v>837.03865098416475</v>
      </c>
      <c r="U173" s="85">
        <f t="shared" ca="1" si="16"/>
        <v>4.2630642839490696</v>
      </c>
      <c r="V173" s="22" t="str">
        <f ca="1">_xll.BDP($B173,V$6, "YAS_BOND_YLD="&amp;U173,"YAS_YLD_CONV=1")</f>
        <v>#N/A Requesting Data...</v>
      </c>
      <c r="W173" s="89">
        <f t="shared" ca="1" si="17"/>
        <v>28.139999899473867</v>
      </c>
      <c r="X173" s="24" t="e">
        <f t="shared" ca="1" si="13"/>
        <v>#VALUE!</v>
      </c>
      <c r="Y173" s="23">
        <f ca="1">_xll.meLWOBondDV01($N173,$C$4,$U173%)</f>
        <v>837.03865098416475</v>
      </c>
      <c r="Z173" s="22" t="e">
        <f ca="1">_xll.BDP($B173,Z$6, "YLD_YTM_ASK="&amp;$U173,"YAS_YLD_CONV=33")*$Z$3*0.0001</f>
        <v>#VALUE!</v>
      </c>
      <c r="AA173" s="24" t="e">
        <f t="shared" ca="1" si="14"/>
        <v>#VALUE!</v>
      </c>
      <c r="AB173" s="23">
        <f ca="1">_xll.meLWOBondModifiedDuration($N173,$C$4,$U173%)</f>
        <v>29.745510091484217</v>
      </c>
      <c r="AC173" s="23" t="str">
        <f ca="1">_xll.BDP($B173,AC$6, "YLD_YTM_ASK="&amp;$U173,"YAS_YLD_CONV=1")</f>
        <v>#N/A Requesting Data...</v>
      </c>
      <c r="AD173" s="22" t="e">
        <f t="shared" ca="1" si="15"/>
        <v>#VALUE!</v>
      </c>
      <c r="AE173" s="24">
        <f ca="1">_xll.meLWOBondDV01Numerical($N173,$C$4,$U173%, 0.5, "CENTRAL")</f>
        <v>819.74813845260292</v>
      </c>
    </row>
    <row r="174" spans="2:31">
      <c r="B174" s="15" t="s">
        <v>564</v>
      </c>
      <c r="C174" s="15" t="s">
        <v>565</v>
      </c>
      <c r="D174" s="15" t="s">
        <v>565</v>
      </c>
      <c r="E174" s="16">
        <v>42654</v>
      </c>
      <c r="F174" s="16" t="s">
        <v>333</v>
      </c>
      <c r="G174" s="19" t="str">
        <f t="shared" si="12"/>
        <v/>
      </c>
      <c r="H174" s="16" t="s">
        <v>333</v>
      </c>
      <c r="I174" s="16" t="s">
        <v>333</v>
      </c>
      <c r="J174" s="48">
        <v>0</v>
      </c>
      <c r="K174" s="16">
        <v>54667</v>
      </c>
      <c r="L174" s="49" t="s">
        <v>333</v>
      </c>
      <c r="M174" s="15" t="s">
        <v>297</v>
      </c>
      <c r="N174" s="20" t="str">
        <f ca="1">_xll.meLWOBondCreateFromGeneratorLVB(C174,$N$4,_xll.meUtilityLVBFromKeysValues($C$6:$M$6,C174:M174))</f>
        <v>IT0005247918:1</v>
      </c>
      <c r="O174" s="92">
        <f ca="1">_xll.BDP($B174,$O$5)</f>
        <v>4.2504308296277937</v>
      </c>
      <c r="P174" s="89">
        <f ca="1">_xll.meLWOBondCleanPrice($N174,$C$4,$O174%)</f>
        <v>27.661999874378928</v>
      </c>
      <c r="Q174" s="89">
        <f ca="1">_xll.meLWOBondDirtyPrice($N174,$C$4,$O174%)</f>
        <v>27.661999874378928</v>
      </c>
      <c r="R174" s="72">
        <f ca="1">_xll.meLWOBondYield($N174,$C$4,P174)</f>
        <v>4.2504308296278381E-2</v>
      </c>
      <c r="S174" s="89">
        <f ca="1">_xll.meLWOBondModifiedDuration($N174,$C$4,$O174%)</f>
        <v>30.23701346755935</v>
      </c>
      <c r="T174" s="23">
        <f ca="1">_xll.meLWOBondDV01($N174,$C$4,$O174%)</f>
        <v>836.41626274122075</v>
      </c>
      <c r="U174" s="85">
        <f t="shared" ca="1" si="16"/>
        <v>4.2504308296277937</v>
      </c>
      <c r="V174" s="22" t="str">
        <f ca="1">_xll.BDP($B174,V$6, "YAS_BOND_YLD="&amp;U174,"YAS_YLD_CONV=1")</f>
        <v>#N/A Requesting Data...</v>
      </c>
      <c r="W174" s="89">
        <f t="shared" ca="1" si="17"/>
        <v>27.661999874378928</v>
      </c>
      <c r="X174" s="24" t="e">
        <f t="shared" ca="1" si="13"/>
        <v>#VALUE!</v>
      </c>
      <c r="Y174" s="23">
        <f ca="1">_xll.meLWOBondDV01($N174,$C$4,$U174%)</f>
        <v>836.41626274122075</v>
      </c>
      <c r="Z174" s="22" t="e">
        <f ca="1">_xll.BDP($B174,Z$6, "YLD_YTM_ASK="&amp;$U174,"YAS_YLD_CONV=33")*$Z$3*0.0001</f>
        <v>#VALUE!</v>
      </c>
      <c r="AA174" s="24" t="e">
        <f t="shared" ca="1" si="14"/>
        <v>#VALUE!</v>
      </c>
      <c r="AB174" s="23">
        <f ca="1">_xll.meLWOBondModifiedDuration($N174,$C$4,$U174%)</f>
        <v>30.23701346755935</v>
      </c>
      <c r="AC174" s="23" t="str">
        <f ca="1">_xll.BDP($B174,AC$6, "YLD_YTM_ASK="&amp;$U174,"YAS_YLD_CONV=1")</f>
        <v>#N/A Requesting Data...</v>
      </c>
      <c r="AD174" s="22" t="e">
        <f t="shared" ca="1" si="15"/>
        <v>#VALUE!</v>
      </c>
      <c r="AE174" s="24">
        <f ca="1">_xll.meLWOBondDV01Numerical($N174,$C$4,$U174%, 0.5, "CENTRAL")</f>
        <v>819.18824853108413</v>
      </c>
    </row>
    <row r="175" spans="2:31">
      <c r="B175" s="15" t="s">
        <v>508</v>
      </c>
      <c r="C175" s="15" t="s">
        <v>509</v>
      </c>
      <c r="D175" s="15" t="s">
        <v>509</v>
      </c>
      <c r="E175" s="16">
        <v>42654</v>
      </c>
      <c r="F175" s="16" t="s">
        <v>333</v>
      </c>
      <c r="G175" s="19" t="str">
        <f t="shared" si="12"/>
        <v/>
      </c>
      <c r="H175" s="16" t="s">
        <v>333</v>
      </c>
      <c r="I175" s="16" t="s">
        <v>333</v>
      </c>
      <c r="J175" s="48">
        <v>0</v>
      </c>
      <c r="K175" s="16">
        <v>54848</v>
      </c>
      <c r="L175" s="49" t="s">
        <v>333</v>
      </c>
      <c r="M175" s="15" t="s">
        <v>297</v>
      </c>
      <c r="N175" s="20" t="str">
        <f ca="1">_xll.meLWOBondCreateFromGeneratorLVB(C175,$N$4,_xll.meUtilityLVBFromKeysValues($C$6:$M$6,C175:M175))</f>
        <v>IT0005247926:1</v>
      </c>
      <c r="O175" s="92">
        <f ca="1">_xll.BDP($B175,$O$5)</f>
        <v>4.2380939416570618</v>
      </c>
      <c r="P175" s="89">
        <f ca="1">_xll.meLWOBondCleanPrice($N175,$C$4,$O175%)</f>
        <v>27.192999843869682</v>
      </c>
      <c r="Q175" s="89">
        <f ca="1">_xll.meLWOBondDirtyPrice($N175,$C$4,$O175%)</f>
        <v>27.192999843869682</v>
      </c>
      <c r="R175" s="72">
        <f ca="1">_xll.meLWOBondYield($N175,$C$4,P175)</f>
        <v>4.2380939416570618E-2</v>
      </c>
      <c r="S175" s="89">
        <f ca="1">_xll.meLWOBondModifiedDuration($N175,$C$4,$O175%)</f>
        <v>30.728532807712387</v>
      </c>
      <c r="T175" s="23">
        <f ca="1">_xll.meLWOBondDV01($N175,$C$4,$O175%)</f>
        <v>835.60098784246736</v>
      </c>
      <c r="U175" s="85">
        <f t="shared" ca="1" si="16"/>
        <v>4.2380939416570618</v>
      </c>
      <c r="V175" s="22" t="str">
        <f ca="1">_xll.BDP($B175,V$6, "YAS_BOND_YLD="&amp;U175,"YAS_YLD_CONV=1")</f>
        <v>#N/A Requesting Data...</v>
      </c>
      <c r="W175" s="89">
        <f t="shared" ca="1" si="17"/>
        <v>27.192999843869682</v>
      </c>
      <c r="X175" s="24" t="e">
        <f t="shared" ca="1" si="13"/>
        <v>#VALUE!</v>
      </c>
      <c r="Y175" s="23">
        <f ca="1">_xll.meLWOBondDV01($N175,$C$4,$U175%)</f>
        <v>835.60098784246736</v>
      </c>
      <c r="Z175" s="22" t="e">
        <f ca="1">_xll.BDP($B175,Z$6, "YLD_YTM_ASK="&amp;$U175,"YAS_YLD_CONV=33")*$Z$3*0.0001</f>
        <v>#VALUE!</v>
      </c>
      <c r="AA175" s="24" t="e">
        <f t="shared" ca="1" si="14"/>
        <v>#VALUE!</v>
      </c>
      <c r="AB175" s="23">
        <f ca="1">_xll.meLWOBondModifiedDuration($N175,$C$4,$U175%)</f>
        <v>30.728532807712387</v>
      </c>
      <c r="AC175" s="23" t="str">
        <f ca="1">_xll.BDP($B175,AC$6, "YLD_YTM_ASK="&amp;$U175,"YAS_YLD_CONV=1")</f>
        <v>#N/A Requesting Data...</v>
      </c>
      <c r="AD175" s="22" t="e">
        <f t="shared" ca="1" si="15"/>
        <v>#VALUE!</v>
      </c>
      <c r="AE175" s="24">
        <f ca="1">_xll.meLWOBondDV01Numerical($N175,$C$4,$U175%, 0.5, "CENTRAL")</f>
        <v>818.43820450067994</v>
      </c>
    </row>
    <row r="176" spans="2:31">
      <c r="B176" s="15" t="s">
        <v>510</v>
      </c>
      <c r="C176" s="15" t="s">
        <v>511</v>
      </c>
      <c r="D176" s="15" t="s">
        <v>511</v>
      </c>
      <c r="E176" s="16">
        <v>42654</v>
      </c>
      <c r="F176" s="16" t="s">
        <v>333</v>
      </c>
      <c r="G176" s="19" t="str">
        <f t="shared" si="12"/>
        <v/>
      </c>
      <c r="H176" s="16" t="s">
        <v>333</v>
      </c>
      <c r="I176" s="16" t="s">
        <v>333</v>
      </c>
      <c r="J176" s="48">
        <v>0</v>
      </c>
      <c r="K176" s="16">
        <v>55032</v>
      </c>
      <c r="L176" s="49" t="s">
        <v>333</v>
      </c>
      <c r="M176" s="15" t="s">
        <v>297</v>
      </c>
      <c r="N176" s="20" t="str">
        <f ca="1">_xll.meLWOBondCreateFromGeneratorLVB(C176,$N$4,_xll.meUtilityLVBFromKeysValues($C$6:$M$6,C176:M176))</f>
        <v>IT0005247934:1</v>
      </c>
      <c r="O176" s="92">
        <f ca="1">_xll.BDP($B176,$O$5)</f>
        <v>4.2260172827745413</v>
      </c>
      <c r="P176" s="89">
        <f ca="1">_xll.meLWOBondCleanPrice($N176,$C$4,$O176%)</f>
        <v>26.732999806934398</v>
      </c>
      <c r="Q176" s="89">
        <f ca="1">_xll.meLWOBondDirtyPrice($N176,$C$4,$O176%)</f>
        <v>26.732999806934398</v>
      </c>
      <c r="R176" s="72">
        <f ca="1">_xll.meLWOBondYield($N176,$C$4,P176)</f>
        <v>4.2260172827745857E-2</v>
      </c>
      <c r="S176" s="89">
        <f ca="1">_xll.meLWOBondModifiedDuration($N176,$C$4,$O176%)</f>
        <v>31.220071456849155</v>
      </c>
      <c r="T176" s="23">
        <f ca="1">_xll.meLWOBondDV01($N176,$C$4,$O176%)</f>
        <v>834.60616422842656</v>
      </c>
      <c r="U176" s="85">
        <f t="shared" ca="1" si="16"/>
        <v>4.2260172827745413</v>
      </c>
      <c r="V176" s="22" t="str">
        <f ca="1">_xll.BDP($B176,V$6, "YAS_BOND_YLD="&amp;U176,"YAS_YLD_CONV=1")</f>
        <v>#N/A Requesting Data...</v>
      </c>
      <c r="W176" s="89">
        <f t="shared" ca="1" si="17"/>
        <v>26.732999806934398</v>
      </c>
      <c r="X176" s="24" t="e">
        <f t="shared" ca="1" si="13"/>
        <v>#VALUE!</v>
      </c>
      <c r="Y176" s="23">
        <f ca="1">_xll.meLWOBondDV01($N176,$C$4,$U176%)</f>
        <v>834.60616422842656</v>
      </c>
      <c r="Z176" s="22" t="e">
        <f ca="1">_xll.BDP($B176,Z$6, "YLD_YTM_ASK="&amp;$U176,"YAS_YLD_CONV=33")*$Z$3*0.0001</f>
        <v>#VALUE!</v>
      </c>
      <c r="AA176" s="24" t="e">
        <f t="shared" ca="1" si="14"/>
        <v>#VALUE!</v>
      </c>
      <c r="AB176" s="23">
        <f ca="1">_xll.meLWOBondModifiedDuration($N176,$C$4,$U176%)</f>
        <v>31.220071456849155</v>
      </c>
      <c r="AC176" s="23" t="str">
        <f ca="1">_xll.BDP($B176,AC$6, "YLD_YTM_ASK="&amp;$U176,"YAS_YLD_CONV=1")</f>
        <v>#N/A Requesting Data...</v>
      </c>
      <c r="AD176" s="22" t="e">
        <f t="shared" ca="1" si="15"/>
        <v>#VALUE!</v>
      </c>
      <c r="AE176" s="24">
        <f ca="1">_xll.meLWOBondDV01Numerical($N176,$C$4,$U176%, 0.5, "CENTRAL")</f>
        <v>817.51118283222013</v>
      </c>
    </row>
    <row r="177" spans="2:31">
      <c r="B177" s="15" t="s">
        <v>518</v>
      </c>
      <c r="C177" s="15" t="s">
        <v>519</v>
      </c>
      <c r="D177" s="15" t="s">
        <v>519</v>
      </c>
      <c r="E177" s="16">
        <v>42654</v>
      </c>
      <c r="F177" s="16" t="s">
        <v>333</v>
      </c>
      <c r="G177" s="19" t="str">
        <f t="shared" si="12"/>
        <v/>
      </c>
      <c r="H177" s="16" t="s">
        <v>333</v>
      </c>
      <c r="I177" s="16" t="s">
        <v>333</v>
      </c>
      <c r="J177" s="48">
        <v>0</v>
      </c>
      <c r="K177" s="16">
        <v>55213</v>
      </c>
      <c r="L177" s="49" t="s">
        <v>333</v>
      </c>
      <c r="M177" s="15" t="s">
        <v>297</v>
      </c>
      <c r="N177" s="20" t="str">
        <f ca="1">_xll.meLWOBondCreateFromGeneratorLVB(C177,$N$4,_xll.meUtilityLVBFromKeysValues($C$6:$M$6,C177:M177))</f>
        <v>IT0005247942:1</v>
      </c>
      <c r="O177" s="92">
        <f ca="1">_xll.BDP($B177,$O$5)</f>
        <v>4.2321000943192244</v>
      </c>
      <c r="P177" s="89">
        <f ca="1">_xll.meLWOBondCleanPrice($N177,$C$4,$O177%)</f>
        <v>26.135999776698359</v>
      </c>
      <c r="Q177" s="89">
        <f ca="1">_xll.meLWOBondDirtyPrice($N177,$C$4,$O177%)</f>
        <v>26.135999776698359</v>
      </c>
      <c r="R177" s="72">
        <f ca="1">_xll.meLWOBondYield($N177,$C$4,P177)</f>
        <v>4.2321000943192244E-2</v>
      </c>
      <c r="S177" s="89">
        <f ca="1">_xll.meLWOBondModifiedDuration($N177,$C$4,$O177%)</f>
        <v>31.708904621543446</v>
      </c>
      <c r="T177" s="23">
        <f ca="1">_xll.meLWOBondDV01($N177,$C$4,$O177%)</f>
        <v>828.74392410800908</v>
      </c>
      <c r="U177" s="85">
        <f t="shared" ca="1" si="16"/>
        <v>4.2321000943192244</v>
      </c>
      <c r="V177" s="22" t="str">
        <f ca="1">_xll.BDP($B177,V$6, "YAS_BOND_YLD="&amp;U177,"YAS_YLD_CONV=1")</f>
        <v>#N/A Requesting Data...</v>
      </c>
      <c r="W177" s="89">
        <f t="shared" ca="1" si="17"/>
        <v>26.135999776698359</v>
      </c>
      <c r="X177" s="24" t="e">
        <f t="shared" ca="1" si="13"/>
        <v>#VALUE!</v>
      </c>
      <c r="Y177" s="23">
        <f ca="1">_xll.meLWOBondDV01($N177,$C$4,$U177%)</f>
        <v>828.74392410800908</v>
      </c>
      <c r="Z177" s="22" t="e">
        <f ca="1">_xll.BDP($B177,Z$6, "YLD_YTM_ASK="&amp;$U177,"YAS_YLD_CONV=33")*$Z$3*0.0001</f>
        <v>#VALUE!</v>
      </c>
      <c r="AA177" s="24" t="e">
        <f t="shared" ca="1" si="14"/>
        <v>#VALUE!</v>
      </c>
      <c r="AB177" s="23">
        <f ca="1">_xll.meLWOBondModifiedDuration($N177,$C$4,$U177%)</f>
        <v>31.708904621543446</v>
      </c>
      <c r="AC177" s="23" t="str">
        <f ca="1">_xll.BDP($B177,AC$6, "YLD_YTM_ASK="&amp;$U177,"YAS_YLD_CONV=1")</f>
        <v>#N/A Requesting Data...</v>
      </c>
      <c r="AD177" s="22" t="e">
        <f t="shared" ca="1" si="15"/>
        <v>#VALUE!</v>
      </c>
      <c r="AE177" s="24">
        <f ca="1">_xll.meLWOBondDV01Numerical($N177,$C$4,$U177%, 0.5, "CENTRAL")</f>
        <v>811.74534051328351</v>
      </c>
    </row>
    <row r="178" spans="2:31">
      <c r="B178" s="15" t="s">
        <v>552</v>
      </c>
      <c r="C178" s="15" t="s">
        <v>553</v>
      </c>
      <c r="D178" s="15" t="s">
        <v>553</v>
      </c>
      <c r="E178" s="16">
        <v>42654</v>
      </c>
      <c r="F178" s="16" t="s">
        <v>333</v>
      </c>
      <c r="G178" s="19" t="str">
        <f t="shared" si="12"/>
        <v/>
      </c>
      <c r="H178" s="16" t="s">
        <v>333</v>
      </c>
      <c r="I178" s="16" t="s">
        <v>333</v>
      </c>
      <c r="J178" s="48">
        <v>0</v>
      </c>
      <c r="K178" s="16">
        <v>55397</v>
      </c>
      <c r="L178" s="49" t="s">
        <v>333</v>
      </c>
      <c r="M178" s="15" t="s">
        <v>297</v>
      </c>
      <c r="N178" s="20" t="str">
        <f ca="1">_xll.meLWOBondCreateFromGeneratorLVB(C178,$N$4,_xll.meUtilityLVBFromKeysValues($C$6:$M$6,C178:M178))</f>
        <v>IT0005247959:1</v>
      </c>
      <c r="O178" s="92">
        <f ca="1">_xll.BDP($B178,$O$5)</f>
        <v>4.2202210811006502</v>
      </c>
      <c r="P178" s="89">
        <f ca="1">_xll.meLWOBondCleanPrice($N178,$C$4,$O178%)</f>
        <v>25.695999725791946</v>
      </c>
      <c r="Q178" s="89">
        <f ca="1">_xll.meLWOBondDirtyPrice($N178,$C$4,$O178%)</f>
        <v>25.695999725791946</v>
      </c>
      <c r="R178" s="72">
        <f ca="1">_xll.meLWOBondYield($N178,$C$4,P178)</f>
        <v>4.2202210811006946E-2</v>
      </c>
      <c r="S178" s="89">
        <f ca="1">_xll.meLWOBondModifiedDuration($N178,$C$4,$O178%)</f>
        <v>32.200483722720215</v>
      </c>
      <c r="T178" s="23">
        <f ca="1">_xll.meLWOBondDV01($N178,$C$4,$O178%)</f>
        <v>827.42362090938673</v>
      </c>
      <c r="U178" s="85">
        <f t="shared" ca="1" si="16"/>
        <v>4.2202210811006502</v>
      </c>
      <c r="V178" s="22" t="str">
        <f ca="1">_xll.BDP($B178,V$6, "YAS_BOND_YLD="&amp;U178,"YAS_YLD_CONV=1")</f>
        <v>#N/A Requesting Data...</v>
      </c>
      <c r="W178" s="89">
        <f t="shared" ca="1" si="17"/>
        <v>25.695999725791946</v>
      </c>
      <c r="X178" s="24" t="e">
        <f t="shared" ca="1" si="13"/>
        <v>#VALUE!</v>
      </c>
      <c r="Y178" s="23">
        <f ca="1">_xll.meLWOBondDV01($N178,$C$4,$U178%)</f>
        <v>827.42362090938673</v>
      </c>
      <c r="Z178" s="22" t="e">
        <f ca="1">_xll.BDP($B178,Z$6, "YLD_YTM_ASK="&amp;$U178,"YAS_YLD_CONV=33")*$Z$3*0.0001</f>
        <v>#VALUE!</v>
      </c>
      <c r="AA178" s="24" t="e">
        <f t="shared" ca="1" si="14"/>
        <v>#VALUE!</v>
      </c>
      <c r="AB178" s="23">
        <f ca="1">_xll.meLWOBondModifiedDuration($N178,$C$4,$U178%)</f>
        <v>32.200483722720215</v>
      </c>
      <c r="AC178" s="23" t="str">
        <f ca="1">_xll.BDP($B178,AC$6, "YLD_YTM_ASK="&amp;$U178,"YAS_YLD_CONV=1")</f>
        <v>#N/A Requesting Data...</v>
      </c>
      <c r="AD178" s="22" t="e">
        <f t="shared" ca="1" si="15"/>
        <v>#VALUE!</v>
      </c>
      <c r="AE178" s="24">
        <f ca="1">_xll.meLWOBondDV01Numerical($N178,$C$4,$U178%, 0.5, "CENTRAL")</f>
        <v>810.49831541307083</v>
      </c>
    </row>
    <row r="179" spans="2:31">
      <c r="B179" s="15" t="s">
        <v>610</v>
      </c>
      <c r="C179" s="15" t="s">
        <v>611</v>
      </c>
      <c r="D179" s="15" t="s">
        <v>611</v>
      </c>
      <c r="E179" s="16">
        <v>42654</v>
      </c>
      <c r="F179" s="16" t="s">
        <v>333</v>
      </c>
      <c r="G179" s="19" t="str">
        <f t="shared" si="12"/>
        <v/>
      </c>
      <c r="H179" s="16" t="s">
        <v>333</v>
      </c>
      <c r="I179" s="16" t="s">
        <v>333</v>
      </c>
      <c r="J179" s="48">
        <v>0</v>
      </c>
      <c r="K179" s="16">
        <v>55579</v>
      </c>
      <c r="L179" s="49" t="s">
        <v>333</v>
      </c>
      <c r="M179" s="15" t="s">
        <v>297</v>
      </c>
      <c r="N179" s="20" t="str">
        <f ca="1">_xll.meLWOBondCreateFromGeneratorLVB(C179,$N$4,_xll.meUtilityLVBFromKeysValues($C$6:$M$6,C179:M179))</f>
        <v>IT0005247967:1</v>
      </c>
      <c r="O179" s="92">
        <f ca="1">_xll.BDP($B179,$O$5)</f>
        <v>4.2080081460942553</v>
      </c>
      <c r="P179" s="89">
        <f ca="1">_xll.meLWOBondCleanPrice($N179,$C$4,$O179%)</f>
        <v>25.26899966417151</v>
      </c>
      <c r="Q179" s="89">
        <f ca="1">_xll.meLWOBondDirtyPrice($N179,$C$4,$O179%)</f>
        <v>25.26899966417151</v>
      </c>
      <c r="R179" s="72">
        <f ca="1">_xll.meLWOBondYield($N179,$C$4,P179)</f>
        <v>4.2080081460942997E-2</v>
      </c>
      <c r="S179" s="89">
        <f ca="1">_xll.meLWOBondModifiedDuration($N179,$C$4,$O179%)</f>
        <v>32.692171340731072</v>
      </c>
      <c r="T179" s="23">
        <f ca="1">_xll.meLWOBondDV01($N179,$C$4,$O179%)</f>
        <v>826.09846662997086</v>
      </c>
      <c r="U179" s="85">
        <f t="shared" ca="1" si="16"/>
        <v>4.2080081460942553</v>
      </c>
      <c r="V179" s="22" t="str">
        <f ca="1">_xll.BDP($B179,V$6, "YAS_BOND_YLD="&amp;U179,"YAS_YLD_CONV=1")</f>
        <v>#N/A Requesting Data...</v>
      </c>
      <c r="W179" s="89">
        <f t="shared" ca="1" si="17"/>
        <v>25.26899966417151</v>
      </c>
      <c r="X179" s="24" t="e">
        <f t="shared" ca="1" si="13"/>
        <v>#VALUE!</v>
      </c>
      <c r="Y179" s="23">
        <f ca="1">_xll.meLWOBondDV01($N179,$C$4,$U179%)</f>
        <v>826.09846662997086</v>
      </c>
      <c r="Z179" s="22" t="e">
        <f ca="1">_xll.BDP($B179,Z$6, "YLD_YTM_ASK="&amp;$U179,"YAS_YLD_CONV=33")*$Z$3*0.0001</f>
        <v>#VALUE!</v>
      </c>
      <c r="AA179" s="24" t="e">
        <f t="shared" ca="1" si="14"/>
        <v>#VALUE!</v>
      </c>
      <c r="AB179" s="23">
        <f ca="1">_xll.meLWOBondModifiedDuration($N179,$C$4,$U179%)</f>
        <v>32.692171340731072</v>
      </c>
      <c r="AC179" s="23" t="str">
        <f ca="1">_xll.BDP($B179,AC$6, "YLD_YTM_ASK="&amp;$U179,"YAS_YLD_CONV=1")</f>
        <v>#N/A Requesting Data...</v>
      </c>
      <c r="AD179" s="22" t="e">
        <f t="shared" ca="1" si="15"/>
        <v>#VALUE!</v>
      </c>
      <c r="AE179" s="24">
        <f ca="1">_xll.meLWOBondDV01Numerical($N179,$C$4,$U179%, 0.5, "CENTRAL")</f>
        <v>809.24769536700592</v>
      </c>
    </row>
    <row r="180" spans="2:31">
      <c r="B180" s="15" t="s">
        <v>600</v>
      </c>
      <c r="C180" s="15" t="s">
        <v>601</v>
      </c>
      <c r="D180" s="15" t="s">
        <v>601</v>
      </c>
      <c r="E180" s="16">
        <v>42654</v>
      </c>
      <c r="F180" s="16" t="s">
        <v>333</v>
      </c>
      <c r="G180" s="19" t="str">
        <f t="shared" si="12"/>
        <v/>
      </c>
      <c r="H180" s="16" t="s">
        <v>333</v>
      </c>
      <c r="I180" s="16" t="s">
        <v>333</v>
      </c>
      <c r="J180" s="48">
        <v>0</v>
      </c>
      <c r="K180" s="16">
        <v>55763</v>
      </c>
      <c r="L180" s="49" t="s">
        <v>333</v>
      </c>
      <c r="M180" s="15" t="s">
        <v>297</v>
      </c>
      <c r="N180" s="20" t="str">
        <f ca="1">_xll.meLWOBondCreateFromGeneratorLVB(C180,$N$4,_xll.meUtilityLVBFromKeysValues($C$6:$M$6,C180:M180))</f>
        <v>IT0005247975:1</v>
      </c>
      <c r="O180" s="92">
        <f ca="1">_xll.BDP($B180,$O$5)</f>
        <v>4.1961910732656538</v>
      </c>
      <c r="P180" s="89">
        <f ca="1">_xll.meLWOBondCleanPrice($N180,$C$4,$O180%)</f>
        <v>24.846045589629313</v>
      </c>
      <c r="Q180" s="89">
        <f ca="1">_xll.meLWOBondDirtyPrice($N180,$C$4,$O180%)</f>
        <v>24.846045589629313</v>
      </c>
      <c r="R180" s="72">
        <f ca="1">_xll.meLWOBondYield($N180,$C$4,P180)</f>
        <v>4.1961910732657426E-2</v>
      </c>
      <c r="S180" s="89">
        <f ca="1">_xll.meLWOBondModifiedDuration($N180,$C$4,$O180%)</f>
        <v>33.183853662795052</v>
      </c>
      <c r="T180" s="23">
        <f ca="1">_xll.meLWOBondDV01($N180,$C$4,$O180%)</f>
        <v>824.48754094539345</v>
      </c>
      <c r="U180" s="85">
        <f t="shared" ca="1" si="16"/>
        <v>4.1961910732656538</v>
      </c>
      <c r="V180" s="22" t="str">
        <f ca="1">_xll.BDP($B180,V$6, "YAS_BOND_YLD="&amp;U180,"YAS_YLD_CONV=1")</f>
        <v>#N/A Requesting Data...</v>
      </c>
      <c r="W180" s="89">
        <f t="shared" ca="1" si="17"/>
        <v>24.846045589629313</v>
      </c>
      <c r="X180" s="24" t="e">
        <f t="shared" ca="1" si="13"/>
        <v>#VALUE!</v>
      </c>
      <c r="Y180" s="23">
        <f ca="1">_xll.meLWOBondDV01($N180,$C$4,$U180%)</f>
        <v>824.48754094539345</v>
      </c>
      <c r="Z180" s="22" t="e">
        <f ca="1">_xll.BDP($B180,Z$6, "YLD_YTM_ASK="&amp;$U180,"YAS_YLD_CONV=33")*$Z$3*0.0001</f>
        <v>#VALUE!</v>
      </c>
      <c r="AA180" s="24" t="e">
        <f t="shared" ca="1" si="14"/>
        <v>#VALUE!</v>
      </c>
      <c r="AB180" s="23">
        <f ca="1">_xll.meLWOBondModifiedDuration($N180,$C$4,$U180%)</f>
        <v>33.183853662795052</v>
      </c>
      <c r="AC180" s="23" t="str">
        <f ca="1">_xll.BDP($B180,AC$6, "YLD_YTM_ASK="&amp;$U180,"YAS_YLD_CONV=1")</f>
        <v>#N/A Requesting Data...</v>
      </c>
      <c r="AD180" s="22" t="e">
        <f t="shared" ca="1" si="15"/>
        <v>#VALUE!</v>
      </c>
      <c r="AE180" s="24">
        <f ca="1">_xll.meLWOBondDV01Numerical($N180,$C$4,$U180%, 0.5, "CENTRAL")</f>
        <v>807.78023615859945</v>
      </c>
    </row>
    <row r="181" spans="2:31">
      <c r="B181" s="15" t="s">
        <v>622</v>
      </c>
      <c r="C181" s="15" t="s">
        <v>623</v>
      </c>
      <c r="D181" s="15" t="s">
        <v>623</v>
      </c>
      <c r="E181" s="16">
        <v>42654</v>
      </c>
      <c r="F181" s="16" t="s">
        <v>333</v>
      </c>
      <c r="G181" s="19" t="str">
        <f t="shared" si="12"/>
        <v/>
      </c>
      <c r="H181" s="16" t="s">
        <v>333</v>
      </c>
      <c r="I181" s="16" t="s">
        <v>333</v>
      </c>
      <c r="J181" s="48">
        <v>0</v>
      </c>
      <c r="K181" s="16">
        <v>55944</v>
      </c>
      <c r="L181" s="49" t="s">
        <v>333</v>
      </c>
      <c r="M181" s="15" t="s">
        <v>297</v>
      </c>
      <c r="N181" s="20" t="str">
        <f ca="1">_xll.meLWOBondCreateFromGeneratorLVB(C181,$N$4,_xll.meUtilityLVBFromKeysValues($C$6:$M$6,C181:M181))</f>
        <v>IT0005247983:1</v>
      </c>
      <c r="O181" s="92">
        <f ca="1">_xll.BDP($B181,$O$5)</f>
        <v>4.1839979500183144</v>
      </c>
      <c r="P181" s="89">
        <f ca="1">_xll.meLWOBondCleanPrice($N181,$C$4,$O181%)</f>
        <v>24.435954390358955</v>
      </c>
      <c r="Q181" s="89">
        <f ca="1">_xll.meLWOBondDirtyPrice($N181,$C$4,$O181%)</f>
        <v>24.435954390358955</v>
      </c>
      <c r="R181" s="72">
        <f ca="1">_xll.meLWOBondYield($N181,$C$4,P181)</f>
        <v>4.1839979500184032E-2</v>
      </c>
      <c r="S181" s="89">
        <f ca="1">_xll.meLWOBondModifiedDuration($N181,$C$4,$O181%)</f>
        <v>33.675652632978071</v>
      </c>
      <c r="T181" s="23">
        <f ca="1">_xll.meLWOBondDV01($N181,$C$4,$O181%)</f>
        <v>822.89671180502364</v>
      </c>
      <c r="U181" s="85">
        <f t="shared" ca="1" si="16"/>
        <v>4.1839979500183144</v>
      </c>
      <c r="V181" s="22" t="str">
        <f ca="1">_xll.BDP($B181,V$6, "YAS_BOND_YLD="&amp;U181,"YAS_YLD_CONV=1")</f>
        <v>#N/A Requesting Data...</v>
      </c>
      <c r="W181" s="89">
        <f t="shared" ca="1" si="17"/>
        <v>24.435954390358955</v>
      </c>
      <c r="X181" s="24" t="e">
        <f t="shared" ca="1" si="13"/>
        <v>#VALUE!</v>
      </c>
      <c r="Y181" s="23">
        <f ca="1">_xll.meLWOBondDV01($N181,$C$4,$U181%)</f>
        <v>822.89671180502364</v>
      </c>
      <c r="Z181" s="22" t="e">
        <f ca="1">_xll.BDP($B181,Z$6, "YLD_YTM_ASK="&amp;$U181,"YAS_YLD_CONV=33")*$Z$3*0.0001</f>
        <v>#VALUE!</v>
      </c>
      <c r="AA181" s="24" t="e">
        <f t="shared" ca="1" si="14"/>
        <v>#VALUE!</v>
      </c>
      <c r="AB181" s="23">
        <f ca="1">_xll.meLWOBondModifiedDuration($N181,$C$4,$U181%)</f>
        <v>33.675652632978071</v>
      </c>
      <c r="AC181" s="23" t="str">
        <f ca="1">_xll.BDP($B181,AC$6, "YLD_YTM_ASK="&amp;$U181,"YAS_YLD_CONV=1")</f>
        <v>#N/A Requesting Data...</v>
      </c>
      <c r="AD181" s="22" t="e">
        <f t="shared" ca="1" si="15"/>
        <v>#VALUE!</v>
      </c>
      <c r="AE181" s="24">
        <f ca="1">_xll.meLWOBondDV01Numerical($N181,$C$4,$U181%, 0.5, "CENTRAL")</f>
        <v>806.33268202792146</v>
      </c>
    </row>
    <row r="182" spans="2:31">
      <c r="B182" s="15" t="s">
        <v>624</v>
      </c>
      <c r="C182" s="15" t="s">
        <v>625</v>
      </c>
      <c r="D182" s="15" t="s">
        <v>625</v>
      </c>
      <c r="E182" s="16">
        <v>42654</v>
      </c>
      <c r="F182" s="16" t="s">
        <v>333</v>
      </c>
      <c r="G182" s="19" t="str">
        <f t="shared" si="12"/>
        <v/>
      </c>
      <c r="H182" s="16" t="s">
        <v>333</v>
      </c>
      <c r="I182" s="16" t="s">
        <v>333</v>
      </c>
      <c r="J182" s="48">
        <v>0</v>
      </c>
      <c r="K182" s="16">
        <v>56128</v>
      </c>
      <c r="L182" s="49" t="s">
        <v>333</v>
      </c>
      <c r="M182" s="15" t="s">
        <v>297</v>
      </c>
      <c r="N182" s="20" t="str">
        <f ca="1">_xll.meLWOBondCreateFromGeneratorLVB(C182,$N$4,_xll.meUtilityLVBFromKeysValues($C$6:$M$6,C182:M182))</f>
        <v>IT0005247991:1</v>
      </c>
      <c r="O182" s="92">
        <f ca="1">_xll.BDP($B182,$O$5)</f>
        <v>4.1726212473243818</v>
      </c>
      <c r="P182" s="89">
        <f ca="1">_xll.meLWOBondCleanPrice($N182,$C$4,$O182%)</f>
        <v>24.036955142327539</v>
      </c>
      <c r="Q182" s="89">
        <f ca="1">_xll.meLWOBondDirtyPrice($N182,$C$4,$O182%)</f>
        <v>24.036955142327539</v>
      </c>
      <c r="R182" s="72">
        <f ca="1">_xll.meLWOBondYield($N182,$C$4,P182)</f>
        <v>4.1726212473245372E-2</v>
      </c>
      <c r="S182" s="89">
        <f ca="1">_xll.meLWOBondModifiedDuration($N182,$C$4,$O182%)</f>
        <v>34.167375390421284</v>
      </c>
      <c r="T182" s="23">
        <f ca="1">_xll.meLWOBondDV01($N182,$C$4,$O182%)</f>
        <v>821.27966959062223</v>
      </c>
      <c r="U182" s="85">
        <f t="shared" ca="1" si="16"/>
        <v>4.1726212473243818</v>
      </c>
      <c r="V182" s="22" t="str">
        <f ca="1">_xll.BDP($B182,V$6, "YAS_BOND_YLD="&amp;U182,"YAS_YLD_CONV=1")</f>
        <v>#N/A Requesting Data...</v>
      </c>
      <c r="W182" s="89">
        <f t="shared" ca="1" si="17"/>
        <v>24.036955142327539</v>
      </c>
      <c r="X182" s="24" t="e">
        <f t="shared" ca="1" si="13"/>
        <v>#VALUE!</v>
      </c>
      <c r="Y182" s="23">
        <f ca="1">_xll.meLWOBondDV01($N182,$C$4,$U182%)</f>
        <v>821.27966959062223</v>
      </c>
      <c r="Z182" s="22" t="e">
        <f ca="1">_xll.BDP($B182,Z$6, "YLD_YTM_ASK="&amp;$U182,"YAS_YLD_CONV=33")*$Z$3*0.0001</f>
        <v>#VALUE!</v>
      </c>
      <c r="AA182" s="24" t="e">
        <f t="shared" ca="1" si="14"/>
        <v>#VALUE!</v>
      </c>
      <c r="AB182" s="23">
        <f ca="1">_xll.meLWOBondModifiedDuration($N182,$C$4,$U182%)</f>
        <v>34.167375390421284</v>
      </c>
      <c r="AC182" s="23" t="str">
        <f ca="1">_xll.BDP($B182,AC$6, "YLD_YTM_ASK="&amp;$U182,"YAS_YLD_CONV=1")</f>
        <v>#N/A Requesting Data...</v>
      </c>
      <c r="AD182" s="22" t="e">
        <f t="shared" ca="1" si="15"/>
        <v>#VALUE!</v>
      </c>
      <c r="AE182" s="24">
        <f ca="1">_xll.meLWOBondDV01Numerical($N182,$C$4,$U182%, 0.5, "CENTRAL")</f>
        <v>804.66490001690261</v>
      </c>
    </row>
    <row r="183" spans="2:31">
      <c r="B183" s="15" t="s">
        <v>554</v>
      </c>
      <c r="C183" s="15" t="s">
        <v>555</v>
      </c>
      <c r="D183" s="15" t="s">
        <v>555</v>
      </c>
      <c r="E183" s="16">
        <v>42654</v>
      </c>
      <c r="F183" s="16" t="s">
        <v>333</v>
      </c>
      <c r="G183" s="19" t="str">
        <f t="shared" si="12"/>
        <v/>
      </c>
      <c r="H183" s="16" t="s">
        <v>333</v>
      </c>
      <c r="I183" s="16" t="s">
        <v>333</v>
      </c>
      <c r="J183" s="48">
        <v>0</v>
      </c>
      <c r="K183" s="16">
        <v>56309</v>
      </c>
      <c r="L183" s="49" t="s">
        <v>333</v>
      </c>
      <c r="M183" s="15" t="s">
        <v>297</v>
      </c>
      <c r="N183" s="20" t="str">
        <f ca="1">_xll.meLWOBondCreateFromGeneratorLVB(C183,$N$4,_xll.meUtilityLVBFromKeysValues($C$6:$M$6,C183:M183))</f>
        <v>IT0005248007:1</v>
      </c>
      <c r="O183" s="92">
        <f ca="1">_xll.BDP($B183,$O$5)</f>
        <v>4.1604003020951907</v>
      </c>
      <c r="P183" s="89">
        <f ca="1">_xll.meLWOBondCleanPrice($N183,$C$4,$O183%)</f>
        <v>23.645912450277503</v>
      </c>
      <c r="Q183" s="89">
        <f ca="1">_xll.meLWOBondDirtyPrice($N183,$C$4,$O183%)</f>
        <v>23.645912450277503</v>
      </c>
      <c r="R183" s="72">
        <f ca="1">_xll.meLWOBondYield($N183,$C$4,P183)</f>
        <v>4.160400302095324E-2</v>
      </c>
      <c r="S183" s="89">
        <f ca="1">_xll.meLWOBondModifiedDuration($N183,$C$4,$O183%)</f>
        <v>34.659292413443517</v>
      </c>
      <c r="T183" s="23">
        <f ca="1">_xll.meLWOBondDV01($N183,$C$4,$O183%)</f>
        <v>819.55059399685274</v>
      </c>
      <c r="U183" s="85">
        <f t="shared" ca="1" si="16"/>
        <v>4.1604003020951907</v>
      </c>
      <c r="V183" s="22" t="str">
        <f ca="1">_xll.BDP($B183,V$6, "YAS_BOND_YLD="&amp;U183,"YAS_YLD_CONV=1")</f>
        <v>#N/A Requesting Data...</v>
      </c>
      <c r="W183" s="89">
        <f t="shared" ca="1" si="17"/>
        <v>23.645912450277503</v>
      </c>
      <c r="X183" s="24" t="e">
        <f t="shared" ca="1" si="13"/>
        <v>#VALUE!</v>
      </c>
      <c r="Y183" s="23">
        <f ca="1">_xll.meLWOBondDV01($N183,$C$4,$U183%)</f>
        <v>819.55059399685274</v>
      </c>
      <c r="Z183" s="22" t="e">
        <f ca="1">_xll.BDP($B183,Z$6, "YLD_YTM_ASK="&amp;$U183,"YAS_YLD_CONV=33")*$Z$3*0.0001</f>
        <v>#VALUE!</v>
      </c>
      <c r="AA183" s="24" t="e">
        <f t="shared" ca="1" si="14"/>
        <v>#VALUE!</v>
      </c>
      <c r="AB183" s="23">
        <f ca="1">_xll.meLWOBondModifiedDuration($N183,$C$4,$U183%)</f>
        <v>34.659292413443517</v>
      </c>
      <c r="AC183" s="23" t="str">
        <f ca="1">_xll.BDP($B183,AC$6, "YLD_YTM_ASK="&amp;$U183,"YAS_YLD_CONV=1")</f>
        <v>#N/A Requesting Data...</v>
      </c>
      <c r="AD183" s="22" t="e">
        <f t="shared" ca="1" si="15"/>
        <v>#VALUE!</v>
      </c>
      <c r="AE183" s="24">
        <f ca="1">_xll.meLWOBondDV01Numerical($N183,$C$4,$U183%, 0.5, "CENTRAL")</f>
        <v>803.0806163564464</v>
      </c>
    </row>
    <row r="184" spans="2:31">
      <c r="B184" s="15" t="s">
        <v>512</v>
      </c>
      <c r="C184" s="15" t="s">
        <v>513</v>
      </c>
      <c r="D184" s="15" t="s">
        <v>513</v>
      </c>
      <c r="E184" s="16">
        <v>42654</v>
      </c>
      <c r="F184" s="16" t="s">
        <v>333</v>
      </c>
      <c r="G184" s="19" t="str">
        <f t="shared" si="12"/>
        <v/>
      </c>
      <c r="H184" s="16" t="s">
        <v>333</v>
      </c>
      <c r="I184" s="16" t="s">
        <v>333</v>
      </c>
      <c r="J184" s="48">
        <v>0</v>
      </c>
      <c r="K184" s="16">
        <v>56493</v>
      </c>
      <c r="L184" s="49" t="s">
        <v>333</v>
      </c>
      <c r="M184" s="15" t="s">
        <v>297</v>
      </c>
      <c r="N184" s="20" t="str">
        <f ca="1">_xll.meLWOBondCreateFromGeneratorLVB(C184,$N$4,_xll.meUtilityLVBFromKeysValues($C$6:$M$6,C184:M184))</f>
        <v>IT0005248015:1</v>
      </c>
      <c r="O184" s="92">
        <f ca="1">_xll.BDP($B184,$O$5)</f>
        <v>4.143100188585791</v>
      </c>
      <c r="P184" s="89">
        <f ca="1">_xll.meLWOBondCleanPrice($N184,$C$4,$O184%)</f>
        <v>23.309914759377083</v>
      </c>
      <c r="Q184" s="89">
        <f ca="1">_xll.meLWOBondDirtyPrice($N184,$C$4,$O184%)</f>
        <v>23.309914759377083</v>
      </c>
      <c r="R184" s="72">
        <f ca="1">_xll.meLWOBondYield($N184,$C$4,P184)</f>
        <v>4.143100188586013E-2</v>
      </c>
      <c r="S184" s="89">
        <f ca="1">_xll.meLWOBondModifiedDuration($N184,$C$4,$O184%)</f>
        <v>35.152124446488145</v>
      </c>
      <c r="T184" s="23">
        <f ca="1">_xll.meLWOBondDV01($N184,$C$4,$O184%)</f>
        <v>819.39302445865405</v>
      </c>
      <c r="U184" s="85">
        <f t="shared" ca="1" si="16"/>
        <v>4.143100188585791</v>
      </c>
      <c r="V184" s="22" t="str">
        <f ca="1">_xll.BDP($B184,V$6, "YAS_BOND_YLD="&amp;U184,"YAS_YLD_CONV=1")</f>
        <v>#N/A Requesting Data...</v>
      </c>
      <c r="W184" s="89">
        <f t="shared" ca="1" si="17"/>
        <v>23.309914759377083</v>
      </c>
      <c r="X184" s="24" t="e">
        <f t="shared" ca="1" si="13"/>
        <v>#VALUE!</v>
      </c>
      <c r="Y184" s="23">
        <f ca="1">_xll.meLWOBondDV01($N184,$C$4,$U184%)</f>
        <v>819.39302445865405</v>
      </c>
      <c r="Z184" s="22" t="e">
        <f ca="1">_xll.BDP($B184,Z$6, "YLD_YTM_ASK="&amp;$U184,"YAS_YLD_CONV=33")*$Z$3*0.0001</f>
        <v>#VALUE!</v>
      </c>
      <c r="AA184" s="24" t="e">
        <f t="shared" ca="1" si="14"/>
        <v>#VALUE!</v>
      </c>
      <c r="AB184" s="23">
        <f ca="1">_xll.meLWOBondModifiedDuration($N184,$C$4,$U184%)</f>
        <v>35.152124446488145</v>
      </c>
      <c r="AC184" s="23" t="str">
        <f ca="1">_xll.BDP($B184,AC$6, "YLD_YTM_ASK="&amp;$U184,"YAS_YLD_CONV=1")</f>
        <v>#N/A Requesting Data...</v>
      </c>
      <c r="AD184" s="22" t="e">
        <f t="shared" ca="1" si="15"/>
        <v>#VALUE!</v>
      </c>
      <c r="AE184" s="24">
        <f ca="1">_xll.meLWOBondDV01Numerical($N184,$C$4,$U184%, 0.5, "CENTRAL")</f>
        <v>802.93120217646685</v>
      </c>
    </row>
    <row r="185" spans="2:31">
      <c r="B185" s="15" t="s">
        <v>602</v>
      </c>
      <c r="C185" s="15" t="s">
        <v>603</v>
      </c>
      <c r="D185" s="15" t="s">
        <v>603</v>
      </c>
      <c r="E185" s="16">
        <v>42654</v>
      </c>
      <c r="F185" s="16" t="s">
        <v>333</v>
      </c>
      <c r="G185" s="19" t="str">
        <f t="shared" si="12"/>
        <v/>
      </c>
      <c r="H185" s="16" t="s">
        <v>333</v>
      </c>
      <c r="I185" s="16" t="s">
        <v>333</v>
      </c>
      <c r="J185" s="48">
        <v>0</v>
      </c>
      <c r="K185" s="16">
        <v>56674</v>
      </c>
      <c r="L185" s="49" t="s">
        <v>333</v>
      </c>
      <c r="M185" s="15" t="s">
        <v>297</v>
      </c>
      <c r="N185" s="20" t="str">
        <f ca="1">_xll.meLWOBondCreateFromGeneratorLVB(C185,$N$4,_xll.meUtilityLVBFromKeysValues($C$6:$M$6,C185:M185))</f>
        <v>IT0005248023:1</v>
      </c>
      <c r="O185" s="92">
        <f ca="1">_xll.BDP($B185,$O$5)</f>
        <v>4.1302970819105278</v>
      </c>
      <c r="P185" s="89">
        <f ca="1">_xll.meLWOBondCleanPrice($N185,$C$4,$O185%)</f>
        <v>22.943916351881359</v>
      </c>
      <c r="Q185" s="89">
        <f ca="1">_xll.meLWOBondDirtyPrice($N185,$C$4,$O185%)</f>
        <v>22.943916351881359</v>
      </c>
      <c r="R185" s="72">
        <f ca="1">_xll.meLWOBondYield($N185,$C$4,P185)</f>
        <v>4.1302970819107498E-2</v>
      </c>
      <c r="S185" s="89">
        <f ca="1">_xll.meLWOBondModifiedDuration($N185,$C$4,$O185%)</f>
        <v>35.644268899706042</v>
      </c>
      <c r="T185" s="23">
        <f ca="1">_xll.meLWOBondDV01($N185,$C$4,$O185%)</f>
        <v>817.81912405882167</v>
      </c>
      <c r="U185" s="85">
        <f t="shared" ca="1" si="16"/>
        <v>4.1302970819105278</v>
      </c>
      <c r="V185" s="22" t="str">
        <f ca="1">_xll.BDP($B185,V$6, "YAS_BOND_YLD="&amp;U185,"YAS_YLD_CONV=1")</f>
        <v>#N/A Requesting Data...</v>
      </c>
      <c r="W185" s="89">
        <f t="shared" ca="1" si="17"/>
        <v>22.943916351881359</v>
      </c>
      <c r="X185" s="24" t="e">
        <f t="shared" ca="1" si="13"/>
        <v>#VALUE!</v>
      </c>
      <c r="Y185" s="23">
        <f ca="1">_xll.meLWOBondDV01($N185,$C$4,$U185%)</f>
        <v>817.81912405882167</v>
      </c>
      <c r="Z185" s="22" t="e">
        <f ca="1">_xll.BDP($B185,Z$6, "YLD_YTM_ASK="&amp;$U185,"YAS_YLD_CONV=33")*$Z$3*0.0001</f>
        <v>#VALUE!</v>
      </c>
      <c r="AA185" s="24" t="e">
        <f t="shared" ca="1" si="14"/>
        <v>#VALUE!</v>
      </c>
      <c r="AB185" s="23">
        <f ca="1">_xll.meLWOBondModifiedDuration($N185,$C$4,$U185%)</f>
        <v>35.644268899706042</v>
      </c>
      <c r="AC185" s="23" t="str">
        <f ca="1">_xll.BDP($B185,AC$6, "YLD_YTM_ASK="&amp;$U185,"YAS_YLD_CONV=1")</f>
        <v>#N/A Requesting Data...</v>
      </c>
      <c r="AD185" s="22" t="e">
        <f t="shared" ca="1" si="15"/>
        <v>#VALUE!</v>
      </c>
      <c r="AE185" s="24">
        <f ca="1">_xll.meLWOBondDV01Numerical($N185,$C$4,$U185%, 0.5, "CENTRAL")</f>
        <v>801.4381708504103</v>
      </c>
    </row>
    <row r="186" spans="2:31">
      <c r="B186" s="15" t="s">
        <v>538</v>
      </c>
      <c r="C186" s="15" t="s">
        <v>539</v>
      </c>
      <c r="D186" s="15" t="s">
        <v>539</v>
      </c>
      <c r="E186" s="16">
        <v>42654</v>
      </c>
      <c r="F186" s="16" t="s">
        <v>333</v>
      </c>
      <c r="G186" s="19" t="str">
        <f t="shared" si="12"/>
        <v/>
      </c>
      <c r="H186" s="16" t="s">
        <v>333</v>
      </c>
      <c r="I186" s="16" t="s">
        <v>333</v>
      </c>
      <c r="J186" s="48">
        <v>0</v>
      </c>
      <c r="K186" s="16">
        <v>56858</v>
      </c>
      <c r="L186" s="49" t="s">
        <v>333</v>
      </c>
      <c r="M186" s="15" t="s">
        <v>297</v>
      </c>
      <c r="N186" s="20" t="str">
        <f ca="1">_xll.meLWOBondCreateFromGeneratorLVB(C186,$N$4,_xll.meUtilityLVBFromKeysValues($C$6:$M$6,C186:M186))</f>
        <v>IT0005248031:1</v>
      </c>
      <c r="O186" s="92">
        <f ca="1">_xll.BDP($B186,$O$5)</f>
        <v>4.1184362643989614</v>
      </c>
      <c r="P186" s="89">
        <f ca="1">_xll.meLWOBondCleanPrice($N186,$C$4,$O186%)</f>
        <v>22.57891791426977</v>
      </c>
      <c r="Q186" s="89">
        <f ca="1">_xll.meLWOBondDirtyPrice($N186,$C$4,$O186%)</f>
        <v>22.57891791426977</v>
      </c>
      <c r="R186" s="72">
        <f ca="1">_xll.meLWOBondYield($N186,$C$4,P186)</f>
        <v>4.1184362643992278E-2</v>
      </c>
      <c r="S186" s="89">
        <f ca="1">_xll.meLWOBondModifiedDuration($N186,$C$4,$O186%)</f>
        <v>36.136310480960248</v>
      </c>
      <c r="T186" s="23">
        <f ca="1">_xll.meLWOBondDV01($N186,$C$4,$O186%)</f>
        <v>815.91878807416776</v>
      </c>
      <c r="U186" s="85">
        <f t="shared" ca="1" si="16"/>
        <v>4.1184362643989614</v>
      </c>
      <c r="V186" s="22" t="str">
        <f ca="1">_xll.BDP($B186,V$6, "YAS_BOND_YLD="&amp;U186,"YAS_YLD_CONV=1")</f>
        <v>#N/A Requesting Data...</v>
      </c>
      <c r="W186" s="89">
        <f t="shared" ca="1" si="17"/>
        <v>22.57891791426977</v>
      </c>
      <c r="X186" s="24" t="e">
        <f t="shared" ca="1" si="13"/>
        <v>#VALUE!</v>
      </c>
      <c r="Y186" s="23">
        <f ca="1">_xll.meLWOBondDV01($N186,$C$4,$U186%)</f>
        <v>815.91878807416776</v>
      </c>
      <c r="Z186" s="22" t="e">
        <f ca="1">_xll.BDP($B186,Z$6, "YLD_YTM_ASK="&amp;$U186,"YAS_YLD_CONV=33")*$Z$3*0.0001</f>
        <v>#VALUE!</v>
      </c>
      <c r="AA186" s="24" t="e">
        <f t="shared" ca="1" si="14"/>
        <v>#VALUE!</v>
      </c>
      <c r="AB186" s="23">
        <f ca="1">_xll.meLWOBondModifiedDuration($N186,$C$4,$U186%)</f>
        <v>36.136310480960248</v>
      </c>
      <c r="AC186" s="23" t="str">
        <f ca="1">_xll.BDP($B186,AC$6, "YLD_YTM_ASK="&amp;$U186,"YAS_YLD_CONV=1")</f>
        <v>#N/A Requesting Data...</v>
      </c>
      <c r="AD186" s="22" t="e">
        <f t="shared" ca="1" si="15"/>
        <v>#VALUE!</v>
      </c>
      <c r="AE186" s="24">
        <f ca="1">_xll.meLWOBondDV01Numerical($N186,$C$4,$U186%, 0.5, "CENTRAL")</f>
        <v>799.62142482617787</v>
      </c>
    </row>
    <row r="187" spans="2:31">
      <c r="B187" s="15" t="s">
        <v>604</v>
      </c>
      <c r="C187" s="15" t="s">
        <v>605</v>
      </c>
      <c r="D187" s="15" t="s">
        <v>605</v>
      </c>
      <c r="E187" s="16">
        <v>42654</v>
      </c>
      <c r="F187" s="16" t="s">
        <v>333</v>
      </c>
      <c r="G187" s="19" t="str">
        <f t="shared" si="12"/>
        <v/>
      </c>
      <c r="H187" s="16" t="s">
        <v>333</v>
      </c>
      <c r="I187" s="16" t="s">
        <v>333</v>
      </c>
      <c r="J187" s="48">
        <v>0</v>
      </c>
      <c r="K187" s="16">
        <v>57040</v>
      </c>
      <c r="L187" s="49" t="s">
        <v>333</v>
      </c>
      <c r="M187" s="15" t="s">
        <v>297</v>
      </c>
      <c r="N187" s="20" t="str">
        <f ca="1">_xll.meLWOBondCreateFromGeneratorLVB(C187,$N$4,_xll.meUtilityLVBFromKeysValues($C$6:$M$6,C187:M187))</f>
        <v>IT0005248049:1</v>
      </c>
      <c r="O187" s="92">
        <f ca="1">_xll.BDP($B187,$O$5)</f>
        <v>4.1061177642636171</v>
      </c>
      <c r="P187" s="89">
        <f ca="1">_xll.meLWOBondCleanPrice($N187,$C$4,$O187%)</f>
        <v>22.225919434495243</v>
      </c>
      <c r="Q187" s="89">
        <f ca="1">_xll.meLWOBondDirtyPrice($N187,$C$4,$O187%)</f>
        <v>22.225919434495243</v>
      </c>
      <c r="R187" s="72">
        <f ca="1">_xll.meLWOBondYield($N187,$C$4,P187)</f>
        <v>4.1061177642639723E-2</v>
      </c>
      <c r="S187" s="89">
        <f ca="1">_xll.meLWOBondModifiedDuration($N187,$C$4,$O187%)</f>
        <v>36.628488749154798</v>
      </c>
      <c r="T187" s="23">
        <f ca="1">_xll.meLWOBondDV01($N187,$C$4,$O187%)</f>
        <v>814.10183994602994</v>
      </c>
      <c r="U187" s="85">
        <f t="shared" ca="1" si="16"/>
        <v>4.1061177642636171</v>
      </c>
      <c r="V187" s="22" t="str">
        <f ca="1">_xll.BDP($B187,V$6, "YAS_BOND_YLD="&amp;U187,"YAS_YLD_CONV=1")</f>
        <v>#N/A Requesting Data...</v>
      </c>
      <c r="W187" s="89">
        <f t="shared" ca="1" si="17"/>
        <v>22.225919434495243</v>
      </c>
      <c r="X187" s="24" t="e">
        <f t="shared" ca="1" si="13"/>
        <v>#VALUE!</v>
      </c>
      <c r="Y187" s="23">
        <f ca="1">_xll.meLWOBondDV01($N187,$C$4,$U187%)</f>
        <v>814.10183994602994</v>
      </c>
      <c r="Z187" s="22" t="e">
        <f ca="1">_xll.BDP($B187,Z$6, "YLD_YTM_ASK="&amp;$U187,"YAS_YLD_CONV=33")*$Z$3*0.0001</f>
        <v>#VALUE!</v>
      </c>
      <c r="AA187" s="24" t="e">
        <f t="shared" ca="1" si="14"/>
        <v>#VALUE!</v>
      </c>
      <c r="AB187" s="23">
        <f ca="1">_xll.meLWOBondModifiedDuration($N187,$C$4,$U187%)</f>
        <v>36.628488749154798</v>
      </c>
      <c r="AC187" s="23" t="str">
        <f ca="1">_xll.BDP($B187,AC$6, "YLD_YTM_ASK="&amp;$U187,"YAS_YLD_CONV=1")</f>
        <v>#N/A Requesting Data...</v>
      </c>
      <c r="AD187" s="22" t="e">
        <f t="shared" ca="1" si="15"/>
        <v>#VALUE!</v>
      </c>
      <c r="AE187" s="24">
        <f ca="1">_xll.meLWOBondDV01Numerical($N187,$C$4,$U187%, 0.5, "CENTRAL")</f>
        <v>797.8879561559894</v>
      </c>
    </row>
    <row r="188" spans="2:31">
      <c r="B188" s="15" t="s">
        <v>556</v>
      </c>
      <c r="C188" s="15" t="s">
        <v>557</v>
      </c>
      <c r="D188" s="15" t="s">
        <v>557</v>
      </c>
      <c r="E188" s="16">
        <v>42654</v>
      </c>
      <c r="F188" s="16" t="s">
        <v>333</v>
      </c>
      <c r="G188" s="19" t="str">
        <f t="shared" si="12"/>
        <v/>
      </c>
      <c r="H188" s="16" t="s">
        <v>333</v>
      </c>
      <c r="I188" s="16" t="s">
        <v>333</v>
      </c>
      <c r="J188" s="48">
        <v>0</v>
      </c>
      <c r="K188" s="16">
        <v>57224</v>
      </c>
      <c r="L188" s="49" t="s">
        <v>333</v>
      </c>
      <c r="M188" s="15" t="s">
        <v>297</v>
      </c>
      <c r="N188" s="20" t="str">
        <f ca="1">_xll.meLWOBondCreateFromGeneratorLVB(C188,$N$4,_xll.meUtilityLVBFromKeysValues($C$6:$M$6,C188:M188))</f>
        <v>IT0005248056:1</v>
      </c>
      <c r="O188" s="92">
        <f ca="1">_xll.BDP($B188,$O$5)</f>
        <v>4.0943167306658701</v>
      </c>
      <c r="P188" s="89">
        <f ca="1">_xll.meLWOBondCleanPrice($N188,$C$4,$O188%)</f>
        <v>21.876920922973493</v>
      </c>
      <c r="Q188" s="89">
        <f ca="1">_xll.meLWOBondDirtyPrice($N188,$C$4,$O188%)</f>
        <v>21.876920922973493</v>
      </c>
      <c r="R188" s="72">
        <f ca="1">_xll.meLWOBondYield($N188,$C$4,P188)</f>
        <v>4.0943167306663364E-2</v>
      </c>
      <c r="S188" s="89">
        <f ca="1">_xll.meLWOBondModifiedDuration($N188,$C$4,$O188%)</f>
        <v>37.12063312056771</v>
      </c>
      <c r="T188" s="23">
        <f ca="1">_xll.meLWOBondDV01($N188,$C$4,$O188%)</f>
        <v>812.08515538937058</v>
      </c>
      <c r="U188" s="85">
        <f t="shared" ca="1" si="16"/>
        <v>4.0943167306658701</v>
      </c>
      <c r="V188" s="22" t="str">
        <f ca="1">_xll.BDP($B188,V$6, "YAS_BOND_YLD="&amp;U188,"YAS_YLD_CONV=1")</f>
        <v>#N/A Requesting Data...</v>
      </c>
      <c r="W188" s="89">
        <f t="shared" ca="1" si="17"/>
        <v>21.876920922973493</v>
      </c>
      <c r="X188" s="24" t="e">
        <f t="shared" ca="1" si="13"/>
        <v>#VALUE!</v>
      </c>
      <c r="Y188" s="23">
        <f ca="1">_xll.meLWOBondDV01($N188,$C$4,$U188%)</f>
        <v>812.08515538937058</v>
      </c>
      <c r="Z188" s="22" t="e">
        <f ca="1">_xll.BDP($B188,Z$6, "YLD_YTM_ASK="&amp;$U188,"YAS_YLD_CONV=33")*$Z$3*0.0001</f>
        <v>#VALUE!</v>
      </c>
      <c r="AA188" s="24" t="e">
        <f t="shared" ca="1" si="14"/>
        <v>#VALUE!</v>
      </c>
      <c r="AB188" s="23">
        <f ca="1">_xll.meLWOBondModifiedDuration($N188,$C$4,$U188%)</f>
        <v>37.12063312056771</v>
      </c>
      <c r="AC188" s="23" t="str">
        <f ca="1">_xll.BDP($B188,AC$6, "YLD_YTM_ASK="&amp;$U188,"YAS_YLD_CONV=1")</f>
        <v>#N/A Requesting Data...</v>
      </c>
      <c r="AD188" s="22" t="e">
        <f t="shared" ca="1" si="15"/>
        <v>#VALUE!</v>
      </c>
      <c r="AE188" s="24">
        <f ca="1">_xll.meLWOBondDV01Numerical($N188,$C$4,$U188%, 0.5, "CENTRAL")</f>
        <v>795.95653764396695</v>
      </c>
    </row>
    <row r="189" spans="2:31">
      <c r="B189" s="15" t="s">
        <v>576</v>
      </c>
      <c r="C189" s="15" t="s">
        <v>577</v>
      </c>
      <c r="D189" s="15" t="s">
        <v>577</v>
      </c>
      <c r="E189" s="16">
        <v>42654</v>
      </c>
      <c r="F189" s="16" t="s">
        <v>333</v>
      </c>
      <c r="G189" s="19" t="str">
        <f t="shared" si="12"/>
        <v/>
      </c>
      <c r="H189" s="16" t="s">
        <v>333</v>
      </c>
      <c r="I189" s="16" t="s">
        <v>333</v>
      </c>
      <c r="J189" s="48">
        <v>0</v>
      </c>
      <c r="K189" s="16">
        <v>57405</v>
      </c>
      <c r="L189" s="49" t="s">
        <v>333</v>
      </c>
      <c r="M189" s="15" t="s">
        <v>297</v>
      </c>
      <c r="N189" s="20" t="str">
        <f ca="1">_xll.meLWOBondCreateFromGeneratorLVB(C189,$N$4,_xll.meUtilityLVBFromKeysValues($C$6:$M$6,C189:M189))</f>
        <v>IT0005248064:1</v>
      </c>
      <c r="O189" s="92">
        <f ca="1">_xll.BDP($B189,$O$5)</f>
        <v>4.0816256452927746</v>
      </c>
      <c r="P189" s="89">
        <f ca="1">_xll.meLWOBondCleanPrice($N189,$C$4,$O189%)</f>
        <v>21.542922366881854</v>
      </c>
      <c r="Q189" s="89">
        <f ca="1">_xll.meLWOBondDirtyPrice($N189,$C$4,$O189%)</f>
        <v>21.542922366881854</v>
      </c>
      <c r="R189" s="72">
        <f ca="1">_xll.meLWOBondYield($N189,$C$4,P189)</f>
        <v>4.0816256452932853E-2</v>
      </c>
      <c r="S189" s="89">
        <f ca="1">_xll.meLWOBondModifiedDuration($N189,$C$4,$O189%)</f>
        <v>37.612994230495687</v>
      </c>
      <c r="T189" s="23">
        <f ca="1">_xll.meLWOBondDV01($N189,$C$4,$O189%)</f>
        <v>810.29381469354371</v>
      </c>
      <c r="U189" s="85">
        <f t="shared" ca="1" si="16"/>
        <v>4.0816256452927746</v>
      </c>
      <c r="V189" s="22" t="str">
        <f ca="1">_xll.BDP($B189,V$6, "YAS_BOND_YLD="&amp;U189,"YAS_YLD_CONV=1")</f>
        <v>#N/A Requesting Data...</v>
      </c>
      <c r="W189" s="89">
        <f t="shared" ca="1" si="17"/>
        <v>21.542922366881854</v>
      </c>
      <c r="X189" s="24" t="e">
        <f t="shared" ca="1" si="13"/>
        <v>#VALUE!</v>
      </c>
      <c r="Y189" s="23">
        <f ca="1">_xll.meLWOBondDV01($N189,$C$4,$U189%)</f>
        <v>810.29381469354371</v>
      </c>
      <c r="Z189" s="22" t="e">
        <f ca="1">_xll.BDP($B189,Z$6, "YLD_YTM_ASK="&amp;$U189,"YAS_YLD_CONV=33")*$Z$3*0.0001</f>
        <v>#VALUE!</v>
      </c>
      <c r="AA189" s="24" t="e">
        <f t="shared" ca="1" si="14"/>
        <v>#VALUE!</v>
      </c>
      <c r="AB189" s="23">
        <f ca="1">_xll.meLWOBondModifiedDuration($N189,$C$4,$U189%)</f>
        <v>37.612994230495687</v>
      </c>
      <c r="AC189" s="23" t="str">
        <f ca="1">_xll.BDP($B189,AC$6, "YLD_YTM_ASK="&amp;$U189,"YAS_YLD_CONV=1")</f>
        <v>#N/A Requesting Data...</v>
      </c>
      <c r="AD189" s="22" t="e">
        <f t="shared" ca="1" si="15"/>
        <v>#VALUE!</v>
      </c>
      <c r="AE189" s="24">
        <f ca="1">_xll.meLWOBondDV01Numerical($N189,$C$4,$U189%, 0.5, "CENTRAL")</f>
        <v>794.24918046729681</v>
      </c>
    </row>
    <row r="190" spans="2:31">
      <c r="B190" s="15" t="s">
        <v>558</v>
      </c>
      <c r="C190" s="15" t="s">
        <v>559</v>
      </c>
      <c r="D190" s="15" t="s">
        <v>559</v>
      </c>
      <c r="E190" s="16">
        <v>42654</v>
      </c>
      <c r="F190" s="16" t="s">
        <v>333</v>
      </c>
      <c r="G190" s="19" t="str">
        <f t="shared" si="12"/>
        <v/>
      </c>
      <c r="H190" s="16" t="s">
        <v>333</v>
      </c>
      <c r="I190" s="16" t="s">
        <v>333</v>
      </c>
      <c r="J190" s="48">
        <v>0</v>
      </c>
      <c r="K190" s="16">
        <v>57589</v>
      </c>
      <c r="L190" s="49" t="s">
        <v>333</v>
      </c>
      <c r="M190" s="15" t="s">
        <v>297</v>
      </c>
      <c r="N190" s="20" t="str">
        <f ca="1">_xll.meLWOBondCreateFromGeneratorLVB(C190,$N$4,_xll.meUtilityLVBFromKeysValues($C$6:$M$6,C190:M190))</f>
        <v>IT0005248072:1</v>
      </c>
      <c r="O190" s="92">
        <f ca="1">_xll.BDP($B190,$O$5)</f>
        <v>4.0698210335630813</v>
      </c>
      <c r="P190" s="89">
        <f ca="1">_xll.meLWOBondCleanPrice($N190,$C$4,$O190%)</f>
        <v>21.205000000094955</v>
      </c>
      <c r="Q190" s="89">
        <f ca="1">_xll.meLWOBondDirtyPrice($N190,$C$4,$O190%)</f>
        <v>21.205000000094955</v>
      </c>
      <c r="R190" s="72">
        <f ca="1">_xll.meLWOBondYield($N190,$C$4,P190)</f>
        <v>4.0698210335637697E-2</v>
      </c>
      <c r="S190" s="89">
        <f ca="1">_xll.meLWOBondModifiedDuration($N190,$C$4,$O190%)</f>
        <v>38.105253226867063</v>
      </c>
      <c r="T190" s="23">
        <f ca="1">_xll.meLWOBondDV01($N190,$C$4,$O190%)</f>
        <v>808.02189467933431</v>
      </c>
      <c r="U190" s="85">
        <f t="shared" ca="1" si="16"/>
        <v>4.0698210335630813</v>
      </c>
      <c r="V190" s="22" t="str">
        <f ca="1">_xll.BDP($B190,V$6, "YAS_BOND_YLD="&amp;U190,"YAS_YLD_CONV=1")</f>
        <v>#N/A Requesting Data...</v>
      </c>
      <c r="W190" s="89">
        <f t="shared" ca="1" si="17"/>
        <v>21.205000000094955</v>
      </c>
      <c r="X190" s="24" t="e">
        <f t="shared" ca="1" si="13"/>
        <v>#VALUE!</v>
      </c>
      <c r="Y190" s="23">
        <f ca="1">_xll.meLWOBondDV01($N190,$C$4,$U190%)</f>
        <v>808.02189467933431</v>
      </c>
      <c r="Z190" s="22" t="e">
        <f ca="1">_xll.BDP($B190,Z$6, "YLD_YTM_ASK="&amp;$U190,"YAS_YLD_CONV=33")*$Z$3*0.0001</f>
        <v>#VALUE!</v>
      </c>
      <c r="AA190" s="24" t="e">
        <f t="shared" ca="1" si="14"/>
        <v>#VALUE!</v>
      </c>
      <c r="AB190" s="23">
        <f ca="1">_xll.meLWOBondModifiedDuration($N190,$C$4,$U190%)</f>
        <v>38.105253226867063</v>
      </c>
      <c r="AC190" s="23" t="str">
        <f ca="1">_xll.BDP($B190,AC$6, "YLD_YTM_ASK="&amp;$U190,"YAS_YLD_CONV=1")</f>
        <v>#N/A Requesting Data...</v>
      </c>
      <c r="AD190" s="22" t="e">
        <f t="shared" ca="1" si="15"/>
        <v>#VALUE!</v>
      </c>
      <c r="AE190" s="24">
        <f ca="1">_xll.meLWOBondDV01Numerical($N190,$C$4,$U190%, 0.5, "CENTRAL")</f>
        <v>792.17789127945082</v>
      </c>
    </row>
    <row r="191" spans="2:31">
      <c r="B191" s="15" t="s">
        <v>606</v>
      </c>
      <c r="C191" s="15" t="s">
        <v>607</v>
      </c>
      <c r="D191" s="15" t="s">
        <v>607</v>
      </c>
      <c r="E191" s="16">
        <v>42654</v>
      </c>
      <c r="F191" s="16" t="s">
        <v>333</v>
      </c>
      <c r="G191" s="19" t="str">
        <f t="shared" si="12"/>
        <v/>
      </c>
      <c r="H191" s="16" t="s">
        <v>333</v>
      </c>
      <c r="I191" s="16" t="s">
        <v>333</v>
      </c>
      <c r="J191" s="48">
        <v>0</v>
      </c>
      <c r="K191" s="16">
        <v>57770</v>
      </c>
      <c r="L191" s="49" t="s">
        <v>333</v>
      </c>
      <c r="M191" s="15" t="s">
        <v>297</v>
      </c>
      <c r="N191" s="20" t="str">
        <f ca="1">_xll.meLWOBondCreateFromGeneratorLVB(C191,$N$4,_xll.meUtilityLVBFromKeysValues($C$6:$M$6,C191:M191))</f>
        <v>IT0005248080:1</v>
      </c>
      <c r="O191" s="92">
        <f ca="1">_xll.BDP($B191,$O$5)</f>
        <v>4.0580018232027282</v>
      </c>
      <c r="P191" s="89">
        <f ca="1">_xll.meLWOBondCleanPrice($N191,$C$4,$O191%)</f>
        <v>20.884000000123855</v>
      </c>
      <c r="Q191" s="89">
        <f ca="1">_xll.meLWOBondDirtyPrice($N191,$C$4,$O191%)</f>
        <v>20.884000000123855</v>
      </c>
      <c r="R191" s="72">
        <f ca="1">_xll.meLWOBondYield($N191,$C$4,P191)</f>
        <v>4.0580018232035053E-2</v>
      </c>
      <c r="S191" s="89">
        <f ca="1">_xll.meLWOBondModifiedDuration($N191,$C$4,$O191%)</f>
        <v>38.59757089327433</v>
      </c>
      <c r="T191" s="23">
        <f ca="1">_xll.meLWOBondDV01($N191,$C$4,$O191%)</f>
        <v>806.07167053992168</v>
      </c>
      <c r="U191" s="85">
        <f t="shared" ca="1" si="16"/>
        <v>4.0580018232027282</v>
      </c>
      <c r="V191" s="22" t="str">
        <f ca="1">_xll.BDP($B191,V$6, "YAS_BOND_YLD="&amp;U191,"YAS_YLD_CONV=1")</f>
        <v>#N/A Requesting Data...</v>
      </c>
      <c r="W191" s="89">
        <f t="shared" ca="1" si="17"/>
        <v>20.884000000123855</v>
      </c>
      <c r="X191" s="24" t="e">
        <f t="shared" ca="1" si="13"/>
        <v>#VALUE!</v>
      </c>
      <c r="Y191" s="23">
        <f ca="1">_xll.meLWOBondDV01($N191,$C$4,$U191%)</f>
        <v>806.07167053992168</v>
      </c>
      <c r="Z191" s="22" t="e">
        <f ca="1">_xll.BDP($B191,Z$6, "YLD_YTM_ASK="&amp;$U191,"YAS_YLD_CONV=33")*$Z$3*0.0001</f>
        <v>#VALUE!</v>
      </c>
      <c r="AA191" s="24" t="e">
        <f t="shared" ca="1" si="14"/>
        <v>#VALUE!</v>
      </c>
      <c r="AB191" s="23">
        <f ca="1">_xll.meLWOBondModifiedDuration($N191,$C$4,$U191%)</f>
        <v>38.59757089327433</v>
      </c>
      <c r="AC191" s="23" t="str">
        <f ca="1">_xll.BDP($B191,AC$6, "YLD_YTM_ASK="&amp;$U191,"YAS_YLD_CONV=1")</f>
        <v>#N/A Requesting Data...</v>
      </c>
      <c r="AD191" s="22" t="e">
        <f t="shared" ca="1" si="15"/>
        <v>#VALUE!</v>
      </c>
      <c r="AE191" s="24">
        <f ca="1">_xll.meLWOBondDV01Numerical($N191,$C$4,$U191%, 0.5, "CENTRAL")</f>
        <v>790.19849137740289</v>
      </c>
    </row>
    <row r="192" spans="2:31">
      <c r="B192" s="15" t="s">
        <v>500</v>
      </c>
      <c r="C192" s="15" t="s">
        <v>501</v>
      </c>
      <c r="D192" s="15" t="s">
        <v>501</v>
      </c>
      <c r="E192" s="16">
        <v>42654</v>
      </c>
      <c r="F192" s="16" t="s">
        <v>333</v>
      </c>
      <c r="G192" s="19" t="str">
        <f t="shared" si="12"/>
        <v/>
      </c>
      <c r="H192" s="16" t="s">
        <v>333</v>
      </c>
      <c r="I192" s="16" t="s">
        <v>333</v>
      </c>
      <c r="J192" s="48">
        <v>0</v>
      </c>
      <c r="K192" s="16">
        <v>57954</v>
      </c>
      <c r="L192" s="49" t="s">
        <v>333</v>
      </c>
      <c r="M192" s="15" t="s">
        <v>297</v>
      </c>
      <c r="N192" s="20" t="str">
        <f ca="1">_xll.meLWOBondCreateFromGeneratorLVB(C192,$N$4,_xll.meUtilityLVBFromKeysValues($C$6:$M$6,C192:M192))</f>
        <v>IT0005248098:1</v>
      </c>
      <c r="O192" s="92">
        <f ca="1">_xll.BDP($B192,$O$5)</f>
        <v>4.0471242534203977</v>
      </c>
      <c r="P192" s="89">
        <f ca="1">_xll.meLWOBondCleanPrice($N192,$C$4,$O192%)</f>
        <v>20.556036731510076</v>
      </c>
      <c r="Q192" s="89">
        <f ca="1">_xll.meLWOBondDirtyPrice($N192,$C$4,$O192%)</f>
        <v>20.556036731510076</v>
      </c>
      <c r="R192" s="72">
        <f ca="1">_xll.meLWOBondYield($N192,$C$4,P192)</f>
        <v>4.0471242534212859E-2</v>
      </c>
      <c r="S192" s="89">
        <f ca="1">_xll.meLWOBondModifiedDuration($N192,$C$4,$O192%)</f>
        <v>39.089767721175242</v>
      </c>
      <c r="T192" s="23">
        <f ca="1">_xll.meLWOBondDV01($N192,$C$4,$O192%)</f>
        <v>803.53070110267527</v>
      </c>
      <c r="U192" s="85">
        <f t="shared" ca="1" si="16"/>
        <v>4.0471242534203977</v>
      </c>
      <c r="V192" s="22" t="str">
        <f ca="1">_xll.BDP($B192,V$6, "YAS_BOND_YLD="&amp;U192,"YAS_YLD_CONV=1")</f>
        <v>#N/A Requesting Data...</v>
      </c>
      <c r="W192" s="89">
        <f t="shared" ca="1" si="17"/>
        <v>20.556036731510076</v>
      </c>
      <c r="X192" s="24" t="e">
        <f t="shared" ca="1" si="13"/>
        <v>#VALUE!</v>
      </c>
      <c r="Y192" s="23">
        <f ca="1">_xll.meLWOBondDV01($N192,$C$4,$U192%)</f>
        <v>803.53070110267527</v>
      </c>
      <c r="Z192" s="22" t="e">
        <f ca="1">_xll.BDP($B192,Z$6, "YLD_YTM_ASK="&amp;$U192,"YAS_YLD_CONV=33")*$Z$3*0.0001</f>
        <v>#VALUE!</v>
      </c>
      <c r="AA192" s="24" t="e">
        <f t="shared" ca="1" si="14"/>
        <v>#VALUE!</v>
      </c>
      <c r="AB192" s="23">
        <f ca="1">_xll.meLWOBondModifiedDuration($N192,$C$4,$U192%)</f>
        <v>39.089767721175242</v>
      </c>
      <c r="AC192" s="23" t="str">
        <f ca="1">_xll.BDP($B192,AC$6, "YLD_YTM_ASK="&amp;$U192,"YAS_YLD_CONV=1")</f>
        <v>#N/A Requesting Data...</v>
      </c>
      <c r="AD192" s="22" t="e">
        <f t="shared" ca="1" si="15"/>
        <v>#VALUE!</v>
      </c>
      <c r="AE192" s="24">
        <f ca="1">_xll.meLWOBondDV01Numerical($N192,$C$4,$U192%, 0.5, "CENTRAL")</f>
        <v>787.80243171870279</v>
      </c>
    </row>
    <row r="193" spans="2:31">
      <c r="B193" s="15" t="s">
        <v>566</v>
      </c>
      <c r="C193" s="15" t="s">
        <v>567</v>
      </c>
      <c r="D193" s="15" t="s">
        <v>567</v>
      </c>
      <c r="E193" s="16">
        <v>42654</v>
      </c>
      <c r="F193" s="16" t="s">
        <v>333</v>
      </c>
      <c r="G193" s="19" t="str">
        <f t="shared" si="12"/>
        <v/>
      </c>
      <c r="H193" s="16" t="s">
        <v>333</v>
      </c>
      <c r="I193" s="16" t="s">
        <v>333</v>
      </c>
      <c r="J193" s="48">
        <v>0</v>
      </c>
      <c r="K193" s="16">
        <v>58135</v>
      </c>
      <c r="L193" s="49" t="s">
        <v>333</v>
      </c>
      <c r="M193" s="15" t="s">
        <v>297</v>
      </c>
      <c r="N193" s="20" t="str">
        <f ca="1">_xll.meLWOBondCreateFromGeneratorLVB(C193,$N$4,_xll.meUtilityLVBFromKeysValues($C$6:$M$6,C193:M193))</f>
        <v>IT0005248106:1</v>
      </c>
      <c r="O193" s="92">
        <f ca="1">_xll.BDP($B193,$O$5)</f>
        <v>4.0626603443205678</v>
      </c>
      <c r="P193" s="89">
        <f ca="1">_xll.meLWOBondCleanPrice($N193,$C$4,$O193%)</f>
        <v>20.028964075909894</v>
      </c>
      <c r="Q193" s="89">
        <f ca="1">_xll.meLWOBondDirtyPrice($N193,$C$4,$O193%)</f>
        <v>20.028964075909894</v>
      </c>
      <c r="R193" s="72">
        <f ca="1">_xll.meLWOBondYield($N193,$C$4,P193)</f>
        <v>4.062660344321789E-2</v>
      </c>
      <c r="S193" s="89">
        <f ca="1">_xll.meLWOBondModifiedDuration($N193,$C$4,$O193%)</f>
        <v>39.576992352077774</v>
      </c>
      <c r="T193" s="23">
        <f ca="1">_xll.meLWOBondDV01($N193,$C$4,$O193%)</f>
        <v>792.68615805232628</v>
      </c>
      <c r="U193" s="85">
        <f t="shared" ca="1" si="16"/>
        <v>4.0626603443205678</v>
      </c>
      <c r="V193" s="22" t="str">
        <f ca="1">_xll.BDP($B193,V$6, "YAS_BOND_YLD="&amp;U193,"YAS_YLD_CONV=1")</f>
        <v>#N/A Requesting Data...</v>
      </c>
      <c r="W193" s="89">
        <f t="shared" ca="1" si="17"/>
        <v>20.028964075909894</v>
      </c>
      <c r="X193" s="24" t="e">
        <f t="shared" ca="1" si="13"/>
        <v>#VALUE!</v>
      </c>
      <c r="Y193" s="23">
        <f ca="1">_xll.meLWOBondDV01($N193,$C$4,$U193%)</f>
        <v>792.68615805232628</v>
      </c>
      <c r="Z193" s="22" t="e">
        <f ca="1">_xll.BDP($B193,Z$6, "YLD_YTM_ASK="&amp;$U193,"YAS_YLD_CONV=33")*$Z$3*0.0001</f>
        <v>#VALUE!</v>
      </c>
      <c r="AA193" s="24" t="e">
        <f t="shared" ca="1" si="14"/>
        <v>#VALUE!</v>
      </c>
      <c r="AB193" s="23">
        <f ca="1">_xll.meLWOBondModifiedDuration($N193,$C$4,$U193%)</f>
        <v>39.576992352077774</v>
      </c>
      <c r="AC193" s="23" t="str">
        <f ca="1">_xll.BDP($B193,AC$6, "YLD_YTM_ASK="&amp;$U193,"YAS_YLD_CONV=1")</f>
        <v>#N/A Requesting Data...</v>
      </c>
      <c r="AD193" s="22" t="e">
        <f t="shared" ca="1" si="15"/>
        <v>#VALUE!</v>
      </c>
      <c r="AE193" s="24">
        <f ca="1">_xll.meLWOBondDV01Numerical($N193,$C$4,$U193%, 0.5, "CENTRAL")</f>
        <v>777.1646681353418</v>
      </c>
    </row>
    <row r="194" spans="2:31">
      <c r="B194" s="15" t="s">
        <v>578</v>
      </c>
      <c r="C194" s="15" t="s">
        <v>579</v>
      </c>
      <c r="D194" s="15" t="s">
        <v>579</v>
      </c>
      <c r="E194" s="16">
        <v>42654</v>
      </c>
      <c r="F194" s="16" t="s">
        <v>333</v>
      </c>
      <c r="G194" s="19" t="str">
        <f t="shared" si="12"/>
        <v/>
      </c>
      <c r="H194" s="16" t="s">
        <v>333</v>
      </c>
      <c r="I194" s="16" t="s">
        <v>333</v>
      </c>
      <c r="J194" s="48">
        <v>0</v>
      </c>
      <c r="K194" s="16">
        <v>58319</v>
      </c>
      <c r="L194" s="49" t="s">
        <v>333</v>
      </c>
      <c r="M194" s="15" t="s">
        <v>297</v>
      </c>
      <c r="N194" s="20" t="str">
        <f ca="1">_xll.meLWOBondCreateFromGeneratorLVB(C194,$N$4,_xll.meUtilityLVBFromKeysValues($C$6:$M$6,C194:M194))</f>
        <v>IT0005248114:1</v>
      </c>
      <c r="O194" s="92">
        <f ca="1">_xll.BDP($B194,$O$5)</f>
        <v>4.0629697330694103</v>
      </c>
      <c r="P194" s="89">
        <f ca="1">_xll.meLWOBondCleanPrice($N194,$C$4,$O194%)</f>
        <v>19.635964778216326</v>
      </c>
      <c r="Q194" s="89">
        <f ca="1">_xll.meLWOBondDirtyPrice($N194,$C$4,$O194%)</f>
        <v>19.635964778216326</v>
      </c>
      <c r="R194" s="72">
        <f ca="1">_xll.meLWOBondYield($N194,$C$4,P194)</f>
        <v>4.0629697330709869E-2</v>
      </c>
      <c r="S194" s="89">
        <f ca="1">_xll.meLWOBondModifiedDuration($N194,$C$4,$O194%)</f>
        <v>40.067075494179413</v>
      </c>
      <c r="T194" s="23">
        <f ca="1">_xll.meLWOBondDV01($N194,$C$4,$O194%)</f>
        <v>786.75568316984152</v>
      </c>
      <c r="U194" s="85">
        <f t="shared" ca="1" si="16"/>
        <v>4.0629697330694103</v>
      </c>
      <c r="V194" s="22" t="str">
        <f ca="1">_xll.BDP($B194,V$6, "YAS_BOND_YLD="&amp;U194,"YAS_YLD_CONV=1")</f>
        <v>#N/A Requesting Data...</v>
      </c>
      <c r="W194" s="89">
        <f t="shared" ca="1" si="17"/>
        <v>19.635964778216326</v>
      </c>
      <c r="X194" s="24" t="e">
        <f t="shared" ca="1" si="13"/>
        <v>#VALUE!</v>
      </c>
      <c r="Y194" s="23">
        <f ca="1">_xll.meLWOBondDV01($N194,$C$4,$U194%)</f>
        <v>786.75568316984152</v>
      </c>
      <c r="Z194" s="22" t="e">
        <f ca="1">_xll.BDP($B194,Z$6, "YLD_YTM_ASK="&amp;$U194,"YAS_YLD_CONV=33")*$Z$3*0.0001</f>
        <v>#VALUE!</v>
      </c>
      <c r="AA194" s="24" t="e">
        <f t="shared" ca="1" si="14"/>
        <v>#VALUE!</v>
      </c>
      <c r="AB194" s="23">
        <f ca="1">_xll.meLWOBondModifiedDuration($N194,$C$4,$U194%)</f>
        <v>40.067075494179413</v>
      </c>
      <c r="AC194" s="23" t="str">
        <f ca="1">_xll.BDP($B194,AC$6, "YLD_YTM_ASK="&amp;$U194,"YAS_YLD_CONV=1")</f>
        <v>#N/A Requesting Data...</v>
      </c>
      <c r="AD194" s="22" t="e">
        <f t="shared" ca="1" si="15"/>
        <v>#VALUE!</v>
      </c>
      <c r="AE194" s="24">
        <f ca="1">_xll.meLWOBondDV01Numerical($N194,$C$4,$U194%, 0.5, "CENTRAL")</f>
        <v>771.24535163129337</v>
      </c>
    </row>
    <row r="195" spans="2:31">
      <c r="B195" s="15" t="s">
        <v>580</v>
      </c>
      <c r="C195" s="15" t="s">
        <v>581</v>
      </c>
      <c r="D195" s="15" t="s">
        <v>581</v>
      </c>
      <c r="E195" s="16">
        <v>42654</v>
      </c>
      <c r="F195" s="16" t="s">
        <v>333</v>
      </c>
      <c r="G195" s="19" t="str">
        <f t="shared" si="12"/>
        <v/>
      </c>
      <c r="H195" s="16" t="s">
        <v>333</v>
      </c>
      <c r="I195" s="16" t="s">
        <v>333</v>
      </c>
      <c r="J195" s="48">
        <v>0</v>
      </c>
      <c r="K195" s="16">
        <v>58501</v>
      </c>
      <c r="L195" s="49" t="s">
        <v>333</v>
      </c>
      <c r="M195" s="15" t="s">
        <v>297</v>
      </c>
      <c r="N195" s="20" t="str">
        <f ca="1">_xll.meLWOBondCreateFromGeneratorLVB(C195,$N$4,_xll.meUtilityLVBFromKeysValues($C$6:$M$6,C195:M195))</f>
        <v>IT0005248122:1</v>
      </c>
      <c r="O195" s="92">
        <f ca="1">_xll.BDP($B195,$O$5)</f>
        <v>4.0382484715800082</v>
      </c>
      <c r="P195" s="89">
        <f ca="1">_xll.meLWOBondCleanPrice($N195,$C$4,$O195%)</f>
        <v>19.438965339683566</v>
      </c>
      <c r="Q195" s="89">
        <f ca="1">_xll.meLWOBondDirtyPrice($N195,$C$4,$O195%)</f>
        <v>19.438965339683566</v>
      </c>
      <c r="R195" s="72">
        <f ca="1">_xll.meLWOBondYield($N195,$C$4,P195)</f>
        <v>4.038248471581718E-2</v>
      </c>
      <c r="S195" s="89">
        <f ca="1">_xll.meLWOBondModifiedDuration($N195,$C$4,$O195%)</f>
        <v>40.56203572627674</v>
      </c>
      <c r="T195" s="23">
        <f ca="1">_xll.meLWOBondDV01($N195,$C$4,$O195%)</f>
        <v>788.48400659010008</v>
      </c>
      <c r="U195" s="85">
        <f t="shared" ca="1" si="16"/>
        <v>4.0382484715800082</v>
      </c>
      <c r="V195" s="22" t="str">
        <f ca="1">_xll.BDP($B195,V$6, "YAS_BOND_YLD="&amp;U195,"YAS_YLD_CONV=1")</f>
        <v>#N/A Requesting Data...</v>
      </c>
      <c r="W195" s="89">
        <f t="shared" ca="1" si="17"/>
        <v>19.438965339683566</v>
      </c>
      <c r="X195" s="24" t="e">
        <f t="shared" ca="1" si="13"/>
        <v>#VALUE!</v>
      </c>
      <c r="Y195" s="23">
        <f ca="1">_xll.meLWOBondDV01($N195,$C$4,$U195%)</f>
        <v>788.48400659010008</v>
      </c>
      <c r="Z195" s="22" t="e">
        <f ca="1">_xll.BDP($B195,Z$6, "YLD_YTM_ASK="&amp;$U195,"YAS_YLD_CONV=33")*$Z$3*0.0001</f>
        <v>#VALUE!</v>
      </c>
      <c r="AA195" s="24" t="e">
        <f t="shared" ca="1" si="14"/>
        <v>#VALUE!</v>
      </c>
      <c r="AB195" s="23">
        <f ca="1">_xll.meLWOBondModifiedDuration($N195,$C$4,$U195%)</f>
        <v>40.56203572627674</v>
      </c>
      <c r="AC195" s="23" t="str">
        <f ca="1">_xll.BDP($B195,AC$6, "YLD_YTM_ASK="&amp;$U195,"YAS_YLD_CONV=1")</f>
        <v>#N/A Requesting Data...</v>
      </c>
      <c r="AD195" s="22" t="e">
        <f t="shared" ca="1" si="15"/>
        <v>#VALUE!</v>
      </c>
      <c r="AE195" s="24">
        <f ca="1">_xll.meLWOBondDV01Numerical($N195,$C$4,$U195%, 0.5, "CENTRAL")</f>
        <v>773.03143137608993</v>
      </c>
    </row>
    <row r="196" spans="2:31">
      <c r="B196" s="15" t="s">
        <v>546</v>
      </c>
      <c r="C196" s="15" t="s">
        <v>547</v>
      </c>
      <c r="D196" s="15" t="s">
        <v>547</v>
      </c>
      <c r="E196" s="16">
        <v>42654</v>
      </c>
      <c r="F196" s="16" t="s">
        <v>333</v>
      </c>
      <c r="G196" s="19" t="str">
        <f t="shared" si="12"/>
        <v/>
      </c>
      <c r="H196" s="16" t="s">
        <v>333</v>
      </c>
      <c r="I196" s="16" t="s">
        <v>333</v>
      </c>
      <c r="J196" s="48">
        <v>0</v>
      </c>
      <c r="K196" s="16">
        <v>58685</v>
      </c>
      <c r="L196" s="49" t="s">
        <v>333</v>
      </c>
      <c r="M196" s="15" t="s">
        <v>297</v>
      </c>
      <c r="N196" s="20" t="str">
        <f ca="1">_xll.meLWOBondCreateFromGeneratorLVB(C196,$N$4,_xll.meUtilityLVBFromKeysValues($C$6:$M$6,C196:M196))</f>
        <v>IT0005248130:1</v>
      </c>
      <c r="O196" s="92">
        <f ca="1">_xll.BDP($B196,$O$5)</f>
        <v>4.0253763695879963</v>
      </c>
      <c r="P196" s="89">
        <f ca="1">_xll.meLWOBondCleanPrice($N196,$C$4,$O196%)</f>
        <v>19.156965949356231</v>
      </c>
      <c r="Q196" s="89">
        <f ca="1">_xll.meLWOBondDirtyPrice($N196,$C$4,$O196%)</f>
        <v>19.156965949356231</v>
      </c>
      <c r="R196" s="72">
        <f ca="1">_xll.meLWOBondYield($N196,$C$4,P196)</f>
        <v>4.0253763695900391E-2</v>
      </c>
      <c r="S196" s="89">
        <f ca="1">_xll.meLWOBondModifiedDuration($N196,$C$4,$O196%)</f>
        <v>41.054775754669976</v>
      </c>
      <c r="T196" s="23">
        <f ca="1">_xll.meLWOBondDV01($N196,$C$4,$O196%)</f>
        <v>786.48494119066845</v>
      </c>
      <c r="U196" s="85">
        <f t="shared" ca="1" si="16"/>
        <v>4.0253763695879963</v>
      </c>
      <c r="V196" s="22" t="str">
        <f ca="1">_xll.BDP($B196,V$6, "YAS_BOND_YLD="&amp;U196,"YAS_YLD_CONV=1")</f>
        <v>#N/A Requesting Data...</v>
      </c>
      <c r="W196" s="89">
        <f t="shared" ca="1" si="17"/>
        <v>19.156965949356231</v>
      </c>
      <c r="X196" s="24" t="e">
        <f t="shared" ca="1" si="13"/>
        <v>#VALUE!</v>
      </c>
      <c r="Y196" s="23">
        <f ca="1">_xll.meLWOBondDV01($N196,$C$4,$U196%)</f>
        <v>786.48494119066845</v>
      </c>
      <c r="Z196" s="22" t="e">
        <f ca="1">_xll.BDP($B196,Z$6, "YLD_YTM_ASK="&amp;$U196,"YAS_YLD_CONV=33")*$Z$3*0.0001</f>
        <v>#VALUE!</v>
      </c>
      <c r="AA196" s="24" t="e">
        <f t="shared" ca="1" si="14"/>
        <v>#VALUE!</v>
      </c>
      <c r="AB196" s="23">
        <f ca="1">_xll.meLWOBondModifiedDuration($N196,$C$4,$U196%)</f>
        <v>41.054775754669976</v>
      </c>
      <c r="AC196" s="23" t="str">
        <f ca="1">_xll.BDP($B196,AC$6, "YLD_YTM_ASK="&amp;$U196,"YAS_YLD_CONV=1")</f>
        <v>#N/A Requesting Data...</v>
      </c>
      <c r="AD196" s="22" t="e">
        <f t="shared" ca="1" si="15"/>
        <v>#VALUE!</v>
      </c>
      <c r="AE196" s="24">
        <f ca="1">_xll.meLWOBondDV01Numerical($N196,$C$4,$U196%, 0.5, "CENTRAL")</f>
        <v>771.11925096339462</v>
      </c>
    </row>
    <row r="197" spans="2:31">
      <c r="B197" s="15" t="s">
        <v>582</v>
      </c>
      <c r="C197" s="15" t="s">
        <v>583</v>
      </c>
      <c r="D197" s="15" t="s">
        <v>583</v>
      </c>
      <c r="E197" s="16">
        <v>42654</v>
      </c>
      <c r="F197" s="16" t="s">
        <v>333</v>
      </c>
      <c r="G197" s="19" t="str">
        <f t="shared" si="12"/>
        <v/>
      </c>
      <c r="H197" s="16" t="s">
        <v>333</v>
      </c>
      <c r="I197" s="16" t="s">
        <v>333</v>
      </c>
      <c r="J197" s="48">
        <v>0</v>
      </c>
      <c r="K197" s="16">
        <v>58866</v>
      </c>
      <c r="L197" s="49" t="s">
        <v>333</v>
      </c>
      <c r="M197" s="15" t="s">
        <v>297</v>
      </c>
      <c r="N197" s="20" t="str">
        <f ca="1">_xll.meLWOBondCreateFromGeneratorLVB(C197,$N$4,_xll.meUtilityLVBFromKeysValues($C$6:$M$6,C197:M197))</f>
        <v>IT0005248148:1</v>
      </c>
      <c r="O197" s="92">
        <f ca="1">_xll.BDP($B197,$O$5)</f>
        <v>4.0269051435688485</v>
      </c>
      <c r="P197" s="89">
        <f ca="1">_xll.meLWOBondCleanPrice($N197,$C$4,$O197%)</f>
        <v>18.770966623131059</v>
      </c>
      <c r="Q197" s="89">
        <f ca="1">_xll.meLWOBondDirtyPrice($N197,$C$4,$O197%)</f>
        <v>18.770966623131059</v>
      </c>
      <c r="R197" s="72">
        <f ca="1">_xll.meLWOBondYield($N197,$C$4,P197)</f>
        <v>4.026905143571291E-2</v>
      </c>
      <c r="S197" s="89">
        <f ca="1">_xll.meLWOBondModifiedDuration($N197,$C$4,$O197%)</f>
        <v>41.5447010144213</v>
      </c>
      <c r="T197" s="23">
        <f ca="1">_xll.meLWOBondDV01($N197,$C$4,$O197%)</f>
        <v>779.83419610966121</v>
      </c>
      <c r="U197" s="85">
        <f t="shared" ca="1" si="16"/>
        <v>4.0269051435688485</v>
      </c>
      <c r="V197" s="22" t="str">
        <f ca="1">_xll.BDP($B197,V$6, "YAS_BOND_YLD="&amp;U197,"YAS_YLD_CONV=1")</f>
        <v>#N/A Requesting Data...</v>
      </c>
      <c r="W197" s="89">
        <f t="shared" ca="1" si="17"/>
        <v>18.770966623131059</v>
      </c>
      <c r="X197" s="24" t="e">
        <f t="shared" ca="1" si="13"/>
        <v>#VALUE!</v>
      </c>
      <c r="Y197" s="23">
        <f ca="1">_xll.meLWOBondDV01($N197,$C$4,$U197%)</f>
        <v>779.83419610966121</v>
      </c>
      <c r="Z197" s="22" t="e">
        <f ca="1">_xll.BDP($B197,Z$6, "YLD_YTM_ASK="&amp;$U197,"YAS_YLD_CONV=33")*$Z$3*0.0001</f>
        <v>#VALUE!</v>
      </c>
      <c r="AA197" s="24" t="e">
        <f t="shared" ca="1" si="14"/>
        <v>#VALUE!</v>
      </c>
      <c r="AB197" s="23">
        <f ca="1">_xll.meLWOBondModifiedDuration($N197,$C$4,$U197%)</f>
        <v>41.5447010144213</v>
      </c>
      <c r="AC197" s="23" t="str">
        <f ca="1">_xll.BDP($B197,AC$6, "YLD_YTM_ASK="&amp;$U197,"YAS_YLD_CONV=1")</f>
        <v>#N/A Requesting Data...</v>
      </c>
      <c r="AD197" s="22" t="e">
        <f t="shared" ca="1" si="15"/>
        <v>#VALUE!</v>
      </c>
      <c r="AE197" s="24">
        <f ca="1">_xll.meLWOBondDV01Numerical($N197,$C$4,$U197%, 0.5, "CENTRAL")</f>
        <v>764.59282747016744</v>
      </c>
    </row>
    <row r="198" spans="2:31">
      <c r="B198" s="15" t="s">
        <v>584</v>
      </c>
      <c r="C198" s="15" t="s">
        <v>585</v>
      </c>
      <c r="D198" s="15" t="s">
        <v>585</v>
      </c>
      <c r="E198" s="16">
        <v>42654</v>
      </c>
      <c r="F198" s="16" t="s">
        <v>333</v>
      </c>
      <c r="G198" s="19" t="str">
        <f t="shared" si="12"/>
        <v/>
      </c>
      <c r="H198" s="16" t="s">
        <v>333</v>
      </c>
      <c r="I198" s="16" t="s">
        <v>333</v>
      </c>
      <c r="J198" s="48">
        <v>0</v>
      </c>
      <c r="K198" s="16">
        <v>59050</v>
      </c>
      <c r="L198" s="49" t="s">
        <v>333</v>
      </c>
      <c r="M198" s="15" t="s">
        <v>297</v>
      </c>
      <c r="N198" s="20" t="str">
        <f ca="1">_xll.meLWOBondCreateFromGeneratorLVB(C198,$N$4,_xll.meUtilityLVBFromKeysValues($C$6:$M$6,C198:M198))</f>
        <v>IT0005248155:1</v>
      </c>
      <c r="O198" s="92">
        <f ca="1">_xll.BDP($B198,$O$5)</f>
        <v>4.0006956086209966</v>
      </c>
      <c r="P198" s="89">
        <f ca="1">_xll.meLWOBondCleanPrice($N198,$C$4,$O198%)</f>
        <v>18.603967131393201</v>
      </c>
      <c r="Q198" s="89">
        <f ca="1">_xll.meLWOBondDirtyPrice($N198,$C$4,$O198%)</f>
        <v>18.603967131393201</v>
      </c>
      <c r="R198" s="72">
        <f ca="1">_xll.meLWOBondYield($N198,$C$4,P198)</f>
        <v>4.0006956086236611E-2</v>
      </c>
      <c r="S198" s="89">
        <f ca="1">_xll.meLWOBondModifiedDuration($N198,$C$4,$O198%)</f>
        <v>42.040224286731544</v>
      </c>
      <c r="T198" s="23">
        <f ca="1">_xll.meLWOBondDV01($N198,$C$4,$O198%)</f>
        <v>782.11495082675185</v>
      </c>
      <c r="U198" s="85">
        <f t="shared" ca="1" si="16"/>
        <v>4.0006956086209966</v>
      </c>
      <c r="V198" s="22" t="str">
        <f ca="1">_xll.BDP($B198,V$6, "YAS_BOND_YLD="&amp;U198,"YAS_YLD_CONV=1")</f>
        <v>#N/A Requesting Data...</v>
      </c>
      <c r="W198" s="89">
        <f t="shared" ca="1" si="17"/>
        <v>18.603967131393201</v>
      </c>
      <c r="X198" s="24" t="e">
        <f t="shared" ca="1" si="13"/>
        <v>#VALUE!</v>
      </c>
      <c r="Y198" s="23">
        <f ca="1">_xll.meLWOBondDV01($N198,$C$4,$U198%)</f>
        <v>782.11495082675185</v>
      </c>
      <c r="Z198" s="22" t="e">
        <f ca="1">_xll.BDP($B198,Z$6, "YLD_YTM_ASK="&amp;$U198,"YAS_YLD_CONV=33")*$Z$3*0.0001</f>
        <v>#VALUE!</v>
      </c>
      <c r="AA198" s="24" t="e">
        <f t="shared" ca="1" si="14"/>
        <v>#VALUE!</v>
      </c>
      <c r="AB198" s="23">
        <f ca="1">_xll.meLWOBondModifiedDuration($N198,$C$4,$U198%)</f>
        <v>42.040224286731544</v>
      </c>
      <c r="AC198" s="23" t="str">
        <f ca="1">_xll.BDP($B198,AC$6, "YLD_YTM_ASK="&amp;$U198,"YAS_YLD_CONV=1")</f>
        <v>#N/A Requesting Data...</v>
      </c>
      <c r="AD198" s="22" t="e">
        <f t="shared" ca="1" si="15"/>
        <v>#VALUE!</v>
      </c>
      <c r="AE198" s="24">
        <f ca="1">_xll.meLWOBondDV01Numerical($N198,$C$4,$U198%, 0.5, "CENTRAL")</f>
        <v>766.92562947030751</v>
      </c>
    </row>
    <row r="199" spans="2:31">
      <c r="B199" s="15" t="s">
        <v>560</v>
      </c>
      <c r="C199" s="15" t="s">
        <v>561</v>
      </c>
      <c r="D199" s="15" t="s">
        <v>561</v>
      </c>
      <c r="E199" s="16">
        <v>42654</v>
      </c>
      <c r="F199" s="16" t="s">
        <v>333</v>
      </c>
      <c r="G199" s="19" t="str">
        <f t="shared" ref="G199:G210" si="18">IF(DAY(K199+1)=1, "EOM","")</f>
        <v/>
      </c>
      <c r="H199" s="16" t="s">
        <v>333</v>
      </c>
      <c r="I199" s="16" t="s">
        <v>333</v>
      </c>
      <c r="J199" s="48">
        <v>0</v>
      </c>
      <c r="K199" s="16">
        <v>59231</v>
      </c>
      <c r="L199" s="49" t="s">
        <v>333</v>
      </c>
      <c r="M199" s="15" t="s">
        <v>297</v>
      </c>
      <c r="N199" s="20" t="str">
        <f ca="1">_xll.meLWOBondCreateFromGeneratorLVB(C199,$N$4,_xll.meUtilityLVBFromKeysValues($C$6:$M$6,C199:M199))</f>
        <v>IT0005248163:1</v>
      </c>
      <c r="O199" s="92">
        <f ca="1">_xll.BDP($B199,$O$5)</f>
        <v>3.9878055068754081</v>
      </c>
      <c r="P199" s="89">
        <f ca="1">_xll.meLWOBondCleanPrice($N199,$C$4,$O199%)</f>
        <v>18.340967698639513</v>
      </c>
      <c r="Q199" s="89">
        <f ca="1">_xll.meLWOBondDirtyPrice($N199,$C$4,$O199%)</f>
        <v>18.340967698639513</v>
      </c>
      <c r="R199" s="72">
        <f ca="1">_xll.meLWOBondYield($N199,$C$4,P199)</f>
        <v>3.9878055068783835E-2</v>
      </c>
      <c r="S199" s="89">
        <f ca="1">_xll.meLWOBondModifiedDuration($N199,$C$4,$O199%)</f>
        <v>42.53314889808842</v>
      </c>
      <c r="T199" s="23">
        <f ca="1">_xll.meLWOBondDV01($N199,$C$4,$O199%)</f>
        <v>780.09911006126458</v>
      </c>
      <c r="U199" s="85">
        <f t="shared" ca="1" si="16"/>
        <v>3.9878055068754081</v>
      </c>
      <c r="V199" s="22" t="str">
        <f ca="1">_xll.BDP($B199,V$6, "YAS_BOND_YLD="&amp;U199,"YAS_YLD_CONV=1")</f>
        <v>#N/A Requesting Data...</v>
      </c>
      <c r="W199" s="89">
        <f t="shared" ca="1" si="17"/>
        <v>18.340967698639513</v>
      </c>
      <c r="X199" s="24" t="e">
        <f t="shared" ref="X199:X210" ca="1" si="19">ABS(W199-V199)</f>
        <v>#VALUE!</v>
      </c>
      <c r="Y199" s="23">
        <f ca="1">_xll.meLWOBondDV01($N199,$C$4,$U199%)</f>
        <v>780.09911006126458</v>
      </c>
      <c r="Z199" s="22" t="e">
        <f ca="1">_xll.BDP($B199,Z$6, "YLD_YTM_ASK="&amp;$U199,"YAS_YLD_CONV=33")*$Z$3*0.0001</f>
        <v>#VALUE!</v>
      </c>
      <c r="AA199" s="24" t="e">
        <f t="shared" ref="AA199:AA210" ca="1" si="20">ABS(Z199-Y199)</f>
        <v>#VALUE!</v>
      </c>
      <c r="AB199" s="23">
        <f ca="1">_xll.meLWOBondModifiedDuration($N199,$C$4,$U199%)</f>
        <v>42.53314889808842</v>
      </c>
      <c r="AC199" s="23" t="str">
        <f ca="1">_xll.BDP($B199,AC$6, "YLD_YTM_ASK="&amp;$U199,"YAS_YLD_CONV=1")</f>
        <v>#N/A Requesting Data...</v>
      </c>
      <c r="AD199" s="22" t="e">
        <f t="shared" ref="AD199:AD210" ca="1" si="21">ABS(AC199-AB199)</f>
        <v>#VALUE!</v>
      </c>
      <c r="AE199" s="24">
        <f ca="1">_xll.meLWOBondDV01Numerical($N199,$C$4,$U199%, 0.5, "CENTRAL")</f>
        <v>764.99635126715759</v>
      </c>
    </row>
    <row r="200" spans="2:31">
      <c r="B200" s="15" t="s">
        <v>568</v>
      </c>
      <c r="C200" s="15" t="s">
        <v>569</v>
      </c>
      <c r="D200" s="15" t="s">
        <v>569</v>
      </c>
      <c r="E200" s="16">
        <v>42654</v>
      </c>
      <c r="F200" s="16" t="s">
        <v>333</v>
      </c>
      <c r="G200" s="19" t="str">
        <f t="shared" si="18"/>
        <v/>
      </c>
      <c r="H200" s="16" t="s">
        <v>333</v>
      </c>
      <c r="I200" s="16" t="s">
        <v>333</v>
      </c>
      <c r="J200" s="48">
        <v>0</v>
      </c>
      <c r="K200" s="16">
        <v>59415</v>
      </c>
      <c r="L200" s="49" t="s">
        <v>333</v>
      </c>
      <c r="M200" s="15" t="s">
        <v>297</v>
      </c>
      <c r="N200" s="20" t="str">
        <f ca="1">_xll.meLWOBondCreateFromGeneratorLVB(C200,$N$4,_xll.meUtilityLVBFromKeysValues($C$6:$M$6,C200:M200))</f>
        <v>IT0005248171:1</v>
      </c>
      <c r="O200" s="92">
        <f ca="1">_xll.BDP($B200,$O$5)</f>
        <v>3.9755670167864521</v>
      </c>
      <c r="P200" s="89">
        <f ca="1">_xll.meLWOBondCleanPrice($N200,$C$4,$O200%)</f>
        <v>18.078968256150226</v>
      </c>
      <c r="Q200" s="89">
        <f ca="1">_xll.meLWOBondDirtyPrice($N200,$C$4,$O200%)</f>
        <v>18.078968256150226</v>
      </c>
      <c r="R200" s="72">
        <f ca="1">_xll.meLWOBondYield($N200,$C$4,P200)</f>
        <v>3.9755670167898938E-2</v>
      </c>
      <c r="S200" s="89">
        <f ca="1">_xll.meLWOBondModifiedDuration($N200,$C$4,$O200%)</f>
        <v>43.025999956551772</v>
      </c>
      <c r="T200" s="23">
        <f ca="1">_xll.meLWOBondDV01($N200,$C$4,$O200%)</f>
        <v>777.86568740362043</v>
      </c>
      <c r="U200" s="85">
        <f t="shared" ref="U200:U210" ca="1" si="22">O200</f>
        <v>3.9755670167864521</v>
      </c>
      <c r="V200" s="22" t="str">
        <f ca="1">_xll.BDP($B200,V$6, "YAS_BOND_YLD="&amp;U200,"YAS_YLD_CONV=1")</f>
        <v>#N/A Requesting Data...</v>
      </c>
      <c r="W200" s="89">
        <f t="shared" ref="W200:W210" ca="1" si="23">P200</f>
        <v>18.078968256150226</v>
      </c>
      <c r="X200" s="24" t="e">
        <f t="shared" ca="1" si="19"/>
        <v>#VALUE!</v>
      </c>
      <c r="Y200" s="23">
        <f ca="1">_xll.meLWOBondDV01($N200,$C$4,$U200%)</f>
        <v>777.86568740362043</v>
      </c>
      <c r="Z200" s="22" t="e">
        <f ca="1">_xll.BDP($B200,Z$6, "YLD_YTM_ASK="&amp;$U200,"YAS_YLD_CONV=33")*$Z$3*0.0001</f>
        <v>#VALUE!</v>
      </c>
      <c r="AA200" s="24" t="e">
        <f t="shared" ca="1" si="20"/>
        <v>#VALUE!</v>
      </c>
      <c r="AB200" s="23">
        <f ca="1">_xll.meLWOBondModifiedDuration($N200,$C$4,$U200%)</f>
        <v>43.025999956551772</v>
      </c>
      <c r="AC200" s="23" t="str">
        <f ca="1">_xll.BDP($B200,AC$6, "YLD_YTM_ASK="&amp;$U200,"YAS_YLD_CONV=1")</f>
        <v>#N/A Requesting Data...</v>
      </c>
      <c r="AD200" s="22" t="e">
        <f t="shared" ca="1" si="21"/>
        <v>#VALUE!</v>
      </c>
      <c r="AE200" s="24">
        <f ca="1">_xll.meLWOBondDV01Numerical($N200,$C$4,$U200%, 0.5, "CENTRAL")</f>
        <v>762.85106406434261</v>
      </c>
    </row>
    <row r="201" spans="2:31">
      <c r="B201" s="15" t="s">
        <v>570</v>
      </c>
      <c r="C201" s="15" t="s">
        <v>571</v>
      </c>
      <c r="D201" s="15" t="s">
        <v>571</v>
      </c>
      <c r="E201" s="16">
        <v>42654</v>
      </c>
      <c r="F201" s="16" t="s">
        <v>333</v>
      </c>
      <c r="G201" s="19" t="str">
        <f t="shared" si="18"/>
        <v/>
      </c>
      <c r="H201" s="16" t="s">
        <v>333</v>
      </c>
      <c r="I201" s="16" t="s">
        <v>333</v>
      </c>
      <c r="J201" s="48">
        <v>0</v>
      </c>
      <c r="K201" s="16">
        <v>59596</v>
      </c>
      <c r="L201" s="49" t="s">
        <v>333</v>
      </c>
      <c r="M201" s="15" t="s">
        <v>297</v>
      </c>
      <c r="N201" s="20" t="str">
        <f ca="1">_xll.meLWOBondCreateFromGeneratorLVB(C201,$N$4,_xll.meUtilityLVBFromKeysValues($C$6:$M$6,C201:M201))</f>
        <v>IT0005248189:1</v>
      </c>
      <c r="O201" s="92">
        <f ca="1">_xll.BDP($B201,$O$5)</f>
        <v>3.9638348523131306</v>
      </c>
      <c r="P201" s="89">
        <f ca="1">_xll.meLWOBondCleanPrice($N201,$C$4,$O201%)</f>
        <v>17.818968803541566</v>
      </c>
      <c r="Q201" s="89">
        <f ca="1">_xll.meLWOBondDirtyPrice($N201,$C$4,$O201%)</f>
        <v>17.818968803541566</v>
      </c>
      <c r="R201" s="72">
        <f ca="1">_xll.meLWOBondYield($N201,$C$4,P201)</f>
        <v>3.963834852316972E-2</v>
      </c>
      <c r="S201" s="89">
        <f ca="1">_xll.meLWOBondModifiedDuration($N201,$C$4,$O201%)</f>
        <v>43.518803205493853</v>
      </c>
      <c r="T201" s="23">
        <f ca="1">_xll.meLWOBondDV01($N201,$C$4,$O201%)</f>
        <v>775.46019668615963</v>
      </c>
      <c r="U201" s="85">
        <f t="shared" ca="1" si="22"/>
        <v>3.9638348523131306</v>
      </c>
      <c r="V201" s="22" t="str">
        <f ca="1">_xll.BDP($B201,V$6, "YAS_BOND_YLD="&amp;U201,"YAS_YLD_CONV=1")</f>
        <v>#N/A Requesting Data...</v>
      </c>
      <c r="W201" s="89">
        <f t="shared" ca="1" si="23"/>
        <v>17.818968803541566</v>
      </c>
      <c r="X201" s="24" t="e">
        <f t="shared" ca="1" si="19"/>
        <v>#VALUE!</v>
      </c>
      <c r="Y201" s="23">
        <f ca="1">_xll.meLWOBondDV01($N201,$C$4,$U201%)</f>
        <v>775.46019668615963</v>
      </c>
      <c r="Z201" s="22" t="e">
        <f ca="1">_xll.BDP($B201,Z$6, "YLD_YTM_ASK="&amp;$U201,"YAS_YLD_CONV=33")*$Z$3*0.0001</f>
        <v>#VALUE!</v>
      </c>
      <c r="AA201" s="24" t="e">
        <f t="shared" ca="1" si="20"/>
        <v>#VALUE!</v>
      </c>
      <c r="AB201" s="23">
        <f ca="1">_xll.meLWOBondModifiedDuration($N201,$C$4,$U201%)</f>
        <v>43.518803205493853</v>
      </c>
      <c r="AC201" s="23" t="str">
        <f ca="1">_xll.BDP($B201,AC$6, "YLD_YTM_ASK="&amp;$U201,"YAS_YLD_CONV=1")</f>
        <v>#N/A Requesting Data...</v>
      </c>
      <c r="AD201" s="22" t="e">
        <f t="shared" ca="1" si="21"/>
        <v>#VALUE!</v>
      </c>
      <c r="AE201" s="24">
        <f ca="1">_xll.meLWOBondDV01Numerical($N201,$C$4,$U201%, 0.5, "CENTRAL")</f>
        <v>760.53491863603995</v>
      </c>
    </row>
    <row r="202" spans="2:31">
      <c r="B202" s="15" t="s">
        <v>586</v>
      </c>
      <c r="C202" s="15" t="s">
        <v>587</v>
      </c>
      <c r="D202" s="15" t="s">
        <v>587</v>
      </c>
      <c r="E202" s="16">
        <v>42654</v>
      </c>
      <c r="F202" s="16" t="s">
        <v>333</v>
      </c>
      <c r="G202" s="19" t="str">
        <f t="shared" si="18"/>
        <v/>
      </c>
      <c r="H202" s="16" t="s">
        <v>333</v>
      </c>
      <c r="I202" s="16" t="s">
        <v>333</v>
      </c>
      <c r="J202" s="48">
        <v>0</v>
      </c>
      <c r="K202" s="16">
        <v>59780</v>
      </c>
      <c r="L202" s="49" t="s">
        <v>333</v>
      </c>
      <c r="M202" s="15" t="s">
        <v>297</v>
      </c>
      <c r="N202" s="20" t="str">
        <f ca="1">_xll.meLWOBondCreateFromGeneratorLVB(C202,$N$4,_xll.meUtilityLVBFromKeysValues($C$6:$M$6,C202:M202))</f>
        <v>IT0005248197:1</v>
      </c>
      <c r="O202" s="92">
        <f ca="1">_xll.BDP($B202,$O$5)</f>
        <v>3.9502556188000471</v>
      </c>
      <c r="P202" s="89">
        <f ca="1">_xll.meLWOBondCleanPrice($N202,$C$4,$O202%)</f>
        <v>17.575009999549419</v>
      </c>
      <c r="Q202" s="89">
        <f ca="1">_xll.meLWOBondDirtyPrice($N202,$C$4,$O202%)</f>
        <v>17.575009999549419</v>
      </c>
      <c r="R202" s="72">
        <f ca="1">_xll.meLWOBondYield($N202,$C$4,P202)</f>
        <v>3.9502556188043103E-2</v>
      </c>
      <c r="S202" s="89">
        <f ca="1">_xll.meLWOBondModifiedDuration($N202,$C$4,$O202%)</f>
        <v>44.01205322324379</v>
      </c>
      <c r="T202" s="23">
        <f ca="1">_xll.meLWOBondDV01($N202,$C$4,$O202%)</f>
        <v>773.51227549921089</v>
      </c>
      <c r="U202" s="85">
        <f t="shared" ca="1" si="22"/>
        <v>3.9502556188000471</v>
      </c>
      <c r="V202" s="22" t="str">
        <f ca="1">_xll.BDP($B202,V$6, "YAS_BOND_YLD="&amp;U202,"YAS_YLD_CONV=1")</f>
        <v>#N/A Requesting Data...</v>
      </c>
      <c r="W202" s="89">
        <f t="shared" ca="1" si="23"/>
        <v>17.575009999549419</v>
      </c>
      <c r="X202" s="24" t="e">
        <f t="shared" ca="1" si="19"/>
        <v>#VALUE!</v>
      </c>
      <c r="Y202" s="23">
        <f ca="1">_xll.meLWOBondDV01($N202,$C$4,$U202%)</f>
        <v>773.51227549921089</v>
      </c>
      <c r="Z202" s="22" t="e">
        <f ca="1">_xll.BDP($B202,Z$6, "YLD_YTM_ASK="&amp;$U202,"YAS_YLD_CONV=33")*$Z$3*0.0001</f>
        <v>#VALUE!</v>
      </c>
      <c r="AA202" s="24" t="e">
        <f t="shared" ca="1" si="20"/>
        <v>#VALUE!</v>
      </c>
      <c r="AB202" s="23">
        <f ca="1">_xll.meLWOBondModifiedDuration($N202,$C$4,$U202%)</f>
        <v>44.01205322324379</v>
      </c>
      <c r="AC202" s="23" t="str">
        <f ca="1">_xll.BDP($B202,AC$6, "YLD_YTM_ASK="&amp;$U202,"YAS_YLD_CONV=1")</f>
        <v>#N/A Requesting Data...</v>
      </c>
      <c r="AD202" s="22" t="e">
        <f t="shared" ca="1" si="21"/>
        <v>#VALUE!</v>
      </c>
      <c r="AE202" s="24">
        <f ca="1">_xll.meLWOBondDV01Numerical($N202,$C$4,$U202%, 0.5, "CENTRAL")</f>
        <v>758.76592968896273</v>
      </c>
    </row>
    <row r="203" spans="2:31">
      <c r="B203" s="15" t="s">
        <v>588</v>
      </c>
      <c r="C203" s="15" t="s">
        <v>589</v>
      </c>
      <c r="D203" s="15" t="s">
        <v>589</v>
      </c>
      <c r="E203" s="16">
        <v>42654</v>
      </c>
      <c r="F203" s="16" t="s">
        <v>333</v>
      </c>
      <c r="G203" s="19" t="str">
        <f t="shared" si="18"/>
        <v/>
      </c>
      <c r="H203" s="16" t="s">
        <v>333</v>
      </c>
      <c r="I203" s="16" t="s">
        <v>333</v>
      </c>
      <c r="J203" s="48">
        <v>0</v>
      </c>
      <c r="K203" s="16">
        <v>59962</v>
      </c>
      <c r="L203" s="49" t="s">
        <v>333</v>
      </c>
      <c r="M203" s="15" t="s">
        <v>297</v>
      </c>
      <c r="N203" s="20" t="str">
        <f ca="1">_xll.meLWOBondCreateFromGeneratorLVB(C203,$N$4,_xll.meUtilityLVBFromKeysValues($C$6:$M$6,C203:M203))</f>
        <v>IT0005248205:1</v>
      </c>
      <c r="O203" s="92">
        <f ca="1">_xll.BDP($B203,$O$5)</f>
        <v>3.9384420691686239</v>
      </c>
      <c r="P203" s="89">
        <f ca="1">_xll.meLWOBondCleanPrice($N203,$C$4,$O203%)</f>
        <v>17.326969856411903</v>
      </c>
      <c r="Q203" s="89">
        <f ca="1">_xll.meLWOBondDirtyPrice($N203,$C$4,$O203%)</f>
        <v>17.326969856411903</v>
      </c>
      <c r="R203" s="72">
        <f ca="1">_xll.meLWOBondYield($N203,$C$4,P203)</f>
        <v>3.9384420691733313E-2</v>
      </c>
      <c r="S203" s="89">
        <f ca="1">_xll.meLWOBondModifiedDuration($N203,$C$4,$O203%)</f>
        <v>44.504989841822216</v>
      </c>
      <c r="T203" s="23">
        <f ca="1">_xll.meLWOBondDV01($N203,$C$4,$O203%)</f>
        <v>771.13661744917147</v>
      </c>
      <c r="U203" s="85">
        <f t="shared" ca="1" si="22"/>
        <v>3.9384420691686239</v>
      </c>
      <c r="V203" s="22" t="str">
        <f ca="1">_xll.BDP($B203,V$6, "YAS_BOND_YLD="&amp;U203,"YAS_YLD_CONV=1")</f>
        <v>#N/A Requesting Data...</v>
      </c>
      <c r="W203" s="89">
        <f t="shared" ca="1" si="23"/>
        <v>17.326969856411903</v>
      </c>
      <c r="X203" s="24" t="e">
        <f t="shared" ca="1" si="19"/>
        <v>#VALUE!</v>
      </c>
      <c r="Y203" s="23">
        <f ca="1">_xll.meLWOBondDV01($N203,$C$4,$U203%)</f>
        <v>771.13661744917147</v>
      </c>
      <c r="Z203" s="22" t="e">
        <f ca="1">_xll.BDP($B203,Z$6, "YLD_YTM_ASK="&amp;$U203,"YAS_YLD_CONV=33")*$Z$3*0.0001</f>
        <v>#VALUE!</v>
      </c>
      <c r="AA203" s="24" t="e">
        <f t="shared" ca="1" si="20"/>
        <v>#VALUE!</v>
      </c>
      <c r="AB203" s="23">
        <f ca="1">_xll.meLWOBondModifiedDuration($N203,$C$4,$U203%)</f>
        <v>44.504989841822216</v>
      </c>
      <c r="AC203" s="23" t="str">
        <f ca="1">_xll.BDP($B203,AC$6, "YLD_YTM_ASK="&amp;$U203,"YAS_YLD_CONV=1")</f>
        <v>#N/A Requesting Data...</v>
      </c>
      <c r="AD203" s="22" t="e">
        <f t="shared" ca="1" si="21"/>
        <v>#VALUE!</v>
      </c>
      <c r="AE203" s="24">
        <f ca="1">_xll.meLWOBondDV01Numerical($N203,$C$4,$U203%, 0.5, "CENTRAL")</f>
        <v>756.47754404531747</v>
      </c>
    </row>
    <row r="204" spans="2:31">
      <c r="B204" s="15" t="s">
        <v>548</v>
      </c>
      <c r="C204" s="15" t="s">
        <v>549</v>
      </c>
      <c r="D204" s="15" t="s">
        <v>549</v>
      </c>
      <c r="E204" s="16">
        <v>42654</v>
      </c>
      <c r="F204" s="16" t="s">
        <v>333</v>
      </c>
      <c r="G204" s="19" t="str">
        <f t="shared" si="18"/>
        <v/>
      </c>
      <c r="H204" s="16" t="s">
        <v>333</v>
      </c>
      <c r="I204" s="16" t="s">
        <v>333</v>
      </c>
      <c r="J204" s="48">
        <v>0</v>
      </c>
      <c r="K204" s="16">
        <v>60146</v>
      </c>
      <c r="L204" s="49" t="s">
        <v>333</v>
      </c>
      <c r="M204" s="15" t="s">
        <v>297</v>
      </c>
      <c r="N204" s="20" t="str">
        <f ca="1">_xll.meLWOBondCreateFromGeneratorLVB(C204,$N$4,_xll.meUtilityLVBFromKeysValues($C$6:$M$6,C204:M204))</f>
        <v>IT0005248213:1</v>
      </c>
      <c r="O204" s="92">
        <f ca="1">_xll.BDP($B204,$O$5)</f>
        <v>3.9258316137058991</v>
      </c>
      <c r="P204" s="89">
        <f ca="1">_xll.meLWOBondCleanPrice($N204,$C$4,$O204%)</f>
        <v>17.093970355767784</v>
      </c>
      <c r="Q204" s="89">
        <f ca="1">_xll.meLWOBondDirtyPrice($N204,$C$4,$O204%)</f>
        <v>17.093970355767784</v>
      </c>
      <c r="R204" s="72">
        <f ca="1">_xll.meLWOBondYield($N204,$C$4,P204)</f>
        <v>3.9258316137110283E-2</v>
      </c>
      <c r="S204" s="89">
        <f ca="1">_xll.meLWOBondModifiedDuration($N204,$C$4,$O204%)</f>
        <v>44.998155156545785</v>
      </c>
      <c r="T204" s="23">
        <f ca="1">_xll.meLWOBondDV01($N204,$C$4,$O204%)</f>
        <v>769.19713031023286</v>
      </c>
      <c r="U204" s="85">
        <f t="shared" ca="1" si="22"/>
        <v>3.9258316137058991</v>
      </c>
      <c r="V204" s="22" t="str">
        <f ca="1">_xll.BDP($B204,V$6, "YAS_BOND_YLD="&amp;U204,"YAS_YLD_CONV=1")</f>
        <v>#N/A Requesting Data...</v>
      </c>
      <c r="W204" s="89">
        <f t="shared" ca="1" si="23"/>
        <v>17.093970355767784</v>
      </c>
      <c r="X204" s="24" t="e">
        <f t="shared" ca="1" si="19"/>
        <v>#VALUE!</v>
      </c>
      <c r="Y204" s="23">
        <f ca="1">_xll.meLWOBondDV01($N204,$C$4,$U204%)</f>
        <v>769.19713031023286</v>
      </c>
      <c r="Z204" s="22" t="e">
        <f ca="1">_xll.BDP($B204,Z$6, "YLD_YTM_ASK="&amp;$U204,"YAS_YLD_CONV=33")*$Z$3*0.0001</f>
        <v>#VALUE!</v>
      </c>
      <c r="AA204" s="24" t="e">
        <f t="shared" ca="1" si="20"/>
        <v>#VALUE!</v>
      </c>
      <c r="AB204" s="23">
        <f ca="1">_xll.meLWOBondModifiedDuration($N204,$C$4,$U204%)</f>
        <v>44.998155156545785</v>
      </c>
      <c r="AC204" s="23" t="str">
        <f ca="1">_xll.BDP($B204,AC$6, "YLD_YTM_ASK="&amp;$U204,"YAS_YLD_CONV=1")</f>
        <v>#N/A Requesting Data...</v>
      </c>
      <c r="AD204" s="22" t="e">
        <f t="shared" ca="1" si="21"/>
        <v>#VALUE!</v>
      </c>
      <c r="AE204" s="24">
        <f ca="1">_xll.meLWOBondDV01Numerical($N204,$C$4,$U204%, 0.5, "CENTRAL")</f>
        <v>754.53033277241843</v>
      </c>
    </row>
    <row r="205" spans="2:31">
      <c r="B205" s="15" t="s">
        <v>502</v>
      </c>
      <c r="C205" s="15" t="s">
        <v>503</v>
      </c>
      <c r="D205" s="15" t="s">
        <v>503</v>
      </c>
      <c r="E205" s="16">
        <v>42654</v>
      </c>
      <c r="F205" s="16" t="s">
        <v>333</v>
      </c>
      <c r="G205" s="19" t="str">
        <f t="shared" si="18"/>
        <v/>
      </c>
      <c r="H205" s="16" t="s">
        <v>333</v>
      </c>
      <c r="I205" s="16" t="s">
        <v>333</v>
      </c>
      <c r="J205" s="48">
        <v>0</v>
      </c>
      <c r="K205" s="16">
        <v>60327</v>
      </c>
      <c r="L205" s="49" t="s">
        <v>333</v>
      </c>
      <c r="M205" s="15" t="s">
        <v>297</v>
      </c>
      <c r="N205" s="20" t="str">
        <f ca="1">_xll.meLWOBondCreateFromGeneratorLVB(C205,$N$4,_xll.meUtilityLVBFromKeysValues($C$6:$M$6,C205:M205))</f>
        <v>IT0005248221:1</v>
      </c>
      <c r="O205" s="92">
        <f ca="1">_xll.BDP($B205,$O$5)</f>
        <v>3.9133396610236071</v>
      </c>
      <c r="P205" s="89">
        <f ca="1">_xll.meLWOBondCleanPrice($N205,$C$4,$O205%)</f>
        <v>16.859941703726335</v>
      </c>
      <c r="Q205" s="89">
        <f ca="1">_xll.meLWOBondDirtyPrice($N205,$C$4,$O205%)</f>
        <v>16.859941703726335</v>
      </c>
      <c r="R205" s="72">
        <f ca="1">_xll.meLWOBondYield($N205,$C$4,P205)</f>
        <v>3.9133396610290694E-2</v>
      </c>
      <c r="S205" s="89">
        <f ca="1">_xll.meLWOBondModifiedDuration($N205,$C$4,$O205%)</f>
        <v>45.491354542480408</v>
      </c>
      <c r="T205" s="23">
        <f ca="1">_xll.meLWOBondDV01($N205,$C$4,$O205%)</f>
        <v>766.98158560976594</v>
      </c>
      <c r="U205" s="85">
        <f t="shared" ca="1" si="22"/>
        <v>3.9133396610236071</v>
      </c>
      <c r="V205" s="22" t="str">
        <f ca="1">_xll.BDP($B205,V$6, "YAS_BOND_YLD="&amp;U205,"YAS_YLD_CONV=1")</f>
        <v>#N/A Requesting Data...</v>
      </c>
      <c r="W205" s="89">
        <f t="shared" ca="1" si="23"/>
        <v>16.859941703726335</v>
      </c>
      <c r="X205" s="24" t="e">
        <f t="shared" ca="1" si="19"/>
        <v>#VALUE!</v>
      </c>
      <c r="Y205" s="23">
        <f ca="1">_xll.meLWOBondDV01($N205,$C$4,$U205%)</f>
        <v>766.98158560976594</v>
      </c>
      <c r="Z205" s="22" t="e">
        <f ca="1">_xll.BDP($B205,Z$6, "YLD_YTM_ASK="&amp;$U205,"YAS_YLD_CONV=33")*$Z$3*0.0001</f>
        <v>#VALUE!</v>
      </c>
      <c r="AA205" s="24" t="e">
        <f t="shared" ca="1" si="20"/>
        <v>#VALUE!</v>
      </c>
      <c r="AB205" s="23">
        <f ca="1">_xll.meLWOBondModifiedDuration($N205,$C$4,$U205%)</f>
        <v>45.491354542480408</v>
      </c>
      <c r="AC205" s="23" t="str">
        <f ca="1">_xll.BDP($B205,AC$6, "YLD_YTM_ASK="&amp;$U205,"YAS_YLD_CONV=1")</f>
        <v>#N/A Requesting Data...</v>
      </c>
      <c r="AD205" s="22" t="e">
        <f t="shared" ca="1" si="21"/>
        <v>#VALUE!</v>
      </c>
      <c r="AE205" s="24">
        <f ca="1">_xll.meLWOBondDV01Numerical($N205,$C$4,$U205%, 0.5, "CENTRAL")</f>
        <v>752.44708090934864</v>
      </c>
    </row>
    <row r="206" spans="2:31">
      <c r="B206" s="15" t="s">
        <v>484</v>
      </c>
      <c r="C206" s="15" t="s">
        <v>485</v>
      </c>
      <c r="D206" s="15" t="s">
        <v>485</v>
      </c>
      <c r="E206" s="16">
        <v>42654</v>
      </c>
      <c r="F206" s="16" t="s">
        <v>333</v>
      </c>
      <c r="G206" s="19" t="str">
        <f t="shared" si="18"/>
        <v/>
      </c>
      <c r="H206" s="16" t="s">
        <v>333</v>
      </c>
      <c r="I206" s="16" t="s">
        <v>333</v>
      </c>
      <c r="J206" s="48">
        <v>0</v>
      </c>
      <c r="K206" s="16">
        <v>60511</v>
      </c>
      <c r="L206" s="49" t="s">
        <v>333</v>
      </c>
      <c r="M206" s="15" t="s">
        <v>297</v>
      </c>
      <c r="N206" s="20" t="str">
        <f ca="1">_xll.meLWOBondCreateFromGeneratorLVB(C206,$N$4,_xll.meUtilityLVBFromKeysValues($C$6:$M$6,C206:M206))</f>
        <v>IT0005248239:1</v>
      </c>
      <c r="O206" s="92">
        <f ca="1">_xll.BDP($B206,$O$5)</f>
        <v>3.9010720719841574</v>
      </c>
      <c r="P206" s="89">
        <f ca="1">_xll.meLWOBondCleanPrice($N206,$C$4,$O206%)</f>
        <v>16.63294266640786</v>
      </c>
      <c r="Q206" s="89">
        <f ca="1">_xll.meLWOBondDirtyPrice($N206,$C$4,$O206%)</f>
        <v>16.63294266640786</v>
      </c>
      <c r="R206" s="72">
        <f ca="1">_xll.meLWOBondYield($N206,$C$4,P206)</f>
        <v>3.9010720719899528E-2</v>
      </c>
      <c r="S206" s="89">
        <f ca="1">_xll.meLWOBondModifiedDuration($N206,$C$4,$O206%)</f>
        <v>45.984563736819574</v>
      </c>
      <c r="T206" s="23">
        <f ca="1">_xll.meLWOBondDV01($N206,$C$4,$O206%)</f>
        <v>764.85861217429795</v>
      </c>
      <c r="U206" s="85">
        <f t="shared" ca="1" si="22"/>
        <v>3.9010720719841574</v>
      </c>
      <c r="V206" s="22" t="str">
        <f ca="1">_xll.BDP($B206,V$6, "YAS_BOND_YLD="&amp;U206,"YAS_YLD_CONV=1")</f>
        <v>#N/A Requesting Data...</v>
      </c>
      <c r="W206" s="89">
        <f t="shared" ca="1" si="23"/>
        <v>16.63294266640786</v>
      </c>
      <c r="X206" s="24" t="e">
        <f t="shared" ca="1" si="19"/>
        <v>#VALUE!</v>
      </c>
      <c r="Y206" s="23">
        <f ca="1">_xll.meLWOBondDV01($N206,$C$4,$U206%)</f>
        <v>764.85861217429795</v>
      </c>
      <c r="Z206" s="22" t="e">
        <f ca="1">_xll.BDP($B206,Z$6, "YLD_YTM_ASK="&amp;$U206,"YAS_YLD_CONV=33")*$Z$3*0.0001</f>
        <v>#VALUE!</v>
      </c>
      <c r="AA206" s="24" t="e">
        <f t="shared" ca="1" si="20"/>
        <v>#VALUE!</v>
      </c>
      <c r="AB206" s="23">
        <f ca="1">_xll.meLWOBondModifiedDuration($N206,$C$4,$U206%)</f>
        <v>45.984563736819574</v>
      </c>
      <c r="AC206" s="23" t="str">
        <f ca="1">_xll.BDP($B206,AC$6, "YLD_YTM_ASK="&amp;$U206,"YAS_YLD_CONV=1")</f>
        <v>#N/A Requesting Data...</v>
      </c>
      <c r="AD206" s="22" t="e">
        <f t="shared" ca="1" si="21"/>
        <v>#VALUE!</v>
      </c>
      <c r="AE206" s="24">
        <f ca="1">_xll.meLWOBondDV01Numerical($N206,$C$4,$U206%, 0.5, "CENTRAL")</f>
        <v>750.36466299597043</v>
      </c>
    </row>
    <row r="207" spans="2:31">
      <c r="B207" s="15" t="s">
        <v>486</v>
      </c>
      <c r="C207" s="15" t="s">
        <v>487</v>
      </c>
      <c r="D207" s="15" t="s">
        <v>487</v>
      </c>
      <c r="E207" s="16">
        <v>42654</v>
      </c>
      <c r="F207" s="16" t="s">
        <v>333</v>
      </c>
      <c r="G207" s="19" t="str">
        <f t="shared" si="18"/>
        <v/>
      </c>
      <c r="H207" s="16" t="s">
        <v>333</v>
      </c>
      <c r="I207" s="16" t="s">
        <v>333</v>
      </c>
      <c r="J207" s="48">
        <v>0</v>
      </c>
      <c r="K207" s="16">
        <v>60692</v>
      </c>
      <c r="L207" s="49" t="s">
        <v>333</v>
      </c>
      <c r="M207" s="15" t="s">
        <v>297</v>
      </c>
      <c r="N207" s="20" t="str">
        <f ca="1">_xll.meLWOBondCreateFromGeneratorLVB(C207,$N$4,_xll.meUtilityLVBFromKeysValues($C$6:$M$6,C207:M207))</f>
        <v>IT0005248247:1</v>
      </c>
      <c r="O207" s="92">
        <f ca="1">_xll.BDP($B207,$O$5)</f>
        <v>3.8889772581919946</v>
      </c>
      <c r="P207" s="89">
        <f ca="1">_xll.meLWOBondCleanPrice($N207,$C$4,$O207%)</f>
        <v>16.407943615143786</v>
      </c>
      <c r="Q207" s="89">
        <f ca="1">_xll.meLWOBondDirtyPrice($N207,$C$4,$O207%)</f>
        <v>16.407943615143786</v>
      </c>
      <c r="R207" s="72">
        <f ca="1">_xll.meLWOBondYield($N207,$C$4,P207)</f>
        <v>3.8889772581979676E-2</v>
      </c>
      <c r="S207" s="89">
        <f ca="1">_xll.meLWOBondModifiedDuration($N207,$C$4,$O207%)</f>
        <v>46.477792679932818</v>
      </c>
      <c r="T207" s="23">
        <f ca="1">_xll.meLWOBondDV01($N207,$C$4,$O207%)</f>
        <v>762.60500164868029</v>
      </c>
      <c r="U207" s="85">
        <f t="shared" ca="1" si="22"/>
        <v>3.8889772581919946</v>
      </c>
      <c r="V207" s="22" t="str">
        <f ca="1">_xll.BDP($B207,V$6, "YAS_BOND_YLD="&amp;U207,"YAS_YLD_CONV=1")</f>
        <v>#N/A Requesting Data...</v>
      </c>
      <c r="W207" s="89">
        <f t="shared" ca="1" si="23"/>
        <v>16.407943615143786</v>
      </c>
      <c r="X207" s="24" t="e">
        <f t="shared" ca="1" si="19"/>
        <v>#VALUE!</v>
      </c>
      <c r="Y207" s="23">
        <f ca="1">_xll.meLWOBondDV01($N207,$C$4,$U207%)</f>
        <v>762.60500164868029</v>
      </c>
      <c r="Z207" s="22" t="e">
        <f ca="1">_xll.BDP($B207,Z$6, "YLD_YTM_ASK="&amp;$U207,"YAS_YLD_CONV=33")*$Z$3*0.0001</f>
        <v>#VALUE!</v>
      </c>
      <c r="AA207" s="24" t="e">
        <f t="shared" ca="1" si="20"/>
        <v>#VALUE!</v>
      </c>
      <c r="AB207" s="23">
        <f ca="1">_xll.meLWOBondModifiedDuration($N207,$C$4,$U207%)</f>
        <v>46.477792679932818</v>
      </c>
      <c r="AC207" s="23" t="str">
        <f ca="1">_xll.BDP($B207,AC$6, "YLD_YTM_ASK="&amp;$U207,"YAS_YLD_CONV=1")</f>
        <v>#N/A Requesting Data...</v>
      </c>
      <c r="AD207" s="22" t="e">
        <f t="shared" ca="1" si="21"/>
        <v>#VALUE!</v>
      </c>
      <c r="AE207" s="24">
        <f ca="1">_xll.meLWOBondDV01Numerical($N207,$C$4,$U207%, 0.5, "CENTRAL")</f>
        <v>748.19730603103096</v>
      </c>
    </row>
    <row r="208" spans="2:31">
      <c r="B208" s="15" t="s">
        <v>432</v>
      </c>
      <c r="C208" s="15" t="s">
        <v>433</v>
      </c>
      <c r="D208" s="15" t="s">
        <v>433</v>
      </c>
      <c r="E208" s="16">
        <v>42654</v>
      </c>
      <c r="F208" s="16" t="s">
        <v>333</v>
      </c>
      <c r="G208" s="19" t="str">
        <f t="shared" si="18"/>
        <v/>
      </c>
      <c r="H208" s="16" t="s">
        <v>333</v>
      </c>
      <c r="I208" s="16" t="s">
        <v>333</v>
      </c>
      <c r="J208" s="48">
        <v>0</v>
      </c>
      <c r="K208" s="16">
        <v>60876</v>
      </c>
      <c r="L208" s="49" t="s">
        <v>333</v>
      </c>
      <c r="M208" s="15" t="s">
        <v>297</v>
      </c>
      <c r="N208" s="20" t="str">
        <f ca="1">_xll.meLWOBondCreateFromGeneratorLVB(C208,$N$4,_xll.meUtilityLVBFromKeysValues($C$6:$M$6,C208:M208))</f>
        <v>IT0005248254:1</v>
      </c>
      <c r="O208" s="92">
        <f ca="1">_xll.BDP($B208,$O$5)</f>
        <v>3.8767401700942283</v>
      </c>
      <c r="P208" s="89">
        <f ca="1">_xll.meLWOBondCleanPrice($N208,$C$4,$O208%)</f>
        <v>16.188944540851875</v>
      </c>
      <c r="Q208" s="89">
        <f ca="1">_xll.meLWOBondDirtyPrice($N208,$C$4,$O208%)</f>
        <v>16.188944540851875</v>
      </c>
      <c r="R208" s="72">
        <f ca="1">_xll.meLWOBondYield($N208,$C$4,P208)</f>
        <v>3.8767401701002013E-2</v>
      </c>
      <c r="S208" s="89">
        <f ca="1">_xll.meLWOBondModifiedDuration($N208,$C$4,$O208%)</f>
        <v>46.971111372730896</v>
      </c>
      <c r="T208" s="23">
        <f ca="1">_xll.meLWOBondDV01($N208,$C$4,$O208%)</f>
        <v>760.4127170353172</v>
      </c>
      <c r="U208" s="85">
        <f t="shared" ca="1" si="22"/>
        <v>3.8767401700942283</v>
      </c>
      <c r="V208" s="22" t="str">
        <f ca="1">_xll.BDP($B208,V$6, "YAS_BOND_YLD="&amp;U208,"YAS_YLD_CONV=1")</f>
        <v>#N/A Requesting Data...</v>
      </c>
      <c r="W208" s="89">
        <f t="shared" ca="1" si="23"/>
        <v>16.188944540851875</v>
      </c>
      <c r="X208" s="24" t="e">
        <f t="shared" ca="1" si="19"/>
        <v>#VALUE!</v>
      </c>
      <c r="Y208" s="23">
        <f ca="1">_xll.meLWOBondDV01($N208,$C$4,$U208%)</f>
        <v>760.4127170353172</v>
      </c>
      <c r="Z208" s="22" t="e">
        <f ca="1">_xll.BDP($B208,Z$6, "YLD_YTM_ASK="&amp;$U208,"YAS_YLD_CONV=33")*$Z$3*0.0001</f>
        <v>#VALUE!</v>
      </c>
      <c r="AA208" s="24" t="e">
        <f t="shared" ca="1" si="20"/>
        <v>#VALUE!</v>
      </c>
      <c r="AB208" s="23">
        <f ca="1">_xll.meLWOBondModifiedDuration($N208,$C$4,$U208%)</f>
        <v>46.971111372730896</v>
      </c>
      <c r="AC208" s="23" t="str">
        <f ca="1">_xll.BDP($B208,AC$6, "YLD_YTM_ASK="&amp;$U208,"YAS_YLD_CONV=1")</f>
        <v>#N/A Requesting Data...</v>
      </c>
      <c r="AD208" s="22" t="e">
        <f t="shared" ca="1" si="21"/>
        <v>#VALUE!</v>
      </c>
      <c r="AE208" s="24">
        <f ca="1">_xll.meLWOBondDV01Numerical($N208,$C$4,$U208%, 0.5, "CENTRAL")</f>
        <v>746.09038147904994</v>
      </c>
    </row>
    <row r="209" spans="2:31">
      <c r="B209" s="15" t="s">
        <v>302</v>
      </c>
      <c r="C209" s="15" t="s">
        <v>303</v>
      </c>
      <c r="D209" s="15" t="s">
        <v>303</v>
      </c>
      <c r="E209" s="16">
        <v>42654</v>
      </c>
      <c r="F209" s="16">
        <v>42614</v>
      </c>
      <c r="G209" s="19" t="str">
        <f t="shared" si="18"/>
        <v/>
      </c>
      <c r="H209" s="16">
        <v>42795</v>
      </c>
      <c r="I209" s="16">
        <v>60876</v>
      </c>
      <c r="J209" s="48">
        <v>2.7999999999999997E-2</v>
      </c>
      <c r="K209" s="16">
        <v>61057</v>
      </c>
      <c r="L209" s="49">
        <v>99.194000000000003</v>
      </c>
      <c r="M209" s="15" t="s">
        <v>297</v>
      </c>
      <c r="N209" s="20" t="str">
        <f ca="1">_xll.meLWOBondCreateFromGeneratorLVB(C209,$N$4,_xll.meUtilityLVBFromKeysValues($C$6:$M$6,C209:M209))</f>
        <v>IT0005217390:1</v>
      </c>
      <c r="O209" s="92">
        <f ca="1">_xll.BDP($B209,$O$5)</f>
        <v>3.7323265755516033</v>
      </c>
      <c r="P209" s="89">
        <f ca="1">_xll.meLWOBondCleanPrice($N209,$C$4,$O209%)</f>
        <v>79.834861177679599</v>
      </c>
      <c r="Q209" s="89">
        <f ca="1">_xll.meLWOBondDirtyPrice($N209,$C$4,$O209%)</f>
        <v>80.190661177679601</v>
      </c>
      <c r="R209" s="72">
        <f ca="1">_xll.meLWOBondYield($N209,$C$4,P209)</f>
        <v>3.7323265755535573E-2</v>
      </c>
      <c r="S209" s="89">
        <f ca="1">_xll.meLWOBondModifiedDuration($N209,$C$4,$O209%)</f>
        <v>23.637368075464494</v>
      </c>
      <c r="T209" s="23">
        <f ca="1">_xll.meLWOBondDV01($N209,$C$4,$O209%)</f>
        <v>1895.4961744716738</v>
      </c>
      <c r="U209" s="85">
        <f t="shared" ca="1" si="22"/>
        <v>3.7323265755516033</v>
      </c>
      <c r="V209" s="22" t="str">
        <f ca="1">_xll.BDP($B209,V$6, "YAS_BOND_YLD="&amp;U209,"YAS_YLD_CONV=1")</f>
        <v>#N/A Requesting Data...</v>
      </c>
      <c r="W209" s="89">
        <f t="shared" ca="1" si="23"/>
        <v>79.834861177679599</v>
      </c>
      <c r="X209" s="24" t="e">
        <f t="shared" ca="1" si="19"/>
        <v>#VALUE!</v>
      </c>
      <c r="Y209" s="23">
        <f ca="1">_xll.meLWOBondDV01($N209,$C$4,$U209%)</f>
        <v>1895.4961744716738</v>
      </c>
      <c r="Z209" s="22" t="e">
        <f ca="1">_xll.BDP($B209,Z$6, "YLD_YTM_ASK="&amp;$U209,"YAS_YLD_CONV=33")*$Z$3*0.0001</f>
        <v>#VALUE!</v>
      </c>
      <c r="AA209" s="24" t="e">
        <f t="shared" ca="1" si="20"/>
        <v>#VALUE!</v>
      </c>
      <c r="AB209" s="23">
        <f ca="1">_xll.meLWOBondModifiedDuration($N209,$C$4,$U209%)</f>
        <v>23.637368075464494</v>
      </c>
      <c r="AC209" s="23" t="str">
        <f ca="1">_xll.BDP($B209,AC$6, "YLD_YTM_ASK="&amp;$U209,"YAS_YLD_CONV=1")</f>
        <v>#N/A Requesting Data...</v>
      </c>
      <c r="AD209" s="22" t="e">
        <f t="shared" ca="1" si="21"/>
        <v>#VALUE!</v>
      </c>
      <c r="AE209" s="24">
        <f ca="1">_xll.meLWOBondDV01Numerical($N209,$C$4,$U209%, 0.5, "CENTRAL")</f>
        <v>1861.1555834210949</v>
      </c>
    </row>
    <row r="210" spans="2:31">
      <c r="B210" s="15" t="s">
        <v>382</v>
      </c>
      <c r="C210" s="15" t="s">
        <v>383</v>
      </c>
      <c r="D210" s="15" t="s">
        <v>383</v>
      </c>
      <c r="E210" s="16">
        <v>42654</v>
      </c>
      <c r="F210" s="16" t="s">
        <v>333</v>
      </c>
      <c r="G210" s="19" t="str">
        <f t="shared" si="18"/>
        <v/>
      </c>
      <c r="H210" s="16" t="s">
        <v>333</v>
      </c>
      <c r="I210" s="16" t="s">
        <v>333</v>
      </c>
      <c r="J210" s="48">
        <v>0</v>
      </c>
      <c r="K210" s="16">
        <v>61057</v>
      </c>
      <c r="L210" s="49" t="s">
        <v>333</v>
      </c>
      <c r="M210" s="15" t="s">
        <v>297</v>
      </c>
      <c r="N210" s="20" t="str">
        <f ca="1">_xll.meLWOBondCreateFromGeneratorLVB(C210,$N$4,_xll.meUtilityLVBFromKeysValues($C$6:$M$6,C210:M210))</f>
        <v>IT0005248262:1</v>
      </c>
      <c r="O210" s="92">
        <f ca="1">_xll.BDP($B210,$O$5)</f>
        <v>3.2227185247067469</v>
      </c>
      <c r="P210" s="89">
        <f ca="1">_xll.meLWOBondCleanPrice($N210,$C$4,$O210%)</f>
        <v>21.55993840321624</v>
      </c>
      <c r="Q210" s="89">
        <f ca="1">_xll.meLWOBondDirtyPrice($N210,$C$4,$O210%)</f>
        <v>21.55993840321624</v>
      </c>
      <c r="R210" s="72">
        <f ca="1">_xll.meLWOBondYield($N210,$C$4,P210)</f>
        <v>3.2227185247072576E-2</v>
      </c>
      <c r="S210" s="89">
        <f ca="1">_xll.meLWOBondModifiedDuration($N210,$C$4,$O210%)</f>
        <v>47.611814311318554</v>
      </c>
      <c r="T210" s="23">
        <f ca="1">_xll.meLWOBondDV01($N210,$C$4,$O210%)</f>
        <v>1026.5077838173975</v>
      </c>
      <c r="U210" s="85">
        <f t="shared" ca="1" si="22"/>
        <v>3.2227185247067469</v>
      </c>
      <c r="V210" s="22" t="str">
        <f ca="1">_xll.BDP($B210,V$6, "YAS_BOND_YLD="&amp;U210,"YAS_YLD_CONV=1")</f>
        <v>#N/A Requesting Data...</v>
      </c>
      <c r="W210" s="89">
        <f t="shared" ca="1" si="23"/>
        <v>21.55993840321624</v>
      </c>
      <c r="X210" s="24" t="e">
        <f t="shared" ca="1" si="19"/>
        <v>#VALUE!</v>
      </c>
      <c r="Y210" s="23">
        <f ca="1">_xll.meLWOBondDV01($N210,$C$4,$U210%)</f>
        <v>1026.5077838173975</v>
      </c>
      <c r="Z210" s="22" t="e">
        <f ca="1">_xll.BDP($B210,Z$6, "YLD_YTM_ASK="&amp;$U210,"YAS_YLD_CONV=33")*$Z$3*0.0001</f>
        <v>#VALUE!</v>
      </c>
      <c r="AA210" s="24" t="e">
        <f t="shared" ca="1" si="20"/>
        <v>#VALUE!</v>
      </c>
      <c r="AB210" s="23">
        <f ca="1">_xll.meLWOBondModifiedDuration($N210,$C$4,$U210%)</f>
        <v>47.611814311318554</v>
      </c>
      <c r="AC210" s="23" t="str">
        <f ca="1">_xll.BDP($B210,AC$6, "YLD_YTM_ASK="&amp;$U210,"YAS_YLD_CONV=1")</f>
        <v>#N/A Requesting Data...</v>
      </c>
      <c r="AD210" s="22" t="e">
        <f t="shared" ca="1" si="21"/>
        <v>#VALUE!</v>
      </c>
      <c r="AE210" s="24">
        <f ca="1">_xll.meLWOBondDV01Numerical($N210,$C$4,$U210%, 0.5, "CENTRAL")</f>
        <v>1010.3592728480137</v>
      </c>
    </row>
    <row r="282" spans="13:13">
      <c r="M282" s="4"/>
    </row>
    <row r="283" spans="13:13">
      <c r="M283" s="4"/>
    </row>
    <row r="284" spans="13:13">
      <c r="M284" s="52"/>
    </row>
    <row r="285" spans="13:13">
      <c r="M285" s="53"/>
    </row>
    <row r="286" spans="13:13">
      <c r="M286" s="53"/>
    </row>
    <row r="301" spans="13:13">
      <c r="M301" s="54"/>
    </row>
    <row r="302" spans="13:13">
      <c r="M302" s="54"/>
    </row>
    <row r="303" spans="13:13">
      <c r="M303" s="53"/>
    </row>
  </sheetData>
  <sortState ref="B8:Z353">
    <sortCondition ref="K8:K353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M63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2" width="15.7109375" style="1" customWidth="1"/>
    <col min="13" max="13" width="27.28515625" style="1" customWidth="1"/>
    <col min="14" max="14" width="22.7109375" style="76" customWidth="1"/>
    <col min="15" max="20" width="22.7109375" style="82" customWidth="1"/>
    <col min="21" max="21" width="15.7109375" style="2" hidden="1" customWidth="1" outlineLevel="1"/>
    <col min="22" max="32" width="15.7109375" style="3" hidden="1" customWidth="1" outlineLevel="1"/>
    <col min="33" max="33" width="9.140625" style="1" collapsed="1"/>
    <col min="34" max="34" width="31" style="1" bestFit="1" customWidth="1"/>
    <col min="35" max="35" width="41.28515625" style="1" bestFit="1" customWidth="1"/>
    <col min="36" max="36" width="9.140625" style="1"/>
    <col min="37" max="37" width="31" style="1" bestFit="1" customWidth="1"/>
    <col min="38" max="38" width="43.140625" style="1" customWidth="1"/>
    <col min="39" max="16384" width="9.140625" style="1"/>
  </cols>
  <sheetData>
    <row r="1" spans="2:39">
      <c r="J1" s="5" t="s">
        <v>290</v>
      </c>
      <c r="N1" s="79"/>
      <c r="O1" s="79"/>
      <c r="P1" s="79"/>
      <c r="Q1" s="79"/>
      <c r="R1" s="79"/>
      <c r="S1" s="79"/>
      <c r="T1" s="79"/>
      <c r="AG1" s="5" t="s">
        <v>288</v>
      </c>
    </row>
    <row r="2" spans="2:39">
      <c r="N2" s="79"/>
      <c r="O2" s="39" t="s">
        <v>285</v>
      </c>
      <c r="P2" s="39" t="s">
        <v>285</v>
      </c>
      <c r="Q2" s="39" t="s">
        <v>285</v>
      </c>
      <c r="R2" s="39" t="s">
        <v>285</v>
      </c>
      <c r="S2" s="39" t="s">
        <v>285</v>
      </c>
      <c r="T2" s="39" t="s">
        <v>285</v>
      </c>
      <c r="U2" s="36"/>
      <c r="Y2" s="8"/>
      <c r="Z2" s="8" t="s">
        <v>47</v>
      </c>
      <c r="AB2" s="8"/>
      <c r="AC2" s="8"/>
      <c r="AD2" s="8"/>
      <c r="AF2" s="8"/>
    </row>
    <row r="3" spans="2:39">
      <c r="B3" s="5" t="s">
        <v>9</v>
      </c>
      <c r="C3" s="5" t="s">
        <v>10</v>
      </c>
      <c r="D3" s="7"/>
      <c r="M3" s="5" t="s">
        <v>284</v>
      </c>
      <c r="N3" s="80"/>
      <c r="O3" s="42" t="s">
        <v>289</v>
      </c>
      <c r="P3" s="42" t="s">
        <v>289</v>
      </c>
      <c r="Q3" s="41" t="str">
        <f ca="1">IF(ISNUMBER(SUM(X7:X63)),SUM(X7:X63),"BBG WAIT!")</f>
        <v>BBG WAIT!</v>
      </c>
      <c r="R3" s="41">
        <f ca="1">IF(ISNUMBER(SUM(N7:N63)),SUM(N7:N63)-SUM(R7:R63)*100,"BBG WAIT!")</f>
        <v>-2.0282456716813613E-4</v>
      </c>
      <c r="S3" s="41" t="str">
        <f ca="1">IF(ISNUMBER(SUM(AE7:AE63)),SUM(AE7:AE63),"BBG WAIT!")</f>
        <v>BBG WAIT!</v>
      </c>
      <c r="T3" s="42" t="s">
        <v>289</v>
      </c>
      <c r="Y3" s="8"/>
      <c r="Z3" s="40">
        <v>1000000</v>
      </c>
      <c r="AB3" s="8"/>
      <c r="AC3" s="8"/>
      <c r="AD3" s="8"/>
      <c r="AF3" s="8"/>
    </row>
    <row r="4" spans="2:39">
      <c r="B4" s="68">
        <f ca="1">TODAY()</f>
        <v>43388</v>
      </c>
      <c r="C4" s="69">
        <f ca="1">_xll.meDateFromTenor($B$4,$D$4,"MOD_FOLLOWING","NYB")</f>
        <v>43390</v>
      </c>
      <c r="D4" s="9" t="s">
        <v>291</v>
      </c>
      <c r="E4" s="4"/>
      <c r="F4" s="4"/>
      <c r="G4" s="4"/>
      <c r="H4" s="4"/>
      <c r="I4" s="4"/>
      <c r="J4" s="4"/>
      <c r="K4" s="4"/>
      <c r="L4" s="4"/>
      <c r="M4" s="33" t="s">
        <v>1579</v>
      </c>
      <c r="N4" s="80"/>
      <c r="O4" s="80"/>
      <c r="P4" s="80"/>
      <c r="Q4" s="80"/>
      <c r="R4" s="80"/>
      <c r="S4" s="80"/>
      <c r="T4" s="80"/>
    </row>
    <row r="5" spans="2:39">
      <c r="B5" s="4"/>
      <c r="C5" s="4"/>
      <c r="D5" s="4"/>
      <c r="E5" s="4"/>
      <c r="F5" s="4"/>
      <c r="G5" s="4"/>
      <c r="H5" s="4"/>
      <c r="I5" s="4"/>
      <c r="J5" s="4"/>
      <c r="K5" s="4"/>
      <c r="L5" s="4"/>
      <c r="N5" s="10" t="s">
        <v>19</v>
      </c>
      <c r="O5" s="79"/>
      <c r="P5" s="79"/>
      <c r="Q5" s="79"/>
      <c r="R5" s="79"/>
      <c r="S5" s="79"/>
      <c r="T5" s="79"/>
      <c r="U5" s="10" t="s">
        <v>12</v>
      </c>
      <c r="V5" s="11" t="s">
        <v>12</v>
      </c>
      <c r="W5" s="12" t="s">
        <v>13</v>
      </c>
      <c r="X5" s="13" t="s">
        <v>14</v>
      </c>
      <c r="Y5" s="12" t="s">
        <v>15</v>
      </c>
      <c r="Z5" s="11" t="s">
        <v>16</v>
      </c>
      <c r="AA5" s="13" t="s">
        <v>14</v>
      </c>
      <c r="AB5" s="12" t="s">
        <v>15</v>
      </c>
      <c r="AC5" s="12" t="s">
        <v>15</v>
      </c>
      <c r="AD5" s="11" t="s">
        <v>16</v>
      </c>
      <c r="AE5" s="13" t="s">
        <v>14</v>
      </c>
      <c r="AF5" s="12" t="s">
        <v>15</v>
      </c>
    </row>
    <row r="6" spans="2:39" s="14" customFormat="1">
      <c r="B6" s="38" t="s">
        <v>17</v>
      </c>
      <c r="C6" s="38" t="s">
        <v>0</v>
      </c>
      <c r="D6" s="38" t="s">
        <v>1</v>
      </c>
      <c r="E6" s="38" t="s">
        <v>2</v>
      </c>
      <c r="F6" s="38" t="s">
        <v>8</v>
      </c>
      <c r="G6" s="38" t="s">
        <v>7</v>
      </c>
      <c r="H6" s="38" t="s">
        <v>3</v>
      </c>
      <c r="I6" s="38" t="s">
        <v>4</v>
      </c>
      <c r="J6" s="38" t="s">
        <v>6</v>
      </c>
      <c r="K6" s="38" t="s">
        <v>5</v>
      </c>
      <c r="L6" s="38" t="s">
        <v>1706</v>
      </c>
      <c r="M6" s="38" t="s">
        <v>18</v>
      </c>
      <c r="N6" s="77" t="s">
        <v>1574</v>
      </c>
      <c r="O6" s="81" t="s">
        <v>286</v>
      </c>
      <c r="P6" s="81" t="s">
        <v>1577</v>
      </c>
      <c r="Q6" s="81" t="s">
        <v>1734</v>
      </c>
      <c r="R6" s="81" t="s">
        <v>1578</v>
      </c>
      <c r="S6" s="81" t="s">
        <v>287</v>
      </c>
      <c r="T6" s="81" t="s">
        <v>23</v>
      </c>
      <c r="U6" s="10" t="s">
        <v>19</v>
      </c>
      <c r="V6" s="11" t="s">
        <v>20</v>
      </c>
      <c r="W6" s="12" t="s">
        <v>1735</v>
      </c>
      <c r="X6" s="34" t="s">
        <v>285</v>
      </c>
      <c r="Y6" s="12" t="s">
        <v>23</v>
      </c>
      <c r="Z6" s="11" t="s">
        <v>24</v>
      </c>
      <c r="AA6" s="34" t="s">
        <v>285</v>
      </c>
      <c r="AB6" s="12" t="s">
        <v>25</v>
      </c>
      <c r="AC6" s="12" t="s">
        <v>26</v>
      </c>
      <c r="AD6" s="11" t="s">
        <v>27</v>
      </c>
      <c r="AE6" s="34" t="s">
        <v>285</v>
      </c>
      <c r="AF6" s="12" t="s">
        <v>28</v>
      </c>
    </row>
    <row r="7" spans="2:39">
      <c r="B7" s="15" t="s">
        <v>1589</v>
      </c>
      <c r="C7" s="15" t="s">
        <v>1589</v>
      </c>
      <c r="D7" s="15" t="s">
        <v>1671</v>
      </c>
      <c r="E7" s="16">
        <v>39338</v>
      </c>
      <c r="F7" s="19">
        <v>39217</v>
      </c>
      <c r="G7" s="18"/>
      <c r="H7" s="16">
        <v>39401</v>
      </c>
      <c r="I7" s="16">
        <v>44150</v>
      </c>
      <c r="J7" s="17">
        <v>5.7500000000000002E-2</v>
      </c>
      <c r="K7" s="16">
        <v>44331</v>
      </c>
      <c r="L7" s="16" t="s">
        <v>1707</v>
      </c>
      <c r="M7" s="20" t="str">
        <f ca="1">_xll.meLWOBondCreateFromGeneratorLVB(C7,$M$4&amp;"_"&amp;$L7,_xll.meUtilityLVBFromKeysValues($C$6:$K$6,C7:K7))</f>
        <v>EG8211609 CORP:0</v>
      </c>
      <c r="N7" s="92">
        <f ca="1">_xll.BDP($B7,$N$5)</f>
        <v>2.0388682066582313</v>
      </c>
      <c r="O7" s="83">
        <f ca="1">_xll.meLWOBondCleanPrice($M7,$C$4,$N7%)</f>
        <v>109.27500000000001</v>
      </c>
      <c r="P7" s="83">
        <f ca="1">_xll.meLWOBondDirtyPrice($M7,$C$4,$N7%)</f>
        <v>111.697</v>
      </c>
      <c r="Q7" s="83">
        <f ca="1">_xll.meLWOBondPrice(M7,$C$4,N7%)</f>
        <v>109.27500000000001</v>
      </c>
      <c r="R7" s="72">
        <f ca="1">ROUND(_xll.meLWOBondYield($M7,$C$4,W7),6)</f>
        <v>2.0389000000000001E-2</v>
      </c>
      <c r="S7" s="89">
        <f ca="1">_xll.meLWOBondModifiedDuration($M7,$C$4,$N7%)</f>
        <v>2.3645369989367797</v>
      </c>
      <c r="T7" s="23">
        <f ca="1">_xll.meLWOBondDV01($M7,$C$4,$N7%)</f>
        <v>264.1116891702415</v>
      </c>
      <c r="U7" s="86">
        <f t="shared" ref="U7:U38" ca="1" si="0">N7</f>
        <v>2.0388682066582313</v>
      </c>
      <c r="V7" s="91" t="str">
        <f ca="1">_xll.BDP($B7,V$6, "YAS_BOND_YLD="&amp;$U7,"YAS_YLD_CONV=3")</f>
        <v>#N/A Requesting Data...</v>
      </c>
      <c r="W7" s="37">
        <f ca="1">Q7</f>
        <v>109.27500000000001</v>
      </c>
      <c r="X7" s="35" t="e">
        <f t="shared" ref="X7:X38" ca="1" si="1">ABS(W7-V7)</f>
        <v>#VALUE!</v>
      </c>
      <c r="Y7" s="23">
        <f ca="1">_xll.meLWOBondDV01($M7,$C$4,$U7%)</f>
        <v>264.1116891702415</v>
      </c>
      <c r="Z7" s="22" t="e">
        <f ca="1">_xll.BDP($B7,Z$6, "YLD_YTM_ASK="&amp;$U7,"YAS_YLD_CONV=3")*$Z$3*0.0001</f>
        <v>#VALUE!</v>
      </c>
      <c r="AA7" s="24" t="e">
        <f t="shared" ref="AA7:AA38" ca="1" si="2">ABS(Z7-Y7)</f>
        <v>#VALUE!</v>
      </c>
      <c r="AB7" s="23">
        <f ca="1">_xll.meLWOBondDirtyPrice($M7,$C$4,$U7%)</f>
        <v>111.697</v>
      </c>
      <c r="AC7" s="23">
        <f ca="1">_xll.meLWOBondModifiedDuration($M7,$C$4,$U7%)</f>
        <v>2.3645369989367797</v>
      </c>
      <c r="AD7" s="22" t="str">
        <f ca="1">_xll.BDP($B7,AD$6,"YLD_YTM_ASK="&amp;$U7,"YAS_YLD_CONV=3")</f>
        <v>#N/A Requesting Data...</v>
      </c>
      <c r="AE7" s="24" t="e">
        <f t="shared" ref="AE7:AE38" ca="1" si="3">ABS(AD7-AC7)</f>
        <v>#VALUE!</v>
      </c>
      <c r="AF7" s="23">
        <f ca="1">_xll.meLWOBondDV01Numerical($M7,$C$4,$U7%,0.5,"CENTRAL")</f>
        <v>259.99999999996248</v>
      </c>
    </row>
    <row r="8" spans="2:39">
      <c r="B8" s="15" t="s">
        <v>1625</v>
      </c>
      <c r="C8" s="15" t="s">
        <v>1625</v>
      </c>
      <c r="D8" s="15" t="s">
        <v>1691</v>
      </c>
      <c r="E8" s="16">
        <v>39338</v>
      </c>
      <c r="F8" s="19">
        <v>39217</v>
      </c>
      <c r="G8" s="18"/>
      <c r="H8" s="16">
        <v>39401</v>
      </c>
      <c r="I8" s="16">
        <v>44150</v>
      </c>
      <c r="J8" s="17">
        <v>5.7500000000000002E-2</v>
      </c>
      <c r="K8" s="16">
        <v>44331</v>
      </c>
      <c r="L8" s="16" t="s">
        <v>1708</v>
      </c>
      <c r="M8" s="20" t="str">
        <f ca="1">_xll.meLWOBondCreateFromGeneratorLVB(C8,$M$4&amp;"_"&amp;$L8,_xll.meUtilityLVBFromKeysValues($C$6:$K$6,C8:K8))</f>
        <v>EJ6773588 CORP:0</v>
      </c>
      <c r="N8" s="92">
        <f ca="1">_xll.BDP($B8,$N$5)</f>
        <v>2.0301609031451799</v>
      </c>
      <c r="O8" s="83">
        <f ca="1">_xll.meLWOBondCleanPrice($M8,$C$4,$N8%)</f>
        <v>109.298</v>
      </c>
      <c r="P8" s="83">
        <f ca="1">_xll.meLWOBondDirtyPrice($M8,$C$4,$N8%)</f>
        <v>111.72</v>
      </c>
      <c r="Q8" s="83">
        <f ca="1">_xll.meLWOBondPrice(M8,$C$4,N8%)</f>
        <v>111.72</v>
      </c>
      <c r="R8" s="72">
        <f ca="1">ROUND(_xll.meLWOBondYield($M8,$C$4,W8),6)</f>
        <v>2.0302000000000001E-2</v>
      </c>
      <c r="S8" s="89">
        <f ca="1">_xll.meLWOBondModifiedDuration($M8,$C$4,$N8%)</f>
        <v>2.3646656967771369</v>
      </c>
      <c r="T8" s="23">
        <f ca="1">_xll.meLWOBondDV01($M8,$C$4,$N8%)</f>
        <v>264.18045164394175</v>
      </c>
      <c r="U8" s="86">
        <f t="shared" ca="1" si="0"/>
        <v>2.0301609031451799</v>
      </c>
      <c r="V8" s="91" t="str">
        <f ca="1">_xll.BDP($B8,V$6, "YAS_BOND_YLD="&amp;$U8,"YAS_YLD_CONV=3")</f>
        <v>#N/A Requesting Data...</v>
      </c>
      <c r="W8" s="37">
        <f t="shared" ref="W8:W63" ca="1" si="4">Q8</f>
        <v>111.72</v>
      </c>
      <c r="X8" s="35" t="e">
        <f t="shared" ca="1" si="1"/>
        <v>#VALUE!</v>
      </c>
      <c r="Y8" s="23">
        <f ca="1">_xll.meLWOBondDV01($M8,$C$4,$U8%)</f>
        <v>264.18045164394175</v>
      </c>
      <c r="Z8" s="22" t="e">
        <f ca="1">_xll.BDP($B8,Z$6, "YLD_YTM_ASK="&amp;$U8,"YAS_YLD_CONV=3")*$Z$3*0.0001</f>
        <v>#VALUE!</v>
      </c>
      <c r="AA8" s="24" t="e">
        <f t="shared" ca="1" si="2"/>
        <v>#VALUE!</v>
      </c>
      <c r="AB8" s="23">
        <f ca="1">_xll.meLWOBondDirtyPrice($M8,$C$4,$U8%)</f>
        <v>111.72</v>
      </c>
      <c r="AC8" s="23">
        <f ca="1">_xll.meLWOBondModifiedDuration($M8,$C$4,$U8%)</f>
        <v>2.3646656967771369</v>
      </c>
      <c r="AD8" s="22" t="str">
        <f ca="1">_xll.BDP($B8,AD$6,"YLD_YTM_ASK="&amp;$U8,"YAS_YLD_CONV=3")</f>
        <v>#N/A Requesting Data...</v>
      </c>
      <c r="AE8" s="24" t="e">
        <f t="shared" ca="1" si="3"/>
        <v>#VALUE!</v>
      </c>
      <c r="AF8" s="23">
        <f ca="1">_xll.meLWOBondDV01Numerical($M8,$C$4,$U8%,0.5,"CENTRAL")</f>
        <v>260.00000000010459</v>
      </c>
    </row>
    <row r="9" spans="2:39">
      <c r="B9" s="15" t="s">
        <v>1613</v>
      </c>
      <c r="C9" s="15" t="s">
        <v>1613</v>
      </c>
      <c r="D9" s="15" t="s">
        <v>1685</v>
      </c>
      <c r="E9" s="16">
        <v>40792</v>
      </c>
      <c r="F9" s="19">
        <v>40683</v>
      </c>
      <c r="G9" s="18"/>
      <c r="H9" s="16">
        <v>40867</v>
      </c>
      <c r="I9" s="16">
        <v>44155</v>
      </c>
      <c r="J9" s="17">
        <v>0.05</v>
      </c>
      <c r="K9" s="16">
        <v>44336</v>
      </c>
      <c r="L9" s="16" t="s">
        <v>1707</v>
      </c>
      <c r="M9" s="20" t="str">
        <f ca="1">_xll.meLWOBondCreateFromGeneratorLVB(C9,$M$4&amp;"_"&amp;$L9,_xll.meUtilityLVBFromKeysValues($C$6:$K$6,C9:K9))</f>
        <v>EI7993450 CORP:0</v>
      </c>
      <c r="N9" s="92">
        <f ca="1">_xll.BDP($B9,$N$5)</f>
        <v>2.2268379070058693</v>
      </c>
      <c r="O9" s="83">
        <f ca="1">_xll.meLWOBondCleanPrice($M9,$C$4,$N9%)</f>
        <v>106.946</v>
      </c>
      <c r="P9" s="83">
        <f ca="1">_xll.meLWOBondDirtyPrice($M9,$C$4,$N9%)</f>
        <v>108.98399999999999</v>
      </c>
      <c r="Q9" s="83">
        <f ca="1">_xll.meLWOBondPrice(M9,$C$4,N9%)</f>
        <v>106.946</v>
      </c>
      <c r="R9" s="72">
        <f ca="1">ROUND(_xll.meLWOBondYield($M9,$C$4,W9),6)</f>
        <v>2.2268E-2</v>
      </c>
      <c r="S9" s="89">
        <f ca="1">_xll.meLWOBondModifiedDuration($M9,$C$4,$N9%)</f>
        <v>2.3965161575358249</v>
      </c>
      <c r="T9" s="23">
        <f ca="1">_xll.meLWOBondDV01($M9,$C$4,$N9%)</f>
        <v>261.18191691288433</v>
      </c>
      <c r="U9" s="86">
        <f t="shared" ca="1" si="0"/>
        <v>2.2268379070058693</v>
      </c>
      <c r="V9" s="91" t="str">
        <f ca="1">_xll.BDP($B9,V$6, "YAS_BOND_YLD="&amp;$U9,"YAS_YLD_CONV=3")</f>
        <v>#N/A Requesting Data...</v>
      </c>
      <c r="W9" s="37">
        <f t="shared" ca="1" si="4"/>
        <v>106.946</v>
      </c>
      <c r="X9" s="35" t="e">
        <f t="shared" ca="1" si="1"/>
        <v>#VALUE!</v>
      </c>
      <c r="Y9" s="23">
        <f ca="1">_xll.meLWOBondDV01($M9,$C$4,$U9%)</f>
        <v>261.18191691288433</v>
      </c>
      <c r="Z9" s="22" t="e">
        <f ca="1">_xll.BDP($B9,Z$6, "YLD_YTM_ASK="&amp;$U9,"YAS_YLD_CONV=3")*$Z$3*0.0001</f>
        <v>#VALUE!</v>
      </c>
      <c r="AA9" s="24" t="e">
        <f t="shared" ca="1" si="2"/>
        <v>#VALUE!</v>
      </c>
      <c r="AB9" s="23">
        <f ca="1">_xll.meLWOBondDirtyPrice($M9,$C$4,$U9%)</f>
        <v>108.98399999999999</v>
      </c>
      <c r="AC9" s="23">
        <f ca="1">_xll.meLWOBondModifiedDuration($M9,$C$4,$U9%)</f>
        <v>2.3965161575358249</v>
      </c>
      <c r="AD9" s="22" t="str">
        <f ca="1">_xll.BDP($B9,AD$6,"YLD_YTM_ASK="&amp;$U9,"YAS_YLD_CONV=3")</f>
        <v>#N/A Requesting Data...</v>
      </c>
      <c r="AE9" s="24" t="e">
        <f t="shared" ca="1" si="3"/>
        <v>#VALUE!</v>
      </c>
      <c r="AF9" s="23">
        <f ca="1">_xll.meLWOBondDV01Numerical($M9,$C$4,$U9%,0.5,"CENTRAL")</f>
        <v>259.99999999996248</v>
      </c>
    </row>
    <row r="10" spans="2:39">
      <c r="B10" s="15" t="s">
        <v>1600</v>
      </c>
      <c r="C10" s="15" t="s">
        <v>1600</v>
      </c>
      <c r="D10" s="15" t="s">
        <v>1645</v>
      </c>
      <c r="E10" s="16">
        <v>37574</v>
      </c>
      <c r="F10" s="19">
        <v>37452</v>
      </c>
      <c r="G10" s="18"/>
      <c r="H10" s="16">
        <v>37636</v>
      </c>
      <c r="I10" s="16">
        <v>44211</v>
      </c>
      <c r="J10" s="17">
        <v>7.0000000000000007E-2</v>
      </c>
      <c r="K10" s="16">
        <v>44392</v>
      </c>
      <c r="L10" s="16" t="s">
        <v>1707</v>
      </c>
      <c r="M10" s="20" t="str">
        <f ca="1">_xll.meLWOBondCreateFromGeneratorLVB(C10,$M$4&amp;"_"&amp;$L10,_xll.meUtilityLVBFromKeysValues($C$6:$K$6,C10:K10))</f>
        <v>EC9870790 CORP:0</v>
      </c>
      <c r="N10" s="92">
        <f ca="1">_xll.BDP($B10,$N$5)</f>
        <v>2.2988316974060656</v>
      </c>
      <c r="O10" s="83">
        <f ca="1">_xll.meLWOBondCleanPrice($M10,$C$4,$N10%)</f>
        <v>112.43</v>
      </c>
      <c r="P10" s="83">
        <f ca="1">_xll.meLWOBondDirtyPrice($M10,$C$4,$N10%)</f>
        <v>114.218</v>
      </c>
      <c r="Q10" s="83">
        <f ca="1">_xll.meLWOBondPrice(M10,$C$4,N10%)</f>
        <v>112.43</v>
      </c>
      <c r="R10" s="72">
        <f ca="1">ROUND(_xll.meLWOBondYield($M10,$C$4,W10),6)</f>
        <v>2.2988000000000001E-2</v>
      </c>
      <c r="S10" s="89">
        <f ca="1">_xll.meLWOBondModifiedDuration($M10,$C$4,$N10%)</f>
        <v>2.4908261043022102</v>
      </c>
      <c r="T10" s="23">
        <f ca="1">_xll.meLWOBondDV01($M10,$C$4,$N10%)</f>
        <v>284.49717598118986</v>
      </c>
      <c r="U10" s="86">
        <f t="shared" ca="1" si="0"/>
        <v>2.2988316974060656</v>
      </c>
      <c r="V10" s="91" t="str">
        <f ca="1">_xll.BDP($B10,V$6, "YAS_BOND_YLD="&amp;$U10,"YAS_YLD_CONV=3")</f>
        <v>#N/A Requesting Data...</v>
      </c>
      <c r="W10" s="37">
        <f t="shared" ca="1" si="4"/>
        <v>112.43</v>
      </c>
      <c r="X10" s="35" t="e">
        <f t="shared" ca="1" si="1"/>
        <v>#VALUE!</v>
      </c>
      <c r="Y10" s="23">
        <f ca="1">_xll.meLWOBondDV01($M10,$C$4,$U10%)</f>
        <v>284.49717598118986</v>
      </c>
      <c r="Z10" s="22" t="e">
        <f ca="1">_xll.BDP($B10,Z$6, "YLD_YTM_ASK="&amp;$U10,"YAS_YLD_CONV=3")*$Z$3*0.0001</f>
        <v>#VALUE!</v>
      </c>
      <c r="AA10" s="24" t="e">
        <f t="shared" ca="1" si="2"/>
        <v>#VALUE!</v>
      </c>
      <c r="AB10" s="23">
        <f ca="1">_xll.meLWOBondDirtyPrice($M10,$C$4,$U10%)</f>
        <v>114.218</v>
      </c>
      <c r="AC10" s="23">
        <f ca="1">_xll.meLWOBondModifiedDuration($M10,$C$4,$U10%)</f>
        <v>2.4908261043022102</v>
      </c>
      <c r="AD10" s="22" t="str">
        <f ca="1">_xll.BDP($B10,AD$6,"YLD_YTM_ASK="&amp;$U10,"YAS_YLD_CONV=3")</f>
        <v>#N/A Requesting Data...</v>
      </c>
      <c r="AE10" s="24" t="e">
        <f t="shared" ca="1" si="3"/>
        <v>#VALUE!</v>
      </c>
      <c r="AF10" s="23">
        <f ca="1">_xll.meLWOBondDV01Numerical($M10,$C$4,$U10%,0.5,"CENTRAL")</f>
        <v>280.00000000005798</v>
      </c>
    </row>
    <row r="11" spans="2:39" s="26" customFormat="1">
      <c r="B11" s="15" t="s">
        <v>1587</v>
      </c>
      <c r="C11" s="15" t="s">
        <v>1587</v>
      </c>
      <c r="D11" s="15" t="s">
        <v>1669</v>
      </c>
      <c r="E11" s="16">
        <v>42762</v>
      </c>
      <c r="F11" s="19">
        <v>42725</v>
      </c>
      <c r="G11" s="18"/>
      <c r="H11" s="16">
        <v>42907</v>
      </c>
      <c r="I11" s="16">
        <v>44368</v>
      </c>
      <c r="J11" s="17">
        <v>0.02</v>
      </c>
      <c r="K11" s="16">
        <v>44551</v>
      </c>
      <c r="L11" s="16" t="s">
        <v>1707</v>
      </c>
      <c r="M11" s="20" t="str">
        <f ca="1">_xll.meLWOBondCreateFromGeneratorLVB(C11,$M$4&amp;"_"&amp;$L11,_xll.meUtilityLVBFromKeysValues($C$6:$K$6,C11:K11))</f>
        <v>AM1528661 CORP:0</v>
      </c>
      <c r="N11" s="92">
        <f ca="1">_xll.BDP($B11,$N$5)</f>
        <v>2.0930488810003633</v>
      </c>
      <c r="O11" s="83">
        <f ca="1">_xll.meLWOBondCleanPrice($M11,$C$4,$N11%)</f>
        <v>99.713999999999999</v>
      </c>
      <c r="P11" s="83">
        <f ca="1">_xll.meLWOBondDirtyPrice($M11,$C$4,$N11%)</f>
        <v>100.35899999999999</v>
      </c>
      <c r="Q11" s="83">
        <f ca="1">_xll.meLWOBondPrice(M11,$C$4,N11%)</f>
        <v>99.713999999999999</v>
      </c>
      <c r="R11" s="72">
        <f ca="1">ROUND(_xll.meLWOBondYield($M11,$C$4,W11),6)</f>
        <v>2.0930000000000001E-2</v>
      </c>
      <c r="S11" s="89">
        <f ca="1">_xll.meLWOBondModifiedDuration($M11,$C$4,$N11%)</f>
        <v>3.0432894141771523</v>
      </c>
      <c r="T11" s="23">
        <f ca="1">_xll.meLWOBondDV01($M11,$C$4,$N11%)</f>
        <v>305.42148231740481</v>
      </c>
      <c r="U11" s="86">
        <f t="shared" ca="1" si="0"/>
        <v>2.0930488810003633</v>
      </c>
      <c r="V11" s="91" t="str">
        <f ca="1">_xll.BDP($B11,V$6, "YAS_BOND_YLD="&amp;$U11,"YAS_YLD_CONV=3")</f>
        <v>#N/A Requesting Data...</v>
      </c>
      <c r="W11" s="37">
        <f t="shared" ca="1" si="4"/>
        <v>99.713999999999999</v>
      </c>
      <c r="X11" s="35" t="e">
        <f t="shared" ca="1" si="1"/>
        <v>#VALUE!</v>
      </c>
      <c r="Y11" s="23">
        <f ca="1">_xll.meLWOBondDV01($M11,$C$4,$U11%)</f>
        <v>305.42148231740481</v>
      </c>
      <c r="Z11" s="22" t="e">
        <f ca="1">_xll.BDP($B11,Z$6, "YLD_YTM_ASK="&amp;$U11,"YAS_YLD_CONV=3")*$Z$3*0.0001</f>
        <v>#VALUE!</v>
      </c>
      <c r="AA11" s="24" t="e">
        <f t="shared" ca="1" si="2"/>
        <v>#VALUE!</v>
      </c>
      <c r="AB11" s="23">
        <f ca="1">_xll.meLWOBondDirtyPrice($M11,$C$4,$U11%)</f>
        <v>100.35899999999999</v>
      </c>
      <c r="AC11" s="23">
        <f ca="1">_xll.meLWOBondModifiedDuration($M11,$C$4,$U11%)</f>
        <v>3.0432894141771523</v>
      </c>
      <c r="AD11" s="22" t="str">
        <f ca="1">_xll.BDP($B11,AD$6,"YLD_YTM_ASK="&amp;$U11,"YAS_YLD_CONV=3")</f>
        <v>#N/A Requesting Data...</v>
      </c>
      <c r="AE11" s="24" t="e">
        <f t="shared" ca="1" si="3"/>
        <v>#VALUE!</v>
      </c>
      <c r="AF11" s="23">
        <f ca="1">_xll.meLWOBondDV01Numerical($M11,$C$4,$U11%,0.5,"CENTRAL")</f>
        <v>300.00000000001137</v>
      </c>
      <c r="AH11" s="1"/>
      <c r="AI11" s="1"/>
      <c r="AJ11" s="1"/>
      <c r="AK11" s="1"/>
      <c r="AL11" s="1"/>
      <c r="AM11" s="1"/>
    </row>
    <row r="12" spans="2:39">
      <c r="B12" s="15" t="s">
        <v>1620</v>
      </c>
      <c r="C12" s="15" t="s">
        <v>1620</v>
      </c>
      <c r="D12" s="15" t="s">
        <v>1653</v>
      </c>
      <c r="E12" s="16">
        <v>42762</v>
      </c>
      <c r="F12" s="19">
        <v>42725</v>
      </c>
      <c r="G12" s="18"/>
      <c r="H12" s="16">
        <v>42907</v>
      </c>
      <c r="I12" s="16">
        <v>44368</v>
      </c>
      <c r="J12" s="17">
        <v>0.02</v>
      </c>
      <c r="K12" s="16">
        <v>44551</v>
      </c>
      <c r="L12" s="16" t="s">
        <v>1708</v>
      </c>
      <c r="M12" s="20" t="str">
        <f ca="1">_xll.meLWOBondCreateFromGeneratorLVB(C12,$M$4&amp;"_"&amp;$L12,_xll.meUtilityLVBFromKeysValues($C$6:$K$6,C12:K12))</f>
        <v>AM1708602 CORP:0</v>
      </c>
      <c r="N12" s="92">
        <f ca="1">_xll.BDP($B12,$N$5)</f>
        <v>1.9389375344724247</v>
      </c>
      <c r="O12" s="83">
        <f ca="1">_xll.meLWOBondCleanPrice($M12,$C$4,$N12%)</f>
        <v>100.18600000000001</v>
      </c>
      <c r="P12" s="83">
        <f ca="1">_xll.meLWOBondDirtyPrice($M12,$C$4,$N12%)</f>
        <v>100.831</v>
      </c>
      <c r="Q12" s="83">
        <f ca="1">_xll.meLWOBondPrice(M12,$C$4,N12%)</f>
        <v>100.831</v>
      </c>
      <c r="R12" s="72">
        <f ca="1">ROUND(_xll.meLWOBondYield($M12,$C$4,W12),6)</f>
        <v>1.9389E-2</v>
      </c>
      <c r="S12" s="89">
        <f ca="1">_xll.meLWOBondModifiedDuration($M12,$C$4,$N12%)</f>
        <v>3.0459327446913238</v>
      </c>
      <c r="T12" s="23">
        <f ca="1">_xll.meLWOBondDV01($M12,$C$4,$N12%)</f>
        <v>307.12444457997088</v>
      </c>
      <c r="U12" s="86">
        <f t="shared" ca="1" si="0"/>
        <v>1.9389375344724247</v>
      </c>
      <c r="V12" s="91" t="str">
        <f ca="1">_xll.BDP($B12,V$6, "YAS_BOND_YLD="&amp;$U12,"YAS_YLD_CONV=3")</f>
        <v>#N/A Requesting Data...</v>
      </c>
      <c r="W12" s="37">
        <f t="shared" ca="1" si="4"/>
        <v>100.831</v>
      </c>
      <c r="X12" s="35" t="e">
        <f t="shared" ca="1" si="1"/>
        <v>#VALUE!</v>
      </c>
      <c r="Y12" s="23">
        <f ca="1">_xll.meLWOBondDV01($M12,$C$4,$U12%)</f>
        <v>307.12444457997088</v>
      </c>
      <c r="Z12" s="22" t="e">
        <f ca="1">_xll.BDP($B12,Z$6, "YLD_YTM_ASK="&amp;$U12,"YAS_YLD_CONV=3")*$Z$3*0.0001</f>
        <v>#VALUE!</v>
      </c>
      <c r="AA12" s="24" t="e">
        <f t="shared" ca="1" si="2"/>
        <v>#VALUE!</v>
      </c>
      <c r="AB12" s="23">
        <f ca="1">_xll.meLWOBondDirtyPrice($M12,$C$4,$U12%)</f>
        <v>100.831</v>
      </c>
      <c r="AC12" s="23">
        <f ca="1">_xll.meLWOBondModifiedDuration($M12,$C$4,$U12%)</f>
        <v>3.0459327446913238</v>
      </c>
      <c r="AD12" s="22" t="str">
        <f ca="1">_xll.BDP($B12,AD$6,"YLD_YTM_ASK="&amp;$U12,"YAS_YLD_CONV=3")</f>
        <v>#N/A Requesting Data...</v>
      </c>
      <c r="AE12" s="24" t="e">
        <f t="shared" ca="1" si="3"/>
        <v>#VALUE!</v>
      </c>
      <c r="AF12" s="23">
        <f ca="1">_xll.meLWOBondDV01Numerical($M12,$C$4,$U12%,0.5,"CENTRAL")</f>
        <v>300.00000000001137</v>
      </c>
    </row>
    <row r="13" spans="2:39">
      <c r="B13" s="15" t="s">
        <v>1627</v>
      </c>
      <c r="C13" s="15" t="s">
        <v>1627</v>
      </c>
      <c r="D13" s="15" t="s">
        <v>1656</v>
      </c>
      <c r="E13" s="16">
        <v>41375</v>
      </c>
      <c r="F13" s="19">
        <v>41375</v>
      </c>
      <c r="G13" s="18"/>
      <c r="H13" s="16">
        <v>41558</v>
      </c>
      <c r="I13" s="16">
        <v>44480</v>
      </c>
      <c r="J13" s="17">
        <v>4.2500000000000003E-2</v>
      </c>
      <c r="K13" s="16">
        <v>44662</v>
      </c>
      <c r="L13" s="16" t="s">
        <v>1707</v>
      </c>
      <c r="M13" s="20" t="str">
        <f ca="1">_xll.meLWOBondCreateFromGeneratorLVB(C13,$M$4&amp;"_"&amp;$L13,_xll.meUtilityLVBFromKeysValues($C$6:$K$6,C13:K13))</f>
        <v>EJ6195758 CORP:0</v>
      </c>
      <c r="N13" s="92">
        <f ca="1">_xll.BDP($B13,$N$5)</f>
        <v>2.3369899320716248</v>
      </c>
      <c r="O13" s="83">
        <f ca="1">_xll.meLWOBondCleanPrice($M13,$C$4,$N13%)</f>
        <v>106.364</v>
      </c>
      <c r="P13" s="83">
        <f ca="1">_xll.meLWOBondDirtyPrice($M13,$C$4,$N13%)</f>
        <v>106.434</v>
      </c>
      <c r="Q13" s="83">
        <f ca="1">_xll.meLWOBondPrice(M13,$C$4,N13%)</f>
        <v>106.364</v>
      </c>
      <c r="R13" s="72">
        <f ca="1">ROUND(_xll.meLWOBondYield($M13,$C$4,W13),6)</f>
        <v>2.3369999999999998E-2</v>
      </c>
      <c r="S13" s="89">
        <f ca="1">_xll.meLWOBondModifiedDuration($M13,$C$4,$N13%)</f>
        <v>3.2422802271742337</v>
      </c>
      <c r="T13" s="23">
        <f ca="1">_xll.meLWOBondDV01($M13,$C$4,$N13%)</f>
        <v>345.08885369906238</v>
      </c>
      <c r="U13" s="86">
        <f t="shared" ca="1" si="0"/>
        <v>2.3369899320716248</v>
      </c>
      <c r="V13" s="91" t="str">
        <f ca="1">_xll.BDP($B13,V$6, "YAS_BOND_YLD="&amp;$U13,"YAS_YLD_CONV=3")</f>
        <v>#N/A Requesting Data...</v>
      </c>
      <c r="W13" s="37">
        <f t="shared" ca="1" si="4"/>
        <v>106.364</v>
      </c>
      <c r="X13" s="35" t="e">
        <f t="shared" ca="1" si="1"/>
        <v>#VALUE!</v>
      </c>
      <c r="Y13" s="23">
        <f ca="1">_xll.meLWOBondDV01($M13,$C$4,$U13%)</f>
        <v>345.08885369906238</v>
      </c>
      <c r="Z13" s="22" t="e">
        <f ca="1">_xll.BDP($B13,Z$6, "YLD_YTM_ASK="&amp;$U13,"YAS_YLD_CONV=3")*$Z$3*0.0001</f>
        <v>#VALUE!</v>
      </c>
      <c r="AA13" s="24" t="e">
        <f t="shared" ca="1" si="2"/>
        <v>#VALUE!</v>
      </c>
      <c r="AB13" s="23">
        <f ca="1">_xll.meLWOBondDirtyPrice($M13,$C$4,$U13%)</f>
        <v>106.434</v>
      </c>
      <c r="AC13" s="23">
        <f ca="1">_xll.meLWOBondModifiedDuration($M13,$C$4,$U13%)</f>
        <v>3.2422802271742337</v>
      </c>
      <c r="AD13" s="22" t="str">
        <f ca="1">_xll.BDP($B13,AD$6,"YLD_YTM_ASK="&amp;$U13,"YAS_YLD_CONV=3")</f>
        <v>#N/A Requesting Data...</v>
      </c>
      <c r="AE13" s="24" t="e">
        <f t="shared" ca="1" si="3"/>
        <v>#VALUE!</v>
      </c>
      <c r="AF13" s="23">
        <f ca="1">_xll.meLWOBondDV01Numerical($M13,$C$4,$U13%,0.5,"CENTRAL")</f>
        <v>339.99999999991815</v>
      </c>
    </row>
    <row r="14" spans="2:39">
      <c r="B14" s="15" t="s">
        <v>1588</v>
      </c>
      <c r="C14" s="15" t="s">
        <v>1588</v>
      </c>
      <c r="D14" s="15" t="s">
        <v>1670</v>
      </c>
      <c r="E14" s="16">
        <v>40280</v>
      </c>
      <c r="F14" s="19">
        <v>40193</v>
      </c>
      <c r="G14" s="18"/>
      <c r="H14" s="16">
        <v>40374</v>
      </c>
      <c r="I14" s="16">
        <v>44576</v>
      </c>
      <c r="J14" s="17">
        <v>5.7500000000000002E-2</v>
      </c>
      <c r="K14" s="16">
        <v>44757</v>
      </c>
      <c r="L14" s="16" t="s">
        <v>1707</v>
      </c>
      <c r="M14" s="20" t="str">
        <f ca="1">_xll.meLWOBondCreateFromGeneratorLVB(C14,$M$4&amp;"_"&amp;$L14,_xll.meUtilityLVBFromKeysValues($C$6:$K$6,C14:K14))</f>
        <v>EI2142814 CORP:0</v>
      </c>
      <c r="N14" s="92">
        <f ca="1">_xll.BDP($B14,$N$5)</f>
        <v>2.13300831107669</v>
      </c>
      <c r="O14" s="83">
        <f ca="1">_xll.meLWOBondCleanPrice($M14,$C$4,$N14%)</f>
        <v>112.947</v>
      </c>
      <c r="P14" s="83">
        <f ca="1">_xll.meLWOBondDirtyPrice($M14,$C$4,$N14%)</f>
        <v>114.416</v>
      </c>
      <c r="Q14" s="83">
        <f ca="1">_xll.meLWOBondPrice(M14,$C$4,N14%)</f>
        <v>112.947</v>
      </c>
      <c r="R14" s="72">
        <f ca="1">ROUND(_xll.meLWOBondYield($M14,$C$4,W14),6)</f>
        <v>2.1329999999999998E-2</v>
      </c>
      <c r="S14" s="89">
        <f ca="1">_xll.meLWOBondModifiedDuration($M14,$C$4,$N14%)</f>
        <v>3.3659904282735704</v>
      </c>
      <c r="T14" s="23">
        <f ca="1">_xll.meLWOBondDV01($M14,$C$4,$N14%)</f>
        <v>385.12316084134881</v>
      </c>
      <c r="U14" s="86">
        <f t="shared" ca="1" si="0"/>
        <v>2.13300831107669</v>
      </c>
      <c r="V14" s="91" t="str">
        <f ca="1">_xll.BDP($B14,V$6, "YAS_BOND_YLD="&amp;$U14,"YAS_YLD_CONV=3")</f>
        <v>#N/A Requesting Data...</v>
      </c>
      <c r="W14" s="37">
        <f t="shared" ca="1" si="4"/>
        <v>112.947</v>
      </c>
      <c r="X14" s="35" t="e">
        <f t="shared" ca="1" si="1"/>
        <v>#VALUE!</v>
      </c>
      <c r="Y14" s="23">
        <f ca="1">_xll.meLWOBondDV01($M14,$C$4,$U14%)</f>
        <v>385.12316084134881</v>
      </c>
      <c r="Z14" s="22" t="e">
        <f ca="1">_xll.BDP($B14,Z$6, "YLD_YTM_ASK="&amp;$U14,"YAS_YLD_CONV=3")*$Z$3*0.0001</f>
        <v>#VALUE!</v>
      </c>
      <c r="AA14" s="24" t="e">
        <f t="shared" ca="1" si="2"/>
        <v>#VALUE!</v>
      </c>
      <c r="AB14" s="23">
        <f ca="1">_xll.meLWOBondDirtyPrice($M14,$C$4,$U14%)</f>
        <v>114.416</v>
      </c>
      <c r="AC14" s="23">
        <f ca="1">_xll.meLWOBondModifiedDuration($M14,$C$4,$U14%)</f>
        <v>3.3659904282735704</v>
      </c>
      <c r="AD14" s="22" t="str">
        <f ca="1">_xll.BDP($B14,AD$6,"YLD_YTM_ASK="&amp;$U14,"YAS_YLD_CONV=3")</f>
        <v>#N/A Requesting Data...</v>
      </c>
      <c r="AE14" s="24" t="e">
        <f t="shared" ca="1" si="3"/>
        <v>#VALUE!</v>
      </c>
      <c r="AF14" s="23">
        <f ca="1">_xll.meLWOBondDV01Numerical($M14,$C$4,$U14%,0.5,"CENTRAL")</f>
        <v>379.99999999996703</v>
      </c>
    </row>
    <row r="15" spans="2:39">
      <c r="B15" s="15" t="s">
        <v>1621</v>
      </c>
      <c r="C15" s="15" t="s">
        <v>1621</v>
      </c>
      <c r="D15" s="15" t="s">
        <v>1688</v>
      </c>
      <c r="E15" s="16">
        <v>40280</v>
      </c>
      <c r="F15" s="19">
        <v>40193</v>
      </c>
      <c r="G15" s="18"/>
      <c r="H15" s="16">
        <v>40374</v>
      </c>
      <c r="I15" s="16">
        <v>44576</v>
      </c>
      <c r="J15" s="17">
        <v>5.7500000000000002E-2</v>
      </c>
      <c r="K15" s="16">
        <v>44757</v>
      </c>
      <c r="L15" s="16" t="s">
        <v>1708</v>
      </c>
      <c r="M15" s="20" t="str">
        <f ca="1">_xll.meLWOBondCreateFromGeneratorLVB(C15,$M$4&amp;"_"&amp;$L15,_xll.meUtilityLVBFromKeysValues($C$6:$K$6,C15:K15))</f>
        <v>EJ6776680 CORP:0</v>
      </c>
      <c r="N15" s="92">
        <f ca="1">_xll.BDP($B15,$N$5)</f>
        <v>1.9988734416383345</v>
      </c>
      <c r="O15" s="83">
        <f ca="1">_xll.meLWOBondCleanPrice($M15,$C$4,$N15%)</f>
        <v>113.465</v>
      </c>
      <c r="P15" s="83">
        <f ca="1">_xll.meLWOBondDirtyPrice($M15,$C$4,$N15%)</f>
        <v>114.934</v>
      </c>
      <c r="Q15" s="83">
        <f ca="1">_xll.meLWOBondPrice(M15,$C$4,N15%)</f>
        <v>114.934</v>
      </c>
      <c r="R15" s="72">
        <f ca="1">ROUND(_xll.meLWOBondYield($M15,$C$4,W15),6)</f>
        <v>1.9989E-2</v>
      </c>
      <c r="S15" s="89">
        <f ca="1">_xll.meLWOBondModifiedDuration($M15,$C$4,$N15%)</f>
        <v>3.3692030523728009</v>
      </c>
      <c r="T15" s="23">
        <f ca="1">_xll.meLWOBondDV01($M15,$C$4,$N15%)</f>
        <v>387.23598362141547</v>
      </c>
      <c r="U15" s="86">
        <f t="shared" ca="1" si="0"/>
        <v>1.9988734416383345</v>
      </c>
      <c r="V15" s="91" t="str">
        <f ca="1">_xll.BDP($B15,V$6, "YAS_BOND_YLD="&amp;$U15,"YAS_YLD_CONV=3")</f>
        <v>#N/A Requesting Data...</v>
      </c>
      <c r="W15" s="37">
        <f t="shared" ca="1" si="4"/>
        <v>114.934</v>
      </c>
      <c r="X15" s="35" t="e">
        <f t="shared" ca="1" si="1"/>
        <v>#VALUE!</v>
      </c>
      <c r="Y15" s="23">
        <f ca="1">_xll.meLWOBondDV01($M15,$C$4,$U15%)</f>
        <v>387.23598362141547</v>
      </c>
      <c r="Z15" s="22" t="e">
        <f ca="1">_xll.BDP($B15,Z$6, "YLD_YTM_ASK="&amp;$U15,"YAS_YLD_CONV=3")*$Z$3*0.0001</f>
        <v>#VALUE!</v>
      </c>
      <c r="AA15" s="24" t="e">
        <f t="shared" ca="1" si="2"/>
        <v>#VALUE!</v>
      </c>
      <c r="AB15" s="23">
        <f ca="1">_xll.meLWOBondDirtyPrice($M15,$C$4,$U15%)</f>
        <v>114.934</v>
      </c>
      <c r="AC15" s="23">
        <f ca="1">_xll.meLWOBondModifiedDuration($M15,$C$4,$U15%)</f>
        <v>3.3692030523728009</v>
      </c>
      <c r="AD15" s="22" t="str">
        <f ca="1">_xll.BDP($B15,AD$6,"YLD_YTM_ASK="&amp;$U15,"YAS_YLD_CONV=3")</f>
        <v>#N/A Requesting Data...</v>
      </c>
      <c r="AE15" s="24" t="e">
        <f t="shared" ca="1" si="3"/>
        <v>#VALUE!</v>
      </c>
      <c r="AF15" s="23">
        <f ca="1">_xll.meLWOBondDV01Numerical($M15,$C$4,$U15%,0.5,"CENTRAL")</f>
        <v>379.99999999996703</v>
      </c>
    </row>
    <row r="16" spans="2:39">
      <c r="B16" s="15" t="s">
        <v>1601</v>
      </c>
      <c r="C16" s="15" t="s">
        <v>1601</v>
      </c>
      <c r="D16" s="15" t="s">
        <v>1676</v>
      </c>
      <c r="E16" s="16">
        <v>42604</v>
      </c>
      <c r="F16" s="19">
        <v>42451</v>
      </c>
      <c r="G16" s="18"/>
      <c r="H16" s="16">
        <v>42635</v>
      </c>
      <c r="I16" s="16">
        <v>44642</v>
      </c>
      <c r="J16" s="17">
        <v>1.4999999999999999E-2</v>
      </c>
      <c r="K16" s="16">
        <v>44826</v>
      </c>
      <c r="L16" s="16" t="s">
        <v>1707</v>
      </c>
      <c r="M16" s="20" t="str">
        <f ca="1">_xll.meLWOBondCreateFromGeneratorLVB(C16,$M$4&amp;"_"&amp;$L16,_xll.meUtilityLVBFromKeysValues($C$6:$K$6,C16:K16))</f>
        <v>QZ2551245 CORP:0</v>
      </c>
      <c r="N16" s="92">
        <f ca="1">_xll.BDP($B16,$N$5)</f>
        <v>2.4709581570450818</v>
      </c>
      <c r="O16" s="83">
        <f ca="1">_xll.meLWOBondCleanPrice($M16,$C$4,$N16%)</f>
        <v>96.382999999999996</v>
      </c>
      <c r="P16" s="83">
        <f ca="1">_xll.meLWOBondDirtyPrice($M16,$C$4,$N16%)</f>
        <v>96.486999999999995</v>
      </c>
      <c r="Q16" s="83">
        <f ca="1">_xll.meLWOBondPrice(M16,$C$4,N16%)</f>
        <v>96.382999999999996</v>
      </c>
      <c r="R16" s="72">
        <f ca="1">ROUND(_xll.meLWOBondYield($M16,$C$4,W16),6)</f>
        <v>2.4709999999999999E-2</v>
      </c>
      <c r="S16" s="89">
        <f ca="1">_xll.meLWOBondModifiedDuration($M16,$C$4,$N16%)</f>
        <v>3.7791596466172228</v>
      </c>
      <c r="T16" s="23">
        <f ca="1">_xll.meLWOBondDV01($M16,$C$4,$N16%)</f>
        <v>364.63977682315596</v>
      </c>
      <c r="U16" s="86">
        <f t="shared" ca="1" si="0"/>
        <v>2.4709581570450818</v>
      </c>
      <c r="V16" s="91" t="str">
        <f ca="1">_xll.BDP($B16,V$6, "YAS_BOND_YLD="&amp;$U16,"YAS_YLD_CONV=3")</f>
        <v>#N/A Requesting Data...</v>
      </c>
      <c r="W16" s="37">
        <f t="shared" ca="1" si="4"/>
        <v>96.382999999999996</v>
      </c>
      <c r="X16" s="35" t="e">
        <f t="shared" ca="1" si="1"/>
        <v>#VALUE!</v>
      </c>
      <c r="Y16" s="23">
        <f ca="1">_xll.meLWOBondDV01($M16,$C$4,$U16%)</f>
        <v>364.63977682315596</v>
      </c>
      <c r="Z16" s="22" t="e">
        <f ca="1">_xll.BDP($B16,Z$6, "YLD_YTM_ASK="&amp;$U16,"YAS_YLD_CONV=3")*$Z$3*0.0001</f>
        <v>#VALUE!</v>
      </c>
      <c r="AA16" s="24" t="e">
        <f t="shared" ca="1" si="2"/>
        <v>#VALUE!</v>
      </c>
      <c r="AB16" s="23">
        <f ca="1">_xll.meLWOBondDirtyPrice($M16,$C$4,$U16%)</f>
        <v>96.486999999999995</v>
      </c>
      <c r="AC16" s="23">
        <f ca="1">_xll.meLWOBondModifiedDuration($M16,$C$4,$U16%)</f>
        <v>3.7791596466172228</v>
      </c>
      <c r="AD16" s="22" t="str">
        <f ca="1">_xll.BDP($B16,AD$6,"YLD_YTM_ASK="&amp;$U16,"YAS_YLD_CONV=3")</f>
        <v>#N/A Requesting Data...</v>
      </c>
      <c r="AE16" s="24" t="e">
        <f t="shared" ca="1" si="3"/>
        <v>#VALUE!</v>
      </c>
      <c r="AF16" s="23">
        <f ca="1">_xll.meLWOBondDV01Numerical($M16,$C$4,$U16%,0.5,"CENTRAL")</f>
        <v>360.00000000001364</v>
      </c>
    </row>
    <row r="17" spans="2:32">
      <c r="B17" s="15" t="s">
        <v>1608</v>
      </c>
      <c r="C17" s="15" t="s">
        <v>1608</v>
      </c>
      <c r="D17" s="15" t="s">
        <v>1681</v>
      </c>
      <c r="E17" s="16">
        <v>42487</v>
      </c>
      <c r="F17" s="19">
        <v>42480</v>
      </c>
      <c r="G17" s="18"/>
      <c r="H17" s="16">
        <v>42663</v>
      </c>
      <c r="I17" s="16">
        <v>44671</v>
      </c>
      <c r="J17" s="17">
        <v>2.75E-2</v>
      </c>
      <c r="K17" s="16">
        <v>44854</v>
      </c>
      <c r="L17" s="16" t="s">
        <v>1707</v>
      </c>
      <c r="M17" s="20" t="str">
        <f ca="1">_xll.meLWOBondCreateFromGeneratorLVB(C17,$M$4&amp;"_"&amp;$L17,_xll.meUtilityLVBFromKeysValues($C$6:$K$6,C17:K17))</f>
        <v>JK8199578 CORP:0</v>
      </c>
      <c r="N17" s="92">
        <f ca="1">_xll.BDP($B17,$N$5)</f>
        <v>2.4849112962163789</v>
      </c>
      <c r="O17" s="83">
        <f ca="1">_xll.meLWOBondCleanPrice($M17,$C$4,$N17%)</f>
        <v>101.006</v>
      </c>
      <c r="P17" s="83">
        <f ca="1">_xll.meLWOBondDirtyPrice($M17,$C$4,$N17%)</f>
        <v>100.983</v>
      </c>
      <c r="Q17" s="83">
        <f ca="1">_xll.meLWOBondPrice(M17,$C$4,N17%)</f>
        <v>101.006</v>
      </c>
      <c r="R17" s="72">
        <f ca="1">ROUND(_xll.meLWOBondYield($M17,$C$4,W17),6)</f>
        <v>2.4849E-2</v>
      </c>
      <c r="S17" s="89">
        <f ca="1">_xll.meLWOBondModifiedDuration($M17,$C$4,$N17%)</f>
        <v>3.7775637319685904</v>
      </c>
      <c r="T17" s="23">
        <f ca="1">_xll.meLWOBondDV01($M17,$C$4,$N17%)</f>
        <v>381.46971834538419</v>
      </c>
      <c r="U17" s="86">
        <f t="shared" ca="1" si="0"/>
        <v>2.4849112962163789</v>
      </c>
      <c r="V17" s="91" t="str">
        <f ca="1">_xll.BDP($B17,V$6, "YAS_BOND_YLD="&amp;$U17,"YAS_YLD_CONV=3")</f>
        <v>#N/A Requesting Data...</v>
      </c>
      <c r="W17" s="37">
        <f t="shared" ca="1" si="4"/>
        <v>101.006</v>
      </c>
      <c r="X17" s="35" t="e">
        <f t="shared" ca="1" si="1"/>
        <v>#VALUE!</v>
      </c>
      <c r="Y17" s="23">
        <f ca="1">_xll.meLWOBondDV01($M17,$C$4,$U17%)</f>
        <v>381.46971834538419</v>
      </c>
      <c r="Z17" s="22" t="e">
        <f ca="1">_xll.BDP($B17,Z$6, "YLD_YTM_ASK="&amp;$U17,"YAS_YLD_CONV=3")*$Z$3*0.0001</f>
        <v>#VALUE!</v>
      </c>
      <c r="AA17" s="24" t="e">
        <f t="shared" ca="1" si="2"/>
        <v>#VALUE!</v>
      </c>
      <c r="AB17" s="23">
        <f ca="1">_xll.meLWOBondDirtyPrice($M17,$C$4,$U17%)</f>
        <v>100.983</v>
      </c>
      <c r="AC17" s="23">
        <f ca="1">_xll.meLWOBondModifiedDuration($M17,$C$4,$U17%)</f>
        <v>3.7775637319685904</v>
      </c>
      <c r="AD17" s="22" t="str">
        <f ca="1">_xll.BDP($B17,AD$6,"YLD_YTM_ASK="&amp;$U17,"YAS_YLD_CONV=3")</f>
        <v>#N/A Requesting Data...</v>
      </c>
      <c r="AE17" s="24" t="e">
        <f t="shared" ca="1" si="3"/>
        <v>#VALUE!</v>
      </c>
      <c r="AF17" s="23">
        <f ca="1">_xll.meLWOBondDV01Numerical($M17,$C$4,$U17%,0.5,"CENTRAL")</f>
        <v>379.99999999996703</v>
      </c>
    </row>
    <row r="18" spans="2:32">
      <c r="B18" s="15" t="s">
        <v>1586</v>
      </c>
      <c r="C18" s="15" t="s">
        <v>1586</v>
      </c>
      <c r="D18" s="15" t="s">
        <v>1638</v>
      </c>
      <c r="E18" s="16">
        <v>43021</v>
      </c>
      <c r="F18" s="19">
        <v>42876</v>
      </c>
      <c r="G18" s="18"/>
      <c r="H18" s="16">
        <v>43060</v>
      </c>
      <c r="I18" s="16">
        <v>44702</v>
      </c>
      <c r="J18" s="17">
        <v>2.2499999999999999E-2</v>
      </c>
      <c r="K18" s="16">
        <v>44886</v>
      </c>
      <c r="L18" s="16" t="s">
        <v>1707</v>
      </c>
      <c r="M18" s="20" t="str">
        <f ca="1">_xll.meLWOBondCreateFromGeneratorLVB(C18,$M$4&amp;"_"&amp;$L18,_xll.meUtilityLVBFromKeysValues($C$6:$K$6,C18:K18))</f>
        <v>AP3642968 CORP:0</v>
      </c>
      <c r="N18" s="92">
        <f ca="1">_xll.BDP($B18,$N$5)</f>
        <v>2.192011879869415</v>
      </c>
      <c r="O18" s="83">
        <f ca="1">_xll.meLWOBondCleanPrice($M18,$C$4,$N18%)</f>
        <v>100.22499999999999</v>
      </c>
      <c r="P18" s="83">
        <f ca="1">_xll.meLWOBondDirtyPrice($M18,$C$4,$N18%)</f>
        <v>101.136</v>
      </c>
      <c r="Q18" s="83">
        <f ca="1">_xll.meLWOBondPrice(M18,$C$4,N18%)</f>
        <v>100.22499999999999</v>
      </c>
      <c r="R18" s="72">
        <f ca="1">ROUND(_xll.meLWOBondYield($M18,$C$4,W18),6)</f>
        <v>2.1919999999999999E-2</v>
      </c>
      <c r="S18" s="89">
        <f ca="1">_xll.meLWOBondModifiedDuration($M18,$C$4,$N18%)</f>
        <v>3.8579873600380301</v>
      </c>
      <c r="T18" s="23">
        <f ca="1">_xll.meLWOBondDV01($M18,$C$4,$N18%)</f>
        <v>390.18140964480619</v>
      </c>
      <c r="U18" s="86">
        <f t="shared" ca="1" si="0"/>
        <v>2.192011879869415</v>
      </c>
      <c r="V18" s="91" t="str">
        <f ca="1">_xll.BDP($B18,V$6, "YAS_BOND_YLD="&amp;$U18,"YAS_YLD_CONV=3")</f>
        <v>#N/A Requesting Data...</v>
      </c>
      <c r="W18" s="37">
        <f t="shared" ca="1" si="4"/>
        <v>100.22499999999999</v>
      </c>
      <c r="X18" s="35" t="e">
        <f t="shared" ca="1" si="1"/>
        <v>#VALUE!</v>
      </c>
      <c r="Y18" s="23">
        <f ca="1">_xll.meLWOBondDV01($M18,$C$4,$U18%)</f>
        <v>390.18140964480619</v>
      </c>
      <c r="Z18" s="22" t="e">
        <f ca="1">_xll.BDP($B18,Z$6, "YLD_YTM_ASK="&amp;$U18,"YAS_YLD_CONV=3")*$Z$3*0.0001</f>
        <v>#VALUE!</v>
      </c>
      <c r="AA18" s="24" t="e">
        <f t="shared" ca="1" si="2"/>
        <v>#VALUE!</v>
      </c>
      <c r="AB18" s="23">
        <f ca="1">_xll.meLWOBondDirtyPrice($M18,$C$4,$U18%)</f>
        <v>101.136</v>
      </c>
      <c r="AC18" s="23">
        <f ca="1">_xll.meLWOBondModifiedDuration($M18,$C$4,$U18%)</f>
        <v>3.8579873600380301</v>
      </c>
      <c r="AD18" s="22" t="str">
        <f ca="1">_xll.BDP($B18,AD$6,"YLD_YTM_ASK="&amp;$U18,"YAS_YLD_CONV=3")</f>
        <v>#N/A Requesting Data...</v>
      </c>
      <c r="AE18" s="24" t="e">
        <f t="shared" ca="1" si="3"/>
        <v>#VALUE!</v>
      </c>
      <c r="AF18" s="23">
        <f ca="1">_xll.meLWOBondDV01Numerical($M18,$C$4,$U18%,0.5,"CENTRAL")</f>
        <v>400.00000000006258</v>
      </c>
    </row>
    <row r="19" spans="2:32">
      <c r="B19" s="15" t="s">
        <v>1623</v>
      </c>
      <c r="C19" s="15" t="s">
        <v>1623</v>
      </c>
      <c r="D19" s="15" t="s">
        <v>1654</v>
      </c>
      <c r="E19" s="16">
        <v>43019</v>
      </c>
      <c r="F19" s="19">
        <v>43019</v>
      </c>
      <c r="G19" s="18"/>
      <c r="H19" s="16">
        <v>43060</v>
      </c>
      <c r="I19" s="16">
        <v>44702</v>
      </c>
      <c r="J19" s="17">
        <v>2.2499999999999999E-2</v>
      </c>
      <c r="K19" s="16">
        <v>44886</v>
      </c>
      <c r="L19" s="16" t="s">
        <v>1708</v>
      </c>
      <c r="M19" s="20" t="str">
        <f ca="1">_xll.meLWOBondCreateFromGeneratorLVB(C19,$M$4&amp;"_"&amp;$L19,_xll.meUtilityLVBFromKeysValues($C$6:$K$6,C19:K19))</f>
        <v>AP4429340 CORP:0</v>
      </c>
      <c r="N19" s="92">
        <f ca="1">_xll.BDP($B19,$N$5)</f>
        <v>2.0838634680001573</v>
      </c>
      <c r="O19" s="83">
        <f ca="1">_xll.meLWOBondCleanPrice($M19,$C$4,$N19%)</f>
        <v>100.648</v>
      </c>
      <c r="P19" s="83">
        <f ca="1">_xll.meLWOBondDirtyPrice($M19,$C$4,$N19%)</f>
        <v>101.559</v>
      </c>
      <c r="Q19" s="83">
        <f ca="1">_xll.meLWOBondPrice(M19,$C$4,N19%)</f>
        <v>101.559</v>
      </c>
      <c r="R19" s="72">
        <f ca="1">ROUND(_xll.meLWOBondYield($M19,$C$4,W19),6)</f>
        <v>2.0839E-2</v>
      </c>
      <c r="S19" s="89">
        <f ca="1">_xll.meLWOBondModifiedDuration($M19,$C$4,$N19%)</f>
        <v>3.8605999556129249</v>
      </c>
      <c r="T19" s="23">
        <f ca="1">_xll.meLWOBondDV01($M19,$C$4,$N19%)</f>
        <v>392.07867089209304</v>
      </c>
      <c r="U19" s="86">
        <f t="shared" ca="1" si="0"/>
        <v>2.0838634680001573</v>
      </c>
      <c r="V19" s="91" t="str">
        <f ca="1">_xll.BDP($B19,V$6, "YAS_BOND_YLD="&amp;$U19,"YAS_YLD_CONV=3")</f>
        <v>#N/A Requesting Data...</v>
      </c>
      <c r="W19" s="37">
        <f t="shared" ca="1" si="4"/>
        <v>101.559</v>
      </c>
      <c r="X19" s="35" t="e">
        <f t="shared" ca="1" si="1"/>
        <v>#VALUE!</v>
      </c>
      <c r="Y19" s="23">
        <f ca="1">_xll.meLWOBondDV01($M19,$C$4,$U19%)</f>
        <v>392.07867089209304</v>
      </c>
      <c r="Z19" s="22" t="e">
        <f ca="1">_xll.BDP($B19,Z$6, "YLD_YTM_ASK="&amp;$U19,"YAS_YLD_CONV=3")*$Z$3*0.0001</f>
        <v>#VALUE!</v>
      </c>
      <c r="AA19" s="24" t="e">
        <f t="shared" ca="1" si="2"/>
        <v>#VALUE!</v>
      </c>
      <c r="AB19" s="23">
        <f ca="1">_xll.meLWOBondDirtyPrice($M19,$C$4,$U19%)</f>
        <v>101.559</v>
      </c>
      <c r="AC19" s="23">
        <f ca="1">_xll.meLWOBondModifiedDuration($M19,$C$4,$U19%)</f>
        <v>3.8605999556129249</v>
      </c>
      <c r="AD19" s="22" t="str">
        <f ca="1">_xll.BDP($B19,AD$6,"YLD_YTM_ASK="&amp;$U19,"YAS_YLD_CONV=3")</f>
        <v>#N/A Requesting Data...</v>
      </c>
      <c r="AE19" s="24" t="e">
        <f t="shared" ca="1" si="3"/>
        <v>#VALUE!</v>
      </c>
      <c r="AF19" s="23">
        <f ca="1">_xll.meLWOBondDV01Numerical($M19,$C$4,$U19%,0.5,"CENTRAL")</f>
        <v>399.99999999992042</v>
      </c>
    </row>
    <row r="20" spans="2:32">
      <c r="B20" s="15" t="s">
        <v>1590</v>
      </c>
      <c r="C20" s="15" t="s">
        <v>1590</v>
      </c>
      <c r="D20" s="15" t="s">
        <v>1639</v>
      </c>
      <c r="E20" s="16">
        <v>40686</v>
      </c>
      <c r="F20" s="19">
        <v>40654</v>
      </c>
      <c r="G20" s="18"/>
      <c r="H20" s="16">
        <v>40837</v>
      </c>
      <c r="I20" s="16">
        <v>44855</v>
      </c>
      <c r="J20" s="17">
        <v>5.5E-2</v>
      </c>
      <c r="K20" s="16">
        <v>45037</v>
      </c>
      <c r="L20" s="16" t="s">
        <v>1707</v>
      </c>
      <c r="M20" s="20" t="str">
        <f ca="1">_xll.meLWOBondCreateFromGeneratorLVB(C20,$M$4&amp;"_"&amp;$L20,_xll.meUtilityLVBFromKeysValues($C$6:$K$6,C20:K20))</f>
        <v>EI6831487 CORP:0</v>
      </c>
      <c r="N20" s="92">
        <f ca="1">_xll.BDP($B20,$N$5)</f>
        <v>2.2259823365548677</v>
      </c>
      <c r="O20" s="83">
        <f ca="1">_xll.meLWOBondCleanPrice($M20,$C$4,$N20%)</f>
        <v>113.97800000000001</v>
      </c>
      <c r="P20" s="83">
        <f ca="1">_xll.meLWOBondDirtyPrice($M20,$C$4,$N20%)</f>
        <v>113.91800000000001</v>
      </c>
      <c r="Q20" s="83">
        <f ca="1">_xll.meLWOBondPrice(M20,$C$4,N20%)</f>
        <v>113.97800000000001</v>
      </c>
      <c r="R20" s="72">
        <f ca="1">ROUND(_xll.meLWOBondYield($M20,$C$4,W20),6)</f>
        <v>2.2259999999999999E-2</v>
      </c>
      <c r="S20" s="89">
        <f ca="1">_xll.meLWOBondModifiedDuration($M20,$C$4,$N20%)</f>
        <v>4.0471034466044857</v>
      </c>
      <c r="T20" s="23">
        <f ca="1">_xll.meLWOBondDV01($M20,$C$4,$N20%)</f>
        <v>461.03793043028986</v>
      </c>
      <c r="U20" s="86">
        <f t="shared" ca="1" si="0"/>
        <v>2.2259823365548677</v>
      </c>
      <c r="V20" s="91" t="str">
        <f ca="1">_xll.BDP($B20,V$6, "YAS_BOND_YLD="&amp;$U20,"YAS_YLD_CONV=3")</f>
        <v>#N/A Requesting Data...</v>
      </c>
      <c r="W20" s="37">
        <f t="shared" ca="1" si="4"/>
        <v>113.97800000000001</v>
      </c>
      <c r="X20" s="35" t="e">
        <f t="shared" ca="1" si="1"/>
        <v>#VALUE!</v>
      </c>
      <c r="Y20" s="23">
        <f ca="1">_xll.meLWOBondDV01($M20,$C$4,$U20%)</f>
        <v>461.03793043028986</v>
      </c>
      <c r="Z20" s="22" t="e">
        <f ca="1">_xll.BDP($B20,Z$6, "YLD_YTM_ASK="&amp;$U20,"YAS_YLD_CONV=3")*$Z$3*0.0001</f>
        <v>#VALUE!</v>
      </c>
      <c r="AA20" s="24" t="e">
        <f t="shared" ca="1" si="2"/>
        <v>#VALUE!</v>
      </c>
      <c r="AB20" s="23">
        <f ca="1">_xll.meLWOBondDirtyPrice($M20,$C$4,$U20%)</f>
        <v>113.91800000000001</v>
      </c>
      <c r="AC20" s="23">
        <f ca="1">_xll.meLWOBondModifiedDuration($M20,$C$4,$U20%)</f>
        <v>4.0471034466044857</v>
      </c>
      <c r="AD20" s="22" t="str">
        <f ca="1">_xll.BDP($B20,AD$6,"YLD_YTM_ASK="&amp;$U20,"YAS_YLD_CONV=3")</f>
        <v>#N/A Requesting Data...</v>
      </c>
      <c r="AE20" s="24" t="e">
        <f t="shared" ca="1" si="3"/>
        <v>#VALUE!</v>
      </c>
      <c r="AF20" s="23">
        <f ca="1">_xll.meLWOBondDV01Numerical($M20,$C$4,$U20%,0.5,"CENTRAL")</f>
        <v>460.00000000006486</v>
      </c>
    </row>
    <row r="21" spans="2:32">
      <c r="B21" s="15" t="s">
        <v>1634</v>
      </c>
      <c r="C21" s="15" t="s">
        <v>1634</v>
      </c>
      <c r="D21" s="15" t="s">
        <v>1661</v>
      </c>
      <c r="E21" s="16">
        <v>40686</v>
      </c>
      <c r="F21" s="19">
        <v>40654</v>
      </c>
      <c r="G21" s="18"/>
      <c r="H21" s="16">
        <v>40837</v>
      </c>
      <c r="I21" s="16">
        <v>44855</v>
      </c>
      <c r="J21" s="17">
        <v>5.5E-2</v>
      </c>
      <c r="K21" s="16">
        <v>45037</v>
      </c>
      <c r="L21" s="16" t="s">
        <v>1708</v>
      </c>
      <c r="M21" s="20" t="str">
        <f ca="1">_xll.meLWOBondCreateFromGeneratorLVB(C21,$M$4&amp;"_"&amp;$L21,_xll.meUtilityLVBFromKeysValues($C$6:$K$6,C21:K21))</f>
        <v>EJ6777035 CORP:0</v>
      </c>
      <c r="N21" s="92">
        <f ca="1">_xll.BDP($B21,$N$5)</f>
        <v>2.1463146066719627</v>
      </c>
      <c r="O21" s="83">
        <f ca="1">_xll.meLWOBondCleanPrice($M21,$C$4,$N21%)</f>
        <v>114.346</v>
      </c>
      <c r="P21" s="83">
        <f ca="1">_xll.meLWOBondDirtyPrice($M21,$C$4,$N21%)</f>
        <v>114.286</v>
      </c>
      <c r="Q21" s="83">
        <f ca="1">_xll.meLWOBondPrice(M21,$C$4,N21%)</f>
        <v>114.286</v>
      </c>
      <c r="R21" s="72">
        <f ca="1">ROUND(_xll.meLWOBondYield($M21,$C$4,W21),6)</f>
        <v>2.1462999999999999E-2</v>
      </c>
      <c r="S21" s="89">
        <f ca="1">_xll.meLWOBondModifiedDuration($M21,$C$4,$N21%)</f>
        <v>4.0494930800250506</v>
      </c>
      <c r="T21" s="23">
        <f ca="1">_xll.meLWOBondDV01($M21,$C$4,$N21%)</f>
        <v>462.80036614374296</v>
      </c>
      <c r="U21" s="86">
        <f t="shared" ca="1" si="0"/>
        <v>2.1463146066719627</v>
      </c>
      <c r="V21" s="91" t="str">
        <f ca="1">_xll.BDP($B21,V$6, "YAS_BOND_YLD="&amp;$U21,"YAS_YLD_CONV=3")</f>
        <v>#N/A Requesting Data...</v>
      </c>
      <c r="W21" s="37">
        <f t="shared" ca="1" si="4"/>
        <v>114.286</v>
      </c>
      <c r="X21" s="35" t="e">
        <f t="shared" ca="1" si="1"/>
        <v>#VALUE!</v>
      </c>
      <c r="Y21" s="23">
        <f ca="1">_xll.meLWOBondDV01($M21,$C$4,$U21%)</f>
        <v>462.80036614374296</v>
      </c>
      <c r="Z21" s="22" t="e">
        <f ca="1">_xll.BDP($B21,Z$6, "YLD_YTM_ASK="&amp;$U21,"YAS_YLD_CONV=3")*$Z$3*0.0001</f>
        <v>#VALUE!</v>
      </c>
      <c r="AA21" s="24" t="e">
        <f t="shared" ca="1" si="2"/>
        <v>#VALUE!</v>
      </c>
      <c r="AB21" s="23">
        <f ca="1">_xll.meLWOBondDirtyPrice($M21,$C$4,$U21%)</f>
        <v>114.286</v>
      </c>
      <c r="AC21" s="23">
        <f ca="1">_xll.meLWOBondModifiedDuration($M21,$C$4,$U21%)</f>
        <v>4.0494930800250506</v>
      </c>
      <c r="AD21" s="22" t="str">
        <f ca="1">_xll.BDP($B21,AD$6,"YLD_YTM_ASK="&amp;$U21,"YAS_YLD_CONV=3")</f>
        <v>#N/A Requesting Data...</v>
      </c>
      <c r="AE21" s="24" t="e">
        <f t="shared" ca="1" si="3"/>
        <v>#VALUE!</v>
      </c>
      <c r="AF21" s="23">
        <f ca="1">_xll.meLWOBondDV01Numerical($M21,$C$4,$U21%,0.5,"CENTRAL")</f>
        <v>459.99999999992275</v>
      </c>
    </row>
    <row r="22" spans="2:32">
      <c r="B22" s="15" t="s">
        <v>1602</v>
      </c>
      <c r="C22" s="15" t="s">
        <v>1602</v>
      </c>
      <c r="D22" s="15" t="s">
        <v>1677</v>
      </c>
      <c r="E22" s="16">
        <v>38412</v>
      </c>
      <c r="F22" s="19">
        <v>38412</v>
      </c>
      <c r="G22" s="18"/>
      <c r="H22" s="16">
        <v>38458</v>
      </c>
      <c r="I22" s="16">
        <v>45032</v>
      </c>
      <c r="J22" s="17">
        <v>0.06</v>
      </c>
      <c r="K22" s="16">
        <v>45215</v>
      </c>
      <c r="L22" s="16" t="s">
        <v>1707</v>
      </c>
      <c r="M22" s="20" t="str">
        <f ca="1">_xll.meLWOBondCreateFromGeneratorLVB(C22,$M$4&amp;"_"&amp;$L22,_xll.meUtilityLVBFromKeysValues($C$6:$K$6,C22:K22))</f>
        <v>EF2711531 CORP:0</v>
      </c>
      <c r="N22" s="92">
        <f ca="1">_xll.BDP($B22,$N$5)</f>
        <v>2.5860960794253627</v>
      </c>
      <c r="O22" s="83">
        <f ca="1">_xll.meLWOBondCleanPrice($M22,$C$4,$N22%)</f>
        <v>115.908</v>
      </c>
      <c r="P22" s="83">
        <f ca="1">_xll.meLWOBondDirtyPrice($M22,$C$4,$N22%)</f>
        <v>115.92400000000001</v>
      </c>
      <c r="Q22" s="83">
        <f ca="1">_xll.meLWOBondPrice(M22,$C$4,N22%)</f>
        <v>115.908</v>
      </c>
      <c r="R22" s="72">
        <f ca="1">ROUND(_xll.meLWOBondYield($M22,$C$4,W22),6)</f>
        <v>2.5860999999999999E-2</v>
      </c>
      <c r="S22" s="89">
        <f ca="1">_xll.meLWOBondModifiedDuration($M22,$C$4,$N22%)</f>
        <v>4.3848086565530311</v>
      </c>
      <c r="T22" s="23">
        <f ca="1">_xll.meLWOBondDV01($M22,$C$4,$N22%)</f>
        <v>508.30455870225359</v>
      </c>
      <c r="U22" s="86">
        <f t="shared" ca="1" si="0"/>
        <v>2.5860960794253627</v>
      </c>
      <c r="V22" s="91" t="str">
        <f ca="1">_xll.BDP($B22,V$6, "YAS_BOND_YLD="&amp;$U22,"YAS_YLD_CONV=3")</f>
        <v>#N/A Requesting Data...</v>
      </c>
      <c r="W22" s="37">
        <f t="shared" ca="1" si="4"/>
        <v>115.908</v>
      </c>
      <c r="X22" s="35" t="e">
        <f t="shared" ca="1" si="1"/>
        <v>#VALUE!</v>
      </c>
      <c r="Y22" s="23">
        <f ca="1">_xll.meLWOBondDV01($M22,$C$4,$U22%)</f>
        <v>508.30455870225359</v>
      </c>
      <c r="Z22" s="22" t="e">
        <f ca="1">_xll.BDP($B22,Z$6, "YLD_YTM_ASK="&amp;$U22,"YAS_YLD_CONV=3")*$Z$3*0.0001</f>
        <v>#VALUE!</v>
      </c>
      <c r="AA22" s="24" t="e">
        <f t="shared" ca="1" si="2"/>
        <v>#VALUE!</v>
      </c>
      <c r="AB22" s="23">
        <f ca="1">_xll.meLWOBondDirtyPrice($M22,$C$4,$U22%)</f>
        <v>115.92400000000001</v>
      </c>
      <c r="AC22" s="23">
        <f ca="1">_xll.meLWOBondModifiedDuration($M22,$C$4,$U22%)</f>
        <v>4.3848086565530311</v>
      </c>
      <c r="AD22" s="22" t="str">
        <f ca="1">_xll.BDP($B22,AD$6,"YLD_YTM_ASK="&amp;$U22,"YAS_YLD_CONV=3")</f>
        <v>#N/A Requesting Data...</v>
      </c>
      <c r="AE22" s="24" t="e">
        <f t="shared" ca="1" si="3"/>
        <v>#VALUE!</v>
      </c>
      <c r="AF22" s="23">
        <f ca="1">_xll.meLWOBondDV01Numerical($M22,$C$4,$U22%,0.5,"CENTRAL")</f>
        <v>499.99999999997164</v>
      </c>
    </row>
    <row r="23" spans="2:32">
      <c r="B23" s="15" t="s">
        <v>1612</v>
      </c>
      <c r="C23" s="15" t="s">
        <v>1612</v>
      </c>
      <c r="D23" s="15" t="s">
        <v>1648</v>
      </c>
      <c r="E23" s="16">
        <v>41591</v>
      </c>
      <c r="F23" s="19">
        <v>41591</v>
      </c>
      <c r="G23" s="18"/>
      <c r="H23" s="16">
        <v>41772</v>
      </c>
      <c r="I23" s="16">
        <v>45059</v>
      </c>
      <c r="J23" s="17">
        <v>5.5E-2</v>
      </c>
      <c r="K23" s="16">
        <v>45243</v>
      </c>
      <c r="L23" s="16" t="s">
        <v>1707</v>
      </c>
      <c r="M23" s="20" t="str">
        <f ca="1">_xll.meLWOBondCreateFromGeneratorLVB(C23,$M$4&amp;"_"&amp;$L23,_xll.meUtilityLVBFromKeysValues($C$6:$K$6,C23:K23))</f>
        <v>EJ9131404 CORP:0</v>
      </c>
      <c r="N23" s="92">
        <f ca="1">_xll.BDP($B23,$N$5)</f>
        <v>3.1080298359869225</v>
      </c>
      <c r="O23" s="83">
        <f ca="1">_xll.meLWOBondCleanPrice($M23,$C$4,$N23%)</f>
        <v>111.145</v>
      </c>
      <c r="P23" s="83">
        <f ca="1">_xll.meLWOBondDirtyPrice($M23,$C$4,$N23%)</f>
        <v>113.491</v>
      </c>
      <c r="Q23" s="83">
        <f ca="1">_xll.meLWOBondPrice(M23,$C$4,N23%)</f>
        <v>111.145</v>
      </c>
      <c r="R23" s="72">
        <f ca="1">ROUND(_xll.meLWOBondYield($M23,$C$4,W23),6)</f>
        <v>3.108E-2</v>
      </c>
      <c r="S23" s="89">
        <f ca="1">_xll.meLWOBondModifiedDuration($M23,$C$4,$N23%)</f>
        <v>4.3702162263801529</v>
      </c>
      <c r="T23" s="23">
        <f ca="1">_xll.meLWOBondDV01($M23,$C$4,$N23%)</f>
        <v>495.98020974810993</v>
      </c>
      <c r="U23" s="86">
        <f t="shared" ca="1" si="0"/>
        <v>3.1080298359869225</v>
      </c>
      <c r="V23" s="91" t="str">
        <f ca="1">_xll.BDP($B23,V$6, "YAS_BOND_YLD="&amp;$U23,"YAS_YLD_CONV=3")</f>
        <v>#N/A Requesting Data...</v>
      </c>
      <c r="W23" s="37">
        <f t="shared" ca="1" si="4"/>
        <v>111.145</v>
      </c>
      <c r="X23" s="35" t="e">
        <f t="shared" ca="1" si="1"/>
        <v>#VALUE!</v>
      </c>
      <c r="Y23" s="23">
        <f ca="1">_xll.meLWOBondDV01($M23,$C$4,$U23%)</f>
        <v>495.98020974810993</v>
      </c>
      <c r="Z23" s="22" t="e">
        <f ca="1">_xll.BDP($B23,Z$6, "YLD_YTM_ASK="&amp;$U23,"YAS_YLD_CONV=3")*$Z$3*0.0001</f>
        <v>#VALUE!</v>
      </c>
      <c r="AA23" s="24" t="e">
        <f t="shared" ca="1" si="2"/>
        <v>#VALUE!</v>
      </c>
      <c r="AB23" s="23">
        <f ca="1">_xll.meLWOBondDirtyPrice($M23,$C$4,$U23%)</f>
        <v>113.491</v>
      </c>
      <c r="AC23" s="23">
        <f ca="1">_xll.meLWOBondModifiedDuration($M23,$C$4,$U23%)</f>
        <v>4.3702162263801529</v>
      </c>
      <c r="AD23" s="22" t="str">
        <f ca="1">_xll.BDP($B23,AD$6,"YLD_YTM_ASK="&amp;$U23,"YAS_YLD_CONV=3")</f>
        <v>#N/A Requesting Data...</v>
      </c>
      <c r="AE23" s="24" t="e">
        <f t="shared" ca="1" si="3"/>
        <v>#VALUE!</v>
      </c>
      <c r="AF23" s="23">
        <f ca="1">_xll.meLWOBondDV01Numerical($M23,$C$4,$U23%,0.5,"CENTRAL")</f>
        <v>500.00000000011374</v>
      </c>
    </row>
    <row r="24" spans="2:32">
      <c r="B24" s="15" t="s">
        <v>1619</v>
      </c>
      <c r="C24" s="15" t="s">
        <v>1619</v>
      </c>
      <c r="D24" s="15" t="s">
        <v>1687</v>
      </c>
      <c r="E24" s="16">
        <v>41753</v>
      </c>
      <c r="F24" s="19">
        <v>41598</v>
      </c>
      <c r="G24" s="18"/>
      <c r="H24" s="16">
        <v>41779</v>
      </c>
      <c r="I24" s="16">
        <v>45066</v>
      </c>
      <c r="J24" s="17">
        <v>4.2500000000000003E-2</v>
      </c>
      <c r="K24" s="16">
        <v>45250</v>
      </c>
      <c r="L24" s="16" t="s">
        <v>1707</v>
      </c>
      <c r="M24" s="20" t="str">
        <f ca="1">_xll.meLWOBondCreateFromGeneratorLVB(C24,$M$4&amp;"_"&amp;$L24,_xll.meUtilityLVBFromKeysValues($C$6:$K$6,C24:K24))</f>
        <v>EK1791483 CORP:0</v>
      </c>
      <c r="N24" s="92">
        <f ca="1">_xll.BDP($B24,$N$5)</f>
        <v>2.6060104333140708</v>
      </c>
      <c r="O24" s="83">
        <f ca="1">_xll.meLWOBondCleanPrice($M24,$C$4,$N24%)</f>
        <v>107.791</v>
      </c>
      <c r="P24" s="83">
        <f ca="1">_xll.meLWOBondDirtyPrice($M24,$C$4,$N24%)</f>
        <v>109.523</v>
      </c>
      <c r="Q24" s="83">
        <f ca="1">_xll.meLWOBondPrice(M24,$C$4,N24%)</f>
        <v>107.791</v>
      </c>
      <c r="R24" s="72">
        <f ca="1">ROUND(_xll.meLWOBondYield($M24,$C$4,W24),6)</f>
        <v>2.606E-2</v>
      </c>
      <c r="S24" s="89">
        <f ca="1">_xll.meLWOBondModifiedDuration($M24,$C$4,$N24%)</f>
        <v>4.5212114463253137</v>
      </c>
      <c r="T24" s="23">
        <f ca="1">_xll.meLWOBondDV01($M24,$C$4,$N24%)</f>
        <v>495.1766412358873</v>
      </c>
      <c r="U24" s="86">
        <f t="shared" ca="1" si="0"/>
        <v>2.6060104333140708</v>
      </c>
      <c r="V24" s="91" t="str">
        <f ca="1">_xll.BDP($B24,V$6, "YAS_BOND_YLD="&amp;$U24,"YAS_YLD_CONV=3")</f>
        <v>#N/A Requesting Data...</v>
      </c>
      <c r="W24" s="37">
        <f t="shared" ca="1" si="4"/>
        <v>107.791</v>
      </c>
      <c r="X24" s="35" t="e">
        <f t="shared" ca="1" si="1"/>
        <v>#VALUE!</v>
      </c>
      <c r="Y24" s="23">
        <f ca="1">_xll.meLWOBondDV01($M24,$C$4,$U24%)</f>
        <v>495.1766412358873</v>
      </c>
      <c r="Z24" s="22" t="e">
        <f ca="1">_xll.BDP($B24,Z$6, "YLD_YTM_ASK="&amp;$U24,"YAS_YLD_CONV=3")*$Z$3*0.0001</f>
        <v>#VALUE!</v>
      </c>
      <c r="AA24" s="24" t="e">
        <f t="shared" ca="1" si="2"/>
        <v>#VALUE!</v>
      </c>
      <c r="AB24" s="23">
        <f ca="1">_xll.meLWOBondDirtyPrice($M24,$C$4,$U24%)</f>
        <v>109.523</v>
      </c>
      <c r="AC24" s="23">
        <f ca="1">_xll.meLWOBondModifiedDuration($M24,$C$4,$U24%)</f>
        <v>4.5212114463253137</v>
      </c>
      <c r="AD24" s="22" t="str">
        <f ca="1">_xll.BDP($B24,AD$6,"YLD_YTM_ASK="&amp;$U24,"YAS_YLD_CONV=3")</f>
        <v>#N/A Requesting Data...</v>
      </c>
      <c r="AE24" s="24" t="e">
        <f t="shared" ca="1" si="3"/>
        <v>#VALUE!</v>
      </c>
      <c r="AF24" s="23">
        <f ca="1">_xll.meLWOBondDV01Numerical($M24,$C$4,$U24%,0.5,"CENTRAL")</f>
        <v>499.99999999997164</v>
      </c>
    </row>
    <row r="25" spans="2:32">
      <c r="B25" s="15" t="s">
        <v>1581</v>
      </c>
      <c r="C25" s="15" t="s">
        <v>1581</v>
      </c>
      <c r="D25" s="15" t="s">
        <v>1665</v>
      </c>
      <c r="E25" s="16">
        <v>41085</v>
      </c>
      <c r="F25" s="19">
        <v>41020</v>
      </c>
      <c r="G25" s="18"/>
      <c r="H25" s="16">
        <v>41203</v>
      </c>
      <c r="I25" s="16">
        <v>45220</v>
      </c>
      <c r="J25" s="17">
        <v>2.75E-2</v>
      </c>
      <c r="K25" s="16">
        <v>45403</v>
      </c>
      <c r="L25" s="16" t="s">
        <v>1707</v>
      </c>
      <c r="M25" s="20" t="str">
        <f ca="1">_xll.meLWOBondCreateFromGeneratorLVB(C25,$M$4&amp;"_"&amp;$L25,_xll.meUtilityLVBFromKeysValues($C$6:$K$6,C25:K25))</f>
        <v>EJ2445694 CORP:0</v>
      </c>
      <c r="N25" s="92">
        <f ca="1">_xll.BDP($B25,$N$5)</f>
        <v>2.3560445063005622</v>
      </c>
      <c r="O25" s="83">
        <f ca="1">_xll.meLWOBondCleanPrice($M25,$C$4,$N25%)</f>
        <v>102.02500000000001</v>
      </c>
      <c r="P25" s="83">
        <f ca="1">_xll.meLWOBondDirtyPrice($M25,$C$4,$N25%)</f>
        <v>101.995</v>
      </c>
      <c r="Q25" s="83">
        <f ca="1">_xll.meLWOBondPrice(M25,$C$4,N25%)</f>
        <v>102.02500000000001</v>
      </c>
      <c r="R25" s="72">
        <f ca="1">ROUND(_xll.meLWOBondYield($M25,$C$4,W25),6)</f>
        <v>2.3560000000000001E-2</v>
      </c>
      <c r="S25" s="89">
        <f ca="1">_xll.meLWOBondModifiedDuration($M25,$C$4,$N25%)</f>
        <v>5.0970676868575184</v>
      </c>
      <c r="T25" s="23">
        <f ca="1">_xll.meLWOBondDV01($M25,$C$4,$N25%)</f>
        <v>519.87541872103259</v>
      </c>
      <c r="U25" s="86">
        <f t="shared" ca="1" si="0"/>
        <v>2.3560445063005622</v>
      </c>
      <c r="V25" s="91" t="str">
        <f ca="1">_xll.BDP($B25,V$6, "YAS_BOND_YLD="&amp;$U25,"YAS_YLD_CONV=3")</f>
        <v>#N/A Requesting Data...</v>
      </c>
      <c r="W25" s="37">
        <f t="shared" ca="1" si="4"/>
        <v>102.02500000000001</v>
      </c>
      <c r="X25" s="35" t="e">
        <f t="shared" ca="1" si="1"/>
        <v>#VALUE!</v>
      </c>
      <c r="Y25" s="23">
        <f ca="1">_xll.meLWOBondDV01($M25,$C$4,$U25%)</f>
        <v>519.87541872103259</v>
      </c>
      <c r="Z25" s="22" t="e">
        <f ca="1">_xll.BDP($B25,Z$6, "YLD_YTM_ASK="&amp;$U25,"YAS_YLD_CONV=3")*$Z$3*0.0001</f>
        <v>#VALUE!</v>
      </c>
      <c r="AA25" s="24" t="e">
        <f t="shared" ca="1" si="2"/>
        <v>#VALUE!</v>
      </c>
      <c r="AB25" s="23">
        <f ca="1">_xll.meLWOBondDirtyPrice($M25,$C$4,$U25%)</f>
        <v>101.995</v>
      </c>
      <c r="AC25" s="23">
        <f ca="1">_xll.meLWOBondModifiedDuration($M25,$C$4,$U25%)</f>
        <v>5.0970676868575184</v>
      </c>
      <c r="AD25" s="22" t="str">
        <f ca="1">_xll.BDP($B25,AD$6,"YLD_YTM_ASK="&amp;$U25,"YAS_YLD_CONV=3")</f>
        <v>#N/A Requesting Data...</v>
      </c>
      <c r="AE25" s="24" t="e">
        <f t="shared" ca="1" si="3"/>
        <v>#VALUE!</v>
      </c>
      <c r="AF25" s="23">
        <f ca="1">_xll.meLWOBondDV01Numerical($M25,$C$4,$U25%,0.5,"CENTRAL")</f>
        <v>520.00000000006708</v>
      </c>
    </row>
    <row r="26" spans="2:32">
      <c r="B26" s="15" t="s">
        <v>1630</v>
      </c>
      <c r="C26" s="15" t="s">
        <v>1630</v>
      </c>
      <c r="D26" s="15" t="s">
        <v>1658</v>
      </c>
      <c r="E26" s="16">
        <v>41085</v>
      </c>
      <c r="F26" s="19">
        <v>41020</v>
      </c>
      <c r="G26" s="18"/>
      <c r="H26" s="16">
        <v>41203</v>
      </c>
      <c r="I26" s="16">
        <v>45220</v>
      </c>
      <c r="J26" s="17">
        <v>2.75E-2</v>
      </c>
      <c r="K26" s="16">
        <v>45403</v>
      </c>
      <c r="L26" s="16" t="s">
        <v>1708</v>
      </c>
      <c r="M26" s="20" t="str">
        <f ca="1">_xll.meLWOBondCreateFromGeneratorLVB(C26,$M$4&amp;"_"&amp;$L26,_xll.meUtilityLVBFromKeysValues($C$6:$K$6,C26:K26))</f>
        <v>EJ6776938 CORP:0</v>
      </c>
      <c r="N26" s="92">
        <f ca="1">_xll.BDP($B26,$N$5)</f>
        <v>2.2402530709638526</v>
      </c>
      <c r="O26" s="83">
        <f ca="1">_xll.meLWOBondCleanPrice($M26,$C$4,$N26%)</f>
        <v>102.629</v>
      </c>
      <c r="P26" s="83">
        <f ca="1">_xll.meLWOBondDirtyPrice($M26,$C$4,$N26%)</f>
        <v>102.599</v>
      </c>
      <c r="Q26" s="83">
        <f ca="1">_xll.meLWOBondPrice(M26,$C$4,N26%)</f>
        <v>102.599</v>
      </c>
      <c r="R26" s="72">
        <f ca="1">ROUND(_xll.meLWOBondYield($M26,$C$4,W26),6)</f>
        <v>2.2402999999999999E-2</v>
      </c>
      <c r="S26" s="89">
        <f ca="1">_xll.meLWOBondModifiedDuration($M26,$C$4,$N26%)</f>
        <v>5.1012577405529687</v>
      </c>
      <c r="T26" s="23">
        <f ca="1">_xll.meLWOBondDV01($M26,$C$4,$N26%)</f>
        <v>523.38394292299404</v>
      </c>
      <c r="U26" s="86">
        <f t="shared" ca="1" si="0"/>
        <v>2.2402530709638526</v>
      </c>
      <c r="V26" s="91" t="str">
        <f ca="1">_xll.BDP($B26,V$6, "YAS_BOND_YLD="&amp;$U26,"YAS_YLD_CONV=3")</f>
        <v>#N/A Requesting Data...</v>
      </c>
      <c r="W26" s="37">
        <f t="shared" ca="1" si="4"/>
        <v>102.599</v>
      </c>
      <c r="X26" s="35" t="e">
        <f t="shared" ca="1" si="1"/>
        <v>#VALUE!</v>
      </c>
      <c r="Y26" s="23">
        <f ca="1">_xll.meLWOBondDV01($M26,$C$4,$U26%)</f>
        <v>523.38394292299404</v>
      </c>
      <c r="Z26" s="22" t="e">
        <f ca="1">_xll.BDP($B26,Z$6, "YLD_YTM_ASK="&amp;$U26,"YAS_YLD_CONV=3")*$Z$3*0.0001</f>
        <v>#VALUE!</v>
      </c>
      <c r="AA26" s="24" t="e">
        <f t="shared" ca="1" si="2"/>
        <v>#VALUE!</v>
      </c>
      <c r="AB26" s="23">
        <f ca="1">_xll.meLWOBondDirtyPrice($M26,$C$4,$U26%)</f>
        <v>102.599</v>
      </c>
      <c r="AC26" s="23">
        <f ca="1">_xll.meLWOBondModifiedDuration($M26,$C$4,$U26%)</f>
        <v>5.1012577405529687</v>
      </c>
      <c r="AD26" s="22" t="str">
        <f ca="1">_xll.BDP($B26,AD$6,"YLD_YTM_ASK="&amp;$U26,"YAS_YLD_CONV=3")</f>
        <v>#N/A Requesting Data...</v>
      </c>
      <c r="AE26" s="24" t="e">
        <f t="shared" ca="1" si="3"/>
        <v>#VALUE!</v>
      </c>
      <c r="AF26" s="23">
        <f ca="1">_xll.meLWOBondDV01Numerical($M26,$C$4,$U26%,0.5,"CENTRAL")</f>
        <v>520.00000000006708</v>
      </c>
    </row>
    <row r="27" spans="2:32">
      <c r="B27" s="15" t="s">
        <v>1633</v>
      </c>
      <c r="C27" s="15" t="s">
        <v>1633</v>
      </c>
      <c r="D27" s="15" t="s">
        <v>1660</v>
      </c>
      <c r="E27" s="16">
        <v>41781</v>
      </c>
      <c r="F27" s="19">
        <v>41781</v>
      </c>
      <c r="G27" s="18"/>
      <c r="H27" s="16">
        <v>41965</v>
      </c>
      <c r="I27" s="16">
        <v>45252</v>
      </c>
      <c r="J27" s="17">
        <v>0.04</v>
      </c>
      <c r="K27" s="16">
        <v>45434</v>
      </c>
      <c r="L27" s="16" t="s">
        <v>1707</v>
      </c>
      <c r="M27" s="20" t="str">
        <f ca="1">_xll.meLWOBondCreateFromGeneratorLVB(C27,$M$4&amp;"_"&amp;$L27,_xll.meUtilityLVBFromKeysValues($C$6:$K$6,C27:K27))</f>
        <v>EK2751312 CORP:0</v>
      </c>
      <c r="N27" s="92">
        <f ca="1">_xll.BDP($B27,$N$5)</f>
        <v>2.6080343205790264</v>
      </c>
      <c r="O27" s="83">
        <f ca="1">_xll.meLWOBondCleanPrice($M27,$C$4,$N27%)</f>
        <v>107.20400000000001</v>
      </c>
      <c r="P27" s="83">
        <f ca="1">_xll.meLWOBondDirtyPrice($M27,$C$4,$N27%)</f>
        <v>108.813</v>
      </c>
      <c r="Q27" s="83">
        <f ca="1">_xll.meLWOBondPrice(M27,$C$4,N27%)</f>
        <v>107.20400000000001</v>
      </c>
      <c r="R27" s="72">
        <f ca="1">ROUND(_xll.meLWOBondYield($M27,$C$4,W27),6)</f>
        <v>2.6079999999999999E-2</v>
      </c>
      <c r="S27" s="89">
        <f ca="1">_xll.meLWOBondModifiedDuration($M27,$C$4,$N27%)</f>
        <v>4.953445659073485</v>
      </c>
      <c r="T27" s="23">
        <f ca="1">_xll.meLWOBondDV01($M27,$C$4,$N27%)</f>
        <v>538.99928250076312</v>
      </c>
      <c r="U27" s="86">
        <f t="shared" ca="1" si="0"/>
        <v>2.6080343205790264</v>
      </c>
      <c r="V27" s="91" t="str">
        <f ca="1">_xll.BDP($B27,V$6, "YAS_BOND_YLD="&amp;$U27,"YAS_YLD_CONV=3")</f>
        <v>#N/A Requesting Data...</v>
      </c>
      <c r="W27" s="37">
        <f t="shared" ca="1" si="4"/>
        <v>107.20400000000001</v>
      </c>
      <c r="X27" s="35" t="e">
        <f t="shared" ca="1" si="1"/>
        <v>#VALUE!</v>
      </c>
      <c r="Y27" s="23">
        <f ca="1">_xll.meLWOBondDV01($M27,$C$4,$U27%)</f>
        <v>538.99928250076312</v>
      </c>
      <c r="Z27" s="22" t="e">
        <f ca="1">_xll.BDP($B27,Z$6, "YLD_YTM_ASK="&amp;$U27,"YAS_YLD_CONV=3")*$Z$3*0.0001</f>
        <v>#VALUE!</v>
      </c>
      <c r="AA27" s="24" t="e">
        <f t="shared" ca="1" si="2"/>
        <v>#VALUE!</v>
      </c>
      <c r="AB27" s="23">
        <f ca="1">_xll.meLWOBondDirtyPrice($M27,$C$4,$U27%)</f>
        <v>108.813</v>
      </c>
      <c r="AC27" s="23">
        <f ca="1">_xll.meLWOBondModifiedDuration($M27,$C$4,$U27%)</f>
        <v>4.953445659073485</v>
      </c>
      <c r="AD27" s="22" t="str">
        <f ca="1">_xll.BDP($B27,AD$6,"YLD_YTM_ASK="&amp;$U27,"YAS_YLD_CONV=3")</f>
        <v>#N/A Requesting Data...</v>
      </c>
      <c r="AE27" s="24" t="e">
        <f t="shared" ca="1" si="3"/>
        <v>#VALUE!</v>
      </c>
      <c r="AF27" s="23">
        <f ca="1">_xll.meLWOBondDV01Numerical($M27,$C$4,$U27%,0.5,"CENTRAL")</f>
        <v>540.00000000002046</v>
      </c>
    </row>
    <row r="28" spans="2:32">
      <c r="B28" s="15" t="s">
        <v>1604</v>
      </c>
      <c r="C28" s="15" t="s">
        <v>1604</v>
      </c>
      <c r="D28" s="15" t="s">
        <v>1678</v>
      </c>
      <c r="E28" s="16">
        <v>42699</v>
      </c>
      <c r="F28" s="19">
        <v>42574</v>
      </c>
      <c r="G28" s="18"/>
      <c r="H28" s="16">
        <v>42758</v>
      </c>
      <c r="I28" s="16">
        <v>45314</v>
      </c>
      <c r="J28" s="17">
        <v>2.5000000000000001E-2</v>
      </c>
      <c r="K28" s="16">
        <v>45496</v>
      </c>
      <c r="L28" s="16" t="s">
        <v>1707</v>
      </c>
      <c r="M28" s="20" t="str">
        <f ca="1">_xll.meLWOBondCreateFromGeneratorLVB(C28,$M$4&amp;"_"&amp;$L28,_xll.meUtilityLVBFromKeysValues($C$6:$K$6,C28:K28))</f>
        <v>AL0875834 CORP:0</v>
      </c>
      <c r="N28" s="92">
        <f ca="1">_xll.BDP($B28,$N$5)</f>
        <v>2.7630122094169636</v>
      </c>
      <c r="O28" s="83">
        <f ca="1">_xll.meLWOBondCleanPrice($M28,$C$4,$N28%)</f>
        <v>98.60499999999999</v>
      </c>
      <c r="P28" s="83">
        <f ca="1">_xll.meLWOBondDirtyPrice($M28,$C$4,$N28%)</f>
        <v>99.188999999999993</v>
      </c>
      <c r="Q28" s="83">
        <f ca="1">_xll.meLWOBondPrice(M28,$C$4,N28%)</f>
        <v>98.60499999999999</v>
      </c>
      <c r="R28" s="72">
        <f ca="1">ROUND(_xll.meLWOBondYield($M28,$C$4,W28),6)</f>
        <v>2.7629999999999998E-2</v>
      </c>
      <c r="S28" s="89">
        <f ca="1">_xll.meLWOBondModifiedDuration($M28,$C$4,$N28%)</f>
        <v>5.2984510721768903</v>
      </c>
      <c r="T28" s="23">
        <f ca="1">_xll.meLWOBondDV01($M28,$C$4,$N28%)</f>
        <v>525.54806339815354</v>
      </c>
      <c r="U28" s="86">
        <f t="shared" ca="1" si="0"/>
        <v>2.7630122094169636</v>
      </c>
      <c r="V28" s="91" t="str">
        <f ca="1">_xll.BDP($B28,V$6, "YAS_BOND_YLD="&amp;$U28,"YAS_YLD_CONV=3")</f>
        <v>#N/A Requesting Data...</v>
      </c>
      <c r="W28" s="37">
        <f t="shared" ca="1" si="4"/>
        <v>98.60499999999999</v>
      </c>
      <c r="X28" s="35" t="e">
        <f t="shared" ca="1" si="1"/>
        <v>#VALUE!</v>
      </c>
      <c r="Y28" s="23">
        <f ca="1">_xll.meLWOBondDV01($M28,$C$4,$U28%)</f>
        <v>525.54806339815354</v>
      </c>
      <c r="Z28" s="22" t="e">
        <f ca="1">_xll.BDP($B28,Z$6, "YLD_YTM_ASK="&amp;$U28,"YAS_YLD_CONV=3")*$Z$3*0.0001</f>
        <v>#VALUE!</v>
      </c>
      <c r="AA28" s="24" t="e">
        <f t="shared" ca="1" si="2"/>
        <v>#VALUE!</v>
      </c>
      <c r="AB28" s="23">
        <f ca="1">_xll.meLWOBondDirtyPrice($M28,$C$4,$U28%)</f>
        <v>99.188999999999993</v>
      </c>
      <c r="AC28" s="23">
        <f ca="1">_xll.meLWOBondModifiedDuration($M28,$C$4,$U28%)</f>
        <v>5.2984510721768903</v>
      </c>
      <c r="AD28" s="22" t="str">
        <f ca="1">_xll.BDP($B28,AD$6,"YLD_YTM_ASK="&amp;$U28,"YAS_YLD_CONV=3")</f>
        <v>#N/A Requesting Data...</v>
      </c>
      <c r="AE28" s="24" t="e">
        <f t="shared" ca="1" si="3"/>
        <v>#VALUE!</v>
      </c>
      <c r="AF28" s="23">
        <f ca="1">_xll.meLWOBondDV01Numerical($M28,$C$4,$U28%,0.5,"CENTRAL")</f>
        <v>520.00000000006708</v>
      </c>
    </row>
    <row r="29" spans="2:32">
      <c r="B29" s="15" t="s">
        <v>1605</v>
      </c>
      <c r="C29" s="15" t="s">
        <v>1605</v>
      </c>
      <c r="D29" s="15" t="s">
        <v>1679</v>
      </c>
      <c r="E29" s="16">
        <v>42689</v>
      </c>
      <c r="F29" s="19">
        <v>42597</v>
      </c>
      <c r="G29" s="18"/>
      <c r="H29" s="16">
        <v>42781</v>
      </c>
      <c r="I29" s="16">
        <v>45337</v>
      </c>
      <c r="J29" s="17">
        <v>2.2499999999999999E-2</v>
      </c>
      <c r="K29" s="16">
        <v>45519</v>
      </c>
      <c r="L29" s="16" t="s">
        <v>1707</v>
      </c>
      <c r="M29" s="20" t="str">
        <f ca="1">_xll.meLWOBondCreateFromGeneratorLVB(C29,$M$4&amp;"_"&amp;$L29,_xll.meUtilityLVBFromKeysValues($C$6:$K$6,C29:K29))</f>
        <v>AL0690951 CORP:0</v>
      </c>
      <c r="N29" s="92">
        <f ca="1">_xll.BDP($B29,$N$5)</f>
        <v>2.752953300137396</v>
      </c>
      <c r="O29" s="83">
        <f ca="1">_xll.meLWOBondCleanPrice($M29,$C$4,$N29%)</f>
        <v>97.306999999999988</v>
      </c>
      <c r="P29" s="83">
        <f ca="1">_xll.meLWOBondDirtyPrice($M29,$C$4,$N29%)</f>
        <v>97.691999999999993</v>
      </c>
      <c r="Q29" s="83">
        <f ca="1">_xll.meLWOBondPrice(M29,$C$4,N29%)</f>
        <v>97.306999999999988</v>
      </c>
      <c r="R29" s="72">
        <f ca="1">ROUND(_xll.meLWOBondYield($M29,$C$4,W29),6)</f>
        <v>2.7529999999999999E-2</v>
      </c>
      <c r="S29" s="89">
        <f ca="1">_xll.meLWOBondModifiedDuration($M29,$C$4,$N29%)</f>
        <v>5.3944670362167431</v>
      </c>
      <c r="T29" s="23">
        <f ca="1">_xll.meLWOBondDV01($M29,$C$4,$N29%)</f>
        <v>526.996273702086</v>
      </c>
      <c r="U29" s="86">
        <f t="shared" ca="1" si="0"/>
        <v>2.752953300137396</v>
      </c>
      <c r="V29" s="91" t="str">
        <f ca="1">_xll.BDP($B29,V$6, "YAS_BOND_YLD="&amp;$U29,"YAS_YLD_CONV=3")</f>
        <v>#N/A Requesting Data...</v>
      </c>
      <c r="W29" s="37">
        <f t="shared" ca="1" si="4"/>
        <v>97.306999999999988</v>
      </c>
      <c r="X29" s="35" t="e">
        <f t="shared" ca="1" si="1"/>
        <v>#VALUE!</v>
      </c>
      <c r="Y29" s="23">
        <f ca="1">_xll.meLWOBondDV01($M29,$C$4,$U29%)</f>
        <v>526.996273702086</v>
      </c>
      <c r="Z29" s="22" t="e">
        <f ca="1">_xll.BDP($B29,Z$6, "YLD_YTM_ASK="&amp;$U29,"YAS_YLD_CONV=3")*$Z$3*0.0001</f>
        <v>#VALUE!</v>
      </c>
      <c r="AA29" s="24" t="e">
        <f t="shared" ca="1" si="2"/>
        <v>#VALUE!</v>
      </c>
      <c r="AB29" s="23">
        <f ca="1">_xll.meLWOBondDirtyPrice($M29,$C$4,$U29%)</f>
        <v>97.691999999999993</v>
      </c>
      <c r="AC29" s="23">
        <f ca="1">_xll.meLWOBondModifiedDuration($M29,$C$4,$U29%)</f>
        <v>5.3944670362167431</v>
      </c>
      <c r="AD29" s="22" t="str">
        <f ca="1">_xll.BDP($B29,AD$6,"YLD_YTM_ASK="&amp;$U29,"YAS_YLD_CONV=3")</f>
        <v>#N/A Requesting Data...</v>
      </c>
      <c r="AE29" s="24" t="e">
        <f t="shared" ca="1" si="3"/>
        <v>#VALUE!</v>
      </c>
      <c r="AF29" s="23">
        <f ca="1">_xll.meLWOBondDV01Numerical($M29,$C$4,$U29%,0.5,"CENTRAL")</f>
        <v>520.00000000006708</v>
      </c>
    </row>
    <row r="30" spans="2:32">
      <c r="B30" s="15" t="s">
        <v>1610</v>
      </c>
      <c r="C30" s="15" t="s">
        <v>1610</v>
      </c>
      <c r="D30" s="15" t="s">
        <v>1683</v>
      </c>
      <c r="E30" s="16">
        <v>42114</v>
      </c>
      <c r="F30" s="19">
        <v>42110</v>
      </c>
      <c r="G30" s="18"/>
      <c r="H30" s="16">
        <v>42293</v>
      </c>
      <c r="I30" s="16">
        <v>45581</v>
      </c>
      <c r="J30" s="17">
        <v>2.75E-2</v>
      </c>
      <c r="K30" s="16">
        <v>45763</v>
      </c>
      <c r="L30" s="16" t="s">
        <v>1707</v>
      </c>
      <c r="M30" s="20" t="str">
        <f ca="1">_xll.meLWOBondCreateFromGeneratorLVB(C30,$M$4&amp;"_"&amp;$L30,_xll.meUtilityLVBFromKeysValues($C$6:$K$6,C30:K30))</f>
        <v>EK8553563 CORP:0</v>
      </c>
      <c r="N30" s="92">
        <f ca="1">_xll.BDP($B30,$N$5)</f>
        <v>2.8229865416990254</v>
      </c>
      <c r="O30" s="83">
        <f ca="1">_xll.meLWOBondCleanPrice($M30,$C$4,$N30%)</f>
        <v>99.569000000000003</v>
      </c>
      <c r="P30" s="83">
        <f ca="1">_xll.meLWOBondDirtyPrice($M30,$C$4,$N30%)</f>
        <v>99.576999999999998</v>
      </c>
      <c r="Q30" s="83">
        <f ca="1">_xll.meLWOBondPrice(M30,$C$4,N30%)</f>
        <v>99.569000000000003</v>
      </c>
      <c r="R30" s="72">
        <f ca="1">ROUND(_xll.meLWOBondYield($M30,$C$4,W30),6)</f>
        <v>2.8230000000000002E-2</v>
      </c>
      <c r="S30" s="89">
        <f ca="1">_xll.meLWOBondModifiedDuration($M30,$C$4,$N30%)</f>
        <v>5.9089579482528327</v>
      </c>
      <c r="T30" s="23">
        <f ca="1">_xll.meLWOBondDV01($M30,$C$4,$N30%)</f>
        <v>588.39630561317233</v>
      </c>
      <c r="U30" s="86">
        <f t="shared" ca="1" si="0"/>
        <v>2.8229865416990254</v>
      </c>
      <c r="V30" s="91" t="str">
        <f ca="1">_xll.BDP($B30,V$6, "YAS_BOND_YLD="&amp;$U30,"YAS_YLD_CONV=3")</f>
        <v>#N/A Requesting Data...</v>
      </c>
      <c r="W30" s="37">
        <f t="shared" ca="1" si="4"/>
        <v>99.569000000000003</v>
      </c>
      <c r="X30" s="35" t="e">
        <f t="shared" ca="1" si="1"/>
        <v>#VALUE!</v>
      </c>
      <c r="Y30" s="23">
        <f ca="1">_xll.meLWOBondDV01($M30,$C$4,$U30%)</f>
        <v>588.39630561317233</v>
      </c>
      <c r="Z30" s="22" t="e">
        <f ca="1">_xll.BDP($B30,Z$6, "YLD_YTM_ASK="&amp;$U30,"YAS_YLD_CONV=3")*$Z$3*0.0001</f>
        <v>#VALUE!</v>
      </c>
      <c r="AA30" s="24" t="e">
        <f t="shared" ca="1" si="2"/>
        <v>#VALUE!</v>
      </c>
      <c r="AB30" s="23">
        <f ca="1">_xll.meLWOBondDirtyPrice($M30,$C$4,$U30%)</f>
        <v>99.576999999999998</v>
      </c>
      <c r="AC30" s="23">
        <f ca="1">_xll.meLWOBondModifiedDuration($M30,$C$4,$U30%)</f>
        <v>5.9089579482528327</v>
      </c>
      <c r="AD30" s="22" t="str">
        <f ca="1">_xll.BDP($B30,AD$6,"YLD_YTM_ASK="&amp;$U30,"YAS_YLD_CONV=3")</f>
        <v>#N/A Requesting Data...</v>
      </c>
      <c r="AE30" s="24" t="e">
        <f t="shared" ca="1" si="3"/>
        <v>#VALUE!</v>
      </c>
      <c r="AF30" s="23">
        <f ca="1">_xll.meLWOBondDV01Numerical($M30,$C$4,$U30%,0.5,"CENTRAL")</f>
        <v>579.99999999992724</v>
      </c>
    </row>
    <row r="31" spans="2:32">
      <c r="B31" s="15" t="s">
        <v>1585</v>
      </c>
      <c r="C31" s="15" t="s">
        <v>1585</v>
      </c>
      <c r="D31" s="15" t="s">
        <v>1668</v>
      </c>
      <c r="E31" s="16">
        <v>41423</v>
      </c>
      <c r="F31" s="19">
        <v>41385</v>
      </c>
      <c r="G31" s="18"/>
      <c r="H31" s="16">
        <v>41568</v>
      </c>
      <c r="I31" s="16">
        <v>45586</v>
      </c>
      <c r="J31" s="17">
        <v>3.2500000000000001E-2</v>
      </c>
      <c r="K31" s="16">
        <v>45768</v>
      </c>
      <c r="L31" s="16" t="s">
        <v>1707</v>
      </c>
      <c r="M31" s="20" t="str">
        <f ca="1">_xll.meLWOBondCreateFromGeneratorLVB(C31,$M$4&amp;"_"&amp;$L31,_xll.meUtilityLVBFromKeysValues($C$6:$K$6,C31:K31))</f>
        <v>EJ6791309 CORP:0</v>
      </c>
      <c r="N31" s="92">
        <f ca="1">_xll.BDP($B31,$N$5)</f>
        <v>2.4570378643285533</v>
      </c>
      <c r="O31" s="83">
        <f ca="1">_xll.meLWOBondCleanPrice($M31,$C$4,$N31%)</f>
        <v>104.745</v>
      </c>
      <c r="P31" s="83">
        <f ca="1">_xll.meLWOBondDirtyPrice($M31,$C$4,$N31%)</f>
        <v>104.709</v>
      </c>
      <c r="Q31" s="83">
        <f ca="1">_xll.meLWOBondPrice(M31,$C$4,N31%)</f>
        <v>104.745</v>
      </c>
      <c r="R31" s="72">
        <f ca="1">ROUND(_xll.meLWOBondYield($M31,$C$4,W31),6)</f>
        <v>2.4570000000000002E-2</v>
      </c>
      <c r="S31" s="89">
        <f ca="1">_xll.meLWOBondModifiedDuration($M31,$C$4,$N31%)</f>
        <v>5.8669181837345841</v>
      </c>
      <c r="T31" s="23">
        <f ca="1">_xll.meLWOBondDV01($M31,$C$4,$N31%)</f>
        <v>614.31913610066454</v>
      </c>
      <c r="U31" s="86">
        <f t="shared" ca="1" si="0"/>
        <v>2.4570378643285533</v>
      </c>
      <c r="V31" s="91" t="str">
        <f ca="1">_xll.BDP($B31,V$6, "YAS_BOND_YLD="&amp;$U31,"YAS_YLD_CONV=3")</f>
        <v>#N/A Requesting Data...</v>
      </c>
      <c r="W31" s="37">
        <f t="shared" ca="1" si="4"/>
        <v>104.745</v>
      </c>
      <c r="X31" s="35" t="e">
        <f t="shared" ca="1" si="1"/>
        <v>#VALUE!</v>
      </c>
      <c r="Y31" s="23">
        <f ca="1">_xll.meLWOBondDV01($M31,$C$4,$U31%)</f>
        <v>614.31913610066454</v>
      </c>
      <c r="Z31" s="22" t="e">
        <f ca="1">_xll.BDP($B31,Z$6, "YLD_YTM_ASK="&amp;$U31,"YAS_YLD_CONV=3")*$Z$3*0.0001</f>
        <v>#VALUE!</v>
      </c>
      <c r="AA31" s="24" t="e">
        <f t="shared" ca="1" si="2"/>
        <v>#VALUE!</v>
      </c>
      <c r="AB31" s="23">
        <f ca="1">_xll.meLWOBondDirtyPrice($M31,$C$4,$U31%)</f>
        <v>104.709</v>
      </c>
      <c r="AC31" s="23">
        <f ca="1">_xll.meLWOBondModifiedDuration($M31,$C$4,$U31%)</f>
        <v>5.8669181837345841</v>
      </c>
      <c r="AD31" s="22" t="str">
        <f ca="1">_xll.BDP($B31,AD$6,"YLD_YTM_ASK="&amp;$U31,"YAS_YLD_CONV=3")</f>
        <v>#N/A Requesting Data...</v>
      </c>
      <c r="AE31" s="24" t="e">
        <f t="shared" ca="1" si="3"/>
        <v>#VALUE!</v>
      </c>
      <c r="AF31" s="23">
        <f ca="1">_xll.meLWOBondDV01Numerical($M31,$C$4,$U31%,0.5,"CENTRAL")</f>
        <v>619.99999999997624</v>
      </c>
    </row>
    <row r="32" spans="2:32">
      <c r="B32" s="15" t="s">
        <v>1622</v>
      </c>
      <c r="C32" s="15" t="s">
        <v>1622</v>
      </c>
      <c r="D32" s="15" t="s">
        <v>1689</v>
      </c>
      <c r="E32" s="16">
        <v>41416</v>
      </c>
      <c r="F32" s="19">
        <v>41385</v>
      </c>
      <c r="G32" s="18"/>
      <c r="H32" s="16">
        <v>41568</v>
      </c>
      <c r="I32" s="16">
        <v>45586</v>
      </c>
      <c r="J32" s="17">
        <v>3.2500000000000001E-2</v>
      </c>
      <c r="K32" s="16">
        <v>45768</v>
      </c>
      <c r="L32" s="16" t="s">
        <v>1708</v>
      </c>
      <c r="M32" s="20" t="str">
        <f ca="1">_xll.meLWOBondCreateFromGeneratorLVB(C32,$M$4&amp;"_"&amp;$L32,_xll.meUtilityLVBFromKeysValues($C$6:$K$6,C32:K32))</f>
        <v>EJ6935351 CORP:0</v>
      </c>
      <c r="N32" s="92">
        <f ca="1">_xll.BDP($B32,$N$5)</f>
        <v>2.1338652357852337</v>
      </c>
      <c r="O32" s="83">
        <f ca="1">_xll.meLWOBondCleanPrice($M32,$C$4,$N32%)</f>
        <v>106.752</v>
      </c>
      <c r="P32" s="83">
        <f ca="1">_xll.meLWOBondDirtyPrice($M32,$C$4,$N32%)</f>
        <v>106.71599999999999</v>
      </c>
      <c r="Q32" s="83">
        <f ca="1">_xll.meLWOBondPrice(M32,$C$4,N32%)</f>
        <v>106.71599999999999</v>
      </c>
      <c r="R32" s="72">
        <f ca="1">ROUND(_xll.meLWOBondYield($M32,$C$4,W32),6)</f>
        <v>2.1339E-2</v>
      </c>
      <c r="S32" s="89">
        <f ca="1">_xll.meLWOBondModifiedDuration($M32,$C$4,$N32%)</f>
        <v>5.882852933891388</v>
      </c>
      <c r="T32" s="23">
        <f ca="1">_xll.meLWOBondDV01($M32,$C$4,$N32%)</f>
        <v>627.79453369315331</v>
      </c>
      <c r="U32" s="86">
        <f t="shared" ca="1" si="0"/>
        <v>2.1338652357852337</v>
      </c>
      <c r="V32" s="91" t="str">
        <f ca="1">_xll.BDP($B32,V$6, "YAS_BOND_YLD="&amp;$U32,"YAS_YLD_CONV=3")</f>
        <v>#N/A Requesting Data...</v>
      </c>
      <c r="W32" s="37">
        <f t="shared" ca="1" si="4"/>
        <v>106.71599999999999</v>
      </c>
      <c r="X32" s="35" t="e">
        <f t="shared" ca="1" si="1"/>
        <v>#VALUE!</v>
      </c>
      <c r="Y32" s="23">
        <f ca="1">_xll.meLWOBondDV01($M32,$C$4,$U32%)</f>
        <v>627.79453369315331</v>
      </c>
      <c r="Z32" s="22" t="e">
        <f ca="1">_xll.BDP($B32,Z$6, "YLD_YTM_ASK="&amp;$U32,"YAS_YLD_CONV=3")*$Z$3*0.0001</f>
        <v>#VALUE!</v>
      </c>
      <c r="AA32" s="24" t="e">
        <f t="shared" ca="1" si="2"/>
        <v>#VALUE!</v>
      </c>
      <c r="AB32" s="23">
        <f ca="1">_xll.meLWOBondDirtyPrice($M32,$C$4,$U32%)</f>
        <v>106.71599999999999</v>
      </c>
      <c r="AC32" s="23">
        <f ca="1">_xll.meLWOBondModifiedDuration($M32,$C$4,$U32%)</f>
        <v>5.882852933891388</v>
      </c>
      <c r="AD32" s="22" t="str">
        <f ca="1">_xll.BDP($B32,AD$6,"YLD_YTM_ASK="&amp;$U32,"YAS_YLD_CONV=3")</f>
        <v>#N/A Requesting Data...</v>
      </c>
      <c r="AE32" s="24" t="e">
        <f t="shared" ca="1" si="3"/>
        <v>#VALUE!</v>
      </c>
      <c r="AF32" s="23">
        <f ca="1">_xll.meLWOBondDV01Numerical($M32,$C$4,$U32%,0.5,"CENTRAL")</f>
        <v>619.99999999997624</v>
      </c>
    </row>
    <row r="33" spans="2:32">
      <c r="B33" s="15" t="s">
        <v>1606</v>
      </c>
      <c r="C33" s="15" t="s">
        <v>1606</v>
      </c>
      <c r="D33" s="15" t="s">
        <v>1647</v>
      </c>
      <c r="E33" s="16">
        <v>41575</v>
      </c>
      <c r="F33" s="19">
        <v>41478</v>
      </c>
      <c r="G33" s="18"/>
      <c r="H33" s="16">
        <v>41662</v>
      </c>
      <c r="I33" s="16">
        <v>45680</v>
      </c>
      <c r="J33" s="17">
        <v>0.05</v>
      </c>
      <c r="K33" s="16">
        <v>45861</v>
      </c>
      <c r="L33" s="16" t="s">
        <v>1707</v>
      </c>
      <c r="M33" s="20" t="str">
        <f ca="1">_xll.meLWOBondCreateFromGeneratorLVB(C33,$M$4&amp;"_"&amp;$L33,_xll.meUtilityLVBFromKeysValues($C$6:$K$6,C33:K33))</f>
        <v>EJ8955977 CORP:0</v>
      </c>
      <c r="N33" s="92">
        <f ca="1">_xll.BDP($B33,$N$5)</f>
        <v>2.8349781033558523</v>
      </c>
      <c r="O33" s="83">
        <f ca="1">_xll.meLWOBondCleanPrice($M33,$C$4,$N33%)</f>
        <v>113.241</v>
      </c>
      <c r="P33" s="83">
        <f ca="1">_xll.meLWOBondDirtyPrice($M33,$C$4,$N33%)</f>
        <v>114.40900000000001</v>
      </c>
      <c r="Q33" s="83">
        <f ca="1">_xll.meLWOBondPrice(M33,$C$4,N33%)</f>
        <v>113.241</v>
      </c>
      <c r="R33" s="72">
        <f ca="1">ROUND(_xll.meLWOBondYield($M33,$C$4,W33),6)</f>
        <v>2.835E-2</v>
      </c>
      <c r="S33" s="89">
        <f ca="1">_xll.meLWOBondModifiedDuration($M33,$C$4,$N33%)</f>
        <v>5.7510765658325109</v>
      </c>
      <c r="T33" s="23">
        <f ca="1">_xll.meLWOBondDV01($M33,$C$4,$N33%)</f>
        <v>657.97491882033182</v>
      </c>
      <c r="U33" s="86">
        <f t="shared" ca="1" si="0"/>
        <v>2.8349781033558523</v>
      </c>
      <c r="V33" s="91" t="str">
        <f ca="1">_xll.BDP($B33,V$6, "YAS_BOND_YLD="&amp;$U33,"YAS_YLD_CONV=3")</f>
        <v>#N/A Requesting Data...</v>
      </c>
      <c r="W33" s="37">
        <f t="shared" ca="1" si="4"/>
        <v>113.241</v>
      </c>
      <c r="X33" s="35" t="e">
        <f t="shared" ca="1" si="1"/>
        <v>#VALUE!</v>
      </c>
      <c r="Y33" s="23">
        <f ca="1">_xll.meLWOBondDV01($M33,$C$4,$U33%)</f>
        <v>657.97491882033182</v>
      </c>
      <c r="Z33" s="22" t="e">
        <f ca="1">_xll.BDP($B33,Z$6, "YLD_YTM_ASK="&amp;$U33,"YAS_YLD_CONV=3")*$Z$3*0.0001</f>
        <v>#VALUE!</v>
      </c>
      <c r="AA33" s="24" t="e">
        <f t="shared" ca="1" si="2"/>
        <v>#VALUE!</v>
      </c>
      <c r="AB33" s="23">
        <f ca="1">_xll.meLWOBondDirtyPrice($M33,$C$4,$U33%)</f>
        <v>114.40900000000001</v>
      </c>
      <c r="AC33" s="23">
        <f ca="1">_xll.meLWOBondModifiedDuration($M33,$C$4,$U33%)</f>
        <v>5.7510765658325109</v>
      </c>
      <c r="AD33" s="22" t="str">
        <f ca="1">_xll.BDP($B33,AD$6,"YLD_YTM_ASK="&amp;$U33,"YAS_YLD_CONV=3")</f>
        <v>#N/A Requesting Data...</v>
      </c>
      <c r="AE33" s="24" t="e">
        <f t="shared" ca="1" si="3"/>
        <v>#VALUE!</v>
      </c>
      <c r="AF33" s="23">
        <f ca="1">_xll.meLWOBondDV01Numerical($M33,$C$4,$U33%,0.5,"CENTRAL")</f>
        <v>659.99999999988302</v>
      </c>
    </row>
    <row r="34" spans="2:32">
      <c r="B34" s="15" t="s">
        <v>1591</v>
      </c>
      <c r="C34" s="15" t="s">
        <v>1591</v>
      </c>
      <c r="D34" s="15" t="s">
        <v>1672</v>
      </c>
      <c r="E34" s="16">
        <v>41717</v>
      </c>
      <c r="F34" s="19">
        <v>41568</v>
      </c>
      <c r="G34" s="18"/>
      <c r="H34" s="16">
        <v>41750</v>
      </c>
      <c r="I34" s="16">
        <v>45951</v>
      </c>
      <c r="J34" s="17">
        <v>4.2500000000000003E-2</v>
      </c>
      <c r="K34" s="16">
        <v>46133</v>
      </c>
      <c r="L34" s="16" t="s">
        <v>1707</v>
      </c>
      <c r="M34" s="20" t="str">
        <f ca="1">_xll.meLWOBondCreateFromGeneratorLVB(C34,$M$4&amp;"_"&amp;$L34,_xll.meUtilityLVBFromKeysValues($C$6:$K$6,C34:K34))</f>
        <v>EK1150607 CORP:0</v>
      </c>
      <c r="N34" s="92">
        <f ca="1">_xll.BDP($B34,$N$5)</f>
        <v>2.5409468410030089</v>
      </c>
      <c r="O34" s="83">
        <f ca="1">_xll.meLWOBondCleanPrice($M34,$C$4,$N34%)</f>
        <v>111.619</v>
      </c>
      <c r="P34" s="83">
        <f ca="1">_xll.meLWOBondDirtyPrice($M34,$C$4,$N34%)</f>
        <v>111.57299999999999</v>
      </c>
      <c r="Q34" s="83">
        <f ca="1">_xll.meLWOBondPrice(M34,$C$4,N34%)</f>
        <v>111.619</v>
      </c>
      <c r="R34" s="72">
        <f ca="1">ROUND(_xll.meLWOBondYield($M34,$C$4,W34),6)</f>
        <v>2.5409000000000001E-2</v>
      </c>
      <c r="S34" s="89">
        <f ca="1">_xll.meLWOBondModifiedDuration($M34,$C$4,$N34%)</f>
        <v>6.4930435763602183</v>
      </c>
      <c r="T34" s="23">
        <f ca="1">_xll.meLWOBondDV01($M34,$C$4,$N34%)</f>
        <v>724.44835094523864</v>
      </c>
      <c r="U34" s="86">
        <f t="shared" ca="1" si="0"/>
        <v>2.5409468410030089</v>
      </c>
      <c r="V34" s="91" t="str">
        <f ca="1">_xll.BDP($B34,V$6, "YAS_BOND_YLD="&amp;$U34,"YAS_YLD_CONV=3")</f>
        <v>#N/A Requesting Data...</v>
      </c>
      <c r="W34" s="37">
        <f t="shared" ca="1" si="4"/>
        <v>111.619</v>
      </c>
      <c r="X34" s="35" t="e">
        <f t="shared" ca="1" si="1"/>
        <v>#VALUE!</v>
      </c>
      <c r="Y34" s="23">
        <f ca="1">_xll.meLWOBondDV01($M34,$C$4,$U34%)</f>
        <v>724.44835094523864</v>
      </c>
      <c r="Z34" s="22" t="e">
        <f ca="1">_xll.BDP($B34,Z$6, "YLD_YTM_ASK="&amp;$U34,"YAS_YLD_CONV=3")*$Z$3*0.0001</f>
        <v>#VALUE!</v>
      </c>
      <c r="AA34" s="24" t="e">
        <f t="shared" ca="1" si="2"/>
        <v>#VALUE!</v>
      </c>
      <c r="AB34" s="23">
        <f ca="1">_xll.meLWOBondDirtyPrice($M34,$C$4,$U34%)</f>
        <v>111.57299999999999</v>
      </c>
      <c r="AC34" s="23">
        <f ca="1">_xll.meLWOBondModifiedDuration($M34,$C$4,$U34%)</f>
        <v>6.4930435763602183</v>
      </c>
      <c r="AD34" s="22" t="str">
        <f ca="1">_xll.BDP($B34,AD$6,"YLD_YTM_ASK="&amp;$U34,"YAS_YLD_CONV=3")</f>
        <v>#N/A Requesting Data...</v>
      </c>
      <c r="AE34" s="24" t="e">
        <f t="shared" ca="1" si="3"/>
        <v>#VALUE!</v>
      </c>
      <c r="AF34" s="23">
        <f ca="1">_xll.meLWOBondDV01Numerical($M34,$C$4,$U34%,0.5,"CENTRAL")</f>
        <v>719.99999999988518</v>
      </c>
    </row>
    <row r="35" spans="2:32">
      <c r="B35" s="15" t="s">
        <v>1617</v>
      </c>
      <c r="C35" s="15" t="s">
        <v>1617</v>
      </c>
      <c r="D35" s="15" t="s">
        <v>1651</v>
      </c>
      <c r="E35" s="16">
        <v>41717</v>
      </c>
      <c r="F35" s="19">
        <v>41568</v>
      </c>
      <c r="G35" s="18"/>
      <c r="H35" s="16">
        <v>41750</v>
      </c>
      <c r="I35" s="16">
        <v>45951</v>
      </c>
      <c r="J35" s="17">
        <v>4.2500000000000003E-2</v>
      </c>
      <c r="K35" s="16">
        <v>46133</v>
      </c>
      <c r="L35" s="16" t="s">
        <v>1708</v>
      </c>
      <c r="M35" s="20" t="str">
        <f ca="1">_xll.meLWOBondCreateFromGeneratorLVB(C35,$M$4&amp;"_"&amp;$L35,_xll.meUtilityLVBFromKeysValues($C$6:$K$6,C35:K35))</f>
        <v>EK1150847 CORP:0</v>
      </c>
      <c r="N35" s="92">
        <f ca="1">_xll.BDP($B35,$N$5)</f>
        <v>2.4442610532575406</v>
      </c>
      <c r="O35" s="83">
        <f ca="1">_xll.meLWOBondCleanPrice($M35,$C$4,$N35%)</f>
        <v>112.322</v>
      </c>
      <c r="P35" s="83">
        <f ca="1">_xll.meLWOBondDirtyPrice($M35,$C$4,$N35%)</f>
        <v>112.276</v>
      </c>
      <c r="Q35" s="83">
        <f ca="1">_xll.meLWOBondPrice(M35,$C$4,N35%)</f>
        <v>112.276</v>
      </c>
      <c r="R35" s="72">
        <f ca="1">ROUND(_xll.meLWOBondYield($M35,$C$4,W35),6)</f>
        <v>2.4442999999999999E-2</v>
      </c>
      <c r="S35" s="89">
        <f ca="1">_xll.meLWOBondModifiedDuration($M35,$C$4,$N35%)</f>
        <v>6.4996417499207997</v>
      </c>
      <c r="T35" s="23">
        <f ca="1">_xll.meLWOBondDV01($M35,$C$4,$N35%)</f>
        <v>729.75377711410772</v>
      </c>
      <c r="U35" s="86">
        <f t="shared" ca="1" si="0"/>
        <v>2.4442610532575406</v>
      </c>
      <c r="V35" s="91" t="str">
        <f ca="1">_xll.BDP($B35,V$6, "YAS_BOND_YLD="&amp;$U35,"YAS_YLD_CONV=3")</f>
        <v>#N/A Requesting Data...</v>
      </c>
      <c r="W35" s="37">
        <f t="shared" ca="1" si="4"/>
        <v>112.276</v>
      </c>
      <c r="X35" s="35" t="e">
        <f t="shared" ca="1" si="1"/>
        <v>#VALUE!</v>
      </c>
      <c r="Y35" s="23">
        <f ca="1">_xll.meLWOBondDV01($M35,$C$4,$U35%)</f>
        <v>729.75377711410772</v>
      </c>
      <c r="Z35" s="22" t="e">
        <f ca="1">_xll.BDP($B35,Z$6, "YLD_YTM_ASK="&amp;$U35,"YAS_YLD_CONV=3")*$Z$3*0.0001</f>
        <v>#VALUE!</v>
      </c>
      <c r="AA35" s="24" t="e">
        <f t="shared" ca="1" si="2"/>
        <v>#VALUE!</v>
      </c>
      <c r="AB35" s="23">
        <f ca="1">_xll.meLWOBondDirtyPrice($M35,$C$4,$U35%)</f>
        <v>112.276</v>
      </c>
      <c r="AC35" s="23">
        <f ca="1">_xll.meLWOBondModifiedDuration($M35,$C$4,$U35%)</f>
        <v>6.4996417499207997</v>
      </c>
      <c r="AD35" s="22" t="str">
        <f ca="1">_xll.BDP($B35,AD$6,"YLD_YTM_ASK="&amp;$U35,"YAS_YLD_CONV=3")</f>
        <v>#N/A Requesting Data...</v>
      </c>
      <c r="AE35" s="24" t="e">
        <f t="shared" ca="1" si="3"/>
        <v>#VALUE!</v>
      </c>
      <c r="AF35" s="23">
        <f ca="1">_xll.meLWOBondDV01Numerical($M35,$C$4,$U35%,0.5,"CENTRAL")</f>
        <v>720.00000000002728</v>
      </c>
    </row>
    <row r="36" spans="2:32">
      <c r="B36" s="15" t="s">
        <v>1618</v>
      </c>
      <c r="C36" s="15" t="s">
        <v>1618</v>
      </c>
      <c r="D36" s="15" t="s">
        <v>1652</v>
      </c>
      <c r="E36" s="16">
        <v>42513</v>
      </c>
      <c r="F36" s="19">
        <v>42511</v>
      </c>
      <c r="G36" s="18"/>
      <c r="H36" s="16">
        <v>42695</v>
      </c>
      <c r="I36" s="16">
        <v>45982</v>
      </c>
      <c r="J36" s="17">
        <v>2.5000000000000001E-2</v>
      </c>
      <c r="K36" s="16">
        <v>46163</v>
      </c>
      <c r="L36" s="16" t="s">
        <v>1707</v>
      </c>
      <c r="M36" s="20" t="str">
        <f ca="1">_xll.meLWOBondCreateFromGeneratorLVB(C36,$M$4&amp;"_"&amp;$L36,_xll.meUtilityLVBFromKeysValues($C$6:$K$6,C36:K36))</f>
        <v>LW1235313 CORP:0</v>
      </c>
      <c r="N36" s="92">
        <f ca="1">_xll.BDP($B36,$N$5)</f>
        <v>2.8879531732430679</v>
      </c>
      <c r="O36" s="83">
        <f ca="1">_xll.meLWOBondCleanPrice($M36,$C$4,$N36%)</f>
        <v>97.37</v>
      </c>
      <c r="P36" s="83">
        <f ca="1">_xll.meLWOBondDirtyPrice($M36,$C$4,$N36%)</f>
        <v>98.382000000000005</v>
      </c>
      <c r="Q36" s="83">
        <f ca="1">_xll.meLWOBondPrice(M36,$C$4,N36%)</f>
        <v>97.37</v>
      </c>
      <c r="R36" s="72">
        <f ca="1">ROUND(_xll.meLWOBondYield($M36,$C$4,W36),6)</f>
        <v>2.8879999999999999E-2</v>
      </c>
      <c r="S36" s="89">
        <f ca="1">_xll.meLWOBondModifiedDuration($M36,$C$4,$N36%)</f>
        <v>6.7851174582000411</v>
      </c>
      <c r="T36" s="23">
        <f ca="1">_xll.meLWOBondDV01($M36,$C$4,$N36%)</f>
        <v>667.53342577263652</v>
      </c>
      <c r="U36" s="86">
        <f t="shared" ca="1" si="0"/>
        <v>2.8879531732430679</v>
      </c>
      <c r="V36" s="91" t="str">
        <f ca="1">_xll.BDP($B36,V$6, "YAS_BOND_YLD="&amp;$U36,"YAS_YLD_CONV=3")</f>
        <v>#N/A Requesting Data...</v>
      </c>
      <c r="W36" s="37">
        <f t="shared" ca="1" si="4"/>
        <v>97.37</v>
      </c>
      <c r="X36" s="35" t="e">
        <f t="shared" ca="1" si="1"/>
        <v>#VALUE!</v>
      </c>
      <c r="Y36" s="23">
        <f ca="1">_xll.meLWOBondDV01($M36,$C$4,$U36%)</f>
        <v>667.53342577263652</v>
      </c>
      <c r="Z36" s="22" t="e">
        <f ca="1">_xll.BDP($B36,Z$6, "YLD_YTM_ASK="&amp;$U36,"YAS_YLD_CONV=3")*$Z$3*0.0001</f>
        <v>#VALUE!</v>
      </c>
      <c r="AA36" s="24" t="e">
        <f t="shared" ca="1" si="2"/>
        <v>#VALUE!</v>
      </c>
      <c r="AB36" s="23">
        <f ca="1">_xll.meLWOBondDirtyPrice($M36,$C$4,$U36%)</f>
        <v>98.382000000000005</v>
      </c>
      <c r="AC36" s="23">
        <f ca="1">_xll.meLWOBondModifiedDuration($M36,$C$4,$U36%)</f>
        <v>6.7851174582000411</v>
      </c>
      <c r="AD36" s="22" t="str">
        <f ca="1">_xll.BDP($B36,AD$6,"YLD_YTM_ASK="&amp;$U36,"YAS_YLD_CONV=3")</f>
        <v>#N/A Requesting Data...</v>
      </c>
      <c r="AE36" s="24" t="e">
        <f t="shared" ca="1" si="3"/>
        <v>#VALUE!</v>
      </c>
      <c r="AF36" s="23">
        <f ca="1">_xll.meLWOBondDV01Numerical($M36,$C$4,$U36%,0.5,"CENTRAL")</f>
        <v>660.00000000002512</v>
      </c>
    </row>
    <row r="37" spans="2:32">
      <c r="B37" s="15" t="s">
        <v>1609</v>
      </c>
      <c r="C37" s="15" t="s">
        <v>1609</v>
      </c>
      <c r="D37" s="15" t="s">
        <v>1682</v>
      </c>
      <c r="E37" s="16">
        <v>42412</v>
      </c>
      <c r="F37" s="19">
        <v>42389</v>
      </c>
      <c r="G37" s="18"/>
      <c r="H37" s="16">
        <v>42571</v>
      </c>
      <c r="I37" s="16">
        <v>46042</v>
      </c>
      <c r="J37" s="17">
        <v>0.03</v>
      </c>
      <c r="K37" s="16">
        <v>46223</v>
      </c>
      <c r="L37" s="16" t="s">
        <v>1707</v>
      </c>
      <c r="M37" s="20" t="str">
        <f ca="1">_xll.meLWOBondCreateFromGeneratorLVB(C37,$M$4&amp;"_"&amp;$L37,_xll.meUtilityLVBFromKeysValues($C$6:$K$6,C37:K37))</f>
        <v>JV9205164 CORP:0</v>
      </c>
      <c r="N37" s="92">
        <f ca="1">_xll.BDP($B37,$N$5)</f>
        <v>2.9880456698463647</v>
      </c>
      <c r="O37" s="83">
        <f ca="1">_xll.meLWOBondCleanPrice($M37,$C$4,$N37%)</f>
        <v>100.07900000000001</v>
      </c>
      <c r="P37" s="83">
        <f ca="1">_xll.meLWOBondDirtyPrice($M37,$C$4,$N37%)</f>
        <v>100.80500000000001</v>
      </c>
      <c r="Q37" s="83">
        <f ca="1">_xll.meLWOBondPrice(M37,$C$4,N37%)</f>
        <v>100.07900000000001</v>
      </c>
      <c r="R37" s="72">
        <f ca="1">ROUND(_xll.meLWOBondYield($M37,$C$4,W37),6)</f>
        <v>2.988E-2</v>
      </c>
      <c r="S37" s="89">
        <f ca="1">_xll.meLWOBondModifiedDuration($M37,$C$4,$N37%)</f>
        <v>6.8281866260414334</v>
      </c>
      <c r="T37" s="23">
        <f ca="1">_xll.meLWOBondDV01($M37,$C$4,$N37%)</f>
        <v>688.31535283810672</v>
      </c>
      <c r="U37" s="86">
        <f t="shared" ca="1" si="0"/>
        <v>2.9880456698463647</v>
      </c>
      <c r="V37" s="91" t="str">
        <f ca="1">_xll.BDP($B37,V$6, "YAS_BOND_YLD="&amp;$U37,"YAS_YLD_CONV=3")</f>
        <v>#N/A Requesting Data...</v>
      </c>
      <c r="W37" s="37">
        <f t="shared" ca="1" si="4"/>
        <v>100.07900000000001</v>
      </c>
      <c r="X37" s="35" t="e">
        <f t="shared" ca="1" si="1"/>
        <v>#VALUE!</v>
      </c>
      <c r="Y37" s="23">
        <f ca="1">_xll.meLWOBondDV01($M37,$C$4,$U37%)</f>
        <v>688.31535283810672</v>
      </c>
      <c r="Z37" s="22" t="e">
        <f ca="1">_xll.BDP($B37,Z$6, "YLD_YTM_ASK="&amp;$U37,"YAS_YLD_CONV=3")*$Z$3*0.0001</f>
        <v>#VALUE!</v>
      </c>
      <c r="AA37" s="24" t="e">
        <f t="shared" ca="1" si="2"/>
        <v>#VALUE!</v>
      </c>
      <c r="AB37" s="23">
        <f ca="1">_xll.meLWOBondDirtyPrice($M37,$C$4,$U37%)</f>
        <v>100.80500000000001</v>
      </c>
      <c r="AC37" s="23">
        <f ca="1">_xll.meLWOBondModifiedDuration($M37,$C$4,$U37%)</f>
        <v>6.8281866260414334</v>
      </c>
      <c r="AD37" s="22" t="str">
        <f ca="1">_xll.BDP($B37,AD$6,"YLD_YTM_ASK="&amp;$U37,"YAS_YLD_CONV=3")</f>
        <v>#N/A Requesting Data...</v>
      </c>
      <c r="AE37" s="24" t="e">
        <f t="shared" ca="1" si="3"/>
        <v>#VALUE!</v>
      </c>
      <c r="AF37" s="23">
        <f ca="1">_xll.meLWOBondDV01Numerical($M37,$C$4,$U37%,0.5,"CENTRAL")</f>
        <v>679.9999999999784</v>
      </c>
    </row>
    <row r="38" spans="2:32">
      <c r="B38" s="15" t="s">
        <v>1603</v>
      </c>
      <c r="C38" s="15" t="s">
        <v>1603</v>
      </c>
      <c r="D38" s="15" t="s">
        <v>1646</v>
      </c>
      <c r="E38" s="16">
        <v>42894</v>
      </c>
      <c r="F38" s="19">
        <v>42846</v>
      </c>
      <c r="G38" s="18"/>
      <c r="H38" s="16">
        <v>43029</v>
      </c>
      <c r="I38" s="16">
        <v>46133</v>
      </c>
      <c r="J38" s="17">
        <v>0.03</v>
      </c>
      <c r="K38" s="16">
        <v>46316</v>
      </c>
      <c r="L38" s="16" t="s">
        <v>1707</v>
      </c>
      <c r="M38" s="20" t="str">
        <f ca="1">_xll.meLWOBondCreateFromGeneratorLVB(C38,$M$4&amp;"_"&amp;$L38,_xll.meUtilityLVBFromKeysValues($C$6:$K$6,C38:K38))</f>
        <v>AN7790412 CORP:0</v>
      </c>
      <c r="N38" s="92">
        <f ca="1">_xll.BDP($B38,$N$5)</f>
        <v>3.0289366651129339</v>
      </c>
      <c r="O38" s="83">
        <f ca="1">_xll.meLWOBondCleanPrice($M38,$C$4,$N38%)</f>
        <v>99.796000000000006</v>
      </c>
      <c r="P38" s="83">
        <f ca="1">_xll.meLWOBondDirtyPrice($M38,$C$4,$N38%)</f>
        <v>99.763000000000005</v>
      </c>
      <c r="Q38" s="83">
        <f ca="1">_xll.meLWOBondPrice(M38,$C$4,N38%)</f>
        <v>99.796000000000006</v>
      </c>
      <c r="R38" s="72">
        <f ca="1">ROUND(_xll.meLWOBondYield($M38,$C$4,W38),6)</f>
        <v>3.0289E-2</v>
      </c>
      <c r="S38" s="89">
        <f ca="1">_xll.meLWOBondModifiedDuration($M38,$C$4,$N38%)</f>
        <v>7.0743585449423811</v>
      </c>
      <c r="T38" s="23">
        <f ca="1">_xll.meLWOBondDV01($M38,$C$4,$N38%)</f>
        <v>705.75923151908682</v>
      </c>
      <c r="U38" s="86">
        <f t="shared" ca="1" si="0"/>
        <v>3.0289366651129339</v>
      </c>
      <c r="V38" s="91" t="str">
        <f ca="1">_xll.BDP($B38,V$6, "YAS_BOND_YLD="&amp;$U38,"YAS_YLD_CONV=3")</f>
        <v>#N/A Requesting Data...</v>
      </c>
      <c r="W38" s="37">
        <f t="shared" ca="1" si="4"/>
        <v>99.796000000000006</v>
      </c>
      <c r="X38" s="35" t="e">
        <f t="shared" ca="1" si="1"/>
        <v>#VALUE!</v>
      </c>
      <c r="Y38" s="23">
        <f ca="1">_xll.meLWOBondDV01($M38,$C$4,$U38%)</f>
        <v>705.75923151908682</v>
      </c>
      <c r="Z38" s="22" t="e">
        <f ca="1">_xll.BDP($B38,Z$6, "YLD_YTM_ASK="&amp;$U38,"YAS_YLD_CONV=3")*$Z$3*0.0001</f>
        <v>#VALUE!</v>
      </c>
      <c r="AA38" s="24" t="e">
        <f t="shared" ca="1" si="2"/>
        <v>#VALUE!</v>
      </c>
      <c r="AB38" s="23">
        <f ca="1">_xll.meLWOBondDirtyPrice($M38,$C$4,$U38%)</f>
        <v>99.763000000000005</v>
      </c>
      <c r="AC38" s="23">
        <f ca="1">_xll.meLWOBondModifiedDuration($M38,$C$4,$U38%)</f>
        <v>7.0743585449423811</v>
      </c>
      <c r="AD38" s="22" t="str">
        <f ca="1">_xll.BDP($B38,AD$6,"YLD_YTM_ASK="&amp;$U38,"YAS_YLD_CONV=3")</f>
        <v>#N/A Requesting Data...</v>
      </c>
      <c r="AE38" s="24" t="e">
        <f t="shared" ca="1" si="3"/>
        <v>#VALUE!</v>
      </c>
      <c r="AF38" s="23">
        <f ca="1">_xll.meLWOBondDV01Numerical($M38,$C$4,$U38%,0.5,"CENTRAL")</f>
        <v>700.0000000000739</v>
      </c>
    </row>
    <row r="39" spans="2:32">
      <c r="B39" s="15" t="s">
        <v>1611</v>
      </c>
      <c r="C39" s="15" t="s">
        <v>1611</v>
      </c>
      <c r="D39" s="15" t="s">
        <v>1684</v>
      </c>
      <c r="E39" s="16">
        <v>42705</v>
      </c>
      <c r="F39" s="19">
        <v>42705</v>
      </c>
      <c r="G39" s="18"/>
      <c r="H39" s="16">
        <v>42887</v>
      </c>
      <c r="I39" s="16">
        <v>46174</v>
      </c>
      <c r="J39" s="17">
        <v>0.04</v>
      </c>
      <c r="K39" s="16">
        <v>46357</v>
      </c>
      <c r="L39" s="16" t="s">
        <v>1707</v>
      </c>
      <c r="M39" s="20" t="str">
        <f ca="1">_xll.meLWOBondCreateFromGeneratorLVB(C39,$M$4&amp;"_"&amp;$L39,_xll.meUtilityLVBFromKeysValues($C$6:$K$6,C39:K39))</f>
        <v>AL4159805 CORP:0</v>
      </c>
      <c r="N39" s="92">
        <f ca="1">_xll.BDP($B39,$N$5)</f>
        <v>3.5950037716656542</v>
      </c>
      <c r="O39" s="83">
        <f ca="1">_xll.meLWOBondCleanPrice($M39,$C$4,$N39%)</f>
        <v>102.828</v>
      </c>
      <c r="P39" s="83">
        <f ca="1">_xll.meLWOBondDirtyPrice($M39,$C$4,$N39%)</f>
        <v>104.336</v>
      </c>
      <c r="Q39" s="83">
        <f ca="1">_xll.meLWOBondPrice(M39,$C$4,N39%)</f>
        <v>102.828</v>
      </c>
      <c r="R39" s="72">
        <f ca="1">ROUND(_xll.meLWOBondYield($M39,$C$4,W39),6)</f>
        <v>3.5950000000000003E-2</v>
      </c>
      <c r="S39" s="89">
        <f ca="1">_xll.meLWOBondModifiedDuration($M39,$C$4,$N39%)</f>
        <v>6.8105592617131423</v>
      </c>
      <c r="T39" s="23">
        <f ca="1">_xll.meLWOBondDV01($M39,$C$4,$N39%)</f>
        <v>710.58651113010239</v>
      </c>
      <c r="U39" s="86">
        <f t="shared" ref="U39:U63" ca="1" si="5">N39</f>
        <v>3.5950037716656542</v>
      </c>
      <c r="V39" s="91" t="str">
        <f ca="1">_xll.BDP($B39,V$6, "YAS_BOND_YLD="&amp;$U39,"YAS_YLD_CONV=3")</f>
        <v>#N/A Requesting Data...</v>
      </c>
      <c r="W39" s="37">
        <f t="shared" ca="1" si="4"/>
        <v>102.828</v>
      </c>
      <c r="X39" s="35" t="e">
        <f t="shared" ref="X39:X70" ca="1" si="6">ABS(W39-V39)</f>
        <v>#VALUE!</v>
      </c>
      <c r="Y39" s="23">
        <f ca="1">_xll.meLWOBondDV01($M39,$C$4,$U39%)</f>
        <v>710.58651113010239</v>
      </c>
      <c r="Z39" s="22" t="e">
        <f ca="1">_xll.BDP($B39,Z$6, "YLD_YTM_ASK="&amp;$U39,"YAS_YLD_CONV=3")*$Z$3*0.0001</f>
        <v>#VALUE!</v>
      </c>
      <c r="AA39" s="24" t="e">
        <f t="shared" ref="AA39:AA70" ca="1" si="7">ABS(Z39-Y39)</f>
        <v>#VALUE!</v>
      </c>
      <c r="AB39" s="23">
        <f ca="1">_xll.meLWOBondDirtyPrice($M39,$C$4,$U39%)</f>
        <v>104.336</v>
      </c>
      <c r="AC39" s="23">
        <f ca="1">_xll.meLWOBondModifiedDuration($M39,$C$4,$U39%)</f>
        <v>6.8105592617131423</v>
      </c>
      <c r="AD39" s="22" t="str">
        <f ca="1">_xll.BDP($B39,AD$6,"YLD_YTM_ASK="&amp;$U39,"YAS_YLD_CONV=3")</f>
        <v>#N/A Requesting Data...</v>
      </c>
      <c r="AE39" s="24" t="e">
        <f t="shared" ref="AE39:AE70" ca="1" si="8">ABS(AD39-AC39)</f>
        <v>#VALUE!</v>
      </c>
      <c r="AF39" s="23">
        <f ca="1">_xll.meLWOBondDV01Numerical($M39,$C$4,$U39%,0.5,"CENTRAL")</f>
        <v>720.00000000002728</v>
      </c>
    </row>
    <row r="40" spans="2:32">
      <c r="B40" s="15" t="s">
        <v>1584</v>
      </c>
      <c r="C40" s="15" t="s">
        <v>1584</v>
      </c>
      <c r="D40" s="15" t="s">
        <v>1637</v>
      </c>
      <c r="E40" s="16">
        <v>40843</v>
      </c>
      <c r="F40" s="19">
        <v>40837</v>
      </c>
      <c r="G40" s="18"/>
      <c r="H40" s="16">
        <v>41020</v>
      </c>
      <c r="I40" s="16">
        <v>46316</v>
      </c>
      <c r="J40" s="17">
        <v>4.7500000000000001E-2</v>
      </c>
      <c r="K40" s="16">
        <v>46498</v>
      </c>
      <c r="L40" s="16" t="s">
        <v>1707</v>
      </c>
      <c r="M40" s="20" t="str">
        <f ca="1">_xll.meLWOBondCreateFromGeneratorLVB(C40,$M$4&amp;"_"&amp;$L40,_xll.meUtilityLVBFromKeysValues($C$6:$K$6,C40:K40))</f>
        <v>EI8492650 CORP:0</v>
      </c>
      <c r="N40" s="92">
        <f ca="1">_xll.BDP($B40,$N$5)</f>
        <v>2.6089509398686692</v>
      </c>
      <c r="O40" s="83">
        <f ca="1">_xll.meLWOBondCleanPrice($M40,$C$4,$N40%)</f>
        <v>116.247</v>
      </c>
      <c r="P40" s="83">
        <f ca="1">_xll.meLWOBondDirtyPrice($M40,$C$4,$N40%)</f>
        <v>116.19499999999999</v>
      </c>
      <c r="Q40" s="83">
        <f ca="1">_xll.meLWOBondPrice(M40,$C$4,N40%)</f>
        <v>116.247</v>
      </c>
      <c r="R40" s="72">
        <f ca="1">ROUND(_xll.meLWOBondYield($M40,$C$4,W40),6)</f>
        <v>2.6089999999999999E-2</v>
      </c>
      <c r="S40" s="89">
        <f ca="1">_xll.meLWOBondModifiedDuration($M40,$C$4,$N40%)</f>
        <v>7.1307513041439661</v>
      </c>
      <c r="T40" s="23">
        <f ca="1">_xll.meLWOBondDV01($M40,$C$4,$N40%)</f>
        <v>828.55764778500804</v>
      </c>
      <c r="U40" s="86">
        <f t="shared" ca="1" si="5"/>
        <v>2.6089509398686692</v>
      </c>
      <c r="V40" s="91" t="str">
        <f ca="1">_xll.BDP($B40,V$6, "YAS_BOND_YLD="&amp;$U40,"YAS_YLD_CONV=3")</f>
        <v>#N/A Requesting Data...</v>
      </c>
      <c r="W40" s="37">
        <f t="shared" ca="1" si="4"/>
        <v>116.247</v>
      </c>
      <c r="X40" s="35" t="e">
        <f t="shared" ca="1" si="6"/>
        <v>#VALUE!</v>
      </c>
      <c r="Y40" s="23">
        <f ca="1">_xll.meLWOBondDV01($M40,$C$4,$U40%)</f>
        <v>828.55764778500804</v>
      </c>
      <c r="Z40" s="22" t="e">
        <f ca="1">_xll.BDP($B40,Z$6, "YLD_YTM_ASK="&amp;$U40,"YAS_YLD_CONV=3")*$Z$3*0.0001</f>
        <v>#VALUE!</v>
      </c>
      <c r="AA40" s="24" t="e">
        <f t="shared" ca="1" si="7"/>
        <v>#VALUE!</v>
      </c>
      <c r="AB40" s="23">
        <f ca="1">_xll.meLWOBondDirtyPrice($M40,$C$4,$U40%)</f>
        <v>116.19499999999999</v>
      </c>
      <c r="AC40" s="23">
        <f ca="1">_xll.meLWOBondModifiedDuration($M40,$C$4,$U40%)</f>
        <v>7.1307513041439661</v>
      </c>
      <c r="AD40" s="22" t="str">
        <f ca="1">_xll.BDP($B40,AD$6,"YLD_YTM_ASK="&amp;$U40,"YAS_YLD_CONV=3")</f>
        <v>#N/A Requesting Data...</v>
      </c>
      <c r="AE40" s="24" t="e">
        <f t="shared" ca="1" si="8"/>
        <v>#VALUE!</v>
      </c>
      <c r="AF40" s="23">
        <f ca="1">_xll.meLWOBondDV01Numerical($M40,$C$4,$U40%,0.5,"CENTRAL")</f>
        <v>820.00000000007844</v>
      </c>
    </row>
    <row r="41" spans="2:32">
      <c r="B41" s="15" t="s">
        <v>1632</v>
      </c>
      <c r="C41" s="15" t="s">
        <v>1632</v>
      </c>
      <c r="D41" s="15" t="s">
        <v>1693</v>
      </c>
      <c r="E41" s="16">
        <v>40843</v>
      </c>
      <c r="F41" s="19">
        <v>40837</v>
      </c>
      <c r="G41" s="18"/>
      <c r="H41" s="16">
        <v>41020</v>
      </c>
      <c r="I41" s="16">
        <v>46316</v>
      </c>
      <c r="J41" s="17">
        <v>4.7500000000000001E-2</v>
      </c>
      <c r="K41" s="16">
        <v>46498</v>
      </c>
      <c r="L41" s="16" t="s">
        <v>1708</v>
      </c>
      <c r="M41" s="20" t="str">
        <f ca="1">_xll.meLWOBondCreateFromGeneratorLVB(C41,$M$4&amp;"_"&amp;$L41,_xll.meUtilityLVBFromKeysValues($C$6:$K$6,C41:K41))</f>
        <v>EJ6777233 CORP:0</v>
      </c>
      <c r="N41" s="92">
        <f ca="1">_xll.BDP($B41,$N$5)</f>
        <v>2.3036810171630346</v>
      </c>
      <c r="O41" s="83">
        <f ca="1">_xll.meLWOBondCleanPrice($M41,$C$4,$N41%)</f>
        <v>118.80900000000001</v>
      </c>
      <c r="P41" s="83">
        <f ca="1">_xll.meLWOBondDirtyPrice($M41,$C$4,$N41%)</f>
        <v>118.75700000000001</v>
      </c>
      <c r="Q41" s="83">
        <f ca="1">_xll.meLWOBondPrice(M41,$C$4,N41%)</f>
        <v>118.75700000000001</v>
      </c>
      <c r="R41" s="72">
        <f ca="1">ROUND(_xll.meLWOBondYield($M41,$C$4,W41),6)</f>
        <v>2.3036999999999998E-2</v>
      </c>
      <c r="S41" s="89">
        <f ca="1">_xll.meLWOBondModifiedDuration($M41,$C$4,$N41%)</f>
        <v>7.1579492749258611</v>
      </c>
      <c r="T41" s="23">
        <f ca="1">_xll.meLWOBondDV01($M41,$C$4,$N41%)</f>
        <v>850.05658204237056</v>
      </c>
      <c r="U41" s="86">
        <f t="shared" ca="1" si="5"/>
        <v>2.3036810171630346</v>
      </c>
      <c r="V41" s="91" t="str">
        <f ca="1">_xll.BDP($B41,V$6, "YAS_BOND_YLD="&amp;$U41,"YAS_YLD_CONV=3")</f>
        <v>#N/A Requesting Data...</v>
      </c>
      <c r="W41" s="37">
        <f t="shared" ca="1" si="4"/>
        <v>118.75700000000001</v>
      </c>
      <c r="X41" s="35" t="e">
        <f t="shared" ca="1" si="6"/>
        <v>#VALUE!</v>
      </c>
      <c r="Y41" s="23">
        <f ca="1">_xll.meLWOBondDV01($M41,$C$4,$U41%)</f>
        <v>850.05658204237056</v>
      </c>
      <c r="Z41" s="22" t="e">
        <f ca="1">_xll.BDP($B41,Z$6, "YLD_YTM_ASK="&amp;$U41,"YAS_YLD_CONV=3")*$Z$3*0.0001</f>
        <v>#VALUE!</v>
      </c>
      <c r="AA41" s="24" t="e">
        <f t="shared" ca="1" si="7"/>
        <v>#VALUE!</v>
      </c>
      <c r="AB41" s="23">
        <f ca="1">_xll.meLWOBondDirtyPrice($M41,$C$4,$U41%)</f>
        <v>118.75700000000001</v>
      </c>
      <c r="AC41" s="23">
        <f ca="1">_xll.meLWOBondModifiedDuration($M41,$C$4,$U41%)</f>
        <v>7.1579492749258611</v>
      </c>
      <c r="AD41" s="22" t="str">
        <f ca="1">_xll.BDP($B41,AD$6,"YLD_YTM_ASK="&amp;$U41,"YAS_YLD_CONV=3")</f>
        <v>#N/A Requesting Data...</v>
      </c>
      <c r="AE41" s="24" t="e">
        <f t="shared" ca="1" si="8"/>
        <v>#VALUE!</v>
      </c>
      <c r="AF41" s="23">
        <f ca="1">_xll.meLWOBondDV01Numerical($M41,$C$4,$U41%,0.5,"CENTRAL")</f>
        <v>849.99999999993747</v>
      </c>
    </row>
    <row r="42" spans="2:32">
      <c r="B42" s="15" t="s">
        <v>1607</v>
      </c>
      <c r="C42" s="15" t="s">
        <v>1607</v>
      </c>
      <c r="D42" s="15" t="s">
        <v>1680</v>
      </c>
      <c r="E42" s="16">
        <v>42814</v>
      </c>
      <c r="F42" s="19">
        <v>42814</v>
      </c>
      <c r="G42" s="18"/>
      <c r="H42" s="16">
        <v>42998</v>
      </c>
      <c r="I42" s="16">
        <v>46466</v>
      </c>
      <c r="J42" s="17">
        <v>0.03</v>
      </c>
      <c r="K42" s="16">
        <v>46650</v>
      </c>
      <c r="L42" s="16" t="s">
        <v>1707</v>
      </c>
      <c r="M42" s="20" t="str">
        <f ca="1">_xll.meLWOBondCreateFromGeneratorLVB(C42,$M$4&amp;"_"&amp;$L42,_xll.meUtilityLVBFromKeysValues($C$6:$K$6,C42:K42))</f>
        <v>AM6907472 CORP:0</v>
      </c>
      <c r="N42" s="92">
        <f ca="1">_xll.BDP($B42,$N$5)</f>
        <v>3.0999723371921784</v>
      </c>
      <c r="O42" s="83">
        <f ca="1">_xll.meLWOBondCleanPrice($M42,$C$4,$N42%)</f>
        <v>99.22399999999999</v>
      </c>
      <c r="P42" s="83">
        <f ca="1">_xll.meLWOBondDirtyPrice($M42,$C$4,$N42%)</f>
        <v>99.447999999999993</v>
      </c>
      <c r="Q42" s="83">
        <f ca="1">_xll.meLWOBondPrice(M42,$C$4,N42%)</f>
        <v>99.22399999999999</v>
      </c>
      <c r="R42" s="72">
        <f ca="1">ROUND(_xll.meLWOBondYield($M42,$C$4,W42),6)</f>
        <v>3.1E-2</v>
      </c>
      <c r="S42" s="89">
        <f ca="1">_xll.meLWOBondModifiedDuration($M42,$C$4,$N42%)</f>
        <v>7.7539828155000317</v>
      </c>
      <c r="T42" s="23">
        <f ca="1">_xll.meLWOBondDV01($M42,$C$4,$N42%)</f>
        <v>771.11808303584712</v>
      </c>
      <c r="U42" s="86">
        <f t="shared" ca="1" si="5"/>
        <v>3.0999723371921784</v>
      </c>
      <c r="V42" s="91" t="str">
        <f ca="1">_xll.BDP($B42,V$6, "YAS_BOND_YLD="&amp;$U42,"YAS_YLD_CONV=3")</f>
        <v>#N/A Requesting Data...</v>
      </c>
      <c r="W42" s="37">
        <f t="shared" ca="1" si="4"/>
        <v>99.22399999999999</v>
      </c>
      <c r="X42" s="35" t="e">
        <f t="shared" ca="1" si="6"/>
        <v>#VALUE!</v>
      </c>
      <c r="Y42" s="23">
        <f ca="1">_xll.meLWOBondDV01($M42,$C$4,$U42%)</f>
        <v>771.11808303584712</v>
      </c>
      <c r="Z42" s="22" t="e">
        <f ca="1">_xll.BDP($B42,Z$6, "YLD_YTM_ASK="&amp;$U42,"YAS_YLD_CONV=3")*$Z$3*0.0001</f>
        <v>#VALUE!</v>
      </c>
      <c r="AA42" s="24" t="e">
        <f t="shared" ca="1" si="7"/>
        <v>#VALUE!</v>
      </c>
      <c r="AB42" s="23">
        <f ca="1">_xll.meLWOBondDirtyPrice($M42,$C$4,$U42%)</f>
        <v>99.447999999999993</v>
      </c>
      <c r="AC42" s="23">
        <f ca="1">_xll.meLWOBondModifiedDuration($M42,$C$4,$U42%)</f>
        <v>7.7539828155000317</v>
      </c>
      <c r="AD42" s="22" t="str">
        <f ca="1">_xll.BDP($B42,AD$6,"YLD_YTM_ASK="&amp;$U42,"YAS_YLD_CONV=3")</f>
        <v>#N/A Requesting Data...</v>
      </c>
      <c r="AE42" s="24" t="e">
        <f t="shared" ca="1" si="8"/>
        <v>#VALUE!</v>
      </c>
      <c r="AF42" s="23">
        <f ca="1">_xll.meLWOBondDV01Numerical($M42,$C$4,$U42%,0.5,"CENTRAL")</f>
        <v>779.99999999988756</v>
      </c>
    </row>
    <row r="43" spans="2:32">
      <c r="B43" s="15" t="s">
        <v>1599</v>
      </c>
      <c r="C43" s="15" t="s">
        <v>1599</v>
      </c>
      <c r="D43" s="15" t="s">
        <v>1644</v>
      </c>
      <c r="E43" s="16">
        <v>42531</v>
      </c>
      <c r="F43" s="19">
        <v>42481</v>
      </c>
      <c r="G43" s="18"/>
      <c r="H43" s="16">
        <v>42664</v>
      </c>
      <c r="I43" s="16">
        <v>46498</v>
      </c>
      <c r="J43" s="17">
        <v>0.03</v>
      </c>
      <c r="K43" s="16">
        <v>46681</v>
      </c>
      <c r="L43" s="16" t="s">
        <v>1707</v>
      </c>
      <c r="M43" s="20" t="str">
        <f ca="1">_xll.meLWOBondCreateFromGeneratorLVB(C43,$M$4&amp;"_"&amp;$L43,_xll.meUtilityLVBFromKeysValues($C$6:$K$6,C43:K43))</f>
        <v>LW2811898 CORP:0</v>
      </c>
      <c r="N43" s="92">
        <f ca="1">_xll.BDP($B43,$N$5)</f>
        <v>3.136012042508546</v>
      </c>
      <c r="O43" s="83">
        <f ca="1">_xll.meLWOBondCleanPrice($M43,$C$4,$N43%)</f>
        <v>98.94</v>
      </c>
      <c r="P43" s="83">
        <f ca="1">_xll.meLWOBondDirtyPrice($M43,$C$4,$N43%)</f>
        <v>98.906999999999996</v>
      </c>
      <c r="Q43" s="83">
        <f ca="1">_xll.meLWOBondPrice(M43,$C$4,N43%)</f>
        <v>98.94</v>
      </c>
      <c r="R43" s="72">
        <f ca="1">ROUND(_xll.meLWOBondYield($M43,$C$4,W43),6)</f>
        <v>3.1359999999999999E-2</v>
      </c>
      <c r="S43" s="89">
        <f ca="1">_xll.meLWOBondModifiedDuration($M43,$C$4,$N43%)</f>
        <v>7.8349968052380072</v>
      </c>
      <c r="T43" s="23">
        <f ca="1">_xll.meLWOBondDV01($M43,$C$4,$N43%)</f>
        <v>774.93602901567556</v>
      </c>
      <c r="U43" s="86">
        <f t="shared" ca="1" si="5"/>
        <v>3.136012042508546</v>
      </c>
      <c r="V43" s="91" t="str">
        <f ca="1">_xll.BDP($B43,V$6, "YAS_BOND_YLD="&amp;$U43,"YAS_YLD_CONV=3")</f>
        <v>#N/A Requesting Data...</v>
      </c>
      <c r="W43" s="37">
        <f t="shared" ca="1" si="4"/>
        <v>98.94</v>
      </c>
      <c r="X43" s="35" t="e">
        <f t="shared" ca="1" si="6"/>
        <v>#VALUE!</v>
      </c>
      <c r="Y43" s="23">
        <f ca="1">_xll.meLWOBondDV01($M43,$C$4,$U43%)</f>
        <v>774.93602901567556</v>
      </c>
      <c r="Z43" s="22" t="e">
        <f ca="1">_xll.BDP($B43,Z$6, "YLD_YTM_ASK="&amp;$U43,"YAS_YLD_CONV=3")*$Z$3*0.0001</f>
        <v>#VALUE!</v>
      </c>
      <c r="AA43" s="24" t="e">
        <f t="shared" ca="1" si="7"/>
        <v>#VALUE!</v>
      </c>
      <c r="AB43" s="23">
        <f ca="1">_xll.meLWOBondDirtyPrice($M43,$C$4,$U43%)</f>
        <v>98.906999999999996</v>
      </c>
      <c r="AC43" s="23">
        <f ca="1">_xll.meLWOBondModifiedDuration($M43,$C$4,$U43%)</f>
        <v>7.8349968052380072</v>
      </c>
      <c r="AD43" s="22" t="str">
        <f ca="1">_xll.BDP($B43,AD$6,"YLD_YTM_ASK="&amp;$U43,"YAS_YLD_CONV=3")</f>
        <v>#N/A Requesting Data...</v>
      </c>
      <c r="AE43" s="24" t="e">
        <f t="shared" ca="1" si="8"/>
        <v>#VALUE!</v>
      </c>
      <c r="AF43" s="23">
        <f ca="1">_xll.meLWOBondDV01Numerical($M43,$C$4,$U43%,0.5,"CENTRAL")</f>
        <v>780.00000000002956</v>
      </c>
    </row>
    <row r="44" spans="2:32">
      <c r="B44" s="15" t="s">
        <v>1583</v>
      </c>
      <c r="C44" s="15" t="s">
        <v>1583</v>
      </c>
      <c r="D44" s="15" t="s">
        <v>1667</v>
      </c>
      <c r="E44" s="16">
        <v>42397</v>
      </c>
      <c r="F44" s="19">
        <v>42329</v>
      </c>
      <c r="G44" s="18"/>
      <c r="H44" s="16">
        <v>42511</v>
      </c>
      <c r="I44" s="16">
        <v>46528</v>
      </c>
      <c r="J44" s="17">
        <v>2.75E-2</v>
      </c>
      <c r="K44" s="16">
        <v>46712</v>
      </c>
      <c r="L44" s="16" t="s">
        <v>1707</v>
      </c>
      <c r="M44" s="20" t="str">
        <f ca="1">_xll.meLWOBondCreateFromGeneratorLVB(C44,$M$4&amp;"_"&amp;$L44,_xll.meUtilityLVBFromKeysValues($C$6:$K$6,C44:K44))</f>
        <v>JV3198662 CORP:0</v>
      </c>
      <c r="N44" s="92">
        <f ca="1">_xll.BDP($B44,$N$5)</f>
        <v>2.6589929331914068</v>
      </c>
      <c r="O44" s="83">
        <f ca="1">_xll.meLWOBondCleanPrice($M44,$C$4,$N44%)</f>
        <v>100.73</v>
      </c>
      <c r="P44" s="83">
        <f ca="1">_xll.meLWOBondDirtyPrice($M44,$C$4,$N44%)</f>
        <v>101.843</v>
      </c>
      <c r="Q44" s="83">
        <f ca="1">_xll.meLWOBondPrice(M44,$C$4,N44%)</f>
        <v>100.73</v>
      </c>
      <c r="R44" s="72">
        <f ca="1">ROUND(_xll.meLWOBondYield($M44,$C$4,W44),6)</f>
        <v>2.6589999999999999E-2</v>
      </c>
      <c r="S44" s="89">
        <f ca="1">_xll.meLWOBondModifiedDuration($M44,$C$4,$N44%)</f>
        <v>7.9196520448755354</v>
      </c>
      <c r="T44" s="23">
        <f ca="1">_xll.meLWOBondDV01($M44,$C$4,$N44%)</f>
        <v>806.56112320625914</v>
      </c>
      <c r="U44" s="86">
        <f t="shared" ca="1" si="5"/>
        <v>2.6589929331914068</v>
      </c>
      <c r="V44" s="91" t="str">
        <f ca="1">_xll.BDP($B44,V$6, "YAS_BOND_YLD="&amp;$U44,"YAS_YLD_CONV=3")</f>
        <v>#N/A Requesting Data...</v>
      </c>
      <c r="W44" s="37">
        <f t="shared" ca="1" si="4"/>
        <v>100.73</v>
      </c>
      <c r="X44" s="35" t="e">
        <f t="shared" ca="1" si="6"/>
        <v>#VALUE!</v>
      </c>
      <c r="Y44" s="23">
        <f ca="1">_xll.meLWOBondDV01($M44,$C$4,$U44%)</f>
        <v>806.56112320625914</v>
      </c>
      <c r="Z44" s="22" t="e">
        <f ca="1">_xll.BDP($B44,Z$6, "YLD_YTM_ASK="&amp;$U44,"YAS_YLD_CONV=3")*$Z$3*0.0001</f>
        <v>#VALUE!</v>
      </c>
      <c r="AA44" s="24" t="e">
        <f t="shared" ca="1" si="7"/>
        <v>#VALUE!</v>
      </c>
      <c r="AB44" s="23">
        <f ca="1">_xll.meLWOBondDirtyPrice($M44,$C$4,$U44%)</f>
        <v>101.843</v>
      </c>
      <c r="AC44" s="23">
        <f ca="1">_xll.meLWOBondModifiedDuration($M44,$C$4,$U44%)</f>
        <v>7.9196520448755354</v>
      </c>
      <c r="AD44" s="22" t="str">
        <f ca="1">_xll.BDP($B44,AD$6,"YLD_YTM_ASK="&amp;$U44,"YAS_YLD_CONV=3")</f>
        <v>#N/A Requesting Data...</v>
      </c>
      <c r="AE44" s="24" t="e">
        <f t="shared" ca="1" si="8"/>
        <v>#VALUE!</v>
      </c>
      <c r="AF44" s="23">
        <f ca="1">_xll.meLWOBondDV01Numerical($M44,$C$4,$U44%,0.5,"CENTRAL")</f>
        <v>799.99999999998295</v>
      </c>
    </row>
    <row r="45" spans="2:32">
      <c r="B45" s="15" t="s">
        <v>1635</v>
      </c>
      <c r="C45" s="15" t="s">
        <v>1635</v>
      </c>
      <c r="D45" s="15" t="s">
        <v>1662</v>
      </c>
      <c r="E45" s="16">
        <v>42397</v>
      </c>
      <c r="F45" s="19">
        <v>42329</v>
      </c>
      <c r="G45" s="18"/>
      <c r="H45" s="16">
        <v>42511</v>
      </c>
      <c r="I45" s="16">
        <v>46528</v>
      </c>
      <c r="J45" s="17">
        <v>2.75E-2</v>
      </c>
      <c r="K45" s="16">
        <v>46712</v>
      </c>
      <c r="L45" s="16" t="s">
        <v>1708</v>
      </c>
      <c r="M45" s="20" t="str">
        <f ca="1">_xll.meLWOBondCreateFromGeneratorLVB(C45,$M$4&amp;"_"&amp;$L45,_xll.meUtilityLVBFromKeysValues($C$6:$K$6,C45:K45))</f>
        <v>JV7193115 CORP:0</v>
      </c>
      <c r="N45" s="92">
        <f ca="1">_xll.BDP($B45,$N$5)</f>
        <v>2.6675511030878742</v>
      </c>
      <c r="O45" s="83">
        <f ca="1">_xll.meLWOBondCleanPrice($M45,$C$4,$N45%)</f>
        <v>100.661</v>
      </c>
      <c r="P45" s="83">
        <f ca="1">_xll.meLWOBondDirtyPrice($M45,$C$4,$N45%)</f>
        <v>101.774</v>
      </c>
      <c r="Q45" s="83">
        <f ca="1">_xll.meLWOBondPrice(M45,$C$4,N45%)</f>
        <v>101.774</v>
      </c>
      <c r="R45" s="72">
        <f ca="1">ROUND(_xll.meLWOBondYield($M45,$C$4,W45),6)</f>
        <v>2.6675999999999998E-2</v>
      </c>
      <c r="S45" s="89">
        <f ca="1">_xll.meLWOBondModifiedDuration($M45,$C$4,$N45%)</f>
        <v>7.9188520031026011</v>
      </c>
      <c r="T45" s="23">
        <f ca="1">_xll.meLWOBondDV01($M45,$C$4,$N45%)</f>
        <v>805.93324376376415</v>
      </c>
      <c r="U45" s="86">
        <f t="shared" ca="1" si="5"/>
        <v>2.6675511030878742</v>
      </c>
      <c r="V45" s="91" t="str">
        <f ca="1">_xll.BDP($B45,V$6, "YAS_BOND_YLD="&amp;$U45,"YAS_YLD_CONV=3")</f>
        <v>#N/A Requesting Data...</v>
      </c>
      <c r="W45" s="37">
        <f t="shared" ca="1" si="4"/>
        <v>101.774</v>
      </c>
      <c r="X45" s="35" t="e">
        <f t="shared" ca="1" si="6"/>
        <v>#VALUE!</v>
      </c>
      <c r="Y45" s="23">
        <f ca="1">_xll.meLWOBondDV01($M45,$C$4,$U45%)</f>
        <v>805.93324376376415</v>
      </c>
      <c r="Z45" s="22" t="e">
        <f ca="1">_xll.BDP($B45,Z$6, "YLD_YTM_ASK="&amp;$U45,"YAS_YLD_CONV=3")*$Z$3*0.0001</f>
        <v>#VALUE!</v>
      </c>
      <c r="AA45" s="24" t="e">
        <f t="shared" ca="1" si="7"/>
        <v>#VALUE!</v>
      </c>
      <c r="AB45" s="23">
        <f ca="1">_xll.meLWOBondDirtyPrice($M45,$C$4,$U45%)</f>
        <v>101.774</v>
      </c>
      <c r="AC45" s="23">
        <f ca="1">_xll.meLWOBondModifiedDuration($M45,$C$4,$U45%)</f>
        <v>7.9188520031026011</v>
      </c>
      <c r="AD45" s="22" t="str">
        <f ca="1">_xll.BDP($B45,AD$6,"YLD_YTM_ASK="&amp;$U45,"YAS_YLD_CONV=3")</f>
        <v>#N/A Requesting Data...</v>
      </c>
      <c r="AE45" s="24" t="e">
        <f t="shared" ca="1" si="8"/>
        <v>#VALUE!</v>
      </c>
      <c r="AF45" s="23">
        <f ca="1">_xll.meLWOBondDV01Numerical($M45,$C$4,$U45%,0.5,"CENTRAL")</f>
        <v>799.99999999998295</v>
      </c>
    </row>
    <row r="46" spans="2:32">
      <c r="B46" s="15" t="s">
        <v>1580</v>
      </c>
      <c r="C46" s="15" t="s">
        <v>1580</v>
      </c>
      <c r="D46" s="15" t="s">
        <v>1664</v>
      </c>
      <c r="E46" s="16">
        <v>42509</v>
      </c>
      <c r="F46" s="19">
        <v>42329</v>
      </c>
      <c r="G46" s="18"/>
      <c r="H46" s="16">
        <v>42511</v>
      </c>
      <c r="I46" s="16">
        <v>46712</v>
      </c>
      <c r="J46" s="17">
        <v>2.2499999999999999E-2</v>
      </c>
      <c r="K46" s="16">
        <v>46894</v>
      </c>
      <c r="L46" s="16" t="s">
        <v>1707</v>
      </c>
      <c r="M46" s="20" t="str">
        <f ca="1">_xll.meLWOBondCreateFromGeneratorLVB(C46,$M$4&amp;"_"&amp;$L46,_xll.meUtilityLVBFromKeysValues($C$6:$K$6,C46:K46))</f>
        <v>LW0207677 CORP:0</v>
      </c>
      <c r="N46" s="92">
        <f ca="1">_xll.BDP($B46,$N$5)</f>
        <v>2.6849716218687751</v>
      </c>
      <c r="O46" s="83">
        <f ca="1">_xll.meLWOBondCleanPrice($M46,$C$4,$N46%)</f>
        <v>96.340999999999994</v>
      </c>
      <c r="P46" s="83">
        <f ca="1">_xll.meLWOBondDirtyPrice($M46,$C$4,$N46%)</f>
        <v>97.251999999999995</v>
      </c>
      <c r="Q46" s="83">
        <f ca="1">_xll.meLWOBondPrice(M46,$C$4,N46%)</f>
        <v>96.340999999999994</v>
      </c>
      <c r="R46" s="72">
        <f ca="1">ROUND(_xll.meLWOBondYield($M46,$C$4,W46),6)</f>
        <v>2.6849999999999999E-2</v>
      </c>
      <c r="S46" s="89">
        <f ca="1">_xll.meLWOBondModifiedDuration($M46,$C$4,$N46%)</f>
        <v>8.4676877687836853</v>
      </c>
      <c r="T46" s="23">
        <f ca="1">_xll.meLWOBondDV01($M46,$C$4,$N46%)</f>
        <v>823.49957088975088</v>
      </c>
      <c r="U46" s="86">
        <f t="shared" ca="1" si="5"/>
        <v>2.6849716218687751</v>
      </c>
      <c r="V46" s="91" t="str">
        <f ca="1">_xll.BDP($B46,V$6, "YAS_BOND_YLD="&amp;$U46,"YAS_YLD_CONV=3")</f>
        <v>#N/A Requesting Data...</v>
      </c>
      <c r="W46" s="37">
        <f t="shared" ca="1" si="4"/>
        <v>96.340999999999994</v>
      </c>
      <c r="X46" s="35" t="e">
        <f t="shared" ca="1" si="6"/>
        <v>#VALUE!</v>
      </c>
      <c r="Y46" s="23">
        <f ca="1">_xll.meLWOBondDV01($M46,$C$4,$U46%)</f>
        <v>823.49957088975088</v>
      </c>
      <c r="Z46" s="22" t="e">
        <f ca="1">_xll.BDP($B46,Z$6, "YLD_YTM_ASK="&amp;$U46,"YAS_YLD_CONV=3")*$Z$3*0.0001</f>
        <v>#VALUE!</v>
      </c>
      <c r="AA46" s="24" t="e">
        <f t="shared" ca="1" si="7"/>
        <v>#VALUE!</v>
      </c>
      <c r="AB46" s="23">
        <f ca="1">_xll.meLWOBondDirtyPrice($M46,$C$4,$U46%)</f>
        <v>97.251999999999995</v>
      </c>
      <c r="AC46" s="23">
        <f ca="1">_xll.meLWOBondModifiedDuration($M46,$C$4,$U46%)</f>
        <v>8.4676877687836853</v>
      </c>
      <c r="AD46" s="22" t="str">
        <f ca="1">_xll.BDP($B46,AD$6,"YLD_YTM_ASK="&amp;$U46,"YAS_YLD_CONV=3")</f>
        <v>#N/A Requesting Data...</v>
      </c>
      <c r="AE46" s="24" t="e">
        <f t="shared" ca="1" si="8"/>
        <v>#VALUE!</v>
      </c>
      <c r="AF46" s="23">
        <f ca="1">_xll.meLWOBondDV01Numerical($M46,$C$4,$U46%,0.5,"CENTRAL")</f>
        <v>820.00000000007844</v>
      </c>
    </row>
    <row r="47" spans="2:32">
      <c r="B47" s="15" t="s">
        <v>1616</v>
      </c>
      <c r="C47" s="15" t="s">
        <v>1616</v>
      </c>
      <c r="D47" s="15" t="s">
        <v>1686</v>
      </c>
      <c r="E47" s="16">
        <v>42509</v>
      </c>
      <c r="F47" s="19">
        <v>42329</v>
      </c>
      <c r="G47" s="18"/>
      <c r="H47" s="16">
        <v>42511</v>
      </c>
      <c r="I47" s="16">
        <v>46712</v>
      </c>
      <c r="J47" s="17">
        <v>2.2499999999999999E-2</v>
      </c>
      <c r="K47" s="16">
        <v>46894</v>
      </c>
      <c r="L47" s="16" t="s">
        <v>1708</v>
      </c>
      <c r="M47" s="20" t="str">
        <f ca="1">_xll.meLWOBondCreateFromGeneratorLVB(C47,$M$4&amp;"_"&amp;$L47,_xll.meUtilityLVBFromKeysValues($C$6:$K$6,C47:K47))</f>
        <v>LW0753340 CORP:0</v>
      </c>
      <c r="N47" s="92">
        <f ca="1">_xll.BDP($B47,$N$5)</f>
        <v>2.7334145952421469</v>
      </c>
      <c r="O47" s="83">
        <f ca="1">_xll.meLWOBondCleanPrice($M47,$C$4,$N47%)</f>
        <v>95.942999999999998</v>
      </c>
      <c r="P47" s="83">
        <f ca="1">_xll.meLWOBondDirtyPrice($M47,$C$4,$N47%)</f>
        <v>96.853999999999999</v>
      </c>
      <c r="Q47" s="83">
        <f ca="1">_xll.meLWOBondPrice(M47,$C$4,N47%)</f>
        <v>96.853999999999999</v>
      </c>
      <c r="R47" s="72">
        <f ca="1">ROUND(_xll.meLWOBondYield($M47,$C$4,W47),6)</f>
        <v>2.7334000000000001E-2</v>
      </c>
      <c r="S47" s="89">
        <f ca="1">_xll.meLWOBondModifiedDuration($M47,$C$4,$N47%)</f>
        <v>8.4629727510357977</v>
      </c>
      <c r="T47" s="23">
        <f ca="1">_xll.meLWOBondDV01($M47,$C$4,$N47%)</f>
        <v>819.67276282882108</v>
      </c>
      <c r="U47" s="86">
        <f t="shared" ca="1" si="5"/>
        <v>2.7334145952421469</v>
      </c>
      <c r="V47" s="91" t="str">
        <f ca="1">_xll.BDP($B47,V$6, "YAS_BOND_YLD="&amp;$U47,"YAS_YLD_CONV=3")</f>
        <v>#N/A Requesting Data...</v>
      </c>
      <c r="W47" s="37">
        <f t="shared" ca="1" si="4"/>
        <v>96.853999999999999</v>
      </c>
      <c r="X47" s="35" t="e">
        <f t="shared" ca="1" si="6"/>
        <v>#VALUE!</v>
      </c>
      <c r="Y47" s="23">
        <f ca="1">_xll.meLWOBondDV01($M47,$C$4,$U47%)</f>
        <v>819.67276282882108</v>
      </c>
      <c r="Z47" s="22" t="e">
        <f ca="1">_xll.BDP($B47,Z$6, "YLD_YTM_ASK="&amp;$U47,"YAS_YLD_CONV=3")*$Z$3*0.0001</f>
        <v>#VALUE!</v>
      </c>
      <c r="AA47" s="24" t="e">
        <f t="shared" ca="1" si="7"/>
        <v>#VALUE!</v>
      </c>
      <c r="AB47" s="23">
        <f ca="1">_xll.meLWOBondDirtyPrice($M47,$C$4,$U47%)</f>
        <v>96.853999999999999</v>
      </c>
      <c r="AC47" s="23">
        <f ca="1">_xll.meLWOBondModifiedDuration($M47,$C$4,$U47%)</f>
        <v>8.4629727510357977</v>
      </c>
      <c r="AD47" s="22" t="str">
        <f ca="1">_xll.BDP($B47,AD$6,"YLD_YTM_ASK="&amp;$U47,"YAS_YLD_CONV=3")</f>
        <v>#N/A Requesting Data...</v>
      </c>
      <c r="AE47" s="24" t="e">
        <f t="shared" ca="1" si="8"/>
        <v>#VALUE!</v>
      </c>
      <c r="AF47" s="23">
        <f ca="1">_xll.meLWOBondDV01Numerical($M47,$C$4,$U47%,0.5,"CENTRAL")</f>
        <v>819.99999999993634</v>
      </c>
    </row>
    <row r="48" spans="2:32">
      <c r="B48" s="15" t="s">
        <v>1595</v>
      </c>
      <c r="C48" s="15" t="s">
        <v>1595</v>
      </c>
      <c r="D48" s="15" t="s">
        <v>1673</v>
      </c>
      <c r="E48" s="16">
        <v>42796</v>
      </c>
      <c r="F48" s="19">
        <v>42695</v>
      </c>
      <c r="G48" s="18"/>
      <c r="H48" s="16">
        <v>42876</v>
      </c>
      <c r="I48" s="16">
        <v>46894</v>
      </c>
      <c r="J48" s="17">
        <v>2.75E-2</v>
      </c>
      <c r="K48" s="16">
        <v>47078</v>
      </c>
      <c r="L48" s="16" t="s">
        <v>1707</v>
      </c>
      <c r="M48" s="20" t="str">
        <f ca="1">_xll.meLWOBondCreateFromGeneratorLVB(C48,$M$4&amp;"_"&amp;$L48,_xll.meUtilityLVBFromKeysValues($C$6:$K$6,C48:K48))</f>
        <v>AM5647400 CORP:0</v>
      </c>
      <c r="N48" s="92">
        <f ca="1">_xll.BDP($B48,$N$5)</f>
        <v>2.6890227335695549</v>
      </c>
      <c r="O48" s="83">
        <f ca="1">_xll.meLWOBondCleanPrice($M48,$C$4,$N48%)</f>
        <v>100.535</v>
      </c>
      <c r="P48" s="83">
        <f ca="1">_xll.meLWOBondDirtyPrice($M48,$C$4,$N48%)</f>
        <v>101.648</v>
      </c>
      <c r="Q48" s="83">
        <f ca="1">_xll.meLWOBondPrice(M48,$C$4,N48%)</f>
        <v>100.535</v>
      </c>
      <c r="R48" s="72">
        <f ca="1">ROUND(_xll.meLWOBondYield($M48,$C$4,W48),6)</f>
        <v>2.6890000000000001E-2</v>
      </c>
      <c r="S48" s="89">
        <f ca="1">_xll.meLWOBondModifiedDuration($M48,$C$4,$N48%)</f>
        <v>8.6739880610436053</v>
      </c>
      <c r="T48" s="23">
        <f ca="1">_xll.meLWOBondDV01($M48,$C$4,$N48%)</f>
        <v>881.69353842896044</v>
      </c>
      <c r="U48" s="86">
        <f t="shared" ca="1" si="5"/>
        <v>2.6890227335695549</v>
      </c>
      <c r="V48" s="91" t="str">
        <f ca="1">_xll.BDP($B48,V$6, "YAS_BOND_YLD="&amp;$U48,"YAS_YLD_CONV=3")</f>
        <v>#N/A Requesting Data...</v>
      </c>
      <c r="W48" s="37">
        <f t="shared" ca="1" si="4"/>
        <v>100.535</v>
      </c>
      <c r="X48" s="35" t="e">
        <f t="shared" ca="1" si="6"/>
        <v>#VALUE!</v>
      </c>
      <c r="Y48" s="23">
        <f ca="1">_xll.meLWOBondDV01($M48,$C$4,$U48%)</f>
        <v>881.69353842896044</v>
      </c>
      <c r="Z48" s="22" t="e">
        <f ca="1">_xll.BDP($B48,Z$6, "YLD_YTM_ASK="&amp;$U48,"YAS_YLD_CONV=3")*$Z$3*0.0001</f>
        <v>#VALUE!</v>
      </c>
      <c r="AA48" s="24" t="e">
        <f t="shared" ca="1" si="7"/>
        <v>#VALUE!</v>
      </c>
      <c r="AB48" s="23">
        <f ca="1">_xll.meLWOBondDirtyPrice($M48,$C$4,$U48%)</f>
        <v>101.648</v>
      </c>
      <c r="AC48" s="23">
        <f ca="1">_xll.meLWOBondModifiedDuration($M48,$C$4,$U48%)</f>
        <v>8.6739880610436053</v>
      </c>
      <c r="AD48" s="22" t="str">
        <f ca="1">_xll.BDP($B48,AD$6,"YLD_YTM_ASK="&amp;$U48,"YAS_YLD_CONV=3")</f>
        <v>#N/A Requesting Data...</v>
      </c>
      <c r="AE48" s="24" t="e">
        <f t="shared" ca="1" si="8"/>
        <v>#VALUE!</v>
      </c>
      <c r="AF48" s="23">
        <f ca="1">_xll.meLWOBondDV01Numerical($M48,$C$4,$U48%,0.5,"CENTRAL")</f>
        <v>879.99999999993861</v>
      </c>
    </row>
    <row r="49" spans="2:32">
      <c r="B49" s="15" t="s">
        <v>1626</v>
      </c>
      <c r="C49" s="15" t="s">
        <v>1626</v>
      </c>
      <c r="D49" s="15" t="s">
        <v>1655</v>
      </c>
      <c r="E49" s="16">
        <v>42796</v>
      </c>
      <c r="F49" s="19">
        <v>42695</v>
      </c>
      <c r="G49" s="18"/>
      <c r="H49" s="16">
        <v>42876</v>
      </c>
      <c r="I49" s="16">
        <v>46894</v>
      </c>
      <c r="J49" s="17">
        <v>2.75E-2</v>
      </c>
      <c r="K49" s="16">
        <v>47078</v>
      </c>
      <c r="L49" s="16" t="s">
        <v>1708</v>
      </c>
      <c r="M49" s="20" t="str">
        <f ca="1">_xll.meLWOBondCreateFromGeneratorLVB(C49,$M$4&amp;"_"&amp;$L49,_xll.meUtilityLVBFromKeysValues($C$6:$K$6,C49:K49))</f>
        <v>AM5647731 CORP:0</v>
      </c>
      <c r="N49" s="92">
        <f ca="1">_xll.BDP($B49,$N$5)</f>
        <v>2.5904957890343683</v>
      </c>
      <c r="O49" s="83">
        <f ca="1">_xll.meLWOBondCleanPrice($M49,$C$4,$N49%)</f>
        <v>101.408</v>
      </c>
      <c r="P49" s="83">
        <f ca="1">_xll.meLWOBondDirtyPrice($M49,$C$4,$N49%)</f>
        <v>102.521</v>
      </c>
      <c r="Q49" s="83">
        <f ca="1">_xll.meLWOBondPrice(M49,$C$4,N49%)</f>
        <v>102.521</v>
      </c>
      <c r="R49" s="72">
        <f ca="1">ROUND(_xll.meLWOBondYield($M49,$C$4,W49),6)</f>
        <v>2.5905000000000001E-2</v>
      </c>
      <c r="S49" s="89">
        <f ca="1">_xll.meLWOBondModifiedDuration($M49,$C$4,$N49%)</f>
        <v>8.6853024487290025</v>
      </c>
      <c r="T49" s="23">
        <f ca="1">_xll.meLWOBondDV01($M49,$C$4,$N49%)</f>
        <v>890.42589234614604</v>
      </c>
      <c r="U49" s="86">
        <f t="shared" ca="1" si="5"/>
        <v>2.5904957890343683</v>
      </c>
      <c r="V49" s="91" t="str">
        <f ca="1">_xll.BDP($B49,V$6, "YAS_BOND_YLD="&amp;$U49,"YAS_YLD_CONV=3")</f>
        <v>#N/A Requesting Data...</v>
      </c>
      <c r="W49" s="37">
        <f t="shared" ca="1" si="4"/>
        <v>102.521</v>
      </c>
      <c r="X49" s="35" t="e">
        <f t="shared" ca="1" si="6"/>
        <v>#VALUE!</v>
      </c>
      <c r="Y49" s="23">
        <f ca="1">_xll.meLWOBondDV01($M49,$C$4,$U49%)</f>
        <v>890.42589234614604</v>
      </c>
      <c r="Z49" s="22" t="e">
        <f ca="1">_xll.BDP($B49,Z$6, "YLD_YTM_ASK="&amp;$U49,"YAS_YLD_CONV=3")*$Z$3*0.0001</f>
        <v>#VALUE!</v>
      </c>
      <c r="AA49" s="24" t="e">
        <f t="shared" ca="1" si="7"/>
        <v>#VALUE!</v>
      </c>
      <c r="AB49" s="23">
        <f ca="1">_xll.meLWOBondDirtyPrice($M49,$C$4,$U49%)</f>
        <v>102.521</v>
      </c>
      <c r="AC49" s="23">
        <f ca="1">_xll.meLWOBondModifiedDuration($M49,$C$4,$U49%)</f>
        <v>8.6853024487290025</v>
      </c>
      <c r="AD49" s="22" t="str">
        <f ca="1">_xll.BDP($B49,AD$6,"YLD_YTM_ASK="&amp;$U49,"YAS_YLD_CONV=3")</f>
        <v>#N/A Requesting Data...</v>
      </c>
      <c r="AE49" s="24" t="e">
        <f t="shared" ca="1" si="8"/>
        <v>#VALUE!</v>
      </c>
      <c r="AF49" s="23">
        <f ca="1">_xll.meLWOBondDV01Numerical($M49,$C$4,$U49%,0.5,"CENTRAL")</f>
        <v>900.00000000003411</v>
      </c>
    </row>
    <row r="50" spans="2:32">
      <c r="B50" s="15" t="s">
        <v>1593</v>
      </c>
      <c r="C50" s="15" t="s">
        <v>1593</v>
      </c>
      <c r="D50" s="15" t="s">
        <v>1641</v>
      </c>
      <c r="E50" s="16">
        <v>41199</v>
      </c>
      <c r="F50" s="19">
        <v>41203</v>
      </c>
      <c r="G50" s="18"/>
      <c r="H50" s="16">
        <v>41385</v>
      </c>
      <c r="I50" s="16">
        <v>47047</v>
      </c>
      <c r="J50" s="17">
        <v>3.2500000000000001E-2</v>
      </c>
      <c r="K50" s="16">
        <v>47229</v>
      </c>
      <c r="L50" s="16" t="s">
        <v>1707</v>
      </c>
      <c r="M50" s="20" t="str">
        <f ca="1">_xll.meLWOBondCreateFromGeneratorLVB(C50,$M$4&amp;"_"&amp;$L50,_xll.meUtilityLVBFromKeysValues($C$6:$K$6,C50:K50))</f>
        <v>EJ3938531 CORP:0</v>
      </c>
      <c r="N50" s="92">
        <f ca="1">_xll.BDP($B50,$N$5)</f>
        <v>2.6999647223581831</v>
      </c>
      <c r="O50" s="83">
        <f ca="1">_xll.meLWOBondCleanPrice($M50,$C$4,$N50%)</f>
        <v>105.005</v>
      </c>
      <c r="P50" s="83">
        <f ca="1">_xll.meLWOBondDirtyPrice($M50,$C$4,$N50%)</f>
        <v>104.96899999999999</v>
      </c>
      <c r="Q50" s="83">
        <f ca="1">_xll.meLWOBondPrice(M50,$C$4,N50%)</f>
        <v>105.005</v>
      </c>
      <c r="R50" s="72">
        <f ca="1">ROUND(_xll.meLWOBondYield($M50,$C$4,W50),6)</f>
        <v>2.7E-2</v>
      </c>
      <c r="S50" s="89">
        <f ca="1">_xll.meLWOBondModifiedDuration($M50,$C$4,$N50%)</f>
        <v>8.9147296249916206</v>
      </c>
      <c r="T50" s="23">
        <f ca="1">_xll.meLWOBondDV01($M50,$C$4,$N50%)</f>
        <v>935.77025400574541</v>
      </c>
      <c r="U50" s="86">
        <f t="shared" ca="1" si="5"/>
        <v>2.6999647223581831</v>
      </c>
      <c r="V50" s="91" t="str">
        <f ca="1">_xll.BDP($B50,V$6, "YAS_BOND_YLD="&amp;$U50,"YAS_YLD_CONV=3")</f>
        <v>#N/A Requesting Data...</v>
      </c>
      <c r="W50" s="37">
        <f t="shared" ca="1" si="4"/>
        <v>105.005</v>
      </c>
      <c r="X50" s="35" t="e">
        <f t="shared" ca="1" si="6"/>
        <v>#VALUE!</v>
      </c>
      <c r="Y50" s="23">
        <f ca="1">_xll.meLWOBondDV01($M50,$C$4,$U50%)</f>
        <v>935.77025400574541</v>
      </c>
      <c r="Z50" s="22" t="e">
        <f ca="1">_xll.BDP($B50,Z$6, "YLD_YTM_ASK="&amp;$U50,"YAS_YLD_CONV=3")*$Z$3*0.0001</f>
        <v>#VALUE!</v>
      </c>
      <c r="AA50" s="24" t="e">
        <f t="shared" ca="1" si="7"/>
        <v>#VALUE!</v>
      </c>
      <c r="AB50" s="23">
        <f ca="1">_xll.meLWOBondDirtyPrice($M50,$C$4,$U50%)</f>
        <v>104.96899999999999</v>
      </c>
      <c r="AC50" s="23">
        <f ca="1">_xll.meLWOBondModifiedDuration($M50,$C$4,$U50%)</f>
        <v>8.9147296249916206</v>
      </c>
      <c r="AD50" s="22" t="str">
        <f ca="1">_xll.BDP($B50,AD$6,"YLD_YTM_ASK="&amp;$U50,"YAS_YLD_CONV=3")</f>
        <v>#N/A Requesting Data...</v>
      </c>
      <c r="AE50" s="24" t="e">
        <f t="shared" ca="1" si="8"/>
        <v>#VALUE!</v>
      </c>
      <c r="AF50" s="23">
        <f ca="1">_xll.meLWOBondDV01Numerical($M50,$C$4,$U50%,0.5,"CENTRAL")</f>
        <v>940.00000000008311</v>
      </c>
    </row>
    <row r="51" spans="2:32">
      <c r="B51" s="15" t="s">
        <v>1631</v>
      </c>
      <c r="C51" s="15" t="s">
        <v>1631</v>
      </c>
      <c r="D51" s="15" t="s">
        <v>1659</v>
      </c>
      <c r="E51" s="16">
        <v>41199</v>
      </c>
      <c r="F51" s="19">
        <v>41203</v>
      </c>
      <c r="G51" s="18"/>
      <c r="H51" s="16">
        <v>41385</v>
      </c>
      <c r="I51" s="16">
        <v>47047</v>
      </c>
      <c r="J51" s="17">
        <v>3.2500000000000001E-2</v>
      </c>
      <c r="K51" s="16">
        <v>47229</v>
      </c>
      <c r="L51" s="16" t="s">
        <v>1708</v>
      </c>
      <c r="M51" s="20" t="str">
        <f ca="1">_xll.meLWOBondCreateFromGeneratorLVB(C51,$M$4&amp;"_"&amp;$L51,_xll.meUtilityLVBFromKeysValues($C$6:$K$6,C51:K51))</f>
        <v>EJ6777381 CORP:0</v>
      </c>
      <c r="N51" s="92">
        <f ca="1">_xll.BDP($B51,$N$5)</f>
        <v>2.6919532397879564</v>
      </c>
      <c r="O51" s="83">
        <f ca="1">_xll.meLWOBondCleanPrice($M51,$C$4,$N51%)</f>
        <v>105.08</v>
      </c>
      <c r="P51" s="83">
        <f ca="1">_xll.meLWOBondDirtyPrice($M51,$C$4,$N51%)</f>
        <v>105.044</v>
      </c>
      <c r="Q51" s="83">
        <f ca="1">_xll.meLWOBondPrice(M51,$C$4,N51%)</f>
        <v>105.044</v>
      </c>
      <c r="R51" s="72">
        <f ca="1">ROUND(_xll.meLWOBondYield($M51,$C$4,W51),6)</f>
        <v>2.6919999999999999E-2</v>
      </c>
      <c r="S51" s="89">
        <f ca="1">_xll.meLWOBondModifiedDuration($M51,$C$4,$N51%)</f>
        <v>8.91571617420278</v>
      </c>
      <c r="T51" s="23">
        <f ca="1">_xll.meLWOBondDV01($M51,$C$4,$N51%)</f>
        <v>936.54248980295677</v>
      </c>
      <c r="U51" s="86">
        <f t="shared" ca="1" si="5"/>
        <v>2.6919532397879564</v>
      </c>
      <c r="V51" s="91" t="str">
        <f ca="1">_xll.BDP($B51,V$6, "YAS_BOND_YLD="&amp;$U51,"YAS_YLD_CONV=3")</f>
        <v>#N/A Requesting Data...</v>
      </c>
      <c r="W51" s="37">
        <f t="shared" ca="1" si="4"/>
        <v>105.044</v>
      </c>
      <c r="X51" s="35" t="e">
        <f t="shared" ca="1" si="6"/>
        <v>#VALUE!</v>
      </c>
      <c r="Y51" s="23">
        <f ca="1">_xll.meLWOBondDV01($M51,$C$4,$U51%)</f>
        <v>936.54248980295677</v>
      </c>
      <c r="Z51" s="22" t="e">
        <f ca="1">_xll.BDP($B51,Z$6, "YLD_YTM_ASK="&amp;$U51,"YAS_YLD_CONV=3")*$Z$3*0.0001</f>
        <v>#VALUE!</v>
      </c>
      <c r="AA51" s="24" t="e">
        <f t="shared" ca="1" si="7"/>
        <v>#VALUE!</v>
      </c>
      <c r="AB51" s="23">
        <f ca="1">_xll.meLWOBondDirtyPrice($M51,$C$4,$U51%)</f>
        <v>105.044</v>
      </c>
      <c r="AC51" s="23">
        <f ca="1">_xll.meLWOBondModifiedDuration($M51,$C$4,$U51%)</f>
        <v>8.91571617420278</v>
      </c>
      <c r="AD51" s="22" t="str">
        <f ca="1">_xll.BDP($B51,AD$6,"YLD_YTM_ASK="&amp;$U51,"YAS_YLD_CONV=3")</f>
        <v>#N/A Requesting Data...</v>
      </c>
      <c r="AE51" s="24" t="e">
        <f t="shared" ca="1" si="8"/>
        <v>#VALUE!</v>
      </c>
      <c r="AF51" s="23">
        <f ca="1">_xll.meLWOBondDV01Numerical($M51,$C$4,$U51%,0.5,"CENTRAL")</f>
        <v>939.999999999941</v>
      </c>
    </row>
    <row r="52" spans="2:32">
      <c r="B52" s="15" t="s">
        <v>1592</v>
      </c>
      <c r="C52" s="15" t="s">
        <v>1592</v>
      </c>
      <c r="D52" s="15" t="s">
        <v>1640</v>
      </c>
      <c r="E52" s="16">
        <v>43125</v>
      </c>
      <c r="F52" s="19">
        <v>43060</v>
      </c>
      <c r="G52" s="18"/>
      <c r="H52" s="16">
        <v>43241</v>
      </c>
      <c r="I52" s="16">
        <v>47259</v>
      </c>
      <c r="J52" s="17">
        <v>2.75E-2</v>
      </c>
      <c r="K52" s="16">
        <v>47443</v>
      </c>
      <c r="L52" s="16" t="s">
        <v>1707</v>
      </c>
      <c r="M52" s="20" t="str">
        <f ca="1">_xll.meLWOBondCreateFromGeneratorLVB(C52,$M$4&amp;"_"&amp;$L52,_xll.meUtilityLVBFromKeysValues($C$6:$K$6,C52:K52))</f>
        <v>AQ7629332 CORP:0</v>
      </c>
      <c r="N52" s="92">
        <f ca="1">_xll.BDP($B52,$N$5)</f>
        <v>2.7069751179372572</v>
      </c>
      <c r="O52" s="83">
        <f ca="1">_xll.meLWOBondCleanPrice($M52,$C$4,$N52%)</f>
        <v>100.40900000000001</v>
      </c>
      <c r="P52" s="83">
        <f ca="1">_xll.meLWOBondDirtyPrice($M52,$C$4,$N52%)</f>
        <v>101.52200000000001</v>
      </c>
      <c r="Q52" s="83">
        <f ca="1">_xll.meLWOBondPrice(M52,$C$4,N52%)</f>
        <v>100.40900000000001</v>
      </c>
      <c r="R52" s="72">
        <f ca="1">ROUND(_xll.meLWOBondYield($M52,$C$4,W52),6)</f>
        <v>2.707E-2</v>
      </c>
      <c r="S52" s="89">
        <f ca="1">_xll.meLWOBondModifiedDuration($M52,$C$4,$N52%)</f>
        <v>9.408445793538224</v>
      </c>
      <c r="T52" s="23">
        <f ca="1">_xll.meLWOBondDV01($M52,$C$4,$N52%)</f>
        <v>955.1642338515876</v>
      </c>
      <c r="U52" s="86">
        <f t="shared" ca="1" si="5"/>
        <v>2.7069751179372572</v>
      </c>
      <c r="V52" s="91" t="str">
        <f ca="1">_xll.BDP($B52,V$6, "YAS_BOND_YLD="&amp;$U52,"YAS_YLD_CONV=3")</f>
        <v>#N/A Requesting Data...</v>
      </c>
      <c r="W52" s="37">
        <f t="shared" ca="1" si="4"/>
        <v>100.40900000000001</v>
      </c>
      <c r="X52" s="35" t="e">
        <f t="shared" ca="1" si="6"/>
        <v>#VALUE!</v>
      </c>
      <c r="Y52" s="23">
        <f ca="1">_xll.meLWOBondDV01($M52,$C$4,$U52%)</f>
        <v>955.1642338515876</v>
      </c>
      <c r="Z52" s="22" t="e">
        <f ca="1">_xll.BDP($B52,Z$6, "YLD_YTM_ASK="&amp;$U52,"YAS_YLD_CONV=3")*$Z$3*0.0001</f>
        <v>#VALUE!</v>
      </c>
      <c r="AA52" s="24" t="e">
        <f t="shared" ca="1" si="7"/>
        <v>#VALUE!</v>
      </c>
      <c r="AB52" s="23">
        <f ca="1">_xll.meLWOBondDirtyPrice($M52,$C$4,$U52%)</f>
        <v>101.52200000000001</v>
      </c>
      <c r="AC52" s="23">
        <f ca="1">_xll.meLWOBondModifiedDuration($M52,$C$4,$U52%)</f>
        <v>9.408445793538224</v>
      </c>
      <c r="AD52" s="22" t="str">
        <f ca="1">_xll.BDP($B52,AD$6,"YLD_YTM_ASK="&amp;$U52,"YAS_YLD_CONV=3")</f>
        <v>#N/A Requesting Data...</v>
      </c>
      <c r="AE52" s="24" t="e">
        <f t="shared" ca="1" si="8"/>
        <v>#VALUE!</v>
      </c>
      <c r="AF52" s="23">
        <f ca="1">_xll.meLWOBondDV01Numerical($M52,$C$4,$U52%,0.5,"CENTRAL")</f>
        <v>959.99999999989427</v>
      </c>
    </row>
    <row r="53" spans="2:32">
      <c r="B53" s="15" t="s">
        <v>1624</v>
      </c>
      <c r="C53" s="15" t="s">
        <v>1624</v>
      </c>
      <c r="D53" s="15" t="s">
        <v>1690</v>
      </c>
      <c r="E53" s="16">
        <v>43125</v>
      </c>
      <c r="F53" s="19">
        <v>43060</v>
      </c>
      <c r="G53" s="18"/>
      <c r="H53" s="16">
        <v>43241</v>
      </c>
      <c r="I53" s="16">
        <v>47259</v>
      </c>
      <c r="J53" s="17">
        <v>2.75E-2</v>
      </c>
      <c r="K53" s="16">
        <v>47443</v>
      </c>
      <c r="L53" s="16" t="s">
        <v>1708</v>
      </c>
      <c r="M53" s="20" t="str">
        <f ca="1">_xll.meLWOBondCreateFromGeneratorLVB(C53,$M$4&amp;"_"&amp;$L53,_xll.meUtilityLVBFromKeysValues($C$6:$K$6,C53:K53))</f>
        <v>AQ7824545 CORP:0</v>
      </c>
      <c r="N53" s="92">
        <f ca="1">_xll.BDP($B53,$N$5)</f>
        <v>2.6337725105708967</v>
      </c>
      <c r="O53" s="83">
        <f ca="1">_xll.meLWOBondCleanPrice($M53,$C$4,$N53%)</f>
        <v>101.111</v>
      </c>
      <c r="P53" s="83">
        <f ca="1">_xll.meLWOBondDirtyPrice($M53,$C$4,$N53%)</f>
        <v>102.224</v>
      </c>
      <c r="Q53" s="83">
        <f ca="1">_xll.meLWOBondPrice(M53,$C$4,N53%)</f>
        <v>102.224</v>
      </c>
      <c r="R53" s="72">
        <f ca="1">ROUND(_xll.meLWOBondYield($M53,$C$4,W53),6)</f>
        <v>2.6338E-2</v>
      </c>
      <c r="S53" s="89">
        <f ca="1">_xll.meLWOBondModifiedDuration($M53,$C$4,$N53%)</f>
        <v>9.4186404175077829</v>
      </c>
      <c r="T53" s="23">
        <f ca="1">_xll.meLWOBondDV01($M53,$C$4,$N53%)</f>
        <v>962.81109803931565</v>
      </c>
      <c r="U53" s="86">
        <f t="shared" ca="1" si="5"/>
        <v>2.6337725105708967</v>
      </c>
      <c r="V53" s="91" t="str">
        <f ca="1">_xll.BDP($B53,V$6, "YAS_BOND_YLD="&amp;$U53,"YAS_YLD_CONV=3")</f>
        <v>#N/A Requesting Data...</v>
      </c>
      <c r="W53" s="37">
        <f t="shared" ca="1" si="4"/>
        <v>102.224</v>
      </c>
      <c r="X53" s="35" t="e">
        <f t="shared" ca="1" si="6"/>
        <v>#VALUE!</v>
      </c>
      <c r="Y53" s="23">
        <f ca="1">_xll.meLWOBondDV01($M53,$C$4,$U53%)</f>
        <v>962.81109803931565</v>
      </c>
      <c r="Z53" s="22" t="e">
        <f ca="1">_xll.BDP($B53,Z$6, "YLD_YTM_ASK="&amp;$U53,"YAS_YLD_CONV=3")*$Z$3*0.0001</f>
        <v>#VALUE!</v>
      </c>
      <c r="AA53" s="24" t="e">
        <f t="shared" ca="1" si="7"/>
        <v>#VALUE!</v>
      </c>
      <c r="AB53" s="23">
        <f ca="1">_xll.meLWOBondDirtyPrice($M53,$C$4,$U53%)</f>
        <v>102.224</v>
      </c>
      <c r="AC53" s="23">
        <f ca="1">_xll.meLWOBondModifiedDuration($M53,$C$4,$U53%)</f>
        <v>9.4186404175077829</v>
      </c>
      <c r="AD53" s="22" t="str">
        <f ca="1">_xll.BDP($B53,AD$6,"YLD_YTM_ASK="&amp;$U53,"YAS_YLD_CONV=3")</f>
        <v>#N/A Requesting Data...</v>
      </c>
      <c r="AE53" s="24" t="e">
        <f t="shared" ca="1" si="8"/>
        <v>#VALUE!</v>
      </c>
      <c r="AF53" s="23">
        <f ca="1">_xll.meLWOBondDV01Numerical($M53,$C$4,$U53%,0.5,"CENTRAL")</f>
        <v>960.00000000003638</v>
      </c>
    </row>
    <row r="54" spans="2:32">
      <c r="B54" s="15" t="s">
        <v>1596</v>
      </c>
      <c r="C54" s="15" t="s">
        <v>1596</v>
      </c>
      <c r="D54" s="15" t="s">
        <v>1674</v>
      </c>
      <c r="E54" s="16">
        <v>41604</v>
      </c>
      <c r="F54" s="19">
        <v>41568</v>
      </c>
      <c r="G54" s="18"/>
      <c r="H54" s="16">
        <v>41750</v>
      </c>
      <c r="I54" s="16">
        <v>48508</v>
      </c>
      <c r="J54" s="17">
        <v>4.4999999999999998E-2</v>
      </c>
      <c r="K54" s="16">
        <v>48690</v>
      </c>
      <c r="L54" s="16" t="s">
        <v>1707</v>
      </c>
      <c r="M54" s="20" t="str">
        <f ca="1">_xll.meLWOBondCreateFromGeneratorLVB(C54,$M$4&amp;"_"&amp;$L54,_xll.meUtilityLVBFromKeysValues($C$6:$K$6,C54:K54))</f>
        <v>EJ9437272 CORP:0</v>
      </c>
      <c r="N54" s="92">
        <f ca="1">_xll.BDP($B54,$N$5)</f>
        <v>2.8449679820718217</v>
      </c>
      <c r="O54" s="83">
        <f ca="1">_xll.meLWOBondCleanPrice($M54,$C$4,$N54%)</f>
        <v>119.56400000000001</v>
      </c>
      <c r="P54" s="83">
        <f ca="1">_xll.meLWOBondDirtyPrice($M54,$C$4,$N54%)</f>
        <v>119.515</v>
      </c>
      <c r="Q54" s="83">
        <f ca="1">_xll.meLWOBondPrice(M54,$C$4,N54%)</f>
        <v>119.56400000000001</v>
      </c>
      <c r="R54" s="72">
        <f ca="1">ROUND(_xll.meLWOBondYield($M54,$C$4,W54),6)</f>
        <v>2.845E-2</v>
      </c>
      <c r="S54" s="89">
        <f ca="1">_xll.meLWOBondModifiedDuration($M54,$C$4,$N54%)</f>
        <v>11.022228295851326</v>
      </c>
      <c r="T54" s="23">
        <f ca="1">_xll.meLWOBondDV01($M54,$C$4,$N54%)</f>
        <v>1317.3216147786711</v>
      </c>
      <c r="U54" s="86">
        <f t="shared" ca="1" si="5"/>
        <v>2.8449679820718217</v>
      </c>
      <c r="V54" s="91" t="str">
        <f ca="1">_xll.BDP($B54,V$6, "YAS_BOND_YLD="&amp;$U54,"YAS_YLD_CONV=3")</f>
        <v>#N/A Requesting Data...</v>
      </c>
      <c r="W54" s="37">
        <f t="shared" ca="1" si="4"/>
        <v>119.56400000000001</v>
      </c>
      <c r="X54" s="35" t="e">
        <f t="shared" ca="1" si="6"/>
        <v>#VALUE!</v>
      </c>
      <c r="Y54" s="23">
        <f ca="1">_xll.meLWOBondDV01($M54,$C$4,$U54%)</f>
        <v>1317.3216147786711</v>
      </c>
      <c r="Z54" s="22" t="e">
        <f ca="1">_xll.BDP($B54,Z$6, "YLD_YTM_ASK="&amp;$U54,"YAS_YLD_CONV=3")*$Z$3*0.0001</f>
        <v>#VALUE!</v>
      </c>
      <c r="AA54" s="24" t="e">
        <f t="shared" ca="1" si="7"/>
        <v>#VALUE!</v>
      </c>
      <c r="AB54" s="23">
        <f ca="1">_xll.meLWOBondDirtyPrice($M54,$C$4,$U54%)</f>
        <v>119.515</v>
      </c>
      <c r="AC54" s="23">
        <f ca="1">_xll.meLWOBondModifiedDuration($M54,$C$4,$U54%)</f>
        <v>11.022228295851326</v>
      </c>
      <c r="AD54" s="22" t="str">
        <f ca="1">_xll.BDP($B54,AD$6,"YLD_YTM_ASK="&amp;$U54,"YAS_YLD_CONV=3")</f>
        <v>#N/A Requesting Data...</v>
      </c>
      <c r="AE54" s="24" t="e">
        <f t="shared" ca="1" si="8"/>
        <v>#VALUE!</v>
      </c>
      <c r="AF54" s="23">
        <f ca="1">_xll.meLWOBondDV01Numerical($M54,$C$4,$U54%,0.5,"CENTRAL")</f>
        <v>1320.0000000000502</v>
      </c>
    </row>
    <row r="55" spans="2:32">
      <c r="B55" s="15" t="s">
        <v>1629</v>
      </c>
      <c r="C55" s="15" t="s">
        <v>1629</v>
      </c>
      <c r="D55" s="15" t="s">
        <v>1692</v>
      </c>
      <c r="E55" s="16">
        <v>41605</v>
      </c>
      <c r="F55" s="19">
        <v>41568</v>
      </c>
      <c r="G55" s="18"/>
      <c r="H55" s="16">
        <v>41750</v>
      </c>
      <c r="I55" s="16">
        <v>48508</v>
      </c>
      <c r="J55" s="17">
        <v>4.4999999999999998E-2</v>
      </c>
      <c r="K55" s="16">
        <v>48690</v>
      </c>
      <c r="L55" s="16" t="s">
        <v>1708</v>
      </c>
      <c r="M55" s="20" t="str">
        <f ca="1">_xll.meLWOBondCreateFromGeneratorLVB(C55,$M$4&amp;"_"&amp;$L55,_xll.meUtilityLVBFromKeysValues($C$6:$K$6,C55:K55))</f>
        <v>EJ9440870 CORP:0</v>
      </c>
      <c r="N55" s="92">
        <f ca="1">_xll.BDP($B55,$N$5)</f>
        <v>2.5563274905304079</v>
      </c>
      <c r="O55" s="83">
        <f ca="1">_xll.meLWOBondCleanPrice($M55,$C$4,$N55%)</f>
        <v>123.441</v>
      </c>
      <c r="P55" s="83">
        <f ca="1">_xll.meLWOBondDirtyPrice($M55,$C$4,$N55%)</f>
        <v>123.392</v>
      </c>
      <c r="Q55" s="83">
        <f ca="1">_xll.meLWOBondPrice(M55,$C$4,N55%)</f>
        <v>123.392</v>
      </c>
      <c r="R55" s="72">
        <f ca="1">ROUND(_xll.meLWOBondYield($M55,$C$4,W55),6)</f>
        <v>2.5562999999999999E-2</v>
      </c>
      <c r="S55" s="89">
        <f ca="1">_xll.meLWOBondModifiedDuration($M55,$C$4,$N55%)</f>
        <v>11.098206844787711</v>
      </c>
      <c r="T55" s="23">
        <f ca="1">_xll.meLWOBondDV01($M55,$C$4,$N55%)</f>
        <v>1369.4299389920452</v>
      </c>
      <c r="U55" s="86">
        <f t="shared" ca="1" si="5"/>
        <v>2.5563274905304079</v>
      </c>
      <c r="V55" s="91" t="str">
        <f ca="1">_xll.BDP($B55,V$6, "YAS_BOND_YLD="&amp;$U55,"YAS_YLD_CONV=3")</f>
        <v>#N/A Requesting Data...</v>
      </c>
      <c r="W55" s="37">
        <f t="shared" ca="1" si="4"/>
        <v>123.392</v>
      </c>
      <c r="X55" s="35" t="e">
        <f t="shared" ca="1" si="6"/>
        <v>#VALUE!</v>
      </c>
      <c r="Y55" s="23">
        <f ca="1">_xll.meLWOBondDV01($M55,$C$4,$U55%)</f>
        <v>1369.4299389920452</v>
      </c>
      <c r="Z55" s="22" t="e">
        <f ca="1">_xll.BDP($B55,Z$6, "YLD_YTM_ASK="&amp;$U55,"YAS_YLD_CONV=3")*$Z$3*0.0001</f>
        <v>#VALUE!</v>
      </c>
      <c r="AA55" s="24" t="e">
        <f t="shared" ca="1" si="7"/>
        <v>#VALUE!</v>
      </c>
      <c r="AB55" s="23">
        <f ca="1">_xll.meLWOBondDirtyPrice($M55,$C$4,$U55%)</f>
        <v>123.392</v>
      </c>
      <c r="AC55" s="23">
        <f ca="1">_xll.meLWOBondModifiedDuration($M55,$C$4,$U55%)</f>
        <v>11.098206844787711</v>
      </c>
      <c r="AD55" s="22" t="str">
        <f ca="1">_xll.BDP($B55,AD$6,"YLD_YTM_ASK="&amp;$U55,"YAS_YLD_CONV=3")</f>
        <v>#N/A Requesting Data...</v>
      </c>
      <c r="AE55" s="24" t="e">
        <f t="shared" ca="1" si="8"/>
        <v>#VALUE!</v>
      </c>
      <c r="AF55" s="23">
        <f ca="1">_xll.meLWOBondDV01Numerical($M55,$C$4,$U55%,0.5,"CENTRAL")</f>
        <v>1359.9999999999568</v>
      </c>
    </row>
    <row r="56" spans="2:32">
      <c r="B56" s="15" t="s">
        <v>1597</v>
      </c>
      <c r="C56" s="15" t="s">
        <v>1597</v>
      </c>
      <c r="D56" s="15" t="s">
        <v>1675</v>
      </c>
      <c r="E56" s="16">
        <v>42094</v>
      </c>
      <c r="F56" s="19">
        <v>41994</v>
      </c>
      <c r="G56" s="18"/>
      <c r="H56" s="16">
        <v>42176</v>
      </c>
      <c r="I56" s="16">
        <v>49299</v>
      </c>
      <c r="J56" s="17">
        <v>2.75E-2</v>
      </c>
      <c r="K56" s="16">
        <v>49481</v>
      </c>
      <c r="L56" s="16" t="s">
        <v>1707</v>
      </c>
      <c r="M56" s="20" t="str">
        <f ca="1">_xll.meLWOBondCreateFromGeneratorLVB(C56,$M$4&amp;"_"&amp;$L56,_xll.meUtilityLVBFromKeysValues($C$6:$K$6,C56:K56))</f>
        <v>EK8211675 CORP:0</v>
      </c>
      <c r="N56" s="92">
        <f ca="1">_xll.BDP($B56,$N$5)</f>
        <v>2.9479615250781444</v>
      </c>
      <c r="O56" s="83">
        <f ca="1">_xll.meLWOBondCleanPrice($M56,$C$4,$N56%)</f>
        <v>97.403999999999996</v>
      </c>
      <c r="P56" s="83">
        <f ca="1">_xll.meLWOBondDirtyPrice($M56,$C$4,$N56%)</f>
        <v>98.290999999999997</v>
      </c>
      <c r="Q56" s="83">
        <f ca="1">_xll.meLWOBondPrice(M56,$C$4,N56%)</f>
        <v>97.403999999999996</v>
      </c>
      <c r="R56" s="72">
        <f ca="1">ROUND(_xll.meLWOBondYield($M56,$C$4,W56),6)</f>
        <v>2.9479999999999999E-2</v>
      </c>
      <c r="S56" s="89">
        <f ca="1">_xll.meLWOBondModifiedDuration($M56,$C$4,$N56%)</f>
        <v>13.122851871055399</v>
      </c>
      <c r="T56" s="23">
        <f ca="1">_xll.meLWOBondDV01($M56,$C$4,$N56%)</f>
        <v>1289.8582332579062</v>
      </c>
      <c r="U56" s="86">
        <f t="shared" ca="1" si="5"/>
        <v>2.9479615250781444</v>
      </c>
      <c r="V56" s="91" t="str">
        <f ca="1">_xll.BDP($B56,V$6, "YAS_BOND_YLD="&amp;$U56,"YAS_YLD_CONV=3")</f>
        <v>#N/A Requesting Data...</v>
      </c>
      <c r="W56" s="37">
        <f t="shared" ca="1" si="4"/>
        <v>97.403999999999996</v>
      </c>
      <c r="X56" s="35" t="e">
        <f t="shared" ca="1" si="6"/>
        <v>#VALUE!</v>
      </c>
      <c r="Y56" s="23">
        <f ca="1">_xll.meLWOBondDV01($M56,$C$4,$U56%)</f>
        <v>1289.8582332579062</v>
      </c>
      <c r="Z56" s="22" t="e">
        <f ca="1">_xll.BDP($B56,Z$6, "YLD_YTM_ASK="&amp;$U56,"YAS_YLD_CONV=3")*$Z$3*0.0001</f>
        <v>#VALUE!</v>
      </c>
      <c r="AA56" s="24" t="e">
        <f t="shared" ca="1" si="7"/>
        <v>#VALUE!</v>
      </c>
      <c r="AB56" s="23">
        <f ca="1">_xll.meLWOBondDirtyPrice($M56,$C$4,$U56%)</f>
        <v>98.290999999999997</v>
      </c>
      <c r="AC56" s="23">
        <f ca="1">_xll.meLWOBondModifiedDuration($M56,$C$4,$U56%)</f>
        <v>13.122851871055399</v>
      </c>
      <c r="AD56" s="22" t="str">
        <f ca="1">_xll.BDP($B56,AD$6,"YLD_YTM_ASK="&amp;$U56,"YAS_YLD_CONV=3")</f>
        <v>#N/A Requesting Data...</v>
      </c>
      <c r="AE56" s="24" t="e">
        <f t="shared" ca="1" si="8"/>
        <v>#VALUE!</v>
      </c>
      <c r="AF56" s="23">
        <f ca="1">_xll.meLWOBondDV01Numerical($M56,$C$4,$U56%,0.5,"CENTRAL")</f>
        <v>1289.999999999907</v>
      </c>
    </row>
    <row r="57" spans="2:32">
      <c r="B57" s="15" t="s">
        <v>1636</v>
      </c>
      <c r="C57" s="15" t="s">
        <v>1636</v>
      </c>
      <c r="D57" s="15" t="s">
        <v>1663</v>
      </c>
      <c r="E57" s="16">
        <v>42094</v>
      </c>
      <c r="F57" s="19">
        <v>41994</v>
      </c>
      <c r="G57" s="18"/>
      <c r="H57" s="16">
        <v>42176</v>
      </c>
      <c r="I57" s="16">
        <v>49299</v>
      </c>
      <c r="J57" s="17">
        <v>2.75E-2</v>
      </c>
      <c r="K57" s="16">
        <v>49481</v>
      </c>
      <c r="L57" s="16" t="s">
        <v>1708</v>
      </c>
      <c r="M57" s="20" t="str">
        <f ca="1">_xll.meLWOBondCreateFromGeneratorLVB(C57,$M$4&amp;"_"&amp;$L57,_xll.meUtilityLVBFromKeysValues($C$6:$K$6,C57:K57))</f>
        <v>EK8238157 CORP:0</v>
      </c>
      <c r="N57" s="92">
        <f ca="1">_xll.BDP($B57,$N$5)</f>
        <v>2.9669841761718829</v>
      </c>
      <c r="O57" s="83">
        <f ca="1">_xll.meLWOBondCleanPrice($M57,$C$4,$N57%)</f>
        <v>97.159000000000006</v>
      </c>
      <c r="P57" s="83">
        <f ca="1">_xll.meLWOBondDirtyPrice($M57,$C$4,$N57%)</f>
        <v>98.046000000000006</v>
      </c>
      <c r="Q57" s="83">
        <f ca="1">_xll.meLWOBondPrice(M57,$C$4,N57%)</f>
        <v>98.046000000000006</v>
      </c>
      <c r="R57" s="72">
        <f ca="1">ROUND(_xll.meLWOBondYield($M57,$C$4,W57),6)</f>
        <v>2.9669999999999998E-2</v>
      </c>
      <c r="S57" s="89">
        <f ca="1">_xll.meLWOBondModifiedDuration($M57,$C$4,$N57%)</f>
        <v>13.116499491854869</v>
      </c>
      <c r="T57" s="23">
        <f ca="1">_xll.meLWOBondDV01($M57,$C$4,$N57%)</f>
        <v>1286.0203091784026</v>
      </c>
      <c r="U57" s="86">
        <f t="shared" ca="1" si="5"/>
        <v>2.9669841761718829</v>
      </c>
      <c r="V57" s="91" t="str">
        <f ca="1">_xll.BDP($B57,V$6, "YAS_BOND_YLD="&amp;$U57,"YAS_YLD_CONV=3")</f>
        <v>#N/A Requesting Data...</v>
      </c>
      <c r="W57" s="37">
        <f t="shared" ca="1" si="4"/>
        <v>98.046000000000006</v>
      </c>
      <c r="X57" s="35" t="e">
        <f t="shared" ca="1" si="6"/>
        <v>#VALUE!</v>
      </c>
      <c r="Y57" s="23">
        <f ca="1">_xll.meLWOBondDV01($M57,$C$4,$U57%)</f>
        <v>1286.0203091784026</v>
      </c>
      <c r="Z57" s="22" t="e">
        <f ca="1">_xll.BDP($B57,Z$6, "YLD_YTM_ASK="&amp;$U57,"YAS_YLD_CONV=3")*$Z$3*0.0001</f>
        <v>#VALUE!</v>
      </c>
      <c r="AA57" s="24" t="e">
        <f t="shared" ca="1" si="7"/>
        <v>#VALUE!</v>
      </c>
      <c r="AB57" s="23">
        <f ca="1">_xll.meLWOBondDirtyPrice($M57,$C$4,$U57%)</f>
        <v>98.046000000000006</v>
      </c>
      <c r="AC57" s="23">
        <f ca="1">_xll.meLWOBondModifiedDuration($M57,$C$4,$U57%)</f>
        <v>13.116499491854869</v>
      </c>
      <c r="AD57" s="22" t="str">
        <f ca="1">_xll.BDP($B57,AD$6,"YLD_YTM_ASK="&amp;$U57,"YAS_YLD_CONV=3")</f>
        <v>#N/A Requesting Data...</v>
      </c>
      <c r="AE57" s="24" t="e">
        <f t="shared" ca="1" si="8"/>
        <v>#VALUE!</v>
      </c>
      <c r="AF57" s="23">
        <f ca="1">_xll.meLWOBondDV01Numerical($M57,$C$4,$U57%,0.5,"CENTRAL")</f>
        <v>1280.0000000000011</v>
      </c>
    </row>
    <row r="58" spans="2:32">
      <c r="B58" s="15" t="s">
        <v>1594</v>
      </c>
      <c r="C58" s="15" t="s">
        <v>1594</v>
      </c>
      <c r="D58" s="15" t="s">
        <v>1642</v>
      </c>
      <c r="E58" s="16">
        <v>41933</v>
      </c>
      <c r="F58" s="19">
        <v>41933</v>
      </c>
      <c r="G58" s="18"/>
      <c r="H58" s="16">
        <v>42115</v>
      </c>
      <c r="I58" s="16">
        <v>49969</v>
      </c>
      <c r="J58" s="17">
        <v>3.7499999999999999E-2</v>
      </c>
      <c r="K58" s="16">
        <v>50151</v>
      </c>
      <c r="L58" s="16" t="s">
        <v>1707</v>
      </c>
      <c r="M58" s="20" t="str">
        <f ca="1">_xll.meLWOBondCreateFromGeneratorLVB(C58,$M$4&amp;"_"&amp;$L58,_xll.meUtilityLVBFromKeysValues($C$6:$K$6,C58:K58))</f>
        <v>EK5446753 CORP:0</v>
      </c>
      <c r="N58" s="92">
        <f ca="1">_xll.BDP($B58,$N$5)</f>
        <v>2.9900233192735945</v>
      </c>
      <c r="O58" s="83">
        <f ca="1">_xll.meLWOBondCleanPrice($M58,$C$4,$N58%)</f>
        <v>110.744</v>
      </c>
      <c r="P58" s="83">
        <f ca="1">_xll.meLWOBondDirtyPrice($M58,$C$4,$N58%)</f>
        <v>110.703</v>
      </c>
      <c r="Q58" s="83">
        <f ca="1">_xll.meLWOBondPrice(M58,$C$4,N58%)</f>
        <v>110.744</v>
      </c>
      <c r="R58" s="72">
        <f ca="1">ROUND(_xll.meLWOBondYield($M58,$C$4,W58),6)</f>
        <v>2.9899999999999999E-2</v>
      </c>
      <c r="S58" s="89">
        <f ca="1">_xll.meLWOBondModifiedDuration($M58,$C$4,$N58%)</f>
        <v>13.598315014858262</v>
      </c>
      <c r="T58" s="23">
        <f ca="1">_xll.meLWOBondDV01($M58,$C$4,$N58%)</f>
        <v>1505.3742670898541</v>
      </c>
      <c r="U58" s="86">
        <f t="shared" ca="1" si="5"/>
        <v>2.9900233192735945</v>
      </c>
      <c r="V58" s="91" t="str">
        <f ca="1">_xll.BDP($B58,V$6, "YAS_BOND_YLD="&amp;$U58,"YAS_YLD_CONV=3")</f>
        <v>#N/A Requesting Data...</v>
      </c>
      <c r="W58" s="37">
        <f t="shared" ca="1" si="4"/>
        <v>110.744</v>
      </c>
      <c r="X58" s="35" t="e">
        <f t="shared" ca="1" si="6"/>
        <v>#VALUE!</v>
      </c>
      <c r="Y58" s="23">
        <f ca="1">_xll.meLWOBondDV01($M58,$C$4,$U58%)</f>
        <v>1505.3742670898541</v>
      </c>
      <c r="Z58" s="22" t="e">
        <f ca="1">_xll.BDP($B58,Z$6, "YLD_YTM_ASK="&amp;$U58,"YAS_YLD_CONV=3")*$Z$3*0.0001</f>
        <v>#VALUE!</v>
      </c>
      <c r="AA58" s="24" t="e">
        <f t="shared" ca="1" si="7"/>
        <v>#VALUE!</v>
      </c>
      <c r="AB58" s="23">
        <f ca="1">_xll.meLWOBondDirtyPrice($M58,$C$4,$U58%)</f>
        <v>110.703</v>
      </c>
      <c r="AC58" s="23">
        <f ca="1">_xll.meLWOBondModifiedDuration($M58,$C$4,$U58%)</f>
        <v>13.598315014858262</v>
      </c>
      <c r="AD58" s="22" t="str">
        <f ca="1">_xll.BDP($B58,AD$6,"YLD_YTM_ASK="&amp;$U58,"YAS_YLD_CONV=3")</f>
        <v>#N/A Requesting Data...</v>
      </c>
      <c r="AE58" s="24" t="e">
        <f t="shared" ca="1" si="8"/>
        <v>#VALUE!</v>
      </c>
      <c r="AF58" s="23">
        <f ca="1">_xll.meLWOBondDV01Numerical($M58,$C$4,$U58%,0.5,"CENTRAL")</f>
        <v>1500.0000000000568</v>
      </c>
    </row>
    <row r="59" spans="2:32">
      <c r="B59" s="15" t="s">
        <v>1628</v>
      </c>
      <c r="C59" s="15" t="s">
        <v>1628</v>
      </c>
      <c r="D59" s="15" t="s">
        <v>1657</v>
      </c>
      <c r="E59" s="16">
        <v>41933</v>
      </c>
      <c r="F59" s="19">
        <v>41933</v>
      </c>
      <c r="G59" s="18"/>
      <c r="H59" s="16">
        <v>42115</v>
      </c>
      <c r="I59" s="16">
        <v>49969</v>
      </c>
      <c r="J59" s="17">
        <v>3.7499999999999999E-2</v>
      </c>
      <c r="K59" s="16">
        <v>50151</v>
      </c>
      <c r="L59" s="16" t="s">
        <v>1708</v>
      </c>
      <c r="M59" s="20" t="str">
        <f ca="1">_xll.meLWOBondCreateFromGeneratorLVB(C59,$M$4&amp;"_"&amp;$L59,_xll.meUtilityLVBFromKeysValues($C$6:$K$6,C59:K59))</f>
        <v>EK5450789 CORP:0</v>
      </c>
      <c r="N59" s="92">
        <f ca="1">_xll.BDP($B59,$N$5)</f>
        <v>2.9384987622627645</v>
      </c>
      <c r="O59" s="83">
        <f ca="1">_xll.meLWOBondCleanPrice($M59,$C$4,$N59%)</f>
        <v>111.523</v>
      </c>
      <c r="P59" s="83">
        <f ca="1">_xll.meLWOBondDirtyPrice($M59,$C$4,$N59%)</f>
        <v>111.482</v>
      </c>
      <c r="Q59" s="83">
        <f ca="1">_xll.meLWOBondPrice(M59,$C$4,N59%)</f>
        <v>111.482</v>
      </c>
      <c r="R59" s="72">
        <f ca="1">ROUND(_xll.meLWOBondYield($M59,$C$4,W59),6)</f>
        <v>2.9385000000000001E-2</v>
      </c>
      <c r="S59" s="89">
        <f ca="1">_xll.meLWOBondModifiedDuration($M59,$C$4,$N59%)</f>
        <v>13.62055748292167</v>
      </c>
      <c r="T59" s="23">
        <f ca="1">_xll.meLWOBondDV01($M59,$C$4,$N59%)</f>
        <v>1518.4469893110736</v>
      </c>
      <c r="U59" s="86">
        <f t="shared" ca="1" si="5"/>
        <v>2.9384987622627645</v>
      </c>
      <c r="V59" s="91" t="str">
        <f ca="1">_xll.BDP($B59,V$6, "YAS_BOND_YLD="&amp;$U59,"YAS_YLD_CONV=3")</f>
        <v>#N/A Requesting Data...</v>
      </c>
      <c r="W59" s="37">
        <f t="shared" ca="1" si="4"/>
        <v>111.482</v>
      </c>
      <c r="X59" s="35" t="e">
        <f t="shared" ca="1" si="6"/>
        <v>#VALUE!</v>
      </c>
      <c r="Y59" s="23">
        <f ca="1">_xll.meLWOBondDV01($M59,$C$4,$U59%)</f>
        <v>1518.4469893110736</v>
      </c>
      <c r="Z59" s="22" t="e">
        <f ca="1">_xll.BDP($B59,Z$6, "YLD_YTM_ASK="&amp;$U59,"YAS_YLD_CONV=3")*$Z$3*0.0001</f>
        <v>#VALUE!</v>
      </c>
      <c r="AA59" s="24" t="e">
        <f t="shared" ca="1" si="7"/>
        <v>#VALUE!</v>
      </c>
      <c r="AB59" s="23">
        <f ca="1">_xll.meLWOBondDirtyPrice($M59,$C$4,$U59%)</f>
        <v>111.482</v>
      </c>
      <c r="AC59" s="23">
        <f ca="1">_xll.meLWOBondModifiedDuration($M59,$C$4,$U59%)</f>
        <v>13.62055748292167</v>
      </c>
      <c r="AD59" s="22" t="str">
        <f ca="1">_xll.BDP($B59,AD$6,"YLD_YTM_ASK="&amp;$U59,"YAS_YLD_CONV=3")</f>
        <v>#N/A Requesting Data...</v>
      </c>
      <c r="AE59" s="24" t="e">
        <f t="shared" ca="1" si="8"/>
        <v>#VALUE!</v>
      </c>
      <c r="AF59" s="23">
        <f ca="1">_xll.meLWOBondDV01Numerical($M59,$C$4,$U59%,0.5,"CENTRAL")</f>
        <v>1520.0000000000102</v>
      </c>
    </row>
    <row r="60" spans="2:32">
      <c r="B60" s="15" t="s">
        <v>1598</v>
      </c>
      <c r="C60" s="15" t="s">
        <v>1598</v>
      </c>
      <c r="D60" s="15" t="s">
        <v>1643</v>
      </c>
      <c r="E60" s="16">
        <v>42298</v>
      </c>
      <c r="F60" s="19">
        <v>42176</v>
      </c>
      <c r="G60" s="18"/>
      <c r="H60" s="16">
        <v>42359</v>
      </c>
      <c r="I60" s="16">
        <v>50760</v>
      </c>
      <c r="J60" s="17">
        <v>3.2500000000000001E-2</v>
      </c>
      <c r="K60" s="16">
        <v>50942</v>
      </c>
      <c r="L60" s="16" t="s">
        <v>1707</v>
      </c>
      <c r="M60" s="20" t="str">
        <f ca="1">_xll.meLWOBondCreateFromGeneratorLVB(C60,$M$4&amp;"_"&amp;$L60,_xll.meUtilityLVBFromKeysValues($C$6:$K$6,C60:K60))</f>
        <v>QJ1521823 CORP:0</v>
      </c>
      <c r="N60" s="92">
        <f ca="1">_xll.BDP($B60,$N$5)</f>
        <v>3.0549984836043098</v>
      </c>
      <c r="O60" s="83">
        <f ca="1">_xll.meLWOBondCleanPrice($M60,$C$4,$N60%)</f>
        <v>102.97</v>
      </c>
      <c r="P60" s="83">
        <f ca="1">_xll.meLWOBondDirtyPrice($M60,$C$4,$N60%)</f>
        <v>104.018</v>
      </c>
      <c r="Q60" s="83">
        <f ca="1">_xll.meLWOBondPrice(M60,$C$4,N60%)</f>
        <v>102.97</v>
      </c>
      <c r="R60" s="72">
        <f ca="1">ROUND(_xll.meLWOBondYield($M60,$C$4,W60),6)</f>
        <v>3.0550000000000001E-2</v>
      </c>
      <c r="S60" s="89">
        <f ca="1">_xll.meLWOBondModifiedDuration($M60,$C$4,$N60%)</f>
        <v>14.925934261666892</v>
      </c>
      <c r="T60" s="23">
        <f ca="1">_xll.meLWOBondDV01($M60,$C$4,$N60%)</f>
        <v>1552.5658300300668</v>
      </c>
      <c r="U60" s="86">
        <f t="shared" ca="1" si="5"/>
        <v>3.0549984836043098</v>
      </c>
      <c r="V60" s="91" t="str">
        <f ca="1">_xll.BDP($B60,V$6, "YAS_BOND_YLD="&amp;$U60,"YAS_YLD_CONV=3")</f>
        <v>#N/A Requesting Data...</v>
      </c>
      <c r="W60" s="37">
        <f t="shared" ca="1" si="4"/>
        <v>102.97</v>
      </c>
      <c r="X60" s="35" t="e">
        <f t="shared" ca="1" si="6"/>
        <v>#VALUE!</v>
      </c>
      <c r="Y60" s="23">
        <f ca="1">_xll.meLWOBondDV01($M60,$C$4,$U60%)</f>
        <v>1552.5658300300668</v>
      </c>
      <c r="Z60" s="22" t="e">
        <f ca="1">_xll.BDP($B60,Z$6, "YLD_YTM_ASK="&amp;$U60,"YAS_YLD_CONV=3")*$Z$3*0.0001</f>
        <v>#VALUE!</v>
      </c>
      <c r="AA60" s="24" t="e">
        <f t="shared" ca="1" si="7"/>
        <v>#VALUE!</v>
      </c>
      <c r="AB60" s="23">
        <f ca="1">_xll.meLWOBondDirtyPrice($M60,$C$4,$U60%)</f>
        <v>104.018</v>
      </c>
      <c r="AC60" s="23">
        <f ca="1">_xll.meLWOBondModifiedDuration($M60,$C$4,$U60%)</f>
        <v>14.925934261666892</v>
      </c>
      <c r="AD60" s="22" t="str">
        <f ca="1">_xll.BDP($B60,AD$6,"YLD_YTM_ASK="&amp;$U60,"YAS_YLD_CONV=3")</f>
        <v>#N/A Requesting Data...</v>
      </c>
      <c r="AE60" s="24" t="e">
        <f t="shared" ca="1" si="8"/>
        <v>#VALUE!</v>
      </c>
      <c r="AF60" s="23">
        <f ca="1">_xll.meLWOBondDV01Numerical($M60,$C$4,$U60%,0.5,"CENTRAL")</f>
        <v>1560.0000000000591</v>
      </c>
    </row>
    <row r="61" spans="2:32">
      <c r="B61" s="15" t="s">
        <v>1615</v>
      </c>
      <c r="C61" s="15" t="s">
        <v>1615</v>
      </c>
      <c r="D61" s="15" t="s">
        <v>1650</v>
      </c>
      <c r="E61" s="16">
        <v>42298</v>
      </c>
      <c r="F61" s="19">
        <v>42176</v>
      </c>
      <c r="G61" s="18"/>
      <c r="H61" s="16">
        <v>42359</v>
      </c>
      <c r="I61" s="16">
        <v>50760</v>
      </c>
      <c r="J61" s="17">
        <v>3.2500000000000001E-2</v>
      </c>
      <c r="K61" s="16">
        <v>50942</v>
      </c>
      <c r="L61" s="16" t="s">
        <v>1708</v>
      </c>
      <c r="M61" s="20" t="str">
        <f ca="1">_xll.meLWOBondCreateFromGeneratorLVB(C61,$M$4&amp;"_"&amp;$L61,_xll.meUtilityLVBFromKeysValues($C$6:$K$6,C61:K61))</f>
        <v>QJ1755850 CORP:0</v>
      </c>
      <c r="N61" s="92">
        <f ca="1">_xll.BDP($B61,$N$5)</f>
        <v>3.0727404166022754</v>
      </c>
      <c r="O61" s="83">
        <f ca="1">_xll.meLWOBondCleanPrice($M61,$C$4,$N61%)</f>
        <v>102.69499999999999</v>
      </c>
      <c r="P61" s="83">
        <f ca="1">_xll.meLWOBondDirtyPrice($M61,$C$4,$N61%)</f>
        <v>103.74299999999999</v>
      </c>
      <c r="Q61" s="83">
        <f ca="1">_xll.meLWOBondPrice(M61,$C$4,N61%)</f>
        <v>103.74299999999999</v>
      </c>
      <c r="R61" s="72">
        <f ca="1">ROUND(_xll.meLWOBondYield($M61,$C$4,W61),6)</f>
        <v>3.0727000000000001E-2</v>
      </c>
      <c r="S61" s="89">
        <f ca="1">_xll.meLWOBondModifiedDuration($M61,$C$4,$N61%)</f>
        <v>14.91606818385257</v>
      </c>
      <c r="T61" s="23">
        <f ca="1">_xll.meLWOBondDV01($M61,$C$4,$N61%)</f>
        <v>1547.437661597417</v>
      </c>
      <c r="U61" s="86">
        <f t="shared" ca="1" si="5"/>
        <v>3.0727404166022754</v>
      </c>
      <c r="V61" s="91" t="str">
        <f ca="1">_xll.BDP($B61,V$6, "YAS_BOND_YLD="&amp;$U61,"YAS_YLD_CONV=3")</f>
        <v>#N/A Requesting Data...</v>
      </c>
      <c r="W61" s="37">
        <f t="shared" ca="1" si="4"/>
        <v>103.74299999999999</v>
      </c>
      <c r="X61" s="35" t="e">
        <f t="shared" ca="1" si="6"/>
        <v>#VALUE!</v>
      </c>
      <c r="Y61" s="23">
        <f ca="1">_xll.meLWOBondDV01($M61,$C$4,$U61%)</f>
        <v>1547.437661597417</v>
      </c>
      <c r="Z61" s="22" t="e">
        <f ca="1">_xll.BDP($B61,Z$6, "YLD_YTM_ASK="&amp;$U61,"YAS_YLD_CONV=3")*$Z$3*0.0001</f>
        <v>#VALUE!</v>
      </c>
      <c r="AA61" s="24" t="e">
        <f t="shared" ca="1" si="7"/>
        <v>#VALUE!</v>
      </c>
      <c r="AB61" s="23">
        <f ca="1">_xll.meLWOBondDirtyPrice($M61,$C$4,$U61%)</f>
        <v>103.74299999999999</v>
      </c>
      <c r="AC61" s="23">
        <f ca="1">_xll.meLWOBondModifiedDuration($M61,$C$4,$U61%)</f>
        <v>14.91606818385257</v>
      </c>
      <c r="AD61" s="22" t="str">
        <f ca="1">_xll.BDP($B61,AD$6,"YLD_YTM_ASK="&amp;$U61,"YAS_YLD_CONV=3")</f>
        <v>#N/A Requesting Data...</v>
      </c>
      <c r="AE61" s="24" t="e">
        <f t="shared" ca="1" si="8"/>
        <v>#VALUE!</v>
      </c>
      <c r="AF61" s="23">
        <f ca="1">_xll.meLWOBondDV01Numerical($M61,$C$4,$U61%,0.5,"CENTRAL")</f>
        <v>1539.9999999999638</v>
      </c>
    </row>
    <row r="62" spans="2:32">
      <c r="B62" s="15" t="s">
        <v>1582</v>
      </c>
      <c r="C62" s="15" t="s">
        <v>1582</v>
      </c>
      <c r="D62" s="15" t="s">
        <v>1666</v>
      </c>
      <c r="E62" s="16">
        <v>42662</v>
      </c>
      <c r="F62" s="19">
        <v>42634</v>
      </c>
      <c r="G62" s="18"/>
      <c r="H62" s="16">
        <v>42815</v>
      </c>
      <c r="I62" s="16">
        <v>53591</v>
      </c>
      <c r="J62" s="17">
        <v>0.03</v>
      </c>
      <c r="K62" s="16">
        <v>53772</v>
      </c>
      <c r="L62" s="16" t="s">
        <v>1707</v>
      </c>
      <c r="M62" s="20" t="str">
        <f ca="1">_xll.meLWOBondCreateFromGeneratorLVB(C62,$M$4&amp;"_"&amp;$L62,_xll.meUtilityLVBFromKeysValues($C$6:$K$6,C62:K62))</f>
        <v>QZ5429456 CORP:0</v>
      </c>
      <c r="N62" s="92">
        <f ca="1">_xll.BDP($B62,$N$5)</f>
        <v>3.1549924439152197</v>
      </c>
      <c r="O62" s="83">
        <f ca="1">_xll.meLWOBondCleanPrice($M62,$C$4,$N62%)</f>
        <v>97.103999999999999</v>
      </c>
      <c r="P62" s="83">
        <f ca="1">_xll.meLWOBondDirtyPrice($M62,$C$4,$N62%)</f>
        <v>97.319000000000003</v>
      </c>
      <c r="Q62" s="83">
        <f ca="1">_xll.meLWOBondPrice(M62,$C$4,N62%)</f>
        <v>97.103999999999999</v>
      </c>
      <c r="R62" s="72">
        <f ca="1">ROUND(_xll.meLWOBondYield($M62,$C$4,W62),6)</f>
        <v>3.1550000000000002E-2</v>
      </c>
      <c r="S62" s="89">
        <f ca="1">_xll.meLWOBondModifiedDuration($M62,$C$4,$N62%)</f>
        <v>18.830872217949072</v>
      </c>
      <c r="T62" s="23">
        <f ca="1">_xll.meLWOBondDV01($M62,$C$4,$N62%)</f>
        <v>1832.6016533785858</v>
      </c>
      <c r="U62" s="86">
        <f t="shared" ca="1" si="5"/>
        <v>3.1549924439152197</v>
      </c>
      <c r="V62" s="91" t="str">
        <f ca="1">_xll.BDP($B62,V$6, "YAS_BOND_YLD="&amp;$U62,"YAS_YLD_CONV=3")</f>
        <v>#N/A Requesting Data...</v>
      </c>
      <c r="W62" s="37">
        <f t="shared" ca="1" si="4"/>
        <v>97.103999999999999</v>
      </c>
      <c r="X62" s="35" t="e">
        <f t="shared" ca="1" si="6"/>
        <v>#VALUE!</v>
      </c>
      <c r="Y62" s="23">
        <f ca="1">_xll.meLWOBondDV01($M62,$C$4,$U62%)</f>
        <v>1832.6016533785858</v>
      </c>
      <c r="Z62" s="22" t="e">
        <f ca="1">_xll.BDP($B62,Z$6, "YLD_YTM_ASK="&amp;$U62,"YAS_YLD_CONV=3")*$Z$3*0.0001</f>
        <v>#VALUE!</v>
      </c>
      <c r="AA62" s="24" t="e">
        <f t="shared" ca="1" si="7"/>
        <v>#VALUE!</v>
      </c>
      <c r="AB62" s="23">
        <f ca="1">_xll.meLWOBondDirtyPrice($M62,$C$4,$U62%)</f>
        <v>97.319000000000003</v>
      </c>
      <c r="AC62" s="23">
        <f ca="1">_xll.meLWOBondModifiedDuration($M62,$C$4,$U62%)</f>
        <v>18.830872217949072</v>
      </c>
      <c r="AD62" s="22" t="str">
        <f ca="1">_xll.BDP($B62,AD$6,"YLD_YTM_ASK="&amp;$U62,"YAS_YLD_CONV=3")</f>
        <v>#N/A Requesting Data...</v>
      </c>
      <c r="AE62" s="24" t="e">
        <f t="shared" ca="1" si="8"/>
        <v>#VALUE!</v>
      </c>
      <c r="AF62" s="23">
        <f ca="1">_xll.meLWOBondDV01Numerical($M62,$C$4,$U62%,0.5,"CENTRAL")</f>
        <v>1839.9999999999752</v>
      </c>
    </row>
    <row r="63" spans="2:32">
      <c r="B63" s="15" t="s">
        <v>1614</v>
      </c>
      <c r="C63" s="15" t="s">
        <v>1614</v>
      </c>
      <c r="D63" s="15" t="s">
        <v>1649</v>
      </c>
      <c r="E63" s="16">
        <v>42662</v>
      </c>
      <c r="F63" s="19">
        <v>42634</v>
      </c>
      <c r="G63" s="18"/>
      <c r="H63" s="16">
        <v>42815</v>
      </c>
      <c r="I63" s="16">
        <v>53591</v>
      </c>
      <c r="J63" s="17">
        <v>0.03</v>
      </c>
      <c r="K63" s="16">
        <v>53772</v>
      </c>
      <c r="L63" s="16" t="s">
        <v>1708</v>
      </c>
      <c r="M63" s="20" t="str">
        <f ca="1">_xll.meLWOBondCreateFromGeneratorLVB(C63,$M$4&amp;"_"&amp;$L63,_xll.meUtilityLVBFromKeysValues($C$6:$K$6,C63:K63))</f>
        <v>QZ8542552 CORP:0</v>
      </c>
      <c r="N63" s="92">
        <f ca="1">_xll.BDP($B63,$N$5)</f>
        <v>3.3001246382875054</v>
      </c>
      <c r="O63" s="83">
        <f ca="1">_xll.meLWOBondCleanPrice($M63,$C$4,$N63%)</f>
        <v>94.491</v>
      </c>
      <c r="P63" s="83">
        <f ca="1">_xll.meLWOBondDirtyPrice($M63,$C$4,$N63%)</f>
        <v>94.706000000000003</v>
      </c>
      <c r="Q63" s="83">
        <f ca="1">_xll.meLWOBondPrice(M63,$C$4,N63%)</f>
        <v>94.706000000000003</v>
      </c>
      <c r="R63" s="72">
        <f ca="1">ROUND(_xll.meLWOBondYield($M63,$C$4,W63),6)</f>
        <v>3.3001000000000003E-2</v>
      </c>
      <c r="S63" s="89">
        <f ca="1">_xll.meLWOBondModifiedDuration($M63,$C$4,$N63%)</f>
        <v>18.675351862589505</v>
      </c>
      <c r="T63" s="23">
        <f ca="1">_xll.meLWOBondDV01($M63,$C$4,$N63%)</f>
        <v>1768.6678734984018</v>
      </c>
      <c r="U63" s="86">
        <f t="shared" ca="1" si="5"/>
        <v>3.3001246382875054</v>
      </c>
      <c r="V63" s="91" t="str">
        <f ca="1">_xll.BDP($B63,V$6, "YAS_BOND_YLD="&amp;$U63,"YAS_YLD_CONV=3")</f>
        <v>#N/A Requesting Data...</v>
      </c>
      <c r="W63" s="37">
        <f t="shared" ca="1" si="4"/>
        <v>94.706000000000003</v>
      </c>
      <c r="X63" s="35" t="e">
        <f t="shared" ca="1" si="6"/>
        <v>#VALUE!</v>
      </c>
      <c r="Y63" s="23">
        <f ca="1">_xll.meLWOBondDV01($M63,$C$4,$U63%)</f>
        <v>1768.6678734984018</v>
      </c>
      <c r="Z63" s="22" t="e">
        <f ca="1">_xll.BDP($B63,Z$6, "YLD_YTM_ASK="&amp;$U63,"YAS_YLD_CONV=3")*$Z$3*0.0001</f>
        <v>#VALUE!</v>
      </c>
      <c r="AA63" s="24" t="e">
        <f t="shared" ca="1" si="7"/>
        <v>#VALUE!</v>
      </c>
      <c r="AB63" s="23">
        <f ca="1">_xll.meLWOBondDirtyPrice($M63,$C$4,$U63%)</f>
        <v>94.706000000000003</v>
      </c>
      <c r="AC63" s="23">
        <f ca="1">_xll.meLWOBondModifiedDuration($M63,$C$4,$U63%)</f>
        <v>18.675351862589505</v>
      </c>
      <c r="AD63" s="22" t="str">
        <f ca="1">_xll.BDP($B63,AD$6,"YLD_YTM_ASK="&amp;$U63,"YAS_YLD_CONV=3")</f>
        <v>#N/A Requesting Data...</v>
      </c>
      <c r="AE63" s="24" t="e">
        <f t="shared" ca="1" si="8"/>
        <v>#VALUE!</v>
      </c>
      <c r="AF63" s="23">
        <f ca="1">_xll.meLWOBondDV01Numerical($M63,$C$4,$U63%,0.5,"CENTRAL")</f>
        <v>1760.0000000000196</v>
      </c>
    </row>
  </sheetData>
  <autoFilter ref="B6:AF6"/>
  <sortState ref="B7:AE81">
    <sortCondition ref="K7:K8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F43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1" max="1" width="9.140625" style="1"/>
    <col min="2" max="2" width="15.7109375" style="1" customWidth="1"/>
    <col min="3" max="3" width="18.28515625" style="153" customWidth="1"/>
    <col min="4" max="4" width="15.7109375" style="1" customWidth="1"/>
    <col min="5" max="8" width="15.7109375" style="1" hidden="1" customWidth="1" outlineLevel="1"/>
    <col min="9" max="9" width="22" style="1" hidden="1" customWidth="1" outlineLevel="1"/>
    <col min="10" max="10" width="15.7109375" style="1" customWidth="1" collapsed="1"/>
    <col min="11" max="11" width="15.7109375" style="1" customWidth="1"/>
    <col min="12" max="12" width="22.7109375" style="1" customWidth="1"/>
    <col min="13" max="13" width="22.7109375" style="76" customWidth="1"/>
    <col min="14" max="18" width="22.7109375" style="82" customWidth="1"/>
    <col min="19" max="19" width="15.7109375" style="2" hidden="1" customWidth="1" outlineLevel="1"/>
    <col min="20" max="21" width="15.7109375" style="3" hidden="1" customWidth="1" outlineLevel="1"/>
    <col min="22" max="22" width="15.7109375" style="157" hidden="1" customWidth="1" outlineLevel="1"/>
    <col min="23" max="30" width="15.7109375" style="3" hidden="1" customWidth="1" outlineLevel="1"/>
    <col min="31" max="31" width="9.140625" style="1" collapsed="1"/>
    <col min="32" max="16384" width="9.140625" style="1"/>
  </cols>
  <sheetData>
    <row r="1" spans="2:31">
      <c r="J1" s="5" t="s">
        <v>290</v>
      </c>
      <c r="L1" s="66"/>
      <c r="M1" s="79"/>
      <c r="N1" s="79"/>
      <c r="O1" s="79"/>
      <c r="P1" s="79"/>
      <c r="Q1" s="79"/>
      <c r="R1" s="79"/>
      <c r="AE1" s="5" t="s">
        <v>288</v>
      </c>
    </row>
    <row r="2" spans="2:31">
      <c r="M2" s="79"/>
      <c r="N2" s="39" t="s">
        <v>285</v>
      </c>
      <c r="O2" s="39" t="s">
        <v>285</v>
      </c>
      <c r="P2" s="39" t="s">
        <v>285</v>
      </c>
      <c r="Q2" s="39" t="s">
        <v>285</v>
      </c>
      <c r="R2" s="39" t="s">
        <v>285</v>
      </c>
      <c r="S2" s="36"/>
      <c r="W2" s="8"/>
      <c r="X2" s="8" t="s">
        <v>47</v>
      </c>
      <c r="Z2" s="8"/>
      <c r="AA2" s="8"/>
      <c r="AB2" s="8"/>
      <c r="AD2" s="8"/>
    </row>
    <row r="3" spans="2:31">
      <c r="B3" s="5" t="s">
        <v>9</v>
      </c>
      <c r="C3" s="5" t="s">
        <v>10</v>
      </c>
      <c r="D3" s="7"/>
      <c r="L3" s="5" t="s">
        <v>284</v>
      </c>
      <c r="M3" s="80"/>
      <c r="N3" s="41">
        <f ca="1">IF(ISNUMBER(SUM(V8:V43)),SUM(V8:V43),"BBG WAIT!")</f>
        <v>4.0214223219834366E-3</v>
      </c>
      <c r="O3" s="42" t="s">
        <v>289</v>
      </c>
      <c r="P3" s="41">
        <f ca="1">IF(ISNUMBER(SUM(M8:M43)),SUM(M8:M43)-SUM(P8:P43)*100,"BBG WAIT!")</f>
        <v>-6.2669869294040836E-12</v>
      </c>
      <c r="Q3" s="41">
        <f ca="1">IF(ISNUMBER(SUM(AC8:AC43)),SUM(AC8:AC43),"BBG WAIT!")</f>
        <v>6.8124164450233948E-4</v>
      </c>
      <c r="R3" s="42" t="s">
        <v>289</v>
      </c>
      <c r="W3" s="8"/>
      <c r="X3" s="40">
        <v>1000000</v>
      </c>
      <c r="Z3" s="8"/>
      <c r="AA3" s="8"/>
      <c r="AB3" s="8"/>
      <c r="AD3" s="8"/>
    </row>
    <row r="4" spans="2:31">
      <c r="B4" s="68">
        <f ca="1">TODAY()</f>
        <v>43388</v>
      </c>
      <c r="C4" s="69">
        <f ca="1">_xll.meDateFromTenor($B$4,$D$4,"MOD_FOLLOWING","NYB")</f>
        <v>43389</v>
      </c>
      <c r="D4" s="9" t="s">
        <v>11</v>
      </c>
      <c r="E4" s="4"/>
      <c r="F4" s="4"/>
      <c r="G4" s="4"/>
      <c r="H4" s="4"/>
      <c r="I4" s="4"/>
      <c r="J4" s="4"/>
      <c r="K4" s="4"/>
      <c r="L4" s="33" t="s">
        <v>1748</v>
      </c>
      <c r="M4" s="80"/>
      <c r="N4" s="80"/>
      <c r="O4" s="80"/>
      <c r="P4" s="80"/>
      <c r="Q4" s="80"/>
      <c r="R4" s="80"/>
    </row>
    <row r="5" spans="2:31">
      <c r="B5" s="68"/>
      <c r="C5" s="9"/>
      <c r="D5" s="9"/>
      <c r="E5" s="4"/>
      <c r="F5" s="4"/>
      <c r="G5" s="4"/>
      <c r="H5" s="4"/>
      <c r="I5" s="4"/>
      <c r="J5" s="4"/>
      <c r="K5" s="4"/>
      <c r="L5" s="4"/>
      <c r="M5" s="80"/>
      <c r="N5" s="80"/>
      <c r="O5" s="80"/>
      <c r="P5" s="80"/>
      <c r="Q5" s="80"/>
      <c r="R5" s="80"/>
    </row>
    <row r="6" spans="2:31">
      <c r="B6" s="4"/>
      <c r="C6" s="156" t="s">
        <v>1763</v>
      </c>
      <c r="D6" s="156" t="s">
        <v>1764</v>
      </c>
      <c r="E6" s="156" t="s">
        <v>1767</v>
      </c>
      <c r="F6" s="156" t="s">
        <v>1768</v>
      </c>
      <c r="G6" s="156"/>
      <c r="H6" s="156" t="s">
        <v>1769</v>
      </c>
      <c r="I6" s="156" t="s">
        <v>1770</v>
      </c>
      <c r="J6" s="156" t="s">
        <v>1765</v>
      </c>
      <c r="K6" s="156" t="s">
        <v>1766</v>
      </c>
      <c r="M6" s="10" t="s">
        <v>19</v>
      </c>
      <c r="N6" s="79"/>
      <c r="O6" s="79"/>
      <c r="P6" s="79"/>
      <c r="Q6" s="79"/>
      <c r="R6" s="79"/>
      <c r="S6" s="10" t="s">
        <v>12</v>
      </c>
      <c r="T6" s="11" t="s">
        <v>12</v>
      </c>
      <c r="U6" s="12" t="s">
        <v>13</v>
      </c>
      <c r="V6" s="75" t="s">
        <v>14</v>
      </c>
      <c r="W6" s="12" t="s">
        <v>15</v>
      </c>
      <c r="X6" s="11" t="s">
        <v>16</v>
      </c>
      <c r="Y6" s="13" t="s">
        <v>14</v>
      </c>
      <c r="Z6" s="12" t="s">
        <v>15</v>
      </c>
      <c r="AA6" s="12" t="s">
        <v>15</v>
      </c>
      <c r="AB6" s="11" t="s">
        <v>16</v>
      </c>
      <c r="AC6" s="13" t="s">
        <v>14</v>
      </c>
      <c r="AD6" s="12" t="s">
        <v>15</v>
      </c>
    </row>
    <row r="7" spans="2:31" s="14" customFormat="1">
      <c r="B7" s="38" t="s">
        <v>17</v>
      </c>
      <c r="C7" s="154" t="s">
        <v>0</v>
      </c>
      <c r="D7" s="38" t="s">
        <v>1</v>
      </c>
      <c r="E7" s="38" t="s">
        <v>2</v>
      </c>
      <c r="F7" s="38" t="s">
        <v>8</v>
      </c>
      <c r="G7" s="38" t="s">
        <v>7</v>
      </c>
      <c r="H7" s="38" t="s">
        <v>3</v>
      </c>
      <c r="I7" s="38" t="s">
        <v>4</v>
      </c>
      <c r="J7" s="38" t="s">
        <v>6</v>
      </c>
      <c r="K7" s="38" t="s">
        <v>5</v>
      </c>
      <c r="L7" s="38" t="s">
        <v>18</v>
      </c>
      <c r="M7" s="77" t="s">
        <v>1574</v>
      </c>
      <c r="N7" s="81" t="s">
        <v>286</v>
      </c>
      <c r="O7" s="81" t="s">
        <v>1577</v>
      </c>
      <c r="P7" s="81" t="s">
        <v>1578</v>
      </c>
      <c r="Q7" s="81" t="s">
        <v>287</v>
      </c>
      <c r="R7" s="81" t="s">
        <v>23</v>
      </c>
      <c r="S7" s="10" t="s">
        <v>19</v>
      </c>
      <c r="T7" s="11" t="s">
        <v>20</v>
      </c>
      <c r="U7" s="12" t="s">
        <v>21</v>
      </c>
      <c r="V7" s="158" t="s">
        <v>285</v>
      </c>
      <c r="W7" s="12" t="s">
        <v>23</v>
      </c>
      <c r="X7" s="11" t="s">
        <v>24</v>
      </c>
      <c r="Y7" s="34" t="s">
        <v>285</v>
      </c>
      <c r="Z7" s="12" t="s">
        <v>25</v>
      </c>
      <c r="AA7" s="12" t="s">
        <v>26</v>
      </c>
      <c r="AB7" s="11" t="s">
        <v>27</v>
      </c>
      <c r="AC7" s="34" t="s">
        <v>285</v>
      </c>
      <c r="AD7" s="12" t="s">
        <v>28</v>
      </c>
    </row>
    <row r="8" spans="2:31">
      <c r="B8" s="15" t="s">
        <v>1775</v>
      </c>
      <c r="C8" s="155" t="s">
        <v>1791</v>
      </c>
      <c r="D8" s="15" t="s">
        <v>1792</v>
      </c>
      <c r="E8" s="16" t="s">
        <v>1793</v>
      </c>
      <c r="F8" s="19" t="s">
        <v>1793</v>
      </c>
      <c r="G8" s="18"/>
      <c r="H8" s="16" t="s">
        <v>1794</v>
      </c>
      <c r="I8" s="16" t="s">
        <v>1795</v>
      </c>
      <c r="J8" s="17">
        <v>0.04</v>
      </c>
      <c r="K8" s="16" t="s">
        <v>1796</v>
      </c>
      <c r="L8" s="20" t="str">
        <f ca="1">_xll.meLWOBondCreateFromGeneratorLVB(C8,$L$4,_xll.meUtilityLVBFromKeysValues($C$7:$K$7,C8:K8))</f>
        <v>UKT 4 03/07/22:85</v>
      </c>
      <c r="M8" s="92">
        <f ca="1">_xll.BDP($B8,$M$6)</f>
        <v>0.93694748531639638</v>
      </c>
      <c r="N8" s="89">
        <f ca="1">_xll.meLWOBondCleanPrice($L8,$C$4,$M8%)</f>
        <v>110.20299999999807</v>
      </c>
      <c r="O8" s="89">
        <f ca="1">_xll.meLWOBondDirtyPrice($L8,$C$4,$M8%)</f>
        <v>110.63393922651741</v>
      </c>
      <c r="P8" s="72">
        <f ca="1">_xll.meLWOBondYield($L8,$C$4,N8)</f>
        <v>9.3694748531656623E-3</v>
      </c>
      <c r="Q8" s="89">
        <f ca="1">_xll.meLWOBondModifiedDuration($L8,$C$4,$M8%)</f>
        <v>3.1896649215333839</v>
      </c>
      <c r="R8" s="23">
        <f ca="1">_xll.meLWOBondDV01($L8,$C$4,$M8%)</f>
        <v>352.88519508187881</v>
      </c>
      <c r="S8" s="85">
        <f t="shared" ref="S8:S16" ca="1" si="0">M8</f>
        <v>0.93694748531639638</v>
      </c>
      <c r="T8" s="22">
        <f ca="1">_xll.BDP($B8,T$7, "YAS_BOND_YLD="&amp;$S8,"YAS_YLD_CONV=2")</f>
        <v>110.20299999999799</v>
      </c>
      <c r="U8" s="23">
        <f ca="1">_xll.meLWOBondCleanPrice($L8,$C$4,$S8%)</f>
        <v>110.20299999999807</v>
      </c>
      <c r="V8" s="24">
        <f t="shared" ref="V8:V16" ca="1" si="1">ABS(U8-T8)</f>
        <v>8.5265128291212022E-14</v>
      </c>
      <c r="W8" s="23">
        <f ca="1">_xll.meLWOBondDV01($L8,$C$4,$S8%)</f>
        <v>352.88519508187881</v>
      </c>
      <c r="X8" s="22">
        <f ca="1">_xll.BDP($B8,X$7, "YLD_YTM_ASK="&amp;$S8,"YAS_YLD_CONV=3")*$X$3*0.0001</f>
        <v>352.88520477060104</v>
      </c>
      <c r="Y8" s="24">
        <f t="shared" ref="Y8:Y16" ca="1" si="2">ABS(X8-W8)</f>
        <v>9.6887222298391862E-6</v>
      </c>
      <c r="Z8" s="23">
        <f ca="1">_xll.meLWOBondDirtyPrice($L8,$C$4,$S8%)</f>
        <v>110.63393922651741</v>
      </c>
      <c r="AA8" s="23">
        <f ca="1">_xll.meLWOBondModifiedDuration($L8,$C$4,$S8%)</f>
        <v>3.1896649215333839</v>
      </c>
      <c r="AB8" s="22">
        <f ca="1">_xll.BDP($B8,AB$7,"YLD_YTM_ASK="&amp;$S8,"YAS_YLD_CONV=3")</f>
        <v>3.1896650091080416</v>
      </c>
      <c r="AC8" s="24">
        <f t="shared" ref="AC8:AC16" ca="1" si="3">ABS(AB8-AA8)</f>
        <v>8.7574657747779838E-8</v>
      </c>
      <c r="AD8" s="23">
        <f ca="1">_xll.meLWOBondDV01Numerical($L8,$C$4,$S8%,0.5,"CENTRAL")</f>
        <v>352.88519750295677</v>
      </c>
    </row>
    <row r="9" spans="2:31">
      <c r="B9" s="15" t="s">
        <v>1749</v>
      </c>
      <c r="C9" s="155" t="s">
        <v>1797</v>
      </c>
      <c r="D9" s="155" t="s">
        <v>1798</v>
      </c>
      <c r="E9" s="16" t="s">
        <v>1799</v>
      </c>
      <c r="F9" s="19" t="s">
        <v>1799</v>
      </c>
      <c r="G9" s="18"/>
      <c r="H9" s="16" t="s">
        <v>1800</v>
      </c>
      <c r="I9" s="16" t="s">
        <v>1801</v>
      </c>
      <c r="J9" s="17">
        <v>5.0000000000000001E-3</v>
      </c>
      <c r="K9" s="16" t="s">
        <v>1802</v>
      </c>
      <c r="L9" s="20" t="str">
        <f ca="1">_xll.meLWOBondCreateFromGeneratorLVB(C9,$L$4,_xll.meUtilityLVBFromKeysValues($C$7:$K$7,C9:K9))</f>
        <v>UKT 0 1/2 07/22/22:15</v>
      </c>
      <c r="M9" s="92">
        <f ca="1">_xll.BDP($B9,$M$6)</f>
        <v>1.0148693731318765</v>
      </c>
      <c r="N9" s="89">
        <f ca="1">_xll.meLWOBondCleanPrice($L9,$C$4,$M9%)</f>
        <v>98.101999999993794</v>
      </c>
      <c r="O9" s="89">
        <f ca="1">_xll.meLWOBondDirtyPrice($L9,$C$4,$M9%)</f>
        <v>98.218847826080747</v>
      </c>
      <c r="P9" s="72">
        <f ca="1">_xll.meLWOBondYield($L9,$C$4,N9)</f>
        <v>1.014869373131885E-2</v>
      </c>
      <c r="Q9" s="89">
        <f ca="1">_xll.meLWOBondModifiedDuration($L9,$C$4,$M9%)</f>
        <v>3.7122847495360927</v>
      </c>
      <c r="R9" s="23">
        <f ca="1">_xll.meLWOBondDV01($L9,$C$4,$M9%)</f>
        <v>364.61633090176576</v>
      </c>
      <c r="S9" s="85">
        <f t="shared" ca="1" si="0"/>
        <v>1.0148693731318765</v>
      </c>
      <c r="T9" s="22">
        <f ca="1">_xll.BDP($B9,T$7, "YAS_BOND_YLD="&amp;$S9,"YAS_YLD_CONV=2")</f>
        <v>98.10199999999378</v>
      </c>
      <c r="U9" s="23">
        <f ca="1">_xll.meLWOBondCleanPrice($L9,$C$4,$S9%)</f>
        <v>98.101999999993794</v>
      </c>
      <c r="V9" s="24">
        <f t="shared" ca="1" si="1"/>
        <v>1.4210854715202004E-14</v>
      </c>
      <c r="W9" s="23">
        <f ca="1">_xll.meLWOBondDV01($L9,$C$4,$S9%)</f>
        <v>364.61633090176576</v>
      </c>
      <c r="X9" s="22">
        <f ca="1">_xll.BDP($B9,X$7, "YLD_YTM_ASK="&amp;$S9,"YAS_YLD_CONV=3")*$X$3*0.0001</f>
        <v>364.61634308366803</v>
      </c>
      <c r="Y9" s="24">
        <f t="shared" ca="1" si="2"/>
        <v>1.2181902263819211E-5</v>
      </c>
      <c r="Z9" s="23">
        <f ca="1">_xll.meLWOBondDirtyPrice($L9,$C$4,$S9%)</f>
        <v>98.218847826080747</v>
      </c>
      <c r="AA9" s="23">
        <f ca="1">_xll.meLWOBondModifiedDuration($L9,$C$4,$S9%)</f>
        <v>3.7122847495360927</v>
      </c>
      <c r="AB9" s="22">
        <f ca="1">_xll.BDP($B9,AB$7,"YLD_YTM_ASK="&amp;$S9,"YAS_YLD_CONV=3")</f>
        <v>3.7122848735644856</v>
      </c>
      <c r="AC9" s="24">
        <f t="shared" ca="1" si="3"/>
        <v>1.2402839288938594E-7</v>
      </c>
      <c r="AD9" s="23">
        <f ca="1">_xll.meLWOBondDV01Numerical($L9,$C$4,$S9%,0.5,"CENTRAL")</f>
        <v>364.61633394807791</v>
      </c>
    </row>
    <row r="10" spans="2:31">
      <c r="B10" s="15" t="s">
        <v>1757</v>
      </c>
      <c r="C10" s="155" t="s">
        <v>1803</v>
      </c>
      <c r="D10" s="15" t="s">
        <v>1804</v>
      </c>
      <c r="E10" s="16" t="s">
        <v>1805</v>
      </c>
      <c r="F10" s="19" t="s">
        <v>1805</v>
      </c>
      <c r="G10" s="18"/>
      <c r="H10" s="16" t="s">
        <v>1806</v>
      </c>
      <c r="I10" s="16" t="s">
        <v>1796</v>
      </c>
      <c r="J10" s="17">
        <v>1.7500000000000002E-2</v>
      </c>
      <c r="K10" s="16" t="s">
        <v>1807</v>
      </c>
      <c r="L10" s="20" t="str">
        <f ca="1">_xll.meLWOBondCreateFromGeneratorLVB(C10,$L$4,_xll.meUtilityLVBFromKeysValues($C$7:$K$7,C10:K10))</f>
        <v>UKT 1 3/4 09/07/22:11</v>
      </c>
      <c r="M10" s="92">
        <f ca="1">_xll.BDP($B10,$M$6)</f>
        <v>1.0283728339150962</v>
      </c>
      <c r="N10" s="89">
        <f ca="1">_xll.meLWOBondCleanPrice($L10,$C$4,$M10%)</f>
        <v>102.74600008272787</v>
      </c>
      <c r="O10" s="89">
        <f ca="1">_xll.meLWOBondDirtyPrice($L10,$C$4,$M10%)</f>
        <v>102.93453599433009</v>
      </c>
      <c r="P10" s="72">
        <f ca="1">_xll.meLWOBondYield($L10,$C$4,N10)</f>
        <v>1.0283728339151008E-2</v>
      </c>
      <c r="Q10" s="89">
        <f ca="1">_xll.meLWOBondModifiedDuration($L10,$C$4,$M10%)</f>
        <v>3.7556294287846304</v>
      </c>
      <c r="R10" s="23">
        <f ca="1">_xll.meLWOBondDV01($L10,$C$4,$M10%)</f>
        <v>386.58397261859687</v>
      </c>
      <c r="S10" s="85">
        <f t="shared" ca="1" si="0"/>
        <v>1.0283728339150962</v>
      </c>
      <c r="T10" s="22">
        <f ca="1">_xll.BDP($B10,T$7, "YAS_BOND_YLD="&amp;$S10,"YAS_YLD_CONV=2")</f>
        <v>102.74600008272785</v>
      </c>
      <c r="U10" s="23">
        <f ca="1">_xll.meLWOBondCleanPrice($L10,$C$4,$S10%)</f>
        <v>102.74600008272787</v>
      </c>
      <c r="V10" s="24">
        <f t="shared" ca="1" si="1"/>
        <v>2.8421709430404007E-14</v>
      </c>
      <c r="W10" s="23">
        <f ca="1">_xll.meLWOBondDV01($L10,$C$4,$S10%)</f>
        <v>386.58397261859687</v>
      </c>
      <c r="X10" s="22">
        <f ca="1">_xll.BDP($B10,X$7, "YLD_YTM_ASK="&amp;$S10,"YAS_YLD_CONV=3")*$X$3*0.0001</f>
        <v>386.58398647868358</v>
      </c>
      <c r="Y10" s="24">
        <f t="shared" ca="1" si="2"/>
        <v>1.3860086710337782E-5</v>
      </c>
      <c r="Z10" s="23">
        <f ca="1">_xll.meLWOBondDirtyPrice($L10,$C$4,$S10%)</f>
        <v>102.93453599433009</v>
      </c>
      <c r="AA10" s="23">
        <f ca="1">_xll.meLWOBondModifiedDuration($L10,$C$4,$S10%)</f>
        <v>3.7556294287846304</v>
      </c>
      <c r="AB10" s="22">
        <f ca="1">_xll.BDP($B10,AB$7,"YLD_YTM_ASK="&amp;$S10,"YAS_YLD_CONV=3")</f>
        <v>3.7556295604157794</v>
      </c>
      <c r="AC10" s="24">
        <f t="shared" ca="1" si="3"/>
        <v>1.3163114909175988E-7</v>
      </c>
      <c r="AD10" s="23">
        <f ca="1">_xll.meLWOBondDV01Numerical($L10,$C$4,$S10%,0.5,"CENTRAL")</f>
        <v>386.5839759936307</v>
      </c>
    </row>
    <row r="11" spans="2:31">
      <c r="B11" s="15" t="s">
        <v>1750</v>
      </c>
      <c r="C11" s="155" t="s">
        <v>1808</v>
      </c>
      <c r="D11" s="15" t="s">
        <v>1809</v>
      </c>
      <c r="E11" s="16" t="s">
        <v>1810</v>
      </c>
      <c r="F11" s="19" t="s">
        <v>1810</v>
      </c>
      <c r="G11" s="18"/>
      <c r="H11" s="16" t="s">
        <v>1811</v>
      </c>
      <c r="I11" s="16" t="s">
        <v>1812</v>
      </c>
      <c r="J11" s="17">
        <v>7.4999999999999997E-3</v>
      </c>
      <c r="K11" s="16" t="s">
        <v>1813</v>
      </c>
      <c r="L11" s="20" t="str">
        <f ca="1">_xll.meLWOBondCreateFromGeneratorLVB(C11,$L$4,_xll.meUtilityLVBFromKeysValues($C$7:$K$7,C11:K11))</f>
        <v>UKT 0 3/4 07/22/23:14</v>
      </c>
      <c r="M11" s="92">
        <f ca="1">_xll.BDP($B11,$M$6)</f>
        <v>1.1591099427921754</v>
      </c>
      <c r="N11" s="89">
        <f ca="1">_xll.meLWOBondCleanPrice($L11,$C$4,$M11%)</f>
        <v>98.107999999958196</v>
      </c>
      <c r="O11" s="89">
        <f ca="1">_xll.meLWOBondDirtyPrice($L11,$C$4,$M11%)</f>
        <v>98.283271739088633</v>
      </c>
      <c r="P11" s="72">
        <f ca="1">_xll.meLWOBondYield($L11,$C$4,N11)</f>
        <v>1.1591099427921605E-2</v>
      </c>
      <c r="Q11" s="89">
        <f ca="1">_xll.meLWOBondModifiedDuration($L11,$C$4,$M11%)</f>
        <v>4.6550427563472754</v>
      </c>
      <c r="R11" s="23">
        <f ca="1">_xll.meLWOBondDV01($L11,$C$4,$M11%)</f>
        <v>457.5128321791554</v>
      </c>
      <c r="S11" s="85">
        <f t="shared" ca="1" si="0"/>
        <v>1.1591099427921754</v>
      </c>
      <c r="T11" s="22">
        <f ca="1">_xll.BDP($B11,T$7, "YAS_BOND_YLD="&amp;$S11,"YAS_YLD_CONV=2")</f>
        <v>98.10799999995821</v>
      </c>
      <c r="U11" s="23">
        <f ca="1">_xll.meLWOBondCleanPrice($L11,$C$4,$S11%)</f>
        <v>98.107999999958196</v>
      </c>
      <c r="V11" s="24">
        <f t="shared" ca="1" si="1"/>
        <v>1.4210854715202004E-14</v>
      </c>
      <c r="W11" s="23">
        <f ca="1">_xll.meLWOBondDV01($L11,$C$4,$S11%)</f>
        <v>457.5128321791554</v>
      </c>
      <c r="X11" s="22">
        <f ca="1">_xll.BDP($B11,X$7, "YLD_YTM_ASK="&amp;$S11,"YAS_YLD_CONV=3")*$X$3*0.0001</f>
        <v>457.51285488314863</v>
      </c>
      <c r="Y11" s="24">
        <f t="shared" ca="1" si="2"/>
        <v>2.2703993238337716E-5</v>
      </c>
      <c r="Z11" s="23">
        <f ca="1">_xll.meLWOBondDirtyPrice($L11,$C$4,$S11%)</f>
        <v>98.283271739088633</v>
      </c>
      <c r="AA11" s="23">
        <f ca="1">_xll.meLWOBondModifiedDuration($L11,$C$4,$S11%)</f>
        <v>4.6550427563472754</v>
      </c>
      <c r="AB11" s="22">
        <f ca="1">_xll.BDP($B11,AB$7,"YLD_YTM_ASK="&amp;$S11,"YAS_YLD_CONV=3")</f>
        <v>4.6550429873549337</v>
      </c>
      <c r="AC11" s="24">
        <f t="shared" ca="1" si="3"/>
        <v>2.3100765833561354E-7</v>
      </c>
      <c r="AD11" s="23">
        <f ca="1">_xll.meLWOBondDV01Numerical($L11,$C$4,$S11%,0.5,"CENTRAL")</f>
        <v>457.51283785605779</v>
      </c>
    </row>
    <row r="12" spans="2:31">
      <c r="B12" s="15" t="s">
        <v>1760</v>
      </c>
      <c r="C12" s="155" t="s">
        <v>1814</v>
      </c>
      <c r="D12" s="15" t="s">
        <v>1815</v>
      </c>
      <c r="E12" s="16" t="s">
        <v>1816</v>
      </c>
      <c r="F12" s="19" t="s">
        <v>1816</v>
      </c>
      <c r="G12" s="18"/>
      <c r="H12" s="16" t="s">
        <v>1817</v>
      </c>
      <c r="I12" s="16" t="s">
        <v>1818</v>
      </c>
      <c r="J12" s="17">
        <v>2.2499999999999999E-2</v>
      </c>
      <c r="K12" s="16" t="s">
        <v>1819</v>
      </c>
      <c r="L12" s="20" t="str">
        <f ca="1">_xll.meLWOBondCreateFromGeneratorLVB(C12,$L$4,_xll.meUtilityLVBFromKeysValues($C$7:$K$7,C12:K12))</f>
        <v>UKT 2 1/4 09/07/23:13</v>
      </c>
      <c r="M12" s="92">
        <f ca="1">_xll.BDP($B12,$M$6)</f>
        <v>1.1472952579002547</v>
      </c>
      <c r="N12" s="89">
        <f ca="1">_xll.meLWOBondCleanPrice($L12,$C$4,$M12%)</f>
        <v>105.2310000000073</v>
      </c>
      <c r="O12" s="89">
        <f ca="1">_xll.meLWOBondDirtyPrice($L12,$C$4,$M12%)</f>
        <v>105.47340331492443</v>
      </c>
      <c r="P12" s="72">
        <f ca="1">_xll.meLWOBondYield($L12,$C$4,N12)</f>
        <v>1.1472952579004226E-2</v>
      </c>
      <c r="Q12" s="89">
        <f ca="1">_xll.meLWOBondModifiedDuration($L12,$C$4,$M12%)</f>
        <v>4.6303861149109391</v>
      </c>
      <c r="R12" s="23">
        <f ca="1">_xll.meLWOBondDV01($L12,$C$4,$M12%)</f>
        <v>488.38258220182746</v>
      </c>
      <c r="S12" s="85">
        <f t="shared" ca="1" si="0"/>
        <v>1.1472952579002547</v>
      </c>
      <c r="T12" s="22">
        <f ca="1">_xll.BDP($B12,T$7, "YAS_BOND_YLD="&amp;$S12,"YAS_YLD_CONV=2")</f>
        <v>105.2310000000074</v>
      </c>
      <c r="U12" s="23">
        <f ca="1">_xll.meLWOBondCleanPrice($L12,$C$4,$S12%)</f>
        <v>105.2310000000073</v>
      </c>
      <c r="V12" s="24">
        <f t="shared" ca="1" si="1"/>
        <v>9.9475983006414026E-14</v>
      </c>
      <c r="W12" s="23">
        <f ca="1">_xll.meLWOBondDV01($L12,$C$4,$S12%)</f>
        <v>488.38258220182746</v>
      </c>
      <c r="X12" s="22">
        <f ca="1">_xll.BDP($B12,X$7, "YLD_YTM_ASK="&amp;$S12,"YAS_YLD_CONV=3")*$X$3*0.0001</f>
        <v>488.38260715648124</v>
      </c>
      <c r="Y12" s="24">
        <f t="shared" ca="1" si="2"/>
        <v>2.4954653781605884E-5</v>
      </c>
      <c r="Z12" s="23">
        <f ca="1">_xll.meLWOBondDirtyPrice($L12,$C$4,$S12%)</f>
        <v>105.47340331492443</v>
      </c>
      <c r="AA12" s="23">
        <f ca="1">_xll.meLWOBondModifiedDuration($L12,$C$4,$S12%)</f>
        <v>4.6303861149109391</v>
      </c>
      <c r="AB12" s="22">
        <f ca="1">_xll.BDP($B12,AB$7,"YLD_YTM_ASK="&amp;$S12,"YAS_YLD_CONV=3")</f>
        <v>4.6303863515072514</v>
      </c>
      <c r="AC12" s="24">
        <f t="shared" ca="1" si="3"/>
        <v>2.3659631231964795E-7</v>
      </c>
      <c r="AD12" s="23">
        <f ca="1">_xll.meLWOBondDV01Numerical($L12,$C$4,$S12%,0.5,"CENTRAL")</f>
        <v>488.3825884411408</v>
      </c>
    </row>
    <row r="13" spans="2:31">
      <c r="B13" s="15" t="s">
        <v>1762</v>
      </c>
      <c r="C13" s="155" t="s">
        <v>1820</v>
      </c>
      <c r="D13" s="15" t="s">
        <v>1821</v>
      </c>
      <c r="E13" s="16" t="s">
        <v>1822</v>
      </c>
      <c r="F13" s="19" t="s">
        <v>1822</v>
      </c>
      <c r="G13" s="18"/>
      <c r="H13" s="16" t="s">
        <v>1823</v>
      </c>
      <c r="I13" s="16" t="s">
        <v>1824</v>
      </c>
      <c r="J13" s="17">
        <v>2.75E-2</v>
      </c>
      <c r="K13" s="16" t="s">
        <v>1825</v>
      </c>
      <c r="L13" s="20" t="str">
        <f ca="1">_xll.meLWOBondCreateFromGeneratorLVB(C13,$L$4,_xll.meUtilityLVBFromKeysValues($C$7:$K$7,C13:K13))</f>
        <v>UKT 2 3/4 09/07/24:10</v>
      </c>
      <c r="M13" s="92">
        <f ca="1">_xll.BDP($B13,$M$6)</f>
        <v>1.2382819160207301</v>
      </c>
      <c r="N13" s="89">
        <f ca="1">_xll.meLWOBondCleanPrice($L13,$C$4,$M13%)</f>
        <v>108.56399976519424</v>
      </c>
      <c r="O13" s="89">
        <f ca="1">_xll.meLWOBondDirtyPrice($L13,$C$4,$M13%)</f>
        <v>108.86027048342628</v>
      </c>
      <c r="P13" s="72">
        <f ca="1">_xll.meLWOBondYield($L13,$C$4,N13)</f>
        <v>1.2382819160211375E-2</v>
      </c>
      <c r="Q13" s="89">
        <f ca="1">_xll.meLWOBondModifiedDuration($L13,$C$4,$M13%)</f>
        <v>5.4520952624921248</v>
      </c>
      <c r="R13" s="23">
        <f ca="1">_xll.meLWOBondDV01($L13,$C$4,$M13%)</f>
        <v>593.51656497629972</v>
      </c>
      <c r="S13" s="85">
        <f t="shared" ca="1" si="0"/>
        <v>1.2382819160207301</v>
      </c>
      <c r="T13" s="22">
        <f ca="1">_xll.BDP($B13,T$7, "YAS_BOND_YLD="&amp;$S13,"YAS_YLD_CONV=2")</f>
        <v>108.56399976519437</v>
      </c>
      <c r="U13" s="23">
        <f ca="1">_xll.meLWOBondCleanPrice($L13,$C$4,$S13%)</f>
        <v>108.56399976519424</v>
      </c>
      <c r="V13" s="24">
        <f t="shared" ca="1" si="1"/>
        <v>1.2789769243681803E-13</v>
      </c>
      <c r="W13" s="23">
        <f ca="1">_xll.meLWOBondDV01($L13,$C$4,$S13%)</f>
        <v>593.51656497629972</v>
      </c>
      <c r="X13" s="22">
        <f ca="1">_xll.BDP($B13,X$7, "YLD_YTM_ASK="&amp;$S13,"YAS_YLD_CONV=3")*$X$3*0.0001</f>
        <v>593.51660504695758</v>
      </c>
      <c r="Y13" s="24">
        <f t="shared" ca="1" si="2"/>
        <v>4.0070657860269421E-5</v>
      </c>
      <c r="Z13" s="23">
        <f ca="1">_xll.meLWOBondDirtyPrice($L13,$C$4,$S13%)</f>
        <v>108.86027048342628</v>
      </c>
      <c r="AA13" s="23">
        <f ca="1">_xll.meLWOBondModifiedDuration($L13,$C$4,$S13%)</f>
        <v>5.4520952624921248</v>
      </c>
      <c r="AB13" s="22">
        <f ca="1">_xll.BDP($B13,AB$7,"YLD_YTM_ASK="&amp;$S13,"YAS_YLD_CONV=3")</f>
        <v>5.4520956423445828</v>
      </c>
      <c r="AC13" s="24">
        <f t="shared" ca="1" si="3"/>
        <v>3.7985245793237254E-7</v>
      </c>
      <c r="AD13" s="23">
        <f ca="1">_xll.meLWOBondDV01Numerical($L13,$C$4,$S13%,0.5,"CENTRAL")</f>
        <v>593.5165753567162</v>
      </c>
    </row>
    <row r="14" spans="2:31">
      <c r="B14" s="15" t="s">
        <v>1789</v>
      </c>
      <c r="C14" s="155" t="s">
        <v>1826</v>
      </c>
      <c r="D14" s="15" t="s">
        <v>1827</v>
      </c>
      <c r="E14" s="16" t="s">
        <v>1828</v>
      </c>
      <c r="F14" s="19" t="s">
        <v>1828</v>
      </c>
      <c r="G14" s="18"/>
      <c r="H14" s="16" t="s">
        <v>1829</v>
      </c>
      <c r="I14" s="16" t="s">
        <v>1825</v>
      </c>
      <c r="J14" s="17">
        <v>0.05</v>
      </c>
      <c r="K14" s="16" t="s">
        <v>1830</v>
      </c>
      <c r="L14" s="20" t="str">
        <f ca="1">_xll.meLWOBondCreateFromGeneratorLVB(C14,$L$4,_xll.meUtilityLVBFromKeysValues($C$7:$K$7,C14:K14))</f>
        <v>UKT 5 03/07/25:91</v>
      </c>
      <c r="M14" s="92">
        <f ca="1">_xll.BDP($B14,$M$6)</f>
        <v>1.2697317343874472</v>
      </c>
      <c r="N14" s="89">
        <f ca="1">_xll.meLWOBondCleanPrice($L14,$C$4,$M14%)</f>
        <v>122.83199999761136</v>
      </c>
      <c r="O14" s="89">
        <f ca="1">_xll.meLWOBondDirtyPrice($L14,$C$4,$M14%)</f>
        <v>123.37067403076054</v>
      </c>
      <c r="P14" s="72">
        <f ca="1">_xll.meLWOBondYield($L14,$C$4,N14)</f>
        <v>1.2697317343882899E-2</v>
      </c>
      <c r="Q14" s="89">
        <f ca="1">_xll.meLWOBondModifiedDuration($L14,$C$4,$M14%)</f>
        <v>5.5883064781928811</v>
      </c>
      <c r="R14" s="23">
        <f ca="1">_xll.meLWOBondDV01($L14,$C$4,$M14%)</f>
        <v>689.43313690512139</v>
      </c>
      <c r="S14" s="85">
        <f t="shared" ca="1" si="0"/>
        <v>1.2697317343874472</v>
      </c>
      <c r="T14" s="22">
        <f ca="1">_xll.BDP($B14,T$7, "YAS_BOND_YLD="&amp;$S14,"YAS_YLD_CONV=2")</f>
        <v>122.83199999761112</v>
      </c>
      <c r="U14" s="23">
        <f ca="1">_xll.meLWOBondCleanPrice($L14,$C$4,$S14%)</f>
        <v>122.83199999761136</v>
      </c>
      <c r="V14" s="24">
        <f t="shared" ca="1" si="1"/>
        <v>2.4158453015843406E-13</v>
      </c>
      <c r="W14" s="23">
        <f ca="1">_xll.meLWOBondDV01($L14,$C$4,$S14%)</f>
        <v>689.43313690512139</v>
      </c>
      <c r="X14" s="22">
        <f ca="1">_xll.BDP($B14,X$7, "YLD_YTM_ASK="&amp;$S14,"YAS_YLD_CONV=3")*$X$3*0.0001</f>
        <v>689.43319092895194</v>
      </c>
      <c r="Y14" s="24">
        <f t="shared" ca="1" si="2"/>
        <v>5.4023830557525798E-5</v>
      </c>
      <c r="Z14" s="23">
        <f ca="1">_xll.meLWOBondDirtyPrice($L14,$C$4,$S14%)</f>
        <v>123.37067403076054</v>
      </c>
      <c r="AA14" s="23">
        <f ca="1">_xll.meLWOBondModifiedDuration($L14,$C$4,$S14%)</f>
        <v>5.5883064781928811</v>
      </c>
      <c r="AB14" s="22">
        <f ca="1">_xll.BDP($B14,AB$7,"YLD_YTM_ASK="&amp;$S14,"YAS_YLD_CONV=3")</f>
        <v>5.5883069161996062</v>
      </c>
      <c r="AC14" s="24">
        <f t="shared" ca="1" si="3"/>
        <v>4.3800672511196126E-7</v>
      </c>
      <c r="AD14" s="23">
        <f ca="1">_xll.meLWOBondDV01Numerical($L14,$C$4,$S14%,0.5,"CENTRAL")</f>
        <v>689.43315041352093</v>
      </c>
    </row>
    <row r="15" spans="2:31">
      <c r="B15" s="15" t="s">
        <v>1759</v>
      </c>
      <c r="C15" s="155" t="s">
        <v>1831</v>
      </c>
      <c r="D15" s="15" t="s">
        <v>1832</v>
      </c>
      <c r="E15" s="16" t="s">
        <v>1833</v>
      </c>
      <c r="F15" s="19" t="s">
        <v>1833</v>
      </c>
      <c r="G15" s="18"/>
      <c r="H15" s="16" t="s">
        <v>1834</v>
      </c>
      <c r="I15" s="16" t="s">
        <v>1830</v>
      </c>
      <c r="J15" s="17">
        <v>0.02</v>
      </c>
      <c r="K15" s="16" t="s">
        <v>1835</v>
      </c>
      <c r="L15" s="20" t="str">
        <f ca="1">_xll.meLWOBondCreateFromGeneratorLVB(C15,$L$4,_xll.meUtilityLVBFromKeysValues($C$7:$K$7,C15:K15))</f>
        <v>UKT 2 09/07/25:12</v>
      </c>
      <c r="M15" s="92">
        <f ca="1">_xll.BDP($B15,$M$6)</f>
        <v>1.3001387742636581</v>
      </c>
      <c r="N15" s="89">
        <f ca="1">_xll.meLWOBondCleanPrice($L15,$C$4,$M15%)</f>
        <v>104.59899999997994</v>
      </c>
      <c r="O15" s="89">
        <f ca="1">_xll.meLWOBondDirtyPrice($L15,$C$4,$M15%)</f>
        <v>104.81446961323961</v>
      </c>
      <c r="P15" s="72">
        <f ca="1">_xll.meLWOBondYield($L15,$C$4,N15)</f>
        <v>1.3001387742638008E-2</v>
      </c>
      <c r="Q15" s="89">
        <f ca="1">_xll.meLWOBondModifiedDuration($L15,$C$4,$M15%)</f>
        <v>6.4295319447590984</v>
      </c>
      <c r="R15" s="23">
        <f ca="1">_xll.meLWOBondDV01($L15,$C$4,$M15%)</f>
        <v>673.90798065130593</v>
      </c>
      <c r="S15" s="85">
        <f t="shared" ca="1" si="0"/>
        <v>1.3001387742636581</v>
      </c>
      <c r="T15" s="22">
        <f ca="1">_xll.BDP($B15,T$7, "YAS_BOND_YLD="&amp;$S15,"YAS_YLD_CONV=2")</f>
        <v>104.59899999998004</v>
      </c>
      <c r="U15" s="23">
        <f ca="1">_xll.meLWOBondCleanPrice($L15,$C$4,$S15%)</f>
        <v>104.59899999997994</v>
      </c>
      <c r="V15" s="24">
        <f t="shared" ca="1" si="1"/>
        <v>9.9475983006414026E-14</v>
      </c>
      <c r="W15" s="23">
        <f ca="1">_xll.meLWOBondDV01($L15,$C$4,$S15%)</f>
        <v>673.90798065130593</v>
      </c>
      <c r="X15" s="22">
        <f ca="1">_xll.BDP($B15,X$7, "YLD_YTM_ASK="&amp;$S15,"YAS_YLD_CONV=3")*$X$3*0.0001</f>
        <v>673.90804332774223</v>
      </c>
      <c r="Y15" s="24">
        <f t="shared" ca="1" si="2"/>
        <v>6.2676436300534988E-5</v>
      </c>
      <c r="Z15" s="23">
        <f ca="1">_xll.meLWOBondDirtyPrice($L15,$C$4,$S15%)</f>
        <v>104.81446961323961</v>
      </c>
      <c r="AA15" s="23">
        <f ca="1">_xll.meLWOBondModifiedDuration($L15,$C$4,$S15%)</f>
        <v>6.4295319447590984</v>
      </c>
      <c r="AB15" s="22">
        <f ca="1">_xll.BDP($B15,AB$7,"YLD_YTM_ASK="&amp;$S15,"YAS_YLD_CONV=3")</f>
        <v>6.4295325427353465</v>
      </c>
      <c r="AC15" s="24">
        <f t="shared" ca="1" si="3"/>
        <v>5.9797624807345073E-7</v>
      </c>
      <c r="AD15" s="23">
        <f ca="1">_xll.meLWOBondDV01Numerical($L15,$C$4,$S15%,0.5,"CENTRAL")</f>
        <v>673.90799632150333</v>
      </c>
    </row>
    <row r="16" spans="2:31">
      <c r="B16" s="15" t="s">
        <v>1753</v>
      </c>
      <c r="C16" s="155" t="s">
        <v>1836</v>
      </c>
      <c r="D16" s="15" t="s">
        <v>1837</v>
      </c>
      <c r="E16" s="16" t="s">
        <v>1838</v>
      </c>
      <c r="F16" s="19" t="s">
        <v>1838</v>
      </c>
      <c r="G16" s="18"/>
      <c r="H16" s="16" t="s">
        <v>1839</v>
      </c>
      <c r="I16" s="16" t="s">
        <v>1840</v>
      </c>
      <c r="J16" s="17">
        <v>1.4999999999999999E-2</v>
      </c>
      <c r="K16" s="16" t="s">
        <v>1841</v>
      </c>
      <c r="L16" s="20" t="str">
        <f ca="1">_xll.meLWOBondCreateFromGeneratorLVB(C16,$L$4,_xll.meUtilityLVBFromKeysValues($C$7:$K$7,C16:K16))</f>
        <v>UKT 1 1/2 07/22/26:15</v>
      </c>
      <c r="M16" s="92">
        <f ca="1">_xll.BDP($B16,$M$6)</f>
        <v>1.3906102844207702</v>
      </c>
      <c r="N16" s="89">
        <f ca="1">_xll.meLWOBondCleanPrice($L16,$C$4,$M16%)</f>
        <v>100.8019999990064</v>
      </c>
      <c r="O16" s="89">
        <f ca="1">_xll.meLWOBondDirtyPrice($L16,$C$4,$M16%)</f>
        <v>101.15254347726727</v>
      </c>
      <c r="P16" s="72">
        <f ca="1">_xll.meLWOBondYield($L16,$C$4,N16)</f>
        <v>1.3906102844208476E-2</v>
      </c>
      <c r="Q16" s="89">
        <f ca="1">_xll.meLWOBondModifiedDuration($L16,$C$4,$M16%)</f>
        <v>7.2863751893829969</v>
      </c>
      <c r="R16" s="23">
        <f ca="1">_xll.meLWOBondDV01($L16,$C$4,$M16%)</f>
        <v>737.03538313574518</v>
      </c>
      <c r="S16" s="85">
        <f t="shared" ca="1" si="0"/>
        <v>1.3906102844207702</v>
      </c>
      <c r="T16" s="22">
        <f ca="1">_xll.BDP($B16,T$7, "YAS_BOND_YLD="&amp;$S16,"YAS_YLD_CONV=2")</f>
        <v>100.80199999900637</v>
      </c>
      <c r="U16" s="23">
        <f ca="1">_xll.meLWOBondCleanPrice($L16,$C$4,$S16%)</f>
        <v>100.8019999990064</v>
      </c>
      <c r="V16" s="24">
        <f t="shared" ca="1" si="1"/>
        <v>2.8421709430404007E-14</v>
      </c>
      <c r="W16" s="23">
        <f ca="1">_xll.meLWOBondDV01($L16,$C$4,$S16%)</f>
        <v>737.03538313574518</v>
      </c>
      <c r="X16" s="22">
        <f ca="1">_xll.BDP($B16,X$7, "YLD_YTM_ASK="&amp;$S16,"YAS_YLD_CONV=3")*$X$3*0.0001</f>
        <v>737.03546854630997</v>
      </c>
      <c r="Y16" s="24">
        <f t="shared" ca="1" si="2"/>
        <v>8.5410564793164667E-5</v>
      </c>
      <c r="Z16" s="23">
        <f ca="1">_xll.meLWOBondDirtyPrice($L16,$C$4,$S16%)</f>
        <v>101.15254347726727</v>
      </c>
      <c r="AA16" s="23">
        <f ca="1">_xll.meLWOBondModifiedDuration($L16,$C$4,$S16%)</f>
        <v>7.2863751893829969</v>
      </c>
      <c r="AB16" s="22">
        <f ca="1">_xll.BDP($B16,AB$7,"YLD_YTM_ASK="&amp;$S16,"YAS_YLD_CONV=3")</f>
        <v>7.2863760338284358</v>
      </c>
      <c r="AC16" s="24">
        <f t="shared" ca="1" si="3"/>
        <v>8.4444543890782597E-7</v>
      </c>
      <c r="AD16" s="23">
        <f ca="1">_xll.meLWOBondDV01Numerical($L16,$C$4,$S16%,0.5,"CENTRAL")</f>
        <v>737.03540448889271</v>
      </c>
    </row>
    <row r="17" spans="2:30">
      <c r="B17" s="15" t="s">
        <v>1751</v>
      </c>
      <c r="C17" s="155" t="s">
        <v>1842</v>
      </c>
      <c r="D17" s="15" t="s">
        <v>1843</v>
      </c>
      <c r="E17" s="16" t="s">
        <v>1844</v>
      </c>
      <c r="F17" s="19" t="s">
        <v>1844</v>
      </c>
      <c r="G17" s="18"/>
      <c r="H17" s="16" t="s">
        <v>1845</v>
      </c>
      <c r="I17" s="16" t="s">
        <v>1846</v>
      </c>
      <c r="J17" s="17">
        <v>1.2500000000000001E-2</v>
      </c>
      <c r="K17" s="16" t="s">
        <v>1847</v>
      </c>
      <c r="L17" s="20" t="str">
        <f ca="1">_xll.meLWOBondCreateFromGeneratorLVB(C17,$L$4,_xll.meUtilityLVBFromKeysValues($C$7:$K$7,C17:K17))</f>
        <v>UKT 1 1/4 07/22/27:13</v>
      </c>
      <c r="M17" s="92">
        <f ca="1">_xll.BDP($B17,$M$6)</f>
        <v>1.50049311625929</v>
      </c>
      <c r="N17" s="89">
        <f ca="1">_xll.meLWOBondCleanPrice($L17,$C$4,$M17%)</f>
        <v>97.948999996199603</v>
      </c>
      <c r="O17" s="89">
        <f ca="1">_xll.meLWOBondDirtyPrice($L17,$C$4,$M17%)</f>
        <v>98.241119561416994</v>
      </c>
      <c r="P17" s="72">
        <f ca="1">_xll.meLWOBondYield($L17,$C$4,N17)</f>
        <v>1.5004931162593275E-2</v>
      </c>
      <c r="Q17" s="89">
        <f ca="1">_xll.meLWOBondModifiedDuration($L17,$C$4,$M17%)</f>
        <v>8.2384693527617703</v>
      </c>
      <c r="R17" s="23">
        <f ca="1">_xll.meLWOBondDV01($L17,$C$4,$M17%)</f>
        <v>809.35645268773874</v>
      </c>
      <c r="S17" s="85">
        <f t="shared" ref="S17:S41" ca="1" si="4">M17</f>
        <v>1.50049311625929</v>
      </c>
      <c r="T17" s="22">
        <f ca="1">_xll.BDP($B17,T$7, "YAS_BOND_YLD="&amp;$S17,"YAS_YLD_CONV=2")</f>
        <v>97.94899999619966</v>
      </c>
      <c r="U17" s="23">
        <f ca="1">_xll.meLWOBondCleanPrice($L17,$C$4,$S17%)</f>
        <v>97.948999996199603</v>
      </c>
      <c r="V17" s="24">
        <f t="shared" ref="V17:V41" ca="1" si="5">ABS(U17-T17)</f>
        <v>5.6843418860808015E-14</v>
      </c>
      <c r="W17" s="23">
        <f ca="1">_xll.meLWOBondDV01($L17,$C$4,$S17%)</f>
        <v>809.35645268773874</v>
      </c>
      <c r="X17" s="22">
        <f ca="1">_xll.BDP($B17,X$7, "YLD_YTM_ASK="&amp;$S17,"YAS_YLD_CONV=3")*$X$3*0.0001</f>
        <v>809.35656979391979</v>
      </c>
      <c r="Y17" s="24">
        <f t="shared" ref="Y17:Y41" ca="1" si="6">ABS(X17-W17)</f>
        <v>1.1710618105098547E-4</v>
      </c>
      <c r="Z17" s="23">
        <f ca="1">_xll.meLWOBondDirtyPrice($L17,$C$4,$S17%)</f>
        <v>98.241119561416994</v>
      </c>
      <c r="AA17" s="23">
        <f ca="1">_xll.meLWOBondModifiedDuration($L17,$C$4,$S17%)</f>
        <v>8.2384693527617703</v>
      </c>
      <c r="AB17" s="22">
        <f ca="1">_xll.BDP($B17,AB$7,"YLD_YTM_ASK="&amp;$S17,"YAS_YLD_CONV=3")</f>
        <v>8.2384705451086084</v>
      </c>
      <c r="AC17" s="24">
        <f t="shared" ref="AC17:AC41" ca="1" si="7">ABS(AB17-AA17)</f>
        <v>1.1923468381525026E-6</v>
      </c>
      <c r="AD17" s="23">
        <f ca="1">_xll.meLWOBondDV01Numerical($L17,$C$4,$S17%,0.5,"CENTRAL")</f>
        <v>809.35648197439036</v>
      </c>
    </row>
    <row r="18" spans="2:30">
      <c r="B18" s="15" t="s">
        <v>1777</v>
      </c>
      <c r="C18" s="155" t="s">
        <v>1848</v>
      </c>
      <c r="D18" s="15" t="s">
        <v>1849</v>
      </c>
      <c r="E18" s="16" t="s">
        <v>1850</v>
      </c>
      <c r="F18" s="19" t="s">
        <v>1850</v>
      </c>
      <c r="G18" s="18"/>
      <c r="H18" s="16" t="s">
        <v>1851</v>
      </c>
      <c r="I18" s="16" t="s">
        <v>1852</v>
      </c>
      <c r="J18" s="17">
        <v>4.2500000000000003E-2</v>
      </c>
      <c r="K18" s="16" t="s">
        <v>1853</v>
      </c>
      <c r="L18" s="20" t="str">
        <f ca="1">_xll.meLWOBondCreateFromGeneratorLVB(C18,$L$4,_xll.meUtilityLVBFromKeysValues($C$7:$K$7,C18:K18))</f>
        <v>UKT 4 1/4 12/07/27:92</v>
      </c>
      <c r="M18" s="92">
        <f ca="1">_xll.BDP($B18,$M$6)</f>
        <v>1.4617397053464236</v>
      </c>
      <c r="N18" s="89">
        <f ca="1">_xll.meLWOBondCleanPrice($L18,$C$4,$M18%)</f>
        <v>123.77799998923507</v>
      </c>
      <c r="O18" s="89">
        <f ca="1">_xll.meLWOBondDirtyPrice($L18,$C$4,$M18%)</f>
        <v>125.29917485262305</v>
      </c>
      <c r="P18" s="72">
        <f ca="1">_xll.meLWOBondYield($L18,$C$4,N18)</f>
        <v>1.4617397053470652E-2</v>
      </c>
      <c r="Q18" s="89">
        <f ca="1">_xll.meLWOBondModifiedDuration($L18,$C$4,$M18%)</f>
        <v>7.6965978708597254</v>
      </c>
      <c r="R18" s="23">
        <f ca="1">_xll.meLWOBondDV01($L18,$C$4,$M18%)</f>
        <v>964.37736239117908</v>
      </c>
      <c r="S18" s="85">
        <f t="shared" ca="1" si="4"/>
        <v>1.4617397053464236</v>
      </c>
      <c r="T18" s="22">
        <f ca="1">_xll.BDP($B18,T$7, "YAS_BOND_YLD="&amp;$S18,"YAS_YLD_CONV=2")</f>
        <v>123.77799998923504</v>
      </c>
      <c r="U18" s="23">
        <f ca="1">_xll.meLWOBondCleanPrice($L18,$C$4,$S18%)</f>
        <v>123.77799998923507</v>
      </c>
      <c r="V18" s="24">
        <f t="shared" ca="1" si="5"/>
        <v>2.8421709430404007E-14</v>
      </c>
      <c r="W18" s="23">
        <f ca="1">_xll.meLWOBondDV01($L18,$C$4,$S18%)</f>
        <v>964.37736239117908</v>
      </c>
      <c r="X18" s="22">
        <f ca="1">_xll.BDP($B18,X$7, "YLD_YTM_ASK="&amp;$S18,"YAS_YLD_CONV=3")*$X$3*0.0001</f>
        <v>964.37750470279593</v>
      </c>
      <c r="Y18" s="24">
        <f t="shared" ca="1" si="6"/>
        <v>1.4231161685529514E-4</v>
      </c>
      <c r="Z18" s="23">
        <f ca="1">_xll.meLWOBondDirtyPrice($L18,$C$4,$S18%)</f>
        <v>125.29917485262305</v>
      </c>
      <c r="AA18" s="23">
        <f ca="1">_xll.meLWOBondModifiedDuration($L18,$C$4,$S18%)</f>
        <v>7.6965978708597254</v>
      </c>
      <c r="AB18" s="22">
        <f ca="1">_xll.BDP($B18,AB$7,"YLD_YTM_ASK="&amp;$S18,"YAS_YLD_CONV=3")</f>
        <v>7.6965990072955162</v>
      </c>
      <c r="AC18" s="24">
        <f t="shared" ca="1" si="7"/>
        <v>1.1364357908050238E-6</v>
      </c>
      <c r="AD18" s="23">
        <f ca="1">_xll.meLWOBondDV01Numerical($L18,$C$4,$S18%,0.5,"CENTRAL")</f>
        <v>964.37739799128519</v>
      </c>
    </row>
    <row r="19" spans="2:30">
      <c r="B19" s="15" t="s">
        <v>1790</v>
      </c>
      <c r="C19" s="155" t="s">
        <v>1854</v>
      </c>
      <c r="D19" s="15" t="s">
        <v>1855</v>
      </c>
      <c r="E19" s="16" t="s">
        <v>1856</v>
      </c>
      <c r="F19" s="19" t="s">
        <v>1856</v>
      </c>
      <c r="G19" s="18"/>
      <c r="H19" s="16" t="s">
        <v>1857</v>
      </c>
      <c r="I19" s="16" t="s">
        <v>1858</v>
      </c>
      <c r="J19" s="17">
        <v>0.06</v>
      </c>
      <c r="K19" s="16" t="s">
        <v>1859</v>
      </c>
      <c r="L19" s="20" t="str">
        <f ca="1">_xll.meLWOBondCreateFromGeneratorLVB(C19,$L$4,_xll.meUtilityLVBFromKeysValues($C$7:$K$7,C19:K19))</f>
        <v>UKT 6 12/07/28:89</v>
      </c>
      <c r="M19" s="92">
        <f ca="1">_xll.BDP($B19,$M$6)</f>
        <v>1.5278876793308582</v>
      </c>
      <c r="N19" s="89">
        <f ca="1">_xll.meLWOBondCleanPrice($L19,$C$4,$M19%)</f>
        <v>141.86699972017504</v>
      </c>
      <c r="O19" s="89">
        <f ca="1">_xll.meLWOBondDirtyPrice($L19,$C$4,$M19%)</f>
        <v>144.01454070378159</v>
      </c>
      <c r="P19" s="72">
        <f ca="1">_xll.meLWOBondYield($L19,$C$4,N19)</f>
        <v>1.5278876793308379E-2</v>
      </c>
      <c r="Q19" s="89">
        <f ca="1">_xll.meLWOBondModifiedDuration($L19,$C$4,$M19%)</f>
        <v>7.9997220165372163</v>
      </c>
      <c r="R19" s="23">
        <f ca="1">_xll.meLWOBondDV01($L19,$C$4,$M19%)</f>
        <v>1152.0762919695367</v>
      </c>
      <c r="S19" s="85">
        <f t="shared" ca="1" si="4"/>
        <v>1.5278876793308582</v>
      </c>
      <c r="T19" s="22">
        <f ca="1">_xll.BDP($B19,T$7, "YAS_BOND_YLD="&amp;$S19,"YAS_YLD_CONV=2")</f>
        <v>141.86699972017547</v>
      </c>
      <c r="U19" s="23">
        <f ca="1">_xll.meLWOBondCleanPrice($L19,$C$4,$S19%)</f>
        <v>141.86699972017504</v>
      </c>
      <c r="V19" s="24">
        <f t="shared" ca="1" si="5"/>
        <v>4.2632564145606011E-13</v>
      </c>
      <c r="W19" s="23">
        <f ca="1">_xll.meLWOBondDV01($L19,$C$4,$S19%)</f>
        <v>1152.0762919695367</v>
      </c>
      <c r="X19" s="22">
        <f ca="1">_xll.BDP($B19,X$7, "YLD_YTM_ASK="&amp;$S19,"YAS_YLD_CONV=3")*$X$3*0.0001</f>
        <v>1152.0764873255018</v>
      </c>
      <c r="Y19" s="24">
        <f t="shared" ca="1" si="6"/>
        <v>1.9535596516107034E-4</v>
      </c>
      <c r="Z19" s="23">
        <f ca="1">_xll.meLWOBondDirtyPrice($L19,$C$4,$S19%)</f>
        <v>144.01454070378159</v>
      </c>
      <c r="AA19" s="23">
        <f ca="1">_xll.meLWOBondModifiedDuration($L19,$C$4,$S19%)</f>
        <v>7.9997220165372163</v>
      </c>
      <c r="AB19" s="22">
        <f ca="1">_xll.BDP($B19,AB$7,"YLD_YTM_ASK="&amp;$S19,"YAS_YLD_CONV=3")</f>
        <v>7.9997233885825487</v>
      </c>
      <c r="AC19" s="24">
        <f t="shared" ca="1" si="7"/>
        <v>1.3720453324594928E-6</v>
      </c>
      <c r="AD19" s="23">
        <f ca="1">_xll.meLWOBondDV01Numerical($L19,$C$4,$S19%,0.5,"CENTRAL")</f>
        <v>1152.076341488453</v>
      </c>
    </row>
    <row r="20" spans="2:30">
      <c r="B20" s="15" t="s">
        <v>1787</v>
      </c>
      <c r="C20" s="155" t="s">
        <v>1860</v>
      </c>
      <c r="D20" s="15" t="s">
        <v>1861</v>
      </c>
      <c r="E20" s="16" t="s">
        <v>1862</v>
      </c>
      <c r="F20" s="19" t="s">
        <v>1862</v>
      </c>
      <c r="G20" s="18"/>
      <c r="H20" s="16" t="s">
        <v>1863</v>
      </c>
      <c r="I20" s="16" t="s">
        <v>1864</v>
      </c>
      <c r="J20" s="17">
        <v>4.7500000000000001E-2</v>
      </c>
      <c r="K20" s="16" t="s">
        <v>1865</v>
      </c>
      <c r="L20" s="20" t="str">
        <f ca="1">_xll.meLWOBondCreateFromGeneratorLVB(C20,$L$4,_xll.meUtilityLVBFromKeysValues($C$7:$K$7,C20:K20))</f>
        <v>UKT 4 3/4 12/07/30:89</v>
      </c>
      <c r="M20" s="92">
        <f ca="1">_xll.BDP($B20,$M$6)</f>
        <v>1.6817769948279782</v>
      </c>
      <c r="N20" s="89">
        <f ca="1">_xll.meLWOBondCleanPrice($L20,$C$4,$M20%)</f>
        <v>133.56799987192909</v>
      </c>
      <c r="O20" s="89">
        <f ca="1">_xll.meLWOBondDirtyPrice($L20,$C$4,$M20%)</f>
        <v>135.26813648395094</v>
      </c>
      <c r="P20" s="72">
        <f ca="1">_xll.meLWOBondYield($L20,$C$4,N20)</f>
        <v>1.6817769948279986E-2</v>
      </c>
      <c r="Q20" s="89">
        <f ca="1">_xll.meLWOBondModifiedDuration($L20,$C$4,$M20%)</f>
        <v>9.5945282092189288</v>
      </c>
      <c r="R20" s="23">
        <f ca="1">_xll.meLWOBondDV01($L20,$C$4,$M20%)</f>
        <v>1297.8339513037436</v>
      </c>
      <c r="S20" s="85">
        <f t="shared" ca="1" si="4"/>
        <v>1.6817769948279782</v>
      </c>
      <c r="T20" s="22">
        <f ca="1">_xll.BDP($B20,T$7, "YAS_BOND_YLD="&amp;$S20,"YAS_YLD_CONV=2")</f>
        <v>133.56799987192875</v>
      </c>
      <c r="U20" s="23">
        <f ca="1">_xll.meLWOBondCleanPrice($L20,$C$4,$S20%)</f>
        <v>133.56799987192909</v>
      </c>
      <c r="V20" s="24">
        <f t="shared" ca="1" si="5"/>
        <v>3.4106051316484809E-13</v>
      </c>
      <c r="W20" s="23">
        <f ca="1">_xll.meLWOBondDV01($L20,$C$4,$S20%)</f>
        <v>1297.8339513037436</v>
      </c>
      <c r="X20" s="22">
        <f ca="1">_xll.BDP($B20,X$7, "YLD_YTM_ASK="&amp;$S20,"YAS_YLD_CONV=3")*$X$3*0.0001</f>
        <v>1297.8342624657557</v>
      </c>
      <c r="Y20" s="24">
        <f t="shared" ca="1" si="6"/>
        <v>3.1116201216718764E-4</v>
      </c>
      <c r="Z20" s="23">
        <f ca="1">_xll.meLWOBondDirtyPrice($L20,$C$4,$S20%)</f>
        <v>135.26813648395094</v>
      </c>
      <c r="AA20" s="23">
        <f ca="1">_xll.meLWOBondModifiedDuration($L20,$C$4,$S20%)</f>
        <v>9.5945282092189288</v>
      </c>
      <c r="AB20" s="22">
        <f ca="1">_xll.BDP($B20,AB$7,"YLD_YTM_ASK="&amp;$S20,"YAS_YLD_CONV=3")</f>
        <v>9.5945305186378533</v>
      </c>
      <c r="AC20" s="24">
        <f t="shared" ca="1" si="7"/>
        <v>2.3094189245398411E-6</v>
      </c>
      <c r="AD20" s="23">
        <f ca="1">_xll.meLWOBondDV01Numerical($L20,$C$4,$S20%,0.5,"CENTRAL")</f>
        <v>1297.8340294614554</v>
      </c>
    </row>
    <row r="21" spans="2:30">
      <c r="B21" s="15" t="s">
        <v>1778</v>
      </c>
      <c r="C21" s="155" t="s">
        <v>1866</v>
      </c>
      <c r="D21" s="15" t="s">
        <v>1867</v>
      </c>
      <c r="E21" s="16" t="s">
        <v>1868</v>
      </c>
      <c r="F21" s="19" t="s">
        <v>1868</v>
      </c>
      <c r="G21" s="18"/>
      <c r="H21" s="16" t="s">
        <v>1869</v>
      </c>
      <c r="I21" s="16" t="s">
        <v>1870</v>
      </c>
      <c r="J21" s="17">
        <v>4.2500000000000003E-2</v>
      </c>
      <c r="K21" s="16" t="s">
        <v>1871</v>
      </c>
      <c r="L21" s="20" t="str">
        <f ca="1">_xll.meLWOBondCreateFromGeneratorLVB(C21,$L$4,_xll.meUtilityLVBFromKeysValues($C$7:$K$7,C21:K21))</f>
        <v>UKT 4 1/4 06/07/32:91</v>
      </c>
      <c r="M21" s="92">
        <f ca="1">_xll.BDP($B21,$M$6)</f>
        <v>1.7760102827937105</v>
      </c>
      <c r="N21" s="89">
        <f ca="1">_xll.meLWOBondCleanPrice($L21,$C$4,$M21%)</f>
        <v>129.85399996798785</v>
      </c>
      <c r="O21" s="89">
        <f ca="1">_xll.meLWOBondDirtyPrice($L21,$C$4,$M21%)</f>
        <v>131.37517483137583</v>
      </c>
      <c r="P21" s="72">
        <f ca="1">_xll.meLWOBondYield($L21,$C$4,N21)</f>
        <v>1.7760102827937101E-2</v>
      </c>
      <c r="Q21" s="89">
        <f ca="1">_xll.meLWOBondModifiedDuration($L21,$C$4,$M21%)</f>
        <v>10.717832157595558</v>
      </c>
      <c r="R21" s="23">
        <f ca="1">_xll.meLWOBondDV01($L21,$C$4,$M21%)</f>
        <v>1408.0570735174583</v>
      </c>
      <c r="S21" s="85">
        <f t="shared" ca="1" si="4"/>
        <v>1.7760102827937105</v>
      </c>
      <c r="T21" s="22">
        <f ca="1">_xll.BDP($B21,T$7, "YAS_BOND_YLD="&amp;$S21,"YAS_YLD_CONV=2")</f>
        <v>129.85399996798805</v>
      </c>
      <c r="U21" s="23">
        <f ca="1">_xll.meLWOBondCleanPrice($L21,$C$4,$S21%)</f>
        <v>129.85399996798785</v>
      </c>
      <c r="V21" s="24">
        <f t="shared" ca="1" si="5"/>
        <v>1.9895196601282805E-13</v>
      </c>
      <c r="W21" s="23">
        <f ca="1">_xll.meLWOBondDV01($L21,$C$4,$S21%)</f>
        <v>1408.0570735174583</v>
      </c>
      <c r="X21" s="22">
        <f ca="1">_xll.BDP($B21,X$7, "YLD_YTM_ASK="&amp;$S21,"YAS_YLD_CONV=3")*$X$3*0.0001</f>
        <v>1408.0574940874158</v>
      </c>
      <c r="Y21" s="24">
        <f t="shared" ca="1" si="6"/>
        <v>4.2056995744133019E-4</v>
      </c>
      <c r="Z21" s="23">
        <f ca="1">_xll.meLWOBondDirtyPrice($L21,$C$4,$S21%)</f>
        <v>131.37517483137583</v>
      </c>
      <c r="AA21" s="23">
        <f ca="1">_xll.meLWOBondModifiedDuration($L21,$C$4,$S21%)</f>
        <v>10.717832157595558</v>
      </c>
      <c r="AB21" s="22">
        <f ca="1">_xll.BDP($B21,AB$7,"YLD_YTM_ASK="&amp;$S21,"YAS_YLD_CONV=3")</f>
        <v>10.717835361496508</v>
      </c>
      <c r="AC21" s="24">
        <f t="shared" ca="1" si="7"/>
        <v>3.2039009507656147E-6</v>
      </c>
      <c r="AD21" s="23">
        <f ca="1">_xll.meLWOBondDV01Numerical($L21,$C$4,$S21%,0.5,"CENTRAL")</f>
        <v>1408.0571787664553</v>
      </c>
    </row>
    <row r="22" spans="2:30">
      <c r="B22" s="15" t="s">
        <v>1785</v>
      </c>
      <c r="C22" s="155" t="s">
        <v>1872</v>
      </c>
      <c r="D22" s="15" t="s">
        <v>1873</v>
      </c>
      <c r="E22" s="16" t="s">
        <v>1874</v>
      </c>
      <c r="F22" s="19" t="s">
        <v>1874</v>
      </c>
      <c r="G22" s="18"/>
      <c r="H22" s="16" t="s">
        <v>1794</v>
      </c>
      <c r="I22" s="16" t="s">
        <v>1875</v>
      </c>
      <c r="J22" s="17">
        <v>4.4999999999999998E-2</v>
      </c>
      <c r="K22" s="16" t="s">
        <v>1876</v>
      </c>
      <c r="L22" s="20" t="str">
        <f ca="1">_xll.meLWOBondCreateFromGeneratorLVB(C22,$L$4,_xll.meUtilityLVBFromKeysValues($C$7:$K$7,C22:K22))</f>
        <v>UKT 4 1/2 09/07/34:91</v>
      </c>
      <c r="M22" s="92">
        <f ca="1">_xll.BDP($B22,$M$6)</f>
        <v>1.8662366809246902</v>
      </c>
      <c r="N22" s="89">
        <f ca="1">_xll.meLWOBondCleanPrice($L22,$C$4,$M22%)</f>
        <v>136.07399992047212</v>
      </c>
      <c r="O22" s="89">
        <f ca="1">_xll.meLWOBondDirtyPrice($L22,$C$4,$M22%)</f>
        <v>136.55880655030637</v>
      </c>
      <c r="P22" s="72">
        <f ca="1">_xll.meLWOBondYield($L22,$C$4,N22)</f>
        <v>1.8662366809246975E-2</v>
      </c>
      <c r="Q22" s="89">
        <f ca="1">_xll.meLWOBondModifiedDuration($L22,$C$4,$M22%)</f>
        <v>12.074244509144943</v>
      </c>
      <c r="R22" s="23">
        <f ca="1">_xll.meLWOBondDV01($L22,$C$4,$M22%)</f>
        <v>1648.8444201654231</v>
      </c>
      <c r="S22" s="85">
        <f t="shared" ca="1" si="4"/>
        <v>1.8662366809246902</v>
      </c>
      <c r="T22" s="22">
        <f ca="1">_xll.BDP($B22,T$7, "YAS_BOND_YLD="&amp;$S22,"YAS_YLD_CONV=2")</f>
        <v>136.07399992047198</v>
      </c>
      <c r="U22" s="23">
        <f ca="1">_xll.meLWOBondCleanPrice($L22,$C$4,$S22%)</f>
        <v>136.07399992047212</v>
      </c>
      <c r="V22" s="24">
        <f t="shared" ca="1" si="5"/>
        <v>1.4210854715202004E-13</v>
      </c>
      <c r="W22" s="23">
        <f ca="1">_xll.meLWOBondDV01($L22,$C$4,$S22%)</f>
        <v>1648.8444201654231</v>
      </c>
      <c r="X22" s="22">
        <f ca="1">_xll.BDP($B22,X$7, "YLD_YTM_ASK="&amp;$S22,"YAS_YLD_CONV=3")*$X$3*0.0001</f>
        <v>1648.8450600849094</v>
      </c>
      <c r="Y22" s="24">
        <f t="shared" ca="1" si="6"/>
        <v>6.3991948627517559E-4</v>
      </c>
      <c r="Z22" s="23">
        <f ca="1">_xll.meLWOBondDirtyPrice($L22,$C$4,$S22%)</f>
        <v>136.55880655030637</v>
      </c>
      <c r="AA22" s="23">
        <f ca="1">_xll.meLWOBondModifiedDuration($L22,$C$4,$S22%)</f>
        <v>12.074244509144943</v>
      </c>
      <c r="AB22" s="22">
        <f ca="1">_xll.BDP($B22,AB$7,"YLD_YTM_ASK="&amp;$S22,"YAS_YLD_CONV=3")</f>
        <v>12.074249202212705</v>
      </c>
      <c r="AC22" s="24">
        <f t="shared" ca="1" si="7"/>
        <v>4.6930677619627659E-6</v>
      </c>
      <c r="AD22" s="23">
        <f ca="1">_xll.meLWOBondDV01Numerical($L22,$C$4,$S22%,0.5,"CENTRAL")</f>
        <v>1648.8445804341723</v>
      </c>
    </row>
    <row r="23" spans="2:30">
      <c r="B23" s="15" t="s">
        <v>1780</v>
      </c>
      <c r="C23" s="155" t="s">
        <v>1877</v>
      </c>
      <c r="D23" s="15" t="s">
        <v>1878</v>
      </c>
      <c r="E23" s="16" t="s">
        <v>1879</v>
      </c>
      <c r="F23" s="19" t="s">
        <v>1879</v>
      </c>
      <c r="G23" s="18"/>
      <c r="H23" s="16" t="s">
        <v>1880</v>
      </c>
      <c r="I23" s="16" t="s">
        <v>1881</v>
      </c>
      <c r="J23" s="17">
        <v>4.2500000000000003E-2</v>
      </c>
      <c r="K23" s="16" t="s">
        <v>1882</v>
      </c>
      <c r="L23" s="20" t="str">
        <f ca="1">_xll.meLWOBondCreateFromGeneratorLVB(C23,$L$4,_xll.meUtilityLVBFromKeysValues($C$7:$K$7,C23:K23))</f>
        <v>UKT 4 1/4 03/07/36:91</v>
      </c>
      <c r="M23" s="92">
        <f ca="1">_xll.BDP($B23,$M$6)</f>
        <v>1.9111945527060972</v>
      </c>
      <c r="N23" s="89">
        <f ca="1">_xll.meLWOBondCleanPrice($L23,$C$4,$M23%)</f>
        <v>134.46699998782401</v>
      </c>
      <c r="O23" s="89">
        <f ca="1">_xll.meLWOBondDirtyPrice($L23,$C$4,$M23%)</f>
        <v>134.92487291600079</v>
      </c>
      <c r="P23" s="72">
        <f ca="1">_xll.meLWOBondYield($L23,$C$4,N23)</f>
        <v>1.9111945527061303E-2</v>
      </c>
      <c r="Q23" s="89">
        <f ca="1">_xll.meLWOBondModifiedDuration($L23,$C$4,$M23%)</f>
        <v>13.06637034052895</v>
      </c>
      <c r="R23" s="23">
        <f ca="1">_xll.meLWOBondDV01($L23,$C$4,$M23%)</f>
        <v>1762.9783576692705</v>
      </c>
      <c r="S23" s="85">
        <f t="shared" ca="1" si="4"/>
        <v>1.9111945527060972</v>
      </c>
      <c r="T23" s="22">
        <f ca="1">_xll.BDP($B23,T$7, "YAS_BOND_YLD="&amp;$S23,"YAS_YLD_CONV=2")</f>
        <v>134.46699998782367</v>
      </c>
      <c r="U23" s="23">
        <f ca="1">_xll.meLWOBondCleanPrice($L23,$C$4,$S23%)</f>
        <v>134.46699998782401</v>
      </c>
      <c r="V23" s="24">
        <f t="shared" ca="1" si="5"/>
        <v>3.4106051316484809E-13</v>
      </c>
      <c r="W23" s="23">
        <f ca="1">_xll.meLWOBondDV01($L23,$C$4,$S23%)</f>
        <v>1762.9783576692705</v>
      </c>
      <c r="X23" s="22">
        <f ca="1">_xll.BDP($B23,X$7, "YLD_YTM_ASK="&amp;$S23,"YAS_YLD_CONV=3")*$X$3*0.0001</f>
        <v>1762.9791662002958</v>
      </c>
      <c r="Y23" s="24">
        <f t="shared" ca="1" si="6"/>
        <v>8.0853102531364129E-4</v>
      </c>
      <c r="Z23" s="23">
        <f ca="1">_xll.meLWOBondDirtyPrice($L23,$C$4,$S23%)</f>
        <v>134.92487291600079</v>
      </c>
      <c r="AA23" s="23">
        <f ca="1">_xll.meLWOBondModifiedDuration($L23,$C$4,$S23%)</f>
        <v>13.06637034052895</v>
      </c>
      <c r="AB23" s="22">
        <f ca="1">_xll.BDP($B23,AB$7,"YLD_YTM_ASK="&amp;$S23,"YAS_YLD_CONV=3")</f>
        <v>13.066376334161497</v>
      </c>
      <c r="AC23" s="24">
        <f t="shared" ca="1" si="7"/>
        <v>5.9936325467191409E-6</v>
      </c>
      <c r="AD23" s="23">
        <f ca="1">_xll.meLWOBondDV01Numerical($L23,$C$4,$S23%,0.5,"CENTRAL")</f>
        <v>1762.9785598549574</v>
      </c>
    </row>
    <row r="24" spans="2:30">
      <c r="B24" s="15" t="s">
        <v>1755</v>
      </c>
      <c r="C24" s="155" t="s">
        <v>1883</v>
      </c>
      <c r="D24" s="15" t="s">
        <v>1884</v>
      </c>
      <c r="E24" s="16" t="s">
        <v>1885</v>
      </c>
      <c r="F24" s="19" t="s">
        <v>1885</v>
      </c>
      <c r="G24" s="18"/>
      <c r="H24" s="16" t="s">
        <v>1886</v>
      </c>
      <c r="I24" s="16" t="s">
        <v>1887</v>
      </c>
      <c r="J24" s="17">
        <v>1.7500000000000002E-2</v>
      </c>
      <c r="K24" s="16" t="s">
        <v>1888</v>
      </c>
      <c r="L24" s="20" t="str">
        <f ca="1">_xll.meLWOBondCreateFromGeneratorLVB(C24,$L$4,_xll.meUtilityLVBFromKeysValues($C$7:$K$7,C24:K24))</f>
        <v>UKT 1 3/4 09/07/37:27</v>
      </c>
      <c r="M24" s="92">
        <f ca="1">_xll.BDP($B24,$M$6)</f>
        <v>1.9775896935416328</v>
      </c>
      <c r="N24" s="89">
        <f ca="1">_xll.meLWOBondCleanPrice($L24,$C$4,$M24%)</f>
        <v>96.425999109567499</v>
      </c>
      <c r="O24" s="89">
        <f ca="1">_xll.meLWOBondDirtyPrice($L24,$C$4,$M24%)</f>
        <v>96.614535021169715</v>
      </c>
      <c r="P24" s="72">
        <f ca="1">_xll.meLWOBondYield($L24,$C$4,N24)</f>
        <v>1.9775896935424322E-2</v>
      </c>
      <c r="Q24" s="89">
        <f ca="1">_xll.meLWOBondModifiedDuration($L24,$C$4,$M24%)</f>
        <v>15.9173199222616</v>
      </c>
      <c r="R24" s="23">
        <f ca="1">_xll.meLWOBondDV01($L24,$C$4,$M24%)</f>
        <v>1537.8444630725057</v>
      </c>
      <c r="S24" s="85">
        <f t="shared" ca="1" si="4"/>
        <v>1.9775896935416328</v>
      </c>
      <c r="T24" s="22">
        <f ca="1">_xll.BDP($B24,T$7, "YAS_BOND_YLD="&amp;$S24,"YAS_YLD_CONV=2")</f>
        <v>96.425999109567428</v>
      </c>
      <c r="U24" s="23">
        <f ca="1">_xll.meLWOBondCleanPrice($L24,$C$4,$S24%)</f>
        <v>96.425999109567499</v>
      </c>
      <c r="V24" s="24">
        <f t="shared" ca="1" si="5"/>
        <v>7.1054273576010019E-14</v>
      </c>
      <c r="W24" s="23">
        <f ca="1">_xll.meLWOBondDV01($L24,$C$4,$S24%)</f>
        <v>1537.8444630725057</v>
      </c>
      <c r="X24" s="22">
        <f ca="1">_xll.BDP($B24,X$7, "YLD_YTM_ASK="&amp;$S24,"YAS_YLD_CONV=3")*$X$3*0.0001</f>
        <v>1537.8453381956092</v>
      </c>
      <c r="Y24" s="24">
        <f t="shared" ca="1" si="6"/>
        <v>8.7512310346937738E-4</v>
      </c>
      <c r="Z24" s="23">
        <f ca="1">_xll.meLWOBondDirtyPrice($L24,$C$4,$S24%)</f>
        <v>96.614535021169715</v>
      </c>
      <c r="AA24" s="23">
        <f ca="1">_xll.meLWOBondModifiedDuration($L24,$C$4,$S24%)</f>
        <v>15.9173199222616</v>
      </c>
      <c r="AB24" s="22">
        <f ca="1">_xll.BDP($B24,AB$7,"YLD_YTM_ASK="&amp;$S24,"YAS_YLD_CONV=3")</f>
        <v>15.917329126843654</v>
      </c>
      <c r="AC24" s="24">
        <f t="shared" ca="1" si="7"/>
        <v>9.2045820547781432E-6</v>
      </c>
      <c r="AD24" s="23">
        <f ca="1">_xll.meLWOBondDV01Numerical($L24,$C$4,$S24%,0.5,"CENTRAL")</f>
        <v>1537.8446858915142</v>
      </c>
    </row>
    <row r="25" spans="2:30">
      <c r="B25" s="15" t="s">
        <v>1788</v>
      </c>
      <c r="C25" s="155" t="s">
        <v>1889</v>
      </c>
      <c r="D25" s="15" t="s">
        <v>1890</v>
      </c>
      <c r="E25" s="16" t="s">
        <v>1891</v>
      </c>
      <c r="F25" s="19" t="s">
        <v>1891</v>
      </c>
      <c r="G25" s="18"/>
      <c r="H25" s="16" t="s">
        <v>1892</v>
      </c>
      <c r="I25" s="16" t="s">
        <v>1893</v>
      </c>
      <c r="J25" s="17">
        <v>4.7500000000000001E-2</v>
      </c>
      <c r="K25" s="16" t="s">
        <v>1894</v>
      </c>
      <c r="L25" s="20" t="str">
        <f ca="1">_xll.meLWOBondCreateFromGeneratorLVB(C25,$L$4,_xll.meUtilityLVBFromKeysValues($C$7:$K$7,C25:K25))</f>
        <v>UKT 4 3/4 12/07/38:89</v>
      </c>
      <c r="M25" s="92">
        <f ca="1">_xll.BDP($B25,$M$6)</f>
        <v>1.9472598609416847</v>
      </c>
      <c r="N25" s="89">
        <f ca="1">_xll.meLWOBondCleanPrice($L25,$C$4,$M25%)</f>
        <v>146.51099989708112</v>
      </c>
      <c r="O25" s="89">
        <f ca="1">_xll.meLWOBondDirtyPrice($L25,$C$4,$M25%)</f>
        <v>148.21113650910297</v>
      </c>
      <c r="P25" s="72">
        <f ca="1">_xll.meLWOBondYield($L25,$C$4,N25)</f>
        <v>1.9472598609416726E-2</v>
      </c>
      <c r="Q25" s="89">
        <f ca="1">_xll.meLWOBondModifiedDuration($L25,$C$4,$M25%)</f>
        <v>14.202972536272261</v>
      </c>
      <c r="R25" s="23">
        <f ca="1">_xll.meLWOBondDV01($L25,$C$4,$M25%)</f>
        <v>2105.0387014084886</v>
      </c>
      <c r="S25" s="85">
        <f t="shared" ca="1" si="4"/>
        <v>1.9472598609416847</v>
      </c>
      <c r="T25" s="22">
        <f ca="1">_xll.BDP($B25,T$7, "YAS_BOND_YLD="&amp;$S25,"YAS_YLD_CONV=2")</f>
        <v>146.51099989708123</v>
      </c>
      <c r="U25" s="23">
        <f ca="1">_xll.meLWOBondCleanPrice($L25,$C$4,$S25%)</f>
        <v>146.51099989708112</v>
      </c>
      <c r="V25" s="24">
        <f t="shared" ca="1" si="5"/>
        <v>1.1368683772161603E-13</v>
      </c>
      <c r="W25" s="23">
        <f ca="1">_xll.meLWOBondDV01($L25,$C$4,$S25%)</f>
        <v>2105.0387014084886</v>
      </c>
      <c r="X25" s="22">
        <f ca="1">_xll.BDP($B25,X$7, "YLD_YTM_ASK="&amp;$S25,"YAS_YLD_CONV=3")*$X$3*0.0001</f>
        <v>2105.0399304779435</v>
      </c>
      <c r="Y25" s="24">
        <f t="shared" ca="1" si="6"/>
        <v>1.2290694548937608E-3</v>
      </c>
      <c r="Z25" s="23">
        <f ca="1">_xll.meLWOBondDirtyPrice($L25,$C$4,$S25%)</f>
        <v>148.21113650910297</v>
      </c>
      <c r="AA25" s="23">
        <f ca="1">_xll.meLWOBondModifiedDuration($L25,$C$4,$S25%)</f>
        <v>14.202972536272261</v>
      </c>
      <c r="AB25" s="22">
        <f ca="1">_xll.BDP($B25,AB$7,"YLD_YTM_ASK="&amp;$S25,"YAS_YLD_CONV=3")</f>
        <v>14.202980838828026</v>
      </c>
      <c r="AC25" s="24">
        <f t="shared" ca="1" si="7"/>
        <v>8.3025557646720927E-6</v>
      </c>
      <c r="AD25" s="23">
        <f ca="1">_xll.meLWOBondDV01Numerical($L25,$C$4,$S25%,0.5,"CENTRAL")</f>
        <v>2105.0390091420468</v>
      </c>
    </row>
    <row r="26" spans="2:30">
      <c r="B26" s="15" t="s">
        <v>1784</v>
      </c>
      <c r="C26" s="155" t="s">
        <v>1895</v>
      </c>
      <c r="D26" s="15" t="s">
        <v>1896</v>
      </c>
      <c r="E26" s="16" t="s">
        <v>1897</v>
      </c>
      <c r="F26" s="19" t="s">
        <v>1897</v>
      </c>
      <c r="G26" s="18"/>
      <c r="H26" s="16" t="s">
        <v>1794</v>
      </c>
      <c r="I26" s="16" t="s">
        <v>1898</v>
      </c>
      <c r="J26" s="17">
        <v>4.2500000000000003E-2</v>
      </c>
      <c r="K26" s="16" t="s">
        <v>1899</v>
      </c>
      <c r="L26" s="20" t="str">
        <f ca="1">_xll.meLWOBondCreateFromGeneratorLVB(C26,$L$4,_xll.meUtilityLVBFromKeysValues($C$7:$K$7,C26:K26))</f>
        <v>UKT 4 1/4 09/07/39:89</v>
      </c>
      <c r="M26" s="92">
        <f ca="1">_xll.BDP($B26,$M$6)</f>
        <v>1.9768695216167678</v>
      </c>
      <c r="N26" s="89">
        <f ca="1">_xll.meLWOBondCleanPrice($L26,$C$4,$M26%)</f>
        <v>138.74899999965834</v>
      </c>
      <c r="O26" s="89">
        <f ca="1">_xll.meLWOBondDirtyPrice($L26,$C$4,$M26%)</f>
        <v>139.20687292783512</v>
      </c>
      <c r="P26" s="72">
        <f ca="1">_xll.meLWOBondYield($L26,$C$4,N26)</f>
        <v>1.9768695216168142E-2</v>
      </c>
      <c r="Q26" s="89">
        <f ca="1">_xll.meLWOBondModifiedDuration($L26,$C$4,$M26%)</f>
        <v>14.998419709756421</v>
      </c>
      <c r="R26" s="23">
        <f ca="1">_xll.meLWOBondDV01($L26,$C$4,$M26%)</f>
        <v>2087.8831066543999</v>
      </c>
      <c r="S26" s="85">
        <f t="shared" ca="1" si="4"/>
        <v>1.9768695216167678</v>
      </c>
      <c r="T26" s="22">
        <f ca="1">_xll.BDP($B26,T$7, "YAS_BOND_YLD="&amp;$S26,"YAS_YLD_CONV=2")</f>
        <v>138.74899999965854</v>
      </c>
      <c r="U26" s="23">
        <f ca="1">_xll.meLWOBondCleanPrice($L26,$C$4,$S26%)</f>
        <v>138.74899999965834</v>
      </c>
      <c r="V26" s="24">
        <f t="shared" ca="1" si="5"/>
        <v>1.9895196601282805E-13</v>
      </c>
      <c r="W26" s="23">
        <f ca="1">_xll.meLWOBondDV01($L26,$C$4,$S26%)</f>
        <v>2087.8831066543999</v>
      </c>
      <c r="X26" s="22">
        <f ca="1">_xll.BDP($B26,X$7, "YLD_YTM_ASK="&amp;$S26,"YAS_YLD_CONV=3")*$X$3*0.0001</f>
        <v>2087.8844276620612</v>
      </c>
      <c r="Y26" s="24">
        <f t="shared" ca="1" si="6"/>
        <v>1.321007661317708E-3</v>
      </c>
      <c r="Z26" s="23">
        <f ca="1">_xll.meLWOBondDirtyPrice($L26,$C$4,$S26%)</f>
        <v>139.20687292783512</v>
      </c>
      <c r="AA26" s="23">
        <f ca="1">_xll.meLWOBondModifiedDuration($L26,$C$4,$S26%)</f>
        <v>14.998419709756421</v>
      </c>
      <c r="AB26" s="22">
        <f ca="1">_xll.BDP($B26,AB$7,"YLD_YTM_ASK="&amp;$S26,"YAS_YLD_CONV=3")</f>
        <v>14.998429199322267</v>
      </c>
      <c r="AC26" s="24">
        <f t="shared" ca="1" si="7"/>
        <v>9.4895658460103505E-6</v>
      </c>
      <c r="AD26" s="23">
        <f ca="1">_xll.meLWOBondDV01Numerical($L26,$C$4,$S26%,0.5,"CENTRAL")</f>
        <v>2087.8834369031551</v>
      </c>
    </row>
    <row r="27" spans="2:30">
      <c r="B27" s="15" t="s">
        <v>1782</v>
      </c>
      <c r="C27" s="155" t="s">
        <v>1900</v>
      </c>
      <c r="D27" s="15" t="s">
        <v>1901</v>
      </c>
      <c r="E27" s="16" t="s">
        <v>1902</v>
      </c>
      <c r="F27" s="19" t="s">
        <v>1902</v>
      </c>
      <c r="G27" s="18"/>
      <c r="H27" s="16" t="s">
        <v>1903</v>
      </c>
      <c r="I27" s="16" t="s">
        <v>1904</v>
      </c>
      <c r="J27" s="17">
        <v>4.2500000000000003E-2</v>
      </c>
      <c r="K27" s="16" t="s">
        <v>1905</v>
      </c>
      <c r="L27" s="20" t="str">
        <f ca="1">_xll.meLWOBondCreateFromGeneratorLVB(C27,$L$4,_xll.meUtilityLVBFromKeysValues($C$7:$K$7,C27:K27))</f>
        <v>UKT 4 1/4 12/07/40:91</v>
      </c>
      <c r="M27" s="92">
        <f ca="1">_xll.BDP($B27,$M$6)</f>
        <v>1.9882027108069533</v>
      </c>
      <c r="N27" s="89">
        <f ca="1">_xll.meLWOBondCleanPrice($L27,$C$4,$M27%)</f>
        <v>140.34999999998817</v>
      </c>
      <c r="O27" s="89">
        <f ca="1">_xll.meLWOBondDirtyPrice($L27,$C$4,$M27%)</f>
        <v>141.87117486337615</v>
      </c>
      <c r="P27" s="72">
        <f ca="1">_xll.meLWOBondYield($L27,$C$4,N27)</f>
        <v>1.9882027108069612E-2</v>
      </c>
      <c r="Q27" s="89">
        <f ca="1">_xll.meLWOBondModifiedDuration($L27,$C$4,$M27%)</f>
        <v>15.537595197688033</v>
      </c>
      <c r="R27" s="23">
        <f ca="1">_xll.meLWOBondDV01($L27,$C$4,$M27%)</f>
        <v>2204.3368852475523</v>
      </c>
      <c r="S27" s="85">
        <f t="shared" ca="1" si="4"/>
        <v>1.9882027108069533</v>
      </c>
      <c r="T27" s="22">
        <f ca="1">_xll.BDP($B27,T$7, "YAS_BOND_YLD="&amp;$S27,"YAS_YLD_CONV=2")</f>
        <v>140.3499999999884</v>
      </c>
      <c r="U27" s="23">
        <f ca="1">_xll.meLWOBondCleanPrice($L27,$C$4,$S27%)</f>
        <v>140.34999999998817</v>
      </c>
      <c r="V27" s="24">
        <f t="shared" ca="1" si="5"/>
        <v>2.2737367544323206E-13</v>
      </c>
      <c r="W27" s="23">
        <f ca="1">_xll.meLWOBondDV01($L27,$C$4,$S27%)</f>
        <v>2204.3368852475523</v>
      </c>
      <c r="X27" s="22">
        <f ca="1">_xll.BDP($B27,X$7, "YLD_YTM_ASK="&amp;$S27,"YAS_YLD_CONV=3")*$X$3*0.0001</f>
        <v>2204.3384289568735</v>
      </c>
      <c r="Y27" s="24">
        <f t="shared" ca="1" si="6"/>
        <v>1.5437093211403408E-3</v>
      </c>
      <c r="Z27" s="23">
        <f ca="1">_xll.meLWOBondDirtyPrice($L27,$C$4,$S27%)</f>
        <v>141.87117486337615</v>
      </c>
      <c r="AA27" s="23">
        <f ca="1">_xll.meLWOBondModifiedDuration($L27,$C$4,$S27%)</f>
        <v>15.537595197688033</v>
      </c>
      <c r="AB27" s="22">
        <f ca="1">_xll.BDP($B27,AB$7,"YLD_YTM_ASK="&amp;$S27,"YAS_YLD_CONV=3")</f>
        <v>15.537606078753246</v>
      </c>
      <c r="AC27" s="24">
        <f t="shared" ca="1" si="7"/>
        <v>1.0881065213297347E-5</v>
      </c>
      <c r="AD27" s="23">
        <f ca="1">_xll.meLWOBondDV01Numerical($L27,$C$4,$S27%,0.5,"CENTRAL")</f>
        <v>2204.3372711701181</v>
      </c>
    </row>
    <row r="28" spans="2:30">
      <c r="B28" s="15" t="s">
        <v>1786</v>
      </c>
      <c r="C28" s="155" t="s">
        <v>1906</v>
      </c>
      <c r="D28" s="15" t="s">
        <v>1907</v>
      </c>
      <c r="E28" s="16" t="s">
        <v>1908</v>
      </c>
      <c r="F28" s="19" t="s">
        <v>1908</v>
      </c>
      <c r="G28" s="18"/>
      <c r="H28" s="16" t="s">
        <v>1863</v>
      </c>
      <c r="I28" s="16" t="s">
        <v>1909</v>
      </c>
      <c r="J28" s="17">
        <v>4.4999999999999998E-2</v>
      </c>
      <c r="K28" s="16" t="s">
        <v>1910</v>
      </c>
      <c r="L28" s="20" t="str">
        <f ca="1">_xll.meLWOBondCreateFromGeneratorLVB(C28,$L$4,_xll.meUtilityLVBFromKeysValues($C$7:$K$7,C28:K28))</f>
        <v>UKT 4 1/2 12/07/42:92</v>
      </c>
      <c r="M28" s="92">
        <f ca="1">_xll.BDP($B28,$M$6)</f>
        <v>2.0038511331582898</v>
      </c>
      <c r="N28" s="89">
        <f ca="1">_xll.meLWOBondCleanPrice($L28,$C$4,$M28%)</f>
        <v>147.58999999995402</v>
      </c>
      <c r="O28" s="89">
        <f ca="1">_xll.meLWOBondDirtyPrice($L28,$C$4,$M28%)</f>
        <v>149.20065573765893</v>
      </c>
      <c r="P28" s="72">
        <f ca="1">_xll.meLWOBondYield($L28,$C$4,N28)</f>
        <v>2.0038511331582794E-2</v>
      </c>
      <c r="Q28" s="89">
        <f ca="1">_xll.meLWOBondModifiedDuration($L28,$C$4,$M28%)</f>
        <v>16.366373728423568</v>
      </c>
      <c r="R28" s="23">
        <f ca="1">_xll.meLWOBondDV01($L28,$C$4,$M28%)</f>
        <v>2441.87369232839</v>
      </c>
      <c r="S28" s="85">
        <f t="shared" ca="1" si="4"/>
        <v>2.0038511331582898</v>
      </c>
      <c r="T28" s="22">
        <f ca="1">_xll.BDP($B28,T$7, "YAS_BOND_YLD="&amp;$S28,"YAS_YLD_CONV=2")</f>
        <v>147.58999999995368</v>
      </c>
      <c r="U28" s="23">
        <f ca="1">_xll.meLWOBondCleanPrice($L28,$C$4,$S28%)</f>
        <v>147.58999999995402</v>
      </c>
      <c r="V28" s="24">
        <f t="shared" ca="1" si="5"/>
        <v>3.4106051316484809E-13</v>
      </c>
      <c r="W28" s="23">
        <f ca="1">_xll.meLWOBondDV01($L28,$C$4,$S28%)</f>
        <v>2441.87369232839</v>
      </c>
      <c r="X28" s="22">
        <f ca="1">_xll.BDP($B28,X$7, "YLD_YTM_ASK="&amp;$S28,"YAS_YLD_CONV=3")*$X$3*0.0001</f>
        <v>2441.875662913731</v>
      </c>
      <c r="Y28" s="24">
        <f t="shared" ca="1" si="6"/>
        <v>1.970585341041442E-3</v>
      </c>
      <c r="Z28" s="23">
        <f ca="1">_xll.meLWOBondDirtyPrice($L28,$C$4,$S28%)</f>
        <v>149.20065573765893</v>
      </c>
      <c r="AA28" s="23">
        <f ca="1">_xll.meLWOBondModifiedDuration($L28,$C$4,$S28%)</f>
        <v>16.366373728423568</v>
      </c>
      <c r="AB28" s="22">
        <f ca="1">_xll.BDP($B28,AB$7,"YLD_YTM_ASK="&amp;$S28,"YAS_YLD_CONV=3")</f>
        <v>16.366386936047284</v>
      </c>
      <c r="AC28" s="24">
        <f t="shared" ca="1" si="7"/>
        <v>1.3207623716482431E-5</v>
      </c>
      <c r="AD28" s="23">
        <f ca="1">_xll.meLWOBondDV01Numerical($L28,$C$4,$S28%,0.5,"CENTRAL")</f>
        <v>2441.8741849697772</v>
      </c>
    </row>
    <row r="29" spans="2:30">
      <c r="B29" s="15" t="s">
        <v>1771</v>
      </c>
      <c r="C29" s="155" t="s">
        <v>1911</v>
      </c>
      <c r="D29" s="15" t="s">
        <v>1912</v>
      </c>
      <c r="E29" s="16" t="s">
        <v>1913</v>
      </c>
      <c r="F29" s="19" t="s">
        <v>1913</v>
      </c>
      <c r="G29" s="18"/>
      <c r="H29" s="16" t="s">
        <v>1914</v>
      </c>
      <c r="I29" s="16" t="s">
        <v>1915</v>
      </c>
      <c r="J29" s="17">
        <v>3.2500000000000001E-2</v>
      </c>
      <c r="K29" s="16" t="s">
        <v>1916</v>
      </c>
      <c r="L29" s="20" t="str">
        <f ca="1">_xll.meLWOBondCreateFromGeneratorLVB(C29,$L$4,_xll.meUtilityLVBFromKeysValues($C$7:$K$7,C29:K29))</f>
        <v>UKT 3 1/4 01/22/44:91</v>
      </c>
      <c r="M29" s="92">
        <f ca="1">_xll.BDP($B29,$M$6)</f>
        <v>2.0324516539275974</v>
      </c>
      <c r="N29" s="89">
        <f ca="1">_xll.meLWOBondCleanPrice($L29,$C$4,$M29%)</f>
        <v>123.96399973599793</v>
      </c>
      <c r="O29" s="89">
        <f ca="1">_xll.meLWOBondDirtyPrice($L29,$C$4,$M29%)</f>
        <v>124.72351060556315</v>
      </c>
      <c r="P29" s="72">
        <f ca="1">_xll.meLWOBondYield($L29,$C$4,N29)</f>
        <v>2.0324516539275583E-2</v>
      </c>
      <c r="Q29" s="89">
        <f ca="1">_xll.meLWOBondModifiedDuration($L29,$C$4,$M29%)</f>
        <v>18.029760896095038</v>
      </c>
      <c r="R29" s="23">
        <f ca="1">_xll.meLWOBondDV01($L29,$C$4,$M29%)</f>
        <v>2248.735074339877</v>
      </c>
      <c r="S29" s="85">
        <f t="shared" ca="1" si="4"/>
        <v>2.0324516539275974</v>
      </c>
      <c r="T29" s="22">
        <f ca="1">_xll.BDP($B29,T$7, "YAS_BOND_YLD="&amp;$S29,"YAS_YLD_CONV=2")</f>
        <v>123.96399973599775</v>
      </c>
      <c r="U29" s="23">
        <f ca="1">_xll.meLWOBondCleanPrice($L29,$C$4,$S29%)</f>
        <v>123.96399973599793</v>
      </c>
      <c r="V29" s="24">
        <f t="shared" ca="1" si="5"/>
        <v>1.8474111129762605E-13</v>
      </c>
      <c r="W29" s="23">
        <f ca="1">_xll.meLWOBondDV01($L29,$C$4,$S29%)</f>
        <v>2248.735074339877</v>
      </c>
      <c r="X29" s="22">
        <f ca="1">_xll.BDP($B29,X$7, "YLD_YTM_ASK="&amp;$S29,"YAS_YLD_CONV=3")*$X$3*0.0001</f>
        <v>2248.7371273601298</v>
      </c>
      <c r="Y29" s="24">
        <f t="shared" ca="1" si="6"/>
        <v>2.0530202527879737E-3</v>
      </c>
      <c r="Z29" s="23">
        <f ca="1">_xll.meLWOBondDirtyPrice($L29,$C$4,$S29%)</f>
        <v>124.72351060556315</v>
      </c>
      <c r="AA29" s="23">
        <f ca="1">_xll.meLWOBondModifiedDuration($L29,$C$4,$S29%)</f>
        <v>18.029760896095038</v>
      </c>
      <c r="AB29" s="22">
        <f ca="1">_xll.BDP($B29,AB$7,"YLD_YTM_ASK="&amp;$S29,"YAS_YLD_CONV=3")</f>
        <v>18.029777394830298</v>
      </c>
      <c r="AC29" s="24">
        <f t="shared" ca="1" si="7"/>
        <v>1.6498735259773412E-5</v>
      </c>
      <c r="AD29" s="23">
        <f ca="1">_xll.meLWOBondDV01Numerical($L29,$C$4,$S29%,0.5,"CENTRAL")</f>
        <v>2248.7355890868344</v>
      </c>
    </row>
    <row r="30" spans="2:30">
      <c r="B30" s="15" t="s">
        <v>1773</v>
      </c>
      <c r="C30" s="155" t="s">
        <v>1917</v>
      </c>
      <c r="D30" s="15" t="s">
        <v>1918</v>
      </c>
      <c r="E30" s="16" t="s">
        <v>1919</v>
      </c>
      <c r="F30" s="19" t="s">
        <v>1919</v>
      </c>
      <c r="G30" s="18"/>
      <c r="H30" s="16" t="s">
        <v>1920</v>
      </c>
      <c r="I30" s="16" t="s">
        <v>1921</v>
      </c>
      <c r="J30" s="17">
        <v>3.5000000000000003E-2</v>
      </c>
      <c r="K30" s="16" t="s">
        <v>1922</v>
      </c>
      <c r="L30" s="20" t="str">
        <f ca="1">_xll.meLWOBondCreateFromGeneratorLVB(C30,$L$4,_xll.meUtilityLVBFromKeysValues($C$7:$K$7,C30:K30))</f>
        <v>UKT 3 1/2 01/22/45:89</v>
      </c>
      <c r="M30" s="92">
        <f ca="1">_xll.BDP($B30,$M$6)</f>
        <v>2.0353423704142459</v>
      </c>
      <c r="N30" s="89">
        <f ca="1">_xll.meLWOBondCleanPrice($L30,$C$4,$M30%)</f>
        <v>129.68299985452754</v>
      </c>
      <c r="O30" s="89">
        <f ca="1">_xll.meLWOBondDirtyPrice($L30,$C$4,$M30%)</f>
        <v>130.50093463713623</v>
      </c>
      <c r="P30" s="72">
        <f ca="1">_xll.meLWOBondYield($L30,$C$4,N30)</f>
        <v>2.0353423704142302E-2</v>
      </c>
      <c r="Q30" s="89">
        <f ca="1">_xll.meLWOBondModifiedDuration($L30,$C$4,$M30%)</f>
        <v>18.28426654949245</v>
      </c>
      <c r="R30" s="23">
        <f ca="1">_xll.meLWOBondDV01($L30,$C$4,$M30%)</f>
        <v>2386.1138738632908</v>
      </c>
      <c r="S30" s="85">
        <f t="shared" ca="1" si="4"/>
        <v>2.0353423704142459</v>
      </c>
      <c r="T30" s="22">
        <f ca="1">_xll.BDP($B30,T$7, "YAS_BOND_YLD="&amp;$S30,"YAS_YLD_CONV=2")</f>
        <v>129.68299985452788</v>
      </c>
      <c r="U30" s="23">
        <f ca="1">_xll.meLWOBondCleanPrice($L30,$C$4,$S30%)</f>
        <v>129.68299985452754</v>
      </c>
      <c r="V30" s="24">
        <f t="shared" ca="1" si="5"/>
        <v>3.4106051316484809E-13</v>
      </c>
      <c r="W30" s="23">
        <f ca="1">_xll.meLWOBondDV01($L30,$C$4,$S30%)</f>
        <v>2386.1138738632908</v>
      </c>
      <c r="X30" s="22">
        <f ca="1">_xll.BDP($B30,X$7, "YLD_YTM_ASK="&amp;$S30,"YAS_YLD_CONV=3")*$X$3*0.0001</f>
        <v>2386.1161843721848</v>
      </c>
      <c r="Y30" s="24">
        <f t="shared" ca="1" si="6"/>
        <v>2.3105088939701091E-3</v>
      </c>
      <c r="Z30" s="23">
        <f ca="1">_xll.meLWOBondDirtyPrice($L30,$C$4,$S30%)</f>
        <v>130.50093463713623</v>
      </c>
      <c r="AA30" s="23">
        <f ca="1">_xll.meLWOBondModifiedDuration($L30,$C$4,$S30%)</f>
        <v>18.28426654949245</v>
      </c>
      <c r="AB30" s="22">
        <f ca="1">_xll.BDP($B30,AB$7,"YLD_YTM_ASK="&amp;$S30,"YAS_YLD_CONV=3")</f>
        <v>18.284284274796494</v>
      </c>
      <c r="AC30" s="24">
        <f t="shared" ca="1" si="7"/>
        <v>1.7725304044091672E-5</v>
      </c>
      <c r="AD30" s="23">
        <f ca="1">_xll.meLWOBondDV01Numerical($L30,$C$4,$S30%,0.5,"CENTRAL")</f>
        <v>2386.1144523266375</v>
      </c>
    </row>
    <row r="31" spans="2:30">
      <c r="B31" s="15" t="s">
        <v>1781</v>
      </c>
      <c r="C31" s="155" t="s">
        <v>1923</v>
      </c>
      <c r="D31" s="15" t="s">
        <v>1924</v>
      </c>
      <c r="E31" s="16" t="s">
        <v>1925</v>
      </c>
      <c r="F31" s="19" t="s">
        <v>1925</v>
      </c>
      <c r="G31" s="18"/>
      <c r="H31" s="16" t="s">
        <v>1851</v>
      </c>
      <c r="I31" s="16" t="s">
        <v>1926</v>
      </c>
      <c r="J31" s="17">
        <v>4.2500000000000003E-2</v>
      </c>
      <c r="K31" s="16" t="s">
        <v>1927</v>
      </c>
      <c r="L31" s="20" t="str">
        <f ca="1">_xll.meLWOBondCreateFromGeneratorLVB(C31,$L$4,_xll.meUtilityLVBFromKeysValues($C$7:$K$7,C31:K31))</f>
        <v>UKT 4 1/4 12/07/46:91</v>
      </c>
      <c r="M31" s="92">
        <f ca="1">_xll.BDP($B31,$M$6)</f>
        <v>2.0229053653505336</v>
      </c>
      <c r="N31" s="89">
        <f ca="1">_xll.meLWOBondCleanPrice($L31,$C$4,$M31%)</f>
        <v>147.6079999954232</v>
      </c>
      <c r="O31" s="89">
        <f ca="1">_xll.meLWOBondDirtyPrice($L31,$C$4,$M31%)</f>
        <v>149.12917485881118</v>
      </c>
      <c r="P31" s="72">
        <f ca="1">_xll.meLWOBondYield($L31,$C$4,N31)</f>
        <v>2.0229053653505288E-2</v>
      </c>
      <c r="Q31" s="89">
        <f ca="1">_xll.meLWOBondModifiedDuration($L31,$C$4,$M31%)</f>
        <v>18.444539840029812</v>
      </c>
      <c r="R31" s="23">
        <f ca="1">_xll.meLWOBondDV01($L31,$C$4,$M31%)</f>
        <v>2750.6190069941149</v>
      </c>
      <c r="S31" s="85">
        <f t="shared" ca="1" si="4"/>
        <v>2.0229053653505336</v>
      </c>
      <c r="T31" s="22">
        <f ca="1">_xll.BDP($B31,T$7, "YAS_BOND_YLD="&amp;$S31,"YAS_YLD_CONV=2")</f>
        <v>147.60799999542326</v>
      </c>
      <c r="U31" s="23">
        <f ca="1">_xll.meLWOBondCleanPrice($L31,$C$4,$S31%)</f>
        <v>147.6079999954232</v>
      </c>
      <c r="V31" s="24">
        <f t="shared" ca="1" si="5"/>
        <v>5.6843418860808015E-14</v>
      </c>
      <c r="W31" s="23">
        <f ca="1">_xll.meLWOBondDV01($L31,$C$4,$S31%)</f>
        <v>2750.6190069941149</v>
      </c>
      <c r="X31" s="22">
        <f ca="1">_xll.BDP($B31,X$7, "YLD_YTM_ASK="&amp;$S31,"YAS_YLD_CONV=3")*$X$3*0.0001</f>
        <v>2750.6219251893076</v>
      </c>
      <c r="Y31" s="24">
        <f t="shared" ca="1" si="6"/>
        <v>2.9181951927057526E-3</v>
      </c>
      <c r="Z31" s="23">
        <f ca="1">_xll.meLWOBondDirtyPrice($L31,$C$4,$S31%)</f>
        <v>149.12917485881118</v>
      </c>
      <c r="AA31" s="23">
        <f ca="1">_xll.meLWOBondModifiedDuration($L31,$C$4,$S31%)</f>
        <v>18.444539840029812</v>
      </c>
      <c r="AB31" s="22">
        <f ca="1">_xll.BDP($B31,AB$7,"YLD_YTM_ASK="&amp;$S31,"YAS_YLD_CONV=3")</f>
        <v>18.444559408833985</v>
      </c>
      <c r="AC31" s="24">
        <f t="shared" ca="1" si="7"/>
        <v>1.9568804173530907E-5</v>
      </c>
      <c r="AD31" s="23">
        <f ca="1">_xll.meLWOBondDV01Numerical($L31,$C$4,$S31%,0.5,"CENTRAL")</f>
        <v>2750.6197365639196</v>
      </c>
    </row>
    <row r="32" spans="2:30">
      <c r="B32" s="15" t="s">
        <v>1752</v>
      </c>
      <c r="C32" s="155" t="s">
        <v>1928</v>
      </c>
      <c r="D32" s="15" t="s">
        <v>1929</v>
      </c>
      <c r="E32" s="16" t="s">
        <v>1930</v>
      </c>
      <c r="F32" s="19" t="s">
        <v>1930</v>
      </c>
      <c r="G32" s="18"/>
      <c r="H32" s="16" t="s">
        <v>1800</v>
      </c>
      <c r="I32" s="16" t="s">
        <v>1931</v>
      </c>
      <c r="J32" s="17">
        <v>1.4999999999999999E-2</v>
      </c>
      <c r="K32" s="16" t="s">
        <v>1932</v>
      </c>
      <c r="L32" s="20" t="str">
        <f ca="1">_xll.meLWOBondCreateFromGeneratorLVB(C32,$L$4,_xll.meUtilityLVBFromKeysValues($C$7:$K$7,C32:K32))</f>
        <v>UKT 1 1/2 07/22/47:13</v>
      </c>
      <c r="M32" s="92">
        <f ca="1">_xll.BDP($B32,$M$6)</f>
        <v>2.0102954325270441</v>
      </c>
      <c r="N32" s="89">
        <f ca="1">_xll.meLWOBondCleanPrice($L32,$C$4,$M32%)</f>
        <v>88.892999999322868</v>
      </c>
      <c r="O32" s="89">
        <f ca="1">_xll.meLWOBondDirtyPrice($L32,$C$4,$M32%)</f>
        <v>89.243543477583742</v>
      </c>
      <c r="P32" s="72">
        <f ca="1">_xll.meLWOBondYield($L32,$C$4,N32)</f>
        <v>2.0102954325270449E-2</v>
      </c>
      <c r="Q32" s="89">
        <f ca="1">_xll.meLWOBondModifiedDuration($L32,$C$4,$M32%)</f>
        <v>22.753748106582972</v>
      </c>
      <c r="R32" s="23">
        <f ca="1">_xll.meLWOBondDV01($L32,$C$4,$M32%)</f>
        <v>2030.625108427826</v>
      </c>
      <c r="S32" s="85">
        <f t="shared" ca="1" si="4"/>
        <v>2.0102954325270441</v>
      </c>
      <c r="T32" s="22">
        <f ca="1">_xll.BDP($B32,T$7, "YAS_BOND_YLD="&amp;$S32,"YAS_YLD_CONV=2")</f>
        <v>88.892999999322839</v>
      </c>
      <c r="U32" s="23">
        <f ca="1">_xll.meLWOBondCleanPrice($L32,$C$4,$S32%)</f>
        <v>88.892999999322868</v>
      </c>
      <c r="V32" s="24">
        <f t="shared" ca="1" si="5"/>
        <v>2.8421709430404007E-14</v>
      </c>
      <c r="W32" s="23">
        <f ca="1">_xll.meLWOBondDV01($L32,$C$4,$S32%)</f>
        <v>2030.625108427826</v>
      </c>
      <c r="X32" s="22">
        <f ca="1">_xll.BDP($B32,X$7, "YLD_YTM_ASK="&amp;$S32,"YAS_YLD_CONV=3")*$X$3*0.0001</f>
        <v>2030.6276793664326</v>
      </c>
      <c r="Y32" s="24">
        <f t="shared" ca="1" si="6"/>
        <v>2.5709386065955186E-3</v>
      </c>
      <c r="Z32" s="23">
        <f ca="1">_xll.meLWOBondDirtyPrice($L32,$C$4,$S32%)</f>
        <v>89.243543477583742</v>
      </c>
      <c r="AA32" s="23">
        <f ca="1">_xll.meLWOBondModifiedDuration($L32,$C$4,$S32%)</f>
        <v>22.753748106582972</v>
      </c>
      <c r="AB32" s="22">
        <f ca="1">_xll.BDP($B32,AB$7,"YLD_YTM_ASK="&amp;$S32,"YAS_YLD_CONV=3")</f>
        <v>22.753776914874496</v>
      </c>
      <c r="AC32" s="24">
        <f t="shared" ca="1" si="7"/>
        <v>2.8808291524740071E-5</v>
      </c>
      <c r="AD32" s="23">
        <f ca="1">_xll.meLWOBondDV01Numerical($L32,$C$4,$S32%,0.5,"CENTRAL")</f>
        <v>2030.6257511620631</v>
      </c>
    </row>
    <row r="33" spans="2:30">
      <c r="B33" s="15" t="s">
        <v>1756</v>
      </c>
      <c r="C33" s="155" t="s">
        <v>1933</v>
      </c>
      <c r="D33" s="15" t="s">
        <v>1934</v>
      </c>
      <c r="E33" s="16" t="s">
        <v>1935</v>
      </c>
      <c r="F33" s="19" t="s">
        <v>1935</v>
      </c>
      <c r="G33" s="18"/>
      <c r="H33" s="16" t="s">
        <v>1936</v>
      </c>
      <c r="I33" s="16" t="s">
        <v>1937</v>
      </c>
      <c r="J33" s="17">
        <v>1.7500000000000002E-2</v>
      </c>
      <c r="K33" s="16" t="s">
        <v>1938</v>
      </c>
      <c r="L33" s="20" t="str">
        <f ca="1">_xll.meLWOBondCreateFromGeneratorLVB(C33,$L$4,_xll.meUtilityLVBFromKeysValues($C$7:$K$7,C33:K33))</f>
        <v>UKT 1 3/4 01/22/49:12</v>
      </c>
      <c r="M33" s="92">
        <f ca="1">_xll.BDP($B33,$M$6)</f>
        <v>2.015067388290245</v>
      </c>
      <c r="N33" s="89">
        <f ca="1">_xll.meLWOBondCleanPrice($L33,$C$4,$M33%)</f>
        <v>94.016000387999057</v>
      </c>
      <c r="O33" s="89">
        <f ca="1">_xll.meLWOBondDirtyPrice($L33,$C$4,$M33%)</f>
        <v>94.177685170607759</v>
      </c>
      <c r="P33" s="72">
        <f ca="1">_xll.meLWOBondYield($L33,$C$4,N33)</f>
        <v>2.0150673882927204E-2</v>
      </c>
      <c r="Q33" s="89">
        <f ca="1">_xll.meLWOBondModifiedDuration($L33,$C$4,$M33%)</f>
        <v>23.099794084793636</v>
      </c>
      <c r="R33" s="23">
        <f ca="1">_xll.meLWOBondDV01($L33,$C$4,$M33%)</f>
        <v>2175.4851348235625</v>
      </c>
      <c r="S33" s="85">
        <f t="shared" ca="1" si="4"/>
        <v>2.015067388290245</v>
      </c>
      <c r="T33" s="22">
        <f ca="1">_xll.BDP($B33,T$7, "YAS_BOND_YLD="&amp;$S33,"YAS_YLD_CONV=2")</f>
        <v>94.01599999877854</v>
      </c>
      <c r="U33" s="23">
        <f ca="1">_xll.meLWOBondCleanPrice($L33,$C$4,$S33%)</f>
        <v>94.016000387999057</v>
      </c>
      <c r="V33" s="24">
        <f t="shared" ca="1" si="5"/>
        <v>3.8922051714962436E-7</v>
      </c>
      <c r="W33" s="23">
        <f ca="1">_xll.meLWOBondDV01($L33,$C$4,$S33%)</f>
        <v>2175.4851348235625</v>
      </c>
      <c r="X33" s="22">
        <f ca="1">_xll.BDP($B33,X$7, "YLD_YTM_ASK="&amp;$S33,"YAS_YLD_CONV=3")*$X$3*0.0001</f>
        <v>2175.4881053306717</v>
      </c>
      <c r="Y33" s="24">
        <f t="shared" ca="1" si="6"/>
        <v>2.9705071092394064E-3</v>
      </c>
      <c r="Z33" s="23">
        <f ca="1">_xll.meLWOBondDirtyPrice($L33,$C$4,$S33%)</f>
        <v>94.177685170607759</v>
      </c>
      <c r="AA33" s="23">
        <f ca="1">_xll.meLWOBondModifiedDuration($L33,$C$4,$S33%)</f>
        <v>23.099794084793636</v>
      </c>
      <c r="AB33" s="22">
        <f ca="1">_xll.BDP($B33,AB$7,"YLD_YTM_ASK="&amp;$S33,"YAS_YLD_CONV=3")</f>
        <v>23.099825722078414</v>
      </c>
      <c r="AC33" s="24">
        <f t="shared" ca="1" si="7"/>
        <v>3.1637284777730201E-5</v>
      </c>
      <c r="AD33" s="23">
        <f ca="1">_xll.meLWOBondDV01Numerical($L33,$C$4,$S33%,0.5,"CENTRAL")</f>
        <v>2175.4858774789914</v>
      </c>
    </row>
    <row r="34" spans="2:30">
      <c r="B34" s="15" t="s">
        <v>1783</v>
      </c>
      <c r="C34" s="155" t="s">
        <v>1939</v>
      </c>
      <c r="D34" s="15" t="s">
        <v>1940</v>
      </c>
      <c r="E34" s="16" t="s">
        <v>1941</v>
      </c>
      <c r="F34" s="19" t="s">
        <v>1941</v>
      </c>
      <c r="G34" s="18"/>
      <c r="H34" s="16" t="s">
        <v>1942</v>
      </c>
      <c r="I34" s="16" t="s">
        <v>1943</v>
      </c>
      <c r="J34" s="17">
        <v>4.2500000000000003E-2</v>
      </c>
      <c r="K34" s="16" t="s">
        <v>1944</v>
      </c>
      <c r="L34" s="20" t="str">
        <f ca="1">_xll.meLWOBondCreateFromGeneratorLVB(C34,$L$4,_xll.meUtilityLVBFromKeysValues($C$7:$K$7,C34:K34))</f>
        <v>UKT 4 1/4 12/07/49:89</v>
      </c>
      <c r="M34" s="92">
        <f ca="1">_xll.BDP($B34,$M$6)</f>
        <v>2.004534705440725</v>
      </c>
      <c r="N34" s="89">
        <f ca="1">_xll.meLWOBondCleanPrice($L34,$C$4,$M34%)</f>
        <v>151.82599995096626</v>
      </c>
      <c r="O34" s="89">
        <f ca="1">_xll.meLWOBondDirtyPrice($L34,$C$4,$M34%)</f>
        <v>153.34717481435425</v>
      </c>
      <c r="P34" s="72">
        <f ca="1">_xll.meLWOBondYield($L34,$C$4,N34)</f>
        <v>2.0045347054407452E-2</v>
      </c>
      <c r="Q34" s="89">
        <f ca="1">_xll.meLWOBondModifiedDuration($L34,$C$4,$M34%)</f>
        <v>19.810619177938715</v>
      </c>
      <c r="R34" s="23">
        <f ca="1">_xll.meLWOBondDV01($L34,$C$4,$M34%)</f>
        <v>3037.9024822599667</v>
      </c>
      <c r="S34" s="85">
        <f t="shared" ca="1" si="4"/>
        <v>2.004534705440725</v>
      </c>
      <c r="T34" s="22">
        <f ca="1">_xll.BDP($B34,T$7, "YAS_BOND_YLD="&amp;$S34,"YAS_YLD_CONV=2")</f>
        <v>151.82599995096663</v>
      </c>
      <c r="U34" s="23">
        <f ca="1">_xll.meLWOBondCleanPrice($L34,$C$4,$S34%)</f>
        <v>151.82599995096626</v>
      </c>
      <c r="V34" s="24">
        <f t="shared" ca="1" si="5"/>
        <v>3.694822225952521E-13</v>
      </c>
      <c r="W34" s="23">
        <f ca="1">_xll.meLWOBondDV01($L34,$C$4,$S34%)</f>
        <v>3037.9024822599667</v>
      </c>
      <c r="X34" s="22">
        <f ca="1">_xll.BDP($B34,X$7, "YLD_YTM_ASK="&amp;$S34,"YAS_YLD_CONV=3")*$X$3*0.0001</f>
        <v>3037.9063187444899</v>
      </c>
      <c r="Y34" s="24">
        <f t="shared" ca="1" si="6"/>
        <v>3.8364845231626532E-3</v>
      </c>
      <c r="Z34" s="23">
        <f ca="1">_xll.meLWOBondDirtyPrice($L34,$C$4,$S34%)</f>
        <v>153.34717481435425</v>
      </c>
      <c r="AA34" s="23">
        <f ca="1">_xll.meLWOBondModifiedDuration($L34,$C$4,$S34%)</f>
        <v>19.810619177938715</v>
      </c>
      <c r="AB34" s="22">
        <f ca="1">_xll.BDP($B34,AB$7,"YLD_YTM_ASK="&amp;$S34,"YAS_YLD_CONV=3")</f>
        <v>19.810644202566298</v>
      </c>
      <c r="AC34" s="24">
        <f t="shared" ca="1" si="7"/>
        <v>2.5024627582581616E-5</v>
      </c>
      <c r="AD34" s="23">
        <f ca="1">_xll.meLWOBondDV01Numerical($L34,$C$4,$S34%,0.5,"CENTRAL")</f>
        <v>3037.9034417089201</v>
      </c>
    </row>
    <row r="35" spans="2:30">
      <c r="B35" s="15" t="s">
        <v>1774</v>
      </c>
      <c r="C35" s="155" t="s">
        <v>1945</v>
      </c>
      <c r="D35" s="15" t="s">
        <v>1946</v>
      </c>
      <c r="E35" s="16" t="s">
        <v>1947</v>
      </c>
      <c r="F35" s="19" t="s">
        <v>1947</v>
      </c>
      <c r="G35" s="18"/>
      <c r="H35" s="16" t="s">
        <v>1948</v>
      </c>
      <c r="I35" s="16" t="s">
        <v>1949</v>
      </c>
      <c r="J35" s="17">
        <v>3.7499999999999999E-2</v>
      </c>
      <c r="K35" s="16" t="s">
        <v>1950</v>
      </c>
      <c r="L35" s="20" t="str">
        <f ca="1">_xll.meLWOBondCreateFromGeneratorLVB(C35,$L$4,_xll.meUtilityLVBFromKeysValues($C$7:$K$7,C35:K35))</f>
        <v>UKT 3 3/4 07/22/52:89</v>
      </c>
      <c r="M35" s="92">
        <f ca="1">_xll.BDP($B35,$M$6)</f>
        <v>1.9778729823026653</v>
      </c>
      <c r="N35" s="89">
        <f ca="1">_xll.meLWOBondCleanPrice($L35,$C$4,$M35%)</f>
        <v>143.49799885317617</v>
      </c>
      <c r="O35" s="89">
        <f ca="1">_xll.meLWOBondDirtyPrice($L35,$C$4,$M35%)</f>
        <v>144.37435754882836</v>
      </c>
      <c r="P35" s="72">
        <f ca="1">_xll.meLWOBondYield($L35,$C$4,N35)</f>
        <v>1.9778729823026933E-2</v>
      </c>
      <c r="Q35" s="89">
        <f ca="1">_xll.meLWOBondModifiedDuration($L35,$C$4,$M35%)</f>
        <v>21.561052141891142</v>
      </c>
      <c r="R35" s="23">
        <f ca="1">_xll.meLWOBondDV01($L35,$C$4,$M35%)</f>
        <v>3112.8630510623234</v>
      </c>
      <c r="S35" s="85">
        <f t="shared" ca="1" si="4"/>
        <v>1.9778729823026653</v>
      </c>
      <c r="T35" s="22">
        <f ca="1">_xll.BDP($B35,T$7, "YAS_BOND_YLD="&amp;$S35,"YAS_YLD_CONV=2")</f>
        <v>143.49799885317626</v>
      </c>
      <c r="U35" s="23">
        <f ca="1">_xll.meLWOBondCleanPrice($L35,$C$4,$S35%)</f>
        <v>143.49799885317617</v>
      </c>
      <c r="V35" s="24">
        <f t="shared" ca="1" si="5"/>
        <v>8.5265128291212022E-14</v>
      </c>
      <c r="W35" s="23">
        <f ca="1">_xll.meLWOBondDV01($L35,$C$4,$S35%)</f>
        <v>3112.8630510623234</v>
      </c>
      <c r="X35" s="22">
        <f ca="1">_xll.BDP($B35,X$7, "YLD_YTM_ASK="&amp;$S35,"YAS_YLD_CONV=3")*$X$3*0.0001</f>
        <v>3112.8676377171873</v>
      </c>
      <c r="Y35" s="24">
        <f t="shared" ca="1" si="6"/>
        <v>4.5866548639423854E-3</v>
      </c>
      <c r="Z35" s="23">
        <f ca="1">_xll.meLWOBondDirtyPrice($L35,$C$4,$S35%)</f>
        <v>144.37435754882836</v>
      </c>
      <c r="AA35" s="23">
        <f ca="1">_xll.meLWOBondModifiedDuration($L35,$C$4,$S35%)</f>
        <v>21.561052141891142</v>
      </c>
      <c r="AB35" s="22">
        <f ca="1">_xll.BDP($B35,AB$7,"YLD_YTM_ASK="&amp;$S35,"YAS_YLD_CONV=3")</f>
        <v>21.561084082339189</v>
      </c>
      <c r="AC35" s="24">
        <f t="shared" ca="1" si="7"/>
        <v>3.1940448046441361E-5</v>
      </c>
      <c r="AD35" s="23">
        <f ca="1">_xll.meLWOBondDV01Numerical($L35,$C$4,$S35%,0.5,"CENTRAL")</f>
        <v>3112.8642058840228</v>
      </c>
    </row>
    <row r="36" spans="2:30">
      <c r="B36" s="15" t="s">
        <v>1779</v>
      </c>
      <c r="C36" s="155" t="s">
        <v>1951</v>
      </c>
      <c r="D36" s="15" t="s">
        <v>1952</v>
      </c>
      <c r="E36" s="16" t="s">
        <v>1953</v>
      </c>
      <c r="F36" s="19" t="s">
        <v>1953</v>
      </c>
      <c r="G36" s="18"/>
      <c r="H36" s="16" t="s">
        <v>1954</v>
      </c>
      <c r="I36" s="16" t="s">
        <v>1955</v>
      </c>
      <c r="J36" s="17">
        <v>4.2500000000000003E-2</v>
      </c>
      <c r="K36" s="16" t="s">
        <v>1956</v>
      </c>
      <c r="L36" s="20" t="str">
        <f ca="1">_xll.meLWOBondCreateFromGeneratorLVB(C36,$L$4,_xll.meUtilityLVBFromKeysValues($C$7:$K$7,C36:K36))</f>
        <v>UKT 4 1/4 12/07/55:91</v>
      </c>
      <c r="M36" s="92">
        <f ca="1">_xll.BDP($B36,$M$6)</f>
        <v>1.9613282762821207</v>
      </c>
      <c r="N36" s="89">
        <f ca="1">_xll.meLWOBondCleanPrice($L36,$C$4,$M36%)</f>
        <v>160.16799898251844</v>
      </c>
      <c r="O36" s="89">
        <f ca="1">_xll.meLWOBondDirtyPrice($L36,$C$4,$M36%)</f>
        <v>161.68917384590642</v>
      </c>
      <c r="P36" s="72">
        <f ca="1">_xll.meLWOBondYield($L36,$C$4,N36)</f>
        <v>1.961328276282218E-2</v>
      </c>
      <c r="Q36" s="89">
        <f ca="1">_xll.meLWOBondModifiedDuration($L36,$C$4,$M36%)</f>
        <v>22.376867620036194</v>
      </c>
      <c r="R36" s="23">
        <f ca="1">_xll.meLWOBondDV01($L36,$C$4,$M36%)</f>
        <v>3618.0972387428665</v>
      </c>
      <c r="S36" s="85">
        <f t="shared" ca="1" si="4"/>
        <v>1.9613282762821207</v>
      </c>
      <c r="T36" s="22">
        <f ca="1">_xll.BDP($B36,T$7, "YAS_BOND_YLD="&amp;$S36,"YAS_YLD_CONV=2")</f>
        <v>160.1679989825183</v>
      </c>
      <c r="U36" s="23">
        <f ca="1">_xll.meLWOBondCleanPrice($L36,$C$4,$S36%)</f>
        <v>160.16799898251844</v>
      </c>
      <c r="V36" s="24">
        <f t="shared" ca="1" si="5"/>
        <v>1.4210854715202004E-13</v>
      </c>
      <c r="W36" s="23">
        <f ca="1">_xll.meLWOBondDV01($L36,$C$4,$S36%)</f>
        <v>3618.0972387428665</v>
      </c>
      <c r="X36" s="22">
        <f ca="1">_xll.BDP($B36,X$7, "YLD_YTM_ASK="&amp;$S36,"YAS_YLD_CONV=3")*$X$3*0.0001</f>
        <v>3618.1033840499313</v>
      </c>
      <c r="Y36" s="24">
        <f t="shared" ca="1" si="6"/>
        <v>6.1453070647985442E-3</v>
      </c>
      <c r="Z36" s="23">
        <f ca="1">_xll.meLWOBondDirtyPrice($L36,$C$4,$S36%)</f>
        <v>161.68917384590642</v>
      </c>
      <c r="AA36" s="23">
        <f ca="1">_xll.meLWOBondModifiedDuration($L36,$C$4,$S36%)</f>
        <v>22.376867620036194</v>
      </c>
      <c r="AB36" s="22">
        <f ca="1">_xll.BDP($B36,AB$7,"YLD_YTM_ASK="&amp;$S36,"YAS_YLD_CONV=3")</f>
        <v>22.376905767767486</v>
      </c>
      <c r="AC36" s="24">
        <f t="shared" ca="1" si="7"/>
        <v>3.814773129207083E-5</v>
      </c>
      <c r="AD36" s="23">
        <f ca="1">_xll.meLWOBondDV01Numerical($L36,$C$4,$S36%,0.5,"CENTRAL")</f>
        <v>3618.0987827779632</v>
      </c>
    </row>
    <row r="37" spans="2:30">
      <c r="B37" s="15" t="s">
        <v>1758</v>
      </c>
      <c r="C37" s="155" t="s">
        <v>1957</v>
      </c>
      <c r="D37" s="15" t="s">
        <v>1958</v>
      </c>
      <c r="E37" s="16" t="s">
        <v>1959</v>
      </c>
      <c r="F37" s="19" t="s">
        <v>1959</v>
      </c>
      <c r="G37" s="18"/>
      <c r="H37" s="16" t="s">
        <v>1845</v>
      </c>
      <c r="I37" s="16" t="s">
        <v>1960</v>
      </c>
      <c r="J37" s="17">
        <v>1.7500000000000002E-2</v>
      </c>
      <c r="K37" s="16" t="s">
        <v>1961</v>
      </c>
      <c r="L37" s="20" t="str">
        <f ca="1">_xll.meLWOBondCreateFromGeneratorLVB(C37,$L$4,_xll.meUtilityLVBFromKeysValues($C$7:$K$7,C37:K37))</f>
        <v>UKT 1 3/4 07/22/57:13</v>
      </c>
      <c r="M37" s="92">
        <f ca="1">_xll.BDP($B37,$M$6)</f>
        <v>1.9530287367034573</v>
      </c>
      <c r="N37" s="89">
        <f ca="1">_xll.meLWOBondCleanPrice($L37,$C$4,$M37%)</f>
        <v>94.496999981869294</v>
      </c>
      <c r="O37" s="89">
        <f ca="1">_xll.meLWOBondDirtyPrice($L37,$C$4,$M37%)</f>
        <v>94.905967373173638</v>
      </c>
      <c r="P37" s="72">
        <f ca="1">_xll.meLWOBondYield($L37,$C$4,N37)</f>
        <v>1.9530287367033831E-2</v>
      </c>
      <c r="Q37" s="89">
        <f ca="1">_xll.meLWOBondModifiedDuration($L37,$C$4,$M37%)</f>
        <v>27.565673770015483</v>
      </c>
      <c r="R37" s="23">
        <f ca="1">_xll.meLWOBondDV01($L37,$C$4,$M37%)</f>
        <v>2616.1469354366377</v>
      </c>
      <c r="S37" s="85">
        <f t="shared" ca="1" si="4"/>
        <v>1.9530287367034573</v>
      </c>
      <c r="T37" s="22">
        <f ca="1">_xll.BDP($B37,T$7, "YAS_BOND_YLD="&amp;$S37,"YAS_YLD_CONV=2")</f>
        <v>94.496999981869408</v>
      </c>
      <c r="U37" s="23">
        <f ca="1">_xll.meLWOBondCleanPrice($L37,$C$4,$S37%)</f>
        <v>94.496999981869294</v>
      </c>
      <c r="V37" s="24">
        <f t="shared" ca="1" si="5"/>
        <v>1.1368683772161603E-13</v>
      </c>
      <c r="W37" s="23">
        <f ca="1">_xll.meLWOBondDV01($L37,$C$4,$S37%)</f>
        <v>2616.1469354366377</v>
      </c>
      <c r="X37" s="22">
        <f ca="1">_xll.BDP($B37,X$7, "YLD_YTM_ASK="&amp;$S37,"YAS_YLD_CONV=3")*$X$3*0.0001</f>
        <v>2616.152498275284</v>
      </c>
      <c r="Y37" s="24">
        <f t="shared" ca="1" si="6"/>
        <v>5.562838646255841E-3</v>
      </c>
      <c r="Z37" s="23">
        <f ca="1">_xll.meLWOBondDirtyPrice($L37,$C$4,$S37%)</f>
        <v>94.905967373173638</v>
      </c>
      <c r="AA37" s="23">
        <f ca="1">_xll.meLWOBondModifiedDuration($L37,$C$4,$S37%)</f>
        <v>27.565673770015483</v>
      </c>
      <c r="AB37" s="22">
        <f ca="1">_xll.BDP($B37,AB$7,"YLD_YTM_ASK="&amp;$S37,"YAS_YLD_CONV=3")</f>
        <v>27.565732389495036</v>
      </c>
      <c r="AC37" s="24">
        <f t="shared" ca="1" si="7"/>
        <v>5.8619479553101428E-5</v>
      </c>
      <c r="AD37" s="23">
        <f ca="1">_xll.meLWOBondDV01Numerical($L37,$C$4,$S37%,0.5,"CENTRAL")</f>
        <v>2616.1483262951888</v>
      </c>
    </row>
    <row r="38" spans="2:30">
      <c r="B38" s="15" t="s">
        <v>1776</v>
      </c>
      <c r="C38" s="155" t="s">
        <v>1962</v>
      </c>
      <c r="D38" s="15" t="s">
        <v>1963</v>
      </c>
      <c r="E38" s="16" t="s">
        <v>1964</v>
      </c>
      <c r="F38" s="19" t="s">
        <v>1964</v>
      </c>
      <c r="G38" s="18"/>
      <c r="H38" s="16" t="s">
        <v>1965</v>
      </c>
      <c r="I38" s="16" t="s">
        <v>1966</v>
      </c>
      <c r="J38" s="17">
        <v>0.04</v>
      </c>
      <c r="K38" s="16" t="s">
        <v>1967</v>
      </c>
      <c r="L38" s="20" t="str">
        <f ca="1">_xll.meLWOBondCreateFromGeneratorLVB(C38,$L$4,_xll.meUtilityLVBFromKeysValues($C$7:$K$7,C38:K38))</f>
        <v>UKT 4 01/22/60:89</v>
      </c>
      <c r="M38" s="92">
        <f ca="1">_xll.BDP($B38,$M$6)</f>
        <v>1.941123994102433</v>
      </c>
      <c r="N38" s="89">
        <f ca="1">_xll.meLWOBondCleanPrice($L38,$C$4,$M38%)</f>
        <v>158.26999999981945</v>
      </c>
      <c r="O38" s="89">
        <f ca="1">_xll.meLWOBondDirtyPrice($L38,$C$4,$M38%)</f>
        <v>159.2047826085151</v>
      </c>
      <c r="P38" s="72">
        <f ca="1">_xll.meLWOBondYield($L38,$C$4,N38)</f>
        <v>1.9411239941025418E-2</v>
      </c>
      <c r="Q38" s="89">
        <f ca="1">_xll.meLWOBondModifiedDuration($L38,$C$4,$M38%)</f>
        <v>24.365497097447456</v>
      </c>
      <c r="R38" s="23">
        <f ca="1">_xll.meLWOBondDV01($L38,$C$4,$M38%)</f>
        <v>3879.1036685475278</v>
      </c>
      <c r="S38" s="85">
        <f t="shared" ca="1" si="4"/>
        <v>1.941123994102433</v>
      </c>
      <c r="T38" s="22">
        <f ca="1">_xll.BDP($B38,T$7, "YAS_BOND_YLD="&amp;$S38,"YAS_YLD_CONV=2")</f>
        <v>158.26999999981919</v>
      </c>
      <c r="U38" s="23">
        <f ca="1">_xll.meLWOBondCleanPrice($L38,$C$4,$S38%)</f>
        <v>158.26999999981945</v>
      </c>
      <c r="V38" s="24">
        <f t="shared" ca="1" si="5"/>
        <v>2.5579538487363607E-13</v>
      </c>
      <c r="W38" s="23">
        <f ca="1">_xll.meLWOBondDV01($L38,$C$4,$S38%)</f>
        <v>3879.1036685475278</v>
      </c>
      <c r="X38" s="22">
        <f ca="1">_xll.BDP($B38,X$7, "YLD_YTM_ASK="&amp;$S38,"YAS_YLD_CONV=3")*$X$3*0.0001</f>
        <v>3879.1116683616169</v>
      </c>
      <c r="Y38" s="24">
        <f t="shared" ca="1" si="6"/>
        <v>7.999814089089341E-3</v>
      </c>
      <c r="Z38" s="23">
        <f ca="1">_xll.meLWOBondDirtyPrice($L38,$C$4,$S38%)</f>
        <v>159.2047826085151</v>
      </c>
      <c r="AA38" s="23">
        <f ca="1">_xll.meLWOBondModifiedDuration($L38,$C$4,$S38%)</f>
        <v>24.365497097447456</v>
      </c>
      <c r="AB38" s="22">
        <f ca="1">_xll.BDP($B38,AB$7,"YLD_YTM_ASK="&amp;$S38,"YAS_YLD_CONV=3")</f>
        <v>24.365547346054221</v>
      </c>
      <c r="AC38" s="24">
        <f t="shared" ca="1" si="7"/>
        <v>5.0248606765279646E-5</v>
      </c>
      <c r="AD38" s="23">
        <f ca="1">_xll.meLWOBondDV01Numerical($L38,$C$4,$S38%,0.5,"CENTRAL")</f>
        <v>3879.1056684920022</v>
      </c>
    </row>
    <row r="39" spans="2:30">
      <c r="B39" s="15" t="s">
        <v>1761</v>
      </c>
      <c r="C39" s="155" t="s">
        <v>1968</v>
      </c>
      <c r="D39" s="15" t="s">
        <v>1969</v>
      </c>
      <c r="E39" s="16" t="s">
        <v>1970</v>
      </c>
      <c r="F39" s="19" t="s">
        <v>1970</v>
      </c>
      <c r="G39" s="18"/>
      <c r="H39" s="16" t="s">
        <v>1971</v>
      </c>
      <c r="I39" s="16" t="s">
        <v>1972</v>
      </c>
      <c r="J39" s="17">
        <v>2.5000000000000001E-2</v>
      </c>
      <c r="K39" s="16" t="s">
        <v>1973</v>
      </c>
      <c r="L39" s="20" t="str">
        <f ca="1">_xll.meLWOBondCreateFromGeneratorLVB(C39,$L$4,_xll.meUtilityLVBFromKeysValues($C$7:$K$7,C39:K39))</f>
        <v>UKT 2 1/2 07/22/65:11</v>
      </c>
      <c r="M39" s="92">
        <f ca="1">_xll.BDP($B39,$M$6)</f>
        <v>1.9289422312647304</v>
      </c>
      <c r="N39" s="89">
        <f ca="1">_xll.meLWOBondCleanPrice($L39,$C$4,$M39%)</f>
        <v>117.53999995964192</v>
      </c>
      <c r="O39" s="89">
        <f ca="1">_xll.meLWOBondDirtyPrice($L39,$C$4,$M39%)</f>
        <v>118.1242390900767</v>
      </c>
      <c r="P39" s="72">
        <f ca="1">_xll.meLWOBondYield($L39,$C$4,N39)</f>
        <v>1.9289422312647381E-2</v>
      </c>
      <c r="Q39" s="89">
        <f ca="1">_xll.meLWOBondModifiedDuration($L39,$C$4,$M39%)</f>
        <v>28.973331011178303</v>
      </c>
      <c r="R39" s="23">
        <f ca="1">_xll.meLWOBondDV01($L39,$C$4,$M39%)</f>
        <v>3422.4526796003597</v>
      </c>
      <c r="S39" s="85">
        <f t="shared" ca="1" si="4"/>
        <v>1.9289422312647304</v>
      </c>
      <c r="T39" s="22">
        <f ca="1">_xll.BDP($B39,T$7, "YAS_BOND_YLD="&amp;$S39,"YAS_YLD_CONV=2")</f>
        <v>117.53999995964206</v>
      </c>
      <c r="U39" s="23">
        <f ca="1">_xll.meLWOBondCleanPrice($L39,$C$4,$S39%)</f>
        <v>117.53999995964192</v>
      </c>
      <c r="V39" s="24">
        <f t="shared" ca="1" si="5"/>
        <v>1.4210854715202004E-13</v>
      </c>
      <c r="W39" s="23">
        <f ca="1">_xll.meLWOBondDV01($L39,$C$4,$S39%)</f>
        <v>3422.4526796003597</v>
      </c>
      <c r="X39" s="22">
        <f ca="1">_xll.BDP($B39,X$7, "YLD_YTM_ASK="&amp;$S39,"YAS_YLD_CONV=3")*$X$3*0.0001</f>
        <v>3422.4621848973416</v>
      </c>
      <c r="Y39" s="24">
        <f t="shared" ca="1" si="6"/>
        <v>9.5052969818425481E-3</v>
      </c>
      <c r="Z39" s="23">
        <f ca="1">_xll.meLWOBondDirtyPrice($L39,$C$4,$S39%)</f>
        <v>118.1242390900767</v>
      </c>
      <c r="AA39" s="23">
        <f ca="1">_xll.meLWOBondModifiedDuration($L39,$C$4,$S39%)</f>
        <v>28.973331011178303</v>
      </c>
      <c r="AB39" s="22">
        <f ca="1">_xll.BDP($B39,AB$7,"YLD_YTM_ASK="&amp;$S39,"YAS_YLD_CONV=3")</f>
        <v>28.973411489718448</v>
      </c>
      <c r="AC39" s="24">
        <f t="shared" ca="1" si="7"/>
        <v>8.0478540144923727E-5</v>
      </c>
      <c r="AD39" s="23">
        <f ca="1">_xll.meLWOBondDV01Numerical($L39,$C$4,$S39%,0.5,"CENTRAL")</f>
        <v>3422.455056322633</v>
      </c>
    </row>
    <row r="40" spans="2:30">
      <c r="B40" s="15" t="s">
        <v>1772</v>
      </c>
      <c r="C40" s="155" t="s">
        <v>1974</v>
      </c>
      <c r="D40" s="15" t="s">
        <v>1975</v>
      </c>
      <c r="E40" s="16" t="s">
        <v>1976</v>
      </c>
      <c r="F40" s="19" t="s">
        <v>1976</v>
      </c>
      <c r="G40" s="18"/>
      <c r="H40" s="16" t="s">
        <v>1977</v>
      </c>
      <c r="I40" s="16" t="s">
        <v>1978</v>
      </c>
      <c r="J40" s="17">
        <v>3.5000000000000003E-2</v>
      </c>
      <c r="K40" s="16" t="s">
        <v>1979</v>
      </c>
      <c r="L40" s="20" t="str">
        <f ca="1">_xll.meLWOBondCreateFromGeneratorLVB(C40,$L$4,_xll.meUtilityLVBFromKeysValues($C$7:$K$7,C40:K40))</f>
        <v>UKT 3 1/2 07/22/68:89</v>
      </c>
      <c r="M40" s="92">
        <f ca="1">_xll.BDP($B40,$M$6)</f>
        <v>1.9360507078229254</v>
      </c>
      <c r="N40" s="89">
        <f ca="1">_xll.meLWOBondCleanPrice($L40,$C$4,$M40%)</f>
        <v>149.81299998648205</v>
      </c>
      <c r="O40" s="89">
        <f ca="1">_xll.meLWOBondDirtyPrice($L40,$C$4,$M40%)</f>
        <v>150.63093476909074</v>
      </c>
      <c r="P40" s="72">
        <f ca="1">_xll.meLWOBondYield($L40,$C$4,N40)</f>
        <v>1.9360507078231962E-2</v>
      </c>
      <c r="Q40" s="89">
        <f ca="1">_xll.meLWOBondModifiedDuration($L40,$C$4,$M40%)</f>
        <v>28.095773654745518</v>
      </c>
      <c r="R40" s="23">
        <f ca="1">_xll.meLWOBondDV01($L40,$C$4,$M40%)</f>
        <v>4232.0926486751105</v>
      </c>
      <c r="S40" s="85">
        <f t="shared" ca="1" si="4"/>
        <v>1.9360507078229254</v>
      </c>
      <c r="T40" s="22">
        <f ca="1">_xll.BDP($B40,T$7, "YAS_BOND_YLD="&amp;$S40,"YAS_YLD_CONV=2")</f>
        <v>149.81299998648234</v>
      </c>
      <c r="U40" s="23">
        <f ca="1">_xll.meLWOBondCleanPrice($L40,$C$4,$S40%)</f>
        <v>149.81299998648205</v>
      </c>
      <c r="V40" s="24">
        <f t="shared" ca="1" si="5"/>
        <v>2.8421709430404007E-13</v>
      </c>
      <c r="W40" s="23">
        <f ca="1">_xll.meLWOBondDV01($L40,$C$4,$S40%)</f>
        <v>4232.0926486751105</v>
      </c>
      <c r="X40" s="22">
        <f ca="1">_xll.BDP($B40,X$7, "YLD_YTM_ASK="&amp;$S40,"YAS_YLD_CONV=3")*$X$3*0.0001</f>
        <v>4232.104862978048</v>
      </c>
      <c r="Y40" s="24">
        <f t="shared" ca="1" si="6"/>
        <v>1.2214302937536559E-2</v>
      </c>
      <c r="Z40" s="23">
        <f ca="1">_xll.meLWOBondDirtyPrice($L40,$C$4,$S40%)</f>
        <v>150.63093476909074</v>
      </c>
      <c r="AA40" s="23">
        <f ca="1">_xll.meLWOBondModifiedDuration($L40,$C$4,$S40%)</f>
        <v>28.095773654745518</v>
      </c>
      <c r="AB40" s="22">
        <f ca="1">_xll.BDP($B40,AB$7,"YLD_YTM_ASK="&amp;$S40,"YAS_YLD_CONV=3")</f>
        <v>28.095854744879531</v>
      </c>
      <c r="AC40" s="24">
        <f t="shared" ca="1" si="7"/>
        <v>8.1090134013805937E-5</v>
      </c>
      <c r="AD40" s="23">
        <f ca="1">_xll.meLWOBondDV01Numerical($L40,$C$4,$S40%,0.5,"CENTRAL")</f>
        <v>4232.0957023906658</v>
      </c>
    </row>
    <row r="41" spans="2:30">
      <c r="B41" s="15" t="s">
        <v>1754</v>
      </c>
      <c r="C41" s="155" t="s">
        <v>1980</v>
      </c>
      <c r="D41" s="15" t="s">
        <v>1981</v>
      </c>
      <c r="E41" s="16" t="s">
        <v>1982</v>
      </c>
      <c r="F41" s="19" t="s">
        <v>1982</v>
      </c>
      <c r="G41" s="18"/>
      <c r="H41" s="16" t="s">
        <v>1983</v>
      </c>
      <c r="I41" s="16" t="s">
        <v>1984</v>
      </c>
      <c r="J41" s="17">
        <v>1.6250000000000001E-2</v>
      </c>
      <c r="K41" s="16" t="s">
        <v>1985</v>
      </c>
      <c r="L41" s="20" t="str">
        <f ca="1">_xll.meLWOBondCreateFromGeneratorLVB(C41,$L$4,_xll.meUtilityLVBFromKeysValues($C$7:$K$7,C41:K41))</f>
        <v>UKT 1 5/8 10/22/71:13</v>
      </c>
      <c r="M41" s="92">
        <f ca="1">_xll.BDP($B41,$M$6)</f>
        <v>1.9169227254224361</v>
      </c>
      <c r="N41" s="89">
        <f ca="1">_xll.meLWOBondCleanPrice($L41,$C$4,$M41%)</f>
        <v>90.314020514203307</v>
      </c>
      <c r="O41" s="89">
        <f ca="1">_xll.meLWOBondDirtyPrice($L41,$C$4,$M41%)</f>
        <v>90.28336013684482</v>
      </c>
      <c r="P41" s="72">
        <f ca="1">_xll.meLWOBondYield($L41,$C$4,N41)</f>
        <v>1.9169227254224534E-2</v>
      </c>
      <c r="Q41" s="89">
        <f ca="1">_xll.meLWOBondModifiedDuration($L41,$C$4,$M41%)</f>
        <v>34.388988468602626</v>
      </c>
      <c r="R41" s="23">
        <f ca="1">_xll.meLWOBondDV01($L41,$C$4,$M41%)</f>
        <v>3104.7534306526545</v>
      </c>
      <c r="S41" s="85">
        <f t="shared" ca="1" si="4"/>
        <v>1.9169227254224361</v>
      </c>
      <c r="T41" s="22">
        <f ca="1">_xll.BDP($B41,T$7, "YAS_BOND_YLD="&amp;$S41,"YAS_YLD_CONV=2")</f>
        <v>90.30999948110707</v>
      </c>
      <c r="U41" s="23">
        <f ca="1">_xll.meLWOBondCleanPrice($L41,$C$4,$S41%)</f>
        <v>90.314020514203307</v>
      </c>
      <c r="V41" s="24">
        <f t="shared" ca="1" si="5"/>
        <v>4.0210330962366925E-3</v>
      </c>
      <c r="W41" s="23">
        <f ca="1">_xll.meLWOBondDV01($L41,$C$4,$S41%)</f>
        <v>3104.7534306526545</v>
      </c>
      <c r="X41" s="22">
        <f ca="1">_xll.BDP($B41,X$7, "YLD_YTM_ASK="&amp;$S41,"YAS_YLD_CONV=3")*$X$3*0.0001</f>
        <v>3104.7649145742189</v>
      </c>
      <c r="Y41" s="24">
        <f t="shared" ca="1" si="6"/>
        <v>1.1483921564376942E-2</v>
      </c>
      <c r="Z41" s="23">
        <f ca="1">_xll.meLWOBondDirtyPrice($L41,$C$4,$S41%)</f>
        <v>90.28336013684482</v>
      </c>
      <c r="AA41" s="23">
        <f ca="1">_xll.meLWOBondModifiedDuration($L41,$C$4,$S41%)</f>
        <v>34.388988468602626</v>
      </c>
      <c r="AB41" s="22">
        <f ca="1">_xll.BDP($B41,AB$7,"YLD_YTM_ASK="&amp;$S41,"YAS_YLD_CONV=3")</f>
        <v>34.38911586490017</v>
      </c>
      <c r="AC41" s="24">
        <f t="shared" ca="1" si="7"/>
        <v>1.2739629754321413E-4</v>
      </c>
      <c r="AD41" s="23">
        <f ca="1">_xll.meLWOBondDV01Numerical($L41,$C$4,$S41%,0.5,"CENTRAL")</f>
        <v>3104.7563074893956</v>
      </c>
    </row>
    <row r="42" spans="2:30">
      <c r="B42" s="15"/>
      <c r="C42" s="155"/>
      <c r="D42" s="15"/>
      <c r="E42" s="16"/>
      <c r="F42" s="19"/>
      <c r="G42" s="18"/>
      <c r="H42" s="16"/>
      <c r="I42" s="16"/>
      <c r="J42" s="17"/>
      <c r="K42" s="16"/>
      <c r="L42" s="20"/>
      <c r="M42" s="92"/>
      <c r="N42" s="89"/>
      <c r="O42" s="89"/>
      <c r="P42" s="72"/>
      <c r="Q42" s="89"/>
      <c r="R42" s="23"/>
      <c r="S42" s="85"/>
      <c r="T42" s="22"/>
      <c r="U42" s="23"/>
      <c r="V42" s="24"/>
      <c r="W42" s="23"/>
      <c r="X42" s="22"/>
      <c r="Y42" s="24"/>
      <c r="Z42" s="23"/>
      <c r="AA42" s="23"/>
      <c r="AB42" s="22"/>
      <c r="AC42" s="24"/>
      <c r="AD42" s="23"/>
    </row>
    <row r="43" spans="2:30">
      <c r="B43" s="15"/>
      <c r="C43" s="155"/>
      <c r="D43" s="15"/>
      <c r="E43" s="16"/>
      <c r="F43" s="19"/>
      <c r="G43" s="18"/>
      <c r="H43" s="16"/>
      <c r="I43" s="16"/>
      <c r="J43" s="17"/>
      <c r="K43" s="16"/>
      <c r="L43" s="20"/>
      <c r="M43" s="92"/>
      <c r="N43" s="89"/>
      <c r="O43" s="89"/>
      <c r="P43" s="72"/>
      <c r="Q43" s="89"/>
      <c r="R43" s="23"/>
      <c r="S43" s="85"/>
      <c r="T43" s="22"/>
      <c r="U43" s="23"/>
      <c r="V43" s="24"/>
      <c r="W43" s="23"/>
      <c r="X43" s="22"/>
      <c r="Y43" s="24"/>
      <c r="Z43" s="23"/>
      <c r="AA43" s="23"/>
      <c r="AB43" s="22"/>
      <c r="AC43" s="24"/>
      <c r="AD43" s="23"/>
    </row>
  </sheetData>
  <autoFilter ref="B7:AD7"/>
  <sortState ref="B8:R52">
    <sortCondition ref="K8:K52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46"/>
  <sheetViews>
    <sheetView showGridLines="0" workbookViewId="0"/>
  </sheetViews>
  <sheetFormatPr defaultRowHeight="15"/>
  <cols>
    <col min="2" max="2" width="34.140625" bestFit="1" customWidth="1"/>
    <col min="3" max="3" width="41.28515625" bestFit="1" customWidth="1"/>
    <col min="5" max="6" width="15.42578125" bestFit="1" customWidth="1"/>
    <col min="7" max="7" width="19.5703125" bestFit="1" customWidth="1"/>
    <col min="8" max="8" width="21.7109375" bestFit="1" customWidth="1"/>
    <col min="9" max="10" width="15.42578125" bestFit="1" customWidth="1"/>
    <col min="11" max="11" width="12.42578125" bestFit="1" customWidth="1"/>
    <col min="12" max="12" width="17.28515625" bestFit="1" customWidth="1"/>
    <col min="13" max="13" width="9" bestFit="1" customWidth="1"/>
    <col min="14" max="14" width="17" bestFit="1" customWidth="1"/>
    <col min="15" max="15" width="11.7109375" bestFit="1" customWidth="1"/>
    <col min="16" max="16" width="14.28515625" bestFit="1" customWidth="1"/>
    <col min="17" max="17" width="12" bestFit="1" customWidth="1"/>
  </cols>
  <sheetData>
    <row r="2" spans="2:20">
      <c r="B2" s="120" t="s">
        <v>1745</v>
      </c>
      <c r="E2" s="120" t="s">
        <v>1747</v>
      </c>
    </row>
    <row r="3" spans="2:20">
      <c r="B3" s="117" t="s">
        <v>1705</v>
      </c>
      <c r="C3" s="116" t="s">
        <v>1736</v>
      </c>
      <c r="E3" s="136" t="str">
        <f t="array" aca="1" ref="E3:T46" ca="1">_xll.meUtilityResize(_xll.meLWOBondDisplayCashflows($C$4,$C$35,$C$36),100,100)</f>
        <v>AccrualStart</v>
      </c>
      <c r="F3" s="137" t="str">
        <f ca="1"/>
        <v>AccrualEnd</v>
      </c>
      <c r="G3" s="137" t="str">
        <f ca="1"/>
        <v>AccrualYearFractions</v>
      </c>
      <c r="H3" s="137" t="str">
        <f ca="1"/>
        <v>ExDividendDate</v>
      </c>
      <c r="I3" s="137" t="str">
        <f ca="1"/>
        <v>PaymentDate</v>
      </c>
      <c r="J3" s="137" t="str">
        <f ca="1"/>
        <v>Notional</v>
      </c>
      <c r="K3" s="137" t="str">
        <f ca="1"/>
        <v>NotionalExchange</v>
      </c>
      <c r="L3" s="137" t="str">
        <f ca="1"/>
        <v>Leverage</v>
      </c>
      <c r="M3" s="137" t="str">
        <f ca="1"/>
        <v>FixedRate</v>
      </c>
      <c r="N3" s="137" t="str">
        <f ca="1"/>
        <v>Coupon</v>
      </c>
      <c r="O3" s="137" t="str">
        <f ca="1"/>
        <v>DiscountFactor</v>
      </c>
      <c r="P3" s="137" t="str">
        <f ca="1"/>
        <v>CouponPV</v>
      </c>
      <c r="Q3" s="137" t="str">
        <f ca="1"/>
        <v/>
      </c>
      <c r="R3" s="137" t="str">
        <f ca="1"/>
        <v/>
      </c>
      <c r="S3" s="137" t="str">
        <f ca="1"/>
        <v/>
      </c>
      <c r="T3" s="138" t="str">
        <f ca="1"/>
        <v/>
      </c>
    </row>
    <row r="4" spans="2:20">
      <c r="B4" s="119" t="s">
        <v>18</v>
      </c>
      <c r="C4" s="126" t="str">
        <f ca="1">_xll.meLWOBondCreateFromLVB(C3,B7:C31)</f>
        <v>AUSTRALIA_2.25_21-MAY-2028:0</v>
      </c>
      <c r="E4" s="139" t="str">
        <f ca="1"/>
        <v/>
      </c>
      <c r="F4" s="140" t="str">
        <f ca="1"/>
        <v/>
      </c>
      <c r="G4" s="143" t="str">
        <f ca="1"/>
        <v/>
      </c>
      <c r="H4" s="143" t="str">
        <f ca="1"/>
        <v/>
      </c>
      <c r="I4" s="140">
        <f ca="1"/>
        <v>42329</v>
      </c>
      <c r="J4" s="140" t="str">
        <f ca="1"/>
        <v/>
      </c>
      <c r="K4" s="145">
        <f ca="1"/>
        <v>-1000000</v>
      </c>
      <c r="L4" s="145">
        <f ca="1"/>
        <v>1</v>
      </c>
      <c r="M4" s="143" t="str">
        <f ca="1"/>
        <v/>
      </c>
      <c r="N4" s="147">
        <f ca="1"/>
        <v>-1000000</v>
      </c>
      <c r="O4" s="143">
        <f ca="1"/>
        <v>0</v>
      </c>
      <c r="P4" s="151">
        <f ca="1"/>
        <v>0</v>
      </c>
      <c r="Q4" s="145" t="str">
        <f ca="1"/>
        <v/>
      </c>
      <c r="R4" s="143" t="str">
        <f ca="1"/>
        <v/>
      </c>
      <c r="S4" s="143" t="str">
        <f ca="1"/>
        <v/>
      </c>
      <c r="T4" s="149" t="str">
        <f ca="1"/>
        <v/>
      </c>
    </row>
    <row r="5" spans="2:20">
      <c r="E5" s="139">
        <f ca="1"/>
        <v>42329</v>
      </c>
      <c r="F5" s="140">
        <f ca="1"/>
        <v>42511</v>
      </c>
      <c r="G5" s="143">
        <f ca="1"/>
        <v>0.5</v>
      </c>
      <c r="H5" s="143">
        <f ca="1"/>
        <v>42504</v>
      </c>
      <c r="I5" s="140">
        <f ca="1"/>
        <v>42511</v>
      </c>
      <c r="J5" s="140">
        <f ca="1"/>
        <v>1000000</v>
      </c>
      <c r="K5" s="145">
        <f ca="1"/>
        <v>0</v>
      </c>
      <c r="L5" s="145">
        <f ca="1"/>
        <v>1</v>
      </c>
      <c r="M5" s="143">
        <f ca="1"/>
        <v>2.2499999999999999E-2</v>
      </c>
      <c r="N5" s="147">
        <f ca="1"/>
        <v>11250</v>
      </c>
      <c r="O5" s="143">
        <f ca="1"/>
        <v>0</v>
      </c>
      <c r="P5" s="151">
        <f ca="1"/>
        <v>0</v>
      </c>
      <c r="Q5" s="145" t="str">
        <f ca="1"/>
        <v/>
      </c>
      <c r="R5" s="143" t="str">
        <f ca="1"/>
        <v/>
      </c>
      <c r="S5" s="143" t="str">
        <f ca="1"/>
        <v/>
      </c>
      <c r="T5" s="149" t="str">
        <f ca="1"/>
        <v/>
      </c>
    </row>
    <row r="6" spans="2:20">
      <c r="B6" s="120" t="s">
        <v>1744</v>
      </c>
      <c r="E6" s="139">
        <f ca="1"/>
        <v>42511</v>
      </c>
      <c r="F6" s="140">
        <f ca="1"/>
        <v>42695</v>
      </c>
      <c r="G6" s="143">
        <f ca="1"/>
        <v>0.5</v>
      </c>
      <c r="H6" s="143">
        <f ca="1"/>
        <v>42688</v>
      </c>
      <c r="I6" s="140">
        <f ca="1"/>
        <v>42695</v>
      </c>
      <c r="J6" s="140">
        <f ca="1"/>
        <v>1000000</v>
      </c>
      <c r="K6" s="145">
        <f ca="1"/>
        <v>0</v>
      </c>
      <c r="L6" s="145">
        <f ca="1"/>
        <v>1</v>
      </c>
      <c r="M6" s="143">
        <f ca="1"/>
        <v>2.2499999999999999E-2</v>
      </c>
      <c r="N6" s="147">
        <f ca="1"/>
        <v>11250</v>
      </c>
      <c r="O6" s="143">
        <f ca="1"/>
        <v>0</v>
      </c>
      <c r="P6" s="151">
        <f ca="1"/>
        <v>0</v>
      </c>
      <c r="Q6" s="145" t="str">
        <f ca="1"/>
        <v/>
      </c>
      <c r="R6" s="143" t="str">
        <f ca="1"/>
        <v/>
      </c>
      <c r="S6" s="143" t="str">
        <f ca="1"/>
        <v/>
      </c>
      <c r="T6" s="149" t="str">
        <f ca="1"/>
        <v/>
      </c>
    </row>
    <row r="7" spans="2:20">
      <c r="B7" s="117" t="s">
        <v>1713</v>
      </c>
      <c r="C7" s="127">
        <f>42329</f>
        <v>42329</v>
      </c>
      <c r="E7" s="139">
        <f ca="1"/>
        <v>42695</v>
      </c>
      <c r="F7" s="140">
        <f ca="1"/>
        <v>42876</v>
      </c>
      <c r="G7" s="143">
        <f ca="1"/>
        <v>0.5</v>
      </c>
      <c r="H7" s="143">
        <f ca="1"/>
        <v>42869</v>
      </c>
      <c r="I7" s="140">
        <f ca="1"/>
        <v>42876</v>
      </c>
      <c r="J7" s="140">
        <f ca="1"/>
        <v>1000000</v>
      </c>
      <c r="K7" s="145">
        <f ca="1"/>
        <v>0</v>
      </c>
      <c r="L7" s="145">
        <f ca="1"/>
        <v>1</v>
      </c>
      <c r="M7" s="143">
        <f ca="1"/>
        <v>2.2499999999999999E-2</v>
      </c>
      <c r="N7" s="147">
        <f ca="1"/>
        <v>11250</v>
      </c>
      <c r="O7" s="143">
        <f ca="1"/>
        <v>0</v>
      </c>
      <c r="P7" s="151">
        <f ca="1"/>
        <v>0</v>
      </c>
      <c r="Q7" s="145" t="str">
        <f ca="1"/>
        <v/>
      </c>
      <c r="R7" s="143" t="str">
        <f ca="1"/>
        <v/>
      </c>
      <c r="S7" s="143" t="str">
        <f ca="1"/>
        <v/>
      </c>
      <c r="T7" s="149" t="str">
        <f ca="1"/>
        <v/>
      </c>
    </row>
    <row r="8" spans="2:20">
      <c r="B8" s="118" t="s">
        <v>1714</v>
      </c>
      <c r="C8" s="128" t="s">
        <v>1580</v>
      </c>
      <c r="E8" s="139">
        <f ca="1"/>
        <v>42876</v>
      </c>
      <c r="F8" s="140">
        <f ca="1"/>
        <v>43060</v>
      </c>
      <c r="G8" s="143">
        <f ca="1"/>
        <v>0.5</v>
      </c>
      <c r="H8" s="143">
        <f ca="1"/>
        <v>43053</v>
      </c>
      <c r="I8" s="140">
        <f ca="1"/>
        <v>43060</v>
      </c>
      <c r="J8" s="140">
        <f ca="1"/>
        <v>1000000</v>
      </c>
      <c r="K8" s="145">
        <f ca="1"/>
        <v>0</v>
      </c>
      <c r="L8" s="145">
        <f ca="1"/>
        <v>1</v>
      </c>
      <c r="M8" s="143">
        <f ca="1"/>
        <v>2.2499999999999999E-2</v>
      </c>
      <c r="N8" s="147">
        <f ca="1"/>
        <v>11250</v>
      </c>
      <c r="O8" s="143">
        <f ca="1"/>
        <v>0</v>
      </c>
      <c r="P8" s="151">
        <f ca="1"/>
        <v>0</v>
      </c>
      <c r="Q8" s="145" t="str">
        <f ca="1"/>
        <v/>
      </c>
      <c r="R8" s="143" t="str">
        <f ca="1"/>
        <v/>
      </c>
      <c r="S8" s="143" t="str">
        <f ca="1"/>
        <v/>
      </c>
      <c r="T8" s="149" t="str">
        <f ca="1"/>
        <v/>
      </c>
    </row>
    <row r="9" spans="2:20">
      <c r="B9" s="118" t="s">
        <v>1715</v>
      </c>
      <c r="C9" s="128" t="s">
        <v>1696</v>
      </c>
      <c r="E9" s="139">
        <f ca="1"/>
        <v>43060</v>
      </c>
      <c r="F9" s="140">
        <f ca="1"/>
        <v>43241</v>
      </c>
      <c r="G9" s="143">
        <f ca="1"/>
        <v>0.5</v>
      </c>
      <c r="H9" s="143">
        <f ca="1"/>
        <v>43234</v>
      </c>
      <c r="I9" s="140">
        <f ca="1"/>
        <v>43241</v>
      </c>
      <c r="J9" s="140">
        <f ca="1"/>
        <v>1000000</v>
      </c>
      <c r="K9" s="145">
        <f ca="1"/>
        <v>0</v>
      </c>
      <c r="L9" s="145">
        <f ca="1"/>
        <v>1</v>
      </c>
      <c r="M9" s="143">
        <f ca="1"/>
        <v>2.2499999999999999E-2</v>
      </c>
      <c r="N9" s="147">
        <f ca="1"/>
        <v>11250</v>
      </c>
      <c r="O9" s="143">
        <f ca="1"/>
        <v>0.995059577520364</v>
      </c>
      <c r="P9" s="151">
        <f ca="1"/>
        <v>11194.420247104101</v>
      </c>
      <c r="Q9" s="145" t="str">
        <f ca="1"/>
        <v/>
      </c>
      <c r="R9" s="143" t="str">
        <f ca="1"/>
        <v/>
      </c>
      <c r="S9" s="143" t="str">
        <f ca="1"/>
        <v/>
      </c>
      <c r="T9" s="149" t="str">
        <f ca="1"/>
        <v/>
      </c>
    </row>
    <row r="10" spans="2:20">
      <c r="B10" s="118" t="s">
        <v>1</v>
      </c>
      <c r="C10" s="128" t="s">
        <v>1664</v>
      </c>
      <c r="E10" s="139">
        <f ca="1"/>
        <v>43241</v>
      </c>
      <c r="F10" s="140">
        <f ca="1"/>
        <v>43425</v>
      </c>
      <c r="G10" s="143">
        <f ca="1"/>
        <v>0.5</v>
      </c>
      <c r="H10" s="143">
        <f ca="1"/>
        <v>43418</v>
      </c>
      <c r="I10" s="140">
        <f ca="1"/>
        <v>43425</v>
      </c>
      <c r="J10" s="140">
        <f ca="1"/>
        <v>1000000</v>
      </c>
      <c r="K10" s="145">
        <f ca="1"/>
        <v>0</v>
      </c>
      <c r="L10" s="145">
        <f ca="1"/>
        <v>1</v>
      </c>
      <c r="M10" s="143">
        <f ca="1"/>
        <v>2.2499999999999999E-2</v>
      </c>
      <c r="N10" s="147">
        <f ca="1"/>
        <v>11250</v>
      </c>
      <c r="O10" s="143">
        <f ca="1"/>
        <v>0.98163573640784796</v>
      </c>
      <c r="P10" s="151">
        <f ca="1"/>
        <v>11043.4020345883</v>
      </c>
      <c r="Q10" s="145" t="str">
        <f ca="1"/>
        <v/>
      </c>
      <c r="R10" s="143" t="str">
        <f ca="1"/>
        <v/>
      </c>
      <c r="S10" s="143" t="str">
        <f ca="1"/>
        <v/>
      </c>
      <c r="T10" s="149" t="str">
        <f ca="1"/>
        <v/>
      </c>
    </row>
    <row r="11" spans="2:20">
      <c r="B11" s="118" t="s">
        <v>1716</v>
      </c>
      <c r="C11" s="128" t="s">
        <v>1695</v>
      </c>
      <c r="E11" s="139">
        <f ca="1"/>
        <v>43425</v>
      </c>
      <c r="F11" s="140">
        <f ca="1"/>
        <v>43606</v>
      </c>
      <c r="G11" s="143">
        <f ca="1"/>
        <v>0.5</v>
      </c>
      <c r="H11" s="143">
        <f ca="1"/>
        <v>43599</v>
      </c>
      <c r="I11" s="140">
        <f ca="1"/>
        <v>43606</v>
      </c>
      <c r="J11" s="140">
        <f ca="1"/>
        <v>1000000</v>
      </c>
      <c r="K11" s="145">
        <f ca="1"/>
        <v>0</v>
      </c>
      <c r="L11" s="145">
        <f ca="1"/>
        <v>1</v>
      </c>
      <c r="M11" s="143">
        <f ca="1"/>
        <v>2.2499999999999999E-2</v>
      </c>
      <c r="N11" s="147">
        <f ca="1"/>
        <v>11250</v>
      </c>
      <c r="O11" s="143">
        <f ca="1"/>
        <v>0.96839298948736297</v>
      </c>
      <c r="P11" s="151">
        <f ca="1"/>
        <v>10894.421131732801</v>
      </c>
      <c r="Q11" s="145" t="str">
        <f ca="1"/>
        <v/>
      </c>
      <c r="R11" s="143" t="str">
        <f ca="1"/>
        <v/>
      </c>
      <c r="S11" s="143" t="str">
        <f ca="1"/>
        <v/>
      </c>
      <c r="T11" s="149" t="str">
        <f ca="1"/>
        <v/>
      </c>
    </row>
    <row r="12" spans="2:20">
      <c r="B12" s="118" t="s">
        <v>1712</v>
      </c>
      <c r="C12" s="128" t="s">
        <v>1697</v>
      </c>
      <c r="E12" s="139">
        <f ca="1"/>
        <v>43606</v>
      </c>
      <c r="F12" s="140">
        <f ca="1"/>
        <v>43790</v>
      </c>
      <c r="G12" s="143">
        <f ca="1"/>
        <v>0.5</v>
      </c>
      <c r="H12" s="143">
        <f ca="1"/>
        <v>43783</v>
      </c>
      <c r="I12" s="140">
        <f ca="1"/>
        <v>43790</v>
      </c>
      <c r="J12" s="140">
        <f ca="1"/>
        <v>1000000</v>
      </c>
      <c r="K12" s="145">
        <f ca="1"/>
        <v>0</v>
      </c>
      <c r="L12" s="145">
        <f ca="1"/>
        <v>1</v>
      </c>
      <c r="M12" s="143">
        <f ca="1"/>
        <v>2.2499999999999999E-2</v>
      </c>
      <c r="N12" s="147">
        <f ca="1"/>
        <v>11250</v>
      </c>
      <c r="O12" s="143">
        <f ca="1"/>
        <v>0.95532889370955298</v>
      </c>
      <c r="P12" s="151">
        <f ca="1"/>
        <v>10747.4500542325</v>
      </c>
      <c r="Q12" s="145" t="str">
        <f ca="1"/>
        <v/>
      </c>
      <c r="R12" s="143" t="str">
        <f ca="1"/>
        <v/>
      </c>
      <c r="S12" s="143" t="str">
        <f ca="1"/>
        <v/>
      </c>
      <c r="T12" s="149" t="str">
        <f ca="1"/>
        <v/>
      </c>
    </row>
    <row r="13" spans="2:20">
      <c r="B13" s="118" t="s">
        <v>1717</v>
      </c>
      <c r="C13" s="128" t="b">
        <v>0</v>
      </c>
      <c r="E13" s="139">
        <f ca="1"/>
        <v>43790</v>
      </c>
      <c r="F13" s="140">
        <f ca="1"/>
        <v>43972</v>
      </c>
      <c r="G13" s="143">
        <f ca="1"/>
        <v>0.5</v>
      </c>
      <c r="H13" s="143">
        <f ca="1"/>
        <v>43965</v>
      </c>
      <c r="I13" s="140">
        <f ca="1"/>
        <v>43972</v>
      </c>
      <c r="J13" s="140">
        <f ca="1"/>
        <v>1000000</v>
      </c>
      <c r="K13" s="145">
        <f ca="1"/>
        <v>0</v>
      </c>
      <c r="L13" s="145">
        <f ca="1"/>
        <v>1</v>
      </c>
      <c r="M13" s="143">
        <f ca="1"/>
        <v>2.2499999999999999E-2</v>
      </c>
      <c r="N13" s="147">
        <f ca="1"/>
        <v>11250</v>
      </c>
      <c r="O13" s="143">
        <f ca="1"/>
        <v>0.94244103898299403</v>
      </c>
      <c r="P13" s="151">
        <f ca="1"/>
        <v>10602.4616885587</v>
      </c>
      <c r="Q13" s="145" t="str">
        <f ca="1"/>
        <v/>
      </c>
      <c r="R13" s="143" t="str">
        <f ca="1"/>
        <v/>
      </c>
      <c r="S13" s="143" t="str">
        <f ca="1"/>
        <v/>
      </c>
      <c r="T13" s="149" t="str">
        <f ca="1"/>
        <v/>
      </c>
    </row>
    <row r="14" spans="2:20">
      <c r="B14" s="118" t="s">
        <v>1718</v>
      </c>
      <c r="C14" s="128" t="s">
        <v>1709</v>
      </c>
      <c r="E14" s="139">
        <f ca="1"/>
        <v>43972</v>
      </c>
      <c r="F14" s="140">
        <f ca="1"/>
        <v>44156</v>
      </c>
      <c r="G14" s="143">
        <f ca="1"/>
        <v>0.5</v>
      </c>
      <c r="H14" s="143">
        <f ca="1"/>
        <v>44149</v>
      </c>
      <c r="I14" s="140">
        <f ca="1"/>
        <v>44156</v>
      </c>
      <c r="J14" s="140">
        <f ca="1"/>
        <v>1000000</v>
      </c>
      <c r="K14" s="145">
        <f ca="1"/>
        <v>0</v>
      </c>
      <c r="L14" s="145">
        <f ca="1"/>
        <v>1</v>
      </c>
      <c r="M14" s="143">
        <f ca="1"/>
        <v>2.2499999999999999E-2</v>
      </c>
      <c r="N14" s="147">
        <f ca="1"/>
        <v>11250</v>
      </c>
      <c r="O14" s="143">
        <f ca="1"/>
        <v>0.92972704772957704</v>
      </c>
      <c r="P14" s="151">
        <f ca="1"/>
        <v>10459.4292869577</v>
      </c>
      <c r="Q14" s="145" t="str">
        <f ca="1"/>
        <v/>
      </c>
      <c r="R14" s="143" t="str">
        <f ca="1"/>
        <v/>
      </c>
      <c r="S14" s="143" t="str">
        <f ca="1"/>
        <v/>
      </c>
      <c r="T14" s="149" t="str">
        <f ca="1"/>
        <v/>
      </c>
    </row>
    <row r="15" spans="2:20">
      <c r="B15" s="118" t="s">
        <v>1710</v>
      </c>
      <c r="C15" s="128" t="s">
        <v>1698</v>
      </c>
      <c r="E15" s="139">
        <f ca="1"/>
        <v>44156</v>
      </c>
      <c r="F15" s="140">
        <f ca="1"/>
        <v>44337</v>
      </c>
      <c r="G15" s="143">
        <f ca="1"/>
        <v>0.5</v>
      </c>
      <c r="H15" s="143">
        <f ca="1"/>
        <v>44330</v>
      </c>
      <c r="I15" s="140">
        <f ca="1"/>
        <v>44337</v>
      </c>
      <c r="J15" s="140">
        <f ca="1"/>
        <v>1000000</v>
      </c>
      <c r="K15" s="145">
        <f ca="1"/>
        <v>0</v>
      </c>
      <c r="L15" s="145">
        <f ca="1"/>
        <v>1</v>
      </c>
      <c r="M15" s="143">
        <f ca="1"/>
        <v>2.2499999999999999E-2</v>
      </c>
      <c r="N15" s="147">
        <f ca="1"/>
        <v>11250</v>
      </c>
      <c r="O15" s="143">
        <f ca="1"/>
        <v>0.91718457444588497</v>
      </c>
      <c r="P15" s="151">
        <f ca="1"/>
        <v>10318.326462516199</v>
      </c>
      <c r="Q15" s="145" t="str">
        <f ca="1"/>
        <v/>
      </c>
      <c r="R15" s="143" t="str">
        <f ca="1"/>
        <v/>
      </c>
      <c r="S15" s="143" t="str">
        <f ca="1"/>
        <v/>
      </c>
      <c r="T15" s="149" t="str">
        <f ca="1"/>
        <v/>
      </c>
    </row>
    <row r="16" spans="2:20">
      <c r="B16" s="118" t="s">
        <v>1729</v>
      </c>
      <c r="C16" s="129">
        <f>42509</f>
        <v>42509</v>
      </c>
      <c r="E16" s="139">
        <f ca="1"/>
        <v>44337</v>
      </c>
      <c r="F16" s="140">
        <f ca="1"/>
        <v>44521</v>
      </c>
      <c r="G16" s="143">
        <f ca="1"/>
        <v>0.5</v>
      </c>
      <c r="H16" s="143">
        <f ca="1"/>
        <v>44514</v>
      </c>
      <c r="I16" s="140">
        <f ca="1"/>
        <v>44521</v>
      </c>
      <c r="J16" s="140">
        <f ca="1"/>
        <v>1000000</v>
      </c>
      <c r="K16" s="145">
        <f ca="1"/>
        <v>0</v>
      </c>
      <c r="L16" s="145">
        <f ca="1"/>
        <v>1</v>
      </c>
      <c r="M16" s="143">
        <f ca="1"/>
        <v>2.2499999999999999E-2</v>
      </c>
      <c r="N16" s="147">
        <f ca="1"/>
        <v>11250</v>
      </c>
      <c r="O16" s="143">
        <f ca="1"/>
        <v>0.90481130527049203</v>
      </c>
      <c r="P16" s="151">
        <f ca="1"/>
        <v>10179.127184293</v>
      </c>
      <c r="Q16" s="145" t="str">
        <f ca="1"/>
        <v/>
      </c>
      <c r="R16" s="143" t="str">
        <f ca="1"/>
        <v/>
      </c>
      <c r="S16" s="143" t="str">
        <f ca="1"/>
        <v/>
      </c>
      <c r="T16" s="149" t="str">
        <f ca="1"/>
        <v/>
      </c>
    </row>
    <row r="17" spans="2:20">
      <c r="B17" s="118" t="s">
        <v>1711</v>
      </c>
      <c r="C17" s="128" t="s">
        <v>1694</v>
      </c>
      <c r="E17" s="139">
        <f ca="1"/>
        <v>44521</v>
      </c>
      <c r="F17" s="140">
        <f ca="1"/>
        <v>44702</v>
      </c>
      <c r="G17" s="143">
        <f ca="1"/>
        <v>0.5</v>
      </c>
      <c r="H17" s="143">
        <f ca="1"/>
        <v>44695</v>
      </c>
      <c r="I17" s="140">
        <f ca="1"/>
        <v>44702</v>
      </c>
      <c r="J17" s="140">
        <f ca="1"/>
        <v>1000000</v>
      </c>
      <c r="K17" s="145">
        <f ca="1"/>
        <v>0</v>
      </c>
      <c r="L17" s="145">
        <f ca="1"/>
        <v>1</v>
      </c>
      <c r="M17" s="143">
        <f ca="1"/>
        <v>2.2499999999999999E-2</v>
      </c>
      <c r="N17" s="147">
        <f ca="1"/>
        <v>11250</v>
      </c>
      <c r="O17" s="143">
        <f ca="1"/>
        <v>0.89260495755709501</v>
      </c>
      <c r="P17" s="151">
        <f ca="1"/>
        <v>10041.8057725173</v>
      </c>
      <c r="Q17" s="145" t="str">
        <f ca="1"/>
        <v/>
      </c>
      <c r="R17" s="143" t="str">
        <f ca="1"/>
        <v/>
      </c>
      <c r="S17" s="143" t="str">
        <f ca="1"/>
        <v/>
      </c>
      <c r="T17" s="149" t="str">
        <f ca="1"/>
        <v/>
      </c>
    </row>
    <row r="18" spans="2:20">
      <c r="B18" s="118" t="s">
        <v>1720</v>
      </c>
      <c r="C18" s="130">
        <f>1000000</f>
        <v>1000000</v>
      </c>
      <c r="E18" s="139">
        <f ca="1"/>
        <v>44702</v>
      </c>
      <c r="F18" s="140">
        <f ca="1"/>
        <v>44886</v>
      </c>
      <c r="G18" s="143">
        <f ca="1"/>
        <v>0.5</v>
      </c>
      <c r="H18" s="143">
        <f ca="1"/>
        <v>44879</v>
      </c>
      <c r="I18" s="140">
        <f ca="1"/>
        <v>44886</v>
      </c>
      <c r="J18" s="140">
        <f ca="1"/>
        <v>1000000</v>
      </c>
      <c r="K18" s="145">
        <f ca="1"/>
        <v>0</v>
      </c>
      <c r="L18" s="145">
        <f ca="1"/>
        <v>1</v>
      </c>
      <c r="M18" s="143">
        <f ca="1"/>
        <v>2.2499999999999999E-2</v>
      </c>
      <c r="N18" s="147">
        <f ca="1"/>
        <v>11250</v>
      </c>
      <c r="O18" s="143">
        <f ca="1"/>
        <v>0.88056327945340795</v>
      </c>
      <c r="P18" s="151">
        <f ca="1"/>
        <v>9906.3368938508393</v>
      </c>
      <c r="Q18" s="145" t="str">
        <f ca="1"/>
        <v/>
      </c>
      <c r="R18" s="143" t="str">
        <f ca="1"/>
        <v/>
      </c>
      <c r="S18" s="143" t="str">
        <f ca="1"/>
        <v/>
      </c>
      <c r="T18" s="149" t="str">
        <f ca="1"/>
        <v/>
      </c>
    </row>
    <row r="19" spans="2:20">
      <c r="B19" s="118" t="s">
        <v>1721</v>
      </c>
      <c r="C19" s="128" t="s">
        <v>1699</v>
      </c>
      <c r="E19" s="139">
        <f ca="1"/>
        <v>44886</v>
      </c>
      <c r="F19" s="140">
        <f ca="1"/>
        <v>45067</v>
      </c>
      <c r="G19" s="143">
        <f ca="1"/>
        <v>0.5</v>
      </c>
      <c r="H19" s="143">
        <f ca="1"/>
        <v>45060</v>
      </c>
      <c r="I19" s="140">
        <f ca="1"/>
        <v>45067</v>
      </c>
      <c r="J19" s="140">
        <f ca="1"/>
        <v>1000000</v>
      </c>
      <c r="K19" s="145">
        <f ca="1"/>
        <v>0</v>
      </c>
      <c r="L19" s="145">
        <f ca="1"/>
        <v>1</v>
      </c>
      <c r="M19" s="143">
        <f ca="1"/>
        <v>2.2499999999999999E-2</v>
      </c>
      <c r="N19" s="147">
        <f ca="1"/>
        <v>11250</v>
      </c>
      <c r="O19" s="143">
        <f ca="1"/>
        <v>0.86868404948573597</v>
      </c>
      <c r="P19" s="151">
        <f ca="1"/>
        <v>9772.6955567145305</v>
      </c>
      <c r="Q19" s="145" t="str">
        <f ca="1"/>
        <v/>
      </c>
      <c r="R19" s="143" t="str">
        <f ca="1"/>
        <v/>
      </c>
      <c r="S19" s="143" t="str">
        <f ca="1"/>
        <v/>
      </c>
      <c r="T19" s="149" t="str">
        <f ca="1"/>
        <v/>
      </c>
    </row>
    <row r="20" spans="2:20">
      <c r="B20" s="118" t="s">
        <v>1722</v>
      </c>
      <c r="C20" s="128" t="s">
        <v>1700</v>
      </c>
      <c r="E20" s="139">
        <f ca="1"/>
        <v>45067</v>
      </c>
      <c r="F20" s="140">
        <f ca="1"/>
        <v>45251</v>
      </c>
      <c r="G20" s="143">
        <f ca="1"/>
        <v>0.5</v>
      </c>
      <c r="H20" s="143">
        <f ca="1"/>
        <v>45244</v>
      </c>
      <c r="I20" s="140">
        <f ca="1"/>
        <v>45251</v>
      </c>
      <c r="J20" s="140">
        <f ca="1"/>
        <v>1000000</v>
      </c>
      <c r="K20" s="145">
        <f ca="1"/>
        <v>0</v>
      </c>
      <c r="L20" s="145">
        <f ca="1"/>
        <v>1</v>
      </c>
      <c r="M20" s="143">
        <f ca="1"/>
        <v>2.2499999999999999E-2</v>
      </c>
      <c r="N20" s="147">
        <f ca="1"/>
        <v>11250</v>
      </c>
      <c r="O20" s="143">
        <f ca="1"/>
        <v>0.85696507614915196</v>
      </c>
      <c r="P20" s="151">
        <f ca="1"/>
        <v>9640.8571066779496</v>
      </c>
      <c r="Q20" s="145" t="str">
        <f ca="1"/>
        <v/>
      </c>
      <c r="R20" s="143" t="str">
        <f ca="1"/>
        <v/>
      </c>
      <c r="S20" s="143" t="str">
        <f ca="1"/>
        <v/>
      </c>
      <c r="T20" s="149" t="str">
        <f ca="1"/>
        <v/>
      </c>
    </row>
    <row r="21" spans="2:20">
      <c r="B21" s="118" t="s">
        <v>1719</v>
      </c>
      <c r="C21" s="128" t="s">
        <v>1701</v>
      </c>
      <c r="E21" s="139">
        <f ca="1"/>
        <v>45251</v>
      </c>
      <c r="F21" s="140">
        <f ca="1"/>
        <v>45433</v>
      </c>
      <c r="G21" s="143">
        <f ca="1"/>
        <v>0.5</v>
      </c>
      <c r="H21" s="143">
        <f ca="1"/>
        <v>45426</v>
      </c>
      <c r="I21" s="140">
        <f ca="1"/>
        <v>45433</v>
      </c>
      <c r="J21" s="140">
        <f ca="1"/>
        <v>1000000</v>
      </c>
      <c r="K21" s="145">
        <f ca="1"/>
        <v>0</v>
      </c>
      <c r="L21" s="145">
        <f ca="1"/>
        <v>1</v>
      </c>
      <c r="M21" s="143">
        <f ca="1"/>
        <v>2.2499999999999999E-2</v>
      </c>
      <c r="N21" s="147">
        <f ca="1"/>
        <v>11250</v>
      </c>
      <c r="O21" s="143">
        <f ca="1"/>
        <v>0.84540419750320295</v>
      </c>
      <c r="P21" s="151">
        <f ca="1"/>
        <v>9510.7972219110306</v>
      </c>
      <c r="Q21" s="145" t="str">
        <f ca="1"/>
        <v/>
      </c>
      <c r="R21" s="143" t="str">
        <f ca="1"/>
        <v/>
      </c>
      <c r="S21" s="143" t="str">
        <f ca="1"/>
        <v/>
      </c>
      <c r="T21" s="149" t="str">
        <f ca="1"/>
        <v/>
      </c>
    </row>
    <row r="22" spans="2:20">
      <c r="B22" s="118" t="s">
        <v>1723</v>
      </c>
      <c r="C22" s="128" t="s">
        <v>1700</v>
      </c>
      <c r="E22" s="139">
        <f ca="1"/>
        <v>45433</v>
      </c>
      <c r="F22" s="140">
        <f ca="1"/>
        <v>45617</v>
      </c>
      <c r="G22" s="143">
        <f ca="1"/>
        <v>0.5</v>
      </c>
      <c r="H22" s="143">
        <f ca="1"/>
        <v>45610</v>
      </c>
      <c r="I22" s="140">
        <f ca="1"/>
        <v>45617</v>
      </c>
      <c r="J22" s="140">
        <f ca="1"/>
        <v>1000000</v>
      </c>
      <c r="K22" s="145">
        <f ca="1"/>
        <v>0</v>
      </c>
      <c r="L22" s="145">
        <f ca="1"/>
        <v>1</v>
      </c>
      <c r="M22" s="143">
        <f ca="1"/>
        <v>2.2499999999999999E-2</v>
      </c>
      <c r="N22" s="147">
        <f ca="1"/>
        <v>11250</v>
      </c>
      <c r="O22" s="143">
        <f ca="1"/>
        <v>0.83399928077307395</v>
      </c>
      <c r="P22" s="151">
        <f ca="1"/>
        <v>9382.4919086970804</v>
      </c>
      <c r="Q22" s="145" t="str">
        <f ca="1"/>
        <v/>
      </c>
      <c r="R22" s="143" t="str">
        <f ca="1"/>
        <v/>
      </c>
      <c r="S22" s="143" t="str">
        <f ca="1"/>
        <v/>
      </c>
      <c r="T22" s="149" t="str">
        <f ca="1"/>
        <v/>
      </c>
    </row>
    <row r="23" spans="2:20">
      <c r="B23" s="118" t="s">
        <v>1724</v>
      </c>
      <c r="C23" s="128" t="s">
        <v>1701</v>
      </c>
      <c r="E23" s="139">
        <f ca="1"/>
        <v>45617</v>
      </c>
      <c r="F23" s="140">
        <f ca="1"/>
        <v>45798</v>
      </c>
      <c r="G23" s="143">
        <f ca="1"/>
        <v>0.5</v>
      </c>
      <c r="H23" s="143">
        <f ca="1"/>
        <v>45791</v>
      </c>
      <c r="I23" s="140">
        <f ca="1"/>
        <v>45798</v>
      </c>
      <c r="J23" s="140">
        <f ca="1"/>
        <v>1000000</v>
      </c>
      <c r="K23" s="145">
        <f ca="1"/>
        <v>0</v>
      </c>
      <c r="L23" s="145">
        <f ca="1"/>
        <v>1</v>
      </c>
      <c r="M23" s="143">
        <f ca="1"/>
        <v>2.2499999999999999E-2</v>
      </c>
      <c r="N23" s="147">
        <f ca="1"/>
        <v>11250</v>
      </c>
      <c r="O23" s="143">
        <f ca="1"/>
        <v>0.82274822195612396</v>
      </c>
      <c r="P23" s="151">
        <f ca="1"/>
        <v>9255.9174970063905</v>
      </c>
      <c r="Q23" s="145" t="str">
        <f ca="1"/>
        <v/>
      </c>
      <c r="R23" s="143" t="str">
        <f ca="1"/>
        <v/>
      </c>
      <c r="S23" s="143" t="str">
        <f ca="1"/>
        <v/>
      </c>
      <c r="T23" s="149" t="str">
        <f ca="1"/>
        <v/>
      </c>
    </row>
    <row r="24" spans="2:20">
      <c r="B24" s="118" t="s">
        <v>1725</v>
      </c>
      <c r="C24" s="128" t="s">
        <v>1702</v>
      </c>
      <c r="E24" s="139">
        <f ca="1"/>
        <v>45798</v>
      </c>
      <c r="F24" s="140">
        <f ca="1"/>
        <v>45982</v>
      </c>
      <c r="G24" s="143">
        <f ca="1"/>
        <v>0.5</v>
      </c>
      <c r="H24" s="143">
        <f ca="1"/>
        <v>45975</v>
      </c>
      <c r="I24" s="140">
        <f ca="1"/>
        <v>45982</v>
      </c>
      <c r="J24" s="140">
        <f ca="1"/>
        <v>1000000</v>
      </c>
      <c r="K24" s="145">
        <f ca="1"/>
        <v>0</v>
      </c>
      <c r="L24" s="145">
        <f ca="1"/>
        <v>1</v>
      </c>
      <c r="M24" s="143">
        <f ca="1"/>
        <v>2.2499999999999999E-2</v>
      </c>
      <c r="N24" s="147">
        <f ca="1"/>
        <v>11250</v>
      </c>
      <c r="O24" s="143">
        <f ca="1"/>
        <v>0.811648945433741</v>
      </c>
      <c r="P24" s="151">
        <f ca="1"/>
        <v>9131.0506361295793</v>
      </c>
      <c r="Q24" s="145" t="str">
        <f ca="1"/>
        <v/>
      </c>
      <c r="R24" s="143" t="str">
        <f ca="1"/>
        <v/>
      </c>
      <c r="S24" s="143" t="str">
        <f ca="1"/>
        <v/>
      </c>
      <c r="T24" s="149" t="str">
        <f ca="1"/>
        <v/>
      </c>
    </row>
    <row r="25" spans="2:20">
      <c r="B25" s="118" t="s">
        <v>1726</v>
      </c>
      <c r="C25" s="128" t="s">
        <v>1704</v>
      </c>
      <c r="E25" s="139">
        <f ca="1"/>
        <v>45982</v>
      </c>
      <c r="F25" s="140">
        <f ca="1"/>
        <v>46163</v>
      </c>
      <c r="G25" s="143">
        <f ca="1"/>
        <v>0.5</v>
      </c>
      <c r="H25" s="143">
        <f ca="1"/>
        <v>46156</v>
      </c>
      <c r="I25" s="140">
        <f ca="1"/>
        <v>46163</v>
      </c>
      <c r="J25" s="140">
        <f ca="1"/>
        <v>1000000</v>
      </c>
      <c r="K25" s="145">
        <f ca="1"/>
        <v>0</v>
      </c>
      <c r="L25" s="145">
        <f ca="1"/>
        <v>1</v>
      </c>
      <c r="M25" s="143">
        <f ca="1"/>
        <v>2.2499999999999999E-2</v>
      </c>
      <c r="N25" s="147">
        <f ca="1"/>
        <v>11250</v>
      </c>
      <c r="O25" s="143">
        <f ca="1"/>
        <v>0.80069940358842195</v>
      </c>
      <c r="P25" s="151">
        <f ca="1"/>
        <v>9007.86829036975</v>
      </c>
      <c r="Q25" s="145" t="str">
        <f ca="1"/>
        <v/>
      </c>
      <c r="R25" s="143" t="str">
        <f ca="1"/>
        <v/>
      </c>
      <c r="S25" s="143" t="str">
        <f ca="1"/>
        <v/>
      </c>
      <c r="T25" s="149" t="str">
        <f ca="1"/>
        <v/>
      </c>
    </row>
    <row r="26" spans="2:20">
      <c r="B26" s="118" t="s">
        <v>1732</v>
      </c>
      <c r="C26" s="129">
        <f>42511</f>
        <v>42511</v>
      </c>
      <c r="E26" s="139">
        <f ca="1"/>
        <v>46163</v>
      </c>
      <c r="F26" s="140">
        <f ca="1"/>
        <v>46347</v>
      </c>
      <c r="G26" s="143">
        <f ca="1"/>
        <v>0.5</v>
      </c>
      <c r="H26" s="143">
        <f ca="1"/>
        <v>46340</v>
      </c>
      <c r="I26" s="140">
        <f ca="1"/>
        <v>46347</v>
      </c>
      <c r="J26" s="140">
        <f ca="1"/>
        <v>1000000</v>
      </c>
      <c r="K26" s="145">
        <f ca="1"/>
        <v>0</v>
      </c>
      <c r="L26" s="145">
        <f ca="1"/>
        <v>1</v>
      </c>
      <c r="M26" s="143">
        <f ca="1"/>
        <v>2.2499999999999999E-2</v>
      </c>
      <c r="N26" s="147">
        <f ca="1"/>
        <v>11250</v>
      </c>
      <c r="O26" s="143">
        <f ca="1"/>
        <v>0.78989757642602998</v>
      </c>
      <c r="P26" s="151">
        <f ca="1"/>
        <v>8886.3477347928401</v>
      </c>
      <c r="Q26" s="145" t="str">
        <f ca="1"/>
        <v/>
      </c>
      <c r="R26" s="143" t="str">
        <f ca="1"/>
        <v/>
      </c>
      <c r="S26" s="143" t="str">
        <f ca="1"/>
        <v/>
      </c>
      <c r="T26" s="149" t="str">
        <f ca="1"/>
        <v/>
      </c>
    </row>
    <row r="27" spans="2:20">
      <c r="B27" s="118" t="s">
        <v>1731</v>
      </c>
      <c r="C27" s="129">
        <f>46712</f>
        <v>46712</v>
      </c>
      <c r="E27" s="139">
        <f ca="1"/>
        <v>46347</v>
      </c>
      <c r="F27" s="140">
        <f ca="1"/>
        <v>46528</v>
      </c>
      <c r="G27" s="143">
        <f ca="1"/>
        <v>0.5</v>
      </c>
      <c r="H27" s="143">
        <f ca="1"/>
        <v>46521</v>
      </c>
      <c r="I27" s="140">
        <f ca="1"/>
        <v>46528</v>
      </c>
      <c r="J27" s="140">
        <f ca="1"/>
        <v>1000000</v>
      </c>
      <c r="K27" s="145">
        <f ca="1"/>
        <v>0</v>
      </c>
      <c r="L27" s="145">
        <f ca="1"/>
        <v>1</v>
      </c>
      <c r="M27" s="143">
        <f ca="1"/>
        <v>2.2499999999999999E-2</v>
      </c>
      <c r="N27" s="147">
        <f ca="1"/>
        <v>11250</v>
      </c>
      <c r="O27" s="143">
        <f ca="1"/>
        <v>0.77924147120313703</v>
      </c>
      <c r="P27" s="151">
        <f ca="1"/>
        <v>8766.4665510352897</v>
      </c>
      <c r="Q27" s="145" t="str">
        <f ca="1"/>
        <v/>
      </c>
      <c r="R27" s="143" t="str">
        <f ca="1"/>
        <v/>
      </c>
      <c r="S27" s="143" t="str">
        <f ca="1"/>
        <v/>
      </c>
      <c r="T27" s="149" t="str">
        <f ca="1"/>
        <v/>
      </c>
    </row>
    <row r="28" spans="2:20">
      <c r="B28" s="118" t="s">
        <v>1733</v>
      </c>
      <c r="C28" s="129">
        <f>46894</f>
        <v>46894</v>
      </c>
      <c r="E28" s="139">
        <f ca="1"/>
        <v>46528</v>
      </c>
      <c r="F28" s="140">
        <f ca="1"/>
        <v>46712</v>
      </c>
      <c r="G28" s="143">
        <f ca="1"/>
        <v>0.5</v>
      </c>
      <c r="H28" s="143">
        <f ca="1"/>
        <v>46705</v>
      </c>
      <c r="I28" s="140">
        <f ca="1"/>
        <v>46712</v>
      </c>
      <c r="J28" s="140">
        <f ca="1"/>
        <v>1000000</v>
      </c>
      <c r="K28" s="145">
        <f ca="1"/>
        <v>0</v>
      </c>
      <c r="L28" s="145">
        <f ca="1"/>
        <v>1</v>
      </c>
      <c r="M28" s="143">
        <f ca="1"/>
        <v>2.2499999999999999E-2</v>
      </c>
      <c r="N28" s="147">
        <f ca="1"/>
        <v>11250</v>
      </c>
      <c r="O28" s="143">
        <f ca="1"/>
        <v>0.76872912205939903</v>
      </c>
      <c r="P28" s="151">
        <f ca="1"/>
        <v>8648.2026231682394</v>
      </c>
      <c r="Q28" s="145" t="str">
        <f ca="1"/>
        <v/>
      </c>
      <c r="R28" s="143" t="str">
        <f ca="1"/>
        <v/>
      </c>
      <c r="S28" s="143" t="str">
        <f ca="1"/>
        <v/>
      </c>
      <c r="T28" s="149" t="str">
        <f ca="1"/>
        <v/>
      </c>
    </row>
    <row r="29" spans="2:20">
      <c r="B29" s="118" t="s">
        <v>1730</v>
      </c>
      <c r="C29" s="131">
        <f>0.0225</f>
        <v>2.2499999999999999E-2</v>
      </c>
      <c r="E29" s="139">
        <f ca="1"/>
        <v>46712</v>
      </c>
      <c r="F29" s="140">
        <f ca="1"/>
        <v>46894</v>
      </c>
      <c r="G29" s="143">
        <f ca="1"/>
        <v>0.5</v>
      </c>
      <c r="H29" s="143">
        <f ca="1"/>
        <v>46887</v>
      </c>
      <c r="I29" s="140">
        <f ca="1"/>
        <v>46894</v>
      </c>
      <c r="J29" s="140">
        <f ca="1"/>
        <v>1000000</v>
      </c>
      <c r="K29" s="145">
        <f ca="1"/>
        <v>1000000</v>
      </c>
      <c r="L29" s="145">
        <f ca="1"/>
        <v>1</v>
      </c>
      <c r="M29" s="143">
        <f ca="1"/>
        <v>2.2499999999999999E-2</v>
      </c>
      <c r="N29" s="147">
        <f ca="1"/>
        <v>1011250</v>
      </c>
      <c r="O29" s="143">
        <f ca="1"/>
        <v>0.758358589654892</v>
      </c>
      <c r="P29" s="151">
        <f ca="1"/>
        <v>766890.12378850998</v>
      </c>
      <c r="Q29" s="145" t="str">
        <f ca="1"/>
        <v/>
      </c>
      <c r="R29" s="143" t="str">
        <f ca="1"/>
        <v/>
      </c>
      <c r="S29" s="143" t="str">
        <f ca="1"/>
        <v/>
      </c>
      <c r="T29" s="149" t="str">
        <f ca="1"/>
        <v/>
      </c>
    </row>
    <row r="30" spans="2:20">
      <c r="B30" s="118" t="s">
        <v>1728</v>
      </c>
      <c r="C30" s="128" t="s">
        <v>333</v>
      </c>
      <c r="E30" s="139" t="str">
        <f ca="1"/>
        <v/>
      </c>
      <c r="F30" s="140" t="str">
        <f ca="1"/>
        <v/>
      </c>
      <c r="G30" s="143" t="str">
        <f ca="1"/>
        <v/>
      </c>
      <c r="H30" s="143" t="str">
        <f ca="1"/>
        <v/>
      </c>
      <c r="I30" s="140" t="str">
        <f ca="1"/>
        <v/>
      </c>
      <c r="J30" s="140" t="str">
        <f ca="1"/>
        <v/>
      </c>
      <c r="K30" s="145" t="str">
        <f ca="1"/>
        <v/>
      </c>
      <c r="L30" s="145" t="str">
        <f ca="1"/>
        <v/>
      </c>
      <c r="M30" s="143" t="str">
        <f ca="1"/>
        <v/>
      </c>
      <c r="N30" s="147" t="str">
        <f ca="1"/>
        <v/>
      </c>
      <c r="O30" s="143" t="str">
        <f ca="1"/>
        <v/>
      </c>
      <c r="P30" s="151" t="str">
        <f ca="1"/>
        <v/>
      </c>
      <c r="Q30" s="145" t="str">
        <f ca="1"/>
        <v/>
      </c>
      <c r="R30" s="143" t="str">
        <f ca="1"/>
        <v/>
      </c>
      <c r="S30" s="143" t="str">
        <f ca="1"/>
        <v/>
      </c>
      <c r="T30" s="149" t="str">
        <f ca="1"/>
        <v/>
      </c>
    </row>
    <row r="31" spans="2:20">
      <c r="B31" s="119" t="s">
        <v>1727</v>
      </c>
      <c r="C31" s="132" t="s">
        <v>1703</v>
      </c>
      <c r="E31" s="139" t="str">
        <f ca="1"/>
        <v/>
      </c>
      <c r="F31" s="140" t="str">
        <f ca="1"/>
        <v/>
      </c>
      <c r="G31" s="143" t="str">
        <f ca="1"/>
        <v/>
      </c>
      <c r="H31" s="143" t="str">
        <f ca="1"/>
        <v/>
      </c>
      <c r="I31" s="140" t="str">
        <f ca="1"/>
        <v/>
      </c>
      <c r="J31" s="140" t="str">
        <f ca="1"/>
        <v/>
      </c>
      <c r="K31" s="145" t="str">
        <f ca="1"/>
        <v/>
      </c>
      <c r="L31" s="145" t="str">
        <f ca="1"/>
        <v/>
      </c>
      <c r="M31" s="143" t="str">
        <f ca="1"/>
        <v/>
      </c>
      <c r="N31" s="147" t="str">
        <f ca="1"/>
        <v/>
      </c>
      <c r="O31" s="143" t="str">
        <f ca="1"/>
        <v/>
      </c>
      <c r="P31" s="151" t="str">
        <f ca="1"/>
        <v/>
      </c>
      <c r="Q31" s="145" t="str">
        <f ca="1"/>
        <v/>
      </c>
      <c r="R31" s="143" t="str">
        <f ca="1"/>
        <v/>
      </c>
      <c r="S31" s="143" t="str">
        <f ca="1"/>
        <v/>
      </c>
      <c r="T31" s="149" t="str">
        <f ca="1"/>
        <v/>
      </c>
    </row>
    <row r="32" spans="2:20">
      <c r="E32" s="139" t="str">
        <f ca="1"/>
        <v/>
      </c>
      <c r="F32" s="140" t="str">
        <f ca="1"/>
        <v/>
      </c>
      <c r="G32" s="143" t="str">
        <f ca="1"/>
        <v/>
      </c>
      <c r="H32" s="143" t="str">
        <f ca="1"/>
        <v/>
      </c>
      <c r="I32" s="140" t="str">
        <f ca="1"/>
        <v/>
      </c>
      <c r="J32" s="140" t="str">
        <f ca="1"/>
        <v/>
      </c>
      <c r="K32" s="145" t="str">
        <f ca="1"/>
        <v/>
      </c>
      <c r="L32" s="145" t="str">
        <f ca="1"/>
        <v/>
      </c>
      <c r="M32" s="143" t="str">
        <f ca="1"/>
        <v/>
      </c>
      <c r="N32" s="147" t="str">
        <f ca="1"/>
        <v/>
      </c>
      <c r="O32" s="143" t="str">
        <f ca="1"/>
        <v/>
      </c>
      <c r="P32" s="151" t="str">
        <f ca="1"/>
        <v/>
      </c>
      <c r="Q32" s="145" t="str">
        <f ca="1"/>
        <v/>
      </c>
      <c r="R32" s="143" t="str">
        <f ca="1"/>
        <v/>
      </c>
      <c r="S32" s="143" t="str">
        <f ca="1"/>
        <v/>
      </c>
      <c r="T32" s="149" t="str">
        <f ca="1"/>
        <v/>
      </c>
    </row>
    <row r="33" spans="2:20">
      <c r="B33" s="120" t="s">
        <v>1746</v>
      </c>
      <c r="E33" s="139" t="str">
        <f ca="1"/>
        <v/>
      </c>
      <c r="F33" s="140" t="str">
        <f ca="1"/>
        <v/>
      </c>
      <c r="G33" s="143" t="str">
        <f ca="1"/>
        <v/>
      </c>
      <c r="H33" s="143" t="str">
        <f ca="1"/>
        <v/>
      </c>
      <c r="I33" s="140" t="str">
        <f ca="1"/>
        <v/>
      </c>
      <c r="J33" s="140" t="str">
        <f ca="1"/>
        <v/>
      </c>
      <c r="K33" s="145" t="str">
        <f ca="1"/>
        <v/>
      </c>
      <c r="L33" s="145" t="str">
        <f ca="1"/>
        <v/>
      </c>
      <c r="M33" s="143" t="str">
        <f ca="1"/>
        <v/>
      </c>
      <c r="N33" s="147" t="str">
        <f ca="1"/>
        <v/>
      </c>
      <c r="O33" s="143" t="str">
        <f ca="1"/>
        <v/>
      </c>
      <c r="P33" s="151" t="str">
        <f ca="1"/>
        <v/>
      </c>
      <c r="Q33" s="145" t="str">
        <f ca="1"/>
        <v/>
      </c>
      <c r="R33" s="143" t="str">
        <f ca="1"/>
        <v/>
      </c>
      <c r="S33" s="143" t="str">
        <f ca="1"/>
        <v/>
      </c>
      <c r="T33" s="149" t="str">
        <f ca="1"/>
        <v/>
      </c>
    </row>
    <row r="34" spans="2:20">
      <c r="B34" s="117" t="s">
        <v>1742</v>
      </c>
      <c r="C34" s="133" t="s">
        <v>291</v>
      </c>
      <c r="E34" s="139" t="str">
        <f ca="1"/>
        <v/>
      </c>
      <c r="F34" s="140" t="str">
        <f ca="1"/>
        <v/>
      </c>
      <c r="G34" s="143" t="str">
        <f ca="1"/>
        <v/>
      </c>
      <c r="H34" s="143" t="str">
        <f ca="1"/>
        <v/>
      </c>
      <c r="I34" s="140" t="str">
        <f ca="1"/>
        <v/>
      </c>
      <c r="J34" s="140" t="str">
        <f ca="1"/>
        <v/>
      </c>
      <c r="K34" s="145" t="str">
        <f ca="1"/>
        <v/>
      </c>
      <c r="L34" s="145" t="str">
        <f ca="1"/>
        <v/>
      </c>
      <c r="M34" s="143" t="str">
        <f ca="1"/>
        <v/>
      </c>
      <c r="N34" s="147" t="str">
        <f ca="1"/>
        <v/>
      </c>
      <c r="O34" s="143" t="str">
        <f ca="1"/>
        <v/>
      </c>
      <c r="P34" s="151" t="str">
        <f ca="1"/>
        <v/>
      </c>
      <c r="Q34" s="145" t="str">
        <f ca="1"/>
        <v/>
      </c>
      <c r="R34" s="143" t="str">
        <f ca="1"/>
        <v/>
      </c>
      <c r="S34" s="143" t="str">
        <f ca="1"/>
        <v/>
      </c>
      <c r="T34" s="149" t="str">
        <f ca="1"/>
        <v/>
      </c>
    </row>
    <row r="35" spans="2:20">
      <c r="B35" s="118" t="s">
        <v>1739</v>
      </c>
      <c r="C35" s="134">
        <v>43175</v>
      </c>
      <c r="E35" s="139" t="str">
        <f ca="1"/>
        <v/>
      </c>
      <c r="F35" s="140" t="str">
        <f ca="1"/>
        <v/>
      </c>
      <c r="G35" s="143" t="str">
        <f ca="1"/>
        <v/>
      </c>
      <c r="H35" s="143" t="str">
        <f ca="1"/>
        <v/>
      </c>
      <c r="I35" s="140" t="str">
        <f ca="1"/>
        <v/>
      </c>
      <c r="J35" s="140" t="str">
        <f ca="1"/>
        <v/>
      </c>
      <c r="K35" s="145" t="str">
        <f ca="1"/>
        <v/>
      </c>
      <c r="L35" s="145" t="str">
        <f ca="1"/>
        <v/>
      </c>
      <c r="M35" s="143" t="str">
        <f ca="1"/>
        <v/>
      </c>
      <c r="N35" s="147" t="str">
        <f ca="1"/>
        <v/>
      </c>
      <c r="O35" s="143" t="str">
        <f ca="1"/>
        <v/>
      </c>
      <c r="P35" s="151" t="str">
        <f ca="1"/>
        <v/>
      </c>
      <c r="Q35" s="145" t="str">
        <f ca="1"/>
        <v/>
      </c>
      <c r="R35" s="143" t="str">
        <f ca="1"/>
        <v/>
      </c>
      <c r="S35" s="143" t="str">
        <f ca="1"/>
        <v/>
      </c>
      <c r="T35" s="149" t="str">
        <f ca="1"/>
        <v/>
      </c>
    </row>
    <row r="36" spans="2:20">
      <c r="B36" s="119" t="s">
        <v>1578</v>
      </c>
      <c r="C36" s="135">
        <v>2.73499438022482E-2</v>
      </c>
      <c r="E36" s="139" t="str">
        <f ca="1"/>
        <v/>
      </c>
      <c r="F36" s="140" t="str">
        <f ca="1"/>
        <v/>
      </c>
      <c r="G36" s="143" t="str">
        <f ca="1"/>
        <v/>
      </c>
      <c r="H36" s="143" t="str">
        <f ca="1"/>
        <v/>
      </c>
      <c r="I36" s="140" t="str">
        <f ca="1"/>
        <v/>
      </c>
      <c r="J36" s="140" t="str">
        <f ca="1"/>
        <v/>
      </c>
      <c r="K36" s="145" t="str">
        <f ca="1"/>
        <v/>
      </c>
      <c r="L36" s="145" t="str">
        <f ca="1"/>
        <v/>
      </c>
      <c r="M36" s="143" t="str">
        <f ca="1"/>
        <v/>
      </c>
      <c r="N36" s="147" t="str">
        <f ca="1"/>
        <v/>
      </c>
      <c r="O36" s="143" t="str">
        <f ca="1"/>
        <v/>
      </c>
      <c r="P36" s="151" t="str">
        <f ca="1"/>
        <v/>
      </c>
      <c r="Q36" s="145" t="str">
        <f ca="1"/>
        <v/>
      </c>
      <c r="R36" s="143" t="str">
        <f ca="1"/>
        <v/>
      </c>
      <c r="S36" s="143" t="str">
        <f ca="1"/>
        <v/>
      </c>
      <c r="T36" s="149" t="str">
        <f ca="1"/>
        <v/>
      </c>
    </row>
    <row r="37" spans="2:20">
      <c r="E37" s="139" t="str">
        <f ca="1"/>
        <v/>
      </c>
      <c r="F37" s="140" t="str">
        <f ca="1"/>
        <v/>
      </c>
      <c r="G37" s="143" t="str">
        <f ca="1"/>
        <v/>
      </c>
      <c r="H37" s="143" t="str">
        <f ca="1"/>
        <v/>
      </c>
      <c r="I37" s="140" t="str">
        <f ca="1"/>
        <v/>
      </c>
      <c r="J37" s="140" t="str">
        <f ca="1"/>
        <v/>
      </c>
      <c r="K37" s="145" t="str">
        <f ca="1"/>
        <v/>
      </c>
      <c r="L37" s="145" t="str">
        <f ca="1"/>
        <v/>
      </c>
      <c r="M37" s="143" t="str">
        <f ca="1"/>
        <v/>
      </c>
      <c r="N37" s="147" t="str">
        <f ca="1"/>
        <v/>
      </c>
      <c r="O37" s="143" t="str">
        <f ca="1"/>
        <v/>
      </c>
      <c r="P37" s="151" t="str">
        <f ca="1"/>
        <v/>
      </c>
      <c r="Q37" s="145" t="str">
        <f ca="1"/>
        <v/>
      </c>
      <c r="R37" s="143" t="str">
        <f ca="1"/>
        <v/>
      </c>
      <c r="S37" s="143" t="str">
        <f ca="1"/>
        <v/>
      </c>
      <c r="T37" s="149" t="str">
        <f ca="1"/>
        <v/>
      </c>
    </row>
    <row r="38" spans="2:20">
      <c r="B38" s="120" t="s">
        <v>1743</v>
      </c>
      <c r="E38" s="139" t="str">
        <f ca="1"/>
        <v/>
      </c>
      <c r="F38" s="140" t="str">
        <f ca="1"/>
        <v/>
      </c>
      <c r="G38" s="143" t="str">
        <f ca="1"/>
        <v/>
      </c>
      <c r="H38" s="143" t="str">
        <f ca="1"/>
        <v/>
      </c>
      <c r="I38" s="140" t="str">
        <f ca="1"/>
        <v/>
      </c>
      <c r="J38" s="140" t="str">
        <f ca="1"/>
        <v/>
      </c>
      <c r="K38" s="145" t="str">
        <f ca="1"/>
        <v/>
      </c>
      <c r="L38" s="145" t="str">
        <f ca="1"/>
        <v/>
      </c>
      <c r="M38" s="143" t="str">
        <f ca="1"/>
        <v/>
      </c>
      <c r="N38" s="147" t="str">
        <f ca="1"/>
        <v/>
      </c>
      <c r="O38" s="143" t="str">
        <f ca="1"/>
        <v/>
      </c>
      <c r="P38" s="151" t="str">
        <f ca="1"/>
        <v/>
      </c>
      <c r="Q38" s="145" t="str">
        <f ca="1"/>
        <v/>
      </c>
      <c r="R38" s="143" t="str">
        <f ca="1"/>
        <v/>
      </c>
      <c r="S38" s="143" t="str">
        <f ca="1"/>
        <v/>
      </c>
      <c r="T38" s="149" t="str">
        <f ca="1"/>
        <v/>
      </c>
    </row>
    <row r="39" spans="2:20">
      <c r="B39" s="117" t="s">
        <v>1737</v>
      </c>
      <c r="C39" s="121">
        <f ca="1">_xll.meLWOBondPrice($C$4,$C35,$C36)</f>
        <v>96.427999999999997</v>
      </c>
      <c r="E39" s="139" t="str">
        <f ca="1"/>
        <v/>
      </c>
      <c r="F39" s="140" t="str">
        <f ca="1"/>
        <v/>
      </c>
      <c r="G39" s="143" t="str">
        <f ca="1"/>
        <v/>
      </c>
      <c r="H39" s="143" t="str">
        <f ca="1"/>
        <v/>
      </c>
      <c r="I39" s="140" t="str">
        <f ca="1"/>
        <v/>
      </c>
      <c r="J39" s="140" t="str">
        <f ca="1"/>
        <v/>
      </c>
      <c r="K39" s="145" t="str">
        <f ca="1"/>
        <v/>
      </c>
      <c r="L39" s="145" t="str">
        <f ca="1"/>
        <v/>
      </c>
      <c r="M39" s="143" t="str">
        <f ca="1"/>
        <v/>
      </c>
      <c r="N39" s="147" t="str">
        <f ca="1"/>
        <v/>
      </c>
      <c r="O39" s="143" t="str">
        <f ca="1"/>
        <v/>
      </c>
      <c r="P39" s="151" t="str">
        <f ca="1"/>
        <v/>
      </c>
      <c r="Q39" s="145" t="str">
        <f ca="1"/>
        <v/>
      </c>
      <c r="R39" s="143" t="str">
        <f ca="1"/>
        <v/>
      </c>
      <c r="S39" s="143" t="str">
        <f ca="1"/>
        <v/>
      </c>
      <c r="T39" s="149" t="str">
        <f ca="1"/>
        <v/>
      </c>
    </row>
    <row r="40" spans="2:20">
      <c r="B40" s="118" t="s">
        <v>286</v>
      </c>
      <c r="C40" s="122">
        <f ca="1">_xll.meLWOBondCleanPrice($C$4,$C35,$C36)</f>
        <v>95.712999999999994</v>
      </c>
      <c r="E40" s="139" t="str">
        <f ca="1"/>
        <v/>
      </c>
      <c r="F40" s="140" t="str">
        <f ca="1"/>
        <v/>
      </c>
      <c r="G40" s="143" t="str">
        <f ca="1"/>
        <v/>
      </c>
      <c r="H40" s="143" t="str">
        <f ca="1"/>
        <v/>
      </c>
      <c r="I40" s="140" t="str">
        <f ca="1"/>
        <v/>
      </c>
      <c r="J40" s="140" t="str">
        <f ca="1"/>
        <v/>
      </c>
      <c r="K40" s="145" t="str">
        <f ca="1"/>
        <v/>
      </c>
      <c r="L40" s="145" t="str">
        <f ca="1"/>
        <v/>
      </c>
      <c r="M40" s="143" t="str">
        <f ca="1"/>
        <v/>
      </c>
      <c r="N40" s="147" t="str">
        <f ca="1"/>
        <v/>
      </c>
      <c r="O40" s="143" t="str">
        <f ca="1"/>
        <v/>
      </c>
      <c r="P40" s="151" t="str">
        <f ca="1"/>
        <v/>
      </c>
      <c r="Q40" s="145" t="str">
        <f ca="1"/>
        <v/>
      </c>
      <c r="R40" s="143" t="str">
        <f ca="1"/>
        <v/>
      </c>
      <c r="S40" s="143" t="str">
        <f ca="1"/>
        <v/>
      </c>
      <c r="T40" s="149" t="str">
        <f ca="1"/>
        <v/>
      </c>
    </row>
    <row r="41" spans="2:20">
      <c r="B41" s="118" t="s">
        <v>1577</v>
      </c>
      <c r="C41" s="122">
        <f ca="1">_xll.meLWOBondDirtyPrice($C$4,$C35,$C36)</f>
        <v>96.427999999999997</v>
      </c>
      <c r="E41" s="139" t="str">
        <f ca="1"/>
        <v/>
      </c>
      <c r="F41" s="140" t="str">
        <f ca="1"/>
        <v/>
      </c>
      <c r="G41" s="143" t="str">
        <f ca="1"/>
        <v/>
      </c>
      <c r="H41" s="143" t="str">
        <f ca="1"/>
        <v/>
      </c>
      <c r="I41" s="140" t="str">
        <f ca="1"/>
        <v/>
      </c>
      <c r="J41" s="140" t="str">
        <f ca="1"/>
        <v/>
      </c>
      <c r="K41" s="145" t="str">
        <f ca="1"/>
        <v/>
      </c>
      <c r="L41" s="145" t="str">
        <f ca="1"/>
        <v/>
      </c>
      <c r="M41" s="143" t="str">
        <f ca="1"/>
        <v/>
      </c>
      <c r="N41" s="147" t="str">
        <f ca="1"/>
        <v/>
      </c>
      <c r="O41" s="143" t="str">
        <f ca="1"/>
        <v/>
      </c>
      <c r="P41" s="151" t="str">
        <f ca="1"/>
        <v/>
      </c>
      <c r="Q41" s="145" t="str">
        <f ca="1"/>
        <v/>
      </c>
      <c r="R41" s="143" t="str">
        <f ca="1"/>
        <v/>
      </c>
      <c r="S41" s="143" t="str">
        <f ca="1"/>
        <v/>
      </c>
      <c r="T41" s="149" t="str">
        <f ca="1"/>
        <v/>
      </c>
    </row>
    <row r="42" spans="2:20">
      <c r="B42" s="118" t="s">
        <v>1740</v>
      </c>
      <c r="C42" s="122">
        <f ca="1">_xll.meLWOBondAccruedInterestDays($C$4,$C35)</f>
        <v>115</v>
      </c>
      <c r="E42" s="139" t="str">
        <f ca="1"/>
        <v/>
      </c>
      <c r="F42" s="140" t="str">
        <f ca="1"/>
        <v/>
      </c>
      <c r="G42" s="143" t="str">
        <f ca="1"/>
        <v/>
      </c>
      <c r="H42" s="143" t="str">
        <f ca="1"/>
        <v/>
      </c>
      <c r="I42" s="140" t="str">
        <f ca="1"/>
        <v/>
      </c>
      <c r="J42" s="140" t="str">
        <f ca="1"/>
        <v/>
      </c>
      <c r="K42" s="145" t="str">
        <f ca="1"/>
        <v/>
      </c>
      <c r="L42" s="145" t="str">
        <f ca="1"/>
        <v/>
      </c>
      <c r="M42" s="143" t="str">
        <f ca="1"/>
        <v/>
      </c>
      <c r="N42" s="147" t="str">
        <f ca="1"/>
        <v/>
      </c>
      <c r="O42" s="143" t="str">
        <f ca="1"/>
        <v/>
      </c>
      <c r="P42" s="151" t="str">
        <f ca="1"/>
        <v/>
      </c>
      <c r="Q42" s="145" t="str">
        <f ca="1"/>
        <v/>
      </c>
      <c r="R42" s="143" t="str">
        <f ca="1"/>
        <v/>
      </c>
      <c r="S42" s="143" t="str">
        <f ca="1"/>
        <v/>
      </c>
      <c r="T42" s="149" t="str">
        <f ca="1"/>
        <v/>
      </c>
    </row>
    <row r="43" spans="2:20">
      <c r="B43" s="118" t="s">
        <v>1738</v>
      </c>
      <c r="C43" s="123">
        <f ca="1">_xll.meLWOBondAccruedInterest($C$4,$C35)</f>
        <v>7150</v>
      </c>
      <c r="E43" s="139" t="str">
        <f ca="1"/>
        <v/>
      </c>
      <c r="F43" s="140" t="str">
        <f ca="1"/>
        <v/>
      </c>
      <c r="G43" s="143" t="str">
        <f ca="1"/>
        <v/>
      </c>
      <c r="H43" s="143" t="str">
        <f ca="1"/>
        <v/>
      </c>
      <c r="I43" s="140" t="str">
        <f ca="1"/>
        <v/>
      </c>
      <c r="J43" s="140" t="str">
        <f ca="1"/>
        <v/>
      </c>
      <c r="K43" s="145" t="str">
        <f ca="1"/>
        <v/>
      </c>
      <c r="L43" s="145" t="str">
        <f ca="1"/>
        <v/>
      </c>
      <c r="M43" s="143" t="str">
        <f ca="1"/>
        <v/>
      </c>
      <c r="N43" s="147" t="str">
        <f ca="1"/>
        <v/>
      </c>
      <c r="O43" s="143" t="str">
        <f ca="1"/>
        <v/>
      </c>
      <c r="P43" s="151" t="str">
        <f ca="1"/>
        <v/>
      </c>
      <c r="Q43" s="145" t="str">
        <f ca="1"/>
        <v/>
      </c>
      <c r="R43" s="143" t="str">
        <f ca="1"/>
        <v/>
      </c>
      <c r="S43" s="143" t="str">
        <f ca="1"/>
        <v/>
      </c>
      <c r="T43" s="149" t="str">
        <f ca="1"/>
        <v/>
      </c>
    </row>
    <row r="44" spans="2:20">
      <c r="B44" s="118" t="s">
        <v>1578</v>
      </c>
      <c r="C44" s="124">
        <f ca="1">_xll.meLWOBondYield($C$4,$C35,$C39)</f>
        <v>2.7349943764129834E-2</v>
      </c>
      <c r="E44" s="139" t="str">
        <f ca="1"/>
        <v/>
      </c>
      <c r="F44" s="140" t="str">
        <f ca="1"/>
        <v/>
      </c>
      <c r="G44" s="143" t="str">
        <f ca="1"/>
        <v/>
      </c>
      <c r="H44" s="143" t="str">
        <f ca="1"/>
        <v/>
      </c>
      <c r="I44" s="140" t="str">
        <f ca="1"/>
        <v/>
      </c>
      <c r="J44" s="140" t="str">
        <f ca="1"/>
        <v/>
      </c>
      <c r="K44" s="145" t="str">
        <f ca="1"/>
        <v/>
      </c>
      <c r="L44" s="145" t="str">
        <f ca="1"/>
        <v/>
      </c>
      <c r="M44" s="143" t="str">
        <f ca="1"/>
        <v/>
      </c>
      <c r="N44" s="147" t="str">
        <f ca="1"/>
        <v/>
      </c>
      <c r="O44" s="143" t="str">
        <f ca="1"/>
        <v/>
      </c>
      <c r="P44" s="151" t="str">
        <f ca="1"/>
        <v/>
      </c>
      <c r="Q44" s="145" t="str">
        <f ca="1"/>
        <v/>
      </c>
      <c r="R44" s="143" t="str">
        <f ca="1"/>
        <v/>
      </c>
      <c r="S44" s="143" t="str">
        <f ca="1"/>
        <v/>
      </c>
      <c r="T44" s="149" t="str">
        <f ca="1"/>
        <v/>
      </c>
    </row>
    <row r="45" spans="2:20">
      <c r="B45" s="118" t="s">
        <v>1741</v>
      </c>
      <c r="C45" s="124">
        <f ca="1">_xll.meLWOBondModifiedDuration($C$4,$C35,$C36)</f>
        <v>8.9392261881864936</v>
      </c>
      <c r="E45" s="139" t="str">
        <f ca="1"/>
        <v/>
      </c>
      <c r="F45" s="140" t="str">
        <f ca="1"/>
        <v/>
      </c>
      <c r="G45" s="143" t="str">
        <f ca="1"/>
        <v/>
      </c>
      <c r="H45" s="143" t="str">
        <f ca="1"/>
        <v/>
      </c>
      <c r="I45" s="140" t="str">
        <f ca="1"/>
        <v/>
      </c>
      <c r="J45" s="140" t="str">
        <f ca="1"/>
        <v/>
      </c>
      <c r="K45" s="145" t="str">
        <f ca="1"/>
        <v/>
      </c>
      <c r="L45" s="145" t="str">
        <f ca="1"/>
        <v/>
      </c>
      <c r="M45" s="143" t="str">
        <f ca="1"/>
        <v/>
      </c>
      <c r="N45" s="147" t="str">
        <f ca="1"/>
        <v/>
      </c>
      <c r="O45" s="143" t="str">
        <f ca="1"/>
        <v/>
      </c>
      <c r="P45" s="151" t="str">
        <f ca="1"/>
        <v/>
      </c>
      <c r="Q45" s="145" t="str">
        <f ca="1"/>
        <v/>
      </c>
      <c r="R45" s="143" t="str">
        <f ca="1"/>
        <v/>
      </c>
      <c r="S45" s="143" t="str">
        <f ca="1"/>
        <v/>
      </c>
      <c r="T45" s="149" t="str">
        <f ca="1"/>
        <v/>
      </c>
    </row>
    <row r="46" spans="2:20">
      <c r="B46" s="119" t="s">
        <v>23</v>
      </c>
      <c r="C46" s="125">
        <f ca="1">_xll.meLWOBondDV01($C$4,$C35,$C36)</f>
        <v>861.99170287444724</v>
      </c>
      <c r="E46" s="141" t="str">
        <f ca="1"/>
        <v/>
      </c>
      <c r="F46" s="142" t="str">
        <f ca="1"/>
        <v/>
      </c>
      <c r="G46" s="144" t="str">
        <f ca="1"/>
        <v/>
      </c>
      <c r="H46" s="144" t="str">
        <f ca="1"/>
        <v/>
      </c>
      <c r="I46" s="142" t="str">
        <f ca="1"/>
        <v/>
      </c>
      <c r="J46" s="142" t="str">
        <f ca="1"/>
        <v/>
      </c>
      <c r="K46" s="146" t="str">
        <f ca="1"/>
        <v/>
      </c>
      <c r="L46" s="146" t="str">
        <f ca="1"/>
        <v/>
      </c>
      <c r="M46" s="144" t="str">
        <f ca="1"/>
        <v/>
      </c>
      <c r="N46" s="148" t="str">
        <f ca="1"/>
        <v/>
      </c>
      <c r="O46" s="144" t="str">
        <f ca="1"/>
        <v/>
      </c>
      <c r="P46" s="152" t="str">
        <f ca="1"/>
        <v/>
      </c>
      <c r="Q46" s="146" t="str">
        <f ca="1"/>
        <v/>
      </c>
      <c r="R46" s="144" t="str">
        <f ca="1"/>
        <v/>
      </c>
      <c r="S46" s="144" t="str">
        <f ca="1"/>
        <v/>
      </c>
      <c r="T46" s="150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US_TREASURY_TYPE1</vt:lpstr>
      <vt:lpstr>GERMAN_BUND_TYPE60</vt:lpstr>
      <vt:lpstr>JAPAN_JGB_TYPE51</vt:lpstr>
      <vt:lpstr>FRENCH_BTAN_TYPE89</vt:lpstr>
      <vt:lpstr>ITALIAN_BTPS_TYPE523</vt:lpstr>
      <vt:lpstr>AUSTRALIAN_GOVT_TYPE23</vt:lpstr>
      <vt:lpstr>UK_GILT_TYPE26</vt:lpstr>
      <vt:lpstr>BESPOKE BONDS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2018-02-01T10:34:55Z</dcterms:created>
  <dcterms:modified xsi:type="dcterms:W3CDTF">2018-10-15T12:54:16Z</dcterms:modified>
</cp:coreProperties>
</file>