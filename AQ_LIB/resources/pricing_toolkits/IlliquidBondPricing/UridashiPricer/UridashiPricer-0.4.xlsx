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LIB\MLIBQ_DEV1\resource\pricing_toolkits\IlliquidBondPricing\UridashiPricer\"/>
    </mc:Choice>
  </mc:AlternateContent>
  <bookViews>
    <workbookView xWindow="480" yWindow="210" windowWidth="27795" windowHeight="13680" activeTab="4"/>
  </bookViews>
  <sheets>
    <sheet name="SETTINGS" sheetId="4" r:id="rId1"/>
    <sheet name="USD-BONDS" sheetId="8" state="hidden" r:id="rId2"/>
    <sheet name="AUD-BONDS" sheetId="10" state="hidden" r:id="rId3"/>
    <sheet name="EXAMPLE-ASW-PX" sheetId="6" r:id="rId4"/>
    <sheet name="EXAMPLE-XCCY-ASW-PX" sheetId="5" r:id="rId5"/>
    <sheet name="AUD-URIDASHI-PX" sheetId="11" state="hidden" r:id="rId6"/>
    <sheet name="EXAMPLE-BOND-ANALYSIS" sheetId="7" state="hidden" r:id="rId7"/>
  </sheets>
  <externalReferences>
    <externalReference r:id="rId8"/>
  </externalReferences>
  <definedNames>
    <definedName name="COB">[1]Settings!$C$2</definedName>
    <definedName name="Settings.COB">SETTINGS!$B$3</definedName>
    <definedName name="Settings.FrequencyLookupTable">[1]Settings!$B$206:$C$210</definedName>
  </definedNames>
  <calcPr calcId="162913" calcMode="manual" calcCompleted="0" calcOnSave="0" concurrentCalc="0"/>
</workbook>
</file>

<file path=xl/calcChain.xml><?xml version="1.0" encoding="utf-8"?>
<calcChain xmlns="http://schemas.openxmlformats.org/spreadsheetml/2006/main">
  <c r="CD4" i="11" l="1"/>
  <c r="CA4" i="11"/>
  <c r="B8" i="11"/>
  <c r="CI8" i="11"/>
  <c r="O8" i="11"/>
  <c r="U8" i="11"/>
  <c r="V8" i="11"/>
  <c r="W8" i="11"/>
  <c r="AY8" i="11"/>
  <c r="BB8" i="11"/>
  <c r="BC8" i="11"/>
  <c r="X8" i="11"/>
  <c r="D8" i="11"/>
  <c r="C8" i="11"/>
  <c r="D4" i="11"/>
  <c r="K5" i="11"/>
  <c r="E8" i="11"/>
  <c r="CK8" i="11"/>
  <c r="CL8" i="11"/>
  <c r="DE8" i="11"/>
  <c r="DO8" i="11"/>
  <c r="DR8" i="11"/>
  <c r="DS8" i="11"/>
  <c r="CM8" i="11"/>
  <c r="BU8" i="11"/>
  <c r="CA5" i="11"/>
  <c r="CA6" i="11"/>
  <c r="BV8" i="11"/>
  <c r="B9" i="11"/>
  <c r="CI9" i="11"/>
  <c r="O9" i="11"/>
  <c r="U9" i="11"/>
  <c r="V9" i="11"/>
  <c r="W9" i="11"/>
  <c r="AY9" i="11"/>
  <c r="BB9" i="11"/>
  <c r="BC9" i="11"/>
  <c r="X9" i="11"/>
  <c r="D9" i="11"/>
  <c r="C9" i="11"/>
  <c r="E9" i="11"/>
  <c r="CK9" i="11"/>
  <c r="CL9" i="11"/>
  <c r="DE9" i="11"/>
  <c r="DO9" i="11"/>
  <c r="DR9" i="11"/>
  <c r="DS9" i="11"/>
  <c r="CM9" i="11"/>
  <c r="BU9" i="11"/>
  <c r="BV9" i="11"/>
  <c r="B10" i="11"/>
  <c r="CI10" i="11"/>
  <c r="O10" i="11"/>
  <c r="U10" i="11"/>
  <c r="V10" i="11"/>
  <c r="W10" i="11"/>
  <c r="AY10" i="11"/>
  <c r="BB10" i="11"/>
  <c r="BC10" i="11"/>
  <c r="X10" i="11"/>
  <c r="D10" i="11"/>
  <c r="C10" i="11"/>
  <c r="E10" i="11"/>
  <c r="CK10" i="11"/>
  <c r="CL10" i="11"/>
  <c r="DE10" i="11"/>
  <c r="DO10" i="11"/>
  <c r="DR10" i="11"/>
  <c r="DS10" i="11"/>
  <c r="CM10" i="11"/>
  <c r="BU10" i="11"/>
  <c r="BV10" i="11"/>
  <c r="B11" i="11"/>
  <c r="CI11" i="11"/>
  <c r="O11" i="11"/>
  <c r="U11" i="11"/>
  <c r="V11" i="11"/>
  <c r="W11" i="11"/>
  <c r="AY11" i="11"/>
  <c r="BB11" i="11"/>
  <c r="BC11" i="11"/>
  <c r="X11" i="11"/>
  <c r="D11" i="11"/>
  <c r="C11" i="11"/>
  <c r="E11" i="11"/>
  <c r="CK11" i="11"/>
  <c r="CL11" i="11"/>
  <c r="DE11" i="11"/>
  <c r="DO11" i="11"/>
  <c r="DR11" i="11"/>
  <c r="DS11" i="11"/>
  <c r="CM11" i="11"/>
  <c r="BU11" i="11"/>
  <c r="BV11" i="11"/>
  <c r="B12" i="11"/>
  <c r="CI12" i="11"/>
  <c r="O12" i="11"/>
  <c r="U12" i="11"/>
  <c r="V12" i="11"/>
  <c r="W12" i="11"/>
  <c r="AY12" i="11"/>
  <c r="BB12" i="11"/>
  <c r="BC12" i="11"/>
  <c r="X12" i="11"/>
  <c r="D12" i="11"/>
  <c r="C12" i="11"/>
  <c r="E12" i="11"/>
  <c r="CK12" i="11"/>
  <c r="CL12" i="11"/>
  <c r="DE12" i="11"/>
  <c r="DO12" i="11"/>
  <c r="DR12" i="11"/>
  <c r="DS12" i="11"/>
  <c r="CM12" i="11"/>
  <c r="BU12" i="11"/>
  <c r="BV12" i="11"/>
  <c r="B13" i="11"/>
  <c r="CI13" i="11"/>
  <c r="O13" i="11"/>
  <c r="U13" i="11"/>
  <c r="V13" i="11"/>
  <c r="W13" i="11"/>
  <c r="AY13" i="11"/>
  <c r="BB13" i="11"/>
  <c r="BC13" i="11"/>
  <c r="X13" i="11"/>
  <c r="D13" i="11"/>
  <c r="C13" i="11"/>
  <c r="E13" i="11"/>
  <c r="CK13" i="11"/>
  <c r="CL13" i="11"/>
  <c r="DE13" i="11"/>
  <c r="DO13" i="11"/>
  <c r="DR13" i="11"/>
  <c r="DS13" i="11"/>
  <c r="CM13" i="11"/>
  <c r="BU13" i="11"/>
  <c r="BV13" i="11"/>
  <c r="B14" i="11"/>
  <c r="CI14" i="11"/>
  <c r="O14" i="11"/>
  <c r="U14" i="11"/>
  <c r="V14" i="11"/>
  <c r="W14" i="11"/>
  <c r="AY14" i="11"/>
  <c r="BB14" i="11"/>
  <c r="BC14" i="11"/>
  <c r="X14" i="11"/>
  <c r="D14" i="11"/>
  <c r="C14" i="11"/>
  <c r="E14" i="11"/>
  <c r="CK14" i="11"/>
  <c r="CL14" i="11"/>
  <c r="DE14" i="11"/>
  <c r="DO14" i="11"/>
  <c r="DR14" i="11"/>
  <c r="DS14" i="11"/>
  <c r="CM14" i="11"/>
  <c r="BU14" i="11"/>
  <c r="BV14" i="11"/>
  <c r="B15" i="11"/>
  <c r="CI15" i="11"/>
  <c r="O15" i="11"/>
  <c r="U15" i="11"/>
  <c r="V15" i="11"/>
  <c r="W15" i="11"/>
  <c r="AY15" i="11"/>
  <c r="BB15" i="11"/>
  <c r="BC15" i="11"/>
  <c r="X15" i="11"/>
  <c r="D15" i="11"/>
  <c r="C15" i="11"/>
  <c r="E15" i="11"/>
  <c r="CK15" i="11"/>
  <c r="CL15" i="11"/>
  <c r="DE15" i="11"/>
  <c r="DO15" i="11"/>
  <c r="DR15" i="11"/>
  <c r="DS15" i="11"/>
  <c r="CM15" i="11"/>
  <c r="BU15" i="11"/>
  <c r="BV15" i="11"/>
  <c r="B16" i="11"/>
  <c r="CI16" i="11"/>
  <c r="O16" i="11"/>
  <c r="U16" i="11"/>
  <c r="V16" i="11"/>
  <c r="W16" i="11"/>
  <c r="AY16" i="11"/>
  <c r="BB16" i="11"/>
  <c r="BC16" i="11"/>
  <c r="X16" i="11"/>
  <c r="D16" i="11"/>
  <c r="C16" i="11"/>
  <c r="E16" i="11"/>
  <c r="CK16" i="11"/>
  <c r="CL16" i="11"/>
  <c r="DE16" i="11"/>
  <c r="DO16" i="11"/>
  <c r="DR16" i="11"/>
  <c r="DS16" i="11"/>
  <c r="CM16" i="11"/>
  <c r="BU16" i="11"/>
  <c r="BV16" i="11"/>
  <c r="B17" i="11"/>
  <c r="CI17" i="11"/>
  <c r="O17" i="11"/>
  <c r="U17" i="11"/>
  <c r="V17" i="11"/>
  <c r="W17" i="11"/>
  <c r="AY17" i="11"/>
  <c r="BB17" i="11"/>
  <c r="BC17" i="11"/>
  <c r="X17" i="11"/>
  <c r="D17" i="11"/>
  <c r="C17" i="11"/>
  <c r="E17" i="11"/>
  <c r="CK17" i="11"/>
  <c r="CL17" i="11"/>
  <c r="DE17" i="11"/>
  <c r="DO17" i="11"/>
  <c r="DR17" i="11"/>
  <c r="DS17" i="11"/>
  <c r="CM17" i="11"/>
  <c r="BU17" i="11"/>
  <c r="BV17" i="11"/>
  <c r="B18" i="11"/>
  <c r="CI18" i="11"/>
  <c r="O18" i="11"/>
  <c r="U18" i="11"/>
  <c r="V18" i="11"/>
  <c r="W18" i="11"/>
  <c r="AY18" i="11"/>
  <c r="BB18" i="11"/>
  <c r="BC18" i="11"/>
  <c r="X18" i="11"/>
  <c r="D18" i="11"/>
  <c r="C18" i="11"/>
  <c r="E18" i="11"/>
  <c r="CK18" i="11"/>
  <c r="CL18" i="11"/>
  <c r="DE18" i="11"/>
  <c r="DO18" i="11"/>
  <c r="DR18" i="11"/>
  <c r="DS18" i="11"/>
  <c r="CM18" i="11"/>
  <c r="BU18" i="11"/>
  <c r="BV18" i="11"/>
  <c r="B19" i="11"/>
  <c r="CI19" i="11"/>
  <c r="O19" i="11"/>
  <c r="U19" i="11"/>
  <c r="V19" i="11"/>
  <c r="W19" i="11"/>
  <c r="AY19" i="11"/>
  <c r="BB19" i="11"/>
  <c r="BC19" i="11"/>
  <c r="X19" i="11"/>
  <c r="D19" i="11"/>
  <c r="C19" i="11"/>
  <c r="E19" i="11"/>
  <c r="CK19" i="11"/>
  <c r="CL19" i="11"/>
  <c r="DE19" i="11"/>
  <c r="DO19" i="11"/>
  <c r="DR19" i="11"/>
  <c r="DS19" i="11"/>
  <c r="CM19" i="11"/>
  <c r="BU19" i="11"/>
  <c r="BV19" i="11"/>
  <c r="B20" i="11"/>
  <c r="CI20" i="11"/>
  <c r="O20" i="11"/>
  <c r="U20" i="11"/>
  <c r="V20" i="11"/>
  <c r="W20" i="11"/>
  <c r="AY20" i="11"/>
  <c r="BB20" i="11"/>
  <c r="BC20" i="11"/>
  <c r="X20" i="11"/>
  <c r="D20" i="11"/>
  <c r="C20" i="11"/>
  <c r="E20" i="11"/>
  <c r="CK20" i="11"/>
  <c r="CL20" i="11"/>
  <c r="DE20" i="11"/>
  <c r="DO20" i="11"/>
  <c r="DR20" i="11"/>
  <c r="DS20" i="11"/>
  <c r="CM20" i="11"/>
  <c r="BU20" i="11"/>
  <c r="BV20" i="11"/>
  <c r="B21" i="11"/>
  <c r="CI21" i="11"/>
  <c r="O21" i="11"/>
  <c r="U21" i="11"/>
  <c r="V21" i="11"/>
  <c r="W21" i="11"/>
  <c r="AY21" i="11"/>
  <c r="BB21" i="11"/>
  <c r="BC21" i="11"/>
  <c r="X21" i="11"/>
  <c r="D21" i="11"/>
  <c r="C21" i="11"/>
  <c r="E21" i="11"/>
  <c r="CK21" i="11"/>
  <c r="CL21" i="11"/>
  <c r="DE21" i="11"/>
  <c r="DO21" i="11"/>
  <c r="DR21" i="11"/>
  <c r="DS21" i="11"/>
  <c r="CM21" i="11"/>
  <c r="BU21" i="11"/>
  <c r="BV21" i="11"/>
  <c r="B22" i="11"/>
  <c r="CI22" i="11"/>
  <c r="O22" i="11"/>
  <c r="U22" i="11"/>
  <c r="V22" i="11"/>
  <c r="W22" i="11"/>
  <c r="AY22" i="11"/>
  <c r="BB22" i="11"/>
  <c r="BC22" i="11"/>
  <c r="X22" i="11"/>
  <c r="D22" i="11"/>
  <c r="C22" i="11"/>
  <c r="E22" i="11"/>
  <c r="CK22" i="11"/>
  <c r="CL22" i="11"/>
  <c r="DE22" i="11"/>
  <c r="DO22" i="11"/>
  <c r="DR22" i="11"/>
  <c r="DS22" i="11"/>
  <c r="CM22" i="11"/>
  <c r="BU22" i="11"/>
  <c r="BV22" i="11"/>
  <c r="B23" i="11"/>
  <c r="CI23" i="11"/>
  <c r="O23" i="11"/>
  <c r="U23" i="11"/>
  <c r="V23" i="11"/>
  <c r="W23" i="11"/>
  <c r="AY23" i="11"/>
  <c r="BB23" i="11"/>
  <c r="BC23" i="11"/>
  <c r="X23" i="11"/>
  <c r="D23" i="11"/>
  <c r="C23" i="11"/>
  <c r="E23" i="11"/>
  <c r="CK23" i="11"/>
  <c r="CL23" i="11"/>
  <c r="DE23" i="11"/>
  <c r="DO23" i="11"/>
  <c r="DR23" i="11"/>
  <c r="DS23" i="11"/>
  <c r="CM23" i="11"/>
  <c r="BU23" i="11"/>
  <c r="BV23" i="11"/>
  <c r="B24" i="11"/>
  <c r="CI24" i="11"/>
  <c r="O24" i="11"/>
  <c r="U24" i="11"/>
  <c r="V24" i="11"/>
  <c r="W24" i="11"/>
  <c r="AY24" i="11"/>
  <c r="BB24" i="11"/>
  <c r="BC24" i="11"/>
  <c r="X24" i="11"/>
  <c r="D24" i="11"/>
  <c r="C24" i="11"/>
  <c r="E24" i="11"/>
  <c r="CK24" i="11"/>
  <c r="CL24" i="11"/>
  <c r="DE24" i="11"/>
  <c r="DO24" i="11"/>
  <c r="DR24" i="11"/>
  <c r="DS24" i="11"/>
  <c r="CM24" i="11"/>
  <c r="BU24" i="11"/>
  <c r="BV24" i="11"/>
  <c r="B25" i="11"/>
  <c r="CI25" i="11"/>
  <c r="O25" i="11"/>
  <c r="U25" i="11"/>
  <c r="V25" i="11"/>
  <c r="W25" i="11"/>
  <c r="AY25" i="11"/>
  <c r="BB25" i="11"/>
  <c r="BC25" i="11"/>
  <c r="X25" i="11"/>
  <c r="D25" i="11"/>
  <c r="C25" i="11"/>
  <c r="E25" i="11"/>
  <c r="CK25" i="11"/>
  <c r="CL25" i="11"/>
  <c r="DE25" i="11"/>
  <c r="DO25" i="11"/>
  <c r="DR25" i="11"/>
  <c r="DS25" i="11"/>
  <c r="CM25" i="11"/>
  <c r="BU25" i="11"/>
  <c r="BV25" i="11"/>
  <c r="B26" i="11"/>
  <c r="CI26" i="11"/>
  <c r="O26" i="11"/>
  <c r="U26" i="11"/>
  <c r="V26" i="11"/>
  <c r="W26" i="11"/>
  <c r="AY26" i="11"/>
  <c r="BB26" i="11"/>
  <c r="BC26" i="11"/>
  <c r="X26" i="11"/>
  <c r="D26" i="11"/>
  <c r="C26" i="11"/>
  <c r="E26" i="11"/>
  <c r="CK26" i="11"/>
  <c r="CL26" i="11"/>
  <c r="DE26" i="11"/>
  <c r="DO26" i="11"/>
  <c r="DR26" i="11"/>
  <c r="DS26" i="11"/>
  <c r="CM26" i="11"/>
  <c r="BU26" i="11"/>
  <c r="BV26" i="11"/>
  <c r="B27" i="11"/>
  <c r="CI27" i="11"/>
  <c r="O27" i="11"/>
  <c r="U27" i="11"/>
  <c r="V27" i="11"/>
  <c r="W27" i="11"/>
  <c r="AY27" i="11"/>
  <c r="BB27" i="11"/>
  <c r="BC27" i="11"/>
  <c r="X27" i="11"/>
  <c r="D27" i="11"/>
  <c r="C27" i="11"/>
  <c r="E27" i="11"/>
  <c r="CK27" i="11"/>
  <c r="CL27" i="11"/>
  <c r="DE27" i="11"/>
  <c r="DO27" i="11"/>
  <c r="DR27" i="11"/>
  <c r="DS27" i="11"/>
  <c r="CM27" i="11"/>
  <c r="BU27" i="11"/>
  <c r="BV27" i="11"/>
  <c r="B28" i="11"/>
  <c r="CI28" i="11"/>
  <c r="O28" i="11"/>
  <c r="U28" i="11"/>
  <c r="V28" i="11"/>
  <c r="W28" i="11"/>
  <c r="AY28" i="11"/>
  <c r="BB28" i="11"/>
  <c r="BC28" i="11"/>
  <c r="X28" i="11"/>
  <c r="D28" i="11"/>
  <c r="C28" i="11"/>
  <c r="E28" i="11"/>
  <c r="CK28" i="11"/>
  <c r="CL28" i="11"/>
  <c r="DE28" i="11"/>
  <c r="DO28" i="11"/>
  <c r="DR28" i="11"/>
  <c r="DS28" i="11"/>
  <c r="CM28" i="11"/>
  <c r="BU28" i="11"/>
  <c r="BV28" i="11"/>
  <c r="B29" i="11"/>
  <c r="CI29" i="11"/>
  <c r="O29" i="11"/>
  <c r="U29" i="11"/>
  <c r="V29" i="11"/>
  <c r="W29" i="11"/>
  <c r="AY29" i="11"/>
  <c r="BB29" i="11"/>
  <c r="BC29" i="11"/>
  <c r="X29" i="11"/>
  <c r="D29" i="11"/>
  <c r="C29" i="11"/>
  <c r="E29" i="11"/>
  <c r="CK29" i="11"/>
  <c r="CL29" i="11"/>
  <c r="DE29" i="11"/>
  <c r="DO29" i="11"/>
  <c r="DR29" i="11"/>
  <c r="DS29" i="11"/>
  <c r="CM29" i="11"/>
  <c r="BU29" i="11"/>
  <c r="BV29" i="11"/>
  <c r="B30" i="11"/>
  <c r="CI30" i="11"/>
  <c r="O30" i="11"/>
  <c r="U30" i="11"/>
  <c r="V30" i="11"/>
  <c r="W30" i="11"/>
  <c r="AY30" i="11"/>
  <c r="BB30" i="11"/>
  <c r="BC30" i="11"/>
  <c r="X30" i="11"/>
  <c r="D30" i="11"/>
  <c r="C30" i="11"/>
  <c r="E30" i="11"/>
  <c r="CK30" i="11"/>
  <c r="CL30" i="11"/>
  <c r="DE30" i="11"/>
  <c r="DO30" i="11"/>
  <c r="DR30" i="11"/>
  <c r="DS30" i="11"/>
  <c r="CM30" i="11"/>
  <c r="BU30" i="11"/>
  <c r="BV30" i="11"/>
  <c r="B31" i="11"/>
  <c r="CI31" i="11"/>
  <c r="O31" i="11"/>
  <c r="U31" i="11"/>
  <c r="V31" i="11"/>
  <c r="W31" i="11"/>
  <c r="AY31" i="11"/>
  <c r="BB31" i="11"/>
  <c r="BC31" i="11"/>
  <c r="X31" i="11"/>
  <c r="D31" i="11"/>
  <c r="C31" i="11"/>
  <c r="E31" i="11"/>
  <c r="CK31" i="11"/>
  <c r="CL31" i="11"/>
  <c r="DE31" i="11"/>
  <c r="DO31" i="11"/>
  <c r="DR31" i="11"/>
  <c r="DS31" i="11"/>
  <c r="CM31" i="11"/>
  <c r="BU31" i="11"/>
  <c r="BV31" i="11"/>
  <c r="B32" i="11"/>
  <c r="CI32" i="11"/>
  <c r="O32" i="11"/>
  <c r="U32" i="11"/>
  <c r="V32" i="11"/>
  <c r="W32" i="11"/>
  <c r="AY32" i="11"/>
  <c r="BB32" i="11"/>
  <c r="BC32" i="11"/>
  <c r="X32" i="11"/>
  <c r="D32" i="11"/>
  <c r="C32" i="11"/>
  <c r="E32" i="11"/>
  <c r="CK32" i="11"/>
  <c r="CL32" i="11"/>
  <c r="DE32" i="11"/>
  <c r="DO32" i="11"/>
  <c r="DR32" i="11"/>
  <c r="DS32" i="11"/>
  <c r="CM32" i="11"/>
  <c r="BU32" i="11"/>
  <c r="BV32" i="11"/>
  <c r="B33" i="11"/>
  <c r="CI33" i="11"/>
  <c r="O33" i="11"/>
  <c r="U33" i="11"/>
  <c r="V33" i="11"/>
  <c r="W33" i="11"/>
  <c r="AY33" i="11"/>
  <c r="BB33" i="11"/>
  <c r="BC33" i="11"/>
  <c r="X33" i="11"/>
  <c r="D33" i="11"/>
  <c r="C33" i="11"/>
  <c r="E33" i="11"/>
  <c r="CK33" i="11"/>
  <c r="CL33" i="11"/>
  <c r="DE33" i="11"/>
  <c r="DO33" i="11"/>
  <c r="DR33" i="11"/>
  <c r="DS33" i="11"/>
  <c r="CM33" i="11"/>
  <c r="BU33" i="11"/>
  <c r="BV33" i="11"/>
  <c r="B34" i="11"/>
  <c r="CI34" i="11"/>
  <c r="O34" i="11"/>
  <c r="U34" i="11"/>
  <c r="V34" i="11"/>
  <c r="W34" i="11"/>
  <c r="AY34" i="11"/>
  <c r="BB34" i="11"/>
  <c r="BC34" i="11"/>
  <c r="X34" i="11"/>
  <c r="D34" i="11"/>
  <c r="C34" i="11"/>
  <c r="E34" i="11"/>
  <c r="CK34" i="11"/>
  <c r="CL34" i="11"/>
  <c r="DE34" i="11"/>
  <c r="DO34" i="11"/>
  <c r="DR34" i="11"/>
  <c r="DS34" i="11"/>
  <c r="CM34" i="11"/>
  <c r="BU34" i="11"/>
  <c r="BV34" i="11"/>
  <c r="C13" i="6"/>
  <c r="C15" i="5"/>
  <c r="H6" i="5"/>
  <c r="H8" i="5"/>
  <c r="C27" i="5"/>
  <c r="G22" i="5"/>
  <c r="H25" i="5"/>
  <c r="C21" i="5"/>
  <c r="G29" i="5"/>
  <c r="D21" i="5"/>
  <c r="K29" i="5"/>
  <c r="L29" i="5"/>
  <c r="H29" i="5"/>
  <c r="K21" i="5"/>
  <c r="D27" i="5"/>
  <c r="K22" i="5"/>
  <c r="L25" i="5"/>
  <c r="L13" i="6"/>
  <c r="K23" i="6"/>
  <c r="L23" i="6"/>
  <c r="H23" i="6"/>
  <c r="C19" i="6"/>
  <c r="G27" i="6"/>
  <c r="D19" i="6"/>
  <c r="O15" i="6"/>
  <c r="O19" i="6"/>
  <c r="D25" i="6"/>
  <c r="O20" i="6"/>
  <c r="P23" i="6"/>
  <c r="D18" i="5"/>
  <c r="C18" i="5"/>
  <c r="C25" i="6"/>
  <c r="D16" i="6"/>
  <c r="C16" i="6"/>
  <c r="HQ4" i="11"/>
  <c r="EM9" i="11"/>
  <c r="EM10" i="11"/>
  <c r="EM11" i="11"/>
  <c r="EM12" i="11"/>
  <c r="EM13" i="11"/>
  <c r="EM14" i="11"/>
  <c r="EM15" i="11"/>
  <c r="EM16" i="11"/>
  <c r="EM17" i="11"/>
  <c r="EM18" i="11"/>
  <c r="EM19" i="11"/>
  <c r="EM20" i="11"/>
  <c r="EM21" i="11"/>
  <c r="EM22" i="11"/>
  <c r="EM23" i="11"/>
  <c r="EM24" i="11"/>
  <c r="EM25" i="11"/>
  <c r="EM26" i="11"/>
  <c r="EM27" i="11"/>
  <c r="EM28" i="11"/>
  <c r="EM29" i="11"/>
  <c r="EM30" i="11"/>
  <c r="EM31" i="11"/>
  <c r="EM32" i="11"/>
  <c r="EM33" i="11"/>
  <c r="EM34" i="11"/>
  <c r="EJ8" i="11"/>
  <c r="EJ9" i="11"/>
  <c r="EJ10" i="11"/>
  <c r="EJ11" i="11"/>
  <c r="EJ12" i="11"/>
  <c r="EJ13" i="11"/>
  <c r="EJ14" i="11"/>
  <c r="EJ15" i="11"/>
  <c r="EJ16" i="11"/>
  <c r="EJ17" i="11"/>
  <c r="EJ18" i="11"/>
  <c r="EJ19" i="11"/>
  <c r="EJ20" i="11"/>
  <c r="EJ21" i="11"/>
  <c r="EJ22" i="11"/>
  <c r="EJ23" i="11"/>
  <c r="EJ24" i="11"/>
  <c r="EJ25" i="11"/>
  <c r="EJ26" i="11"/>
  <c r="EJ27" i="11"/>
  <c r="EJ28" i="11"/>
  <c r="EJ29" i="11"/>
  <c r="EJ30" i="11"/>
  <c r="EJ31" i="11"/>
  <c r="EJ32" i="11"/>
  <c r="EJ33" i="11"/>
  <c r="EJ34" i="11"/>
  <c r="GO8" i="11"/>
  <c r="GO9" i="11"/>
  <c r="GO10" i="11"/>
  <c r="GO11" i="11"/>
  <c r="GO12" i="11"/>
  <c r="GO13" i="11"/>
  <c r="GO14" i="11"/>
  <c r="GO15" i="11"/>
  <c r="GO16" i="11"/>
  <c r="GO17" i="11"/>
  <c r="GO18" i="11"/>
  <c r="GO19" i="11"/>
  <c r="GO20" i="11"/>
  <c r="GO21" i="11"/>
  <c r="GO22" i="11"/>
  <c r="GO23" i="11"/>
  <c r="GO24" i="11"/>
  <c r="GO25" i="11"/>
  <c r="GO26" i="11"/>
  <c r="GO27" i="11"/>
  <c r="GO28" i="11"/>
  <c r="GO29" i="11"/>
  <c r="GO30" i="11"/>
  <c r="GO31" i="11"/>
  <c r="GO32" i="11"/>
  <c r="GO33" i="11"/>
  <c r="GO34" i="11"/>
  <c r="GK8" i="11"/>
  <c r="GK9" i="11"/>
  <c r="GK10" i="11"/>
  <c r="GK11" i="11"/>
  <c r="GK12" i="11"/>
  <c r="GK13" i="11"/>
  <c r="GK14" i="11"/>
  <c r="GK15" i="11"/>
  <c r="GK16" i="11"/>
  <c r="GK17" i="11"/>
  <c r="GK18" i="11"/>
  <c r="GK19" i="11"/>
  <c r="GK20" i="11"/>
  <c r="GK21" i="11"/>
  <c r="GK22" i="11"/>
  <c r="GK23" i="11"/>
  <c r="GK24" i="11"/>
  <c r="GK25" i="11"/>
  <c r="GK26" i="11"/>
  <c r="GK27" i="11"/>
  <c r="GK28" i="11"/>
  <c r="GK29" i="11"/>
  <c r="GK30" i="11"/>
  <c r="GK31" i="11"/>
  <c r="GK32" i="11"/>
  <c r="GK33" i="11"/>
  <c r="GK34" i="11"/>
  <c r="FK8" i="11"/>
  <c r="FK9" i="11"/>
  <c r="FK10" i="11"/>
  <c r="FK11" i="11"/>
  <c r="FK12" i="11"/>
  <c r="FK13" i="11"/>
  <c r="FK14" i="11"/>
  <c r="FK15" i="11"/>
  <c r="FK16" i="11"/>
  <c r="FK17" i="11"/>
  <c r="FK18" i="11"/>
  <c r="FK19" i="11"/>
  <c r="FK20" i="11"/>
  <c r="FK21" i="11"/>
  <c r="FK22" i="11"/>
  <c r="FK23" i="11"/>
  <c r="FK24" i="11"/>
  <c r="FK25" i="11"/>
  <c r="FK26" i="11"/>
  <c r="FK27" i="11"/>
  <c r="FK28" i="11"/>
  <c r="FK29" i="11"/>
  <c r="FK30" i="11"/>
  <c r="FK31" i="11"/>
  <c r="FK32" i="11"/>
  <c r="FK33" i="11"/>
  <c r="FK34" i="11"/>
  <c r="FJ8" i="11"/>
  <c r="FJ9" i="11"/>
  <c r="FJ10" i="11"/>
  <c r="FJ11" i="11"/>
  <c r="FJ12" i="11"/>
  <c r="FJ13" i="11"/>
  <c r="FJ14" i="11"/>
  <c r="FJ15" i="11"/>
  <c r="FJ16" i="11"/>
  <c r="FJ17" i="11"/>
  <c r="FJ18" i="11"/>
  <c r="FJ19" i="11"/>
  <c r="FJ20" i="11"/>
  <c r="FJ21" i="11"/>
  <c r="FJ22" i="11"/>
  <c r="FJ23" i="11"/>
  <c r="FJ24" i="11"/>
  <c r="FJ25" i="11"/>
  <c r="FJ26" i="11"/>
  <c r="FJ27" i="11"/>
  <c r="FJ28" i="11"/>
  <c r="FJ29" i="11"/>
  <c r="FJ30" i="11"/>
  <c r="FJ31" i="11"/>
  <c r="FJ32" i="11"/>
  <c r="FJ33" i="11"/>
  <c r="FJ34" i="11"/>
  <c r="FI8" i="11"/>
  <c r="FI9" i="11"/>
  <c r="FI10" i="11"/>
  <c r="FI11" i="11"/>
  <c r="FI12" i="11"/>
  <c r="FI13" i="11"/>
  <c r="FI14" i="11"/>
  <c r="FI15" i="11"/>
  <c r="FI16" i="11"/>
  <c r="FI17" i="11"/>
  <c r="FI18" i="11"/>
  <c r="FI19" i="11"/>
  <c r="FI20" i="11"/>
  <c r="FI21" i="11"/>
  <c r="FI22" i="11"/>
  <c r="FI23" i="11"/>
  <c r="FI24" i="11"/>
  <c r="FI25" i="11"/>
  <c r="FI26" i="11"/>
  <c r="FI27" i="11"/>
  <c r="FI28" i="11"/>
  <c r="FI29" i="11"/>
  <c r="FI30" i="11"/>
  <c r="FI31" i="11"/>
  <c r="FI32" i="11"/>
  <c r="FI33" i="11"/>
  <c r="FI34" i="11"/>
  <c r="FB8" i="11"/>
  <c r="FB9" i="11"/>
  <c r="FB10" i="11"/>
  <c r="FB11" i="11"/>
  <c r="FB12" i="11"/>
  <c r="FB13" i="11"/>
  <c r="FB14" i="11"/>
  <c r="FB15" i="11"/>
  <c r="FB16" i="11"/>
  <c r="FB17" i="11"/>
  <c r="FB18" i="11"/>
  <c r="FB19" i="11"/>
  <c r="FB20" i="11"/>
  <c r="FB21" i="11"/>
  <c r="FB22" i="11"/>
  <c r="FB23" i="11"/>
  <c r="FB24" i="11"/>
  <c r="FB25" i="11"/>
  <c r="FB26" i="11"/>
  <c r="FB27" i="11"/>
  <c r="FB28" i="11"/>
  <c r="FB29" i="11"/>
  <c r="FB30" i="11"/>
  <c r="FB31" i="11"/>
  <c r="FB32" i="11"/>
  <c r="FB33" i="11"/>
  <c r="FB34" i="11"/>
  <c r="FY9" i="11"/>
  <c r="FY10" i="11"/>
  <c r="FY11" i="11"/>
  <c r="FY12" i="11"/>
  <c r="FY13" i="11"/>
  <c r="FY14" i="11"/>
  <c r="FY15" i="11"/>
  <c r="FY16" i="11"/>
  <c r="FY17" i="11"/>
  <c r="FY18" i="11"/>
  <c r="FY19" i="11"/>
  <c r="FY20" i="11"/>
  <c r="FY21" i="11"/>
  <c r="FY22" i="11"/>
  <c r="FY23" i="11"/>
  <c r="FY24" i="11"/>
  <c r="FY25" i="11"/>
  <c r="FY26" i="11"/>
  <c r="FY27" i="11"/>
  <c r="FY28" i="11"/>
  <c r="FY29" i="11"/>
  <c r="FY30" i="11"/>
  <c r="FY31" i="11"/>
  <c r="FY32" i="11"/>
  <c r="FY33" i="11"/>
  <c r="FY34" i="11"/>
  <c r="ES9" i="11"/>
  <c r="ES10" i="11"/>
  <c r="ES11" i="11"/>
  <c r="ES12" i="11"/>
  <c r="ES13" i="11"/>
  <c r="ES14" i="11"/>
  <c r="ES15" i="11"/>
  <c r="ES16" i="11"/>
  <c r="ES17" i="11"/>
  <c r="ES18" i="11"/>
  <c r="ES19" i="11"/>
  <c r="ES20" i="11"/>
  <c r="ES21" i="11"/>
  <c r="ES22" i="11"/>
  <c r="ES23" i="11"/>
  <c r="ES24" i="11"/>
  <c r="ES25" i="11"/>
  <c r="ES26" i="11"/>
  <c r="ES27" i="11"/>
  <c r="ES28" i="11"/>
  <c r="ES29" i="11"/>
  <c r="ES30" i="11"/>
  <c r="ES31" i="11"/>
  <c r="ES32" i="11"/>
  <c r="ES33" i="11"/>
  <c r="ES34" i="11"/>
  <c r="EI9" i="11"/>
  <c r="EI10" i="11"/>
  <c r="EI11" i="11"/>
  <c r="EI12" i="11"/>
  <c r="EI13" i="11"/>
  <c r="EI14" i="11"/>
  <c r="EI15" i="11"/>
  <c r="EI16" i="11"/>
  <c r="EI17" i="11"/>
  <c r="EI18" i="11"/>
  <c r="EI19" i="11"/>
  <c r="EI20" i="11"/>
  <c r="EI21" i="11"/>
  <c r="EI22" i="11"/>
  <c r="EI23" i="11"/>
  <c r="EI24" i="11"/>
  <c r="EI25" i="11"/>
  <c r="EI26" i="11"/>
  <c r="EI27" i="11"/>
  <c r="EI28" i="11"/>
  <c r="EI29" i="11"/>
  <c r="EI30" i="11"/>
  <c r="EI31" i="11"/>
  <c r="EI32" i="11"/>
  <c r="EI33" i="11"/>
  <c r="EI34" i="11"/>
  <c r="DC8" i="11"/>
  <c r="DC9" i="11"/>
  <c r="DC10" i="11"/>
  <c r="DC11" i="11"/>
  <c r="DC12" i="11"/>
  <c r="DC13" i="11"/>
  <c r="DC14" i="11"/>
  <c r="DC15" i="11"/>
  <c r="DC16" i="11"/>
  <c r="DC17" i="11"/>
  <c r="DC18" i="11"/>
  <c r="DC19" i="11"/>
  <c r="DC20" i="11"/>
  <c r="DC21" i="11"/>
  <c r="DC22" i="11"/>
  <c r="DC23" i="11"/>
  <c r="DC24" i="11"/>
  <c r="DC25" i="11"/>
  <c r="DC26" i="11"/>
  <c r="DC27" i="11"/>
  <c r="DC28" i="11"/>
  <c r="DC29" i="11"/>
  <c r="DC30" i="11"/>
  <c r="DC31" i="11"/>
  <c r="DC32" i="11"/>
  <c r="DC33" i="11"/>
  <c r="BW8" i="11"/>
  <c r="BW9" i="11"/>
  <c r="BW10" i="11"/>
  <c r="BW11" i="11"/>
  <c r="BW12" i="11"/>
  <c r="BW13" i="11"/>
  <c r="BW14" i="11"/>
  <c r="BW15" i="11"/>
  <c r="BW16" i="11"/>
  <c r="BW17" i="11"/>
  <c r="BW18" i="11"/>
  <c r="BW19" i="11"/>
  <c r="BW20" i="11"/>
  <c r="BW21" i="11"/>
  <c r="BW22" i="11"/>
  <c r="BW23" i="11"/>
  <c r="BW24" i="11"/>
  <c r="BW25" i="11"/>
  <c r="BW26" i="11"/>
  <c r="BW27" i="11"/>
  <c r="BW28" i="11"/>
  <c r="BW29" i="11"/>
  <c r="BW30" i="11"/>
  <c r="BW31" i="11"/>
  <c r="BW32" i="11"/>
  <c r="BW33" i="11"/>
  <c r="BT9" i="11"/>
  <c r="BT10" i="11"/>
  <c r="BT11" i="11"/>
  <c r="BT12" i="11"/>
  <c r="BT13" i="11"/>
  <c r="BT14" i="11"/>
  <c r="BT15" i="11"/>
  <c r="BT16" i="11"/>
  <c r="BT17" i="11"/>
  <c r="BT18" i="11"/>
  <c r="BT19" i="11"/>
  <c r="BT20" i="11"/>
  <c r="BT21" i="11"/>
  <c r="BT22" i="11"/>
  <c r="BT23" i="11"/>
  <c r="BT24" i="11"/>
  <c r="BT25" i="11"/>
  <c r="BT26" i="11"/>
  <c r="BT27" i="11"/>
  <c r="BT28" i="11"/>
  <c r="BT29" i="11"/>
  <c r="BT30" i="11"/>
  <c r="BT31" i="11"/>
  <c r="BT32" i="11"/>
  <c r="BT33" i="11"/>
  <c r="BT34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30" i="11"/>
  <c r="AM31" i="11"/>
  <c r="AM32" i="11"/>
  <c r="AM33" i="11"/>
  <c r="AM34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GA31" i="11"/>
  <c r="B3" i="4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6" i="8"/>
  <c r="F26" i="7"/>
  <c r="F27" i="7"/>
  <c r="C4" i="7"/>
  <c r="C27" i="7"/>
  <c r="GA26" i="11"/>
  <c r="GA29" i="11"/>
  <c r="EK4" i="11"/>
  <c r="D21" i="10"/>
  <c r="D19" i="10"/>
  <c r="D28" i="10"/>
  <c r="D10" i="10"/>
  <c r="D27" i="8"/>
  <c r="D7" i="8"/>
  <c r="D22" i="8"/>
  <c r="G5" i="6"/>
  <c r="D7" i="10"/>
  <c r="D25" i="8"/>
  <c r="D18" i="8"/>
  <c r="GN30" i="11"/>
  <c r="FH12" i="11"/>
  <c r="D6" i="10"/>
  <c r="EQ8" i="11"/>
  <c r="D18" i="10"/>
  <c r="EQ20" i="11"/>
  <c r="D31" i="8"/>
  <c r="C2" i="7"/>
  <c r="D12" i="10"/>
  <c r="D31" i="10"/>
  <c r="D20" i="10"/>
  <c r="EQ22" i="11"/>
  <c r="D11" i="10"/>
  <c r="EQ13" i="11"/>
  <c r="D8" i="8"/>
  <c r="D21" i="8"/>
  <c r="D26" i="8"/>
  <c r="ER14" i="11"/>
  <c r="GN8" i="11"/>
  <c r="GN33" i="11"/>
  <c r="GN22" i="11"/>
  <c r="FH20" i="11"/>
  <c r="GN13" i="11"/>
  <c r="D14" i="10"/>
  <c r="D30" i="10"/>
  <c r="D13" i="10"/>
  <c r="D15" i="8"/>
  <c r="D20" i="8"/>
  <c r="D12" i="8"/>
  <c r="D6" i="8"/>
  <c r="FH23" i="11"/>
  <c r="EQ14" i="11"/>
  <c r="EQ33" i="11"/>
  <c r="ER9" i="11"/>
  <c r="ER22" i="11"/>
  <c r="GN20" i="11"/>
  <c r="FH13" i="11"/>
  <c r="D17" i="10"/>
  <c r="D27" i="10"/>
  <c r="D9" i="8"/>
  <c r="D11" i="8"/>
  <c r="EQ23" i="11"/>
  <c r="FH19" i="11"/>
  <c r="ER21" i="11"/>
  <c r="FH9" i="11"/>
  <c r="FH22" i="11"/>
  <c r="ER13" i="11"/>
  <c r="D8" i="10"/>
  <c r="D9" i="10"/>
  <c r="D10" i="8"/>
  <c r="FH10" i="11"/>
  <c r="FH21" i="11"/>
  <c r="EQ30" i="11"/>
  <c r="ER20" i="11"/>
  <c r="O4" i="6"/>
  <c r="D22" i="10"/>
  <c r="D26" i="10"/>
  <c r="D16" i="10"/>
  <c r="D32" i="8"/>
  <c r="D23" i="8"/>
  <c r="D16" i="8"/>
  <c r="D29" i="8"/>
  <c r="FH16" i="11"/>
  <c r="ER19" i="11"/>
  <c r="GN21" i="11"/>
  <c r="EQ9" i="11"/>
  <c r="D17" i="6"/>
  <c r="D24" i="10"/>
  <c r="D17" i="8"/>
  <c r="D24" i="8"/>
  <c r="ER23" i="11"/>
  <c r="ER24" i="11"/>
  <c r="FH8" i="11"/>
  <c r="ER32" i="11"/>
  <c r="FH30" i="11"/>
  <c r="GN29" i="11"/>
  <c r="C17" i="6"/>
  <c r="D23" i="10"/>
  <c r="D25" i="10"/>
  <c r="D15" i="10"/>
  <c r="D19" i="8"/>
  <c r="D28" i="8"/>
  <c r="D30" i="8"/>
  <c r="GN23" i="11"/>
  <c r="GN16" i="11"/>
  <c r="GN19" i="11"/>
  <c r="EQ25" i="11"/>
  <c r="D18" i="6"/>
  <c r="GN9" i="11"/>
  <c r="GN27" i="11"/>
  <c r="ER30" i="11"/>
  <c r="FH29" i="11"/>
  <c r="FH17" i="11"/>
  <c r="ER12" i="11"/>
  <c r="C18" i="6"/>
  <c r="D29" i="10"/>
  <c r="D32" i="10"/>
  <c r="D14" i="8"/>
  <c r="ER10" i="11"/>
  <c r="ER25" i="11"/>
  <c r="EQ21" i="11"/>
  <c r="EQ11" i="11"/>
  <c r="GN15" i="11"/>
  <c r="EQ12" i="11"/>
  <c r="D13" i="8"/>
  <c r="FH14" i="11"/>
  <c r="ER8" i="11"/>
  <c r="ER15" i="11"/>
  <c r="GN12" i="11"/>
  <c r="D20" i="5"/>
  <c r="C20" i="5"/>
  <c r="D19" i="5"/>
  <c r="B10" i="5"/>
  <c r="C19" i="5"/>
  <c r="GN14" i="11"/>
  <c r="ER33" i="11"/>
  <c r="FH33" i="11"/>
  <c r="EQ16" i="11"/>
  <c r="ER16" i="11"/>
  <c r="GN32" i="11"/>
  <c r="FH32" i="11"/>
  <c r="EQ32" i="11"/>
  <c r="EQ15" i="11"/>
  <c r="FH15" i="11"/>
  <c r="EQ19" i="11"/>
  <c r="ER29" i="11"/>
  <c r="EQ29" i="11"/>
  <c r="EQ10" i="11"/>
  <c r="GN10" i="11"/>
  <c r="ER11" i="11"/>
  <c r="GN11" i="11"/>
  <c r="FH11" i="11"/>
  <c r="FH24" i="11"/>
  <c r="GN24" i="11"/>
  <c r="EQ24" i="11"/>
  <c r="EQ28" i="11"/>
  <c r="FH28" i="11"/>
  <c r="ER28" i="11"/>
  <c r="GN28" i="11"/>
  <c r="FH18" i="11"/>
  <c r="GN18" i="11"/>
  <c r="ER18" i="11"/>
  <c r="EQ18" i="11"/>
  <c r="EQ26" i="11"/>
  <c r="FH26" i="11"/>
  <c r="ER26" i="11"/>
  <c r="GN26" i="11"/>
  <c r="FH25" i="11"/>
  <c r="GN25" i="11"/>
  <c r="FH27" i="11"/>
  <c r="EQ27" i="11"/>
  <c r="ER27" i="11"/>
  <c r="ER17" i="11"/>
  <c r="GN17" i="11"/>
  <c r="EQ17" i="11"/>
  <c r="ER31" i="11"/>
  <c r="FH31" i="11"/>
  <c r="EQ31" i="11"/>
  <c r="GN31" i="11"/>
  <c r="FH34" i="11"/>
  <c r="GN34" i="11"/>
  <c r="ER34" i="11"/>
  <c r="EQ34" i="11"/>
  <c r="EU26" i="11"/>
  <c r="GA20" i="11"/>
  <c r="EU17" i="11"/>
  <c r="EU31" i="11"/>
  <c r="EU18" i="11"/>
  <c r="EU12" i="11"/>
  <c r="EU33" i="11"/>
  <c r="EU15" i="11"/>
  <c r="GA9" i="11"/>
  <c r="EU23" i="11"/>
  <c r="GA22" i="11"/>
  <c r="GA10" i="11"/>
  <c r="EU22" i="11"/>
  <c r="EU20" i="11"/>
  <c r="EU29" i="11"/>
  <c r="GA33" i="11"/>
  <c r="F31" i="7"/>
  <c r="GA15" i="11"/>
  <c r="GA34" i="11"/>
  <c r="EU34" i="11"/>
  <c r="O27" i="6"/>
  <c r="F30" i="7"/>
  <c r="EU19" i="11"/>
  <c r="GA19" i="11"/>
  <c r="EU10" i="11"/>
  <c r="H15" i="5"/>
  <c r="K28" i="5"/>
  <c r="H28" i="5"/>
  <c r="H7" i="5"/>
  <c r="K5" i="5"/>
  <c r="L28" i="5"/>
  <c r="G28" i="5"/>
  <c r="O26" i="6"/>
  <c r="P26" i="6"/>
  <c r="L26" i="6"/>
  <c r="H26" i="6"/>
  <c r="K26" i="6"/>
  <c r="L6" i="6"/>
  <c r="G26" i="6"/>
  <c r="L27" i="6"/>
  <c r="K27" i="6"/>
  <c r="P27" i="6"/>
  <c r="H27" i="6"/>
  <c r="F2" i="7"/>
  <c r="G3" i="6"/>
  <c r="G3" i="5"/>
  <c r="G10" i="5"/>
  <c r="F10" i="7"/>
  <c r="F9" i="7"/>
  <c r="GA18" i="11"/>
  <c r="GA17" i="11"/>
  <c r="GA23" i="11"/>
  <c r="GA32" i="11"/>
  <c r="EU32" i="11"/>
  <c r="EU24" i="11"/>
  <c r="GA24" i="11"/>
  <c r="GA28" i="11"/>
  <c r="EU28" i="11"/>
  <c r="EU13" i="11"/>
  <c r="GA13" i="11"/>
  <c r="GA12" i="11"/>
  <c r="EU9" i="11"/>
  <c r="GA30" i="11"/>
  <c r="EU30" i="11"/>
  <c r="EU11" i="11"/>
  <c r="GA11" i="11"/>
  <c r="GA21" i="11"/>
  <c r="EU21" i="11"/>
  <c r="EU25" i="11"/>
  <c r="GA25" i="11"/>
  <c r="GA14" i="11"/>
  <c r="EU14" i="11"/>
  <c r="EU27" i="11"/>
  <c r="GA27" i="11"/>
  <c r="EU8" i="11"/>
  <c r="GA8" i="11"/>
  <c r="E2" i="11"/>
  <c r="GA16" i="11"/>
  <c r="EU16" i="11"/>
  <c r="G8" i="6"/>
  <c r="K25" i="6"/>
  <c r="L27" i="5"/>
  <c r="K2" i="6"/>
  <c r="K3" i="5"/>
  <c r="GM11" i="11"/>
  <c r="GM19" i="11"/>
  <c r="GM18" i="11"/>
  <c r="GM32" i="11"/>
  <c r="GM24" i="11"/>
  <c r="GM16" i="11"/>
  <c r="GM21" i="11"/>
  <c r="GM13" i="11"/>
  <c r="GM29" i="11"/>
  <c r="GM12" i="11"/>
  <c r="GM17" i="11"/>
  <c r="GM14" i="11"/>
  <c r="GM9" i="11"/>
  <c r="GM26" i="11"/>
  <c r="GM8" i="11"/>
  <c r="GM25" i="11"/>
  <c r="GM20" i="11"/>
  <c r="GM27" i="11"/>
  <c r="GM31" i="11"/>
  <c r="GM10" i="11"/>
  <c r="GM15" i="11"/>
  <c r="GM30" i="11"/>
  <c r="GM23" i="11"/>
  <c r="GM34" i="11"/>
  <c r="GM22" i="11"/>
  <c r="GM28" i="11"/>
  <c r="GM33" i="11"/>
  <c r="EK11" i="11"/>
  <c r="EK29" i="11"/>
  <c r="EK25" i="11"/>
  <c r="EK34" i="11"/>
  <c r="EK19" i="11"/>
  <c r="EK12" i="11"/>
  <c r="EK20" i="11"/>
  <c r="EK22" i="11"/>
  <c r="EK13" i="11"/>
  <c r="EK18" i="11"/>
  <c r="K8" i="6"/>
  <c r="EK27" i="11"/>
  <c r="EK28" i="11"/>
  <c r="EK8" i="11"/>
  <c r="EK32" i="11"/>
  <c r="EK17" i="11"/>
  <c r="EK31" i="11"/>
  <c r="EK33" i="11"/>
  <c r="EK23" i="11"/>
  <c r="EK24" i="11"/>
  <c r="EK14" i="11"/>
  <c r="EK10" i="11"/>
  <c r="EK16" i="11"/>
  <c r="EK9" i="11"/>
  <c r="EK15" i="11"/>
  <c r="EK21" i="11"/>
  <c r="EK26" i="11"/>
  <c r="EK30" i="11"/>
  <c r="K10" i="5"/>
  <c r="P25" i="6"/>
  <c r="D15" i="5"/>
  <c r="B3" i="5"/>
  <c r="EL30" i="11"/>
  <c r="EL24" i="11"/>
  <c r="EL27" i="11"/>
  <c r="EL34" i="11"/>
  <c r="EL31" i="11"/>
  <c r="EL26" i="11"/>
  <c r="EL23" i="11"/>
  <c r="O3" i="6"/>
  <c r="EL25" i="11"/>
  <c r="EL13" i="11"/>
  <c r="EL32" i="11"/>
  <c r="EL28" i="11"/>
  <c r="EL21" i="11"/>
  <c r="EL33" i="11"/>
  <c r="EL18" i="11"/>
  <c r="EL29" i="11"/>
  <c r="EL11" i="11"/>
  <c r="EL20" i="11"/>
  <c r="EL14" i="11"/>
  <c r="EL15" i="11"/>
  <c r="EL8" i="11"/>
  <c r="EL9" i="11"/>
  <c r="EL17" i="11"/>
  <c r="EL22" i="11"/>
  <c r="EL19" i="11"/>
  <c r="EL16" i="11"/>
  <c r="EL10" i="11"/>
  <c r="EL12" i="11"/>
  <c r="EN12" i="11"/>
  <c r="EN15" i="11"/>
  <c r="EN28" i="11"/>
  <c r="EN34" i="11"/>
  <c r="EN27" i="11"/>
  <c r="EN16" i="11"/>
  <c r="EN20" i="11"/>
  <c r="EN13" i="11"/>
  <c r="EN24" i="11"/>
  <c r="EN19" i="11"/>
  <c r="EN11" i="11"/>
  <c r="EN25" i="11"/>
  <c r="EN30" i="11"/>
  <c r="EN29" i="11"/>
  <c r="EN8" i="11"/>
  <c r="EN31" i="11"/>
  <c r="EN32" i="11"/>
  <c r="EN22" i="11"/>
  <c r="O8" i="6"/>
  <c r="EN14" i="11"/>
  <c r="EN17" i="11"/>
  <c r="EN18" i="11"/>
  <c r="EN23" i="11"/>
  <c r="EN9" i="11"/>
  <c r="EN33" i="11"/>
  <c r="EN26" i="11"/>
  <c r="EN21" i="11"/>
  <c r="EN10" i="11"/>
  <c r="EO12" i="11"/>
  <c r="EP12" i="11"/>
  <c r="EP15" i="11"/>
  <c r="EO15" i="11"/>
  <c r="EP28" i="11"/>
  <c r="EO28" i="11"/>
  <c r="EO34" i="11"/>
  <c r="EP34" i="11"/>
  <c r="EO27" i="11"/>
  <c r="EP27" i="11"/>
  <c r="EP16" i="11"/>
  <c r="EO16" i="11"/>
  <c r="EP20" i="11"/>
  <c r="EO20" i="11"/>
  <c r="EO13" i="11"/>
  <c r="EP13" i="11"/>
  <c r="EO24" i="11"/>
  <c r="EP24" i="11"/>
  <c r="EP19" i="11"/>
  <c r="EO19" i="11"/>
  <c r="EP11" i="11"/>
  <c r="EO11" i="11"/>
  <c r="EO25" i="11"/>
  <c r="EP25" i="11"/>
  <c r="EO30" i="11"/>
  <c r="EP30" i="11"/>
  <c r="EP29" i="11"/>
  <c r="EO29" i="11"/>
  <c r="EP8" i="11"/>
  <c r="EO8" i="11"/>
  <c r="EP31" i="11"/>
  <c r="EO31" i="11"/>
  <c r="EO32" i="11"/>
  <c r="EP32" i="11"/>
  <c r="EO22" i="11"/>
  <c r="EP22" i="11"/>
  <c r="EO14" i="11"/>
  <c r="EP14" i="11"/>
  <c r="EP17" i="11"/>
  <c r="EO17" i="11"/>
  <c r="EO18" i="11"/>
  <c r="EP18" i="11"/>
  <c r="EO23" i="11"/>
  <c r="EP23" i="11"/>
  <c r="HF7" i="11" a="1"/>
  <c r="EO9" i="11"/>
  <c r="EP9" i="11"/>
  <c r="EO33" i="11"/>
  <c r="EP33" i="11"/>
  <c r="EO26" i="11"/>
  <c r="EP26" i="11"/>
  <c r="EP21" i="11"/>
  <c r="EO21" i="11"/>
  <c r="EP10" i="11"/>
  <c r="EO10" i="11"/>
  <c r="HH20" i="11"/>
  <c r="HQ24" i="11"/>
  <c r="HQ48" i="11"/>
  <c r="HL16" i="11"/>
  <c r="HM49" i="11"/>
  <c r="HI42" i="11"/>
  <c r="HP13" i="11"/>
  <c r="HM42" i="11"/>
  <c r="HK11" i="11"/>
  <c r="HL25" i="11"/>
  <c r="HH14" i="11"/>
  <c r="HJ8" i="11"/>
  <c r="HK23" i="11"/>
  <c r="HH11" i="11"/>
  <c r="HK45" i="11"/>
  <c r="HL48" i="11"/>
  <c r="HO9" i="11"/>
  <c r="HO38" i="11"/>
  <c r="HO11" i="11"/>
  <c r="HJ38" i="11"/>
  <c r="HL38" i="11"/>
  <c r="HP44" i="11"/>
  <c r="HI29" i="11"/>
  <c r="HO7" i="11"/>
  <c r="HO20" i="11"/>
  <c r="HN30" i="11"/>
  <c r="HN33" i="11"/>
  <c r="HI36" i="11"/>
  <c r="HP43" i="11"/>
  <c r="HG35" i="11"/>
  <c r="HJ33" i="11"/>
  <c r="HL10" i="11"/>
  <c r="HN47" i="11"/>
  <c r="HF41" i="11"/>
  <c r="HM24" i="11"/>
  <c r="HJ13" i="11"/>
  <c r="HF14" i="11"/>
  <c r="HO15" i="11"/>
  <c r="HF23" i="11"/>
  <c r="HK27" i="11"/>
  <c r="HG19" i="11"/>
  <c r="HK30" i="11"/>
  <c r="HQ44" i="11"/>
  <c r="HL40" i="11"/>
  <c r="HN45" i="11"/>
  <c r="HJ23" i="11"/>
  <c r="HN18" i="11"/>
  <c r="HP25" i="11"/>
  <c r="HO28" i="11"/>
  <c r="HG12" i="11"/>
  <c r="HM20" i="11"/>
  <c r="HJ15" i="11"/>
  <c r="HH35" i="11"/>
  <c r="HG16" i="11"/>
  <c r="HQ19" i="11"/>
  <c r="HG13" i="11"/>
  <c r="HI31" i="11"/>
  <c r="HL9" i="11"/>
  <c r="HI7" i="11"/>
  <c r="HJ16" i="11"/>
  <c r="HH46" i="11"/>
  <c r="HH16" i="11"/>
  <c r="HF29" i="11"/>
  <c r="HM9" i="11"/>
  <c r="HK12" i="11"/>
  <c r="HF45" i="11"/>
  <c r="HN40" i="11"/>
  <c r="HQ15" i="11"/>
  <c r="HO47" i="11"/>
  <c r="HN50" i="11"/>
  <c r="HP41" i="11"/>
  <c r="HG18" i="11"/>
  <c r="HG48" i="11"/>
  <c r="HO30" i="11"/>
  <c r="HH33" i="11"/>
  <c r="HK42" i="11"/>
  <c r="HF30" i="11"/>
  <c r="HQ49" i="11"/>
  <c r="HQ23" i="11"/>
  <c r="HG40" i="11"/>
  <c r="HI16" i="11"/>
  <c r="HL12" i="11"/>
  <c r="HN24" i="11"/>
  <c r="HQ14" i="11"/>
  <c r="HH45" i="11"/>
  <c r="HJ26" i="11"/>
  <c r="HP10" i="11"/>
  <c r="HK18" i="11"/>
  <c r="HK16" i="11"/>
  <c r="HO43" i="11"/>
  <c r="HH31" i="11"/>
  <c r="HJ22" i="11"/>
  <c r="HJ27" i="11"/>
  <c r="HG30" i="11"/>
  <c r="HJ45" i="11"/>
  <c r="HP47" i="11"/>
  <c r="HI41" i="11"/>
  <c r="HG10" i="11"/>
  <c r="HO21" i="11"/>
  <c r="HM21" i="11"/>
  <c r="HF19" i="11"/>
  <c r="HO34" i="11"/>
  <c r="HK47" i="11"/>
  <c r="HM48" i="11"/>
  <c r="HM12" i="11"/>
  <c r="HG26" i="11"/>
  <c r="HF47" i="11"/>
  <c r="HJ35" i="11"/>
  <c r="HG21" i="11"/>
  <c r="HP50" i="11"/>
  <c r="HP17" i="11"/>
  <c r="HK29" i="11"/>
  <c r="HF20" i="11"/>
  <c r="HF16" i="11"/>
  <c r="HJ50" i="11"/>
  <c r="HF28" i="11"/>
  <c r="HP28" i="11"/>
  <c r="HL35" i="11"/>
  <c r="HL11" i="11"/>
  <c r="HF49" i="11"/>
  <c r="HN7" i="11"/>
  <c r="HJ24" i="11"/>
  <c r="HJ19" i="11"/>
  <c r="HF46" i="11"/>
  <c r="HN10" i="11"/>
  <c r="HN19" i="11"/>
  <c r="HJ40" i="11"/>
  <c r="HP49" i="11"/>
  <c r="HO46" i="11"/>
  <c r="HP45" i="11"/>
  <c r="HO32" i="11"/>
  <c r="HK39" i="11"/>
  <c r="HF22" i="11"/>
  <c r="HN26" i="11"/>
  <c r="HG43" i="11"/>
  <c r="HK40" i="11"/>
  <c r="HP12" i="11"/>
  <c r="HH38" i="11"/>
  <c r="HJ25" i="11"/>
  <c r="HN39" i="11"/>
  <c r="HQ46" i="11"/>
  <c r="HF18" i="11"/>
  <c r="HO33" i="11"/>
  <c r="HL24" i="11"/>
  <c r="HP40" i="11"/>
  <c r="HG28" i="11"/>
  <c r="HN8" i="11"/>
  <c r="HM11" i="11"/>
  <c r="HG24" i="11"/>
  <c r="HM43" i="11"/>
  <c r="HL18" i="11"/>
  <c r="HG23" i="11"/>
  <c r="HF38" i="11"/>
  <c r="HM10" i="11"/>
  <c r="HQ50" i="11"/>
  <c r="HP9" i="11"/>
  <c r="HP27" i="11"/>
  <c r="HL34" i="11"/>
  <c r="HJ11" i="11"/>
  <c r="HQ16" i="11"/>
  <c r="HM44" i="11"/>
  <c r="HI13" i="11"/>
  <c r="HH34" i="11"/>
  <c r="HF43" i="11"/>
  <c r="HH15" i="11"/>
  <c r="HF13" i="11"/>
  <c r="HG11" i="11"/>
  <c r="HN27" i="11"/>
  <c r="HO31" i="11"/>
  <c r="HQ33" i="11"/>
  <c r="HI50" i="11"/>
  <c r="HK44" i="11"/>
  <c r="HP14" i="11"/>
  <c r="HP48" i="11"/>
  <c r="HQ38" i="11"/>
  <c r="HN49" i="11"/>
  <c r="HH9" i="11"/>
  <c r="HL31" i="11"/>
  <c r="HQ32" i="11"/>
  <c r="HH49" i="11"/>
  <c r="HI28" i="11"/>
  <c r="HQ7" i="11"/>
  <c r="HM29" i="11"/>
  <c r="HL17" i="11"/>
  <c r="HF11" i="11"/>
  <c r="HH27" i="11"/>
  <c r="HM8" i="11"/>
  <c r="HK43" i="11"/>
  <c r="HK15" i="11"/>
  <c r="HM46" i="11"/>
  <c r="HK32" i="11"/>
  <c r="HH7" i="11"/>
  <c r="HI9" i="11"/>
  <c r="HP18" i="11"/>
  <c r="HH36" i="11"/>
  <c r="HQ12" i="11"/>
  <c r="HI38" i="11"/>
  <c r="HG45" i="11"/>
  <c r="HP15" i="11"/>
  <c r="HF36" i="11"/>
  <c r="HF27" i="11"/>
  <c r="HJ36" i="11"/>
  <c r="HM14" i="11"/>
  <c r="HI26" i="11"/>
  <c r="HK31" i="11"/>
  <c r="HQ11" i="11"/>
  <c r="HL20" i="11"/>
  <c r="HQ30" i="11"/>
  <c r="HF34" i="11"/>
  <c r="HN44" i="11"/>
  <c r="HM41" i="11"/>
  <c r="HG29" i="11"/>
  <c r="HJ7" i="11"/>
  <c r="HJ48" i="11"/>
  <c r="HO23" i="11"/>
  <c r="HG9" i="11"/>
  <c r="HP31" i="11"/>
  <c r="HQ25" i="11"/>
  <c r="HP8" i="11"/>
  <c r="HO41" i="11"/>
  <c r="HI47" i="11"/>
  <c r="HO50" i="11"/>
  <c r="HK19" i="11"/>
  <c r="HI45" i="11"/>
  <c r="HK33" i="11"/>
  <c r="HI25" i="11"/>
  <c r="HH44" i="11"/>
  <c r="HG7" i="11"/>
  <c r="HH23" i="11"/>
  <c r="HQ45" i="11"/>
  <c r="HJ20" i="11"/>
  <c r="HQ27" i="11"/>
  <c r="HI11" i="11"/>
  <c r="HL37" i="11"/>
  <c r="HO13" i="11"/>
  <c r="HJ41" i="11"/>
  <c r="HJ42" i="11"/>
  <c r="HJ43" i="11"/>
  <c r="HQ47" i="11"/>
  <c r="HK25" i="11"/>
  <c r="HJ49" i="11"/>
  <c r="HO48" i="11"/>
  <c r="HG38" i="11"/>
  <c r="HK21" i="11"/>
  <c r="HN14" i="11"/>
  <c r="HM36" i="11"/>
  <c r="HN15" i="11"/>
  <c r="HF40" i="11"/>
  <c r="HO25" i="11"/>
  <c r="HQ29" i="11"/>
  <c r="HQ39" i="11"/>
  <c r="HG37" i="11"/>
  <c r="HQ17" i="11"/>
  <c r="HH10" i="11"/>
  <c r="HL27" i="11"/>
  <c r="HF9" i="11"/>
  <c r="HH48" i="11"/>
  <c r="HJ34" i="11"/>
  <c r="HH24" i="11"/>
  <c r="HM18" i="11"/>
  <c r="HJ31" i="11"/>
  <c r="HF37" i="11"/>
  <c r="HJ12" i="11"/>
  <c r="HJ21" i="11"/>
  <c r="HK35" i="11"/>
  <c r="HO44" i="11"/>
  <c r="HH42" i="11"/>
  <c r="HM19" i="11"/>
  <c r="HK36" i="11"/>
  <c r="HN11" i="11"/>
  <c r="HQ37" i="11"/>
  <c r="HN12" i="11"/>
  <c r="HK7" i="11"/>
  <c r="HL13" i="11"/>
  <c r="HF26" i="11"/>
  <c r="HO8" i="11"/>
  <c r="HQ20" i="11"/>
  <c r="HO19" i="11"/>
  <c r="HL26" i="11"/>
  <c r="HG44" i="11"/>
  <c r="HL14" i="11"/>
  <c r="HG42" i="11"/>
  <c r="HG47" i="11"/>
  <c r="HN34" i="11"/>
  <c r="HK22" i="11"/>
  <c r="HH32" i="11"/>
  <c r="HO16" i="11"/>
  <c r="HF25" i="11"/>
  <c r="HJ47" i="11"/>
  <c r="HL28" i="11"/>
  <c r="HF33" i="11"/>
  <c r="HQ35" i="11"/>
  <c r="HG17" i="11"/>
  <c r="HH41" i="11"/>
  <c r="HQ41" i="11"/>
  <c r="HM47" i="11"/>
  <c r="HH19" i="11"/>
  <c r="HL29" i="11"/>
  <c r="HQ13" i="11"/>
  <c r="HM15" i="11"/>
  <c r="HO39" i="11"/>
  <c r="HG41" i="11"/>
  <c r="HG15" i="11"/>
  <c r="HG31" i="11"/>
  <c r="HP21" i="11"/>
  <c r="HG50" i="11"/>
  <c r="HN17" i="11"/>
  <c r="HI24" i="11"/>
  <c r="HN37" i="11"/>
  <c r="HF10" i="11"/>
  <c r="HI48" i="11"/>
  <c r="HI32" i="11"/>
  <c r="HH26" i="11"/>
  <c r="HQ34" i="11"/>
  <c r="HL36" i="11"/>
  <c r="HN29" i="11"/>
  <c r="HQ22" i="11"/>
  <c r="HF7" i="11"/>
  <c r="HL21" i="11"/>
  <c r="HQ31" i="11"/>
  <c r="HO36" i="11"/>
  <c r="HH21" i="11"/>
  <c r="HJ44" i="11"/>
  <c r="HM39" i="11"/>
  <c r="HK38" i="11"/>
  <c r="HM30" i="11"/>
  <c r="HI37" i="11"/>
  <c r="HI34" i="11"/>
  <c r="HK8" i="11"/>
  <c r="HM13" i="11"/>
  <c r="HQ9" i="11"/>
  <c r="HM31" i="11"/>
  <c r="HF48" i="11"/>
  <c r="HP46" i="11"/>
  <c r="HG14" i="11"/>
  <c r="HJ28" i="11"/>
  <c r="HN28" i="11"/>
  <c r="HH22" i="11"/>
  <c r="HN16" i="11"/>
  <c r="HM16" i="11"/>
  <c r="HG34" i="11"/>
  <c r="HO17" i="11"/>
  <c r="HK13" i="11"/>
  <c r="HL19" i="11"/>
  <c r="HM25" i="11"/>
  <c r="HM50" i="11"/>
  <c r="HP30" i="11"/>
  <c r="HK17" i="11"/>
  <c r="HH40" i="11"/>
  <c r="HF24" i="11"/>
  <c r="HJ46" i="11"/>
  <c r="HK26" i="11"/>
  <c r="HP37" i="11"/>
  <c r="HH47" i="11"/>
  <c r="HL39" i="11"/>
  <c r="HM26" i="11"/>
  <c r="HL33" i="11"/>
  <c r="HF15" i="11"/>
  <c r="HI35" i="11"/>
  <c r="HL45" i="11"/>
  <c r="HI15" i="11"/>
  <c r="HN20" i="11"/>
  <c r="HN25" i="11"/>
  <c r="HL47" i="11"/>
  <c r="HG39" i="11"/>
  <c r="HQ26" i="11"/>
  <c r="HP35" i="11"/>
  <c r="HN32" i="11"/>
  <c r="HN35" i="11"/>
  <c r="HL44" i="11"/>
  <c r="HF39" i="11"/>
  <c r="HI27" i="11"/>
  <c r="HI12" i="11"/>
  <c r="HJ14" i="11"/>
  <c r="HK48" i="11"/>
  <c r="HF42" i="11"/>
  <c r="HK49" i="11"/>
  <c r="HH43" i="11"/>
  <c r="HI39" i="11"/>
  <c r="HN41" i="11"/>
  <c r="HH37" i="11"/>
  <c r="HN36" i="11"/>
  <c r="HH25" i="11"/>
  <c r="HI18" i="11"/>
  <c r="HI46" i="11"/>
  <c r="HO29" i="11"/>
  <c r="HQ42" i="11"/>
  <c r="HJ18" i="11"/>
  <c r="HP16" i="11"/>
  <c r="HK37" i="11"/>
  <c r="HL15" i="11"/>
  <c r="HI33" i="11"/>
  <c r="HP29" i="11"/>
  <c r="HM37" i="11"/>
  <c r="HO24" i="11"/>
  <c r="HL23" i="11"/>
  <c r="HI22" i="11"/>
  <c r="HL8" i="11"/>
  <c r="HG22" i="11"/>
  <c r="HM28" i="11"/>
  <c r="HG25" i="11"/>
  <c r="HN13" i="11"/>
  <c r="HG33" i="11"/>
  <c r="HL42" i="11"/>
  <c r="HI21" i="11"/>
  <c r="HJ37" i="11"/>
  <c r="HO18" i="11"/>
  <c r="HN46" i="11"/>
  <c r="HN9" i="11"/>
  <c r="HQ40" i="11"/>
  <c r="HG36" i="11"/>
  <c r="HL50" i="11"/>
  <c r="HL30" i="11"/>
  <c r="HL41" i="11"/>
  <c r="HP26" i="11"/>
  <c r="HG32" i="11"/>
  <c r="HK14" i="11"/>
  <c r="HM23" i="11"/>
  <c r="HH39" i="11"/>
  <c r="HF12" i="11"/>
  <c r="HP39" i="11"/>
  <c r="HK28" i="11"/>
  <c r="HI17" i="11"/>
  <c r="HH13" i="11"/>
  <c r="HK50" i="11"/>
  <c r="HH30" i="11"/>
  <c r="HJ9" i="11"/>
  <c r="HQ43" i="11"/>
  <c r="HP7" i="11"/>
  <c r="HJ30" i="11"/>
  <c r="HM40" i="11"/>
  <c r="HN21" i="11"/>
  <c r="HO37" i="11"/>
  <c r="HQ36" i="11"/>
  <c r="HM17" i="11"/>
  <c r="HO12" i="11"/>
  <c r="HF44" i="11"/>
  <c r="HL46" i="11"/>
  <c r="HJ17" i="11"/>
  <c r="HM45" i="11"/>
  <c r="HO40" i="11"/>
  <c r="HO35" i="11"/>
  <c r="HO27" i="11"/>
  <c r="HK24" i="11"/>
  <c r="HI14" i="11"/>
  <c r="HN48" i="11"/>
  <c r="HF21" i="11"/>
  <c r="HM33" i="11"/>
  <c r="HK34" i="11"/>
  <c r="HK20" i="11"/>
  <c r="HF32" i="11"/>
  <c r="HP20" i="11"/>
  <c r="HM27" i="11"/>
  <c r="HG27" i="11"/>
  <c r="HJ32" i="11"/>
  <c r="HI44" i="11"/>
  <c r="HM7" i="11"/>
  <c r="HG20" i="11"/>
  <c r="HM38" i="11"/>
  <c r="HO22" i="11"/>
  <c r="HI10" i="11"/>
  <c r="HN31" i="11"/>
  <c r="HH29" i="11"/>
  <c r="HO49" i="11"/>
  <c r="HI40" i="11"/>
  <c r="HJ39" i="11"/>
  <c r="HK9" i="11"/>
  <c r="HK46" i="11"/>
  <c r="HQ8" i="11"/>
  <c r="HO45" i="11"/>
  <c r="HO10" i="11"/>
  <c r="HF35" i="11"/>
  <c r="HM34" i="11"/>
  <c r="HN43" i="11"/>
  <c r="HK41" i="11"/>
  <c r="HK10" i="11"/>
  <c r="HF50" i="11"/>
  <c r="HP34" i="11"/>
  <c r="HI19" i="11"/>
  <c r="HI43" i="11"/>
  <c r="HH12" i="11"/>
  <c r="HJ10" i="11"/>
  <c r="HO14" i="11"/>
  <c r="HQ21" i="11"/>
  <c r="HG8" i="11"/>
  <c r="HN42" i="11"/>
  <c r="HM22" i="11"/>
  <c r="HN22" i="11"/>
  <c r="HJ29" i="11"/>
  <c r="HQ28" i="11"/>
  <c r="HP19" i="11"/>
  <c r="HM32" i="11"/>
  <c r="HI23" i="11"/>
  <c r="HP23" i="11"/>
  <c r="HP24" i="11"/>
  <c r="HH28" i="11"/>
  <c r="HL22" i="11"/>
  <c r="HP22" i="11"/>
  <c r="HH50" i="11"/>
  <c r="HQ10" i="11"/>
  <c r="HM35" i="11"/>
  <c r="HL49" i="11"/>
  <c r="HI30" i="11"/>
  <c r="HI20" i="11"/>
  <c r="HG46" i="11"/>
  <c r="HL7" i="11"/>
  <c r="HL43" i="11"/>
  <c r="HF8" i="11"/>
  <c r="HP32" i="11"/>
  <c r="HQ18" i="11"/>
  <c r="HH17" i="11"/>
  <c r="HF31" i="11"/>
  <c r="HL32" i="11"/>
  <c r="HF17" i="11"/>
  <c r="HP33" i="11"/>
  <c r="HH8" i="11"/>
  <c r="HN38" i="11"/>
  <c r="HP38" i="11"/>
  <c r="HI49" i="11"/>
  <c r="HG49" i="11"/>
  <c r="HP42" i="11"/>
  <c r="HO42" i="11"/>
  <c r="HH18" i="11"/>
  <c r="HP11" i="11"/>
  <c r="HI8" i="11"/>
  <c r="HO26" i="11"/>
  <c r="HP36" i="11"/>
  <c r="HN23" i="11"/>
  <c r="D13" i="6"/>
  <c r="F4" i="7"/>
  <c r="B3" i="6"/>
  <c r="F5" i="7"/>
  <c r="F7" i="7"/>
  <c r="F8" i="7"/>
</calcChain>
</file>

<file path=xl/sharedStrings.xml><?xml version="1.0" encoding="utf-8"?>
<sst xmlns="http://schemas.openxmlformats.org/spreadsheetml/2006/main" count="4356" uniqueCount="278">
  <si>
    <t>USDYC</t>
  </si>
  <si>
    <t>LegType</t>
  </si>
  <si>
    <t>Notional</t>
  </si>
  <si>
    <t>NotionalExchange</t>
  </si>
  <si>
    <t>PayReceive</t>
  </si>
  <si>
    <t>PAYER</t>
  </si>
  <si>
    <t>ForecastCurve</t>
  </si>
  <si>
    <t>DiscountCurve</t>
  </si>
  <si>
    <t>Currency</t>
  </si>
  <si>
    <t>USD</t>
  </si>
  <si>
    <t>Leverage</t>
  </si>
  <si>
    <t>FixedRate</t>
  </si>
  <si>
    <t/>
  </si>
  <si>
    <t>FirstStubCurveIndex</t>
  </si>
  <si>
    <t>NATURAL</t>
  </si>
  <si>
    <t>LastStubCurveIndex</t>
  </si>
  <si>
    <t>FirstFixing</t>
  </si>
  <si>
    <t>LastFixing</t>
  </si>
  <si>
    <t>FloatSpread</t>
  </si>
  <si>
    <t>EffectiveDate</t>
  </si>
  <si>
    <t>MaturityDate</t>
  </si>
  <si>
    <t>Frequency</t>
  </si>
  <si>
    <t>Daycount</t>
  </si>
  <si>
    <t>FixingBusinessDayAdjustment</t>
  </si>
  <si>
    <t>MOD_FOLLOWING</t>
  </si>
  <si>
    <t>FixingCalendar</t>
  </si>
  <si>
    <t>AccrualBusinessDayAdjustment</t>
  </si>
  <si>
    <t>AccrualCalendar</t>
  </si>
  <si>
    <t>PaymentBusinessDayAdjustment</t>
  </si>
  <si>
    <t>PaymentCalendar</t>
  </si>
  <si>
    <t>FirstStubDate</t>
  </si>
  <si>
    <t>LastStubDate</t>
  </si>
  <si>
    <t>RollDay</t>
  </si>
  <si>
    <t>NORMAL</t>
  </si>
  <si>
    <t>FixingLag</t>
  </si>
  <si>
    <t>0D</t>
  </si>
  <si>
    <t>FirstFixingLag</t>
  </si>
  <si>
    <t>PaymentLag</t>
  </si>
  <si>
    <t>StubType</t>
  </si>
  <si>
    <t>ShortStart</t>
  </si>
  <si>
    <t>MTM</t>
  </si>
  <si>
    <t>ValuationCurrency</t>
  </si>
  <si>
    <t>FxRate</t>
  </si>
  <si>
    <t>NotionalFxResetLeg</t>
  </si>
  <si>
    <t>NONE</t>
  </si>
  <si>
    <t>AUD</t>
  </si>
  <si>
    <t>USDOIS</t>
  </si>
  <si>
    <t>SEMI-ANNUAL</t>
  </si>
  <si>
    <t>AUD6ML</t>
  </si>
  <si>
    <t>COB</t>
  </si>
  <si>
    <t>AUDOIS</t>
  </si>
  <si>
    <t>Create Xccy Swap</t>
  </si>
  <si>
    <t>AUDYC</t>
  </si>
  <si>
    <t>IssueDate</t>
  </si>
  <si>
    <t>CurveCollection</t>
  </si>
  <si>
    <t>isCleanPrice</t>
  </si>
  <si>
    <t>FixedFrequency</t>
  </si>
  <si>
    <t>FixedDayCount</t>
  </si>
  <si>
    <t>FixedBusinessDayAdjustment</t>
  </si>
  <si>
    <t>FixedCalendar</t>
  </si>
  <si>
    <t>FixedFirstStubDate</t>
  </si>
  <si>
    <t>FixedLastStubDate</t>
  </si>
  <si>
    <t>FixedRollDay</t>
  </si>
  <si>
    <t>FixedStubType</t>
  </si>
  <si>
    <t>FixedPaymentLag</t>
  </si>
  <si>
    <t>SYB</t>
  </si>
  <si>
    <t>AUD3ML</t>
  </si>
  <si>
    <t>Leg2:Float</t>
  </si>
  <si>
    <t>NYB</t>
  </si>
  <si>
    <t>Coupon</t>
  </si>
  <si>
    <t>RECEIVE</t>
  </si>
  <si>
    <t>START_AND_END</t>
  </si>
  <si>
    <t>BondLVB</t>
  </si>
  <si>
    <t>BondType</t>
  </si>
  <si>
    <t>FIXED</t>
  </si>
  <si>
    <t>YieldType</t>
  </si>
  <si>
    <t>YIELD-TO-MATURITY</t>
  </si>
  <si>
    <t>IsCleanPrice</t>
  </si>
  <si>
    <t>BondQuoteConvention</t>
  </si>
  <si>
    <t>QUOTE_IN_32NDS</t>
  </si>
  <si>
    <t>ScheduleLVB</t>
  </si>
  <si>
    <t>FaceValue</t>
  </si>
  <si>
    <t>NO_CHANGE</t>
  </si>
  <si>
    <t>DayCount</t>
  </si>
  <si>
    <t>CalculationType</t>
  </si>
  <si>
    <t>TYPE1_STREET_CONVENTION</t>
  </si>
  <si>
    <t>BondDescription</t>
  </si>
  <si>
    <t>ISIN</t>
  </si>
  <si>
    <t>ISSUEDATE</t>
  </si>
  <si>
    <t>ACCRUALSTARTDATE</t>
  </si>
  <si>
    <t>FirstCouponDate</t>
  </si>
  <si>
    <t>LastCouponDate</t>
  </si>
  <si>
    <t>Create Bond</t>
  </si>
  <si>
    <t>X1344710857</t>
  </si>
  <si>
    <t>Clean Price</t>
  </si>
  <si>
    <t>Dirty Price</t>
  </si>
  <si>
    <t>PAY</t>
  </si>
  <si>
    <t>Leg1:Float</t>
  </si>
  <si>
    <t>Funding Leg</t>
  </si>
  <si>
    <t>REC</t>
  </si>
  <si>
    <t>QUARTERLY</t>
  </si>
  <si>
    <t>ACT/360</t>
  </si>
  <si>
    <t>USD3ML</t>
  </si>
  <si>
    <t>ACT/365</t>
  </si>
  <si>
    <t>30E/360</t>
  </si>
  <si>
    <t>AUDDF_USDCSA</t>
  </si>
  <si>
    <t>Proxy Bond</t>
  </si>
  <si>
    <t>Uridashi Bond</t>
  </si>
  <si>
    <t>Xccy Asset Swap Spread</t>
  </si>
  <si>
    <t>Valuation Date (for Accrued Int)</t>
  </si>
  <si>
    <t>USD_ASSET_SWAP</t>
  </si>
  <si>
    <t>BondPrice</t>
  </si>
  <si>
    <t>Uridashi Bond Price</t>
  </si>
  <si>
    <t>Xccy Swap Properties</t>
  </si>
  <si>
    <t>USD_AUD_XCCY_SWAP</t>
  </si>
  <si>
    <t>Create Asset Swap</t>
  </si>
  <si>
    <t>Xccy Par Spread</t>
  </si>
  <si>
    <t>Proxy Bond Leg</t>
  </si>
  <si>
    <t>USD Funding</t>
  </si>
  <si>
    <t>AUD Funding</t>
  </si>
  <si>
    <t>AUD_ASSET_SWAP</t>
  </si>
  <si>
    <t>USJ46186BC59</t>
  </si>
  <si>
    <t>XS1344710857</t>
  </si>
  <si>
    <t>*</t>
  </si>
  <si>
    <t>* Set effective date to the last coupon date to include accrued, use meLWOBondLastCouponDate</t>
  </si>
  <si>
    <t>Uridashi Price</t>
  </si>
  <si>
    <t>USD Asset Swap Spread</t>
  </si>
  <si>
    <t>PROXY_XCCY_ASSET_SWAP</t>
  </si>
  <si>
    <t>URIDASHI_ASSET_SWAP</t>
  </si>
  <si>
    <t>BOND SPECIFICATION</t>
  </si>
  <si>
    <t>MIZUHO 3.2% 26/03/26 USD</t>
  </si>
  <si>
    <t>PROXY BOND</t>
  </si>
  <si>
    <t>URIDASHI BOND</t>
  </si>
  <si>
    <t>Liquid Market Price</t>
  </si>
  <si>
    <t>Derived Relative Value Price</t>
  </si>
  <si>
    <t>Yield</t>
  </si>
  <si>
    <t>Accrued Interest</t>
  </si>
  <si>
    <t>Accrued Days</t>
  </si>
  <si>
    <t>Handle</t>
  </si>
  <si>
    <t>AccrualStartDate</t>
  </si>
  <si>
    <t>USD Bonds</t>
  </si>
  <si>
    <t>USD Bond Template</t>
  </si>
  <si>
    <t>AUD Bonds</t>
  </si>
  <si>
    <t>MIZUHO-3.2%-26-MAR-25-USD</t>
  </si>
  <si>
    <t>USD-DUMMY-BOND2</t>
  </si>
  <si>
    <t>USD-DUMMY-BOND3</t>
  </si>
  <si>
    <t>USD-DUMMY-BOND4</t>
  </si>
  <si>
    <t>USD-DUMMY-BOND5</t>
  </si>
  <si>
    <t>USD-DUMMY-BOND6</t>
  </si>
  <si>
    <t>USD-DUMMY-BOND7</t>
  </si>
  <si>
    <t>USD-DUMMY-BOND8</t>
  </si>
  <si>
    <t>USD-DUMMY-BOND9</t>
  </si>
  <si>
    <t>USD-DUMMY-BOND10</t>
  </si>
  <si>
    <t>USD-DUMMY-BOND11</t>
  </si>
  <si>
    <t>USD-DUMMY-BOND12</t>
  </si>
  <si>
    <t>USD-DUMMY-BOND13</t>
  </si>
  <si>
    <t>USD-DUMMY-BOND14</t>
  </si>
  <si>
    <t>USD-DUMMY-BOND15</t>
  </si>
  <si>
    <t>USD-DUMMY-BOND16</t>
  </si>
  <si>
    <t>USD-DUMMY-BOND17</t>
  </si>
  <si>
    <t>USD-DUMMY-BOND18</t>
  </si>
  <si>
    <t>USD-DUMMY-BOND19</t>
  </si>
  <si>
    <t>USD-DUMMY-BOND20</t>
  </si>
  <si>
    <t>USD-DUMMY-BOND21</t>
  </si>
  <si>
    <t>USD-DUMMY-BOND22</t>
  </si>
  <si>
    <t>USD-DUMMY-BOND23</t>
  </si>
  <si>
    <t>USD-DUMMY-BOND24</t>
  </si>
  <si>
    <t>USD-DUMMY-BOND25</t>
  </si>
  <si>
    <t>USD-DUMMY-BOND26</t>
  </si>
  <si>
    <t>AUD_DUMMY_BOND2</t>
  </si>
  <si>
    <t>AUD_DUMMY_BOND3</t>
  </si>
  <si>
    <t>AUD_DUMMY_BOND4</t>
  </si>
  <si>
    <t>AUD_DUMMY_BOND5</t>
  </si>
  <si>
    <t>AUD_DUMMY_BOND6</t>
  </si>
  <si>
    <t>AUD_DUMMY_BOND7</t>
  </si>
  <si>
    <t>AUD_DUMMY_BOND8</t>
  </si>
  <si>
    <t>AUD_DUMMY_BOND9</t>
  </si>
  <si>
    <t>AUD_DUMMY_BOND10</t>
  </si>
  <si>
    <t>AUD_DUMMY_BOND11</t>
  </si>
  <si>
    <t>AUD_DUMMY_BOND12</t>
  </si>
  <si>
    <t>AUD_DUMMY_BOND13</t>
  </si>
  <si>
    <t>AUD_DUMMY_BOND14</t>
  </si>
  <si>
    <t>AUD_DUMMY_BOND15</t>
  </si>
  <si>
    <t>AUD_DUMMY_BOND16</t>
  </si>
  <si>
    <t>AUD_DUMMY_BOND17</t>
  </si>
  <si>
    <t>AUD_DUMMY_BOND18</t>
  </si>
  <si>
    <t>AUD_DUMMY_BOND19</t>
  </si>
  <si>
    <t>AUD_DUMMY_BOND20</t>
  </si>
  <si>
    <t>AUD_DUMMY_BOND21</t>
  </si>
  <si>
    <t>AUD_DUMMY_BOND22</t>
  </si>
  <si>
    <t>AUD_DUMMY_BOND23</t>
  </si>
  <si>
    <t>AUD_DUMMY_BOND24</t>
  </si>
  <si>
    <t>AUD_DUMMY_BOND25</t>
  </si>
  <si>
    <t>AUD_DUMMY_BOND26</t>
  </si>
  <si>
    <t>USD ASSET SWAP</t>
  </si>
  <si>
    <t>USD_ASW</t>
  </si>
  <si>
    <t>USD_ASW_SPREAD</t>
  </si>
  <si>
    <t>Bond Price</t>
  </si>
  <si>
    <t>PROXY PRICE</t>
  </si>
  <si>
    <t>LIBOR FIXING DATA</t>
  </si>
  <si>
    <t>1M</t>
  </si>
  <si>
    <t>3M</t>
  </si>
  <si>
    <t>6M</t>
  </si>
  <si>
    <t>12M</t>
  </si>
  <si>
    <t>MIZUHO 3.92% 15-JAN-26 AUD</t>
  </si>
  <si>
    <t>MIZUHO-3.92%-15-JAN-26 AUD</t>
  </si>
  <si>
    <t>CURVE COLLECTION</t>
  </si>
  <si>
    <t>PROXY BOND LEG (FIXED)</t>
  </si>
  <si>
    <t>FUNDING LEG (FLOAT)</t>
  </si>
  <si>
    <t>ISIN2</t>
  </si>
  <si>
    <t>ISIN3</t>
  </si>
  <si>
    <t>ISIN4</t>
  </si>
  <si>
    <t>ISIN5</t>
  </si>
  <si>
    <t>ISIN6</t>
  </si>
  <si>
    <t>ISIN7</t>
  </si>
  <si>
    <t>ISIN8</t>
  </si>
  <si>
    <t>ISIN9</t>
  </si>
  <si>
    <t>ISIN10</t>
  </si>
  <si>
    <t>ISIN11</t>
  </si>
  <si>
    <t>ISIN12</t>
  </si>
  <si>
    <t>ISIN13</t>
  </si>
  <si>
    <t>ISIN14</t>
  </si>
  <si>
    <t>ISIN15</t>
  </si>
  <si>
    <t>ISIN16</t>
  </si>
  <si>
    <t>ISIN17</t>
  </si>
  <si>
    <t>ISIN18</t>
  </si>
  <si>
    <t>ISIN19</t>
  </si>
  <si>
    <t>ISIN20</t>
  </si>
  <si>
    <t>ISIN21</t>
  </si>
  <si>
    <t>ISIN22</t>
  </si>
  <si>
    <t>ISIN23</t>
  </si>
  <si>
    <t>ISIN24</t>
  </si>
  <si>
    <t>ISIN25</t>
  </si>
  <si>
    <t>ISIN26</t>
  </si>
  <si>
    <t>AUD Bond Template</t>
  </si>
  <si>
    <t>USD BOND PROXY</t>
  </si>
  <si>
    <t>USD/AUD XCCY SWAP</t>
  </si>
  <si>
    <t>XCCY_SWAP</t>
  </si>
  <si>
    <t>XCCY_PAR_SPREAD</t>
  </si>
  <si>
    <t>USD FUNDING LEG</t>
  </si>
  <si>
    <t>AUD FUNDING LEG</t>
  </si>
  <si>
    <t>SPOT FX DATA</t>
  </si>
  <si>
    <t>XCCY SETTINGS</t>
  </si>
  <si>
    <t>AUDUSD</t>
  </si>
  <si>
    <t>AUD_ASW</t>
  </si>
  <si>
    <t>AUD URIDASHI BOND</t>
  </si>
  <si>
    <t>AUD ASSET SWAP</t>
  </si>
  <si>
    <t>URISASHI PRICE</t>
  </si>
  <si>
    <t>CLEAN PX</t>
  </si>
  <si>
    <t>YIELD</t>
  </si>
  <si>
    <t>DIRTY PX</t>
  </si>
  <si>
    <t>ACCRUED INT</t>
  </si>
  <si>
    <t>ACCRUED DAYS</t>
  </si>
  <si>
    <t>BOND CALCULATIONS</t>
  </si>
  <si>
    <t>XS1447582930</t>
  </si>
  <si>
    <t>MIZUHO-1.61-27-JUL-21-USD</t>
  </si>
  <si>
    <t>XS1447583664</t>
  </si>
  <si>
    <t>MIZUHO-2.62%27-JUL-21-AUD</t>
  </si>
  <si>
    <t>SETTLEMENT DATE (NYB)</t>
  </si>
  <si>
    <t>SETTLEMENT DATE (SYB)</t>
  </si>
  <si>
    <t>BOND CASHFLOWS</t>
  </si>
  <si>
    <t>SELECT BOND</t>
  </si>
  <si>
    <t>BOND INDEX</t>
  </si>
  <si>
    <t>Leg1:FixedBond</t>
  </si>
  <si>
    <t xml:space="preserve"> </t>
  </si>
  <si>
    <t>Type1</t>
  </si>
  <si>
    <t>TYPE23</t>
  </si>
  <si>
    <t>TYPE1</t>
  </si>
  <si>
    <t>FXSPOT</t>
  </si>
  <si>
    <t>ValuationDate</t>
  </si>
  <si>
    <t>ValuationSettings</t>
  </si>
  <si>
    <t>BondSettlementDate</t>
  </si>
  <si>
    <t>ISFWDINTER</t>
  </si>
  <si>
    <t>END</t>
  </si>
  <si>
    <t>&lt;--- Non-MTM for ASW Same Currency Proxy Method</t>
  </si>
  <si>
    <t>*** Non-MTM Xccy Used to Convert Proxy Funding Currency to Uridashi Funding Currency ***</t>
  </si>
  <si>
    <t>FxSpot</t>
  </si>
  <si>
    <t>VALUATION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</si>
</sst>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ddd\,\ d\-mmm\-yy"/>
    <numFmt numFmtId="165" formatCode="0.00000"/>
    <numFmt numFmtId="166" formatCode="ddd\ d\-mmm\-yy"/>
    <numFmt numFmtId="167" formatCode="#,##0.0000"/>
    <numFmt numFmtId="168" formatCode="0.00000%"/>
    <numFmt numFmtId="169" formatCode="ddd\,\ dd\-mmm\-yy"/>
    <numFmt numFmtId="170" formatCode="#,##0.000"/>
    <numFmt numFmtId="171" formatCode="_(&quot;$&quot;* #,##0_);_(&quot;$&quot;* \(#,##0\);_(&quot;$&quot;* &quot;-&quot;_);_(@_)"/>
    <numFmt numFmtId="172" formatCode="_(&quot;$&quot;* #,##0.00_);_(&quot;$&quot;* \(#,##0.00\);_(&quot;$&quot;* &quot;-&quot;??_);_(@_)"/>
    <numFmt numFmtId="173" formatCode="0.000%"/>
    <numFmt numFmtId="174" formatCode="dd/m/yy"/>
    <numFmt numFmtId="175" formatCode="dd\-mmm\-yy;dd\-mmm\-yy;"/>
    <numFmt numFmtId="176" formatCode="_ * #,##0_ ;_ * \-#,##0_ ;_ * &quot;-&quot;_ ;_ @_ "/>
    <numFmt numFmtId="177" formatCode="0.000"/>
    <numFmt numFmtId="178" formatCode="0\ &quot; days&quot;"/>
    <numFmt numFmtId="179" formatCode="mmm\-yyyy"/>
    <numFmt numFmtId="180" formatCode="0.00_)"/>
    <numFmt numFmtId="181" formatCode="0.0000%"/>
    <numFmt numFmtId="182" formatCode="#,##0.000000"/>
  </numFmts>
  <fonts count="10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1"/>
      <name val="Times New Roman"/>
      <family val="1"/>
    </font>
    <font>
      <sz val="11"/>
      <name val="ＭＳ Ｐゴシック"/>
      <family val="3"/>
      <charset val="128"/>
    </font>
    <font>
      <sz val="8"/>
      <name val="Arial"/>
      <family val="2"/>
    </font>
    <font>
      <sz val="10"/>
      <name val="Courier"/>
      <family val="3"/>
    </font>
    <font>
      <b/>
      <sz val="9"/>
      <color indexed="12"/>
      <name val="Tahoma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name val="Helv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b/>
      <i/>
      <sz val="9"/>
      <color indexed="16"/>
      <name val="Verdana"/>
      <family val="2"/>
    </font>
    <font>
      <b/>
      <sz val="8"/>
      <name val="Tahoma"/>
      <family val="2"/>
    </font>
    <font>
      <sz val="10"/>
      <name val="Helv"/>
      <family val="2"/>
    </font>
    <font>
      <b/>
      <sz val="10"/>
      <color indexed="12"/>
      <name val="Tahoma"/>
      <family val="2"/>
    </font>
    <font>
      <sz val="11"/>
      <color theme="1"/>
      <name val="Calibri"/>
      <family val="3"/>
      <charset val="128"/>
      <scheme val="minor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6"/>
      <name val="Helv"/>
    </font>
    <font>
      <sz val="8"/>
      <color indexed="12"/>
      <name val="Helv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sz val="10"/>
      <name val="Palatino"/>
    </font>
    <font>
      <b/>
      <sz val="8"/>
      <color indexed="15"/>
      <name val="ZapfDingbats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Helv"/>
    </font>
    <font>
      <i/>
      <sz val="6"/>
      <name val="Helv"/>
    </font>
    <font>
      <b/>
      <sz val="16"/>
      <color indexed="16"/>
      <name val="Helv"/>
    </font>
    <font>
      <sz val="8"/>
      <name val="MS Sans Serif"/>
      <family val="2"/>
    </font>
    <font>
      <i/>
      <sz val="11"/>
      <color indexed="23"/>
      <name val="Calibri"/>
      <family val="2"/>
    </font>
    <font>
      <sz val="8"/>
      <color indexed="9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sz val="8"/>
      <name val="Palatino"/>
    </font>
    <font>
      <b/>
      <sz val="10"/>
      <name val="Palatino"/>
    </font>
    <font>
      <sz val="11"/>
      <color indexed="9"/>
      <name val="Arial"/>
      <family val="2"/>
    </font>
    <font>
      <sz val="11"/>
      <color indexed="17"/>
      <name val="Calibri"/>
      <family val="2"/>
    </font>
    <font>
      <b/>
      <sz val="10"/>
      <color indexed="12"/>
      <name val="Courier"/>
      <family val="3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8"/>
      <color indexed="17"/>
      <name val="Arial"/>
      <family val="2"/>
    </font>
    <font>
      <sz val="11"/>
      <color indexed="62"/>
      <name val="Calibri"/>
      <family val="2"/>
    </font>
    <font>
      <sz val="8"/>
      <color indexed="8"/>
      <name val="MS Sans Serif"/>
      <family val="2"/>
    </font>
    <font>
      <b/>
      <sz val="8"/>
      <color indexed="14"/>
      <name val="Arial"/>
      <family val="2"/>
    </font>
    <font>
      <sz val="11"/>
      <color indexed="53"/>
      <name val="Calibri"/>
      <family val="2"/>
    </font>
    <font>
      <sz val="11"/>
      <color indexed="52"/>
      <name val="Calibri"/>
      <family val="2"/>
    </font>
    <font>
      <b/>
      <sz val="36"/>
      <name val="Arial"/>
      <family val="2"/>
    </font>
    <font>
      <sz val="8"/>
      <color indexed="8"/>
      <name val="Helv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b/>
      <i/>
      <sz val="16"/>
      <name val="Helv"/>
    </font>
    <font>
      <i/>
      <sz val="10"/>
      <name val="Helv"/>
    </font>
    <font>
      <b/>
      <sz val="11"/>
      <color indexed="63"/>
      <name val="Calibri"/>
      <family val="2"/>
    </font>
    <font>
      <b/>
      <i/>
      <sz val="8"/>
      <name val="Helv"/>
    </font>
    <font>
      <sz val="8"/>
      <color indexed="10"/>
      <name val="Helv"/>
    </font>
    <font>
      <b/>
      <sz val="36"/>
      <color indexed="53"/>
      <name val="Arial"/>
      <family val="2"/>
    </font>
    <font>
      <b/>
      <sz val="14"/>
      <name val="Palatino"/>
    </font>
    <font>
      <b/>
      <sz val="12"/>
      <name val="Palatino"/>
    </font>
    <font>
      <b/>
      <sz val="18"/>
      <color indexed="62"/>
      <name val="Cambria"/>
      <family val="2"/>
    </font>
    <font>
      <b/>
      <sz val="18"/>
      <color indexed="56"/>
      <name val="Cambria"/>
      <family val="1"/>
    </font>
    <font>
      <b/>
      <sz val="18"/>
      <color indexed="56"/>
      <name val="Cambria"/>
      <family val="2"/>
    </font>
    <font>
      <b/>
      <sz val="20"/>
      <name val="Palatino"/>
    </font>
    <font>
      <sz val="8"/>
      <name val="Helv"/>
    </font>
    <font>
      <b/>
      <sz val="11"/>
      <color indexed="8"/>
      <name val="Calibri"/>
      <family val="2"/>
    </font>
    <font>
      <b/>
      <sz val="24"/>
      <color indexed="8"/>
      <name val="Arial"/>
      <family val="2"/>
    </font>
    <font>
      <sz val="11"/>
      <color theme="1"/>
      <name val="Calibri"/>
      <family val="2"/>
      <charset val="128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0000FF"/>
      <name val="Calibri"/>
      <family val="2"/>
      <scheme val="minor"/>
    </font>
  </fonts>
  <fills count="1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9"/>
      </patternFill>
    </fill>
    <fill>
      <patternFill patternType="mediumGray">
        <fgColor indexed="9"/>
        <bgColor indexed="22"/>
      </patternFill>
    </fill>
    <fill>
      <patternFill patternType="solid">
        <fgColor indexed="9"/>
        <bgColor indexed="64"/>
      </patternFill>
    </fill>
    <fill>
      <patternFill patternType="mediumGray">
        <fgColor indexed="17"/>
      </patternFill>
    </fill>
    <fill>
      <patternFill patternType="solid">
        <fgColor indexed="46"/>
        <bgColor indexed="64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indexed="31"/>
        <bgColor indexed="64"/>
      </patternFill>
    </fill>
    <fill>
      <patternFill patternType="solid">
        <fgColor indexed="31"/>
      </patternFill>
    </fill>
    <fill>
      <patternFill patternType="solid">
        <fgColor indexed="61"/>
      </patternFill>
    </fill>
    <fill>
      <patternFill patternType="solid">
        <fgColor indexed="26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  <bgColor indexed="64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2"/>
        <bgColor indexed="64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47"/>
        <bgColor indexed="64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29"/>
        <bgColor indexed="64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  <bgColor indexed="64"/>
      </patternFill>
    </fill>
    <fill>
      <patternFill patternType="solid">
        <fgColor indexed="62"/>
      </patternFill>
    </fill>
    <fill>
      <patternFill patternType="solid">
        <fgColor indexed="25"/>
        <bgColor indexed="64"/>
      </patternFill>
    </fill>
    <fill>
      <patternFill patternType="solid">
        <fgColor indexed="10"/>
      </patternFill>
    </fill>
    <fill>
      <patternFill patternType="solid">
        <fgColor indexed="55"/>
        <bgColor indexed="64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9"/>
        <bgColor indexed="64"/>
      </patternFill>
    </fill>
    <fill>
      <patternFill patternType="solid">
        <fgColor indexed="53"/>
      </patternFill>
    </fill>
    <fill>
      <patternFill patternType="solid">
        <fgColor indexed="45"/>
        <bgColor indexed="64"/>
      </patternFill>
    </fill>
    <fill>
      <patternFill patternType="solid">
        <fgColor indexed="18"/>
        <bgColor indexed="16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</patternFill>
    </fill>
    <fill>
      <patternFill patternType="solid">
        <fgColor indexed="43"/>
        <bgColor indexed="64"/>
      </patternFill>
    </fill>
    <fill>
      <patternFill patternType="solid">
        <fgColor indexed="19"/>
      </patternFill>
    </fill>
    <fill>
      <patternFill patternType="solid">
        <fgColor rgb="FF4F81BD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6600"/>
        <bgColor indexed="64"/>
      </patternFill>
    </fill>
  </fills>
  <borders count="7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hair">
        <color indexed="8"/>
      </right>
      <top/>
      <bottom/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/>
      <top/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/>
      <right/>
      <top/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/>
      <right style="thin">
        <color theme="0" tint="-0.14993743705557422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/>
      <diagonal/>
    </border>
  </borders>
  <cellStyleXfs count="7313">
    <xf numFmtId="0" fontId="0" fillId="0" borderId="0"/>
    <xf numFmtId="0" fontId="8" fillId="0" borderId="0" applyNumberFormat="0" applyFill="0" applyBorder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1" fillId="0" borderId="9" applyNumberFormat="0" applyFill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0" applyNumberFormat="0" applyBorder="0" applyAlignment="0" applyProtection="0"/>
    <xf numFmtId="0" fontId="15" fillId="9" borderId="10" applyNumberFormat="0" applyAlignment="0" applyProtection="0"/>
    <xf numFmtId="0" fontId="16" fillId="10" borderId="11" applyNumberFormat="0" applyAlignment="0" applyProtection="0"/>
    <xf numFmtId="0" fontId="17" fillId="10" borderId="10" applyNumberFormat="0" applyAlignment="0" applyProtection="0"/>
    <xf numFmtId="0" fontId="18" fillId="0" borderId="12" applyNumberFormat="0" applyFill="0" applyAlignment="0" applyProtection="0"/>
    <xf numFmtId="0" fontId="5" fillId="11" borderId="13" applyNumberFormat="0" applyAlignment="0" applyProtection="0"/>
    <xf numFmtId="0" fontId="19" fillId="0" borderId="0" applyNumberFormat="0" applyFill="0" applyBorder="0" applyAlignment="0" applyProtection="0"/>
    <xf numFmtId="0" fontId="7" fillId="12" borderId="14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5" applyNumberFormat="0" applyFill="0" applyAlignment="0" applyProtection="0"/>
    <xf numFmtId="0" fontId="21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21" fillId="36" borderId="0" applyNumberFormat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3" fillId="37" borderId="16" applyNumberFormat="0" applyFont="0" applyBorder="0" applyAlignment="0" applyProtection="0">
      <alignment horizontal="centerContinuous"/>
    </xf>
    <xf numFmtId="0" fontId="24" fillId="38" borderId="17" applyNumberFormat="0" applyFont="0" applyBorder="0" applyAlignment="0">
      <alignment horizontal="centerContinuous"/>
    </xf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71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5" fillId="0" borderId="0">
      <alignment vertical="center"/>
    </xf>
    <xf numFmtId="0" fontId="26" fillId="0" borderId="0">
      <alignment vertical="center"/>
    </xf>
    <xf numFmtId="38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27" fillId="40" borderId="0" applyNumberFormat="0" applyFont="0" applyBorder="0" applyAlignment="0" applyProtection="0"/>
    <xf numFmtId="173" fontId="29" fillId="41" borderId="0"/>
    <xf numFmtId="0" fontId="30" fillId="42" borderId="0" applyNumberFormat="0" applyBorder="0" applyAlignment="0">
      <alignment horizontal="center"/>
    </xf>
    <xf numFmtId="0" fontId="31" fillId="43" borderId="21">
      <alignment horizontal="center"/>
      <protection locked="0"/>
    </xf>
    <xf numFmtId="0" fontId="32" fillId="44" borderId="0" applyNumberFormat="0" applyFont="0" applyBorder="0" applyAlignment="0" applyProtection="0"/>
    <xf numFmtId="2" fontId="22" fillId="45" borderId="19" applyNumberFormat="0" applyBorder="0">
      <alignment horizontal="right" vertical="center"/>
    </xf>
    <xf numFmtId="2" fontId="33" fillId="46" borderId="22" applyBorder="0">
      <alignment horizontal="left" vertical="center"/>
    </xf>
    <xf numFmtId="10" fontId="34" fillId="39" borderId="0" applyBorder="0">
      <alignment horizontal="right"/>
      <protection locked="0"/>
    </xf>
    <xf numFmtId="15" fontId="34" fillId="39" borderId="18" applyBorder="0">
      <alignment horizontal="center"/>
      <protection locked="0"/>
    </xf>
    <xf numFmtId="15" fontId="34" fillId="39" borderId="0" applyBorder="0">
      <alignment horizontal="left"/>
      <protection locked="0"/>
    </xf>
    <xf numFmtId="2" fontId="35" fillId="47" borderId="22" applyNumberFormat="0">
      <alignment horizontal="center" vertical="center"/>
    </xf>
    <xf numFmtId="174" fontId="36" fillId="48" borderId="17" applyBorder="0">
      <alignment horizontal="left"/>
      <protection locked="0"/>
    </xf>
    <xf numFmtId="174" fontId="36" fillId="48" borderId="23" applyBorder="0">
      <alignment horizontal="right"/>
      <protection locked="0"/>
    </xf>
    <xf numFmtId="171" fontId="22" fillId="0" borderId="0" applyFont="0" applyFill="0" applyBorder="0" applyAlignment="0" applyProtection="0"/>
    <xf numFmtId="172" fontId="22" fillId="0" borderId="0" applyFont="0" applyFill="0" applyBorder="0" applyAlignment="0" applyProtection="0"/>
    <xf numFmtId="0" fontId="37" fillId="49" borderId="0" applyNumberFormat="0" applyFont="0" applyBorder="0" applyAlignment="0" applyProtection="0"/>
    <xf numFmtId="0" fontId="37" fillId="50" borderId="0" applyNumberFormat="0" applyFont="0" applyBorder="0" applyAlignment="0" applyProtection="0"/>
    <xf numFmtId="0" fontId="37" fillId="51" borderId="0" applyNumberFormat="0" applyFont="0" applyBorder="0" applyAlignment="0" applyProtection="0">
      <alignment horizontal="center"/>
    </xf>
    <xf numFmtId="0" fontId="37" fillId="52" borderId="24" applyNumberFormat="0" applyFont="0" applyBorder="0" applyAlignment="0" applyProtection="0"/>
    <xf numFmtId="0" fontId="37" fillId="53" borderId="24" applyNumberFormat="0" applyFont="0" applyBorder="0" applyAlignment="0"/>
    <xf numFmtId="0" fontId="37" fillId="54" borderId="24" applyNumberFormat="0" applyFont="0" applyBorder="0" applyAlignment="0"/>
    <xf numFmtId="0" fontId="27" fillId="55" borderId="0" applyNumberFormat="0" applyFont="0" applyBorder="0" applyAlignment="0" applyProtection="0">
      <alignment horizontal="center"/>
      <protection hidden="1"/>
    </xf>
    <xf numFmtId="0" fontId="22" fillId="40" borderId="0" applyNumberFormat="0" applyFont="0" applyBorder="0" applyAlignment="0" applyProtection="0">
      <protection hidden="1"/>
    </xf>
    <xf numFmtId="0" fontId="22" fillId="56" borderId="0" applyNumberFormat="0" applyFont="0" applyBorder="0" applyAlignment="0" applyProtection="0">
      <protection hidden="1"/>
    </xf>
    <xf numFmtId="0" fontId="22" fillId="57" borderId="0" applyNumberFormat="0" applyFont="0" applyBorder="0" applyAlignment="0" applyProtection="0">
      <protection hidden="1"/>
    </xf>
    <xf numFmtId="0" fontId="22" fillId="58" borderId="0" applyNumberFormat="0" applyFont="0" applyBorder="0" applyAlignment="0" applyProtection="0">
      <protection hidden="1"/>
    </xf>
    <xf numFmtId="0" fontId="22" fillId="59" borderId="0" applyNumberFormat="0" applyFont="0" applyBorder="0" applyAlignment="0" applyProtection="0">
      <protection hidden="1"/>
    </xf>
    <xf numFmtId="0" fontId="22" fillId="60" borderId="0" applyNumberFormat="0" applyFont="0" applyBorder="0" applyAlignment="0" applyProtection="0">
      <protection hidden="1"/>
    </xf>
    <xf numFmtId="175" fontId="38" fillId="0" borderId="20" applyBorder="0">
      <alignment horizontal="center"/>
      <protection locked="0"/>
    </xf>
    <xf numFmtId="0" fontId="22" fillId="0" borderId="0">
      <alignment horizontal="left" wrapText="1"/>
    </xf>
    <xf numFmtId="9" fontId="26" fillId="0" borderId="0" applyFont="0" applyFill="0" applyBorder="0" applyAlignment="0" applyProtection="0">
      <alignment vertical="center"/>
    </xf>
    <xf numFmtId="38" fontId="26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/>
    <xf numFmtId="0" fontId="26" fillId="0" borderId="0">
      <alignment vertical="center"/>
    </xf>
    <xf numFmtId="0" fontId="39" fillId="0" borderId="0">
      <alignment vertical="center"/>
    </xf>
    <xf numFmtId="0" fontId="25" fillId="0" borderId="0">
      <alignment vertical="center"/>
    </xf>
    <xf numFmtId="38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>
      <alignment horizontal="left" wrapText="1"/>
    </xf>
    <xf numFmtId="0" fontId="22" fillId="0" borderId="0">
      <alignment horizontal="left" wrapText="1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horizontal="left" wrapText="1"/>
    </xf>
    <xf numFmtId="0" fontId="22" fillId="0" borderId="0">
      <alignment horizontal="left" wrapText="1"/>
    </xf>
    <xf numFmtId="0" fontId="22" fillId="0" borderId="0">
      <alignment horizontal="left" wrapText="1"/>
    </xf>
    <xf numFmtId="0" fontId="22" fillId="0" borderId="0">
      <alignment horizontal="left" wrapText="1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horizontal="left" wrapText="1"/>
    </xf>
    <xf numFmtId="0" fontId="22" fillId="0" borderId="0">
      <alignment horizontal="left" wrapText="1"/>
    </xf>
    <xf numFmtId="0" fontId="22" fillId="0" borderId="0"/>
    <xf numFmtId="9" fontId="23" fillId="0" borderId="0"/>
    <xf numFmtId="0" fontId="41" fillId="61" borderId="0" applyNumberFormat="0" applyBorder="0" applyAlignment="0" applyProtection="0"/>
    <xf numFmtId="0" fontId="41" fillId="62" borderId="0" applyNumberFormat="0" applyBorder="0" applyAlignment="0" applyProtection="0"/>
    <xf numFmtId="0" fontId="41" fillId="63" borderId="0" applyNumberFormat="0" applyBorder="0" applyAlignment="0" applyProtection="0"/>
    <xf numFmtId="0" fontId="41" fillId="62" borderId="0" applyNumberFormat="0" applyBorder="0" applyAlignment="0" applyProtection="0"/>
    <xf numFmtId="0" fontId="41" fillId="62" borderId="0" applyNumberFormat="0" applyBorder="0" applyAlignment="0" applyProtection="0"/>
    <xf numFmtId="0" fontId="41" fillId="62" borderId="0" applyNumberFormat="0" applyBorder="0" applyAlignment="0" applyProtection="0"/>
    <xf numFmtId="0" fontId="41" fillId="64" borderId="0" applyNumberFormat="0" applyBorder="0" applyAlignment="0" applyProtection="0"/>
    <xf numFmtId="0" fontId="41" fillId="65" borderId="0" applyNumberFormat="0" applyBorder="0" applyAlignment="0" applyProtection="0"/>
    <xf numFmtId="0" fontId="41" fillId="66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5" borderId="0" applyNumberFormat="0" applyBorder="0" applyAlignment="0" applyProtection="0"/>
    <xf numFmtId="0" fontId="41" fillId="64" borderId="0" applyNumberFormat="0" applyBorder="0" applyAlignment="0" applyProtection="0"/>
    <xf numFmtId="0" fontId="41" fillId="67" borderId="0" applyNumberFormat="0" applyBorder="0" applyAlignment="0" applyProtection="0"/>
    <xf numFmtId="0" fontId="41" fillId="68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7" borderId="0" applyNumberFormat="0" applyBorder="0" applyAlignment="0" applyProtection="0"/>
    <xf numFmtId="0" fontId="41" fillId="61" borderId="0" applyNumberFormat="0" applyBorder="0" applyAlignment="0" applyProtection="0"/>
    <xf numFmtId="0" fontId="41" fillId="69" borderId="0" applyNumberFormat="0" applyBorder="0" applyAlignment="0" applyProtection="0"/>
    <xf numFmtId="0" fontId="41" fillId="63" borderId="0" applyNumberFormat="0" applyBorder="0" applyAlignment="0" applyProtection="0"/>
    <xf numFmtId="0" fontId="41" fillId="69" borderId="0" applyNumberFormat="0" applyBorder="0" applyAlignment="0" applyProtection="0"/>
    <xf numFmtId="0" fontId="41" fillId="69" borderId="0" applyNumberFormat="0" applyBorder="0" applyAlignment="0" applyProtection="0"/>
    <xf numFmtId="0" fontId="41" fillId="69" borderId="0" applyNumberFormat="0" applyBorder="0" applyAlignment="0" applyProtection="0"/>
    <xf numFmtId="0" fontId="41" fillId="70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71" borderId="0" applyNumberFormat="0" applyBorder="0" applyAlignment="0" applyProtection="0"/>
    <xf numFmtId="0" fontId="41" fillId="64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6" borderId="0" applyNumberFormat="0" applyBorder="0" applyAlignment="0" applyProtection="0"/>
    <xf numFmtId="0" fontId="41" fillId="61" borderId="0" applyNumberFormat="0" applyBorder="0" applyAlignment="0" applyProtection="0"/>
    <xf numFmtId="0" fontId="41" fillId="72" borderId="0" applyNumberFormat="0" applyBorder="0" applyAlignment="0" applyProtection="0"/>
    <xf numFmtId="0" fontId="41" fillId="73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48" borderId="0" applyNumberFormat="0" applyBorder="0" applyAlignment="0" applyProtection="0"/>
    <xf numFmtId="0" fontId="41" fillId="74" borderId="0" applyNumberFormat="0" applyBorder="0" applyAlignment="0" applyProtection="0"/>
    <xf numFmtId="0" fontId="41" fillId="74" borderId="0" applyNumberFormat="0" applyBorder="0" applyAlignment="0" applyProtection="0"/>
    <xf numFmtId="0" fontId="41" fillId="74" borderId="0" applyNumberFormat="0" applyBorder="0" applyAlignment="0" applyProtection="0"/>
    <xf numFmtId="0" fontId="41" fillId="75" borderId="0" applyNumberFormat="0" applyBorder="0" applyAlignment="0" applyProtection="0"/>
    <xf numFmtId="0" fontId="41" fillId="76" borderId="0" applyNumberFormat="0" applyBorder="0" applyAlignment="0" applyProtection="0"/>
    <xf numFmtId="0" fontId="41" fillId="77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41" fillId="76" borderId="0" applyNumberFormat="0" applyBorder="0" applyAlignment="0" applyProtection="0"/>
    <xf numFmtId="0" fontId="41" fillId="48" borderId="0" applyNumberFormat="0" applyBorder="0" applyAlignment="0" applyProtection="0"/>
    <xf numFmtId="0" fontId="41" fillId="69" borderId="0" applyNumberFormat="0" applyBorder="0" applyAlignment="0" applyProtection="0"/>
    <xf numFmtId="0" fontId="41" fillId="73" borderId="0" applyNumberFormat="0" applyBorder="0" applyAlignment="0" applyProtection="0"/>
    <xf numFmtId="0" fontId="41" fillId="69" borderId="0" applyNumberFormat="0" applyBorder="0" applyAlignment="0" applyProtection="0"/>
    <xf numFmtId="0" fontId="41" fillId="69" borderId="0" applyNumberFormat="0" applyBorder="0" applyAlignment="0" applyProtection="0"/>
    <xf numFmtId="0" fontId="41" fillId="69" borderId="0" applyNumberFormat="0" applyBorder="0" applyAlignment="0" applyProtection="0"/>
    <xf numFmtId="0" fontId="41" fillId="61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2" borderId="0" applyNumberFormat="0" applyBorder="0" applyAlignment="0" applyProtection="0"/>
    <xf numFmtId="0" fontId="41" fillId="78" borderId="0" applyNumberFormat="0" applyBorder="0" applyAlignment="0" applyProtection="0"/>
    <xf numFmtId="0" fontId="41" fillId="79" borderId="0" applyNumberFormat="0" applyBorder="0" applyAlignment="0" applyProtection="0"/>
    <xf numFmtId="0" fontId="41" fillId="66" borderId="0" applyNumberFormat="0" applyBorder="0" applyAlignment="0" applyProtection="0"/>
    <xf numFmtId="0" fontId="41" fillId="79" borderId="0" applyNumberFormat="0" applyBorder="0" applyAlignment="0" applyProtection="0"/>
    <xf numFmtId="0" fontId="41" fillId="79" borderId="0" applyNumberFormat="0" applyBorder="0" applyAlignment="0" applyProtection="0"/>
    <xf numFmtId="0" fontId="41" fillId="79" borderId="0" applyNumberFormat="0" applyBorder="0" applyAlignment="0" applyProtection="0"/>
    <xf numFmtId="0" fontId="42" fillId="80" borderId="0" applyNumberFormat="0" applyBorder="0" applyAlignment="0" applyProtection="0"/>
    <xf numFmtId="0" fontId="42" fillId="81" borderId="0" applyNumberFormat="0" applyBorder="0" applyAlignment="0" applyProtection="0"/>
    <xf numFmtId="0" fontId="42" fillId="82" borderId="0" applyNumberFormat="0" applyBorder="0" applyAlignment="0" applyProtection="0"/>
    <xf numFmtId="0" fontId="42" fillId="81" borderId="0" applyNumberFormat="0" applyBorder="0" applyAlignment="0" applyProtection="0"/>
    <xf numFmtId="0" fontId="42" fillId="81" borderId="0" applyNumberFormat="0" applyBorder="0" applyAlignment="0" applyProtection="0"/>
    <xf numFmtId="0" fontId="42" fillId="81" borderId="0" applyNumberFormat="0" applyBorder="0" applyAlignment="0" applyProtection="0"/>
    <xf numFmtId="0" fontId="42" fillId="83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42" fillId="74" borderId="0" applyNumberFormat="0" applyBorder="0" applyAlignment="0" applyProtection="0"/>
    <xf numFmtId="0" fontId="42" fillId="48" borderId="0" applyNumberFormat="0" applyBorder="0" applyAlignment="0" applyProtection="0"/>
    <xf numFmtId="0" fontId="42" fillId="76" borderId="0" applyNumberFormat="0" applyBorder="0" applyAlignment="0" applyProtection="0"/>
    <xf numFmtId="0" fontId="42" fillId="77" borderId="0" applyNumberFormat="0" applyBorder="0" applyAlignment="0" applyProtection="0"/>
    <xf numFmtId="0" fontId="42" fillId="76" borderId="0" applyNumberFormat="0" applyBorder="0" applyAlignment="0" applyProtection="0"/>
    <xf numFmtId="0" fontId="42" fillId="76" borderId="0" applyNumberFormat="0" applyBorder="0" applyAlignment="0" applyProtection="0"/>
    <xf numFmtId="0" fontId="42" fillId="76" borderId="0" applyNumberFormat="0" applyBorder="0" applyAlignment="0" applyProtection="0"/>
    <xf numFmtId="0" fontId="42" fillId="48" borderId="0" applyNumberFormat="0" applyBorder="0" applyAlignment="0" applyProtection="0"/>
    <xf numFmtId="0" fontId="42" fillId="84" borderId="0" applyNumberFormat="0" applyBorder="0" applyAlignment="0" applyProtection="0"/>
    <xf numFmtId="0" fontId="42" fillId="73" borderId="0" applyNumberFormat="0" applyBorder="0" applyAlignment="0" applyProtection="0"/>
    <xf numFmtId="0" fontId="42" fillId="84" borderId="0" applyNumberFormat="0" applyBorder="0" applyAlignment="0" applyProtection="0"/>
    <xf numFmtId="0" fontId="42" fillId="84" borderId="0" applyNumberFormat="0" applyBorder="0" applyAlignment="0" applyProtection="0"/>
    <xf numFmtId="0" fontId="42" fillId="84" borderId="0" applyNumberFormat="0" applyBorder="0" applyAlignment="0" applyProtection="0"/>
    <xf numFmtId="0" fontId="42" fillId="80" borderId="0" applyNumberFormat="0" applyBorder="0" applyAlignment="0" applyProtection="0"/>
    <xf numFmtId="0" fontId="42" fillId="82" borderId="0" applyNumberFormat="0" applyBorder="0" applyAlignment="0" applyProtection="0"/>
    <xf numFmtId="0" fontId="42" fillId="82" borderId="0" applyNumberFormat="0" applyBorder="0" applyAlignment="0" applyProtection="0"/>
    <xf numFmtId="0" fontId="42" fillId="82" borderId="0" applyNumberFormat="0" applyBorder="0" applyAlignment="0" applyProtection="0"/>
    <xf numFmtId="0" fontId="42" fillId="78" borderId="0" applyNumberFormat="0" applyBorder="0" applyAlignment="0" applyProtection="0"/>
    <xf numFmtId="0" fontId="42" fillId="85" borderId="0" applyNumberFormat="0" applyBorder="0" applyAlignment="0" applyProtection="0"/>
    <xf numFmtId="0" fontId="42" fillId="74" borderId="0" applyNumberFormat="0" applyBorder="0" applyAlignment="0" applyProtection="0"/>
    <xf numFmtId="0" fontId="42" fillId="85" borderId="0" applyNumberFormat="0" applyBorder="0" applyAlignment="0" applyProtection="0"/>
    <xf numFmtId="0" fontId="42" fillId="85" borderId="0" applyNumberFormat="0" applyBorder="0" applyAlignment="0" applyProtection="0"/>
    <xf numFmtId="0" fontId="42" fillId="85" borderId="0" applyNumberFormat="0" applyBorder="0" applyAlignment="0" applyProtection="0"/>
    <xf numFmtId="0" fontId="42" fillId="86" borderId="0" applyNumberFormat="0" applyBorder="0" applyAlignment="0" applyProtection="0"/>
    <xf numFmtId="0" fontId="42" fillId="87" borderId="0" applyNumberFormat="0" applyBorder="0" applyAlignment="0" applyProtection="0"/>
    <xf numFmtId="0" fontId="42" fillId="82" borderId="0" applyNumberFormat="0" applyBorder="0" applyAlignment="0" applyProtection="0"/>
    <xf numFmtId="0" fontId="42" fillId="87" borderId="0" applyNumberFormat="0" applyBorder="0" applyAlignment="0" applyProtection="0"/>
    <xf numFmtId="0" fontId="42" fillId="87" borderId="0" applyNumberFormat="0" applyBorder="0" applyAlignment="0" applyProtection="0"/>
    <xf numFmtId="0" fontId="42" fillId="87" borderId="0" applyNumberFormat="0" applyBorder="0" applyAlignment="0" applyProtection="0"/>
    <xf numFmtId="0" fontId="42" fillId="88" borderId="0" applyNumberFormat="0" applyBorder="0" applyAlignment="0" applyProtection="0"/>
    <xf numFmtId="0" fontId="42" fillId="89" borderId="0" applyNumberFormat="0" applyBorder="0" applyAlignment="0" applyProtection="0"/>
    <xf numFmtId="0" fontId="42" fillId="89" borderId="0" applyNumberFormat="0" applyBorder="0" applyAlignment="0" applyProtection="0"/>
    <xf numFmtId="0" fontId="42" fillId="89" borderId="0" applyNumberFormat="0" applyBorder="0" applyAlignment="0" applyProtection="0"/>
    <xf numFmtId="0" fontId="42" fillId="90" borderId="0" applyNumberFormat="0" applyBorder="0" applyAlignment="0" applyProtection="0"/>
    <xf numFmtId="0" fontId="42" fillId="91" borderId="0" applyNumberFormat="0" applyBorder="0" applyAlignment="0" applyProtection="0"/>
    <xf numFmtId="0" fontId="42" fillId="91" borderId="0" applyNumberFormat="0" applyBorder="0" applyAlignment="0" applyProtection="0"/>
    <xf numFmtId="0" fontId="42" fillId="91" borderId="0" applyNumberFormat="0" applyBorder="0" applyAlignment="0" applyProtection="0"/>
    <xf numFmtId="0" fontId="42" fillId="86" borderId="0" applyNumberFormat="0" applyBorder="0" applyAlignment="0" applyProtection="0"/>
    <xf numFmtId="0" fontId="42" fillId="84" borderId="0" applyNumberFormat="0" applyBorder="0" applyAlignment="0" applyProtection="0"/>
    <xf numFmtId="0" fontId="42" fillId="92" borderId="0" applyNumberFormat="0" applyBorder="0" applyAlignment="0" applyProtection="0"/>
    <xf numFmtId="0" fontId="42" fillId="84" borderId="0" applyNumberFormat="0" applyBorder="0" applyAlignment="0" applyProtection="0"/>
    <xf numFmtId="0" fontId="42" fillId="84" borderId="0" applyNumberFormat="0" applyBorder="0" applyAlignment="0" applyProtection="0"/>
    <xf numFmtId="0" fontId="42" fillId="84" borderId="0" applyNumberFormat="0" applyBorder="0" applyAlignment="0" applyProtection="0"/>
    <xf numFmtId="0" fontId="42" fillId="93" borderId="0" applyNumberFormat="0" applyBorder="0" applyAlignment="0" applyProtection="0"/>
    <xf numFmtId="0" fontId="42" fillId="82" borderId="0" applyNumberFormat="0" applyBorder="0" applyAlignment="0" applyProtection="0"/>
    <xf numFmtId="0" fontId="42" fillId="82" borderId="0" applyNumberFormat="0" applyBorder="0" applyAlignment="0" applyProtection="0"/>
    <xf numFmtId="0" fontId="42" fillId="82" borderId="0" applyNumberFormat="0" applyBorder="0" applyAlignment="0" applyProtection="0"/>
    <xf numFmtId="0" fontId="42" fillId="83" borderId="0" applyNumberFormat="0" applyBorder="0" applyAlignment="0" applyProtection="0"/>
    <xf numFmtId="0" fontId="42" fillId="94" borderId="0" applyNumberFormat="0" applyBorder="0" applyAlignment="0" applyProtection="0"/>
    <xf numFmtId="0" fontId="42" fillId="94" borderId="0" applyNumberFormat="0" applyBorder="0" applyAlignment="0" applyProtection="0"/>
    <xf numFmtId="0" fontId="42" fillId="94" borderId="0" applyNumberFormat="0" applyBorder="0" applyAlignment="0" applyProtection="0"/>
    <xf numFmtId="0" fontId="43" fillId="0" borderId="25" applyNumberFormat="0" applyFill="0" applyAlignment="0" applyProtection="0">
      <alignment horizontal="left"/>
    </xf>
    <xf numFmtId="0" fontId="44" fillId="0" borderId="25">
      <protection hidden="1"/>
    </xf>
    <xf numFmtId="0" fontId="22" fillId="48" borderId="0"/>
    <xf numFmtId="0" fontId="22" fillId="48" borderId="0"/>
    <xf numFmtId="0" fontId="22" fillId="48" borderId="0"/>
    <xf numFmtId="0" fontId="22" fillId="48" borderId="0"/>
    <xf numFmtId="0" fontId="22" fillId="48" borderId="0"/>
    <xf numFmtId="0" fontId="22" fillId="48" borderId="0"/>
    <xf numFmtId="0" fontId="22" fillId="48" borderId="0"/>
    <xf numFmtId="0" fontId="45" fillId="95" borderId="0" applyNumberFormat="0" applyBorder="0" applyAlignment="0" applyProtection="0"/>
    <xf numFmtId="0" fontId="46" fillId="65" borderId="0" applyNumberFormat="0" applyBorder="0" applyAlignment="0" applyProtection="0"/>
    <xf numFmtId="0" fontId="47" fillId="65" borderId="0" applyNumberFormat="0" applyBorder="0" applyAlignment="0" applyProtection="0"/>
    <xf numFmtId="0" fontId="46" fillId="65" borderId="0" applyNumberFormat="0" applyBorder="0" applyAlignment="0" applyProtection="0"/>
    <xf numFmtId="0" fontId="46" fillId="65" borderId="0" applyNumberFormat="0" applyBorder="0" applyAlignment="0" applyProtection="0"/>
    <xf numFmtId="0" fontId="46" fillId="65" borderId="0" applyNumberFormat="0" applyBorder="0" applyAlignment="0" applyProtection="0"/>
    <xf numFmtId="0" fontId="48" fillId="96" borderId="0" applyNumberFormat="0" applyFont="0" applyBorder="0" applyAlignment="0" applyProtection="0">
      <alignment horizontal="center"/>
    </xf>
    <xf numFmtId="0" fontId="49" fillId="0" borderId="0">
      <alignment horizontal="right"/>
    </xf>
    <xf numFmtId="0" fontId="50" fillId="39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2" fillId="90" borderId="31" applyNumberFormat="0" applyAlignment="0" applyProtection="0"/>
    <xf numFmtId="0" fontId="52" fillId="97" borderId="31" applyNumberFormat="0" applyAlignment="0" applyProtection="0"/>
    <xf numFmtId="0" fontId="52" fillId="97" borderId="31" applyNumberFormat="0" applyAlignment="0" applyProtection="0"/>
    <xf numFmtId="0" fontId="52" fillId="97" borderId="31" applyNumberFormat="0" applyAlignment="0" applyProtection="0"/>
    <xf numFmtId="0" fontId="53" fillId="0" borderId="25" applyNumberFormat="0" applyBorder="0" applyAlignment="0" applyProtection="0">
      <alignment horizontal="left"/>
    </xf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4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55" fillId="0" borderId="0">
      <alignment horizontal="right"/>
    </xf>
    <xf numFmtId="15" fontId="56" fillId="98" borderId="32" applyFont="0" applyFill="0" applyBorder="0" applyAlignment="0" applyProtection="0">
      <alignment horizontal="left"/>
    </xf>
    <xf numFmtId="17" fontId="56" fillId="98" borderId="32" applyFont="0" applyFill="0" applyBorder="0" applyAlignment="0" applyProtection="0">
      <alignment horizontal="left"/>
    </xf>
    <xf numFmtId="0" fontId="56" fillId="98" borderId="0">
      <alignment vertical="center"/>
    </xf>
    <xf numFmtId="178" fontId="56" fillId="0" borderId="0" applyFont="0" applyFill="0" applyBorder="0" applyAlignment="0" applyProtection="0"/>
    <xf numFmtId="0" fontId="27" fillId="1" borderId="18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90" borderId="0"/>
    <xf numFmtId="179" fontId="59" fillId="99" borderId="29" applyBorder="0"/>
    <xf numFmtId="0" fontId="22" fillId="75" borderId="18"/>
    <xf numFmtId="0" fontId="22" fillId="75" borderId="18"/>
    <xf numFmtId="0" fontId="22" fillId="75" borderId="18"/>
    <xf numFmtId="0" fontId="22" fillId="75" borderId="18"/>
    <xf numFmtId="177" fontId="60" fillId="39" borderId="0"/>
    <xf numFmtId="0" fontId="61" fillId="100" borderId="18"/>
    <xf numFmtId="179" fontId="59" fillId="0" borderId="18"/>
    <xf numFmtId="179" fontId="59" fillId="101" borderId="18"/>
    <xf numFmtId="179" fontId="59" fillId="102" borderId="27" applyBorder="0"/>
    <xf numFmtId="179" fontId="59" fillId="103" borderId="18"/>
    <xf numFmtId="0" fontId="62" fillId="39" borderId="18"/>
    <xf numFmtId="0" fontId="58" fillId="104" borderId="18"/>
    <xf numFmtId="0" fontId="63" fillId="105" borderId="26" applyBorder="0">
      <alignment horizontal="right"/>
    </xf>
    <xf numFmtId="38" fontId="22" fillId="0" borderId="18"/>
    <xf numFmtId="0" fontId="22" fillId="0" borderId="18"/>
    <xf numFmtId="0" fontId="22" fillId="64" borderId="18"/>
    <xf numFmtId="0" fontId="22" fillId="64" borderId="18"/>
    <xf numFmtId="0" fontId="22" fillId="64" borderId="18"/>
    <xf numFmtId="0" fontId="22" fillId="64" borderId="18"/>
    <xf numFmtId="179" fontId="59" fillId="101" borderId="18"/>
    <xf numFmtId="0" fontId="64" fillId="99" borderId="28">
      <alignment horizontal="center"/>
    </xf>
    <xf numFmtId="179" fontId="59" fillId="39" borderId="18"/>
    <xf numFmtId="0" fontId="65" fillId="106" borderId="0"/>
    <xf numFmtId="0" fontId="66" fillId="0" borderId="0"/>
    <xf numFmtId="0" fontId="67" fillId="0" borderId="0" applyNumberFormat="0" applyFill="0" applyBorder="0" applyAlignment="0" applyProtection="0"/>
    <xf numFmtId="0" fontId="68" fillId="90" borderId="0">
      <alignment horizontal="center"/>
    </xf>
    <xf numFmtId="0" fontId="69" fillId="75" borderId="0" applyNumberFormat="0" applyBorder="0" applyAlignment="0" applyProtection="0"/>
    <xf numFmtId="0" fontId="69" fillId="67" borderId="0" applyNumberFormat="0" applyBorder="0" applyAlignment="0" applyProtection="0"/>
    <xf numFmtId="0" fontId="69" fillId="67" borderId="0" applyNumberFormat="0" applyBorder="0" applyAlignment="0" applyProtection="0"/>
    <xf numFmtId="0" fontId="69" fillId="67" borderId="0" applyNumberFormat="0" applyBorder="0" applyAlignment="0" applyProtection="0"/>
    <xf numFmtId="0" fontId="70" fillId="48" borderId="18" applyProtection="0">
      <alignment horizontal="center"/>
      <protection locked="0"/>
    </xf>
    <xf numFmtId="0" fontId="71" fillId="0" borderId="33" applyNumberFormat="0" applyFill="0" applyAlignment="0" applyProtection="0"/>
    <xf numFmtId="0" fontId="72" fillId="0" borderId="34" applyNumberFormat="0" applyFill="0" applyAlignment="0" applyProtection="0"/>
    <xf numFmtId="0" fontId="71" fillId="0" borderId="35" applyNumberFormat="0" applyFill="0" applyAlignment="0" applyProtection="0"/>
    <xf numFmtId="0" fontId="72" fillId="0" borderId="34" applyNumberFormat="0" applyFill="0" applyAlignment="0" applyProtection="0"/>
    <xf numFmtId="0" fontId="72" fillId="0" borderId="34" applyNumberFormat="0" applyFill="0" applyAlignment="0" applyProtection="0"/>
    <xf numFmtId="0" fontId="72" fillId="0" borderId="34" applyNumberFormat="0" applyFill="0" applyAlignment="0" applyProtection="0"/>
    <xf numFmtId="0" fontId="72" fillId="0" borderId="34" applyNumberFormat="0" applyFill="0" applyAlignment="0" applyProtection="0"/>
    <xf numFmtId="0" fontId="73" fillId="0" borderId="36" applyNumberFormat="0" applyFill="0" applyAlignment="0" applyProtection="0"/>
    <xf numFmtId="0" fontId="74" fillId="0" borderId="37" applyNumberFormat="0" applyFill="0" applyAlignment="0" applyProtection="0"/>
    <xf numFmtId="0" fontId="73" fillId="0" borderId="37" applyNumberFormat="0" applyFill="0" applyAlignment="0" applyProtection="0"/>
    <xf numFmtId="0" fontId="74" fillId="0" borderId="37" applyNumberFormat="0" applyFill="0" applyAlignment="0" applyProtection="0"/>
    <xf numFmtId="0" fontId="74" fillId="0" borderId="37" applyNumberFormat="0" applyFill="0" applyAlignment="0" applyProtection="0"/>
    <xf numFmtId="0" fontId="74" fillId="0" borderId="37" applyNumberFormat="0" applyFill="0" applyAlignment="0" applyProtection="0"/>
    <xf numFmtId="0" fontId="75" fillId="0" borderId="38" applyNumberFormat="0" applyFill="0" applyAlignment="0" applyProtection="0"/>
    <xf numFmtId="0" fontId="76" fillId="0" borderId="39" applyNumberFormat="0" applyFill="0" applyAlignment="0" applyProtection="0"/>
    <xf numFmtId="0" fontId="75" fillId="0" borderId="40" applyNumberFormat="0" applyFill="0" applyAlignment="0" applyProtection="0"/>
    <xf numFmtId="0" fontId="76" fillId="0" borderId="39" applyNumberFormat="0" applyFill="0" applyAlignment="0" applyProtection="0"/>
    <xf numFmtId="0" fontId="76" fillId="0" borderId="39" applyNumberFormat="0" applyFill="0" applyAlignment="0" applyProtection="0"/>
    <xf numFmtId="0" fontId="76" fillId="0" borderId="39" applyNumberFormat="0" applyFill="0" applyAlignment="0" applyProtection="0"/>
    <xf numFmtId="0" fontId="76" fillId="0" borderId="39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78" fillId="0" borderId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80" fillId="107" borderId="0" applyFont="0" applyFill="0" applyBorder="0" applyAlignment="0" applyProtection="0">
      <alignment horizontal="right" vertical="center"/>
    </xf>
    <xf numFmtId="0" fontId="81" fillId="0" borderId="25" applyNumberFormat="0" applyFill="0" applyBorder="0" applyAlignment="0" applyProtection="0"/>
    <xf numFmtId="0" fontId="82" fillId="0" borderId="41" applyNumberFormat="0" applyFill="0" applyAlignment="0" applyProtection="0"/>
    <xf numFmtId="0" fontId="83" fillId="0" borderId="41" applyNumberFormat="0" applyFill="0" applyAlignment="0" applyProtection="0"/>
    <xf numFmtId="0" fontId="83" fillId="0" borderId="41" applyNumberFormat="0" applyFill="0" applyAlignment="0" applyProtection="0"/>
    <xf numFmtId="0" fontId="83" fillId="0" borderId="41" applyNumberFormat="0" applyFill="0" applyAlignment="0" applyProtection="0"/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63" fillId="0" borderId="28"/>
    <xf numFmtId="0" fontId="27" fillId="0" borderId="0"/>
    <xf numFmtId="0" fontId="85" fillId="0" borderId="25">
      <alignment horizontal="left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86" fillId="108" borderId="0" applyNumberFormat="0" applyBorder="0" applyAlignment="0" applyProtection="0"/>
    <xf numFmtId="0" fontId="87" fillId="77" borderId="0" applyNumberFormat="0" applyBorder="0" applyAlignment="0" applyProtection="0"/>
    <xf numFmtId="0" fontId="87" fillId="77" borderId="0" applyNumberFormat="0" applyBorder="0" applyAlignment="0" applyProtection="0"/>
    <xf numFmtId="0" fontId="87" fillId="77" borderId="0" applyNumberFormat="0" applyBorder="0" applyAlignment="0" applyProtection="0"/>
    <xf numFmtId="180" fontId="8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7" fillId="0" borderId="0"/>
    <xf numFmtId="0" fontId="22" fillId="0" borderId="0"/>
    <xf numFmtId="0" fontId="22" fillId="0" borderId="0"/>
    <xf numFmtId="0" fontId="7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1" fillId="0" borderId="0"/>
    <xf numFmtId="0" fontId="4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89" fillId="0" borderId="25" applyNumberFormat="0" applyFill="0" applyBorder="0" applyAlignment="0" applyProtection="0">
      <alignment horizontal="left"/>
      <protection locked="0"/>
    </xf>
    <xf numFmtId="0" fontId="90" fillId="39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56" fillId="98" borderId="32" applyFont="0" applyFill="0" applyBorder="0" applyAlignment="0" applyProtection="0">
      <alignment horizontal="left"/>
    </xf>
    <xf numFmtId="0" fontId="91" fillId="0" borderId="20" applyBorder="0"/>
    <xf numFmtId="0" fontId="56" fillId="109" borderId="0" applyFont="0" applyFill="0" applyBorder="0">
      <alignment horizontal="left"/>
    </xf>
    <xf numFmtId="0" fontId="92" fillId="0" borderId="0"/>
    <xf numFmtId="0" fontId="22" fillId="0" borderId="0"/>
    <xf numFmtId="0" fontId="22" fillId="0" borderId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22" fillId="0" borderId="0"/>
    <xf numFmtId="0" fontId="22" fillId="0" borderId="0"/>
    <xf numFmtId="0" fontId="22" fillId="0" borderId="0">
      <alignment horizontal="left" wrapText="1"/>
    </xf>
    <xf numFmtId="0" fontId="22" fillId="0" borderId="0" applyNumberFormat="0" applyFill="0" applyBorder="0" applyAlignment="0" applyProtection="0"/>
    <xf numFmtId="0" fontId="22" fillId="39" borderId="18" applyAlignment="0">
      <alignment horizontal="right"/>
    </xf>
    <xf numFmtId="0" fontId="22" fillId="39" borderId="18" applyAlignment="0">
      <alignment horizontal="right"/>
    </xf>
    <xf numFmtId="0" fontId="94" fillId="0" borderId="0"/>
    <xf numFmtId="0" fontId="95" fillId="0" borderId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9" fillId="0" borderId="0">
      <alignment horizontal="center"/>
    </xf>
    <xf numFmtId="0" fontId="100" fillId="73" borderId="25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2" fillId="48" borderId="0" applyNumberFormat="0" applyFont="0" applyBorder="0" applyAlignment="0" applyProtection="0">
      <alignment horizontal="left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90" fillId="6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0" fillId="39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172" fontId="7" fillId="0" borderId="0" applyFont="0" applyFill="0" applyBorder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84" fillId="39" borderId="42" applyFont="0">
      <alignment horizontal="center" vertical="center"/>
    </xf>
    <xf numFmtId="0" fontId="90" fillId="39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6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101" fillId="0" borderId="44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0" fillId="39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51" fillId="63" borderId="30" applyNumberForma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90" fillId="6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0" fillId="39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84" fillId="39" borderId="42" applyFont="0">
      <alignment horizontal="center" vertical="center"/>
    </xf>
    <xf numFmtId="0" fontId="22" fillId="64" borderId="42" applyNumberFormat="0" applyFon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51" fillId="63" borderId="30" applyNumberForma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84" fillId="39" borderId="42" applyFont="0">
      <alignment horizontal="center" vertical="center"/>
    </xf>
    <xf numFmtId="0" fontId="90" fillId="39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63" borderId="43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90" fillId="63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90" fillId="39" borderId="43" applyNumberFormat="0" applyAlignment="0" applyProtection="0"/>
    <xf numFmtId="0" fontId="90" fillId="39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93" fillId="39" borderId="42">
      <alignment horizontal="center" vertical="center"/>
    </xf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51" fillId="63" borderId="30" applyNumberForma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79" fillId="66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0" fillId="63" borderId="43" applyNumberFormat="0" applyAlignment="0" applyProtection="0"/>
    <xf numFmtId="0" fontId="90" fillId="39" borderId="43" applyNumberForma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39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90" fillId="63" borderId="43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101" fillId="0" borderId="44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79" fillId="78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50" fillId="39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84" fillId="39" borderId="42" applyFont="0">
      <alignment horizontal="center" vertical="center"/>
    </xf>
    <xf numFmtId="0" fontId="50" fillId="39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101" fillId="0" borderId="46" applyNumberFormat="0" applyFill="0" applyAlignment="0" applyProtection="0"/>
    <xf numFmtId="0" fontId="90" fillId="63" borderId="43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101" fillId="0" borderId="44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90" fillId="39" borderId="43" applyNumberFormat="0" applyAlignment="0" applyProtection="0"/>
    <xf numFmtId="0" fontId="101" fillId="0" borderId="46" applyNumberFormat="0" applyFill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90" fillId="73" borderId="43" applyNumberFormat="0" applyAlignment="0" applyProtection="0"/>
    <xf numFmtId="0" fontId="84" fillId="39" borderId="42" applyFont="0">
      <alignment horizontal="center" vertical="center"/>
    </xf>
    <xf numFmtId="0" fontId="51" fillId="63" borderId="30" applyNumberFormat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3" fillId="39" borderId="42">
      <alignment horizontal="center" vertical="center"/>
    </xf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84" fillId="39" borderId="42" applyFont="0">
      <alignment horizontal="center" vertical="center"/>
    </xf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4" applyNumberFormat="0" applyFill="0" applyAlignment="0" applyProtection="0"/>
    <xf numFmtId="0" fontId="50" fillId="39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90" fillId="73" borderId="43" applyNumberFormat="0" applyAlignment="0" applyProtection="0"/>
    <xf numFmtId="0" fontId="90" fillId="39" borderId="43" applyNumberFormat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90" fillId="73" borderId="43" applyNumberFormat="0" applyAlignment="0" applyProtection="0"/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79" fillId="78" borderId="30" applyNumberFormat="0" applyAlignment="0" applyProtection="0"/>
    <xf numFmtId="0" fontId="93" fillId="39" borderId="42">
      <alignment horizontal="center" vertical="center"/>
    </xf>
    <xf numFmtId="0" fontId="22" fillId="64" borderId="42" applyNumberFormat="0" applyFon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79" fillId="78" borderId="30" applyNumberFormat="0" applyAlignment="0" applyProtection="0"/>
    <xf numFmtId="0" fontId="51" fillId="73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84" fillId="39" borderId="42" applyFont="0">
      <alignment horizontal="center" vertical="center"/>
    </xf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4" borderId="42" applyNumberFormat="0" applyFon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22" fillId="68" borderId="42" applyNumberFormat="0" applyFont="0" applyAlignment="0" applyProtection="0"/>
    <xf numFmtId="0" fontId="101" fillId="0" borderId="46" applyNumberFormat="0" applyFill="0" applyAlignment="0" applyProtection="0"/>
    <xf numFmtId="0" fontId="51" fillId="73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39" borderId="43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93" fillId="39" borderId="42">
      <alignment horizontal="center" vertical="center"/>
    </xf>
    <xf numFmtId="0" fontId="90" fillId="39" borderId="43" applyNumberFormat="0" applyAlignment="0" applyProtection="0"/>
    <xf numFmtId="0" fontId="22" fillId="68" borderId="42" applyNumberFormat="0" applyFont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51" fillId="73" borderId="30" applyNumberFormat="0" applyAlignment="0" applyProtection="0"/>
    <xf numFmtId="0" fontId="22" fillId="64" borderId="42" applyNumberFormat="0" applyFont="0" applyAlignment="0" applyProtection="0"/>
    <xf numFmtId="0" fontId="79" fillId="78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50" fillId="39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78" borderId="30" applyNumberFormat="0" applyAlignment="0" applyProtection="0"/>
    <xf numFmtId="0" fontId="90" fillId="73" borderId="43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101" fillId="0" borderId="44" applyNumberFormat="0" applyFill="0" applyAlignment="0" applyProtection="0"/>
    <xf numFmtId="0" fontId="90" fillId="63" borderId="43" applyNumberForma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101" fillId="0" borderId="45" applyNumberFormat="0" applyFill="0" applyAlignment="0" applyProtection="0"/>
    <xf numFmtId="0" fontId="51" fillId="63" borderId="30" applyNumberFormat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51" fillId="63" borderId="30" applyNumberFormat="0" applyAlignment="0" applyProtection="0"/>
    <xf numFmtId="0" fontId="51" fillId="63" borderId="30" applyNumberFormat="0" applyAlignment="0" applyProtection="0"/>
    <xf numFmtId="0" fontId="90" fillId="73" borderId="43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5" applyNumberFormat="0" applyFill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51" fillId="73" borderId="30" applyNumberFormat="0" applyAlignment="0" applyProtection="0"/>
    <xf numFmtId="0" fontId="90" fillId="63" borderId="43" applyNumberFormat="0" applyAlignment="0" applyProtection="0"/>
    <xf numFmtId="0" fontId="22" fillId="68" borderId="42" applyNumberFormat="0" applyFon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50" fillId="39" borderId="30" applyNumberFormat="0" applyAlignment="0" applyProtection="0"/>
    <xf numFmtId="0" fontId="101" fillId="0" borderId="46" applyNumberFormat="0" applyFill="0" applyAlignment="0" applyProtection="0"/>
    <xf numFmtId="0" fontId="101" fillId="0" borderId="45" applyNumberFormat="0" applyFill="0" applyAlignment="0" applyProtection="0"/>
    <xf numFmtId="0" fontId="84" fillId="39" borderId="42" applyFont="0">
      <alignment horizontal="center" vertical="center"/>
    </xf>
    <xf numFmtId="0" fontId="90" fillId="73" borderId="43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101" fillId="0" borderId="45" applyNumberFormat="0" applyFill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22" fillId="64" borderId="42" applyNumberFormat="0" applyFont="0" applyAlignment="0" applyProtection="0"/>
    <xf numFmtId="0" fontId="22" fillId="68" borderId="42" applyNumberFormat="0" applyFon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93" fillId="39" borderId="42">
      <alignment horizontal="center" vertical="center"/>
    </xf>
    <xf numFmtId="0" fontId="101" fillId="0" borderId="45" applyNumberFormat="0" applyFill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51" fillId="73" borderId="30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101" fillId="0" borderId="45" applyNumberFormat="0" applyFill="0" applyAlignment="0" applyProtection="0"/>
    <xf numFmtId="0" fontId="101" fillId="0" borderId="44" applyNumberFormat="0" applyFill="0" applyAlignment="0" applyProtection="0"/>
    <xf numFmtId="0" fontId="101" fillId="0" borderId="46" applyNumberFormat="0" applyFill="0" applyAlignment="0" applyProtection="0"/>
    <xf numFmtId="0" fontId="90" fillId="73" borderId="43" applyNumberFormat="0" applyAlignment="0" applyProtection="0"/>
    <xf numFmtId="0" fontId="79" fillId="66" borderId="30" applyNumberFormat="0" applyAlignment="0" applyProtection="0"/>
    <xf numFmtId="0" fontId="79" fillId="66" borderId="30" applyNumberFormat="0" applyAlignment="0" applyProtection="0"/>
    <xf numFmtId="0" fontId="22" fillId="64" borderId="42" applyNumberFormat="0" applyFont="0" applyAlignment="0" applyProtection="0"/>
    <xf numFmtId="0" fontId="51" fillId="73" borderId="30" applyNumberFormat="0" applyAlignment="0" applyProtection="0"/>
    <xf numFmtId="0" fontId="101" fillId="0" borderId="45" applyNumberFormat="0" applyFill="0" applyAlignment="0" applyProtection="0"/>
    <xf numFmtId="0" fontId="22" fillId="68" borderId="42" applyNumberFormat="0" applyFont="0" applyAlignment="0" applyProtection="0"/>
    <xf numFmtId="0" fontId="90" fillId="73" borderId="43" applyNumberFormat="0" applyAlignment="0" applyProtection="0"/>
    <xf numFmtId="0" fontId="51" fillId="63" borderId="30" applyNumberFormat="0" applyAlignment="0" applyProtection="0"/>
    <xf numFmtId="0" fontId="51" fillId="73" borderId="30" applyNumberFormat="0" applyAlignment="0" applyProtection="0"/>
    <xf numFmtId="0" fontId="51" fillId="73" borderId="30" applyNumberFormat="0" applyAlignment="0" applyProtection="0"/>
    <xf numFmtId="0" fontId="93" fillId="39" borderId="42">
      <alignment horizontal="center" vertical="center"/>
    </xf>
    <xf numFmtId="0" fontId="51" fillId="63" borderId="30" applyNumberForma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39" borderId="43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50" fillId="39" borderId="30" applyNumberFormat="0" applyAlignment="0" applyProtection="0"/>
    <xf numFmtId="0" fontId="101" fillId="0" borderId="44" applyNumberFormat="0" applyFill="0" applyAlignment="0" applyProtection="0"/>
    <xf numFmtId="0" fontId="79" fillId="66" borderId="30" applyNumberFormat="0" applyAlignment="0" applyProtection="0"/>
    <xf numFmtId="0" fontId="22" fillId="68" borderId="42" applyNumberFormat="0" applyFont="0" applyAlignment="0" applyProtection="0"/>
    <xf numFmtId="0" fontId="51" fillId="73" borderId="30" applyNumberFormat="0" applyAlignment="0" applyProtection="0"/>
    <xf numFmtId="0" fontId="90" fillId="73" borderId="43" applyNumberFormat="0" applyAlignment="0" applyProtection="0"/>
    <xf numFmtId="0" fontId="90" fillId="73" borderId="43" applyNumberFormat="0" applyAlignment="0" applyProtection="0"/>
    <xf numFmtId="0" fontId="79" fillId="78" borderId="30" applyNumberFormat="0" applyAlignment="0" applyProtection="0"/>
    <xf numFmtId="0" fontId="101" fillId="0" borderId="45" applyNumberFormat="0" applyFill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79" fillId="66" borderId="30" applyNumberFormat="0" applyAlignment="0" applyProtection="0"/>
    <xf numFmtId="0" fontId="79" fillId="78" borderId="30" applyNumberFormat="0" applyAlignment="0" applyProtection="0"/>
    <xf numFmtId="0" fontId="22" fillId="68" borderId="42" applyNumberFormat="0" applyFont="0" applyAlignment="0" applyProtection="0"/>
    <xf numFmtId="0" fontId="101" fillId="0" borderId="45" applyNumberFormat="0" applyFill="0" applyAlignment="0" applyProtection="0"/>
    <xf numFmtId="0" fontId="90" fillId="39" borderId="43" applyNumberFormat="0" applyAlignment="0" applyProtection="0"/>
    <xf numFmtId="0" fontId="84" fillId="39" borderId="42" applyFont="0">
      <alignment horizontal="center" vertical="center"/>
    </xf>
    <xf numFmtId="0" fontId="79" fillId="66" borderId="30" applyNumberFormat="0" applyAlignment="0" applyProtection="0"/>
    <xf numFmtId="0" fontId="79" fillId="78" borderId="30" applyNumberFormat="0" applyAlignment="0" applyProtection="0"/>
    <xf numFmtId="0" fontId="90" fillId="73" borderId="43" applyNumberFormat="0" applyAlignment="0" applyProtection="0"/>
    <xf numFmtId="0" fontId="101" fillId="0" borderId="46" applyNumberFormat="0" applyFill="0" applyAlignment="0" applyProtection="0"/>
    <xf numFmtId="0" fontId="90" fillId="39" borderId="43" applyNumberFormat="0" applyAlignment="0" applyProtection="0"/>
    <xf numFmtId="0" fontId="101" fillId="0" borderId="45" applyNumberFormat="0" applyFill="0" applyAlignment="0" applyProtection="0"/>
    <xf numFmtId="43" fontId="7" fillId="0" borderId="0" applyFont="0" applyFill="0" applyBorder="0" applyAlignment="0" applyProtection="0"/>
    <xf numFmtId="40" fontId="103" fillId="0" borderId="0" applyFont="0" applyFill="0" applyBorder="0" applyAlignment="0" applyProtection="0">
      <alignment vertical="center"/>
    </xf>
    <xf numFmtId="40" fontId="103" fillId="0" borderId="0" applyFont="0" applyFill="0" applyBorder="0" applyAlignment="0" applyProtection="0">
      <alignment vertical="center"/>
    </xf>
    <xf numFmtId="40" fontId="103" fillId="0" borderId="0" applyFont="0" applyFill="0" applyBorder="0" applyAlignment="0" applyProtection="0">
      <alignment vertical="center"/>
    </xf>
    <xf numFmtId="40" fontId="103" fillId="0" borderId="0" applyFont="0" applyFill="0" applyBorder="0" applyAlignment="0" applyProtection="0">
      <alignment vertical="center"/>
    </xf>
    <xf numFmtId="0" fontId="52" fillId="11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75">
    <xf numFmtId="0" fontId="0" fillId="0" borderId="0" xfId="0"/>
    <xf numFmtId="0" fontId="1" fillId="0" borderId="0" xfId="0" applyFont="1" applyFill="1" applyBorder="1"/>
    <xf numFmtId="0" fontId="0" fillId="2" borderId="4" xfId="0" applyFill="1" applyBorder="1"/>
    <xf numFmtId="0" fontId="0" fillId="2" borderId="5" xfId="0" applyFill="1" applyBorder="1"/>
    <xf numFmtId="166" fontId="6" fillId="5" borderId="5" xfId="0" applyNumberFormat="1" applyFont="1" applyFill="1" applyBorder="1" applyAlignment="1">
      <alignment horizontal="center" vertical="center"/>
    </xf>
    <xf numFmtId="169" fontId="6" fillId="5" borderId="5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5" xfId="0" quotePrefix="1" applyFont="1" applyFill="1" applyBorder="1" applyAlignment="1">
      <alignment horizontal="center" vertical="center"/>
    </xf>
    <xf numFmtId="0" fontId="6" fillId="5" borderId="6" xfId="0" quotePrefix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167" fontId="6" fillId="5" borderId="5" xfId="0" applyNumberFormat="1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 vertical="center"/>
    </xf>
    <xf numFmtId="166" fontId="2" fillId="5" borderId="5" xfId="0" applyNumberFormat="1" applyFont="1" applyFill="1" applyBorder="1" applyAlignment="1">
      <alignment horizontal="center" vertical="center"/>
    </xf>
    <xf numFmtId="0" fontId="0" fillId="2" borderId="2" xfId="0" applyFont="1" applyFill="1" applyBorder="1"/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3" fontId="0" fillId="5" borderId="2" xfId="0" applyNumberForma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0" fontId="2" fillId="5" borderId="2" xfId="0" applyNumberFormat="1" applyFont="1" applyFill="1" applyBorder="1" applyAlignment="1">
      <alignment horizontal="center" vertical="center"/>
    </xf>
    <xf numFmtId="168" fontId="0" fillId="2" borderId="2" xfId="0" applyNumberFormat="1" applyFill="1" applyBorder="1" applyAlignment="1">
      <alignment horizontal="center" vertical="center"/>
    </xf>
    <xf numFmtId="4" fontId="0" fillId="2" borderId="2" xfId="0" applyNumberForma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 vertical="center"/>
    </xf>
    <xf numFmtId="0" fontId="0" fillId="0" borderId="0" xfId="0"/>
    <xf numFmtId="0" fontId="0" fillId="0" borderId="0" xfId="0" applyFill="1"/>
    <xf numFmtId="168" fontId="0" fillId="2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/>
    <xf numFmtId="0" fontId="0" fillId="0" borderId="0" xfId="0" applyFont="1" applyFill="1" applyBorder="1" applyAlignment="1">
      <alignment horizontal="left" vertical="center"/>
    </xf>
    <xf numFmtId="0" fontId="0" fillId="2" borderId="47" xfId="0" applyFill="1" applyBorder="1"/>
    <xf numFmtId="0" fontId="0" fillId="2" borderId="47" xfId="0" applyNumberFormat="1" applyFont="1" applyFill="1" applyBorder="1" applyAlignment="1">
      <alignment horizontal="left" vertical="center"/>
    </xf>
    <xf numFmtId="0" fontId="0" fillId="2" borderId="48" xfId="0" applyFill="1" applyBorder="1"/>
    <xf numFmtId="3" fontId="6" fillId="5" borderId="5" xfId="0" applyNumberFormat="1" applyFont="1" applyFill="1" applyBorder="1" applyAlignment="1">
      <alignment horizontal="center" vertical="center"/>
    </xf>
    <xf numFmtId="14" fontId="6" fillId="5" borderId="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0" fillId="4" borderId="0" xfId="0" applyNumberFormat="1" applyFill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10" fontId="2" fillId="2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64" fontId="0" fillId="3" borderId="49" xfId="0" applyNumberFormat="1" applyFont="1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170" fontId="2" fillId="2" borderId="2" xfId="0" applyNumberFormat="1" applyFont="1" applyFill="1" applyBorder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170" fontId="4" fillId="4" borderId="5" xfId="0" applyNumberFormat="1" applyFont="1" applyFill="1" applyBorder="1" applyAlignment="1">
      <alignment horizontal="center" vertical="center"/>
    </xf>
    <xf numFmtId="170" fontId="4" fillId="2" borderId="4" xfId="0" applyNumberFormat="1" applyFont="1" applyFill="1" applyBorder="1" applyAlignment="1">
      <alignment horizontal="center" vertical="center"/>
    </xf>
    <xf numFmtId="170" fontId="2" fillId="2" borderId="5" xfId="0" applyNumberFormat="1" applyFont="1" applyFill="1" applyBorder="1" applyAlignment="1">
      <alignment horizontal="center" vertical="center"/>
    </xf>
    <xf numFmtId="170" fontId="5" fillId="111" borderId="49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06" fillId="0" borderId="0" xfId="0" applyFont="1" applyFill="1"/>
    <xf numFmtId="0" fontId="106" fillId="0" borderId="0" xfId="0" applyFont="1"/>
    <xf numFmtId="173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0" fontId="0" fillId="3" borderId="55" xfId="0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3" borderId="57" xfId="0" applyFill="1" applyBorder="1" applyAlignment="1">
      <alignment horizontal="left" vertic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164" fontId="6" fillId="3" borderId="2" xfId="0" applyNumberFormat="1" applyFont="1" applyFill="1" applyBorder="1" applyAlignment="1">
      <alignment horizontal="center" vertical="center"/>
    </xf>
    <xf numFmtId="10" fontId="6" fillId="3" borderId="2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164" fontId="0" fillId="3" borderId="55" xfId="0" applyNumberFormat="1" applyFill="1" applyBorder="1" applyAlignment="1">
      <alignment horizontal="center" vertical="center"/>
    </xf>
    <xf numFmtId="181" fontId="0" fillId="3" borderId="55" xfId="0" applyNumberFormat="1" applyFill="1" applyBorder="1" applyAlignment="1">
      <alignment horizontal="center" vertical="center"/>
    </xf>
    <xf numFmtId="4" fontId="0" fillId="3" borderId="55" xfId="0" applyNumberFormat="1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64" fontId="0" fillId="3" borderId="0" xfId="0" applyNumberFormat="1" applyFill="1" applyBorder="1" applyAlignment="1">
      <alignment horizontal="center" vertical="center"/>
    </xf>
    <xf numFmtId="181" fontId="0" fillId="3" borderId="0" xfId="0" applyNumberFormat="1" applyFill="1" applyBorder="1" applyAlignment="1">
      <alignment horizontal="center" vertical="center"/>
    </xf>
    <xf numFmtId="4" fontId="0" fillId="3" borderId="0" xfId="0" applyNumberFormat="1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164" fontId="0" fillId="3" borderId="57" xfId="0" applyNumberFormat="1" applyFill="1" applyBorder="1" applyAlignment="1">
      <alignment horizontal="center" vertical="center"/>
    </xf>
    <xf numFmtId="181" fontId="0" fillId="3" borderId="57" xfId="0" applyNumberFormat="1" applyFill="1" applyBorder="1" applyAlignment="1">
      <alignment horizontal="center" vertical="center"/>
    </xf>
    <xf numFmtId="4" fontId="0" fillId="3" borderId="57" xfId="0" applyNumberFormat="1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3" borderId="50" xfId="0" applyFill="1" applyBorder="1" applyAlignment="1">
      <alignment horizontal="left" vertical="center"/>
    </xf>
    <xf numFmtId="0" fontId="0" fillId="3" borderId="54" xfId="0" applyFill="1" applyBorder="1" applyAlignment="1">
      <alignment horizontal="left" vertical="center"/>
    </xf>
    <xf numFmtId="0" fontId="0" fillId="3" borderId="52" xfId="0" applyFill="1" applyBorder="1" applyAlignment="1">
      <alignment horizontal="left" vertical="center"/>
    </xf>
    <xf numFmtId="167" fontId="1" fillId="4" borderId="1" xfId="0" applyNumberFormat="1" applyFont="1" applyFill="1" applyBorder="1" applyAlignment="1">
      <alignment horizontal="center" vertical="center"/>
    </xf>
    <xf numFmtId="167" fontId="1" fillId="4" borderId="2" xfId="0" applyNumberFormat="1" applyFont="1" applyFill="1" applyBorder="1" applyAlignment="1">
      <alignment horizontal="center" vertical="center"/>
    </xf>
    <xf numFmtId="167" fontId="1" fillId="4" borderId="3" xfId="0" applyNumberFormat="1" applyFont="1" applyFill="1" applyBorder="1" applyAlignment="1">
      <alignment horizontal="center" vertical="center"/>
    </xf>
    <xf numFmtId="170" fontId="0" fillId="0" borderId="0" xfId="0" applyNumberFormat="1"/>
    <xf numFmtId="0" fontId="1" fillId="0" borderId="0" xfId="0" applyFont="1" applyAlignment="1">
      <alignment horizontal="center"/>
    </xf>
    <xf numFmtId="181" fontId="0" fillId="4" borderId="0" xfId="0" applyNumberFormat="1" applyFill="1" applyAlignment="1">
      <alignment horizontal="center" vertical="center"/>
    </xf>
    <xf numFmtId="0" fontId="0" fillId="4" borderId="0" xfId="0" applyFill="1"/>
    <xf numFmtId="0" fontId="107" fillId="0" borderId="0" xfId="0" applyFont="1"/>
    <xf numFmtId="0" fontId="1" fillId="5" borderId="0" xfId="0" applyFont="1" applyFill="1" applyBorder="1" applyAlignment="1">
      <alignment horizontal="center" vertical="center"/>
    </xf>
    <xf numFmtId="0" fontId="0" fillId="5" borderId="0" xfId="0" applyFill="1"/>
    <xf numFmtId="0" fontId="2" fillId="2" borderId="49" xfId="0" applyFont="1" applyFill="1" applyBorder="1" applyAlignment="1">
      <alignment horizontal="center" vertical="center"/>
    </xf>
    <xf numFmtId="164" fontId="3" fillId="2" borderId="49" xfId="0" applyNumberFormat="1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left" vertical="center"/>
    </xf>
    <xf numFmtId="0" fontId="3" fillId="2" borderId="51" xfId="0" applyFont="1" applyFill="1" applyBorder="1"/>
    <xf numFmtId="0" fontId="3" fillId="2" borderId="52" xfId="0" applyFont="1" applyFill="1" applyBorder="1"/>
    <xf numFmtId="0" fontId="3" fillId="2" borderId="53" xfId="0" applyFont="1" applyFill="1" applyBorder="1"/>
    <xf numFmtId="0" fontId="6" fillId="0" borderId="0" xfId="0" applyFont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/>
    </xf>
    <xf numFmtId="170" fontId="2" fillId="2" borderId="60" xfId="0" applyNumberFormat="1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3" fillId="2" borderId="62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/>
    </xf>
    <xf numFmtId="164" fontId="3" fillId="3" borderId="55" xfId="0" applyNumberFormat="1" applyFont="1" applyFill="1" applyBorder="1" applyAlignment="1">
      <alignment horizontal="center" vertical="center"/>
    </xf>
    <xf numFmtId="4" fontId="3" fillId="3" borderId="55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 applyBorder="1" applyAlignment="1">
      <alignment horizontal="center" vertical="center"/>
    </xf>
    <xf numFmtId="4" fontId="3" fillId="3" borderId="0" xfId="0" applyNumberFormat="1" applyFont="1" applyFill="1" applyBorder="1" applyAlignment="1">
      <alignment horizontal="center" vertical="center"/>
    </xf>
    <xf numFmtId="164" fontId="3" fillId="3" borderId="57" xfId="0" applyNumberFormat="1" applyFont="1" applyFill="1" applyBorder="1" applyAlignment="1">
      <alignment horizontal="center" vertical="center"/>
    </xf>
    <xf numFmtId="4" fontId="3" fillId="3" borderId="57" xfId="0" applyNumberFormat="1" applyFont="1" applyFill="1" applyBorder="1" applyAlignment="1">
      <alignment horizontal="center" vertical="center"/>
    </xf>
    <xf numFmtId="173" fontId="3" fillId="3" borderId="55" xfId="0" applyNumberFormat="1" applyFont="1" applyFill="1" applyBorder="1" applyAlignment="1">
      <alignment horizontal="center" vertical="center"/>
    </xf>
    <xf numFmtId="0" fontId="0" fillId="3" borderId="55" xfId="0" applyFont="1" applyFill="1" applyBorder="1" applyAlignment="1">
      <alignment horizontal="center" vertical="center"/>
    </xf>
    <xf numFmtId="173" fontId="3" fillId="3" borderId="0" xfId="0" applyNumberFormat="1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173" fontId="3" fillId="3" borderId="57" xfId="0" applyNumberFormat="1" applyFont="1" applyFill="1" applyBorder="1" applyAlignment="1">
      <alignment horizontal="center" vertical="center"/>
    </xf>
    <xf numFmtId="0" fontId="0" fillId="3" borderId="57" xfId="0" applyFont="1" applyFill="1" applyBorder="1" applyAlignment="1">
      <alignment horizontal="center" vertical="center"/>
    </xf>
    <xf numFmtId="165" fontId="2" fillId="4" borderId="0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3" fontId="0" fillId="2" borderId="55" xfId="0" applyNumberFormat="1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4" fontId="0" fillId="2" borderId="55" xfId="0" applyNumberFormat="1" applyFill="1" applyBorder="1" applyAlignment="1">
      <alignment horizontal="center" vertical="center"/>
    </xf>
    <xf numFmtId="3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4" fontId="0" fillId="2" borderId="0" xfId="0" applyNumberFormat="1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3" fontId="0" fillId="2" borderId="57" xfId="0" applyNumberFormat="1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4" fontId="0" fillId="2" borderId="57" xfId="0" applyNumberFormat="1" applyFill="1" applyBorder="1" applyAlignment="1">
      <alignment horizontal="center" vertical="center"/>
    </xf>
    <xf numFmtId="181" fontId="0" fillId="2" borderId="55" xfId="0" applyNumberFormat="1" applyFill="1" applyBorder="1" applyAlignment="1">
      <alignment horizontal="center" vertical="center"/>
    </xf>
    <xf numFmtId="181" fontId="0" fillId="2" borderId="0" xfId="0" applyNumberFormat="1" applyFill="1" applyBorder="1" applyAlignment="1">
      <alignment horizontal="center" vertical="center"/>
    </xf>
    <xf numFmtId="181" fontId="0" fillId="2" borderId="57" xfId="0" applyNumberFormat="1" applyFill="1" applyBorder="1" applyAlignment="1">
      <alignment horizontal="center" vertical="center"/>
    </xf>
    <xf numFmtId="0" fontId="0" fillId="2" borderId="51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173" fontId="3" fillId="2" borderId="55" xfId="0" applyNumberFormat="1" applyFont="1" applyFill="1" applyBorder="1" applyAlignment="1">
      <alignment horizontal="center" vertical="center"/>
    </xf>
    <xf numFmtId="173" fontId="3" fillId="2" borderId="0" xfId="0" applyNumberFormat="1" applyFont="1" applyFill="1" applyBorder="1" applyAlignment="1">
      <alignment horizontal="center" vertical="center"/>
    </xf>
    <xf numFmtId="173" fontId="3" fillId="2" borderId="57" xfId="0" applyNumberFormat="1" applyFont="1" applyFill="1" applyBorder="1" applyAlignment="1">
      <alignment horizontal="center" vertical="center"/>
    </xf>
    <xf numFmtId="0" fontId="0" fillId="2" borderId="55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57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57" xfId="0" applyFont="1" applyFill="1" applyBorder="1" applyAlignment="1">
      <alignment horizontal="center" vertical="center"/>
    </xf>
    <xf numFmtId="181" fontId="3" fillId="3" borderId="55" xfId="0" applyNumberFormat="1" applyFont="1" applyFill="1" applyBorder="1" applyAlignment="1">
      <alignment horizontal="center" vertical="center"/>
    </xf>
    <xf numFmtId="181" fontId="3" fillId="3" borderId="0" xfId="0" applyNumberFormat="1" applyFont="1" applyFill="1" applyBorder="1" applyAlignment="1">
      <alignment horizontal="center" vertical="center"/>
    </xf>
    <xf numFmtId="181" fontId="3" fillId="3" borderId="57" xfId="0" applyNumberFormat="1" applyFont="1" applyFill="1" applyBorder="1" applyAlignment="1">
      <alignment horizontal="center" vertical="center"/>
    </xf>
    <xf numFmtId="0" fontId="3" fillId="2" borderId="50" xfId="0" applyFont="1" applyFill="1" applyBorder="1"/>
    <xf numFmtId="170" fontId="2" fillId="2" borderId="51" xfId="0" applyNumberFormat="1" applyFont="1" applyFill="1" applyBorder="1" applyAlignment="1">
      <alignment horizontal="center" vertical="center"/>
    </xf>
    <xf numFmtId="0" fontId="3" fillId="2" borderId="54" xfId="0" applyFont="1" applyFill="1" applyBorder="1"/>
    <xf numFmtId="170" fontId="2" fillId="2" borderId="56" xfId="0" applyNumberFormat="1" applyFont="1" applyFill="1" applyBorder="1" applyAlignment="1">
      <alignment horizontal="center" vertical="center"/>
    </xf>
    <xf numFmtId="170" fontId="2" fillId="2" borderId="53" xfId="0" applyNumberFormat="1" applyFont="1" applyFill="1" applyBorder="1" applyAlignment="1">
      <alignment horizontal="center" vertical="center"/>
    </xf>
    <xf numFmtId="170" fontId="5" fillId="112" borderId="55" xfId="0" applyNumberFormat="1" applyFont="1" applyFill="1" applyBorder="1" applyAlignment="1">
      <alignment horizontal="center" vertical="center"/>
    </xf>
    <xf numFmtId="170" fontId="5" fillId="112" borderId="0" xfId="0" applyNumberFormat="1" applyFont="1" applyFill="1" applyBorder="1" applyAlignment="1">
      <alignment horizontal="center" vertical="center"/>
    </xf>
    <xf numFmtId="170" fontId="5" fillId="112" borderId="57" xfId="0" applyNumberFormat="1" applyFont="1" applyFill="1" applyBorder="1" applyAlignment="1">
      <alignment horizontal="center" vertical="center"/>
    </xf>
    <xf numFmtId="3" fontId="3" fillId="3" borderId="55" xfId="0" applyNumberFormat="1" applyFont="1" applyFill="1" applyBorder="1" applyAlignment="1">
      <alignment horizontal="center" vertical="center"/>
    </xf>
    <xf numFmtId="0" fontId="6" fillId="3" borderId="55" xfId="0" applyFont="1" applyFill="1" applyBorder="1" applyAlignment="1">
      <alignment horizontal="center" vertical="center"/>
    </xf>
    <xf numFmtId="3" fontId="3" fillId="3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3" fontId="3" fillId="3" borderId="57" xfId="0" applyNumberFormat="1" applyFont="1" applyFill="1" applyBorder="1" applyAlignment="1">
      <alignment horizontal="center" vertical="center"/>
    </xf>
    <xf numFmtId="0" fontId="6" fillId="3" borderId="57" xfId="0" applyFont="1" applyFill="1" applyBorder="1" applyAlignment="1">
      <alignment horizontal="center" vertical="center"/>
    </xf>
    <xf numFmtId="0" fontId="108" fillId="0" borderId="0" xfId="0" applyFont="1" applyAlignment="1">
      <alignment horizontal="center" vertical="center"/>
    </xf>
    <xf numFmtId="167" fontId="3" fillId="3" borderId="55" xfId="0" applyNumberFormat="1" applyFont="1" applyFill="1" applyBorder="1" applyAlignment="1">
      <alignment horizontal="center" vertical="center"/>
    </xf>
    <xf numFmtId="167" fontId="3" fillId="3" borderId="0" xfId="0" applyNumberFormat="1" applyFont="1" applyFill="1" applyBorder="1" applyAlignment="1">
      <alignment horizontal="center" vertical="center"/>
    </xf>
    <xf numFmtId="167" fontId="3" fillId="3" borderId="57" xfId="0" applyNumberFormat="1" applyFont="1" applyFill="1" applyBorder="1" applyAlignment="1">
      <alignment horizontal="center" vertical="center"/>
    </xf>
    <xf numFmtId="170" fontId="2" fillId="2" borderId="0" xfId="0" applyNumberFormat="1" applyFont="1" applyFill="1" applyBorder="1" applyAlignment="1">
      <alignment horizontal="center" vertical="center"/>
    </xf>
    <xf numFmtId="170" fontId="2" fillId="2" borderId="64" xfId="0" applyNumberFormat="1" applyFont="1" applyFill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181" fontId="2" fillId="2" borderId="65" xfId="0" applyNumberFormat="1" applyFont="1" applyFill="1" applyBorder="1" applyAlignment="1">
      <alignment horizontal="center" vertical="center"/>
    </xf>
    <xf numFmtId="170" fontId="2" fillId="2" borderId="66" xfId="0" applyNumberFormat="1" applyFont="1" applyFill="1" applyBorder="1" applyAlignment="1">
      <alignment horizontal="center" vertical="center"/>
    </xf>
    <xf numFmtId="3" fontId="2" fillId="2" borderId="66" xfId="0" applyNumberFormat="1" applyFont="1" applyFill="1" applyBorder="1" applyAlignment="1">
      <alignment horizontal="center" vertical="center"/>
    </xf>
    <xf numFmtId="3" fontId="2" fillId="2" borderId="67" xfId="0" applyNumberFormat="1" applyFont="1" applyFill="1" applyBorder="1" applyAlignment="1">
      <alignment horizontal="center" vertical="center"/>
    </xf>
    <xf numFmtId="181" fontId="2" fillId="2" borderId="68" xfId="0" applyNumberFormat="1" applyFont="1" applyFill="1" applyBorder="1" applyAlignment="1">
      <alignment horizontal="center" vertical="center"/>
    </xf>
    <xf numFmtId="3" fontId="2" fillId="2" borderId="69" xfId="0" applyNumberFormat="1" applyFont="1" applyFill="1" applyBorder="1" applyAlignment="1">
      <alignment horizontal="center" vertical="center"/>
    </xf>
    <xf numFmtId="181" fontId="2" fillId="2" borderId="70" xfId="0" applyNumberFormat="1" applyFont="1" applyFill="1" applyBorder="1" applyAlignment="1">
      <alignment horizontal="center" vertical="center"/>
    </xf>
    <xf numFmtId="170" fontId="2" fillId="2" borderId="71" xfId="0" applyNumberFormat="1" applyFont="1" applyFill="1" applyBorder="1" applyAlignment="1">
      <alignment horizontal="center" vertical="center"/>
    </xf>
    <xf numFmtId="3" fontId="2" fillId="2" borderId="71" xfId="0" applyNumberFormat="1" applyFont="1" applyFill="1" applyBorder="1" applyAlignment="1">
      <alignment horizontal="center" vertical="center"/>
    </xf>
    <xf numFmtId="3" fontId="2" fillId="2" borderId="72" xfId="0" applyNumberFormat="1" applyFont="1" applyFill="1" applyBorder="1" applyAlignment="1">
      <alignment horizontal="center" vertical="center"/>
    </xf>
    <xf numFmtId="170" fontId="2" fillId="2" borderId="73" xfId="0" applyNumberFormat="1" applyFont="1" applyFill="1" applyBorder="1" applyAlignment="1">
      <alignment horizontal="center" vertical="center"/>
    </xf>
    <xf numFmtId="170" fontId="2" fillId="2" borderId="74" xfId="0" applyNumberFormat="1" applyFont="1" applyFill="1" applyBorder="1" applyAlignment="1">
      <alignment horizontal="center" vertical="center"/>
    </xf>
    <xf numFmtId="177" fontId="2" fillId="2" borderId="59" xfId="0" applyNumberFormat="1" applyFont="1" applyFill="1" applyBorder="1" applyAlignment="1">
      <alignment horizontal="center" vertical="center"/>
    </xf>
    <xf numFmtId="177" fontId="2" fillId="2" borderId="0" xfId="0" applyNumberFormat="1" applyFont="1" applyFill="1" applyBorder="1" applyAlignment="1">
      <alignment horizontal="center" vertical="center"/>
    </xf>
    <xf numFmtId="177" fontId="2" fillId="2" borderId="6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3" fillId="2" borderId="54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 vertical="center"/>
    </xf>
    <xf numFmtId="164" fontId="3" fillId="2" borderId="52" xfId="0" applyNumberFormat="1" applyFont="1" applyFill="1" applyBorder="1" applyAlignment="1">
      <alignment horizontal="center" vertical="center"/>
    </xf>
    <xf numFmtId="164" fontId="3" fillId="2" borderId="57" xfId="0" applyNumberFormat="1" applyFont="1" applyFill="1" applyBorder="1" applyAlignment="1">
      <alignment horizontal="center" vertical="center"/>
    </xf>
    <xf numFmtId="4" fontId="3" fillId="2" borderId="57" xfId="0" applyNumberFormat="1" applyFont="1" applyFill="1" applyBorder="1" applyAlignment="1">
      <alignment horizontal="center" vertical="center"/>
    </xf>
    <xf numFmtId="3" fontId="3" fillId="2" borderId="55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3" fontId="3" fillId="2" borderId="57" xfId="0" applyNumberFormat="1" applyFont="1" applyFill="1" applyBorder="1" applyAlignment="1">
      <alignment horizontal="center" vertical="center"/>
    </xf>
    <xf numFmtId="4" fontId="3" fillId="2" borderId="55" xfId="0" applyNumberFormat="1" applyFont="1" applyFill="1" applyBorder="1" applyAlignment="1">
      <alignment horizontal="center" vertical="center"/>
    </xf>
    <xf numFmtId="181" fontId="3" fillId="2" borderId="55" xfId="0" applyNumberFormat="1" applyFont="1" applyFill="1" applyBorder="1" applyAlignment="1">
      <alignment horizontal="center" vertical="center"/>
    </xf>
    <xf numFmtId="181" fontId="3" fillId="2" borderId="0" xfId="0" applyNumberFormat="1" applyFont="1" applyFill="1" applyBorder="1" applyAlignment="1">
      <alignment horizontal="center" vertical="center"/>
    </xf>
    <xf numFmtId="181" fontId="3" fillId="2" borderId="57" xfId="0" applyNumberFormat="1" applyFont="1" applyFill="1" applyBorder="1" applyAlignment="1">
      <alignment horizontal="center" vertical="center"/>
    </xf>
    <xf numFmtId="182" fontId="3" fillId="2" borderId="0" xfId="0" applyNumberFormat="1" applyFont="1" applyFill="1" applyBorder="1" applyAlignment="1">
      <alignment horizontal="center" vertical="center"/>
    </xf>
    <xf numFmtId="182" fontId="3" fillId="2" borderId="57" xfId="0" applyNumberFormat="1" applyFont="1" applyFill="1" applyBorder="1" applyAlignment="1">
      <alignment horizontal="center" vertical="center"/>
    </xf>
    <xf numFmtId="3" fontId="3" fillId="2" borderId="56" xfId="0" applyNumberFormat="1" applyFont="1" applyFill="1" applyBorder="1" applyAlignment="1">
      <alignment horizontal="center" vertical="center"/>
    </xf>
    <xf numFmtId="3" fontId="3" fillId="2" borderId="53" xfId="0" applyNumberFormat="1" applyFont="1" applyFill="1" applyBorder="1" applyAlignment="1">
      <alignment horizontal="center" vertical="center"/>
    </xf>
    <xf numFmtId="164" fontId="3" fillId="2" borderId="50" xfId="0" applyNumberFormat="1" applyFont="1" applyFill="1" applyBorder="1" applyAlignment="1">
      <alignment horizontal="center" vertical="center"/>
    </xf>
    <xf numFmtId="164" fontId="3" fillId="2" borderId="55" xfId="0" applyNumberFormat="1" applyFont="1" applyFill="1" applyBorder="1" applyAlignment="1">
      <alignment horizontal="center" vertical="center"/>
    </xf>
    <xf numFmtId="182" fontId="3" fillId="2" borderId="55" xfId="0" applyNumberFormat="1" applyFont="1" applyFill="1" applyBorder="1" applyAlignment="1">
      <alignment horizontal="center" vertical="center"/>
    </xf>
    <xf numFmtId="3" fontId="3" fillId="2" borderId="51" xfId="0" applyNumberFormat="1" applyFont="1" applyFill="1" applyBorder="1" applyAlignment="1">
      <alignment horizontal="center" vertical="center"/>
    </xf>
    <xf numFmtId="0" fontId="4" fillId="5" borderId="57" xfId="0" applyFont="1" applyFill="1" applyBorder="1" applyAlignment="1">
      <alignment horizontal="center" vertical="center"/>
    </xf>
    <xf numFmtId="3" fontId="4" fillId="5" borderId="57" xfId="0" applyNumberFormat="1" applyFont="1" applyFill="1" applyBorder="1" applyAlignment="1">
      <alignment horizontal="center" vertical="center"/>
    </xf>
    <xf numFmtId="4" fontId="4" fillId="5" borderId="57" xfId="0" applyNumberFormat="1" applyFont="1" applyFill="1" applyBorder="1" applyAlignment="1">
      <alignment horizontal="center" vertical="center"/>
    </xf>
    <xf numFmtId="181" fontId="4" fillId="5" borderId="57" xfId="0" applyNumberFormat="1" applyFont="1" applyFill="1" applyBorder="1" applyAlignment="1">
      <alignment horizontal="center" vertical="center"/>
    </xf>
    <xf numFmtId="164" fontId="3" fillId="4" borderId="49" xfId="0" applyNumberFormat="1" applyFont="1" applyFill="1" applyBorder="1" applyAlignment="1">
      <alignment horizontal="center" vertical="center"/>
    </xf>
    <xf numFmtId="173" fontId="0" fillId="0" borderId="0" xfId="0" applyNumberFormat="1"/>
    <xf numFmtId="0" fontId="0" fillId="2" borderId="59" xfId="0" applyFill="1" applyBorder="1" applyAlignment="1">
      <alignment horizontal="center" vertical="center"/>
    </xf>
    <xf numFmtId="0" fontId="0" fillId="2" borderId="63" xfId="0" applyFill="1" applyBorder="1" applyAlignment="1">
      <alignment horizontal="center" vertical="center"/>
    </xf>
    <xf numFmtId="168" fontId="2" fillId="5" borderId="5" xfId="0" quotePrefix="1" applyNumberFormat="1" applyFont="1" applyFill="1" applyBorder="1" applyAlignment="1">
      <alignment horizontal="center" vertical="center"/>
    </xf>
    <xf numFmtId="168" fontId="2" fillId="2" borderId="2" xfId="0" applyNumberFormat="1" applyFont="1" applyFill="1" applyBorder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164" fontId="0" fillId="3" borderId="1" xfId="0" applyNumberFormat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166" fontId="6" fillId="3" borderId="3" xfId="0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164" fontId="0" fillId="2" borderId="3" xfId="0" applyNumberFormat="1" applyFill="1" applyBorder="1" applyAlignment="1">
      <alignment horizontal="center" vertical="center"/>
    </xf>
    <xf numFmtId="164" fontId="0" fillId="2" borderId="1" xfId="0" applyNumberFormat="1" applyFont="1" applyFill="1" applyBorder="1" applyAlignment="1">
      <alignment horizontal="center" vertical="center"/>
    </xf>
    <xf numFmtId="166" fontId="6" fillId="2" borderId="3" xfId="0" applyNumberFormat="1" applyFont="1" applyFill="1" applyBorder="1" applyAlignment="1">
      <alignment horizontal="center" vertical="center"/>
    </xf>
    <xf numFmtId="3" fontId="106" fillId="0" borderId="0" xfId="0" applyNumberFormat="1" applyFont="1" applyAlignment="1">
      <alignment horizontal="center" vertical="center"/>
    </xf>
    <xf numFmtId="0" fontId="106" fillId="0" borderId="0" xfId="0" applyFont="1" applyAlignment="1">
      <alignment horizontal="center" vertical="center"/>
    </xf>
    <xf numFmtId="170" fontId="106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06" fillId="0" borderId="0" xfId="0" applyFont="1" applyAlignment="1">
      <alignment horizontal="left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70" fontId="2" fillId="4" borderId="5" xfId="0" applyNumberFormat="1" applyFont="1" applyFill="1" applyBorder="1" applyAlignment="1">
      <alignment horizontal="center" vertical="center"/>
    </xf>
    <xf numFmtId="0" fontId="0" fillId="2" borderId="55" xfId="0" quotePrefix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left" vertical="center"/>
    </xf>
    <xf numFmtId="164" fontId="3" fillId="2" borderId="53" xfId="0" applyNumberFormat="1" applyFont="1" applyFill="1" applyBorder="1" applyAlignment="1">
      <alignment horizontal="left" vertical="center"/>
    </xf>
    <xf numFmtId="170" fontId="105" fillId="111" borderId="50" xfId="0" applyNumberFormat="1" applyFont="1" applyFill="1" applyBorder="1" applyAlignment="1">
      <alignment horizontal="center" vertical="center"/>
    </xf>
    <xf numFmtId="0" fontId="104" fillId="0" borderId="51" xfId="0" applyFont="1" applyBorder="1" applyAlignment="1">
      <alignment horizontal="center" vertical="center"/>
    </xf>
    <xf numFmtId="0" fontId="104" fillId="0" borderId="52" xfId="0" applyFont="1" applyBorder="1" applyAlignment="1">
      <alignment horizontal="center" vertical="center"/>
    </xf>
    <xf numFmtId="0" fontId="104" fillId="0" borderId="53" xfId="0" applyFont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170" fontId="2" fillId="2" borderId="75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7313">
    <cellStyle name="_ADN" xfId="96"/>
    <cellStyle name="_Apollo" xfId="99"/>
    <cellStyle name="_Book2" xfId="100"/>
    <cellStyle name="_Book2_ValuationViewer" xfId="101"/>
    <cellStyle name="_btec" xfId="102"/>
    <cellStyle name="_Composite Page" xfId="103"/>
    <cellStyle name="_Composite Page_Composite Page" xfId="104"/>
    <cellStyle name="_Composite Page_Config" xfId="105"/>
    <cellStyle name="_Config" xfId="106"/>
    <cellStyle name="_Config_apollo_curves" xfId="107"/>
    <cellStyle name="_Config_Apollo_Spread" xfId="108"/>
    <cellStyle name="_config_db" xfId="109"/>
    <cellStyle name="_Cprty" xfId="110"/>
    <cellStyle name="_data" xfId="111"/>
    <cellStyle name="_DISPLAY" xfId="112"/>
    <cellStyle name="_DISPLAY 2" xfId="113"/>
    <cellStyle name="_DISPLAY_121Fut_View" xfId="114"/>
    <cellStyle name="_DISPLAY_121Fut_View 2" xfId="115"/>
    <cellStyle name="_DISPLAY_Apollo" xfId="116"/>
    <cellStyle name="_DISPLAY_AssetSwap" xfId="117"/>
    <cellStyle name="_DISPLAY_Closes" xfId="118"/>
    <cellStyle name="_DISPLAY_Composite Page" xfId="119"/>
    <cellStyle name="_DISPLAY_Config" xfId="120"/>
    <cellStyle name="_DISPLAY_Config_Composite Page" xfId="121"/>
    <cellStyle name="_DISPLAY_Convexity" xfId="122"/>
    <cellStyle name="_DISPLAY_Core" xfId="123"/>
    <cellStyle name="_DISPLAY_Core 2" xfId="124"/>
    <cellStyle name="_DISPLAY_Core_Composite Page" xfId="125"/>
    <cellStyle name="_DISPLAY_Core_Config" xfId="126"/>
    <cellStyle name="_DISPLAY_cp_Closes" xfId="127"/>
    <cellStyle name="_DISPLAY_DISPLAY" xfId="128"/>
    <cellStyle name="_DISPLAY_EOD_Closes" xfId="129"/>
    <cellStyle name="_DISPLAY_EOD_Closes_1" xfId="130"/>
    <cellStyle name="_DISPLAY_EOD_Curve" xfId="131"/>
    <cellStyle name="_DISPLAY_EOD_Curve 2" xfId="132"/>
    <cellStyle name="_DISPLAY_EOD_Curve 3" xfId="133"/>
    <cellStyle name="_DISPLAY_EOD_Curve_Composite Page" xfId="134"/>
    <cellStyle name="_DISPLAY_EOD_Curve_Core" xfId="135"/>
    <cellStyle name="_DISPLAY_EOD_Curve_Core 2" xfId="136"/>
    <cellStyle name="_DISPLAY_EOD_Curve_Futures" xfId="137"/>
    <cellStyle name="_DISPLAY_EOD_Curve_Swaps" xfId="138"/>
    <cellStyle name="_DISPLAY_Futures" xfId="139"/>
    <cellStyle name="_DISPLAY_Futures 2" xfId="140"/>
    <cellStyle name="_DISPLAY_Futures_Composite Page" xfId="141"/>
    <cellStyle name="_DISPLAY_Futures_Config" xfId="142"/>
    <cellStyle name="_DISPLAY_Gamma" xfId="143"/>
    <cellStyle name="_DISPLAY_Gamma_1" xfId="144"/>
    <cellStyle name="_DISPLAY_Gamma_Composite Page" xfId="145"/>
    <cellStyle name="_DISPLAY_Gamma_Core" xfId="146"/>
    <cellStyle name="_DISPLAY_Gamma_Futures" xfId="147"/>
    <cellStyle name="_DISPLAY_Gamma_Futures_1" xfId="148"/>
    <cellStyle name="_DISPLAY_Gamma_Swaps" xfId="149"/>
    <cellStyle name="_DISPLAY_Gamma_Treasuries" xfId="150"/>
    <cellStyle name="_DISPLAY_holidays" xfId="151"/>
    <cellStyle name="_DISPLAY_Real_Time" xfId="152"/>
    <cellStyle name="_DISPLAY_Real-Time" xfId="153"/>
    <cellStyle name="_DISPLAY_Real-Time 2" xfId="154"/>
    <cellStyle name="_DISPLAY_Real-Time_1" xfId="155"/>
    <cellStyle name="_DISPLAY_Real-Time_Composite Page" xfId="156"/>
    <cellStyle name="_DISPLAY_Real-Time_Core" xfId="157"/>
    <cellStyle name="_DISPLAY_Real-Time_Futures" xfId="158"/>
    <cellStyle name="_DISPLAY_Real-Time_Futures_1" xfId="159"/>
    <cellStyle name="_DISPLAY_Real-Time_Swaps" xfId="160"/>
    <cellStyle name="_DISPLAY_Real-Time_Treasuries" xfId="161"/>
    <cellStyle name="_DISPLAY_Sheet1" xfId="162"/>
    <cellStyle name="_DISPLAY_Swaps" xfId="163"/>
    <cellStyle name="_DISPLAY_Swaps 2" xfId="164"/>
    <cellStyle name="_DISPLAY_Swaps_Composite Page" xfId="165"/>
    <cellStyle name="_DISPLAY_Swaps_Config" xfId="166"/>
    <cellStyle name="_DISPLAY_T-Notes" xfId="167"/>
    <cellStyle name="_DISPLAY_T-Notes 2" xfId="168"/>
    <cellStyle name="_DISPLAY_T-Notes_Composite Page" xfId="169"/>
    <cellStyle name="_DISPLAY_T-Notes_Config" xfId="170"/>
    <cellStyle name="_DISPLAY_ToDo" xfId="171"/>
    <cellStyle name="_DISPLAY_ToDo 2" xfId="172"/>
    <cellStyle name="_DISPLAY_ToDoList" xfId="173"/>
    <cellStyle name="_DISPLAY_ToDoList 2" xfId="174"/>
    <cellStyle name="_DISPLAY_Treasuries" xfId="175"/>
    <cellStyle name="_DISPLAY_Treasuries 2" xfId="176"/>
    <cellStyle name="_DISPLAY_Treasuries_Composite Page" xfId="177"/>
    <cellStyle name="_DISPLAY_Treasuries_Config" xfId="178"/>
    <cellStyle name="_FRA_Map" xfId="179"/>
    <cellStyle name="_FRA_Map 2" xfId="180"/>
    <cellStyle name="_FRA_Map_121Fut_View" xfId="181"/>
    <cellStyle name="_FRA_Map_121Fut_View 2" xfId="182"/>
    <cellStyle name="_FRA_Map_Apollo" xfId="183"/>
    <cellStyle name="_FRA_Map_AssetSwap" xfId="184"/>
    <cellStyle name="_FRA_Map_Closes" xfId="185"/>
    <cellStyle name="_FRA_Map_Composite Page" xfId="186"/>
    <cellStyle name="_FRA_Map_Config" xfId="187"/>
    <cellStyle name="_FRA_Map_Config_Composite Page" xfId="188"/>
    <cellStyle name="_FRA_Map_Convexity" xfId="189"/>
    <cellStyle name="_FRA_Map_Core" xfId="190"/>
    <cellStyle name="_FRA_Map_Core 2" xfId="191"/>
    <cellStyle name="_FRA_Map_Core_Composite Page" xfId="192"/>
    <cellStyle name="_FRA_Map_Core_Config" xfId="193"/>
    <cellStyle name="_FRA_Map_cp_Closes" xfId="194"/>
    <cellStyle name="_FRA_Map_DISPLAY" xfId="195"/>
    <cellStyle name="_FRA_Map_EOD_Closes" xfId="196"/>
    <cellStyle name="_FRA_Map_EOD_Closes_1" xfId="197"/>
    <cellStyle name="_FRA_Map_EOD_Curve" xfId="198"/>
    <cellStyle name="_FRA_Map_EOD_Curve 2" xfId="199"/>
    <cellStyle name="_FRA_Map_EOD_Curve 3" xfId="200"/>
    <cellStyle name="_FRA_Map_EOD_Curve_Composite Page" xfId="201"/>
    <cellStyle name="_FRA_Map_EOD_Curve_Core" xfId="202"/>
    <cellStyle name="_FRA_Map_EOD_Curve_Core 2" xfId="203"/>
    <cellStyle name="_FRA_Map_EOD_Curve_Futures" xfId="204"/>
    <cellStyle name="_FRA_Map_EOD_Curve_Swaps" xfId="205"/>
    <cellStyle name="_FRA_Map_Futures" xfId="206"/>
    <cellStyle name="_FRA_Map_Futures 2" xfId="207"/>
    <cellStyle name="_FRA_Map_Futures_Composite Page" xfId="208"/>
    <cellStyle name="_FRA_Map_Futures_Config" xfId="209"/>
    <cellStyle name="_FRA_Map_Gamma" xfId="210"/>
    <cellStyle name="_FRA_Map_Gamma_1" xfId="211"/>
    <cellStyle name="_FRA_Map_Gamma_Composite Page" xfId="212"/>
    <cellStyle name="_FRA_Map_Gamma_Core" xfId="213"/>
    <cellStyle name="_FRA_Map_Gamma_Futures" xfId="214"/>
    <cellStyle name="_FRA_Map_Gamma_Futures_1" xfId="215"/>
    <cellStyle name="_FRA_Map_Gamma_Swaps" xfId="216"/>
    <cellStyle name="_FRA_Map_Gamma_Treasuries" xfId="217"/>
    <cellStyle name="_FRA_Map_holidays" xfId="218"/>
    <cellStyle name="_FRA_Map_Real_Time" xfId="219"/>
    <cellStyle name="_FRA_Map_Real-Time" xfId="220"/>
    <cellStyle name="_FRA_Map_Real-Time 2" xfId="221"/>
    <cellStyle name="_FRA_Map_Real-Time_1" xfId="222"/>
    <cellStyle name="_FRA_Map_Real-Time_Composite Page" xfId="223"/>
    <cellStyle name="_FRA_Map_Real-Time_Core" xfId="224"/>
    <cellStyle name="_FRA_Map_Real-Time_Futures" xfId="225"/>
    <cellStyle name="_FRA_Map_Real-Time_Futures_1" xfId="226"/>
    <cellStyle name="_FRA_Map_Real-Time_Swaps" xfId="227"/>
    <cellStyle name="_FRA_Map_Real-Time_Treasuries" xfId="228"/>
    <cellStyle name="_FRA_Map_Sheet1" xfId="229"/>
    <cellStyle name="_FRA_Map_Swaps" xfId="230"/>
    <cellStyle name="_FRA_Map_Swaps 2" xfId="231"/>
    <cellStyle name="_FRA_Map_Swaps_Composite Page" xfId="232"/>
    <cellStyle name="_FRA_Map_Swaps_Config" xfId="233"/>
    <cellStyle name="_FRA_Map_T-Notes" xfId="234"/>
    <cellStyle name="_FRA_Map_T-Notes 2" xfId="235"/>
    <cellStyle name="_FRA_Map_T-Notes_Composite Page" xfId="236"/>
    <cellStyle name="_FRA_Map_T-Notes_Config" xfId="237"/>
    <cellStyle name="_FRA_Map_ToDo" xfId="238"/>
    <cellStyle name="_FRA_Map_ToDo 2" xfId="239"/>
    <cellStyle name="_FRA_Map_ToDoList" xfId="240"/>
    <cellStyle name="_FRA_Map_ToDoList 2" xfId="241"/>
    <cellStyle name="_FRA_Map_Treasuries" xfId="242"/>
    <cellStyle name="_FRA_Map_Treasuries 2" xfId="243"/>
    <cellStyle name="_FRA_Map_Treasuries_Composite Page" xfId="244"/>
    <cellStyle name="_FRA_Map_Treasuries_Config" xfId="245"/>
    <cellStyle name="_Front" xfId="246"/>
    <cellStyle name="_Front_ADN" xfId="247"/>
    <cellStyle name="_Front_ImportBonds" xfId="248"/>
    <cellStyle name="_Front_Sheet1" xfId="249"/>
    <cellStyle name="_Front_Today" xfId="250"/>
    <cellStyle name="_Front_Yesterday" xfId="251"/>
    <cellStyle name="_Futures" xfId="252"/>
    <cellStyle name="_Gamma" xfId="253"/>
    <cellStyle name="_Gamma 2" xfId="254"/>
    <cellStyle name="_Gamma_Composite Page" xfId="255"/>
    <cellStyle name="_Gamma_Config" xfId="256"/>
    <cellStyle name="_Home" xfId="257"/>
    <cellStyle name="_Home 2" xfId="258"/>
    <cellStyle name="_Home_Composite Page" xfId="259"/>
    <cellStyle name="_Home_Config" xfId="260"/>
    <cellStyle name="_Hong Kong" xfId="261"/>
    <cellStyle name="_ImportBonds" xfId="262"/>
    <cellStyle name="_London" xfId="263"/>
    <cellStyle name="_London 2" xfId="264"/>
    <cellStyle name="_London_Composite Page" xfId="265"/>
    <cellStyle name="_London_Config" xfId="266"/>
    <cellStyle name="_LynxTrader" xfId="267"/>
    <cellStyle name="_LynxTrader_LynxTrader" xfId="268"/>
    <cellStyle name="_LynxTrader_Trade" xfId="269"/>
    <cellStyle name="_LynxTrader_Vector Editor" xfId="270"/>
    <cellStyle name="_Main" xfId="271"/>
    <cellStyle name="_manual" xfId="272"/>
    <cellStyle name="_manual_ADN" xfId="273"/>
    <cellStyle name="_manual_ImportBonds" xfId="274"/>
    <cellStyle name="_manual_Sheet1" xfId="275"/>
    <cellStyle name="_manual_Today" xfId="276"/>
    <cellStyle name="_manual_Yesterday" xfId="277"/>
    <cellStyle name="_New York" xfId="278"/>
    <cellStyle name="_NoteFuts" xfId="279"/>
    <cellStyle name="_Past 10 yr" xfId="280"/>
    <cellStyle name="_Past 10 yr 2" xfId="281"/>
    <cellStyle name="_Past 10 yr_Composite Page" xfId="282"/>
    <cellStyle name="_Past 10 yr_Config" xfId="283"/>
    <cellStyle name="_PnL" xfId="284"/>
    <cellStyle name="_PnL 2" xfId="285"/>
    <cellStyle name="_PnL Predictor" xfId="286"/>
    <cellStyle name="_PnL Predictor 2" xfId="287"/>
    <cellStyle name="_PnL Predictor_Composite Page" xfId="288"/>
    <cellStyle name="_PnL Predictor_Config" xfId="289"/>
    <cellStyle name="_PnL_Composite Page" xfId="290"/>
    <cellStyle name="_PnL_Config" xfId="291"/>
    <cellStyle name="_Positions" xfId="292"/>
    <cellStyle name="_Repo Blotter" xfId="293"/>
    <cellStyle name="_Repo Blotter_ADN" xfId="294"/>
    <cellStyle name="_Repo Blotter_ImportBonds" xfId="295"/>
    <cellStyle name="_Repo Blotter_Sheet1" xfId="296"/>
    <cellStyle name="_Repo Blotter_Today" xfId="297"/>
    <cellStyle name="_Repo Blotter_Yesterday" xfId="298"/>
    <cellStyle name="_Setup" xfId="299"/>
    <cellStyle name="_Setup_ADN" xfId="300"/>
    <cellStyle name="_Setup_ImportBonds" xfId="301"/>
    <cellStyle name="_Setup_Sheet1" xfId="302"/>
    <cellStyle name="_Setup_Today" xfId="303"/>
    <cellStyle name="_Setup_Yesterday" xfId="304"/>
    <cellStyle name="_Sheet1" xfId="305"/>
    <cellStyle name="_Strip_ZCurve" xfId="306"/>
    <cellStyle name="_Strip_ZCurve 2" xfId="307"/>
    <cellStyle name="_Strip_ZCurve_121Fut_View" xfId="308"/>
    <cellStyle name="_Strip_ZCurve_121Fut_View 2" xfId="309"/>
    <cellStyle name="_Strip_ZCurve_Apollo" xfId="310"/>
    <cellStyle name="_Strip_ZCurve_AssetSwap" xfId="311"/>
    <cellStyle name="_Strip_ZCurve_Closes" xfId="312"/>
    <cellStyle name="_Strip_ZCurve_Composite Page" xfId="313"/>
    <cellStyle name="_Strip_ZCurve_Config" xfId="314"/>
    <cellStyle name="_Strip_ZCurve_Config_Composite Page" xfId="315"/>
    <cellStyle name="_Strip_ZCurve_Convexity" xfId="316"/>
    <cellStyle name="_Strip_ZCurve_Core" xfId="317"/>
    <cellStyle name="_Strip_ZCurve_Core 2" xfId="318"/>
    <cellStyle name="_Strip_ZCurve_Core_Composite Page" xfId="319"/>
    <cellStyle name="_Strip_ZCurve_Core_Config" xfId="320"/>
    <cellStyle name="_Strip_ZCurve_cp_Closes" xfId="321"/>
    <cellStyle name="_Strip_ZCurve_DISPLAY" xfId="322"/>
    <cellStyle name="_Strip_ZCurve_EOD_Closes" xfId="323"/>
    <cellStyle name="_Strip_ZCurve_EOD_Closes_1" xfId="324"/>
    <cellStyle name="_Strip_ZCurve_EOD_Curve" xfId="325"/>
    <cellStyle name="_Strip_ZCurve_EOD_Curve 2" xfId="326"/>
    <cellStyle name="_Strip_ZCurve_EOD_Curve 3" xfId="327"/>
    <cellStyle name="_Strip_ZCurve_EOD_Curve_Composite Page" xfId="328"/>
    <cellStyle name="_Strip_ZCurve_EOD_Curve_Core" xfId="329"/>
    <cellStyle name="_Strip_ZCurve_EOD_Curve_Core 2" xfId="330"/>
    <cellStyle name="_Strip_ZCurve_EOD_Curve_Futures" xfId="331"/>
    <cellStyle name="_Strip_ZCurve_EOD_Curve_Swaps" xfId="332"/>
    <cellStyle name="_Strip_ZCurve_Futures" xfId="333"/>
    <cellStyle name="_Strip_ZCurve_Futures 2" xfId="334"/>
    <cellStyle name="_Strip_ZCurve_Futures_Composite Page" xfId="335"/>
    <cellStyle name="_Strip_ZCurve_Futures_Config" xfId="336"/>
    <cellStyle name="_Strip_ZCurve_Gamma" xfId="337"/>
    <cellStyle name="_Strip_ZCurve_Gamma_1" xfId="338"/>
    <cellStyle name="_Strip_ZCurve_Gamma_Composite Page" xfId="339"/>
    <cellStyle name="_Strip_ZCurve_Gamma_Core" xfId="340"/>
    <cellStyle name="_Strip_ZCurve_Gamma_Futures" xfId="341"/>
    <cellStyle name="_Strip_ZCurve_Gamma_Futures_1" xfId="342"/>
    <cellStyle name="_Strip_ZCurve_Gamma_Swaps" xfId="343"/>
    <cellStyle name="_Strip_ZCurve_Gamma_Treasuries" xfId="344"/>
    <cellStyle name="_Strip_ZCurve_holidays" xfId="345"/>
    <cellStyle name="_Strip_ZCurve_Real_Time" xfId="346"/>
    <cellStyle name="_Strip_ZCurve_Real-Time" xfId="347"/>
    <cellStyle name="_Strip_ZCurve_Real-Time 2" xfId="348"/>
    <cellStyle name="_Strip_ZCurve_Real-Time_1" xfId="349"/>
    <cellStyle name="_Strip_ZCurve_Real-Time_Composite Page" xfId="350"/>
    <cellStyle name="_Strip_ZCurve_Real-Time_Core" xfId="351"/>
    <cellStyle name="_Strip_ZCurve_Real-Time_Futures" xfId="352"/>
    <cellStyle name="_Strip_ZCurve_Real-Time_Futures_1" xfId="353"/>
    <cellStyle name="_Strip_ZCurve_Real-Time_Swaps" xfId="354"/>
    <cellStyle name="_Strip_ZCurve_Real-Time_Treasuries" xfId="355"/>
    <cellStyle name="_Strip_ZCurve_Sheet1" xfId="356"/>
    <cellStyle name="_Strip_ZCurve_Swaps" xfId="357"/>
    <cellStyle name="_Strip_ZCurve_Swaps 2" xfId="358"/>
    <cellStyle name="_Strip_ZCurve_Swaps_Composite Page" xfId="359"/>
    <cellStyle name="_Strip_ZCurve_Swaps_Config" xfId="360"/>
    <cellStyle name="_Strip_ZCurve_T-Notes" xfId="361"/>
    <cellStyle name="_Strip_ZCurve_T-Notes 2" xfId="362"/>
    <cellStyle name="_Strip_ZCurve_T-Notes_Composite Page" xfId="363"/>
    <cellStyle name="_Strip_ZCurve_T-Notes_Config" xfId="364"/>
    <cellStyle name="_Strip_ZCurve_ToDo" xfId="365"/>
    <cellStyle name="_Strip_ZCurve_ToDo 2" xfId="366"/>
    <cellStyle name="_Strip_ZCurve_ToDoList" xfId="367"/>
    <cellStyle name="_Strip_ZCurve_ToDoList 2" xfId="368"/>
    <cellStyle name="_Strip_ZCurve_Treasuries" xfId="369"/>
    <cellStyle name="_Strip_ZCurve_Treasuries 2" xfId="370"/>
    <cellStyle name="_Strip_ZCurve_Treasuries_Composite Page" xfId="371"/>
    <cellStyle name="_Strip_ZCurve_Treasuries_Config" xfId="372"/>
    <cellStyle name="_Summary" xfId="373"/>
    <cellStyle name="_Summary 2" xfId="374"/>
    <cellStyle name="_Summary_Composite Page" xfId="375"/>
    <cellStyle name="_Summary_Config" xfId="376"/>
    <cellStyle name="_Today" xfId="377"/>
    <cellStyle name="_Trade Blotter" xfId="378"/>
    <cellStyle name="_Treasuries" xfId="379"/>
    <cellStyle name="_Treasuries 2" xfId="380"/>
    <cellStyle name="_Treasuries_Composite Page" xfId="381"/>
    <cellStyle name="_Treasuries_Config" xfId="382"/>
    <cellStyle name="_Turn" xfId="383"/>
    <cellStyle name="_Turn 2" xfId="384"/>
    <cellStyle name="_Turn_121Fut_View" xfId="385"/>
    <cellStyle name="_Turn_121Fut_View 2" xfId="386"/>
    <cellStyle name="_Turn_Apollo" xfId="387"/>
    <cellStyle name="_Turn_apollo_curves" xfId="388"/>
    <cellStyle name="_Turn_Apollo_Spread" xfId="389"/>
    <cellStyle name="_Turn_AssetSwap" xfId="390"/>
    <cellStyle name="_Turn_Composite Page" xfId="391"/>
    <cellStyle name="_Turn_Config" xfId="392"/>
    <cellStyle name="_Turn_Config_Composite Page" xfId="393"/>
    <cellStyle name="_Turn_Convexity" xfId="394"/>
    <cellStyle name="_Turn_Core" xfId="395"/>
    <cellStyle name="_Turn_Core 2" xfId="396"/>
    <cellStyle name="_Turn_Core_Composite Page" xfId="397"/>
    <cellStyle name="_Turn_Core_Config" xfId="398"/>
    <cellStyle name="_Turn_cp_Closes" xfId="399"/>
    <cellStyle name="_Turn_DISPLAY" xfId="400"/>
    <cellStyle name="_Turn_EOD_Closes" xfId="401"/>
    <cellStyle name="_Turn_EOD_Curve" xfId="402"/>
    <cellStyle name="_Turn_EOD_Curve 2" xfId="403"/>
    <cellStyle name="_Turn_EOD_Curve 3" xfId="404"/>
    <cellStyle name="_Turn_EOD_Curve_Composite Page" xfId="405"/>
    <cellStyle name="_Turn_EOD_Curve_Core" xfId="406"/>
    <cellStyle name="_Turn_EOD_Curve_Core 2" xfId="407"/>
    <cellStyle name="_Turn_EOD_Curve_Futures" xfId="408"/>
    <cellStyle name="_Turn_EOD_Curve_Swaps" xfId="409"/>
    <cellStyle name="_Turn_Futures" xfId="410"/>
    <cellStyle name="_Turn_Futures 2" xfId="411"/>
    <cellStyle name="_Turn_Futures_Composite Page" xfId="412"/>
    <cellStyle name="_Turn_Futures_Config" xfId="413"/>
    <cellStyle name="_Turn_Gamma" xfId="414"/>
    <cellStyle name="_Turn_Gamma_1" xfId="415"/>
    <cellStyle name="_Turn_Gamma_Composite Page" xfId="416"/>
    <cellStyle name="_Turn_Gamma_Core" xfId="417"/>
    <cellStyle name="_Turn_Gamma_Futures" xfId="418"/>
    <cellStyle name="_Turn_Gamma_Futures_1" xfId="419"/>
    <cellStyle name="_Turn_Gamma_Swaps" xfId="420"/>
    <cellStyle name="_Turn_Gamma_Treasuries" xfId="421"/>
    <cellStyle name="_Turn_holidays" xfId="422"/>
    <cellStyle name="_Turn_Real_Time" xfId="423"/>
    <cellStyle name="_Turn_Real-Time" xfId="424"/>
    <cellStyle name="_Turn_Real-Time 2" xfId="425"/>
    <cellStyle name="_Turn_Real-Time_1" xfId="426"/>
    <cellStyle name="_Turn_Real-Time_Composite Page" xfId="427"/>
    <cellStyle name="_Turn_Real-Time_Core" xfId="428"/>
    <cellStyle name="_Turn_Real-Time_Futures" xfId="429"/>
    <cellStyle name="_Turn_Real-Time_Futures_1" xfId="430"/>
    <cellStyle name="_Turn_Real-Time_Swaps" xfId="431"/>
    <cellStyle name="_Turn_Real-Time_Treasuries" xfId="432"/>
    <cellStyle name="_Turn_Swaps" xfId="433"/>
    <cellStyle name="_Turn_Swaps 2" xfId="434"/>
    <cellStyle name="_Turn_Swaps_Composite Page" xfId="435"/>
    <cellStyle name="_Turn_Swaps_Config" xfId="436"/>
    <cellStyle name="_Turn_T-Notes" xfId="437"/>
    <cellStyle name="_Turn_T-Notes 2" xfId="438"/>
    <cellStyle name="_Turn_T-Notes_Composite Page" xfId="439"/>
    <cellStyle name="_Turn_T-Notes_Config" xfId="440"/>
    <cellStyle name="_Turn_ToDo" xfId="441"/>
    <cellStyle name="_Turn_ToDo 2" xfId="442"/>
    <cellStyle name="_Turn_ToDoList" xfId="443"/>
    <cellStyle name="_Turn_ToDoList 2" xfId="444"/>
    <cellStyle name="_Turn_Treasuries" xfId="445"/>
    <cellStyle name="_Turn_Treasuries 2" xfId="446"/>
    <cellStyle name="_Turn_Treasuries_Composite Page" xfId="447"/>
    <cellStyle name="_Turn_Treasuries_Config" xfId="448"/>
    <cellStyle name="_ValuationViewer" xfId="449"/>
    <cellStyle name="_ValuationViewer_ValuationViewer" xfId="450"/>
    <cellStyle name="_Yesterday" xfId="451"/>
    <cellStyle name="=C:\WINNT35\SYSTEM32\COMMAND.COM" xfId="56"/>
    <cellStyle name="0.0000%" xfId="452"/>
    <cellStyle name="20% - Accent1" xfId="19" builtinId="30" customBuiltin="1"/>
    <cellStyle name="20% - Accent1 2" xfId="453"/>
    <cellStyle name="20% - Accent1 2 2" xfId="454"/>
    <cellStyle name="20% - Accent1 3" xfId="455"/>
    <cellStyle name="20% - Accent1 4" xfId="456"/>
    <cellStyle name="20% - Accent1 5" xfId="457"/>
    <cellStyle name="20% - Accent1 6" xfId="458"/>
    <cellStyle name="20% - Accent2" xfId="23" builtinId="34" customBuiltin="1"/>
    <cellStyle name="20% - Accent2 2" xfId="459"/>
    <cellStyle name="20% - Accent2 2 2" xfId="460"/>
    <cellStyle name="20% - Accent2 3" xfId="461"/>
    <cellStyle name="20% - Accent2 4" xfId="462"/>
    <cellStyle name="20% - Accent2 5" xfId="463"/>
    <cellStyle name="20% - Accent2 6" xfId="464"/>
    <cellStyle name="20% - Accent3" xfId="27" builtinId="38" customBuiltin="1"/>
    <cellStyle name="20% - Accent3 2" xfId="465"/>
    <cellStyle name="20% - Accent3 2 2" xfId="466"/>
    <cellStyle name="20% - Accent3 3" xfId="467"/>
    <cellStyle name="20% - Accent3 4" xfId="468"/>
    <cellStyle name="20% - Accent3 5" xfId="469"/>
    <cellStyle name="20% - Accent3 6" xfId="470"/>
    <cellStyle name="20% - Accent4" xfId="31" builtinId="42" customBuiltin="1"/>
    <cellStyle name="20% - Accent4 2" xfId="471"/>
    <cellStyle name="20% - Accent4 2 2" xfId="472"/>
    <cellStyle name="20% - Accent4 3" xfId="473"/>
    <cellStyle name="20% - Accent4 4" xfId="474"/>
    <cellStyle name="20% - Accent4 5" xfId="475"/>
    <cellStyle name="20% - Accent4 6" xfId="476"/>
    <cellStyle name="20% - Accent5" xfId="35" builtinId="46" customBuiltin="1"/>
    <cellStyle name="20% - Accent5 2" xfId="477"/>
    <cellStyle name="20% - Accent5 2 2" xfId="478"/>
    <cellStyle name="20% - Accent5 3" xfId="479"/>
    <cellStyle name="20% - Accent5 4" xfId="480"/>
    <cellStyle name="20% - Accent6" xfId="39" builtinId="50" customBuiltin="1"/>
    <cellStyle name="20% - Accent6 2" xfId="481"/>
    <cellStyle name="20% - Accent6 2 2" xfId="482"/>
    <cellStyle name="20% - Accent6 3" xfId="483"/>
    <cellStyle name="20% - Accent6 4" xfId="484"/>
    <cellStyle name="40% - Accent1" xfId="20" builtinId="31" customBuiltin="1"/>
    <cellStyle name="40% - Accent1 2" xfId="485"/>
    <cellStyle name="40% - Accent1 2 2" xfId="486"/>
    <cellStyle name="40% - Accent1 3" xfId="487"/>
    <cellStyle name="40% - Accent1 4" xfId="488"/>
    <cellStyle name="40% - Accent1 5" xfId="489"/>
    <cellStyle name="40% - Accent1 6" xfId="490"/>
    <cellStyle name="40% - Accent2" xfId="24" builtinId="35" customBuiltin="1"/>
    <cellStyle name="40% - Accent2 2" xfId="491"/>
    <cellStyle name="40% - Accent2 2 2" xfId="492"/>
    <cellStyle name="40% - Accent2 3" xfId="493"/>
    <cellStyle name="40% - Accent2 4" xfId="494"/>
    <cellStyle name="40% - Accent3" xfId="28" builtinId="39" customBuiltin="1"/>
    <cellStyle name="40% - Accent3 2" xfId="495"/>
    <cellStyle name="40% - Accent3 2 2" xfId="496"/>
    <cellStyle name="40% - Accent3 3" xfId="497"/>
    <cellStyle name="40% - Accent3 4" xfId="498"/>
    <cellStyle name="40% - Accent3 5" xfId="499"/>
    <cellStyle name="40% - Accent3 6" xfId="500"/>
    <cellStyle name="40% - Accent4" xfId="32" builtinId="43" customBuiltin="1"/>
    <cellStyle name="40% - Accent4 2" xfId="501"/>
    <cellStyle name="40% - Accent4 2 2" xfId="502"/>
    <cellStyle name="40% - Accent4 3" xfId="503"/>
    <cellStyle name="40% - Accent4 4" xfId="504"/>
    <cellStyle name="40% - Accent4 5" xfId="505"/>
    <cellStyle name="40% - Accent4 6" xfId="506"/>
    <cellStyle name="40% - Accent5" xfId="36" builtinId="47" customBuiltin="1"/>
    <cellStyle name="40% - Accent5 2" xfId="507"/>
    <cellStyle name="40% - Accent5 2 2" xfId="508"/>
    <cellStyle name="40% - Accent5 3" xfId="509"/>
    <cellStyle name="40% - Accent5 4" xfId="510"/>
    <cellStyle name="40% - Accent6" xfId="40" builtinId="51" customBuiltin="1"/>
    <cellStyle name="40% - Accent6 2" xfId="511"/>
    <cellStyle name="40% - Accent6 2 2" xfId="512"/>
    <cellStyle name="40% - Accent6 3" xfId="513"/>
    <cellStyle name="40% - Accent6 4" xfId="514"/>
    <cellStyle name="40% - Accent6 5" xfId="515"/>
    <cellStyle name="40% - Accent6 6" xfId="516"/>
    <cellStyle name="60% - Accent1" xfId="21" builtinId="32" customBuiltin="1"/>
    <cellStyle name="60% - Accent1 2" xfId="517"/>
    <cellStyle name="60% - Accent1 2 2" xfId="518"/>
    <cellStyle name="60% - Accent1 3" xfId="519"/>
    <cellStyle name="60% - Accent1 4" xfId="520"/>
    <cellStyle name="60% - Accent1 5" xfId="521"/>
    <cellStyle name="60% - Accent1 6" xfId="522"/>
    <cellStyle name="60% - Accent2" xfId="25" builtinId="36" customBuiltin="1"/>
    <cellStyle name="60% - Accent2 2" xfId="523"/>
    <cellStyle name="60% - Accent2 2 2" xfId="524"/>
    <cellStyle name="60% - Accent2 3" xfId="525"/>
    <cellStyle name="60% - Accent2 4" xfId="526"/>
    <cellStyle name="60% - Accent3" xfId="29" builtinId="40" customBuiltin="1"/>
    <cellStyle name="60% - Accent3 2" xfId="527"/>
    <cellStyle name="60% - Accent3 2 2" xfId="528"/>
    <cellStyle name="60% - Accent3 3" xfId="529"/>
    <cellStyle name="60% - Accent3 4" xfId="530"/>
    <cellStyle name="60% - Accent3 5" xfId="531"/>
    <cellStyle name="60% - Accent3 6" xfId="532"/>
    <cellStyle name="60% - Accent4" xfId="33" builtinId="44" customBuiltin="1"/>
    <cellStyle name="60% - Accent4 2" xfId="533"/>
    <cellStyle name="60% - Accent4 2 2" xfId="534"/>
    <cellStyle name="60% - Accent4 3" xfId="535"/>
    <cellStyle name="60% - Accent4 4" xfId="536"/>
    <cellStyle name="60% - Accent4 5" xfId="537"/>
    <cellStyle name="60% - Accent4 6" xfId="538"/>
    <cellStyle name="60% - Accent5" xfId="37" builtinId="48" customBuiltin="1"/>
    <cellStyle name="60% - Accent5 2" xfId="539"/>
    <cellStyle name="60% - Accent5 2 2" xfId="540"/>
    <cellStyle name="60% - Accent5 3" xfId="541"/>
    <cellStyle name="60% - Accent5 4" xfId="542"/>
    <cellStyle name="60% - Accent6" xfId="41" builtinId="52" customBuiltin="1"/>
    <cellStyle name="60% - Accent6 2" xfId="543"/>
    <cellStyle name="60% - Accent6 2 2" xfId="544"/>
    <cellStyle name="60% - Accent6 3" xfId="545"/>
    <cellStyle name="60% - Accent6 4" xfId="546"/>
    <cellStyle name="60% - Accent6 5" xfId="547"/>
    <cellStyle name="60% - Accent6 6" xfId="548"/>
    <cellStyle name="Accent1" xfId="18" builtinId="29" customBuiltin="1"/>
    <cellStyle name="Accent1 2" xfId="549"/>
    <cellStyle name="Accent1 2 2" xfId="550"/>
    <cellStyle name="Accent1 3" xfId="551"/>
    <cellStyle name="Accent1 4" xfId="552"/>
    <cellStyle name="Accent1 5" xfId="553"/>
    <cellStyle name="Accent1 6" xfId="554"/>
    <cellStyle name="Accent2" xfId="22" builtinId="33" customBuiltin="1"/>
    <cellStyle name="Accent2 2" xfId="555"/>
    <cellStyle name="Accent2 2 2" xfId="556"/>
    <cellStyle name="Accent2 3" xfId="557"/>
    <cellStyle name="Accent2 4" xfId="558"/>
    <cellStyle name="Accent3" xfId="26" builtinId="37" customBuiltin="1"/>
    <cellStyle name="Accent3 2" xfId="559"/>
    <cellStyle name="Accent3 2 2" xfId="560"/>
    <cellStyle name="Accent3 3" xfId="561"/>
    <cellStyle name="Accent3 4" xfId="562"/>
    <cellStyle name="Accent4" xfId="30" builtinId="41" customBuiltin="1"/>
    <cellStyle name="Accent4 2" xfId="563"/>
    <cellStyle name="Accent4 2 2" xfId="564"/>
    <cellStyle name="Accent4 3" xfId="565"/>
    <cellStyle name="Accent4 4" xfId="566"/>
    <cellStyle name="Accent4 5" xfId="567"/>
    <cellStyle name="Accent4 6" xfId="568"/>
    <cellStyle name="Accent5" xfId="34" builtinId="45" customBuiltin="1"/>
    <cellStyle name="Accent5 2" xfId="569"/>
    <cellStyle name="Accent5 2 2" xfId="570"/>
    <cellStyle name="Accent5 3" xfId="571"/>
    <cellStyle name="Accent5 4" xfId="572"/>
    <cellStyle name="Accent6" xfId="38" builtinId="49" customBuiltin="1"/>
    <cellStyle name="Accent6 2" xfId="573"/>
    <cellStyle name="Accent6 2 2" xfId="574"/>
    <cellStyle name="Accent6 3" xfId="575"/>
    <cellStyle name="Accent6 4" xfId="576"/>
    <cellStyle name="AppSvrCode" xfId="577"/>
    <cellStyle name="Array" xfId="578"/>
    <cellStyle name="Background" xfId="57"/>
    <cellStyle name="BackGround 2" xfId="580"/>
    <cellStyle name="Background 3" xfId="581"/>
    <cellStyle name="Background 4" xfId="582"/>
    <cellStyle name="Background 5" xfId="583"/>
    <cellStyle name="Background 6" xfId="584"/>
    <cellStyle name="Background 7" xfId="579"/>
    <cellStyle name="Background_apollo_curves" xfId="585"/>
    <cellStyle name="Bad" xfId="7" builtinId="27" customBuiltin="1"/>
    <cellStyle name="Bad 2" xfId="586"/>
    <cellStyle name="Bad 2 2" xfId="587"/>
    <cellStyle name="Bad 3" xfId="588"/>
    <cellStyle name="Bad 4" xfId="589"/>
    <cellStyle name="Bad 5" xfId="590"/>
    <cellStyle name="Bad 6" xfId="591"/>
    <cellStyle name="blp_column_header" xfId="7203"/>
    <cellStyle name="Border" xfId="592"/>
    <cellStyle name="bullet" xfId="593"/>
    <cellStyle name="calc" xfId="58"/>
    <cellStyle name="Calculation" xfId="11" builtinId="22" customBuiltin="1"/>
    <cellStyle name="Calculation 2" xfId="594"/>
    <cellStyle name="Calculation 2 2" xfId="595"/>
    <cellStyle name="Calculation 2 2 2" xfId="596"/>
    <cellStyle name="Calculation 2 2 2 2" xfId="597"/>
    <cellStyle name="Calculation 2 2 2 2 2" xfId="598"/>
    <cellStyle name="Calculation 2 2 2 2 2 2" xfId="599"/>
    <cellStyle name="Calculation 2 2 2 2 2 2 2" xfId="600"/>
    <cellStyle name="Calculation 2 2 2 2 2 2 2 2" xfId="2776"/>
    <cellStyle name="Calculation 2 2 2 2 2 2 2 2 2" xfId="5973"/>
    <cellStyle name="Calculation 2 2 2 2 2 2 2 3" xfId="5230"/>
    <cellStyle name="Calculation 2 2 2 2 2 2 3" xfId="3971"/>
    <cellStyle name="Calculation 2 2 2 2 2 2 3 2" xfId="7167"/>
    <cellStyle name="Calculation 2 2 2 2 2 2 4" xfId="4760"/>
    <cellStyle name="Calculation 2 2 2 2 2 3" xfId="601"/>
    <cellStyle name="Calculation 2 2 2 2 2 3 2" xfId="3723"/>
    <cellStyle name="Calculation 2 2 2 2 2 3 2 2" xfId="6919"/>
    <cellStyle name="Calculation 2 2 2 2 2 3 3" xfId="5437"/>
    <cellStyle name="Calculation 2 2 2 2 2 3 4" xfId="4473"/>
    <cellStyle name="Calculation 2 2 2 2 2 4" xfId="602"/>
    <cellStyle name="Calculation 2 2 2 2 2 4 2" xfId="3195"/>
    <cellStyle name="Calculation 2 2 2 2 2 4 2 2" xfId="6391"/>
    <cellStyle name="Calculation 2 2 2 2 2 4 3" xfId="4311"/>
    <cellStyle name="Calculation 2 2 2 2 2 5" xfId="3665"/>
    <cellStyle name="Calculation 2 2 2 2 2 5 2" xfId="6861"/>
    <cellStyle name="Calculation 2 2 2 2 2 6" xfId="4082"/>
    <cellStyle name="Calculation 2 2 2 2 3" xfId="603"/>
    <cellStyle name="Calculation 2 2 2 2 3 2" xfId="604"/>
    <cellStyle name="Calculation 2 2 2 2 3 2 2" xfId="605"/>
    <cellStyle name="Calculation 2 2 2 2 3 2 2 2" xfId="2634"/>
    <cellStyle name="Calculation 2 2 2 2 3 2 2 2 2" xfId="5831"/>
    <cellStyle name="Calculation 2 2 2 2 3 2 2 3" xfId="5407"/>
    <cellStyle name="Calculation 2 2 2 2 3 2 3" xfId="3108"/>
    <cellStyle name="Calculation 2 2 2 2 3 2 3 2" xfId="6305"/>
    <cellStyle name="Calculation 2 2 2 2 3 2 4" xfId="4937"/>
    <cellStyle name="Calculation 2 2 2 2 3 3" xfId="606"/>
    <cellStyle name="Calculation 2 2 2 2 3 3 2" xfId="3761"/>
    <cellStyle name="Calculation 2 2 2 2 3 3 2 2" xfId="6957"/>
    <cellStyle name="Calculation 2 2 2 2 3 3 3" xfId="5438"/>
    <cellStyle name="Calculation 2 2 2 2 3 3 4" xfId="4650"/>
    <cellStyle name="Calculation 2 2 2 2 3 4" xfId="607"/>
    <cellStyle name="Calculation 2 2 2 2 3 4 2" xfId="2882"/>
    <cellStyle name="Calculation 2 2 2 2 3 4 2 2" xfId="6079"/>
    <cellStyle name="Calculation 2 2 2 2 3 4 3" xfId="5120"/>
    <cellStyle name="Calculation 2 2 2 2 3 5" xfId="3557"/>
    <cellStyle name="Calculation 2 2 2 2 3 5 2" xfId="6753"/>
    <cellStyle name="Calculation 2 2 2 2 3 6" xfId="4259"/>
    <cellStyle name="Calculation 2 2 2 2 4" xfId="608"/>
    <cellStyle name="Calculation 2 2 2 2 4 2" xfId="609"/>
    <cellStyle name="Calculation 2 2 2 2 4 2 2" xfId="610"/>
    <cellStyle name="Calculation 2 2 2 2 4 2 2 2" xfId="2550"/>
    <cellStyle name="Calculation 2 2 2 2 4 2 2 2 2" xfId="5747"/>
    <cellStyle name="Calculation 2 2 2 2 4 2 2 3" xfId="5350"/>
    <cellStyle name="Calculation 2 2 2 2 4 2 3" xfId="3561"/>
    <cellStyle name="Calculation 2 2 2 2 4 2 3 2" xfId="6757"/>
    <cellStyle name="Calculation 2 2 2 2 4 2 4" xfId="4880"/>
    <cellStyle name="Calculation 2 2 2 2 4 3" xfId="611"/>
    <cellStyle name="Calculation 2 2 2 2 4 3 2" xfId="3138"/>
    <cellStyle name="Calculation 2 2 2 2 4 3 2 2" xfId="6334"/>
    <cellStyle name="Calculation 2 2 2 2 4 3 3" xfId="5439"/>
    <cellStyle name="Calculation 2 2 2 2 4 3 4" xfId="4593"/>
    <cellStyle name="Calculation 2 2 2 2 4 4" xfId="612"/>
    <cellStyle name="Calculation 2 2 2 2 4 4 2" xfId="3271"/>
    <cellStyle name="Calculation 2 2 2 2 4 4 2 2" xfId="6467"/>
    <cellStyle name="Calculation 2 2 2 2 4 4 3" xfId="5063"/>
    <cellStyle name="Calculation 2 2 2 2 4 5" xfId="3753"/>
    <cellStyle name="Calculation 2 2 2 2 4 5 2" xfId="6949"/>
    <cellStyle name="Calculation 2 2 2 2 4 6" xfId="4202"/>
    <cellStyle name="Calculation 2 2 2 2 5" xfId="3344"/>
    <cellStyle name="Calculation 2 2 2 2 5 2" xfId="6540"/>
    <cellStyle name="Calculation 2 2 2 3" xfId="613"/>
    <cellStyle name="Calculation 2 2 2 3 2" xfId="614"/>
    <cellStyle name="Calculation 2 2 2 3 2 2" xfId="615"/>
    <cellStyle name="Calculation 2 2 2 3 2 2 2" xfId="2819"/>
    <cellStyle name="Calculation 2 2 2 3 2 2 2 2" xfId="6016"/>
    <cellStyle name="Calculation 2 2 2 3 2 2 3" xfId="5185"/>
    <cellStyle name="Calculation 2 2 2 3 2 3" xfId="3336"/>
    <cellStyle name="Calculation 2 2 2 3 2 3 2" xfId="6532"/>
    <cellStyle name="Calculation 2 2 2 3 2 4" xfId="4715"/>
    <cellStyle name="Calculation 2 2 2 3 3" xfId="616"/>
    <cellStyle name="Calculation 2 2 2 3 3 2" xfId="3800"/>
    <cellStyle name="Calculation 2 2 2 3 3 2 2" xfId="6996"/>
    <cellStyle name="Calculation 2 2 2 3 3 3" xfId="5440"/>
    <cellStyle name="Calculation 2 2 2 3 3 4" xfId="4428"/>
    <cellStyle name="Calculation 2 2 2 3 4" xfId="617"/>
    <cellStyle name="Calculation 2 2 2 3 4 2" xfId="3167"/>
    <cellStyle name="Calculation 2 2 2 3 4 2 2" xfId="6363"/>
    <cellStyle name="Calculation 2 2 2 3 4 3" xfId="4355"/>
    <cellStyle name="Calculation 2 2 2 3 5" xfId="3473"/>
    <cellStyle name="Calculation 2 2 2 3 5 2" xfId="6669"/>
    <cellStyle name="Calculation 2 2 2 3 6" xfId="4037"/>
    <cellStyle name="Calculation 2 2 2 4" xfId="618"/>
    <cellStyle name="Calculation 2 2 2 4 2" xfId="619"/>
    <cellStyle name="Calculation 2 2 2 4 2 2" xfId="620"/>
    <cellStyle name="Calculation 2 2 2 4 2 2 2" xfId="2568"/>
    <cellStyle name="Calculation 2 2 2 4 2 2 2 2" xfId="5765"/>
    <cellStyle name="Calculation 2 2 2 4 2 2 3" xfId="5369"/>
    <cellStyle name="Calculation 2 2 2 4 2 3" xfId="3401"/>
    <cellStyle name="Calculation 2 2 2 4 2 3 2" xfId="6597"/>
    <cellStyle name="Calculation 2 2 2 4 2 4" xfId="4899"/>
    <cellStyle name="Calculation 2 2 2 4 3" xfId="621"/>
    <cellStyle name="Calculation 2 2 2 4 3 2" xfId="3267"/>
    <cellStyle name="Calculation 2 2 2 4 3 2 2" xfId="6463"/>
    <cellStyle name="Calculation 2 2 2 4 3 3" xfId="5441"/>
    <cellStyle name="Calculation 2 2 2 4 3 4" xfId="4612"/>
    <cellStyle name="Calculation 2 2 2 4 4" xfId="622"/>
    <cellStyle name="Calculation 2 2 2 4 4 2" xfId="2920"/>
    <cellStyle name="Calculation 2 2 2 4 4 2 2" xfId="6117"/>
    <cellStyle name="Calculation 2 2 2 4 4 3" xfId="5082"/>
    <cellStyle name="Calculation 2 2 2 4 5" xfId="3581"/>
    <cellStyle name="Calculation 2 2 2 4 5 2" xfId="6777"/>
    <cellStyle name="Calculation 2 2 2 4 6" xfId="4221"/>
    <cellStyle name="Calculation 2 2 2 5" xfId="623"/>
    <cellStyle name="Calculation 2 2 2 5 2" xfId="624"/>
    <cellStyle name="Calculation 2 2 2 5 2 2" xfId="625"/>
    <cellStyle name="Calculation 2 2 2 5 2 2 2" xfId="2553"/>
    <cellStyle name="Calculation 2 2 2 5 2 2 2 2" xfId="5750"/>
    <cellStyle name="Calculation 2 2 2 5 2 2 3" xfId="5354"/>
    <cellStyle name="Calculation 2 2 2 5 2 3" xfId="3774"/>
    <cellStyle name="Calculation 2 2 2 5 2 3 2" xfId="6970"/>
    <cellStyle name="Calculation 2 2 2 5 2 4" xfId="4884"/>
    <cellStyle name="Calculation 2 2 2 5 3" xfId="626"/>
    <cellStyle name="Calculation 2 2 2 5 3 2" xfId="3318"/>
    <cellStyle name="Calculation 2 2 2 5 3 2 2" xfId="6514"/>
    <cellStyle name="Calculation 2 2 2 5 3 3" xfId="5442"/>
    <cellStyle name="Calculation 2 2 2 5 3 4" xfId="4597"/>
    <cellStyle name="Calculation 2 2 2 5 4" xfId="627"/>
    <cellStyle name="Calculation 2 2 2 5 4 2" xfId="3059"/>
    <cellStyle name="Calculation 2 2 2 5 4 2 2" xfId="6256"/>
    <cellStyle name="Calculation 2 2 2 5 4 3" xfId="5067"/>
    <cellStyle name="Calculation 2 2 2 5 5" xfId="3970"/>
    <cellStyle name="Calculation 2 2 2 5 5 2" xfId="7166"/>
    <cellStyle name="Calculation 2 2 2 5 6" xfId="4206"/>
    <cellStyle name="Calculation 2 2 3" xfId="628"/>
    <cellStyle name="Calculation 2 2 3 2" xfId="629"/>
    <cellStyle name="Calculation 2 2 3 2 2" xfId="630"/>
    <cellStyle name="Calculation 2 2 3 2 2 2" xfId="631"/>
    <cellStyle name="Calculation 2 2 3 2 2 2 2" xfId="2801"/>
    <cellStyle name="Calculation 2 2 3 2 2 2 2 2" xfId="5998"/>
    <cellStyle name="Calculation 2 2 3 2 2 2 3" xfId="5203"/>
    <cellStyle name="Calculation 2 2 3 2 2 3" xfId="3469"/>
    <cellStyle name="Calculation 2 2 3 2 2 3 2" xfId="6665"/>
    <cellStyle name="Calculation 2 2 3 2 2 4" xfId="4733"/>
    <cellStyle name="Calculation 2 2 3 2 3" xfId="632"/>
    <cellStyle name="Calculation 2 2 3 2 3 2" xfId="3974"/>
    <cellStyle name="Calculation 2 2 3 2 3 2 2" xfId="7170"/>
    <cellStyle name="Calculation 2 2 3 2 3 3" xfId="5443"/>
    <cellStyle name="Calculation 2 2 3 2 3 4" xfId="4446"/>
    <cellStyle name="Calculation 2 2 3 2 4" xfId="633"/>
    <cellStyle name="Calculation 2 2 3 2 4 2" xfId="3754"/>
    <cellStyle name="Calculation 2 2 3 2 4 2 2" xfId="6950"/>
    <cellStyle name="Calculation 2 2 3 2 4 3" xfId="4337"/>
    <cellStyle name="Calculation 2 2 3 2 5" xfId="3355"/>
    <cellStyle name="Calculation 2 2 3 2 5 2" xfId="6551"/>
    <cellStyle name="Calculation 2 2 3 2 6" xfId="4055"/>
    <cellStyle name="Calculation 2 2 3 3" xfId="634"/>
    <cellStyle name="Calculation 2 2 3 3 2" xfId="635"/>
    <cellStyle name="Calculation 2 2 3 3 2 2" xfId="636"/>
    <cellStyle name="Calculation 2 2 3 3 2 2 2" xfId="2582"/>
    <cellStyle name="Calculation 2 2 3 3 2 2 2 2" xfId="5779"/>
    <cellStyle name="Calculation 2 2 3 3 2 2 3" xfId="5383"/>
    <cellStyle name="Calculation 2 2 3 3 2 3" xfId="3965"/>
    <cellStyle name="Calculation 2 2 3 3 2 3 2" xfId="7161"/>
    <cellStyle name="Calculation 2 2 3 3 2 4" xfId="4913"/>
    <cellStyle name="Calculation 2 2 3 3 3" xfId="637"/>
    <cellStyle name="Calculation 2 2 3 3 3 2" xfId="3670"/>
    <cellStyle name="Calculation 2 2 3 3 3 2 2" xfId="6866"/>
    <cellStyle name="Calculation 2 2 3 3 3 3" xfId="5444"/>
    <cellStyle name="Calculation 2 2 3 3 3 4" xfId="4626"/>
    <cellStyle name="Calculation 2 2 3 3 4" xfId="638"/>
    <cellStyle name="Calculation 2 2 3 3 4 2" xfId="2906"/>
    <cellStyle name="Calculation 2 2 3 3 4 2 2" xfId="6103"/>
    <cellStyle name="Calculation 2 2 3 3 4 3" xfId="5096"/>
    <cellStyle name="Calculation 2 2 3 3 5" xfId="3839"/>
    <cellStyle name="Calculation 2 2 3 3 5 2" xfId="7035"/>
    <cellStyle name="Calculation 2 2 3 3 6" xfId="4235"/>
    <cellStyle name="Calculation 2 2 3 4" xfId="639"/>
    <cellStyle name="Calculation 2 2 3 4 2" xfId="640"/>
    <cellStyle name="Calculation 2 2 3 4 2 2" xfId="641"/>
    <cellStyle name="Calculation 2 2 3 4 2 2 2" xfId="2652"/>
    <cellStyle name="Calculation 2 2 3 4 2 2 2 2" xfId="5849"/>
    <cellStyle name="Calculation 2 2 3 4 2 2 3" xfId="5418"/>
    <cellStyle name="Calculation 2 2 3 4 2 3" xfId="2950"/>
    <cellStyle name="Calculation 2 2 3 4 2 3 2" xfId="6147"/>
    <cellStyle name="Calculation 2 2 3 4 2 4" xfId="4948"/>
    <cellStyle name="Calculation 2 2 3 4 3" xfId="642"/>
    <cellStyle name="Calculation 2 2 3 4 3 2" xfId="3866"/>
    <cellStyle name="Calculation 2 2 3 4 3 2 2" xfId="7062"/>
    <cellStyle name="Calculation 2 2 3 4 3 3" xfId="5445"/>
    <cellStyle name="Calculation 2 2 3 4 3 4" xfId="4661"/>
    <cellStyle name="Calculation 2 2 3 4 4" xfId="643"/>
    <cellStyle name="Calculation 2 2 3 4 4 2" xfId="2872"/>
    <cellStyle name="Calculation 2 2 3 4 4 2 2" xfId="6069"/>
    <cellStyle name="Calculation 2 2 3 4 4 3" xfId="5131"/>
    <cellStyle name="Calculation 2 2 3 4 5" xfId="3822"/>
    <cellStyle name="Calculation 2 2 3 4 5 2" xfId="7018"/>
    <cellStyle name="Calculation 2 2 3 4 6" xfId="4270"/>
    <cellStyle name="Calculation 2 2 3 5" xfId="3539"/>
    <cellStyle name="Calculation 2 2 3 5 2" xfId="6735"/>
    <cellStyle name="Calculation 2 2 4" xfId="644"/>
    <cellStyle name="Calculation 2 2 4 2" xfId="645"/>
    <cellStyle name="Calculation 2 2 4 2 2" xfId="646"/>
    <cellStyle name="Calculation 2 2 4 2 2 2" xfId="647"/>
    <cellStyle name="Calculation 2 2 4 2 2 2 2" xfId="2729"/>
    <cellStyle name="Calculation 2 2 4 2 2 2 2 2" xfId="5926"/>
    <cellStyle name="Calculation 2 2 4 2 2 2 3" xfId="5277"/>
    <cellStyle name="Calculation 2 2 4 2 2 3" xfId="3432"/>
    <cellStyle name="Calculation 2 2 4 2 2 3 2" xfId="6628"/>
    <cellStyle name="Calculation 2 2 4 2 2 4" xfId="4807"/>
    <cellStyle name="Calculation 2 2 4 2 3" xfId="648"/>
    <cellStyle name="Calculation 2 2 4 2 3 2" xfId="2640"/>
    <cellStyle name="Calculation 2 2 4 2 3 2 2" xfId="5837"/>
    <cellStyle name="Calculation 2 2 4 2 3 3" xfId="5446"/>
    <cellStyle name="Calculation 2 2 4 2 3 4" xfId="4520"/>
    <cellStyle name="Calculation 2 2 4 2 4" xfId="649"/>
    <cellStyle name="Calculation 2 2 4 2 4 2" xfId="2939"/>
    <cellStyle name="Calculation 2 2 4 2 4 2 2" xfId="6136"/>
    <cellStyle name="Calculation 2 2 4 2 4 3" xfId="4990"/>
    <cellStyle name="Calculation 2 2 4 2 5" xfId="3222"/>
    <cellStyle name="Calculation 2 2 4 2 5 2" xfId="6418"/>
    <cellStyle name="Calculation 2 2 4 2 6" xfId="4129"/>
    <cellStyle name="Calculation 2 2 4 3" xfId="650"/>
    <cellStyle name="Calculation 2 2 4 3 2" xfId="651"/>
    <cellStyle name="Calculation 2 2 4 3 2 2" xfId="652"/>
    <cellStyle name="Calculation 2 2 4 3 2 2 2" xfId="2684"/>
    <cellStyle name="Calculation 2 2 4 3 2 2 2 2" xfId="5881"/>
    <cellStyle name="Calculation 2 2 4 3 2 2 3" xfId="5322"/>
    <cellStyle name="Calculation 2 2 4 3 2 3" xfId="3176"/>
    <cellStyle name="Calculation 2 2 4 3 2 3 2" xfId="6372"/>
    <cellStyle name="Calculation 2 2 4 3 2 4" xfId="4852"/>
    <cellStyle name="Calculation 2 2 4 3 3" xfId="653"/>
    <cellStyle name="Calculation 2 2 4 3 3 2" xfId="3226"/>
    <cellStyle name="Calculation 2 2 4 3 3 2 2" xfId="6422"/>
    <cellStyle name="Calculation 2 2 4 3 3 3" xfId="5447"/>
    <cellStyle name="Calculation 2 2 4 3 3 4" xfId="4565"/>
    <cellStyle name="Calculation 2 2 4 3 4" xfId="654"/>
    <cellStyle name="Calculation 2 2 4 3 4 2" xfId="2594"/>
    <cellStyle name="Calculation 2 2 4 3 4 2 2" xfId="5791"/>
    <cellStyle name="Calculation 2 2 4 3 4 3" xfId="5035"/>
    <cellStyle name="Calculation 2 2 4 3 5" xfId="3015"/>
    <cellStyle name="Calculation 2 2 4 3 5 2" xfId="6212"/>
    <cellStyle name="Calculation 2 2 4 3 6" xfId="4174"/>
    <cellStyle name="Calculation 2 2 4 4" xfId="655"/>
    <cellStyle name="Calculation 2 2 4 4 2" xfId="656"/>
    <cellStyle name="Calculation 2 2 4 4 2 2" xfId="2762"/>
    <cellStyle name="Calculation 2 2 4 4 2 2 2" xfId="5959"/>
    <cellStyle name="Calculation 2 2 4 4 2 3" xfId="5244"/>
    <cellStyle name="Calculation 2 2 4 4 3" xfId="3819"/>
    <cellStyle name="Calculation 2 2 4 4 3 2" xfId="7015"/>
    <cellStyle name="Calculation 2 2 4 4 4" xfId="4774"/>
    <cellStyle name="Calculation 2 2 4 5" xfId="657"/>
    <cellStyle name="Calculation 2 2 4 5 2" xfId="3091"/>
    <cellStyle name="Calculation 2 2 4 5 2 2" xfId="6288"/>
    <cellStyle name="Calculation 2 2 4 5 3" xfId="5448"/>
    <cellStyle name="Calculation 2 2 4 5 4" xfId="4487"/>
    <cellStyle name="Calculation 2 2 4 6" xfId="658"/>
    <cellStyle name="Calculation 2 2 4 6 2" xfId="3608"/>
    <cellStyle name="Calculation 2 2 4 6 2 2" xfId="6804"/>
    <cellStyle name="Calculation 2 2 4 6 3" xfId="4298"/>
    <cellStyle name="Calculation 2 2 4 7" xfId="3826"/>
    <cellStyle name="Calculation 2 2 4 7 2" xfId="7022"/>
    <cellStyle name="Calculation 2 2 4 8" xfId="4096"/>
    <cellStyle name="Calculation 2 2 5" xfId="659"/>
    <cellStyle name="Calculation 2 2 5 2" xfId="660"/>
    <cellStyle name="Calculation 2 2 5 2 2" xfId="661"/>
    <cellStyle name="Calculation 2 2 5 2 2 2" xfId="2839"/>
    <cellStyle name="Calculation 2 2 5 2 2 2 2" xfId="6036"/>
    <cellStyle name="Calculation 2 2 5 2 2 3" xfId="5165"/>
    <cellStyle name="Calculation 2 2 5 2 3" xfId="3098"/>
    <cellStyle name="Calculation 2 2 5 2 3 2" xfId="6295"/>
    <cellStyle name="Calculation 2 2 5 2 4" xfId="4695"/>
    <cellStyle name="Calculation 2 2 5 3" xfId="662"/>
    <cellStyle name="Calculation 2 2 5 3 2" xfId="3601"/>
    <cellStyle name="Calculation 2 2 5 3 2 2" xfId="6797"/>
    <cellStyle name="Calculation 2 2 5 3 3" xfId="5449"/>
    <cellStyle name="Calculation 2 2 5 3 4" xfId="4408"/>
    <cellStyle name="Calculation 2 2 5 4" xfId="663"/>
    <cellStyle name="Calculation 2 2 5 4 2" xfId="3421"/>
    <cellStyle name="Calculation 2 2 5 4 2 2" xfId="6617"/>
    <cellStyle name="Calculation 2 2 5 4 3" xfId="4375"/>
    <cellStyle name="Calculation 2 2 5 5" xfId="3695"/>
    <cellStyle name="Calculation 2 2 5 5 2" xfId="6891"/>
    <cellStyle name="Calculation 2 2 5 6" xfId="4017"/>
    <cellStyle name="Calculation 2 3" xfId="664"/>
    <cellStyle name="Calculation 2 3 2" xfId="665"/>
    <cellStyle name="Calculation 2 3 2 2" xfId="666"/>
    <cellStyle name="Calculation 2 3 2 2 2" xfId="667"/>
    <cellStyle name="Calculation 2 3 2 2 2 2" xfId="668"/>
    <cellStyle name="Calculation 2 3 2 2 2 2 2" xfId="2785"/>
    <cellStyle name="Calculation 2 3 2 2 2 2 2 2" xfId="5982"/>
    <cellStyle name="Calculation 2 3 2 2 2 2 3" xfId="5220"/>
    <cellStyle name="Calculation 2 3 2 2 2 3" xfId="3678"/>
    <cellStyle name="Calculation 2 3 2 2 2 3 2" xfId="6874"/>
    <cellStyle name="Calculation 2 3 2 2 2 4" xfId="4750"/>
    <cellStyle name="Calculation 2 3 2 2 3" xfId="669"/>
    <cellStyle name="Calculation 2 3 2 2 3 2" xfId="3729"/>
    <cellStyle name="Calculation 2 3 2 2 3 2 2" xfId="6925"/>
    <cellStyle name="Calculation 2 3 2 2 3 3" xfId="5450"/>
    <cellStyle name="Calculation 2 3 2 2 3 4" xfId="4463"/>
    <cellStyle name="Calculation 2 3 2 2 4" xfId="670"/>
    <cellStyle name="Calculation 2 3 2 2 4 2" xfId="3908"/>
    <cellStyle name="Calculation 2 3 2 2 4 2 2" xfId="7104"/>
    <cellStyle name="Calculation 2 3 2 2 4 3" xfId="4321"/>
    <cellStyle name="Calculation 2 3 2 2 5" xfId="3142"/>
    <cellStyle name="Calculation 2 3 2 2 5 2" xfId="6338"/>
    <cellStyle name="Calculation 2 3 2 2 6" xfId="4072"/>
    <cellStyle name="Calculation 2 3 2 3" xfId="671"/>
    <cellStyle name="Calculation 2 3 2 3 2" xfId="672"/>
    <cellStyle name="Calculation 2 3 2 3 2 2" xfId="673"/>
    <cellStyle name="Calculation 2 3 2 3 2 2 2" xfId="2625"/>
    <cellStyle name="Calculation 2 3 2 3 2 2 2 2" xfId="5822"/>
    <cellStyle name="Calculation 2 3 2 3 2 2 3" xfId="5397"/>
    <cellStyle name="Calculation 2 3 2 3 2 3" xfId="3606"/>
    <cellStyle name="Calculation 2 3 2 3 2 3 2" xfId="6802"/>
    <cellStyle name="Calculation 2 3 2 3 2 4" xfId="4927"/>
    <cellStyle name="Calculation 2 3 2 3 3" xfId="674"/>
    <cellStyle name="Calculation 2 3 2 3 3 2" xfId="3876"/>
    <cellStyle name="Calculation 2 3 2 3 3 2 2" xfId="7072"/>
    <cellStyle name="Calculation 2 3 2 3 3 3" xfId="5451"/>
    <cellStyle name="Calculation 2 3 2 3 3 4" xfId="4640"/>
    <cellStyle name="Calculation 2 3 2 3 4" xfId="675"/>
    <cellStyle name="Calculation 2 3 2 3 4 2" xfId="2892"/>
    <cellStyle name="Calculation 2 3 2 3 4 2 2" xfId="6089"/>
    <cellStyle name="Calculation 2 3 2 3 4 3" xfId="5110"/>
    <cellStyle name="Calculation 2 3 2 3 5" xfId="2649"/>
    <cellStyle name="Calculation 2 3 2 3 5 2" xfId="5846"/>
    <cellStyle name="Calculation 2 3 2 3 6" xfId="4249"/>
    <cellStyle name="Calculation 2 3 2 4" xfId="676"/>
    <cellStyle name="Calculation 2 3 2 4 2" xfId="677"/>
    <cellStyle name="Calculation 2 3 2 4 2 2" xfId="678"/>
    <cellStyle name="Calculation 2 3 2 4 2 2 2" xfId="2545"/>
    <cellStyle name="Calculation 2 3 2 4 2 2 2 2" xfId="5742"/>
    <cellStyle name="Calculation 2 3 2 4 2 2 3" xfId="5345"/>
    <cellStyle name="Calculation 2 3 2 4 2 3" xfId="3435"/>
    <cellStyle name="Calculation 2 3 2 4 2 3 2" xfId="6631"/>
    <cellStyle name="Calculation 2 3 2 4 2 4" xfId="4875"/>
    <cellStyle name="Calculation 2 3 2 4 3" xfId="679"/>
    <cellStyle name="Calculation 2 3 2 4 3 2" xfId="2959"/>
    <cellStyle name="Calculation 2 3 2 4 3 2 2" xfId="6156"/>
    <cellStyle name="Calculation 2 3 2 4 3 3" xfId="5452"/>
    <cellStyle name="Calculation 2 3 2 4 3 4" xfId="4588"/>
    <cellStyle name="Calculation 2 3 2 4 4" xfId="680"/>
    <cellStyle name="Calculation 2 3 2 4 4 2" xfId="3234"/>
    <cellStyle name="Calculation 2 3 2 4 4 2 2" xfId="6430"/>
    <cellStyle name="Calculation 2 3 2 4 4 3" xfId="5058"/>
    <cellStyle name="Calculation 2 3 2 4 5" xfId="3348"/>
    <cellStyle name="Calculation 2 3 2 4 5 2" xfId="6544"/>
    <cellStyle name="Calculation 2 3 2 4 6" xfId="4197"/>
    <cellStyle name="Calculation 2 3 2 5" xfId="3661"/>
    <cellStyle name="Calculation 2 3 2 5 2" xfId="6857"/>
    <cellStyle name="Calculation 2 3 3" xfId="681"/>
    <cellStyle name="Calculation 2 3 3 2" xfId="682"/>
    <cellStyle name="Calculation 2 3 3 2 2" xfId="683"/>
    <cellStyle name="Calculation 2 3 3 2 2 2" xfId="2829"/>
    <cellStyle name="Calculation 2 3 3 2 2 2 2" xfId="6026"/>
    <cellStyle name="Calculation 2 3 3 2 2 3" xfId="5175"/>
    <cellStyle name="Calculation 2 3 3 2 3" xfId="3850"/>
    <cellStyle name="Calculation 2 3 3 2 3 2" xfId="7046"/>
    <cellStyle name="Calculation 2 3 3 2 4" xfId="4705"/>
    <cellStyle name="Calculation 2 3 3 3" xfId="684"/>
    <cellStyle name="Calculation 2 3 3 3 2" xfId="3104"/>
    <cellStyle name="Calculation 2 3 3 3 2 2" xfId="6301"/>
    <cellStyle name="Calculation 2 3 3 3 3" xfId="5453"/>
    <cellStyle name="Calculation 2 3 3 3 4" xfId="4418"/>
    <cellStyle name="Calculation 2 3 3 4" xfId="685"/>
    <cellStyle name="Calculation 2 3 3 4 2" xfId="3776"/>
    <cellStyle name="Calculation 2 3 3 4 2 2" xfId="6972"/>
    <cellStyle name="Calculation 2 3 3 4 3" xfId="4365"/>
    <cellStyle name="Calculation 2 3 3 5" xfId="3979"/>
    <cellStyle name="Calculation 2 3 3 5 2" xfId="7175"/>
    <cellStyle name="Calculation 2 3 3 6" xfId="4027"/>
    <cellStyle name="Calculation 2 3 4" xfId="686"/>
    <cellStyle name="Calculation 2 3 4 2" xfId="687"/>
    <cellStyle name="Calculation 2 3 4 2 2" xfId="688"/>
    <cellStyle name="Calculation 2 3 4 2 2 2" xfId="2560"/>
    <cellStyle name="Calculation 2 3 4 2 2 2 2" xfId="5757"/>
    <cellStyle name="Calculation 2 3 4 2 2 3" xfId="5361"/>
    <cellStyle name="Calculation 2 3 4 2 3" xfId="3611"/>
    <cellStyle name="Calculation 2 3 4 2 3 2" xfId="6807"/>
    <cellStyle name="Calculation 2 3 4 2 4" xfId="4891"/>
    <cellStyle name="Calculation 2 3 4 3" xfId="689"/>
    <cellStyle name="Calculation 2 3 4 3 2" xfId="3266"/>
    <cellStyle name="Calculation 2 3 4 3 2 2" xfId="6462"/>
    <cellStyle name="Calculation 2 3 4 3 3" xfId="5454"/>
    <cellStyle name="Calculation 2 3 4 3 4" xfId="4604"/>
    <cellStyle name="Calculation 2 3 4 4" xfId="690"/>
    <cellStyle name="Calculation 2 3 4 4 2" xfId="2923"/>
    <cellStyle name="Calculation 2 3 4 4 2 2" xfId="6120"/>
    <cellStyle name="Calculation 2 3 4 4 3" xfId="5074"/>
    <cellStyle name="Calculation 2 3 4 5" xfId="3186"/>
    <cellStyle name="Calculation 2 3 4 5 2" xfId="6382"/>
    <cellStyle name="Calculation 2 3 4 6" xfId="4213"/>
    <cellStyle name="Calculation 2 3 5" xfId="691"/>
    <cellStyle name="Calculation 2 3 5 2" xfId="692"/>
    <cellStyle name="Calculation 2 3 5 2 2" xfId="693"/>
    <cellStyle name="Calculation 2 3 5 2 2 2" xfId="2701"/>
    <cellStyle name="Calculation 2 3 5 2 2 2 2" xfId="5898"/>
    <cellStyle name="Calculation 2 3 5 2 2 3" xfId="5305"/>
    <cellStyle name="Calculation 2 3 5 2 3" xfId="3640"/>
    <cellStyle name="Calculation 2 3 5 2 3 2" xfId="6836"/>
    <cellStyle name="Calculation 2 3 5 2 4" xfId="4835"/>
    <cellStyle name="Calculation 2 3 5 3" xfId="694"/>
    <cellStyle name="Calculation 2 3 5 3 2" xfId="2971"/>
    <cellStyle name="Calculation 2 3 5 3 2 2" xfId="6168"/>
    <cellStyle name="Calculation 2 3 5 3 3" xfId="5455"/>
    <cellStyle name="Calculation 2 3 5 3 4" xfId="4548"/>
    <cellStyle name="Calculation 2 3 5 4" xfId="695"/>
    <cellStyle name="Calculation 2 3 5 4 2" xfId="3238"/>
    <cellStyle name="Calculation 2 3 5 4 2 2" xfId="6434"/>
    <cellStyle name="Calculation 2 3 5 4 3" xfId="5018"/>
    <cellStyle name="Calculation 2 3 5 5" xfId="3250"/>
    <cellStyle name="Calculation 2 3 5 5 2" xfId="6446"/>
    <cellStyle name="Calculation 2 3 5 6" xfId="4157"/>
    <cellStyle name="Calculation 2 4" xfId="696"/>
    <cellStyle name="Calculation 2 4 2" xfId="697"/>
    <cellStyle name="Calculation 2 4 2 2" xfId="698"/>
    <cellStyle name="Calculation 2 4 2 2 2" xfId="699"/>
    <cellStyle name="Calculation 2 4 2 2 2 2" xfId="2809"/>
    <cellStyle name="Calculation 2 4 2 2 2 2 2" xfId="6006"/>
    <cellStyle name="Calculation 2 4 2 2 2 3" xfId="5195"/>
    <cellStyle name="Calculation 2 4 2 2 3" xfId="3403"/>
    <cellStyle name="Calculation 2 4 2 2 3 2" xfId="6599"/>
    <cellStyle name="Calculation 2 4 2 2 4" xfId="4725"/>
    <cellStyle name="Calculation 2 4 2 3" xfId="700"/>
    <cellStyle name="Calculation 2 4 2 3 2" xfId="3207"/>
    <cellStyle name="Calculation 2 4 2 3 2 2" xfId="6403"/>
    <cellStyle name="Calculation 2 4 2 3 3" xfId="5456"/>
    <cellStyle name="Calculation 2 4 2 3 4" xfId="4438"/>
    <cellStyle name="Calculation 2 4 2 4" xfId="701"/>
    <cellStyle name="Calculation 2 4 2 4 2" xfId="3506"/>
    <cellStyle name="Calculation 2 4 2 4 2 2" xfId="6702"/>
    <cellStyle name="Calculation 2 4 2 4 3" xfId="4345"/>
    <cellStyle name="Calculation 2 4 2 5" xfId="3616"/>
    <cellStyle name="Calculation 2 4 2 5 2" xfId="6812"/>
    <cellStyle name="Calculation 2 4 2 6" xfId="4047"/>
    <cellStyle name="Calculation 2 4 3" xfId="702"/>
    <cellStyle name="Calculation 2 4 3 2" xfId="703"/>
    <cellStyle name="Calculation 2 4 3 2 2" xfId="704"/>
    <cellStyle name="Calculation 2 4 3 2 2 2" xfId="2574"/>
    <cellStyle name="Calculation 2 4 3 2 2 2 2" xfId="5771"/>
    <cellStyle name="Calculation 2 4 3 2 2 3" xfId="5375"/>
    <cellStyle name="Calculation 2 4 3 2 3" xfId="3119"/>
    <cellStyle name="Calculation 2 4 3 2 3 2" xfId="6316"/>
    <cellStyle name="Calculation 2 4 3 2 4" xfId="4905"/>
    <cellStyle name="Calculation 2 4 3 3" xfId="705"/>
    <cellStyle name="Calculation 2 4 3 3 2" xfId="2956"/>
    <cellStyle name="Calculation 2 4 3 3 2 2" xfId="6153"/>
    <cellStyle name="Calculation 2 4 3 3 3" xfId="5457"/>
    <cellStyle name="Calculation 2 4 3 3 4" xfId="4618"/>
    <cellStyle name="Calculation 2 4 3 4" xfId="706"/>
    <cellStyle name="Calculation 2 4 3 4 2" xfId="2914"/>
    <cellStyle name="Calculation 2 4 3 4 2 2" xfId="6111"/>
    <cellStyle name="Calculation 2 4 3 4 3" xfId="5088"/>
    <cellStyle name="Calculation 2 4 3 5" xfId="3871"/>
    <cellStyle name="Calculation 2 4 3 5 2" xfId="7067"/>
    <cellStyle name="Calculation 2 4 3 6" xfId="4227"/>
    <cellStyle name="Calculation 2 4 4" xfId="707"/>
    <cellStyle name="Calculation 2 4 4 2" xfId="708"/>
    <cellStyle name="Calculation 2 4 4 2 2" xfId="709"/>
    <cellStyle name="Calculation 2 4 4 2 2 2" xfId="2632"/>
    <cellStyle name="Calculation 2 4 4 2 2 2 2" xfId="5829"/>
    <cellStyle name="Calculation 2 4 4 2 2 3" xfId="5405"/>
    <cellStyle name="Calculation 2 4 4 2 3" xfId="3201"/>
    <cellStyle name="Calculation 2 4 4 2 3 2" xfId="6397"/>
    <cellStyle name="Calculation 2 4 4 2 4" xfId="4935"/>
    <cellStyle name="Calculation 2 4 4 3" xfId="710"/>
    <cellStyle name="Calculation 2 4 4 3 2" xfId="3618"/>
    <cellStyle name="Calculation 2 4 4 3 2 2" xfId="6814"/>
    <cellStyle name="Calculation 2 4 4 3 3" xfId="5458"/>
    <cellStyle name="Calculation 2 4 4 3 4" xfId="4648"/>
    <cellStyle name="Calculation 2 4 4 4" xfId="711"/>
    <cellStyle name="Calculation 2 4 4 4 2" xfId="2884"/>
    <cellStyle name="Calculation 2 4 4 4 2 2" xfId="6081"/>
    <cellStyle name="Calculation 2 4 4 4 3" xfId="5118"/>
    <cellStyle name="Calculation 2 4 4 5" xfId="3669"/>
    <cellStyle name="Calculation 2 4 4 5 2" xfId="6865"/>
    <cellStyle name="Calculation 2 4 4 6" xfId="4257"/>
    <cellStyle name="Calculation 2 4 5" xfId="3663"/>
    <cellStyle name="Calculation 2 4 5 2" xfId="6859"/>
    <cellStyle name="Calculation 2 5" xfId="712"/>
    <cellStyle name="Calculation 2 5 2" xfId="713"/>
    <cellStyle name="Calculation 2 5 2 2" xfId="714"/>
    <cellStyle name="Calculation 2 5 2 2 2" xfId="715"/>
    <cellStyle name="Calculation 2 5 2 2 2 2" xfId="2724"/>
    <cellStyle name="Calculation 2 5 2 2 2 2 2" xfId="5921"/>
    <cellStyle name="Calculation 2 5 2 2 2 3" xfId="5282"/>
    <cellStyle name="Calculation 2 5 2 2 3" xfId="3558"/>
    <cellStyle name="Calculation 2 5 2 2 3 2" xfId="6754"/>
    <cellStyle name="Calculation 2 5 2 2 4" xfId="4812"/>
    <cellStyle name="Calculation 2 5 2 3" xfId="716"/>
    <cellStyle name="Calculation 2 5 2 3 2" xfId="2991"/>
    <cellStyle name="Calculation 2 5 2 3 2 2" xfId="6188"/>
    <cellStyle name="Calculation 2 5 2 3 3" xfId="5459"/>
    <cellStyle name="Calculation 2 5 2 3 4" xfId="4525"/>
    <cellStyle name="Calculation 2 5 2 4" xfId="717"/>
    <cellStyle name="Calculation 2 5 2 4 2" xfId="3284"/>
    <cellStyle name="Calculation 2 5 2 4 2 2" xfId="6480"/>
    <cellStyle name="Calculation 2 5 2 4 3" xfId="4995"/>
    <cellStyle name="Calculation 2 5 2 5" xfId="3219"/>
    <cellStyle name="Calculation 2 5 2 5 2" xfId="6415"/>
    <cellStyle name="Calculation 2 5 2 6" xfId="4134"/>
    <cellStyle name="Calculation 2 5 3" xfId="718"/>
    <cellStyle name="Calculation 2 5 3 2" xfId="719"/>
    <cellStyle name="Calculation 2 5 3 2 2" xfId="720"/>
    <cellStyle name="Calculation 2 5 3 2 2 2" xfId="2689"/>
    <cellStyle name="Calculation 2 5 3 2 2 2 2" xfId="5886"/>
    <cellStyle name="Calculation 2 5 3 2 2 3" xfId="5317"/>
    <cellStyle name="Calculation 2 5 3 2 3" xfId="3388"/>
    <cellStyle name="Calculation 2 5 3 2 3 2" xfId="6584"/>
    <cellStyle name="Calculation 2 5 3 2 4" xfId="4847"/>
    <cellStyle name="Calculation 2 5 3 3" xfId="721"/>
    <cellStyle name="Calculation 2 5 3 3 2" xfId="3156"/>
    <cellStyle name="Calculation 2 5 3 3 2 2" xfId="6352"/>
    <cellStyle name="Calculation 2 5 3 3 3" xfId="5460"/>
    <cellStyle name="Calculation 2 5 3 3 4" xfId="4560"/>
    <cellStyle name="Calculation 2 5 3 4" xfId="722"/>
    <cellStyle name="Calculation 2 5 3 4 2" xfId="3043"/>
    <cellStyle name="Calculation 2 5 3 4 2 2" xfId="6240"/>
    <cellStyle name="Calculation 2 5 3 4 3" xfId="5030"/>
    <cellStyle name="Calculation 2 5 3 5" xfId="3020"/>
    <cellStyle name="Calculation 2 5 3 5 2" xfId="6217"/>
    <cellStyle name="Calculation 2 5 3 6" xfId="4169"/>
    <cellStyle name="Calculation 2 5 4" xfId="723"/>
    <cellStyle name="Calculation 2 5 4 2" xfId="724"/>
    <cellStyle name="Calculation 2 5 4 2 2" xfId="2757"/>
    <cellStyle name="Calculation 2 5 4 2 2 2" xfId="5954"/>
    <cellStyle name="Calculation 2 5 4 2 3" xfId="5249"/>
    <cellStyle name="Calculation 2 5 4 3" xfId="3460"/>
    <cellStyle name="Calculation 2 5 4 3 2" xfId="6656"/>
    <cellStyle name="Calculation 2 5 4 4" xfId="4779"/>
    <cellStyle name="Calculation 2 5 5" xfId="725"/>
    <cellStyle name="Calculation 2 5 5 2" xfId="3000"/>
    <cellStyle name="Calculation 2 5 5 2 2" xfId="6197"/>
    <cellStyle name="Calculation 2 5 5 3" xfId="5461"/>
    <cellStyle name="Calculation 2 5 5 4" xfId="4492"/>
    <cellStyle name="Calculation 2 5 6" xfId="726"/>
    <cellStyle name="Calculation 2 5 6 2" xfId="3929"/>
    <cellStyle name="Calculation 2 5 6 2 2" xfId="7125"/>
    <cellStyle name="Calculation 2 5 6 3" xfId="4293"/>
    <cellStyle name="Calculation 2 5 7" xfId="3452"/>
    <cellStyle name="Calculation 2 5 7 2" xfId="6648"/>
    <cellStyle name="Calculation 2 5 8" xfId="4101"/>
    <cellStyle name="Calculation 2 6" xfId="727"/>
    <cellStyle name="Calculation 2 6 2" xfId="728"/>
    <cellStyle name="Calculation 2 6 2 2" xfId="729"/>
    <cellStyle name="Calculation 2 6 2 2 2" xfId="2849"/>
    <cellStyle name="Calculation 2 6 2 2 2 2" xfId="6046"/>
    <cellStyle name="Calculation 2 6 2 2 3" xfId="5155"/>
    <cellStyle name="Calculation 2 6 2 3" xfId="3597"/>
    <cellStyle name="Calculation 2 6 2 3 2" xfId="6793"/>
    <cellStyle name="Calculation 2 6 2 4" xfId="4685"/>
    <cellStyle name="Calculation 2 6 3" xfId="730"/>
    <cellStyle name="Calculation 2 6 3 2" xfId="3490"/>
    <cellStyle name="Calculation 2 6 3 2 2" xfId="6686"/>
    <cellStyle name="Calculation 2 6 3 3" xfId="5462"/>
    <cellStyle name="Calculation 2 6 3 4" xfId="4398"/>
    <cellStyle name="Calculation 2 6 4" xfId="731"/>
    <cellStyle name="Calculation 2 6 4 2" xfId="3185"/>
    <cellStyle name="Calculation 2 6 4 2 2" xfId="6381"/>
    <cellStyle name="Calculation 2 6 4 3" xfId="4385"/>
    <cellStyle name="Calculation 2 6 5" xfId="3912"/>
    <cellStyle name="Calculation 2 6 5 2" xfId="7108"/>
    <cellStyle name="Calculation 2 6 6" xfId="4007"/>
    <cellStyle name="Calculation 3" xfId="732"/>
    <cellStyle name="Calculation 3 2" xfId="733"/>
    <cellStyle name="Calculation 3 2 2" xfId="734"/>
    <cellStyle name="Calculation 3 2 2 2" xfId="735"/>
    <cellStyle name="Calculation 3 2 2 2 2" xfId="736"/>
    <cellStyle name="Calculation 3 2 2 2 2 2" xfId="737"/>
    <cellStyle name="Calculation 3 2 2 2 2 2 2" xfId="2779"/>
    <cellStyle name="Calculation 3 2 2 2 2 2 2 2" xfId="5976"/>
    <cellStyle name="Calculation 3 2 2 2 2 2 3" xfId="5227"/>
    <cellStyle name="Calculation 3 2 2 2 2 3" xfId="3400"/>
    <cellStyle name="Calculation 3 2 2 2 2 3 2" xfId="6596"/>
    <cellStyle name="Calculation 3 2 2 2 2 4" xfId="4757"/>
    <cellStyle name="Calculation 3 2 2 2 3" xfId="738"/>
    <cellStyle name="Calculation 3 2 2 2 3 2" xfId="3815"/>
    <cellStyle name="Calculation 3 2 2 2 3 2 2" xfId="7011"/>
    <cellStyle name="Calculation 3 2 2 2 3 3" xfId="5463"/>
    <cellStyle name="Calculation 3 2 2 2 3 4" xfId="4470"/>
    <cellStyle name="Calculation 3 2 2 2 4" xfId="739"/>
    <cellStyle name="Calculation 3 2 2 2 4 2" xfId="3474"/>
    <cellStyle name="Calculation 3 2 2 2 4 2 2" xfId="6670"/>
    <cellStyle name="Calculation 3 2 2 2 4 3" xfId="4314"/>
    <cellStyle name="Calculation 3 2 2 2 5" xfId="3434"/>
    <cellStyle name="Calculation 3 2 2 2 5 2" xfId="6630"/>
    <cellStyle name="Calculation 3 2 2 2 6" xfId="4079"/>
    <cellStyle name="Calculation 3 2 2 3" xfId="740"/>
    <cellStyle name="Calculation 3 2 2 3 2" xfId="741"/>
    <cellStyle name="Calculation 3 2 2 3 2 2" xfId="742"/>
    <cellStyle name="Calculation 3 2 2 3 2 2 2" xfId="2631"/>
    <cellStyle name="Calculation 3 2 2 3 2 2 2 2" xfId="5828"/>
    <cellStyle name="Calculation 3 2 2 3 2 2 3" xfId="5404"/>
    <cellStyle name="Calculation 3 2 2 3 2 3" xfId="3657"/>
    <cellStyle name="Calculation 3 2 2 3 2 3 2" xfId="6853"/>
    <cellStyle name="Calculation 3 2 2 3 2 4" xfId="4934"/>
    <cellStyle name="Calculation 3 2 2 3 3" xfId="743"/>
    <cellStyle name="Calculation 3 2 2 3 3 2" xfId="3854"/>
    <cellStyle name="Calculation 3 2 2 3 3 2 2" xfId="7050"/>
    <cellStyle name="Calculation 3 2 2 3 3 3" xfId="5464"/>
    <cellStyle name="Calculation 3 2 2 3 3 4" xfId="4647"/>
    <cellStyle name="Calculation 3 2 2 3 4" xfId="744"/>
    <cellStyle name="Calculation 3 2 2 3 4 2" xfId="2885"/>
    <cellStyle name="Calculation 3 2 2 3 4 2 2" xfId="6082"/>
    <cellStyle name="Calculation 3 2 2 3 4 3" xfId="5117"/>
    <cellStyle name="Calculation 3 2 2 3 5" xfId="3905"/>
    <cellStyle name="Calculation 3 2 2 3 5 2" xfId="7101"/>
    <cellStyle name="Calculation 3 2 2 3 6" xfId="4256"/>
    <cellStyle name="Calculation 3 2 2 4" xfId="745"/>
    <cellStyle name="Calculation 3 2 2 4 2" xfId="746"/>
    <cellStyle name="Calculation 3 2 2 4 2 2" xfId="747"/>
    <cellStyle name="Calculation 3 2 2 4 2 2 2" xfId="2547"/>
    <cellStyle name="Calculation 3 2 2 4 2 2 2 2" xfId="5744"/>
    <cellStyle name="Calculation 3 2 2 4 2 2 3" xfId="5347"/>
    <cellStyle name="Calculation 3 2 2 4 2 3" xfId="3900"/>
    <cellStyle name="Calculation 3 2 2 4 2 3 2" xfId="7096"/>
    <cellStyle name="Calculation 3 2 2 4 2 4" xfId="4877"/>
    <cellStyle name="Calculation 3 2 2 4 3" xfId="748"/>
    <cellStyle name="Calculation 3 2 2 4 3 2" xfId="3154"/>
    <cellStyle name="Calculation 3 2 2 4 3 2 2" xfId="6350"/>
    <cellStyle name="Calculation 3 2 2 4 3 3" xfId="5465"/>
    <cellStyle name="Calculation 3 2 2 4 3 4" xfId="4590"/>
    <cellStyle name="Calculation 3 2 2 4 4" xfId="749"/>
    <cellStyle name="Calculation 3 2 2 4 4 2" xfId="3040"/>
    <cellStyle name="Calculation 3 2 2 4 4 2 2" xfId="6237"/>
    <cellStyle name="Calculation 3 2 2 4 4 3" xfId="5060"/>
    <cellStyle name="Calculation 3 2 2 4 5" xfId="3846"/>
    <cellStyle name="Calculation 3 2 2 4 5 2" xfId="7042"/>
    <cellStyle name="Calculation 3 2 2 4 6" xfId="4199"/>
    <cellStyle name="Calculation 3 2 2 5" xfId="3537"/>
    <cellStyle name="Calculation 3 2 2 5 2" xfId="6733"/>
    <cellStyle name="Calculation 3 2 3" xfId="750"/>
    <cellStyle name="Calculation 3 2 3 2" xfId="751"/>
    <cellStyle name="Calculation 3 2 3 2 2" xfId="752"/>
    <cellStyle name="Calculation 3 2 3 2 2 2" xfId="2822"/>
    <cellStyle name="Calculation 3 2 3 2 2 2 2" xfId="6019"/>
    <cellStyle name="Calculation 3 2 3 2 2 3" xfId="5182"/>
    <cellStyle name="Calculation 3 2 3 2 3" xfId="3924"/>
    <cellStyle name="Calculation 3 2 3 2 3 2" xfId="7120"/>
    <cellStyle name="Calculation 3 2 3 2 4" xfId="4712"/>
    <cellStyle name="Calculation 3 2 3 3" xfId="753"/>
    <cellStyle name="Calculation 3 2 3 3 2" xfId="3520"/>
    <cellStyle name="Calculation 3 2 3 3 2 2" xfId="6716"/>
    <cellStyle name="Calculation 3 2 3 3 3" xfId="5466"/>
    <cellStyle name="Calculation 3 2 3 3 4" xfId="4425"/>
    <cellStyle name="Calculation 3 2 3 4" xfId="754"/>
    <cellStyle name="Calculation 3 2 3 4 2" xfId="3903"/>
    <cellStyle name="Calculation 3 2 3 4 2 2" xfId="7099"/>
    <cellStyle name="Calculation 3 2 3 4 3" xfId="4358"/>
    <cellStyle name="Calculation 3 2 3 5" xfId="3196"/>
    <cellStyle name="Calculation 3 2 3 5 2" xfId="6392"/>
    <cellStyle name="Calculation 3 2 3 6" xfId="4034"/>
    <cellStyle name="Calculation 3 2 4" xfId="755"/>
    <cellStyle name="Calculation 3 2 4 2" xfId="756"/>
    <cellStyle name="Calculation 3 2 4 2 2" xfId="757"/>
    <cellStyle name="Calculation 3 2 4 2 2 2" xfId="2566"/>
    <cellStyle name="Calculation 3 2 4 2 2 2 2" xfId="5763"/>
    <cellStyle name="Calculation 3 2 4 2 2 3" xfId="5367"/>
    <cellStyle name="Calculation 3 2 4 2 3" xfId="3973"/>
    <cellStyle name="Calculation 3 2 4 2 3 2" xfId="7169"/>
    <cellStyle name="Calculation 3 2 4 2 4" xfId="4897"/>
    <cellStyle name="Calculation 3 2 4 3" xfId="758"/>
    <cellStyle name="Calculation 3 2 4 3 2" xfId="3317"/>
    <cellStyle name="Calculation 3 2 4 3 2 2" xfId="6513"/>
    <cellStyle name="Calculation 3 2 4 3 3" xfId="5467"/>
    <cellStyle name="Calculation 3 2 4 3 4" xfId="4610"/>
    <cellStyle name="Calculation 3 2 4 4" xfId="759"/>
    <cellStyle name="Calculation 3 2 4 4 2" xfId="2922"/>
    <cellStyle name="Calculation 3 2 4 4 2 2" xfId="6119"/>
    <cellStyle name="Calculation 3 2 4 4 3" xfId="5080"/>
    <cellStyle name="Calculation 3 2 4 5" xfId="3374"/>
    <cellStyle name="Calculation 3 2 4 5 2" xfId="6570"/>
    <cellStyle name="Calculation 3 2 4 6" xfId="4219"/>
    <cellStyle name="Calculation 3 2 5" xfId="760"/>
    <cellStyle name="Calculation 3 2 5 2" xfId="761"/>
    <cellStyle name="Calculation 3 2 5 2 2" xfId="762"/>
    <cellStyle name="Calculation 3 2 5 2 2 2" xfId="2551"/>
    <cellStyle name="Calculation 3 2 5 2 2 2 2" xfId="5748"/>
    <cellStyle name="Calculation 3 2 5 2 2 3" xfId="5351"/>
    <cellStyle name="Calculation 3 2 5 2 3" xfId="3942"/>
    <cellStyle name="Calculation 3 2 5 2 3 2" xfId="7138"/>
    <cellStyle name="Calculation 3 2 5 2 4" xfId="4881"/>
    <cellStyle name="Calculation 3 2 5 3" xfId="763"/>
    <cellStyle name="Calculation 3 2 5 3 2" xfId="3136"/>
    <cellStyle name="Calculation 3 2 5 3 2 2" xfId="6332"/>
    <cellStyle name="Calculation 3 2 5 3 3" xfId="5468"/>
    <cellStyle name="Calculation 3 2 5 3 4" xfId="4594"/>
    <cellStyle name="Calculation 3 2 5 4" xfId="764"/>
    <cellStyle name="Calculation 3 2 5 4 2" xfId="3233"/>
    <cellStyle name="Calculation 3 2 5 4 2 2" xfId="6429"/>
    <cellStyle name="Calculation 3 2 5 4 3" xfId="5064"/>
    <cellStyle name="Calculation 3 2 5 5" xfId="3418"/>
    <cellStyle name="Calculation 3 2 5 5 2" xfId="6614"/>
    <cellStyle name="Calculation 3 2 5 6" xfId="4203"/>
    <cellStyle name="Calculation 3 3" xfId="765"/>
    <cellStyle name="Calculation 3 3 2" xfId="766"/>
    <cellStyle name="Calculation 3 3 2 2" xfId="767"/>
    <cellStyle name="Calculation 3 3 2 2 2" xfId="768"/>
    <cellStyle name="Calculation 3 3 2 2 2 2" xfId="2803"/>
    <cellStyle name="Calculation 3 3 2 2 2 2 2" xfId="6000"/>
    <cellStyle name="Calculation 3 3 2 2 2 3" xfId="5201"/>
    <cellStyle name="Calculation 3 3 2 2 3" xfId="3140"/>
    <cellStyle name="Calculation 3 3 2 2 3 2" xfId="6336"/>
    <cellStyle name="Calculation 3 3 2 2 4" xfId="4731"/>
    <cellStyle name="Calculation 3 3 2 3" xfId="769"/>
    <cellStyle name="Calculation 3 3 2 3 2" xfId="3830"/>
    <cellStyle name="Calculation 3 3 2 3 2 2" xfId="7026"/>
    <cellStyle name="Calculation 3 3 2 3 3" xfId="5469"/>
    <cellStyle name="Calculation 3 3 2 3 4" xfId="4444"/>
    <cellStyle name="Calculation 3 3 2 4" xfId="770"/>
    <cellStyle name="Calculation 3 3 2 4 2" xfId="3832"/>
    <cellStyle name="Calculation 3 3 2 4 2 2" xfId="7028"/>
    <cellStyle name="Calculation 3 3 2 4 3" xfId="4339"/>
    <cellStyle name="Calculation 3 3 2 5" xfId="3926"/>
    <cellStyle name="Calculation 3 3 2 5 2" xfId="7122"/>
    <cellStyle name="Calculation 3 3 2 6" xfId="4053"/>
    <cellStyle name="Calculation 3 3 3" xfId="771"/>
    <cellStyle name="Calculation 3 3 3 2" xfId="772"/>
    <cellStyle name="Calculation 3 3 3 2 2" xfId="773"/>
    <cellStyle name="Calculation 3 3 3 2 2 2" xfId="2580"/>
    <cellStyle name="Calculation 3 3 3 2 2 2 2" xfId="5777"/>
    <cellStyle name="Calculation 3 3 3 2 2 3" xfId="5381"/>
    <cellStyle name="Calculation 3 3 3 2 3" xfId="3820"/>
    <cellStyle name="Calculation 3 3 3 2 3 2" xfId="7016"/>
    <cellStyle name="Calculation 3 3 3 2 4" xfId="4911"/>
    <cellStyle name="Calculation 3 3 3 3" xfId="774"/>
    <cellStyle name="Calculation 3 3 3 3 2" xfId="3528"/>
    <cellStyle name="Calculation 3 3 3 3 2 2" xfId="6724"/>
    <cellStyle name="Calculation 3 3 3 3 3" xfId="5470"/>
    <cellStyle name="Calculation 3 3 3 3 4" xfId="4624"/>
    <cellStyle name="Calculation 3 3 3 4" xfId="775"/>
    <cellStyle name="Calculation 3 3 3 4 2" xfId="2908"/>
    <cellStyle name="Calculation 3 3 3 4 2 2" xfId="6105"/>
    <cellStyle name="Calculation 3 3 3 4 3" xfId="5094"/>
    <cellStyle name="Calculation 3 3 3 5" xfId="3700"/>
    <cellStyle name="Calculation 3 3 3 5 2" xfId="6896"/>
    <cellStyle name="Calculation 3 3 3 6" xfId="4233"/>
    <cellStyle name="Calculation 3 3 4" xfId="776"/>
    <cellStyle name="Calculation 3 3 4 2" xfId="777"/>
    <cellStyle name="Calculation 3 3 4 2 2" xfId="778"/>
    <cellStyle name="Calculation 3 3 4 2 2 2" xfId="2581"/>
    <cellStyle name="Calculation 3 3 4 2 2 2 2" xfId="5778"/>
    <cellStyle name="Calculation 3 3 4 2 2 3" xfId="5382"/>
    <cellStyle name="Calculation 3 3 4 2 3" xfId="3583"/>
    <cellStyle name="Calculation 3 3 4 2 3 2" xfId="6779"/>
    <cellStyle name="Calculation 3 3 4 2 4" xfId="4912"/>
    <cellStyle name="Calculation 3 3 4 3" xfId="779"/>
    <cellStyle name="Calculation 3 3 4 3 2" xfId="3906"/>
    <cellStyle name="Calculation 3 3 4 3 2 2" xfId="7102"/>
    <cellStyle name="Calculation 3 3 4 3 3" xfId="5471"/>
    <cellStyle name="Calculation 3 3 4 3 4" xfId="4625"/>
    <cellStyle name="Calculation 3 3 4 4" xfId="780"/>
    <cellStyle name="Calculation 3 3 4 4 2" xfId="2907"/>
    <cellStyle name="Calculation 3 3 4 4 2 2" xfId="6104"/>
    <cellStyle name="Calculation 3 3 4 4 3" xfId="5095"/>
    <cellStyle name="Calculation 3 3 4 5" xfId="3363"/>
    <cellStyle name="Calculation 3 3 4 5 2" xfId="6559"/>
    <cellStyle name="Calculation 3 3 4 6" xfId="4234"/>
    <cellStyle name="Calculation 3 3 5" xfId="3417"/>
    <cellStyle name="Calculation 3 3 5 2" xfId="6613"/>
    <cellStyle name="Calculation 3 4" xfId="781"/>
    <cellStyle name="Calculation 3 4 2" xfId="782"/>
    <cellStyle name="Calculation 3 4 2 2" xfId="783"/>
    <cellStyle name="Calculation 3 4 2 2 2" xfId="784"/>
    <cellStyle name="Calculation 3 4 2 2 2 2" xfId="2736"/>
    <cellStyle name="Calculation 3 4 2 2 2 2 2" xfId="5933"/>
    <cellStyle name="Calculation 3 4 2 2 2 3" xfId="5270"/>
    <cellStyle name="Calculation 3 4 2 2 3" xfId="3107"/>
    <cellStyle name="Calculation 3 4 2 2 3 2" xfId="6304"/>
    <cellStyle name="Calculation 3 4 2 2 4" xfId="4800"/>
    <cellStyle name="Calculation 3 4 2 3" xfId="785"/>
    <cellStyle name="Calculation 3 4 2 3 2" xfId="2641"/>
    <cellStyle name="Calculation 3 4 2 3 2 2" xfId="5838"/>
    <cellStyle name="Calculation 3 4 2 3 3" xfId="5472"/>
    <cellStyle name="Calculation 3 4 2 3 4" xfId="4513"/>
    <cellStyle name="Calculation 3 4 2 4" xfId="786"/>
    <cellStyle name="Calculation 3 4 2 4 2" xfId="3075"/>
    <cellStyle name="Calculation 3 4 2 4 2 2" xfId="6272"/>
    <cellStyle name="Calculation 3 4 2 4 3" xfId="4983"/>
    <cellStyle name="Calculation 3 4 2 5" xfId="3259"/>
    <cellStyle name="Calculation 3 4 2 5 2" xfId="6455"/>
    <cellStyle name="Calculation 3 4 2 6" xfId="4122"/>
    <cellStyle name="Calculation 3 4 3" xfId="787"/>
    <cellStyle name="Calculation 3 4 3 2" xfId="788"/>
    <cellStyle name="Calculation 3 4 3 2 2" xfId="789"/>
    <cellStyle name="Calculation 3 4 3 2 2 2" xfId="2677"/>
    <cellStyle name="Calculation 3 4 3 2 2 2 2" xfId="5874"/>
    <cellStyle name="Calculation 3 4 3 2 2 3" xfId="5329"/>
    <cellStyle name="Calculation 3 4 3 2 3" xfId="3600"/>
    <cellStyle name="Calculation 3 4 3 2 3 2" xfId="6796"/>
    <cellStyle name="Calculation 3 4 3 2 4" xfId="4859"/>
    <cellStyle name="Calculation 3 4 3 3" xfId="790"/>
    <cellStyle name="Calculation 3 4 3 3 2" xfId="3328"/>
    <cellStyle name="Calculation 3 4 3 3 2 2" xfId="6524"/>
    <cellStyle name="Calculation 3 4 3 3 3" xfId="5473"/>
    <cellStyle name="Calculation 3 4 3 3 4" xfId="4572"/>
    <cellStyle name="Calculation 3 4 3 4" xfId="791"/>
    <cellStyle name="Calculation 3 4 3 4 2" xfId="2929"/>
    <cellStyle name="Calculation 3 4 3 4 2 2" xfId="6126"/>
    <cellStyle name="Calculation 3 4 3 4 3" xfId="5042"/>
    <cellStyle name="Calculation 3 4 3 5" xfId="3470"/>
    <cellStyle name="Calculation 3 4 3 5 2" xfId="6666"/>
    <cellStyle name="Calculation 3 4 3 6" xfId="4181"/>
    <cellStyle name="Calculation 3 4 4" xfId="792"/>
    <cellStyle name="Calculation 3 4 4 2" xfId="793"/>
    <cellStyle name="Calculation 3 4 4 2 2" xfId="2769"/>
    <cellStyle name="Calculation 3 4 4 2 2 2" xfId="5966"/>
    <cellStyle name="Calculation 3 4 4 2 3" xfId="5237"/>
    <cellStyle name="Calculation 3 4 4 3" xfId="3188"/>
    <cellStyle name="Calculation 3 4 4 3 2" xfId="6384"/>
    <cellStyle name="Calculation 3 4 4 4" xfId="4767"/>
    <cellStyle name="Calculation 3 4 5" xfId="794"/>
    <cellStyle name="Calculation 3 4 5 2" xfId="3476"/>
    <cellStyle name="Calculation 3 4 5 2 2" xfId="6672"/>
    <cellStyle name="Calculation 3 4 5 3" xfId="5474"/>
    <cellStyle name="Calculation 3 4 5 4" xfId="4480"/>
    <cellStyle name="Calculation 3 4 6" xfId="795"/>
    <cellStyle name="Calculation 3 4 6 2" xfId="3742"/>
    <cellStyle name="Calculation 3 4 6 2 2" xfId="6938"/>
    <cellStyle name="Calculation 3 4 6 3" xfId="4305"/>
    <cellStyle name="Calculation 3 4 7" xfId="3683"/>
    <cellStyle name="Calculation 3 4 7 2" xfId="6879"/>
    <cellStyle name="Calculation 3 4 8" xfId="4089"/>
    <cellStyle name="Calculation 3 5" xfId="796"/>
    <cellStyle name="Calculation 3 5 2" xfId="797"/>
    <cellStyle name="Calculation 3 5 2 2" xfId="798"/>
    <cellStyle name="Calculation 3 5 2 2 2" xfId="2842"/>
    <cellStyle name="Calculation 3 5 2 2 2 2" xfId="6039"/>
    <cellStyle name="Calculation 3 5 2 2 3" xfId="5162"/>
    <cellStyle name="Calculation 3 5 2 3" xfId="3650"/>
    <cellStyle name="Calculation 3 5 2 3 2" xfId="6846"/>
    <cellStyle name="Calculation 3 5 2 4" xfId="4692"/>
    <cellStyle name="Calculation 3 5 3" xfId="799"/>
    <cellStyle name="Calculation 3 5 3 2" xfId="3722"/>
    <cellStyle name="Calculation 3 5 3 2 2" xfId="6918"/>
    <cellStyle name="Calculation 3 5 3 3" xfId="5475"/>
    <cellStyle name="Calculation 3 5 3 4" xfId="4405"/>
    <cellStyle name="Calculation 3 5 4" xfId="800"/>
    <cellStyle name="Calculation 3 5 4 2" xfId="3969"/>
    <cellStyle name="Calculation 3 5 4 2 2" xfId="7165"/>
    <cellStyle name="Calculation 3 5 4 3" xfId="4378"/>
    <cellStyle name="Calculation 3 5 5" xfId="3786"/>
    <cellStyle name="Calculation 3 5 5 2" xfId="6982"/>
    <cellStyle name="Calculation 3 5 6" xfId="4014"/>
    <cellStyle name="Calculation 4" xfId="801"/>
    <cellStyle name="Calculation 4 2" xfId="802"/>
    <cellStyle name="Calculation 4 2 2" xfId="803"/>
    <cellStyle name="Calculation 4 2 2 2" xfId="804"/>
    <cellStyle name="Calculation 4 2 2 2 2" xfId="805"/>
    <cellStyle name="Calculation 4 2 2 2 2 2" xfId="2795"/>
    <cellStyle name="Calculation 4 2 2 2 2 2 2" xfId="5992"/>
    <cellStyle name="Calculation 4 2 2 2 2 3" xfId="5210"/>
    <cellStyle name="Calculation 4 2 2 2 3" xfId="3896"/>
    <cellStyle name="Calculation 4 2 2 2 3 2" xfId="7092"/>
    <cellStyle name="Calculation 4 2 2 2 4" xfId="4740"/>
    <cellStyle name="Calculation 4 2 2 3" xfId="806"/>
    <cellStyle name="Calculation 4 2 2 3 2" xfId="3190"/>
    <cellStyle name="Calculation 4 2 2 3 2 2" xfId="6386"/>
    <cellStyle name="Calculation 4 2 2 3 3" xfId="5476"/>
    <cellStyle name="Calculation 4 2 2 3 4" xfId="4453"/>
    <cellStyle name="Calculation 4 2 2 4" xfId="807"/>
    <cellStyle name="Calculation 4 2 2 4 2" xfId="3925"/>
    <cellStyle name="Calculation 4 2 2 4 2 2" xfId="7121"/>
    <cellStyle name="Calculation 4 2 2 4 3" xfId="4330"/>
    <cellStyle name="Calculation 4 2 2 5" xfId="3833"/>
    <cellStyle name="Calculation 4 2 2 5 2" xfId="7029"/>
    <cellStyle name="Calculation 4 2 2 6" xfId="4062"/>
    <cellStyle name="Calculation 4 2 3" xfId="808"/>
    <cellStyle name="Calculation 4 2 3 2" xfId="809"/>
    <cellStyle name="Calculation 4 2 3 2 2" xfId="810"/>
    <cellStyle name="Calculation 4 2 3 2 2 2" xfId="2615"/>
    <cellStyle name="Calculation 4 2 3 2 2 2 2" xfId="5812"/>
    <cellStyle name="Calculation 4 2 3 2 2 3" xfId="5389"/>
    <cellStyle name="Calculation 4 2 3 2 3" xfId="3636"/>
    <cellStyle name="Calculation 4 2 3 2 3 2" xfId="6832"/>
    <cellStyle name="Calculation 4 2 3 2 4" xfId="4919"/>
    <cellStyle name="Calculation 4 2 3 3" xfId="811"/>
    <cellStyle name="Calculation 4 2 3 3 2" xfId="3779"/>
    <cellStyle name="Calculation 4 2 3 3 2 2" xfId="6975"/>
    <cellStyle name="Calculation 4 2 3 3 3" xfId="5477"/>
    <cellStyle name="Calculation 4 2 3 3 4" xfId="4632"/>
    <cellStyle name="Calculation 4 2 3 4" xfId="812"/>
    <cellStyle name="Calculation 4 2 3 4 2" xfId="2900"/>
    <cellStyle name="Calculation 4 2 3 4 2 2" xfId="6097"/>
    <cellStyle name="Calculation 4 2 3 4 3" xfId="5102"/>
    <cellStyle name="Calculation 4 2 3 5" xfId="3513"/>
    <cellStyle name="Calculation 4 2 3 5 2" xfId="6709"/>
    <cellStyle name="Calculation 4 2 3 6" xfId="4241"/>
    <cellStyle name="Calculation 4 2 4" xfId="813"/>
    <cellStyle name="Calculation 4 2 4 2" xfId="814"/>
    <cellStyle name="Calculation 4 2 4 2 2" xfId="815"/>
    <cellStyle name="Calculation 4 2 4 2 2 2" xfId="2699"/>
    <cellStyle name="Calculation 4 2 4 2 2 2 2" xfId="5896"/>
    <cellStyle name="Calculation 4 2 4 2 2 3" xfId="5307"/>
    <cellStyle name="Calculation 4 2 4 2 3" xfId="3115"/>
    <cellStyle name="Calculation 4 2 4 2 3 2" xfId="6312"/>
    <cellStyle name="Calculation 4 2 4 2 4" xfId="4837"/>
    <cellStyle name="Calculation 4 2 4 3" xfId="816"/>
    <cellStyle name="Calculation 4 2 4 3 2" xfId="2969"/>
    <cellStyle name="Calculation 4 2 4 3 2 2" xfId="6166"/>
    <cellStyle name="Calculation 4 2 4 3 3" xfId="5478"/>
    <cellStyle name="Calculation 4 2 4 3 4" xfId="4550"/>
    <cellStyle name="Calculation 4 2 4 4" xfId="817"/>
    <cellStyle name="Calculation 4 2 4 4 2" xfId="3044"/>
    <cellStyle name="Calculation 4 2 4 4 2 2" xfId="6241"/>
    <cellStyle name="Calculation 4 2 4 4 3" xfId="5020"/>
    <cellStyle name="Calculation 4 2 4 5" xfId="3323"/>
    <cellStyle name="Calculation 4 2 4 5 2" xfId="6519"/>
    <cellStyle name="Calculation 4 2 4 6" xfId="4159"/>
    <cellStyle name="Calculation 4 2 5" xfId="3659"/>
    <cellStyle name="Calculation 4 2 5 2" xfId="6855"/>
    <cellStyle name="Calculation 4 3" xfId="818"/>
    <cellStyle name="Calculation 4 3 2" xfId="819"/>
    <cellStyle name="Calculation 4 3 2 2" xfId="820"/>
    <cellStyle name="Calculation 4 3 2 2 2" xfId="821"/>
    <cellStyle name="Calculation 4 3 2 2 2 2" xfId="2718"/>
    <cellStyle name="Calculation 4 3 2 2 2 2 2" xfId="5915"/>
    <cellStyle name="Calculation 4 3 2 2 2 3" xfId="5288"/>
    <cellStyle name="Calculation 4 3 2 2 3" xfId="3921"/>
    <cellStyle name="Calculation 4 3 2 2 3 2" xfId="7117"/>
    <cellStyle name="Calculation 4 3 2 2 4" xfId="4818"/>
    <cellStyle name="Calculation 4 3 2 3" xfId="822"/>
    <cellStyle name="Calculation 4 3 2 3 2" xfId="3035"/>
    <cellStyle name="Calculation 4 3 2 3 2 2" xfId="6232"/>
    <cellStyle name="Calculation 4 3 2 3 3" xfId="5479"/>
    <cellStyle name="Calculation 4 3 2 3 4" xfId="4531"/>
    <cellStyle name="Calculation 4 3 2 4" xfId="823"/>
    <cellStyle name="Calculation 4 3 2 4 2" xfId="3283"/>
    <cellStyle name="Calculation 4 3 2 4 2 2" xfId="6479"/>
    <cellStyle name="Calculation 4 3 2 4 3" xfId="5001"/>
    <cellStyle name="Calculation 4 3 2 5" xfId="3302"/>
    <cellStyle name="Calculation 4 3 2 5 2" xfId="6498"/>
    <cellStyle name="Calculation 4 3 2 6" xfId="4140"/>
    <cellStyle name="Calculation 4 3 3" xfId="824"/>
    <cellStyle name="Calculation 4 3 3 2" xfId="825"/>
    <cellStyle name="Calculation 4 3 3 2 2" xfId="826"/>
    <cellStyle name="Calculation 4 3 3 2 2 2" xfId="2668"/>
    <cellStyle name="Calculation 4 3 3 2 2 2 2" xfId="5865"/>
    <cellStyle name="Calculation 4 3 3 2 2 3" xfId="5424"/>
    <cellStyle name="Calculation 4 3 3 2 3" xfId="2948"/>
    <cellStyle name="Calculation 4 3 3 2 3 2" xfId="6145"/>
    <cellStyle name="Calculation 4 3 3 2 4" xfId="4954"/>
    <cellStyle name="Calculation 4 3 3 3" xfId="827"/>
    <cellStyle name="Calculation 4 3 3 3 2" xfId="3674"/>
    <cellStyle name="Calculation 4 3 3 3 2 2" xfId="6870"/>
    <cellStyle name="Calculation 4 3 3 3 3" xfId="5480"/>
    <cellStyle name="Calculation 4 3 3 3 4" xfId="4667"/>
    <cellStyle name="Calculation 4 3 3 4" xfId="828"/>
    <cellStyle name="Calculation 4 3 3 4 2" xfId="2866"/>
    <cellStyle name="Calculation 4 3 3 4 2 2" xfId="6063"/>
    <cellStyle name="Calculation 4 3 3 4 3" xfId="5137"/>
    <cellStyle name="Calculation 4 3 3 5" xfId="3183"/>
    <cellStyle name="Calculation 4 3 3 5 2" xfId="6379"/>
    <cellStyle name="Calculation 4 3 3 6" xfId="4276"/>
    <cellStyle name="Calculation 4 3 4" xfId="829"/>
    <cellStyle name="Calculation 4 3 4 2" xfId="830"/>
    <cellStyle name="Calculation 4 3 4 2 2" xfId="2751"/>
    <cellStyle name="Calculation 4 3 4 2 2 2" xfId="5948"/>
    <cellStyle name="Calculation 4 3 4 2 3" xfId="5255"/>
    <cellStyle name="Calculation 4 3 4 3" xfId="3571"/>
    <cellStyle name="Calculation 4 3 4 3 2" xfId="6767"/>
    <cellStyle name="Calculation 4 3 4 4" xfId="4785"/>
    <cellStyle name="Calculation 4 3 5" xfId="831"/>
    <cellStyle name="Calculation 4 3 5 2" xfId="3298"/>
    <cellStyle name="Calculation 4 3 5 2 2" xfId="6494"/>
    <cellStyle name="Calculation 4 3 5 3" xfId="5481"/>
    <cellStyle name="Calculation 4 3 5 4" xfId="4498"/>
    <cellStyle name="Calculation 4 3 6" xfId="832"/>
    <cellStyle name="Calculation 4 3 6 2" xfId="3050"/>
    <cellStyle name="Calculation 4 3 6 2 2" xfId="6247"/>
    <cellStyle name="Calculation 4 3 6 3" xfId="4968"/>
    <cellStyle name="Calculation 4 3 7" xfId="3330"/>
    <cellStyle name="Calculation 4 3 7 2" xfId="6526"/>
    <cellStyle name="Calculation 4 3 8" xfId="4107"/>
    <cellStyle name="Calculation 4 4" xfId="833"/>
    <cellStyle name="Calculation 4 4 2" xfId="834"/>
    <cellStyle name="Calculation 4 4 2 2" xfId="835"/>
    <cellStyle name="Calculation 4 4 2 2 2" xfId="2854"/>
    <cellStyle name="Calculation 4 4 2 2 2 2" xfId="6051"/>
    <cellStyle name="Calculation 4 4 2 2 3" xfId="5150"/>
    <cellStyle name="Calculation 4 4 2 3" xfId="3574"/>
    <cellStyle name="Calculation 4 4 2 3 2" xfId="6770"/>
    <cellStyle name="Calculation 4 4 2 4" xfId="4680"/>
    <cellStyle name="Calculation 4 4 3" xfId="836"/>
    <cellStyle name="Calculation 4 4 3 2" xfId="3580"/>
    <cellStyle name="Calculation 4 4 3 2 2" xfId="6776"/>
    <cellStyle name="Calculation 4 4 3 3" xfId="5482"/>
    <cellStyle name="Calculation 4 4 3 4" xfId="4393"/>
    <cellStyle name="Calculation 4 4 4" xfId="837"/>
    <cellStyle name="Calculation 4 4 4 2" xfId="3983"/>
    <cellStyle name="Calculation 4 4 4 2 2" xfId="7179"/>
    <cellStyle name="Calculation 4 4 4 3" xfId="4389"/>
    <cellStyle name="Calculation 4 4 5" xfId="3868"/>
    <cellStyle name="Calculation 4 4 5 2" xfId="7064"/>
    <cellStyle name="Calculation 4 4 6" xfId="4002"/>
    <cellStyle name="Calculation 5" xfId="838"/>
    <cellStyle name="Calculation 5 2" xfId="839"/>
    <cellStyle name="Calculation 5 2 2" xfId="840"/>
    <cellStyle name="Calculation 5 2 2 2" xfId="841"/>
    <cellStyle name="Calculation 5 2 2 2 2" xfId="842"/>
    <cellStyle name="Calculation 5 2 2 2 2 2" xfId="2790"/>
    <cellStyle name="Calculation 5 2 2 2 2 2 2" xfId="5987"/>
    <cellStyle name="Calculation 5 2 2 2 2 3" xfId="5215"/>
    <cellStyle name="Calculation 5 2 2 2 3" xfId="3711"/>
    <cellStyle name="Calculation 5 2 2 2 3 2" xfId="6907"/>
    <cellStyle name="Calculation 5 2 2 2 4" xfId="4745"/>
    <cellStyle name="Calculation 5 2 2 3" xfId="843"/>
    <cellStyle name="Calculation 5 2 2 3 2" xfId="3721"/>
    <cellStyle name="Calculation 5 2 2 3 2 2" xfId="6917"/>
    <cellStyle name="Calculation 5 2 2 3 3" xfId="5483"/>
    <cellStyle name="Calculation 5 2 2 3 4" xfId="4458"/>
    <cellStyle name="Calculation 5 2 2 4" xfId="844"/>
    <cellStyle name="Calculation 5 2 2 4 2" xfId="3759"/>
    <cellStyle name="Calculation 5 2 2 4 2 2" xfId="6955"/>
    <cellStyle name="Calculation 5 2 2 4 3" xfId="4326"/>
    <cellStyle name="Calculation 5 2 2 5" xfId="3447"/>
    <cellStyle name="Calculation 5 2 2 5 2" xfId="6643"/>
    <cellStyle name="Calculation 5 2 2 6" xfId="4067"/>
    <cellStyle name="Calculation 5 2 3" xfId="845"/>
    <cellStyle name="Calculation 5 2 3 2" xfId="846"/>
    <cellStyle name="Calculation 5 2 3 2 2" xfId="847"/>
    <cellStyle name="Calculation 5 2 3 2 2 2" xfId="2620"/>
    <cellStyle name="Calculation 5 2 3 2 2 2 2" xfId="5817"/>
    <cellStyle name="Calculation 5 2 3 2 2 3" xfId="5393"/>
    <cellStyle name="Calculation 5 2 3 2 3" xfId="3954"/>
    <cellStyle name="Calculation 5 2 3 2 3 2" xfId="7150"/>
    <cellStyle name="Calculation 5 2 3 2 4" xfId="4923"/>
    <cellStyle name="Calculation 5 2 3 3" xfId="848"/>
    <cellStyle name="Calculation 5 2 3 3 2" xfId="3352"/>
    <cellStyle name="Calculation 5 2 3 3 2 2" xfId="6548"/>
    <cellStyle name="Calculation 5 2 3 3 3" xfId="5484"/>
    <cellStyle name="Calculation 5 2 3 3 4" xfId="4636"/>
    <cellStyle name="Calculation 5 2 3 4" xfId="849"/>
    <cellStyle name="Calculation 5 2 3 4 2" xfId="2896"/>
    <cellStyle name="Calculation 5 2 3 4 2 2" xfId="6093"/>
    <cellStyle name="Calculation 5 2 3 4 3" xfId="5106"/>
    <cellStyle name="Calculation 5 2 3 5" xfId="3148"/>
    <cellStyle name="Calculation 5 2 3 5 2" xfId="6344"/>
    <cellStyle name="Calculation 5 2 3 6" xfId="4245"/>
    <cellStyle name="Calculation 5 2 4" xfId="850"/>
    <cellStyle name="Calculation 5 2 4 2" xfId="851"/>
    <cellStyle name="Calculation 5 2 4 2 2" xfId="852"/>
    <cellStyle name="Calculation 5 2 4 2 2 2" xfId="3027"/>
    <cellStyle name="Calculation 5 2 4 2 2 2 2" xfId="6224"/>
    <cellStyle name="Calculation 5 2 4 2 2 3" xfId="5353"/>
    <cellStyle name="Calculation 5 2 4 2 3" xfId="3369"/>
    <cellStyle name="Calculation 5 2 4 2 3 2" xfId="6565"/>
    <cellStyle name="Calculation 5 2 4 2 4" xfId="4883"/>
    <cellStyle name="Calculation 5 2 4 3" xfId="853"/>
    <cellStyle name="Calculation 5 2 4 3 2" xfId="3230"/>
    <cellStyle name="Calculation 5 2 4 3 2 2" xfId="6426"/>
    <cellStyle name="Calculation 5 2 4 3 3" xfId="5485"/>
    <cellStyle name="Calculation 5 2 4 3 4" xfId="4596"/>
    <cellStyle name="Calculation 5 2 4 4" xfId="854"/>
    <cellStyle name="Calculation 5 2 4 4 2" xfId="3039"/>
    <cellStyle name="Calculation 5 2 4 4 2 2" xfId="6236"/>
    <cellStyle name="Calculation 5 2 4 4 3" xfId="5066"/>
    <cellStyle name="Calculation 5 2 4 5" xfId="3588"/>
    <cellStyle name="Calculation 5 2 4 5 2" xfId="6784"/>
    <cellStyle name="Calculation 5 2 4 6" xfId="4205"/>
    <cellStyle name="Calculation 5 2 5" xfId="3024"/>
    <cellStyle name="Calculation 5 2 5 2" xfId="6221"/>
    <cellStyle name="Calculation 5 3" xfId="855"/>
    <cellStyle name="Calculation 5 3 2" xfId="856"/>
    <cellStyle name="Calculation 5 3 2 2" xfId="857"/>
    <cellStyle name="Calculation 5 3 2 2 2" xfId="858"/>
    <cellStyle name="Calculation 5 3 2 2 2 2" xfId="2713"/>
    <cellStyle name="Calculation 5 3 2 2 2 2 2" xfId="5910"/>
    <cellStyle name="Calculation 5 3 2 2 2 3" xfId="5293"/>
    <cellStyle name="Calculation 5 3 2 2 3" xfId="3605"/>
    <cellStyle name="Calculation 5 3 2 2 3 2" xfId="6801"/>
    <cellStyle name="Calculation 5 3 2 2 4" xfId="4823"/>
    <cellStyle name="Calculation 5 3 2 3" xfId="859"/>
    <cellStyle name="Calculation 5 3 2 3 2" xfId="2982"/>
    <cellStyle name="Calculation 5 3 2 3 2 2" xfId="6179"/>
    <cellStyle name="Calculation 5 3 2 3 3" xfId="5486"/>
    <cellStyle name="Calculation 5 3 2 3 4" xfId="4536"/>
    <cellStyle name="Calculation 5 3 2 4" xfId="860"/>
    <cellStyle name="Calculation 5 3 2 4 2" xfId="2936"/>
    <cellStyle name="Calculation 5 3 2 4 2 2" xfId="6133"/>
    <cellStyle name="Calculation 5 3 2 4 3" xfId="5006"/>
    <cellStyle name="Calculation 5 3 2 5" xfId="3252"/>
    <cellStyle name="Calculation 5 3 2 5 2" xfId="6448"/>
    <cellStyle name="Calculation 5 3 2 6" xfId="4145"/>
    <cellStyle name="Calculation 5 3 3" xfId="861"/>
    <cellStyle name="Calculation 5 3 3 2" xfId="862"/>
    <cellStyle name="Calculation 5 3 3 2 2" xfId="863"/>
    <cellStyle name="Calculation 5 3 3 2 2 2" xfId="2660"/>
    <cellStyle name="Calculation 5 3 3 2 2 2 2" xfId="5857"/>
    <cellStyle name="Calculation 5 3 3 2 2 3" xfId="5429"/>
    <cellStyle name="Calculation 5 3 3 2 3" xfId="3080"/>
    <cellStyle name="Calculation 5 3 3 2 3 2" xfId="6277"/>
    <cellStyle name="Calculation 5 3 3 2 4" xfId="4959"/>
    <cellStyle name="Calculation 5 3 3 3" xfId="864"/>
    <cellStyle name="Calculation 5 3 3 3 2" xfId="3426"/>
    <cellStyle name="Calculation 5 3 3 3 2 2" xfId="6622"/>
    <cellStyle name="Calculation 5 3 3 3 3" xfId="5487"/>
    <cellStyle name="Calculation 5 3 3 3 4" xfId="4672"/>
    <cellStyle name="Calculation 5 3 3 4" xfId="865"/>
    <cellStyle name="Calculation 5 3 3 4 2" xfId="2861"/>
    <cellStyle name="Calculation 5 3 3 4 2 2" xfId="6058"/>
    <cellStyle name="Calculation 5 3 3 4 3" xfId="5142"/>
    <cellStyle name="Calculation 5 3 3 5" xfId="3630"/>
    <cellStyle name="Calculation 5 3 3 5 2" xfId="6826"/>
    <cellStyle name="Calculation 5 3 3 6" xfId="4281"/>
    <cellStyle name="Calculation 5 3 4" xfId="866"/>
    <cellStyle name="Calculation 5 3 4 2" xfId="867"/>
    <cellStyle name="Calculation 5 3 4 2 2" xfId="2746"/>
    <cellStyle name="Calculation 5 3 4 2 2 2" xfId="5943"/>
    <cellStyle name="Calculation 5 3 4 2 3" xfId="5260"/>
    <cellStyle name="Calculation 5 3 4 3" xfId="3604"/>
    <cellStyle name="Calculation 5 3 4 3 2" xfId="6800"/>
    <cellStyle name="Calculation 5 3 4 4" xfId="4790"/>
    <cellStyle name="Calculation 5 3 5" xfId="868"/>
    <cellStyle name="Calculation 5 3 5 2" xfId="3089"/>
    <cellStyle name="Calculation 5 3 5 2 2" xfId="6286"/>
    <cellStyle name="Calculation 5 3 5 3" xfId="5488"/>
    <cellStyle name="Calculation 5 3 5 4" xfId="4503"/>
    <cellStyle name="Calculation 5 3 6" xfId="869"/>
    <cellStyle name="Calculation 5 3 6 2" xfId="3077"/>
    <cellStyle name="Calculation 5 3 6 2 2" xfId="6274"/>
    <cellStyle name="Calculation 5 3 6 3" xfId="4973"/>
    <cellStyle name="Calculation 5 3 7" xfId="3135"/>
    <cellStyle name="Calculation 5 3 7 2" xfId="6331"/>
    <cellStyle name="Calculation 5 3 8" xfId="4112"/>
    <cellStyle name="Calculation 5 4" xfId="870"/>
    <cellStyle name="Calculation 5 4 2" xfId="871"/>
    <cellStyle name="Calculation 5 4 2 2" xfId="872"/>
    <cellStyle name="Calculation 5 4 2 2 2" xfId="2834"/>
    <cellStyle name="Calculation 5 4 2 2 2 2" xfId="6031"/>
    <cellStyle name="Calculation 5 4 2 2 3" xfId="5170"/>
    <cellStyle name="Calculation 5 4 2 3" xfId="3163"/>
    <cellStyle name="Calculation 5 4 2 3 2" xfId="6359"/>
    <cellStyle name="Calculation 5 4 2 4" xfId="4700"/>
    <cellStyle name="Calculation 5 4 3" xfId="873"/>
    <cellStyle name="Calculation 5 4 3 2" xfId="3512"/>
    <cellStyle name="Calculation 5 4 3 2 2" xfId="6708"/>
    <cellStyle name="Calculation 5 4 3 3" xfId="5489"/>
    <cellStyle name="Calculation 5 4 3 4" xfId="4413"/>
    <cellStyle name="Calculation 5 4 4" xfId="874"/>
    <cellStyle name="Calculation 5 4 4 2" xfId="3211"/>
    <cellStyle name="Calculation 5 4 4 2 2" xfId="6407"/>
    <cellStyle name="Calculation 5 4 4 3" xfId="4370"/>
    <cellStyle name="Calculation 5 4 5" xfId="3934"/>
    <cellStyle name="Calculation 5 4 5 2" xfId="7130"/>
    <cellStyle name="Calculation 5 4 6" xfId="4022"/>
    <cellStyle name="Calculation 6" xfId="875"/>
    <cellStyle name="Calculation 6 2" xfId="876"/>
    <cellStyle name="Calculation 6 2 2" xfId="877"/>
    <cellStyle name="Calculation 6 2 2 2" xfId="878"/>
    <cellStyle name="Calculation 6 2 2 2 2" xfId="879"/>
    <cellStyle name="Calculation 6 2 2 2 2 2" xfId="2710"/>
    <cellStyle name="Calculation 6 2 2 2 2 2 2" xfId="5907"/>
    <cellStyle name="Calculation 6 2 2 2 2 3" xfId="5296"/>
    <cellStyle name="Calculation 6 2 2 2 3" xfId="3413"/>
    <cellStyle name="Calculation 6 2 2 2 3 2" xfId="6609"/>
    <cellStyle name="Calculation 6 2 2 2 4" xfId="4826"/>
    <cellStyle name="Calculation 6 2 2 3" xfId="880"/>
    <cellStyle name="Calculation 6 2 2 3 2" xfId="2979"/>
    <cellStyle name="Calculation 6 2 2 3 2 2" xfId="6176"/>
    <cellStyle name="Calculation 6 2 2 3 3" xfId="5490"/>
    <cellStyle name="Calculation 6 2 2 3 4" xfId="4539"/>
    <cellStyle name="Calculation 6 2 2 4" xfId="881"/>
    <cellStyle name="Calculation 6 2 2 4 2" xfId="3070"/>
    <cellStyle name="Calculation 6 2 2 4 2 2" xfId="6267"/>
    <cellStyle name="Calculation 6 2 2 4 3" xfId="5009"/>
    <cellStyle name="Calculation 6 2 2 5" xfId="3321"/>
    <cellStyle name="Calculation 6 2 2 5 2" xfId="6517"/>
    <cellStyle name="Calculation 6 2 2 6" xfId="4148"/>
    <cellStyle name="Calculation 6 2 3" xfId="882"/>
    <cellStyle name="Calculation 6 2 3 2" xfId="883"/>
    <cellStyle name="Calculation 6 2 3 2 2" xfId="884"/>
    <cellStyle name="Calculation 6 2 3 2 2 2" xfId="2664"/>
    <cellStyle name="Calculation 6 2 3 2 2 2 2" xfId="5861"/>
    <cellStyle name="Calculation 6 2 3 2 2 3" xfId="5432"/>
    <cellStyle name="Calculation 6 2 3 2 3" xfId="2608"/>
    <cellStyle name="Calculation 6 2 3 2 3 2" xfId="5805"/>
    <cellStyle name="Calculation 6 2 3 2 4" xfId="4962"/>
    <cellStyle name="Calculation 6 2 3 3" xfId="885"/>
    <cellStyle name="Calculation 6 2 3 3 2" xfId="3927"/>
    <cellStyle name="Calculation 6 2 3 3 2 2" xfId="7123"/>
    <cellStyle name="Calculation 6 2 3 3 3" xfId="5491"/>
    <cellStyle name="Calculation 6 2 3 3 4" xfId="4675"/>
    <cellStyle name="Calculation 6 2 3 4" xfId="886"/>
    <cellStyle name="Calculation 6 2 3 4 2" xfId="2858"/>
    <cellStyle name="Calculation 6 2 3 4 2 2" xfId="6055"/>
    <cellStyle name="Calculation 6 2 3 4 3" xfId="5145"/>
    <cellStyle name="Calculation 6 2 3 5" xfId="3534"/>
    <cellStyle name="Calculation 6 2 3 5 2" xfId="6730"/>
    <cellStyle name="Calculation 6 2 3 6" xfId="4284"/>
    <cellStyle name="Calculation 6 2 4" xfId="887"/>
    <cellStyle name="Calculation 6 2 4 2" xfId="888"/>
    <cellStyle name="Calculation 6 2 4 2 2" xfId="2743"/>
    <cellStyle name="Calculation 6 2 4 2 2 2" xfId="5940"/>
    <cellStyle name="Calculation 6 2 4 2 3" xfId="5263"/>
    <cellStyle name="Calculation 6 2 4 3" xfId="3412"/>
    <cellStyle name="Calculation 6 2 4 3 2" xfId="6608"/>
    <cellStyle name="Calculation 6 2 4 4" xfId="4793"/>
    <cellStyle name="Calculation 6 2 5" xfId="889"/>
    <cellStyle name="Calculation 6 2 5 2" xfId="3247"/>
    <cellStyle name="Calculation 6 2 5 2 2" xfId="6443"/>
    <cellStyle name="Calculation 6 2 5 3" xfId="5492"/>
    <cellStyle name="Calculation 6 2 5 4" xfId="4506"/>
    <cellStyle name="Calculation 6 2 6" xfId="890"/>
    <cellStyle name="Calculation 6 2 6 2" xfId="2605"/>
    <cellStyle name="Calculation 6 2 6 2 2" xfId="5802"/>
    <cellStyle name="Calculation 6 2 6 3" xfId="4976"/>
    <cellStyle name="Calculation 6 2 7" xfId="3022"/>
    <cellStyle name="Calculation 6 2 7 2" xfId="6219"/>
    <cellStyle name="Calculation 6 2 8" xfId="4115"/>
    <cellStyle name="Calculation 6 3" xfId="891"/>
    <cellStyle name="Calculation 6 3 2" xfId="892"/>
    <cellStyle name="Calculation 6 3 2 2" xfId="893"/>
    <cellStyle name="Calculation 6 3 2 2 2" xfId="2814"/>
    <cellStyle name="Calculation 6 3 2 2 2 2" xfId="6011"/>
    <cellStyle name="Calculation 6 3 2 2 3" xfId="5190"/>
    <cellStyle name="Calculation 6 3 2 3" xfId="3362"/>
    <cellStyle name="Calculation 6 3 2 3 2" xfId="6558"/>
    <cellStyle name="Calculation 6 3 2 4" xfId="4720"/>
    <cellStyle name="Calculation 6 3 3" xfId="894"/>
    <cellStyle name="Calculation 6 3 3 2" xfId="3772"/>
    <cellStyle name="Calculation 6 3 3 2 2" xfId="6968"/>
    <cellStyle name="Calculation 6 3 3 3" xfId="5493"/>
    <cellStyle name="Calculation 6 3 3 4" xfId="4433"/>
    <cellStyle name="Calculation 6 3 4" xfId="895"/>
    <cellStyle name="Calculation 6 3 4 2" xfId="2647"/>
    <cellStyle name="Calculation 6 3 4 2 2" xfId="5844"/>
    <cellStyle name="Calculation 6 3 4 3" xfId="4350"/>
    <cellStyle name="Calculation 6 3 5" xfId="3765"/>
    <cellStyle name="Calculation 6 3 5 2" xfId="6961"/>
    <cellStyle name="Calculation 6 3 6" xfId="4042"/>
    <cellStyle name="Calculation 6 4" xfId="3865"/>
    <cellStyle name="Calculation 6 4 2" xfId="7061"/>
    <cellStyle name="Calculation 7" xfId="896"/>
    <cellStyle name="Calculation 7 2" xfId="897"/>
    <cellStyle name="Calculation 7 2 2" xfId="898"/>
    <cellStyle name="Calculation 7 2 2 2" xfId="899"/>
    <cellStyle name="Calculation 7 2 2 2 2" xfId="2720"/>
    <cellStyle name="Calculation 7 2 2 2 2 2" xfId="5917"/>
    <cellStyle name="Calculation 7 2 2 2 3" xfId="5286"/>
    <cellStyle name="Calculation 7 2 2 3" xfId="3777"/>
    <cellStyle name="Calculation 7 2 2 3 2" xfId="6973"/>
    <cellStyle name="Calculation 7 2 2 4" xfId="4816"/>
    <cellStyle name="Calculation 7 2 3" xfId="900"/>
    <cellStyle name="Calculation 7 2 3 2" xfId="2987"/>
    <cellStyle name="Calculation 7 2 3 2 2" xfId="6184"/>
    <cellStyle name="Calculation 7 2 3 3" xfId="5494"/>
    <cellStyle name="Calculation 7 2 3 4" xfId="4529"/>
    <cellStyle name="Calculation 7 2 4" xfId="901"/>
    <cellStyle name="Calculation 7 2 4 2" xfId="3072"/>
    <cellStyle name="Calculation 7 2 4 2 2" xfId="6269"/>
    <cellStyle name="Calculation 7 2 4 3" xfId="4999"/>
    <cellStyle name="Calculation 7 2 5" xfId="3126"/>
    <cellStyle name="Calculation 7 2 5 2" xfId="6323"/>
    <cellStyle name="Calculation 7 2 6" xfId="4138"/>
    <cellStyle name="Calculation 7 3" xfId="902"/>
    <cellStyle name="Calculation 7 3 2" xfId="903"/>
    <cellStyle name="Calculation 7 3 2 2" xfId="904"/>
    <cellStyle name="Calculation 7 3 2 2 2" xfId="2693"/>
    <cellStyle name="Calculation 7 3 2 2 2 2" xfId="5890"/>
    <cellStyle name="Calculation 7 3 2 2 3" xfId="5313"/>
    <cellStyle name="Calculation 7 3 2 3" xfId="3816"/>
    <cellStyle name="Calculation 7 3 2 3 2" xfId="7012"/>
    <cellStyle name="Calculation 7 3 2 4" xfId="4843"/>
    <cellStyle name="Calculation 7 3 3" xfId="905"/>
    <cellStyle name="Calculation 7 3 3 2" xfId="3375"/>
    <cellStyle name="Calculation 7 3 3 2 2" xfId="6571"/>
    <cellStyle name="Calculation 7 3 3 3" xfId="5495"/>
    <cellStyle name="Calculation 7 3 3 4" xfId="4556"/>
    <cellStyle name="Calculation 7 3 4" xfId="906"/>
    <cellStyle name="Calculation 7 3 4 2" xfId="2932"/>
    <cellStyle name="Calculation 7 3 4 2 2" xfId="6129"/>
    <cellStyle name="Calculation 7 3 4 3" xfId="5026"/>
    <cellStyle name="Calculation 7 3 5" xfId="2534"/>
    <cellStyle name="Calculation 7 3 5 2" xfId="5731"/>
    <cellStyle name="Calculation 7 3 6" xfId="4165"/>
    <cellStyle name="Calculation 7 4" xfId="907"/>
    <cellStyle name="Calculation 7 4 2" xfId="908"/>
    <cellStyle name="Calculation 7 4 2 2" xfId="2753"/>
    <cellStyle name="Calculation 7 4 2 2 2" xfId="5950"/>
    <cellStyle name="Calculation 7 4 2 3" xfId="5253"/>
    <cellStyle name="Calculation 7 4 3" xfId="3179"/>
    <cellStyle name="Calculation 7 4 3 2" xfId="6375"/>
    <cellStyle name="Calculation 7 4 4" xfId="4783"/>
    <cellStyle name="Calculation 7 5" xfId="909"/>
    <cellStyle name="Calculation 7 5 2" xfId="3090"/>
    <cellStyle name="Calculation 7 5 2 2" xfId="6287"/>
    <cellStyle name="Calculation 7 5 3" xfId="5496"/>
    <cellStyle name="Calculation 7 5 4" xfId="4496"/>
    <cellStyle name="Calculation 7 6" xfId="910"/>
    <cellStyle name="Calculation 7 6 2" xfId="3762"/>
    <cellStyle name="Calculation 7 6 2 2" xfId="6958"/>
    <cellStyle name="Calculation 7 6 3" xfId="4289"/>
    <cellStyle name="Calculation 7 7" xfId="3187"/>
    <cellStyle name="Calculation 7 7 2" xfId="6383"/>
    <cellStyle name="Calculation 7 8" xfId="4105"/>
    <cellStyle name="Check Cell" xfId="13" builtinId="23" customBuiltin="1"/>
    <cellStyle name="Check Cell 2" xfId="911"/>
    <cellStyle name="Check Cell 2 2" xfId="912"/>
    <cellStyle name="Check Cell 3" xfId="913"/>
    <cellStyle name="Check Cell 4" xfId="914"/>
    <cellStyle name="code" xfId="915"/>
    <cellStyle name="Comma [0] 2" xfId="53"/>
    <cellStyle name="Comma [0] 2 2" xfId="916"/>
    <cellStyle name="Comma [0] 3" xfId="93"/>
    <cellStyle name="Comma [0] 3 2" xfId="917"/>
    <cellStyle name="Comma [0] 4" xfId="95"/>
    <cellStyle name="Comma 10" xfId="918"/>
    <cellStyle name="Comma 10 2" xfId="919"/>
    <cellStyle name="Comma 10 2 2" xfId="920"/>
    <cellStyle name="Comma 10 2 2 2" xfId="921"/>
    <cellStyle name="Comma 10 2 3" xfId="922"/>
    <cellStyle name="Comma 10 3" xfId="923"/>
    <cellStyle name="Comma 10 3 2" xfId="924"/>
    <cellStyle name="Comma 10 4" xfId="925"/>
    <cellStyle name="Comma 10 5" xfId="926"/>
    <cellStyle name="Comma 100" xfId="7271"/>
    <cellStyle name="Comma 101" xfId="7277"/>
    <cellStyle name="Comma 102" xfId="7280"/>
    <cellStyle name="Comma 103" xfId="7282"/>
    <cellStyle name="Comma 104" xfId="7275"/>
    <cellStyle name="Comma 105" xfId="7288"/>
    <cellStyle name="Comma 106" xfId="7290"/>
    <cellStyle name="Comma 107" xfId="7276"/>
    <cellStyle name="Comma 108" xfId="7283"/>
    <cellStyle name="Comma 109" xfId="7274"/>
    <cellStyle name="Comma 11" xfId="927"/>
    <cellStyle name="Comma 11 2" xfId="928"/>
    <cellStyle name="Comma 11 2 2" xfId="929"/>
    <cellStyle name="Comma 11 3" xfId="930"/>
    <cellStyle name="Comma 11 4" xfId="931"/>
    <cellStyle name="Comma 110" xfId="7289"/>
    <cellStyle name="Comma 111" xfId="7286"/>
    <cellStyle name="Comma 112" xfId="7270"/>
    <cellStyle name="Comma 113" xfId="7284"/>
    <cellStyle name="Comma 114" xfId="7273"/>
    <cellStyle name="Comma 115" xfId="7285"/>
    <cellStyle name="Comma 116" xfId="7305"/>
    <cellStyle name="Comma 117" xfId="7293"/>
    <cellStyle name="Comma 118" xfId="7301"/>
    <cellStyle name="Comma 119" xfId="7298"/>
    <cellStyle name="Comma 12" xfId="932"/>
    <cellStyle name="Comma 12 2" xfId="933"/>
    <cellStyle name="Comma 12 2 2" xfId="934"/>
    <cellStyle name="Comma 12 3" xfId="935"/>
    <cellStyle name="Comma 12 4" xfId="936"/>
    <cellStyle name="Comma 120" xfId="7299"/>
    <cellStyle name="Comma 121" xfId="7304"/>
    <cellStyle name="Comma 122" xfId="7303"/>
    <cellStyle name="Comma 123" xfId="7295"/>
    <cellStyle name="Comma 124" xfId="7294"/>
    <cellStyle name="Comma 125" xfId="7297"/>
    <cellStyle name="Comma 126" xfId="7300"/>
    <cellStyle name="Comma 127" xfId="7302"/>
    <cellStyle name="Comma 128" xfId="7296"/>
    <cellStyle name="Comma 129" xfId="7309"/>
    <cellStyle name="Comma 13" xfId="937"/>
    <cellStyle name="Comma 130" xfId="7308"/>
    <cellStyle name="Comma 131" xfId="7311"/>
    <cellStyle name="Comma 132" xfId="7310"/>
    <cellStyle name="Comma 133" xfId="7312"/>
    <cellStyle name="Comma 14" xfId="938"/>
    <cellStyle name="Comma 15" xfId="939"/>
    <cellStyle name="Comma 16" xfId="97"/>
    <cellStyle name="Comma 17" xfId="940"/>
    <cellStyle name="Comma 18" xfId="941"/>
    <cellStyle name="Comma 19" xfId="942"/>
    <cellStyle name="Comma 2" xfId="43"/>
    <cellStyle name="Comma 2 2" xfId="98"/>
    <cellStyle name="Comma 20" xfId="943"/>
    <cellStyle name="Comma 21" xfId="944"/>
    <cellStyle name="Comma 22" xfId="7199"/>
    <cellStyle name="Comma 23" xfId="7200"/>
    <cellStyle name="Comma 24" xfId="7202"/>
    <cellStyle name="Comma 25" xfId="7201"/>
    <cellStyle name="Comma 26" xfId="7198"/>
    <cellStyle name="Comma 27" xfId="7204"/>
    <cellStyle name="Comma 28" xfId="7210"/>
    <cellStyle name="Comma 29" xfId="7205"/>
    <cellStyle name="Comma 3" xfId="945"/>
    <cellStyle name="Comma 3 2" xfId="7306"/>
    <cellStyle name="Comma 30" xfId="7208"/>
    <cellStyle name="Comma 31" xfId="7206"/>
    <cellStyle name="Comma 32" xfId="7207"/>
    <cellStyle name="Comma 33" xfId="7209"/>
    <cellStyle name="Comma 34" xfId="7216"/>
    <cellStyle name="Comma 35" xfId="7211"/>
    <cellStyle name="Comma 36" xfId="7213"/>
    <cellStyle name="Comma 37" xfId="7215"/>
    <cellStyle name="Comma 38" xfId="7214"/>
    <cellStyle name="Comma 39" xfId="7212"/>
    <cellStyle name="Comma 4" xfId="946"/>
    <cellStyle name="Comma 40" xfId="7241"/>
    <cellStyle name="Comma 41" xfId="7217"/>
    <cellStyle name="Comma 42" xfId="7224"/>
    <cellStyle name="Comma 43" xfId="7232"/>
    <cellStyle name="Comma 44" xfId="7231"/>
    <cellStyle name="Comma 45" xfId="7222"/>
    <cellStyle name="Comma 46" xfId="7223"/>
    <cellStyle name="Comma 47" xfId="7234"/>
    <cellStyle name="Comma 48" xfId="7239"/>
    <cellStyle name="Comma 49" xfId="7237"/>
    <cellStyle name="Comma 5" xfId="947"/>
    <cellStyle name="Comma 5 2" xfId="948"/>
    <cellStyle name="Comma 50" xfId="7220"/>
    <cellStyle name="Comma 51" xfId="7226"/>
    <cellStyle name="Comma 52" xfId="7233"/>
    <cellStyle name="Comma 53" xfId="7240"/>
    <cellStyle name="Comma 54" xfId="7238"/>
    <cellStyle name="Comma 55" xfId="7219"/>
    <cellStyle name="Comma 56" xfId="7227"/>
    <cellStyle name="Comma 57" xfId="7235"/>
    <cellStyle name="Comma 58" xfId="7230"/>
    <cellStyle name="Comma 59" xfId="7218"/>
    <cellStyle name="Comma 6" xfId="949"/>
    <cellStyle name="Comma 6 2" xfId="950"/>
    <cellStyle name="Comma 60" xfId="7229"/>
    <cellStyle name="Comma 61" xfId="7221"/>
    <cellStyle name="Comma 62" xfId="7236"/>
    <cellStyle name="Comma 63" xfId="7225"/>
    <cellStyle name="Comma 64" xfId="7228"/>
    <cellStyle name="Comma 65" xfId="7242"/>
    <cellStyle name="Comma 66" xfId="7268"/>
    <cellStyle name="Comma 67" xfId="7243"/>
    <cellStyle name="Comma 68" xfId="7256"/>
    <cellStyle name="Comma 69" xfId="7260"/>
    <cellStyle name="Comma 7" xfId="951"/>
    <cellStyle name="Comma 7 2" xfId="952"/>
    <cellStyle name="Comma 7 2 2" xfId="953"/>
    <cellStyle name="Comma 7 3" xfId="954"/>
    <cellStyle name="Comma 7 4" xfId="955"/>
    <cellStyle name="Comma 70" xfId="7265"/>
    <cellStyle name="Comma 71" xfId="7245"/>
    <cellStyle name="Comma 72" xfId="7246"/>
    <cellStyle name="Comma 73" xfId="7252"/>
    <cellStyle name="Comma 74" xfId="7251"/>
    <cellStyle name="Comma 75" xfId="7253"/>
    <cellStyle name="Comma 76" xfId="7261"/>
    <cellStyle name="Comma 77" xfId="7266"/>
    <cellStyle name="Comma 78" xfId="7247"/>
    <cellStyle name="Comma 79" xfId="7255"/>
    <cellStyle name="Comma 8" xfId="956"/>
    <cellStyle name="Comma 8 2" xfId="957"/>
    <cellStyle name="Comma 8 2 2" xfId="958"/>
    <cellStyle name="Comma 8 3" xfId="959"/>
    <cellStyle name="Comma 8 4" xfId="960"/>
    <cellStyle name="Comma 80" xfId="7249"/>
    <cellStyle name="Comma 81" xfId="7248"/>
    <cellStyle name="Comma 82" xfId="7259"/>
    <cellStyle name="Comma 83" xfId="7262"/>
    <cellStyle name="Comma 84" xfId="7257"/>
    <cellStyle name="Comma 85" xfId="7264"/>
    <cellStyle name="Comma 86" xfId="7267"/>
    <cellStyle name="Comma 87" xfId="7263"/>
    <cellStyle name="Comma 88" xfId="7250"/>
    <cellStyle name="Comma 89" xfId="7254"/>
    <cellStyle name="Comma 9" xfId="961"/>
    <cellStyle name="Comma 9 2" xfId="962"/>
    <cellStyle name="Comma 9 2 2" xfId="963"/>
    <cellStyle name="Comma 9 3" xfId="964"/>
    <cellStyle name="Comma 9 4" xfId="965"/>
    <cellStyle name="Comma 90" xfId="7244"/>
    <cellStyle name="Comma 91" xfId="7258"/>
    <cellStyle name="Comma 92" xfId="7292"/>
    <cellStyle name="Comma 93" xfId="7269"/>
    <cellStyle name="Comma 94" xfId="7281"/>
    <cellStyle name="Comma 95" xfId="7278"/>
    <cellStyle name="Comma 96" xfId="7279"/>
    <cellStyle name="Comma 97" xfId="7291"/>
    <cellStyle name="Comma 98" xfId="7287"/>
    <cellStyle name="Comma 99" xfId="7272"/>
    <cellStyle name="COMMENTS" xfId="966"/>
    <cellStyle name="Currency 2" xfId="967"/>
    <cellStyle name="Currency 3" xfId="968"/>
    <cellStyle name="Currency 4" xfId="969"/>
    <cellStyle name="Currency 5" xfId="970"/>
    <cellStyle name="Currency 6" xfId="971"/>
    <cellStyle name="Currency 7" xfId="3134"/>
    <cellStyle name="dash" xfId="972"/>
    <cellStyle name="Data" xfId="44"/>
    <cellStyle name="Data2" xfId="59"/>
    <cellStyle name="Data5" xfId="60"/>
    <cellStyle name="date" xfId="973"/>
    <cellStyle name="date 2" xfId="974"/>
    <cellStyle name="Daymethod" xfId="975"/>
    <cellStyle name="days" xfId="976"/>
    <cellStyle name="Dialog" xfId="977"/>
    <cellStyle name="Explanatory Text" xfId="16" builtinId="53" customBuiltin="1"/>
    <cellStyle name="Explanatory Text 2" xfId="978"/>
    <cellStyle name="Explanatory Text 3" xfId="979"/>
    <cellStyle name="FcBackground" xfId="980"/>
    <cellStyle name="FcBluesFuts" xfId="981"/>
    <cellStyle name="FcCalculated" xfId="982"/>
    <cellStyle name="FcCalculated 2" xfId="983"/>
    <cellStyle name="FcCalculated 3" xfId="984"/>
    <cellStyle name="FcCalculated_apollo_curves" xfId="985"/>
    <cellStyle name="FcCalculated2" xfId="986"/>
    <cellStyle name="FcExtData" xfId="987"/>
    <cellStyle name="FcFrontFut" xfId="988"/>
    <cellStyle name="FcFrontRed" xfId="989"/>
    <cellStyle name="FcGoldFuts" xfId="990"/>
    <cellStyle name="FcGreenFuts" xfId="991"/>
    <cellStyle name="FcInput" xfId="992"/>
    <cellStyle name="FcLabel1" xfId="993"/>
    <cellStyle name="FcLabel2" xfId="994"/>
    <cellStyle name="FcNumeric" xfId="995"/>
    <cellStyle name="FcNumeric 2" xfId="996"/>
    <cellStyle name="FcRealTime" xfId="997"/>
    <cellStyle name="FcRealTime 2" xfId="998"/>
    <cellStyle name="FcRealTime 3" xfId="999"/>
    <cellStyle name="FcRealTime_apollo_curves" xfId="1000"/>
    <cellStyle name="FcRedFuts" xfId="1001"/>
    <cellStyle name="FcSubHeading" xfId="1002"/>
    <cellStyle name="FcTechHackers" xfId="1003"/>
    <cellStyle name="FcTopLine" xfId="1004"/>
    <cellStyle name="footnote" xfId="1005"/>
    <cellStyle name="footnote2" xfId="1006"/>
    <cellStyle name="GeneralText" xfId="1007"/>
    <cellStyle name="Good" xfId="6" builtinId="26" customBuiltin="1"/>
    <cellStyle name="Good 2" xfId="1008"/>
    <cellStyle name="Good 2 2" xfId="1009"/>
    <cellStyle name="Good 3" xfId="1010"/>
    <cellStyle name="Good 4" xfId="1011"/>
    <cellStyle name="Header" xfId="45"/>
    <cellStyle name="Header 2" xfId="1012"/>
    <cellStyle name="Heading 1" xfId="2" builtinId="16" customBuiltin="1"/>
    <cellStyle name="Heading 1 2" xfId="1013"/>
    <cellStyle name="Heading 1 2 2" xfId="1014"/>
    <cellStyle name="Heading 1 3" xfId="1015"/>
    <cellStyle name="Heading 1 3 2" xfId="1016"/>
    <cellStyle name="Heading 1 4" xfId="1017"/>
    <cellStyle name="Heading 1 5" xfId="1018"/>
    <cellStyle name="Heading 1 6" xfId="1019"/>
    <cellStyle name="Heading 2" xfId="3" builtinId="17" customBuiltin="1"/>
    <cellStyle name="Heading 2 2" xfId="1020"/>
    <cellStyle name="Heading 2 2 2" xfId="1021"/>
    <cellStyle name="Heading 2 3" xfId="1022"/>
    <cellStyle name="Heading 2 4" xfId="1023"/>
    <cellStyle name="Heading 2 5" xfId="1024"/>
    <cellStyle name="Heading 2 6" xfId="1025"/>
    <cellStyle name="Heading 3" xfId="4" builtinId="18" customBuiltin="1"/>
    <cellStyle name="Heading 3 2" xfId="1026"/>
    <cellStyle name="Heading 3 2 2" xfId="1027"/>
    <cellStyle name="Heading 3 3" xfId="1028"/>
    <cellStyle name="Heading 3 3 2" xfId="1029"/>
    <cellStyle name="Heading 3 4" xfId="1030"/>
    <cellStyle name="Heading 3 5" xfId="1031"/>
    <cellStyle name="Heading 3 6" xfId="1032"/>
    <cellStyle name="Heading 4" xfId="5" builtinId="19" customBuiltin="1"/>
    <cellStyle name="Heading 4 2" xfId="1033"/>
    <cellStyle name="Heading 4 2 2" xfId="1034"/>
    <cellStyle name="Heading 4 3" xfId="1035"/>
    <cellStyle name="Heading 4 4" xfId="1036"/>
    <cellStyle name="Heading 4 5" xfId="1037"/>
    <cellStyle name="Hidden" xfId="61"/>
    <cellStyle name="Hyperlink 2" xfId="1038"/>
    <cellStyle name="Hyperlink 2 2" xfId="1039"/>
    <cellStyle name="Hyperlink 2_Instructions and Positions" xfId="1040"/>
    <cellStyle name="implemented" xfId="1041"/>
    <cellStyle name="Input" xfId="9" builtinId="20" customBuiltin="1"/>
    <cellStyle name="Input 2" xfId="1042"/>
    <cellStyle name="Input 2 2" xfId="1043"/>
    <cellStyle name="Input 2 2 2" xfId="1044"/>
    <cellStyle name="Input 2 2 2 2" xfId="1045"/>
    <cellStyle name="Input 2 2 2 2 2" xfId="1046"/>
    <cellStyle name="Input 2 2 2 2 2 2" xfId="1047"/>
    <cellStyle name="Input 2 2 2 2 2 2 2" xfId="1048"/>
    <cellStyle name="Input 2 2 2 2 2 2 2 2" xfId="2775"/>
    <cellStyle name="Input 2 2 2 2 2 2 2 2 2" xfId="5972"/>
    <cellStyle name="Input 2 2 2 2 2 2 2 3" xfId="5231"/>
    <cellStyle name="Input 2 2 2 2 2 2 3" xfId="3734"/>
    <cellStyle name="Input 2 2 2 2 2 2 3 2" xfId="6930"/>
    <cellStyle name="Input 2 2 2 2 2 2 4" xfId="4761"/>
    <cellStyle name="Input 2 2 2 2 2 3" xfId="1049"/>
    <cellStyle name="Input 2 2 2 2 2 3 2" xfId="3387"/>
    <cellStyle name="Input 2 2 2 2 2 3 2 2" xfId="6583"/>
    <cellStyle name="Input 2 2 2 2 2 3 3" xfId="5497"/>
    <cellStyle name="Input 2 2 2 2 2 3 4" xfId="4474"/>
    <cellStyle name="Input 2 2 2 2 2 4" xfId="1050"/>
    <cellStyle name="Input 2 2 2 2 2 4 2" xfId="3747"/>
    <cellStyle name="Input 2 2 2 2 2 4 2 2" xfId="6943"/>
    <cellStyle name="Input 2 2 2 2 2 4 3" xfId="4390"/>
    <cellStyle name="Input 2 2 2 2 2 5" xfId="3797"/>
    <cellStyle name="Input 2 2 2 2 2 5 2" xfId="6993"/>
    <cellStyle name="Input 2 2 2 2 2 6" xfId="4083"/>
    <cellStyle name="Input 2 2 2 2 3" xfId="1051"/>
    <cellStyle name="Input 2 2 2 2 3 2" xfId="1052"/>
    <cellStyle name="Input 2 2 2 2 3 2 2" xfId="1053"/>
    <cellStyle name="Input 2 2 2 2 3 2 2 2" xfId="2635"/>
    <cellStyle name="Input 2 2 2 2 3 2 2 2 2" xfId="5832"/>
    <cellStyle name="Input 2 2 2 2 3 2 2 3" xfId="5408"/>
    <cellStyle name="Input 2 2 2 2 3 2 3" xfId="3083"/>
    <cellStyle name="Input 2 2 2 2 3 2 3 2" xfId="6280"/>
    <cellStyle name="Input 2 2 2 2 3 2 4" xfId="4938"/>
    <cellStyle name="Input 2 2 2 2 3 3" xfId="1054"/>
    <cellStyle name="Input 2 2 2 2 3 3 2" xfId="3427"/>
    <cellStyle name="Input 2 2 2 2 3 3 2 2" xfId="6623"/>
    <cellStyle name="Input 2 2 2 2 3 3 3" xfId="5498"/>
    <cellStyle name="Input 2 2 2 2 3 3 4" xfId="4651"/>
    <cellStyle name="Input 2 2 2 2 3 4" xfId="1055"/>
    <cellStyle name="Input 2 2 2 2 3 4 2" xfId="2881"/>
    <cellStyle name="Input 2 2 2 2 3 4 2 2" xfId="6078"/>
    <cellStyle name="Input 2 2 2 2 3 4 3" xfId="5121"/>
    <cellStyle name="Input 2 2 2 2 3 5" xfId="3937"/>
    <cellStyle name="Input 2 2 2 2 3 5 2" xfId="7133"/>
    <cellStyle name="Input 2 2 2 2 3 6" xfId="4260"/>
    <cellStyle name="Input 2 2 2 2 4" xfId="1056"/>
    <cellStyle name="Input 2 2 2 2 4 2" xfId="1057"/>
    <cellStyle name="Input 2 2 2 2 4 2 2" xfId="1058"/>
    <cellStyle name="Input 2 2 2 2 4 2 2 2" xfId="2559"/>
    <cellStyle name="Input 2 2 2 2 4 2 2 2 2" xfId="5756"/>
    <cellStyle name="Input 2 2 2 2 4 2 2 3" xfId="5360"/>
    <cellStyle name="Input 2 2 2 2 4 2 3" xfId="3848"/>
    <cellStyle name="Input 2 2 2 2 4 2 3 2" xfId="7044"/>
    <cellStyle name="Input 2 2 2 2 4 2 4" xfId="4890"/>
    <cellStyle name="Input 2 2 2 2 4 3" xfId="1059"/>
    <cellStyle name="Input 2 2 2 2 4 3 2" xfId="3333"/>
    <cellStyle name="Input 2 2 2 2 4 3 2 2" xfId="6529"/>
    <cellStyle name="Input 2 2 2 2 4 3 3" xfId="5499"/>
    <cellStyle name="Input 2 2 2 2 4 3 4" xfId="4603"/>
    <cellStyle name="Input 2 2 2 2 4 4" xfId="1060"/>
    <cellStyle name="Input 2 2 2 2 4 4 2" xfId="3058"/>
    <cellStyle name="Input 2 2 2 2 4 4 2 2" xfId="6255"/>
    <cellStyle name="Input 2 2 2 2 4 4 3" xfId="5073"/>
    <cellStyle name="Input 2 2 2 2 4 5" xfId="3642"/>
    <cellStyle name="Input 2 2 2 2 4 5 2" xfId="6838"/>
    <cellStyle name="Input 2 2 2 2 4 6" xfId="4212"/>
    <cellStyle name="Input 2 2 2 2 5" xfId="3205"/>
    <cellStyle name="Input 2 2 2 2 5 2" xfId="6401"/>
    <cellStyle name="Input 2 2 2 3" xfId="1061"/>
    <cellStyle name="Input 2 2 2 3 2" xfId="1062"/>
    <cellStyle name="Input 2 2 2 3 2 2" xfId="1063"/>
    <cellStyle name="Input 2 2 2 3 2 2 2" xfId="2818"/>
    <cellStyle name="Input 2 2 2 3 2 2 2 2" xfId="6015"/>
    <cellStyle name="Input 2 2 2 3 2 2 3" xfId="5186"/>
    <cellStyle name="Input 2 2 2 3 2 3" xfId="3789"/>
    <cellStyle name="Input 2 2 2 3 2 3 2" xfId="6985"/>
    <cellStyle name="Input 2 2 2 3 2 4" xfId="4716"/>
    <cellStyle name="Input 2 2 2 3 3" xfId="1064"/>
    <cellStyle name="Input 2 2 2 3 3 2" xfId="3563"/>
    <cellStyle name="Input 2 2 2 3 3 2 2" xfId="6759"/>
    <cellStyle name="Input 2 2 2 3 3 3" xfId="5500"/>
    <cellStyle name="Input 2 2 2 3 3 4" xfId="4429"/>
    <cellStyle name="Input 2 2 2 3 4" xfId="1065"/>
    <cellStyle name="Input 2 2 2 3 4 2" xfId="3624"/>
    <cellStyle name="Input 2 2 2 3 4 2 2" xfId="6820"/>
    <cellStyle name="Input 2 2 2 3 4 3" xfId="4354"/>
    <cellStyle name="Input 2 2 2 3 5" xfId="3480"/>
    <cellStyle name="Input 2 2 2 3 5 2" xfId="6676"/>
    <cellStyle name="Input 2 2 2 3 6" xfId="4038"/>
    <cellStyle name="Input 2 2 2 4" xfId="1066"/>
    <cellStyle name="Input 2 2 2 4 2" xfId="1067"/>
    <cellStyle name="Input 2 2 2 4 2 2" xfId="1068"/>
    <cellStyle name="Input 2 2 2 4 2 2 2" xfId="2569"/>
    <cellStyle name="Input 2 2 2 4 2 2 2 2" xfId="5766"/>
    <cellStyle name="Input 2 2 2 4 2 2 3" xfId="5370"/>
    <cellStyle name="Input 2 2 2 4 2 3" xfId="3450"/>
    <cellStyle name="Input 2 2 2 4 2 3 2" xfId="6646"/>
    <cellStyle name="Input 2 2 2 4 2 4" xfId="4900"/>
    <cellStyle name="Input 2 2 2 4 3" xfId="1069"/>
    <cellStyle name="Input 2 2 2 4 3 2" xfId="3229"/>
    <cellStyle name="Input 2 2 2 4 3 2 2" xfId="6425"/>
    <cellStyle name="Input 2 2 2 4 3 3" xfId="5501"/>
    <cellStyle name="Input 2 2 2 4 3 4" xfId="4613"/>
    <cellStyle name="Input 2 2 2 4 4" xfId="1070"/>
    <cellStyle name="Input 2 2 2 4 4 2" xfId="2919"/>
    <cellStyle name="Input 2 2 2 4 4 2 2" xfId="6116"/>
    <cellStyle name="Input 2 2 2 4 4 3" xfId="5083"/>
    <cellStyle name="Input 2 2 2 4 5" xfId="3963"/>
    <cellStyle name="Input 2 2 2 4 5 2" xfId="7159"/>
    <cellStyle name="Input 2 2 2 4 6" xfId="4222"/>
    <cellStyle name="Input 2 2 2 5" xfId="1071"/>
    <cellStyle name="Input 2 2 2 5 2" xfId="1072"/>
    <cellStyle name="Input 2 2 2 5 2 2" xfId="1073"/>
    <cellStyle name="Input 2 2 2 5 2 2 2" xfId="2555"/>
    <cellStyle name="Input 2 2 2 5 2 2 2 2" xfId="5752"/>
    <cellStyle name="Input 2 2 2 5 2 2 3" xfId="5356"/>
    <cellStyle name="Input 2 2 2 5 2 3" xfId="3917"/>
    <cellStyle name="Input 2 2 2 5 2 3 2" xfId="7113"/>
    <cellStyle name="Input 2 2 2 5 2 4" xfId="4886"/>
    <cellStyle name="Input 2 2 2 5 3" xfId="1074"/>
    <cellStyle name="Input 2 2 2 5 3 2" xfId="3268"/>
    <cellStyle name="Input 2 2 2 5 3 2 2" xfId="6464"/>
    <cellStyle name="Input 2 2 2 5 3 3" xfId="5502"/>
    <cellStyle name="Input 2 2 2 5 3 4" xfId="4599"/>
    <cellStyle name="Input 2 2 2 5 4" xfId="1075"/>
    <cellStyle name="Input 2 2 2 5 4 2" xfId="3270"/>
    <cellStyle name="Input 2 2 2 5 4 2 2" xfId="6466"/>
    <cellStyle name="Input 2 2 2 5 4 3" xfId="5069"/>
    <cellStyle name="Input 2 2 2 5 5" xfId="3397"/>
    <cellStyle name="Input 2 2 2 5 5 2" xfId="6593"/>
    <cellStyle name="Input 2 2 2 5 6" xfId="4208"/>
    <cellStyle name="Input 2 2 3" xfId="1076"/>
    <cellStyle name="Input 2 2 3 2" xfId="1077"/>
    <cellStyle name="Input 2 2 3 2 2" xfId="1078"/>
    <cellStyle name="Input 2 2 3 2 2 2" xfId="1079"/>
    <cellStyle name="Input 2 2 3 2 2 2 2" xfId="2800"/>
    <cellStyle name="Input 2 2 3 2 2 2 2 2" xfId="5997"/>
    <cellStyle name="Input 2 2 3 2 2 2 3" xfId="5204"/>
    <cellStyle name="Input 2 2 3 2 2 3" xfId="3484"/>
    <cellStyle name="Input 2 2 3 2 2 3 2" xfId="6680"/>
    <cellStyle name="Input 2 2 3 2 2 4" xfId="4734"/>
    <cellStyle name="Input 2 2 3 2 3" xfId="1080"/>
    <cellStyle name="Input 2 2 3 2 3 2" xfId="3737"/>
    <cellStyle name="Input 2 2 3 2 3 2 2" xfId="6933"/>
    <cellStyle name="Input 2 2 3 2 3 3" xfId="5503"/>
    <cellStyle name="Input 2 2 3 2 3 4" xfId="4447"/>
    <cellStyle name="Input 2 2 3 2 4" xfId="1081"/>
    <cellStyle name="Input 2 2 3 2 4 2" xfId="3990"/>
    <cellStyle name="Input 2 2 3 2 4 2 2" xfId="7186"/>
    <cellStyle name="Input 2 2 3 2 4 3" xfId="4336"/>
    <cellStyle name="Input 2 2 3 2 5" xfId="3338"/>
    <cellStyle name="Input 2 2 3 2 5 2" xfId="6534"/>
    <cellStyle name="Input 2 2 3 2 6" xfId="4056"/>
    <cellStyle name="Input 2 2 3 3" xfId="1082"/>
    <cellStyle name="Input 2 2 3 3 2" xfId="1083"/>
    <cellStyle name="Input 2 2 3 3 2 2" xfId="1084"/>
    <cellStyle name="Input 2 2 3 3 2 2 2" xfId="2583"/>
    <cellStyle name="Input 2 2 3 3 2 2 2 2" xfId="5780"/>
    <cellStyle name="Input 2 2 3 3 2 2 3" xfId="5384"/>
    <cellStyle name="Input 2 2 3 3 2 3" xfId="3728"/>
    <cellStyle name="Input 2 2 3 3 2 3 2" xfId="6924"/>
    <cellStyle name="Input 2 2 3 3 2 4" xfId="4914"/>
    <cellStyle name="Input 2 2 3 3 3" xfId="1085"/>
    <cellStyle name="Input 2 2 3 3 3 2" xfId="3792"/>
    <cellStyle name="Input 2 2 3 3 3 2 2" xfId="6988"/>
    <cellStyle name="Input 2 2 3 3 3 3" xfId="5504"/>
    <cellStyle name="Input 2 2 3 3 3 4" xfId="4627"/>
    <cellStyle name="Input 2 2 3 3 4" xfId="1086"/>
    <cellStyle name="Input 2 2 3 3 4 2" xfId="2905"/>
    <cellStyle name="Input 2 2 3 3 4 2 2" xfId="6102"/>
    <cellStyle name="Input 2 2 3 3 4 3" xfId="5097"/>
    <cellStyle name="Input 2 2 3 3 5" xfId="3602"/>
    <cellStyle name="Input 2 2 3 3 5 2" xfId="6798"/>
    <cellStyle name="Input 2 2 3 3 6" xfId="4236"/>
    <cellStyle name="Input 2 2 3 4" xfId="1087"/>
    <cellStyle name="Input 2 2 3 4 2" xfId="1088"/>
    <cellStyle name="Input 2 2 3 4 2 2" xfId="1089"/>
    <cellStyle name="Input 2 2 3 4 2 2 2" xfId="2538"/>
    <cellStyle name="Input 2 2 3 4 2 2 2 2" xfId="5735"/>
    <cellStyle name="Input 2 2 3 4 2 2 3" xfId="5338"/>
    <cellStyle name="Input 2 2 3 4 2 3" xfId="3146"/>
    <cellStyle name="Input 2 2 3 4 2 3 2" xfId="6342"/>
    <cellStyle name="Input 2 2 3 4 2 4" xfId="4868"/>
    <cellStyle name="Input 2 2 3 4 3" xfId="1090"/>
    <cellStyle name="Input 2 2 3 4 3 2" xfId="3099"/>
    <cellStyle name="Input 2 2 3 4 3 2 2" xfId="6296"/>
    <cellStyle name="Input 2 2 3 4 3 3" xfId="5505"/>
    <cellStyle name="Input 2 2 3 4 3 4" xfId="4581"/>
    <cellStyle name="Input 2 2 3 4 4" xfId="1091"/>
    <cellStyle name="Input 2 2 3 4 4 2" xfId="3062"/>
    <cellStyle name="Input 2 2 3 4 4 2 2" xfId="6259"/>
    <cellStyle name="Input 2 2 3 4 4 3" xfId="5051"/>
    <cellStyle name="Input 2 2 3 4 5" xfId="3560"/>
    <cellStyle name="Input 2 2 3 4 5 2" xfId="6756"/>
    <cellStyle name="Input 2 2 3 4 6" xfId="4190"/>
    <cellStyle name="Input 2 2 3 5" xfId="3916"/>
    <cellStyle name="Input 2 2 3 5 2" xfId="7112"/>
    <cellStyle name="Input 2 2 4" xfId="1092"/>
    <cellStyle name="Input 2 2 4 2" xfId="1093"/>
    <cellStyle name="Input 2 2 4 2 2" xfId="1094"/>
    <cellStyle name="Input 2 2 4 2 2 2" xfId="1095"/>
    <cellStyle name="Input 2 2 4 2 2 2 2" xfId="2732"/>
    <cellStyle name="Input 2 2 4 2 2 2 2 2" xfId="5929"/>
    <cellStyle name="Input 2 2 4 2 2 2 3" xfId="5274"/>
    <cellStyle name="Input 2 2 4 2 2 3" xfId="3858"/>
    <cellStyle name="Input 2 2 4 2 2 3 2" xfId="7054"/>
    <cellStyle name="Input 2 2 4 2 2 4" xfId="4804"/>
    <cellStyle name="Input 2 2 4 2 3" xfId="1096"/>
    <cellStyle name="Input 2 2 4 2 3 2" xfId="2996"/>
    <cellStyle name="Input 2 2 4 2 3 2 2" xfId="6193"/>
    <cellStyle name="Input 2 2 4 2 3 3" xfId="5506"/>
    <cellStyle name="Input 2 2 4 2 3 4" xfId="4517"/>
    <cellStyle name="Input 2 2 4 2 4" xfId="1097"/>
    <cellStyle name="Input 2 2 4 2 4 2" xfId="2603"/>
    <cellStyle name="Input 2 2 4 2 4 2 2" xfId="5800"/>
    <cellStyle name="Input 2 2 4 2 4 3" xfId="4987"/>
    <cellStyle name="Input 2 2 4 2 5" xfId="3327"/>
    <cellStyle name="Input 2 2 4 2 5 2" xfId="6523"/>
    <cellStyle name="Input 2 2 4 2 6" xfId="4126"/>
    <cellStyle name="Input 2 2 4 3" xfId="1098"/>
    <cellStyle name="Input 2 2 4 3 2" xfId="1099"/>
    <cellStyle name="Input 2 2 4 3 2 2" xfId="1100"/>
    <cellStyle name="Input 2 2 4 3 2 2 2" xfId="2681"/>
    <cellStyle name="Input 2 2 4 3 2 2 2 2" xfId="5878"/>
    <cellStyle name="Input 2 2 4 3 2 2 3" xfId="5325"/>
    <cellStyle name="Input 2 2 4 3 2 3" xfId="3952"/>
    <cellStyle name="Input 2 2 4 3 2 3 2" xfId="7148"/>
    <cellStyle name="Input 2 2 4 3 2 4" xfId="4855"/>
    <cellStyle name="Input 2 2 4 3 3" xfId="1101"/>
    <cellStyle name="Input 2 2 4 3 3 2" xfId="3264"/>
    <cellStyle name="Input 2 2 4 3 3 2 2" xfId="6460"/>
    <cellStyle name="Input 2 2 4 3 3 3" xfId="5507"/>
    <cellStyle name="Input 2 2 4 3 3 4" xfId="4568"/>
    <cellStyle name="Input 2 2 4 3 4" xfId="1102"/>
    <cellStyle name="Input 2 2 4 3 4 2" xfId="2930"/>
    <cellStyle name="Input 2 2 4 3 4 2 2" xfId="6127"/>
    <cellStyle name="Input 2 2 4 3 4 3" xfId="5038"/>
    <cellStyle name="Input 2 2 4 3 5" xfId="3012"/>
    <cellStyle name="Input 2 2 4 3 5 2" xfId="6209"/>
    <cellStyle name="Input 2 2 4 3 6" xfId="4177"/>
    <cellStyle name="Input 2 2 4 4" xfId="1103"/>
    <cellStyle name="Input 2 2 4 4 2" xfId="1104"/>
    <cellStyle name="Input 2 2 4 4 2 2" xfId="2765"/>
    <cellStyle name="Input 2 2 4 4 2 2 2" xfId="5962"/>
    <cellStyle name="Input 2 2 4 4 2 3" xfId="5241"/>
    <cellStyle name="Input 2 2 4 4 3" xfId="3955"/>
    <cellStyle name="Input 2 2 4 4 3 2" xfId="7151"/>
    <cellStyle name="Input 2 2 4 4 4" xfId="4771"/>
    <cellStyle name="Input 2 2 4 5" xfId="1105"/>
    <cellStyle name="Input 2 2 4 5 2" xfId="3202"/>
    <cellStyle name="Input 2 2 4 5 2 2" xfId="6398"/>
    <cellStyle name="Input 2 2 4 5 3" xfId="5508"/>
    <cellStyle name="Input 2 2 4 5 4" xfId="4484"/>
    <cellStyle name="Input 2 2 4 6" xfId="1106"/>
    <cellStyle name="Input 2 2 4 6 2" xfId="3416"/>
    <cellStyle name="Input 2 2 4 6 2 2" xfId="6612"/>
    <cellStyle name="Input 2 2 4 6 3" xfId="4301"/>
    <cellStyle name="Input 2 2 4 7" xfId="3949"/>
    <cellStyle name="Input 2 2 4 7 2" xfId="7145"/>
    <cellStyle name="Input 2 2 4 8" xfId="4093"/>
    <cellStyle name="Input 2 2 5" xfId="1107"/>
    <cellStyle name="Input 2 2 5 2" xfId="1108"/>
    <cellStyle name="Input 2 2 5 2 2" xfId="1109"/>
    <cellStyle name="Input 2 2 5 2 2 2" xfId="2838"/>
    <cellStyle name="Input 2 2 5 2 2 2 2" xfId="6035"/>
    <cellStyle name="Input 2 2 5 2 2 3" xfId="5166"/>
    <cellStyle name="Input 2 2 5 2 3" xfId="3475"/>
    <cellStyle name="Input 2 2 5 2 3 2" xfId="6671"/>
    <cellStyle name="Input 2 2 5 2 4" xfId="4696"/>
    <cellStyle name="Input 2 2 5 3" xfId="1110"/>
    <cellStyle name="Input 2 2 5 3 2" xfId="3981"/>
    <cellStyle name="Input 2 2 5 3 2 2" xfId="7177"/>
    <cellStyle name="Input 2 2 5 3 3" xfId="5509"/>
    <cellStyle name="Input 2 2 5 3 4" xfId="4409"/>
    <cellStyle name="Input 2 2 5 4" xfId="1111"/>
    <cellStyle name="Input 2 2 5 4 2" xfId="3756"/>
    <cellStyle name="Input 2 2 5 4 2 2" xfId="6952"/>
    <cellStyle name="Input 2 2 5 4 3" xfId="4374"/>
    <cellStyle name="Input 2 2 5 5" xfId="3359"/>
    <cellStyle name="Input 2 2 5 5 2" xfId="6555"/>
    <cellStyle name="Input 2 2 5 6" xfId="4018"/>
    <cellStyle name="Input 2 3" xfId="1112"/>
    <cellStyle name="Input 2 3 2" xfId="1113"/>
    <cellStyle name="Input 2 3 2 2" xfId="1114"/>
    <cellStyle name="Input 2 3 2 2 2" xfId="1115"/>
    <cellStyle name="Input 2 3 2 2 2 2" xfId="1116"/>
    <cellStyle name="Input 2 3 2 2 2 2 2" xfId="2784"/>
    <cellStyle name="Input 2 3 2 2 2 2 2 2" xfId="5981"/>
    <cellStyle name="Input 2 3 2 2 2 2 3" xfId="5221"/>
    <cellStyle name="Input 2 3 2 2 2 3" xfId="3343"/>
    <cellStyle name="Input 2 3 2 2 2 3 2" xfId="6539"/>
    <cellStyle name="Input 2 3 2 2 2 4" xfId="4751"/>
    <cellStyle name="Input 2 3 2 2 3" xfId="1117"/>
    <cellStyle name="Input 2 3 2 2 3 2" xfId="3393"/>
    <cellStyle name="Input 2 3 2 2 3 2 2" xfId="6589"/>
    <cellStyle name="Input 2 3 2 2 3 3" xfId="5510"/>
    <cellStyle name="Input 2 3 2 2 3 4" xfId="4464"/>
    <cellStyle name="Input 2 3 2 2 4" xfId="1118"/>
    <cellStyle name="Input 2 3 2 2 4 2" xfId="3530"/>
    <cellStyle name="Input 2 3 2 2 4 2 2" xfId="6726"/>
    <cellStyle name="Input 2 3 2 2 4 3" xfId="4320"/>
    <cellStyle name="Input 2 3 2 2 5" xfId="2662"/>
    <cellStyle name="Input 2 3 2 2 5 2" xfId="5859"/>
    <cellStyle name="Input 2 3 2 2 6" xfId="4073"/>
    <cellStyle name="Input 2 3 2 3" xfId="1119"/>
    <cellStyle name="Input 2 3 2 3 2" xfId="1120"/>
    <cellStyle name="Input 2 3 2 3 2 2" xfId="1121"/>
    <cellStyle name="Input 2 3 2 3 2 2 2" xfId="2626"/>
    <cellStyle name="Input 2 3 2 3 2 2 2 2" xfId="5823"/>
    <cellStyle name="Input 2 3 2 3 2 2 3" xfId="5398"/>
    <cellStyle name="Input 2 3 2 3 2 3" xfId="3986"/>
    <cellStyle name="Input 2 3 2 3 2 3 2" xfId="7182"/>
    <cellStyle name="Input 2 3 2 3 2 4" xfId="4928"/>
    <cellStyle name="Input 2 3 2 3 3" xfId="1122"/>
    <cellStyle name="Input 2 3 2 3 3 2" xfId="3638"/>
    <cellStyle name="Input 2 3 2 3 3 2 2" xfId="6834"/>
    <cellStyle name="Input 2 3 2 3 3 3" xfId="5511"/>
    <cellStyle name="Input 2 3 2 3 3 4" xfId="4641"/>
    <cellStyle name="Input 2 3 2 3 4" xfId="1123"/>
    <cellStyle name="Input 2 3 2 3 4 2" xfId="2891"/>
    <cellStyle name="Input 2 3 2 3 4 2 2" xfId="6088"/>
    <cellStyle name="Input 2 3 2 3 4 3" xfId="5111"/>
    <cellStyle name="Input 2 3 2 3 5" xfId="3092"/>
    <cellStyle name="Input 2 3 2 3 5 2" xfId="6289"/>
    <cellStyle name="Input 2 3 2 3 6" xfId="4250"/>
    <cellStyle name="Input 2 3 2 4" xfId="1124"/>
    <cellStyle name="Input 2 3 2 4 2" xfId="1125"/>
    <cellStyle name="Input 2 3 2 4 2 2" xfId="1126"/>
    <cellStyle name="Input 2 3 2 4 2 2 2" xfId="2558"/>
    <cellStyle name="Input 2 3 2 4 2 2 2 2" xfId="5755"/>
    <cellStyle name="Input 2 3 2 4 2 2 3" xfId="5359"/>
    <cellStyle name="Input 2 3 2 4 2 3" xfId="3209"/>
    <cellStyle name="Input 2 3 2 4 2 3 2" xfId="6405"/>
    <cellStyle name="Input 2 3 2 4 2 4" xfId="4889"/>
    <cellStyle name="Input 2 3 2 4 3" xfId="1127"/>
    <cellStyle name="Input 2 3 2 4 3 2" xfId="3316"/>
    <cellStyle name="Input 2 3 2 4 3 2 2" xfId="6512"/>
    <cellStyle name="Input 2 3 2 4 3 3" xfId="5512"/>
    <cellStyle name="Input 2 3 2 4 3 4" xfId="4602"/>
    <cellStyle name="Input 2 3 2 4 4" xfId="1128"/>
    <cellStyle name="Input 2 3 2 4 4 2" xfId="3038"/>
    <cellStyle name="Input 2 3 2 4 4 2 2" xfId="6235"/>
    <cellStyle name="Input 2 3 2 4 4 3" xfId="5072"/>
    <cellStyle name="Input 2 3 2 4 5" xfId="3880"/>
    <cellStyle name="Input 2 3 2 4 5 2" xfId="7076"/>
    <cellStyle name="Input 2 3 2 4 6" xfId="4211"/>
    <cellStyle name="Input 2 3 2 5" xfId="3801"/>
    <cellStyle name="Input 2 3 2 5 2" xfId="6997"/>
    <cellStyle name="Input 2 3 3" xfId="1129"/>
    <cellStyle name="Input 2 3 3 2" xfId="1130"/>
    <cellStyle name="Input 2 3 3 2 2" xfId="1131"/>
    <cellStyle name="Input 2 3 3 2 2 2" xfId="2828"/>
    <cellStyle name="Input 2 3 3 2 2 2 2" xfId="6025"/>
    <cellStyle name="Input 2 3 3 2 2 3" xfId="5176"/>
    <cellStyle name="Input 2 3 3 2 3" xfId="3614"/>
    <cellStyle name="Input 2 3 3 2 3 2" xfId="6810"/>
    <cellStyle name="Input 2 3 3 2 4" xfId="4706"/>
    <cellStyle name="Input 2 3 3 3" xfId="1132"/>
    <cellStyle name="Input 2 3 3 3 2" xfId="3467"/>
    <cellStyle name="Input 2 3 3 3 2 2" xfId="6663"/>
    <cellStyle name="Input 2 3 3 3 3" xfId="5513"/>
    <cellStyle name="Input 2 3 3 3 4" xfId="4419"/>
    <cellStyle name="Input 2 3 3 4" xfId="1133"/>
    <cellStyle name="Input 2 3 3 4 2" xfId="3367"/>
    <cellStyle name="Input 2 3 3 4 2 2" xfId="6563"/>
    <cellStyle name="Input 2 3 3 4 3" xfId="4364"/>
    <cellStyle name="Input 2 3 3 5" xfId="3743"/>
    <cellStyle name="Input 2 3 3 5 2" xfId="6939"/>
    <cellStyle name="Input 2 3 3 6" xfId="4028"/>
    <cellStyle name="Input 2 3 4" xfId="1134"/>
    <cellStyle name="Input 2 3 4 2" xfId="1135"/>
    <cellStyle name="Input 2 3 4 2 2" xfId="1136"/>
    <cellStyle name="Input 2 3 4 2 2 2" xfId="2561"/>
    <cellStyle name="Input 2 3 4 2 2 2 2" xfId="5758"/>
    <cellStyle name="Input 2 3 4 2 2 3" xfId="5362"/>
    <cellStyle name="Input 2 3 4 2 3" xfId="3991"/>
    <cellStyle name="Input 2 3 4 2 3 2" xfId="7187"/>
    <cellStyle name="Input 2 3 4 2 4" xfId="4892"/>
    <cellStyle name="Input 2 3 4 3" xfId="1137"/>
    <cellStyle name="Input 2 3 4 3 2" xfId="3130"/>
    <cellStyle name="Input 2 3 4 3 2 2" xfId="6327"/>
    <cellStyle name="Input 2 3 4 3 3" xfId="5514"/>
    <cellStyle name="Input 2 3 4 3 4" xfId="4605"/>
    <cellStyle name="Input 2 3 4 4" xfId="1138"/>
    <cellStyle name="Input 2 3 4 4 2" xfId="3269"/>
    <cellStyle name="Input 2 3 4 4 2 2" xfId="6465"/>
    <cellStyle name="Input 2 3 4 4 3" xfId="5075"/>
    <cellStyle name="Input 2 3 4 5" xfId="3117"/>
    <cellStyle name="Input 2 3 4 5 2" xfId="6314"/>
    <cellStyle name="Input 2 3 4 6" xfId="4214"/>
    <cellStyle name="Input 2 3 5" xfId="1139"/>
    <cellStyle name="Input 2 3 5 2" xfId="1140"/>
    <cellStyle name="Input 2 3 5 2 2" xfId="1141"/>
    <cellStyle name="Input 2 3 5 2 2 2" xfId="2628"/>
    <cellStyle name="Input 2 3 5 2 2 2 2" xfId="5825"/>
    <cellStyle name="Input 2 3 5 2 2 3" xfId="5401"/>
    <cellStyle name="Input 2 3 5 2 3" xfId="3440"/>
    <cellStyle name="Input 2 3 5 2 3 2" xfId="6636"/>
    <cellStyle name="Input 2 3 5 2 4" xfId="4931"/>
    <cellStyle name="Input 2 3 5 3" xfId="1142"/>
    <cellStyle name="Input 2 3 5 3 2" xfId="3533"/>
    <cellStyle name="Input 2 3 5 3 2 2" xfId="6729"/>
    <cellStyle name="Input 2 3 5 3 3" xfId="5515"/>
    <cellStyle name="Input 2 3 5 3 4" xfId="4644"/>
    <cellStyle name="Input 2 3 5 4" xfId="1143"/>
    <cellStyle name="Input 2 3 5 4 2" xfId="2888"/>
    <cellStyle name="Input 2 3 5 4 2 2" xfId="6085"/>
    <cellStyle name="Input 2 3 5 4 3" xfId="5114"/>
    <cellStyle name="Input 2 3 5 5" xfId="3005"/>
    <cellStyle name="Input 2 3 5 5 2" xfId="6202"/>
    <cellStyle name="Input 2 3 5 6" xfId="4253"/>
    <cellStyle name="Input 2 4" xfId="1144"/>
    <cellStyle name="Input 2 4 2" xfId="1145"/>
    <cellStyle name="Input 2 4 2 2" xfId="1146"/>
    <cellStyle name="Input 2 4 2 2 2" xfId="1147"/>
    <cellStyle name="Input 2 4 2 2 2 2" xfId="2808"/>
    <cellStyle name="Input 2 4 2 2 2 2 2" xfId="6005"/>
    <cellStyle name="Input 2 4 2 2 2 3" xfId="5196"/>
    <cellStyle name="Input 2 4 2 2 3" xfId="3448"/>
    <cellStyle name="Input 2 4 2 2 3 2" xfId="6644"/>
    <cellStyle name="Input 2 4 2 2 4" xfId="4726"/>
    <cellStyle name="Input 2 4 2 3" xfId="1148"/>
    <cellStyle name="Input 2 4 2 3 2" xfId="3806"/>
    <cellStyle name="Input 2 4 2 3 2 2" xfId="7002"/>
    <cellStyle name="Input 2 4 2 3 3" xfId="5516"/>
    <cellStyle name="Input 2 4 2 3 4" xfId="4439"/>
    <cellStyle name="Input 2 4 2 4" xfId="1149"/>
    <cellStyle name="Input 2 4 2 4 2" xfId="3477"/>
    <cellStyle name="Input 2 4 2 4 2 2" xfId="6673"/>
    <cellStyle name="Input 2 4 2 4 3" xfId="4344"/>
    <cellStyle name="Input 2 4 2 5" xfId="3997"/>
    <cellStyle name="Input 2 4 2 5 2" xfId="7193"/>
    <cellStyle name="Input 2 4 2 6" xfId="4048"/>
    <cellStyle name="Input 2 4 3" xfId="1150"/>
    <cellStyle name="Input 2 4 3 2" xfId="1151"/>
    <cellStyle name="Input 2 4 3 2 2" xfId="1152"/>
    <cellStyle name="Input 2 4 3 2 2 2" xfId="2575"/>
    <cellStyle name="Input 2 4 3 2 2 2 2" xfId="5772"/>
    <cellStyle name="Input 2 4 3 2 2 3" xfId="5376"/>
    <cellStyle name="Input 2 4 3 2 3" xfId="3812"/>
    <cellStyle name="Input 2 4 3 2 3 2" xfId="7008"/>
    <cellStyle name="Input 2 4 3 2 4" xfId="4906"/>
    <cellStyle name="Input 2 4 3 3" xfId="1153"/>
    <cellStyle name="Input 2 4 3 3 2" xfId="3294"/>
    <cellStyle name="Input 2 4 3 3 2 2" xfId="6490"/>
    <cellStyle name="Input 2 4 3 3 3" xfId="5517"/>
    <cellStyle name="Input 2 4 3 3 4" xfId="4619"/>
    <cellStyle name="Input 2 4 3 4" xfId="1154"/>
    <cellStyle name="Input 2 4 3 4 2" xfId="2913"/>
    <cellStyle name="Input 2 4 3 4 2 2" xfId="6110"/>
    <cellStyle name="Input 2 4 3 4 3" xfId="5089"/>
    <cellStyle name="Input 2 4 3 5" xfId="3634"/>
    <cellStyle name="Input 2 4 3 5 2" xfId="6830"/>
    <cellStyle name="Input 2 4 3 6" xfId="4228"/>
    <cellStyle name="Input 2 4 4" xfId="1155"/>
    <cellStyle name="Input 2 4 4 2" xfId="1156"/>
    <cellStyle name="Input 2 4 4 2 2" xfId="1157"/>
    <cellStyle name="Input 2 4 4 2 2 2" xfId="2653"/>
    <cellStyle name="Input 2 4 4 2 2 2 2" xfId="5850"/>
    <cellStyle name="Input 2 4 4 2 2 3" xfId="5419"/>
    <cellStyle name="Input 2 4 4 2 3" xfId="3056"/>
    <cellStyle name="Input 2 4 4 2 3 2" xfId="6253"/>
    <cellStyle name="Input 2 4 4 2 4" xfId="4949"/>
    <cellStyle name="Input 2 4 4 3" xfId="1158"/>
    <cellStyle name="Input 2 4 4 3 2" xfId="3629"/>
    <cellStyle name="Input 2 4 4 3 2 2" xfId="6825"/>
    <cellStyle name="Input 2 4 4 3 3" xfId="5518"/>
    <cellStyle name="Input 2 4 4 3 4" xfId="4662"/>
    <cellStyle name="Input 2 4 4 4" xfId="1159"/>
    <cellStyle name="Input 2 4 4 4 2" xfId="2871"/>
    <cellStyle name="Input 2 4 4 4 2 2" xfId="6068"/>
    <cellStyle name="Input 2 4 4 4 3" xfId="5132"/>
    <cellStyle name="Input 2 4 4 5" xfId="3585"/>
    <cellStyle name="Input 2 4 4 5 2" xfId="6781"/>
    <cellStyle name="Input 2 4 4 6" xfId="4271"/>
    <cellStyle name="Input 2 4 5" xfId="3799"/>
    <cellStyle name="Input 2 4 5 2" xfId="6995"/>
    <cellStyle name="Input 2 5" xfId="1160"/>
    <cellStyle name="Input 2 5 2" xfId="1161"/>
    <cellStyle name="Input 2 5 2 2" xfId="1162"/>
    <cellStyle name="Input 2 5 2 2 2" xfId="1163"/>
    <cellStyle name="Input 2 5 2 2 2 2" xfId="2725"/>
    <cellStyle name="Input 2 5 2 2 2 2 2" xfId="5922"/>
    <cellStyle name="Input 2 5 2 2 2 3" xfId="5281"/>
    <cellStyle name="Input 2 5 2 2 3" xfId="3794"/>
    <cellStyle name="Input 2 5 2 2 3 2" xfId="6990"/>
    <cellStyle name="Input 2 5 2 2 4" xfId="4811"/>
    <cellStyle name="Input 2 5 2 3" xfId="1164"/>
    <cellStyle name="Input 2 5 2 3 2" xfId="2992"/>
    <cellStyle name="Input 2 5 2 3 2 2" xfId="6189"/>
    <cellStyle name="Input 2 5 2 3 3" xfId="5519"/>
    <cellStyle name="Input 2 5 2 3 4" xfId="4524"/>
    <cellStyle name="Input 2 5 2 4" xfId="1165"/>
    <cellStyle name="Input 2 5 2 4 2" xfId="2938"/>
    <cellStyle name="Input 2 5 2 4 2 2" xfId="6135"/>
    <cellStyle name="Input 2 5 2 4 3" xfId="4994"/>
    <cellStyle name="Input 2 5 2 5" xfId="3100"/>
    <cellStyle name="Input 2 5 2 5 2" xfId="6297"/>
    <cellStyle name="Input 2 5 2 6" xfId="4133"/>
    <cellStyle name="Input 2 5 3" xfId="1166"/>
    <cellStyle name="Input 2 5 3 2" xfId="1167"/>
    <cellStyle name="Input 2 5 3 2 2" xfId="1168"/>
    <cellStyle name="Input 2 5 3 2 2 2" xfId="2688"/>
    <cellStyle name="Input 2 5 3 2 2 2 2" xfId="5885"/>
    <cellStyle name="Input 2 5 3 2 2 3" xfId="5318"/>
    <cellStyle name="Input 2 5 3 2 3" xfId="3463"/>
    <cellStyle name="Input 2 5 3 2 3 2" xfId="6659"/>
    <cellStyle name="Input 2 5 3 2 4" xfId="4848"/>
    <cellStyle name="Input 2 5 3 3" xfId="1169"/>
    <cellStyle name="Input 2 5 3 3 2" xfId="3155"/>
    <cellStyle name="Input 2 5 3 3 2 2" xfId="6351"/>
    <cellStyle name="Input 2 5 3 3 3" xfId="5520"/>
    <cellStyle name="Input 2 5 3 3 4" xfId="4561"/>
    <cellStyle name="Input 2 5 3 4" xfId="1170"/>
    <cellStyle name="Input 2 5 3 4 2" xfId="3066"/>
    <cellStyle name="Input 2 5 3 4 2 2" xfId="6263"/>
    <cellStyle name="Input 2 5 3 4 3" xfId="5031"/>
    <cellStyle name="Input 2 5 3 5" xfId="3019"/>
    <cellStyle name="Input 2 5 3 5 2" xfId="6216"/>
    <cellStyle name="Input 2 5 3 6" xfId="4170"/>
    <cellStyle name="Input 2 5 4" xfId="1171"/>
    <cellStyle name="Input 2 5 4 2" xfId="1172"/>
    <cellStyle name="Input 2 5 4 2 2" xfId="2758"/>
    <cellStyle name="Input 2 5 4 2 2 2" xfId="5955"/>
    <cellStyle name="Input 2 5 4 2 3" xfId="5248"/>
    <cellStyle name="Input 2 5 4 3" xfId="3391"/>
    <cellStyle name="Input 2 5 4 3 2" xfId="6587"/>
    <cellStyle name="Input 2 5 4 4" xfId="4778"/>
    <cellStyle name="Input 2 5 5" xfId="1173"/>
    <cellStyle name="Input 2 5 5 2" xfId="3001"/>
    <cellStyle name="Input 2 5 5 2 2" xfId="6198"/>
    <cellStyle name="Input 2 5 5 3" xfId="5521"/>
    <cellStyle name="Input 2 5 5 4" xfId="4491"/>
    <cellStyle name="Input 2 5 6" xfId="1174"/>
    <cellStyle name="Input 2 5 6 2" xfId="3694"/>
    <cellStyle name="Input 2 5 6 2 2" xfId="6890"/>
    <cellStyle name="Input 2 5 6 3" xfId="4294"/>
    <cellStyle name="Input 2 5 7" xfId="3398"/>
    <cellStyle name="Input 2 5 7 2" xfId="6594"/>
    <cellStyle name="Input 2 5 8" xfId="4100"/>
    <cellStyle name="Input 2 6" xfId="1175"/>
    <cellStyle name="Input 2 6 2" xfId="1176"/>
    <cellStyle name="Input 2 6 2 2" xfId="1177"/>
    <cellStyle name="Input 2 6 2 2 2" xfId="2848"/>
    <cellStyle name="Input 2 6 2 2 2 2" xfId="6045"/>
    <cellStyle name="Input 2 6 2 2 3" xfId="5156"/>
    <cellStyle name="Input 2 6 2 3" xfId="3977"/>
    <cellStyle name="Input 2 6 2 3 2" xfId="7173"/>
    <cellStyle name="Input 2 6 2 4" xfId="4686"/>
    <cellStyle name="Input 2 6 3" xfId="1178"/>
    <cellStyle name="Input 2 6 3 2" xfId="3870"/>
    <cellStyle name="Input 2 6 3 2 2" xfId="7066"/>
    <cellStyle name="Input 2 6 3 3" xfId="5522"/>
    <cellStyle name="Input 2 6 3 4" xfId="4399"/>
    <cellStyle name="Input 2 6 4" xfId="1179"/>
    <cellStyle name="Input 2 6 4 2" xfId="3641"/>
    <cellStyle name="Input 2 6 4 2 2" xfId="6837"/>
    <cellStyle name="Input 2 6 4 3" xfId="4384"/>
    <cellStyle name="Input 2 6 5" xfId="3677"/>
    <cellStyle name="Input 2 6 5 2" xfId="6873"/>
    <cellStyle name="Input 2 6 6" xfId="4008"/>
    <cellStyle name="Input 3" xfId="1180"/>
    <cellStyle name="Input 3 2" xfId="1181"/>
    <cellStyle name="Input 3 2 2" xfId="1182"/>
    <cellStyle name="Input 3 2 2 2" xfId="1183"/>
    <cellStyle name="Input 3 2 2 2 2" xfId="1184"/>
    <cellStyle name="Input 3 2 2 2 2 2" xfId="2794"/>
    <cellStyle name="Input 3 2 2 2 2 2 2" xfId="5991"/>
    <cellStyle name="Input 3 2 2 2 2 3" xfId="5211"/>
    <cellStyle name="Input 3 2 2 2 3" xfId="3660"/>
    <cellStyle name="Input 3 2 2 2 3 2" xfId="6856"/>
    <cellStyle name="Input 3 2 2 2 4" xfId="4741"/>
    <cellStyle name="Input 3 2 2 3" xfId="1185"/>
    <cellStyle name="Input 3 2 2 3 2" xfId="3120"/>
    <cellStyle name="Input 3 2 2 3 2 2" xfId="6317"/>
    <cellStyle name="Input 3 2 2 3 3" xfId="5523"/>
    <cellStyle name="Input 3 2 2 3 4" xfId="4454"/>
    <cellStyle name="Input 3 2 2 4" xfId="1186"/>
    <cellStyle name="Input 3 2 2 4 2" xfId="3411"/>
    <cellStyle name="Input 3 2 2 4 2 2" xfId="6607"/>
    <cellStyle name="Input 3 2 2 4 3" xfId="4391"/>
    <cellStyle name="Input 3 2 2 5" xfId="3596"/>
    <cellStyle name="Input 3 2 2 5 2" xfId="6792"/>
    <cellStyle name="Input 3 2 2 6" xfId="4063"/>
    <cellStyle name="Input 3 2 3" xfId="1187"/>
    <cellStyle name="Input 3 2 3 2" xfId="1188"/>
    <cellStyle name="Input 3 2 3 2 2" xfId="1189"/>
    <cellStyle name="Input 3 2 3 2 2 2" xfId="2616"/>
    <cellStyle name="Input 3 2 3 2 2 2 2" xfId="5813"/>
    <cellStyle name="Input 3 2 3 2 2 3" xfId="5390"/>
    <cellStyle name="Input 3 2 3 2 3" xfId="3180"/>
    <cellStyle name="Input 3 2 3 2 3 2" xfId="6376"/>
    <cellStyle name="Input 3 2 3 2 4" xfId="4920"/>
    <cellStyle name="Input 3 2 3 3" xfId="1190"/>
    <cellStyle name="Input 3 2 3 3 2" xfId="3544"/>
    <cellStyle name="Input 3 2 3 3 2 2" xfId="6740"/>
    <cellStyle name="Input 3 2 3 3 3" xfId="5524"/>
    <cellStyle name="Input 3 2 3 3 4" xfId="4633"/>
    <cellStyle name="Input 3 2 3 4" xfId="1191"/>
    <cellStyle name="Input 3 2 3 4 2" xfId="2899"/>
    <cellStyle name="Input 3 2 3 4 2 2" xfId="6096"/>
    <cellStyle name="Input 3 2 3 4 3" xfId="5103"/>
    <cellStyle name="Input 3 2 3 5" xfId="3891"/>
    <cellStyle name="Input 3 2 3 5 2" xfId="7087"/>
    <cellStyle name="Input 3 2 3 6" xfId="4242"/>
    <cellStyle name="Input 3 2 4" xfId="1192"/>
    <cellStyle name="Input 3 2 4 2" xfId="1193"/>
    <cellStyle name="Input 3 2 4 2 2" xfId="1194"/>
    <cellStyle name="Input 3 2 4 2 2 2" xfId="2650"/>
    <cellStyle name="Input 3 2 4 2 2 2 2" xfId="5847"/>
    <cellStyle name="Input 3 2 4 2 2 3" xfId="5416"/>
    <cellStyle name="Input 3 2 4 2 3" xfId="3082"/>
    <cellStyle name="Input 3 2 4 2 3 2" xfId="6279"/>
    <cellStyle name="Input 3 2 4 2 4" xfId="4946"/>
    <cellStyle name="Input 3 2 4 3" xfId="1195"/>
    <cellStyle name="Input 3 2 4 3 2" xfId="3465"/>
    <cellStyle name="Input 3 2 4 3 2 2" xfId="6661"/>
    <cellStyle name="Input 3 2 4 3 3" xfId="5525"/>
    <cellStyle name="Input 3 2 4 3 4" xfId="4659"/>
    <cellStyle name="Input 3 2 4 4" xfId="1196"/>
    <cellStyle name="Input 3 2 4 4 2" xfId="3032"/>
    <cellStyle name="Input 3 2 4 4 2 2" xfId="6229"/>
    <cellStyle name="Input 3 2 4 4 3" xfId="5129"/>
    <cellStyle name="Input 3 2 4 5" xfId="3697"/>
    <cellStyle name="Input 3 2 4 5 2" xfId="6893"/>
    <cellStyle name="Input 3 2 4 6" xfId="4268"/>
    <cellStyle name="Input 3 2 5" xfId="3203"/>
    <cellStyle name="Input 3 2 5 2" xfId="6399"/>
    <cellStyle name="Input 3 3" xfId="1197"/>
    <cellStyle name="Input 3 3 2" xfId="1198"/>
    <cellStyle name="Input 3 3 2 2" xfId="1199"/>
    <cellStyle name="Input 3 3 2 2 2" xfId="1200"/>
    <cellStyle name="Input 3 3 2 2 2 2" xfId="2717"/>
    <cellStyle name="Input 3 3 2 2 2 2 2" xfId="5914"/>
    <cellStyle name="Input 3 3 2 2 2 3" xfId="5289"/>
    <cellStyle name="Input 3 3 2 2 3" xfId="3686"/>
    <cellStyle name="Input 3 3 2 2 3 2" xfId="6882"/>
    <cellStyle name="Input 3 3 2 2 4" xfId="4819"/>
    <cellStyle name="Input 3 3 2 3" xfId="1201"/>
    <cellStyle name="Input 3 3 2 3 2" xfId="2985"/>
    <cellStyle name="Input 3 3 2 3 2 2" xfId="6182"/>
    <cellStyle name="Input 3 3 2 3 3" xfId="5526"/>
    <cellStyle name="Input 3 3 2 3 4" xfId="4532"/>
    <cellStyle name="Input 3 3 2 4" xfId="1202"/>
    <cellStyle name="Input 3 3 2 4 2" xfId="3240"/>
    <cellStyle name="Input 3 3 2 4 2 2" xfId="6436"/>
    <cellStyle name="Input 3 3 2 4 3" xfId="5002"/>
    <cellStyle name="Input 3 3 2 5" xfId="3319"/>
    <cellStyle name="Input 3 3 2 5 2" xfId="6515"/>
    <cellStyle name="Input 3 3 2 6" xfId="4141"/>
    <cellStyle name="Input 3 3 3" xfId="1203"/>
    <cellStyle name="Input 3 3 3 2" xfId="1204"/>
    <cellStyle name="Input 3 3 3 2 2" xfId="1205"/>
    <cellStyle name="Input 3 3 3 2 2 2" xfId="2669"/>
    <cellStyle name="Input 3 3 3 2 2 2 2" xfId="5866"/>
    <cellStyle name="Input 3 3 3 2 2 3" xfId="5425"/>
    <cellStyle name="Input 3 3 3 2 3" xfId="2947"/>
    <cellStyle name="Input 3 3 3 2 3 2" xfId="6144"/>
    <cellStyle name="Input 3 3 3 2 4" xfId="4955"/>
    <cellStyle name="Input 3 3 3 3" xfId="1206"/>
    <cellStyle name="Input 3 3 3 3 2" xfId="3853"/>
    <cellStyle name="Input 3 3 3 3 2 2" xfId="7049"/>
    <cellStyle name="Input 3 3 3 3 3" xfId="5527"/>
    <cellStyle name="Input 3 3 3 3 4" xfId="4668"/>
    <cellStyle name="Input 3 3 3 4" xfId="1207"/>
    <cellStyle name="Input 3 3 3 4 2" xfId="2865"/>
    <cellStyle name="Input 3 3 3 4 2 2" xfId="6062"/>
    <cellStyle name="Input 3 3 3 4 3" xfId="5138"/>
    <cellStyle name="Input 3 3 3 5" xfId="3114"/>
    <cellStyle name="Input 3 3 3 5 2" xfId="6311"/>
    <cellStyle name="Input 3 3 3 6" xfId="4277"/>
    <cellStyle name="Input 3 3 4" xfId="1208"/>
    <cellStyle name="Input 3 3 4 2" xfId="1209"/>
    <cellStyle name="Input 3 3 4 2 2" xfId="2750"/>
    <cellStyle name="Input 3 3 4 2 2 2" xfId="5947"/>
    <cellStyle name="Input 3 3 4 2 3" xfId="5256"/>
    <cellStyle name="Input 3 3 4 3" xfId="3953"/>
    <cellStyle name="Input 3 3 4 3 2" xfId="7149"/>
    <cellStyle name="Input 3 3 4 4" xfId="4786"/>
    <cellStyle name="Input 3 3 5" xfId="1210"/>
    <cellStyle name="Input 3 3 5 2" xfId="3248"/>
    <cellStyle name="Input 3 3 5 2 2" xfId="6444"/>
    <cellStyle name="Input 3 3 5 3" xfId="5528"/>
    <cellStyle name="Input 3 3 5 4" xfId="4499"/>
    <cellStyle name="Input 3 3 6" xfId="1211"/>
    <cellStyle name="Input 3 3 6 2" xfId="3078"/>
    <cellStyle name="Input 3 3 6 2 2" xfId="6275"/>
    <cellStyle name="Input 3 3 6 3" xfId="4969"/>
    <cellStyle name="Input 3 3 7" xfId="3263"/>
    <cellStyle name="Input 3 3 7 2" xfId="6459"/>
    <cellStyle name="Input 3 3 8" xfId="4108"/>
    <cellStyle name="Input 3 4" xfId="1212"/>
    <cellStyle name="Input 3 4 2" xfId="1213"/>
    <cellStyle name="Input 3 4 2 2" xfId="1214"/>
    <cellStyle name="Input 3 4 2 2 2" xfId="2853"/>
    <cellStyle name="Input 3 4 2 2 2 2" xfId="6050"/>
    <cellStyle name="Input 3 4 2 2 3" xfId="5151"/>
    <cellStyle name="Input 3 4 2 3" xfId="3956"/>
    <cellStyle name="Input 3 4 2 3 2" xfId="7152"/>
    <cellStyle name="Input 3 4 2 4" xfId="4681"/>
    <cellStyle name="Input 3 4 3" xfId="1215"/>
    <cellStyle name="Input 3 4 3 2" xfId="3962"/>
    <cellStyle name="Input 3 4 3 2 2" xfId="7158"/>
    <cellStyle name="Input 3 4 3 3" xfId="5529"/>
    <cellStyle name="Input 3 4 3 4" xfId="4394"/>
    <cellStyle name="Input 3 4 4" xfId="1216"/>
    <cellStyle name="Input 3 4 4 2" xfId="3603"/>
    <cellStyle name="Input 3 4 4 2 2" xfId="6799"/>
    <cellStyle name="Input 3 4 4 3" xfId="4388"/>
    <cellStyle name="Input 3 4 5" xfId="3631"/>
    <cellStyle name="Input 3 4 5 2" xfId="6827"/>
    <cellStyle name="Input 3 4 6" xfId="4003"/>
    <cellStyle name="Input 4" xfId="1217"/>
    <cellStyle name="Input 4 2" xfId="1218"/>
    <cellStyle name="Input 4 2 2" xfId="1219"/>
    <cellStyle name="Input 4 2 2 2" xfId="1220"/>
    <cellStyle name="Input 4 2 2 2 2" xfId="1221"/>
    <cellStyle name="Input 4 2 2 2 2 2" xfId="2789"/>
    <cellStyle name="Input 4 2 2 2 2 2 2" xfId="5986"/>
    <cellStyle name="Input 4 2 2 2 2 3" xfId="5216"/>
    <cellStyle name="Input 4 2 2 2 3" xfId="3373"/>
    <cellStyle name="Input 4 2 2 2 3 2" xfId="6569"/>
    <cellStyle name="Input 4 2 2 2 4" xfId="4746"/>
    <cellStyle name="Input 4 2 2 3" xfId="1222"/>
    <cellStyle name="Input 4 2 2 3 2" xfId="3385"/>
    <cellStyle name="Input 4 2 2 3 2 2" xfId="6581"/>
    <cellStyle name="Input 4 2 2 3 3" xfId="5530"/>
    <cellStyle name="Input 4 2 2 3 4" xfId="4459"/>
    <cellStyle name="Input 4 2 2 4" xfId="1223"/>
    <cellStyle name="Input 4 2 2 4 2" xfId="3996"/>
    <cellStyle name="Input 4 2 2 4 2 2" xfId="7192"/>
    <cellStyle name="Input 4 2 2 4 3" xfId="4325"/>
    <cellStyle name="Input 4 2 2 5" xfId="3507"/>
    <cellStyle name="Input 4 2 2 5 2" xfId="6703"/>
    <cellStyle name="Input 4 2 2 6" xfId="4068"/>
    <cellStyle name="Input 4 2 3" xfId="1224"/>
    <cellStyle name="Input 4 2 3 2" xfId="1225"/>
    <cellStyle name="Input 4 2 3 2 2" xfId="1226"/>
    <cellStyle name="Input 4 2 3 2 2 2" xfId="2622"/>
    <cellStyle name="Input 4 2 3 2 2 2 2" xfId="5819"/>
    <cellStyle name="Input 4 2 3 2 2 3" xfId="5394"/>
    <cellStyle name="Input 4 2 3 2 3" xfId="3717"/>
    <cellStyle name="Input 4 2 3 2 3 2" xfId="6913"/>
    <cellStyle name="Input 4 2 3 2 4" xfId="4924"/>
    <cellStyle name="Input 4 2 3 3" xfId="1227"/>
    <cellStyle name="Input 4 2 3 3 2" xfId="3214"/>
    <cellStyle name="Input 4 2 3 3 2 2" xfId="6410"/>
    <cellStyle name="Input 4 2 3 3 3" xfId="5531"/>
    <cellStyle name="Input 4 2 3 3 4" xfId="4637"/>
    <cellStyle name="Input 4 2 3 4" xfId="1228"/>
    <cellStyle name="Input 4 2 3 4 2" xfId="2895"/>
    <cellStyle name="Input 4 2 3 4 2 2" xfId="6092"/>
    <cellStyle name="Input 4 2 3 4 3" xfId="5107"/>
    <cellStyle name="Input 4 2 3 5" xfId="3105"/>
    <cellStyle name="Input 4 2 3 5 2" xfId="6302"/>
    <cellStyle name="Input 4 2 3 6" xfId="4246"/>
    <cellStyle name="Input 4 2 4" xfId="1229"/>
    <cellStyle name="Input 4 2 4 2" xfId="1230"/>
    <cellStyle name="Input 4 2 4 2 2" xfId="1231"/>
    <cellStyle name="Input 4 2 4 2 2 2" xfId="2638"/>
    <cellStyle name="Input 4 2 4 2 2 2 2" xfId="5835"/>
    <cellStyle name="Input 4 2 4 2 2 3" xfId="5411"/>
    <cellStyle name="Input 4 2 4 2 3" xfId="2952"/>
    <cellStyle name="Input 4 2 4 2 3 2" xfId="6149"/>
    <cellStyle name="Input 4 2 4 2 4" xfId="4941"/>
    <cellStyle name="Input 4 2 4 3" xfId="1232"/>
    <cellStyle name="Input 4 2 4 3 2" xfId="3928"/>
    <cellStyle name="Input 4 2 4 3 2 2" xfId="7124"/>
    <cellStyle name="Input 4 2 4 3 3" xfId="5532"/>
    <cellStyle name="Input 4 2 4 3 4" xfId="4654"/>
    <cellStyle name="Input 4 2 4 4" xfId="1233"/>
    <cellStyle name="Input 4 2 4 4 2" xfId="2878"/>
    <cellStyle name="Input 4 2 4 4 2 2" xfId="6075"/>
    <cellStyle name="Input 4 2 4 4 3" xfId="5124"/>
    <cellStyle name="Input 4 2 4 5" xfId="3778"/>
    <cellStyle name="Input 4 2 4 5 2" xfId="6974"/>
    <cellStyle name="Input 4 2 4 6" xfId="4263"/>
    <cellStyle name="Input 4 2 5" xfId="3023"/>
    <cellStyle name="Input 4 2 5 2" xfId="6220"/>
    <cellStyle name="Input 4 3" xfId="1234"/>
    <cellStyle name="Input 4 3 2" xfId="1235"/>
    <cellStyle name="Input 4 3 2 2" xfId="1236"/>
    <cellStyle name="Input 4 3 2 2 2" xfId="1237"/>
    <cellStyle name="Input 4 3 2 2 2 2" xfId="2709"/>
    <cellStyle name="Input 4 3 2 2 2 2 2" xfId="5906"/>
    <cellStyle name="Input 4 3 2 2 2 3" xfId="5297"/>
    <cellStyle name="Input 4 3 2 2 3" xfId="3823"/>
    <cellStyle name="Input 4 3 2 2 3 2" xfId="7019"/>
    <cellStyle name="Input 4 3 2 2 4" xfId="4827"/>
    <cellStyle name="Input 4 3 2 3" xfId="1238"/>
    <cellStyle name="Input 4 3 2 3 2" xfId="2978"/>
    <cellStyle name="Input 4 3 2 3 2 2" xfId="6175"/>
    <cellStyle name="Input 4 3 2 3 3" xfId="5533"/>
    <cellStyle name="Input 4 3 2 3 4" xfId="4540"/>
    <cellStyle name="Input 4 3 2 4" xfId="1239"/>
    <cellStyle name="Input 4 3 2 4 2" xfId="2935"/>
    <cellStyle name="Input 4 3 2 4 2 2" xfId="6132"/>
    <cellStyle name="Input 4 3 2 4 3" xfId="5010"/>
    <cellStyle name="Input 4 3 2 5" xfId="3251"/>
    <cellStyle name="Input 4 3 2 5 2" xfId="6447"/>
    <cellStyle name="Input 4 3 2 6" xfId="4149"/>
    <cellStyle name="Input 4 3 3" xfId="1240"/>
    <cellStyle name="Input 4 3 3 2" xfId="1241"/>
    <cellStyle name="Input 4 3 3 2 2" xfId="1242"/>
    <cellStyle name="Input 4 3 3 2 2 2" xfId="2536"/>
    <cellStyle name="Input 4 3 3 2 2 2 2" xfId="5733"/>
    <cellStyle name="Input 4 3 3 2 2 3" xfId="5433"/>
    <cellStyle name="Input 4 3 3 2 3" xfId="3079"/>
    <cellStyle name="Input 4 3 3 2 3 2" xfId="6276"/>
    <cellStyle name="Input 4 3 3 2 4" xfId="4963"/>
    <cellStyle name="Input 4 3 3 3" xfId="1243"/>
    <cellStyle name="Input 4 3 3 3 2" xfId="3692"/>
    <cellStyle name="Input 4 3 3 3 2 2" xfId="6888"/>
    <cellStyle name="Input 4 3 3 3 3" xfId="5534"/>
    <cellStyle name="Input 4 3 3 3 4" xfId="4676"/>
    <cellStyle name="Input 4 3 3 4" xfId="1244"/>
    <cellStyle name="Input 4 3 3 4 2" xfId="2857"/>
    <cellStyle name="Input 4 3 3 4 2 2" xfId="6054"/>
    <cellStyle name="Input 4 3 3 4 3" xfId="5146"/>
    <cellStyle name="Input 4 3 3 5" xfId="3911"/>
    <cellStyle name="Input 4 3 3 5 2" xfId="7107"/>
    <cellStyle name="Input 4 3 3 6" xfId="4285"/>
    <cellStyle name="Input 4 3 4" xfId="1245"/>
    <cellStyle name="Input 4 3 4 2" xfId="1246"/>
    <cellStyle name="Input 4 3 4 2 2" xfId="2742"/>
    <cellStyle name="Input 4 3 4 2 2 2" xfId="5939"/>
    <cellStyle name="Input 4 3 4 2 3" xfId="5264"/>
    <cellStyle name="Input 4 3 4 3" xfId="3441"/>
    <cellStyle name="Input 4 3 4 3 2" xfId="6637"/>
    <cellStyle name="Input 4 3 4 4" xfId="4794"/>
    <cellStyle name="Input 4 3 5" xfId="1247"/>
    <cellStyle name="Input 4 3 5 2" xfId="2642"/>
    <cellStyle name="Input 4 3 5 2 2" xfId="5839"/>
    <cellStyle name="Input 4 3 5 3" xfId="5535"/>
    <cellStyle name="Input 4 3 5 4" xfId="4507"/>
    <cellStyle name="Input 4 3 6" xfId="1248"/>
    <cellStyle name="Input 4 3 6 2" xfId="3076"/>
    <cellStyle name="Input 4 3 6 2 2" xfId="6273"/>
    <cellStyle name="Input 4 3 6 3" xfId="4977"/>
    <cellStyle name="Input 4 3 7" xfId="3261"/>
    <cellStyle name="Input 4 3 7 2" xfId="6457"/>
    <cellStyle name="Input 4 3 8" xfId="4116"/>
    <cellStyle name="Input 4 4" xfId="1249"/>
    <cellStyle name="Input 4 4 2" xfId="1250"/>
    <cellStyle name="Input 4 4 2 2" xfId="1251"/>
    <cellStyle name="Input 4 4 2 2 2" xfId="2833"/>
    <cellStyle name="Input 4 4 2 2 2 2" xfId="6030"/>
    <cellStyle name="Input 4 4 2 2 3" xfId="5171"/>
    <cellStyle name="Input 4 4 2 3" xfId="3763"/>
    <cellStyle name="Input 4 4 2 3 2" xfId="6959"/>
    <cellStyle name="Input 4 4 2 4" xfId="4701"/>
    <cellStyle name="Input 4 4 3" xfId="1252"/>
    <cellStyle name="Input 4 4 3 2" xfId="3890"/>
    <cellStyle name="Input 4 4 3 2 2" xfId="7086"/>
    <cellStyle name="Input 4 4 3 3" xfId="5536"/>
    <cellStyle name="Input 4 4 3 4" xfId="4414"/>
    <cellStyle name="Input 4 4 4" xfId="1253"/>
    <cellStyle name="Input 4 4 4 2" xfId="3349"/>
    <cellStyle name="Input 4 4 4 2 2" xfId="6545"/>
    <cellStyle name="Input 4 4 4 3" xfId="4369"/>
    <cellStyle name="Input 4 4 5" xfId="3699"/>
    <cellStyle name="Input 4 4 5 2" xfId="6895"/>
    <cellStyle name="Input 4 4 6" xfId="4023"/>
    <cellStyle name="Input 5" xfId="1254"/>
    <cellStyle name="Input 5 2" xfId="1255"/>
    <cellStyle name="Input 5 2 2" xfId="1256"/>
    <cellStyle name="Input 5 2 2 2" xfId="1257"/>
    <cellStyle name="Input 5 2 2 2 2" xfId="2813"/>
    <cellStyle name="Input 5 2 2 2 2 2" xfId="6010"/>
    <cellStyle name="Input 5 2 2 2 3" xfId="5191"/>
    <cellStyle name="Input 5 2 2 3" xfId="3831"/>
    <cellStyle name="Input 5 2 2 3 2" xfId="7027"/>
    <cellStyle name="Input 5 2 2 4" xfId="4721"/>
    <cellStyle name="Input 5 2 3" xfId="1258"/>
    <cellStyle name="Input 5 2 3 2" xfId="3538"/>
    <cellStyle name="Input 5 2 3 2 2" xfId="6734"/>
    <cellStyle name="Input 5 2 3 3" xfId="5537"/>
    <cellStyle name="Input 5 2 3 4" xfId="4434"/>
    <cellStyle name="Input 5 2 4" xfId="1259"/>
    <cellStyle name="Input 5 2 4 2" xfId="3141"/>
    <cellStyle name="Input 5 2 4 2 2" xfId="6337"/>
    <cellStyle name="Input 5 2 4 3" xfId="4349"/>
    <cellStyle name="Input 5 2 5" xfId="3531"/>
    <cellStyle name="Input 5 2 5 2" xfId="6727"/>
    <cellStyle name="Input 5 2 6" xfId="4043"/>
    <cellStyle name="Input 5 3" xfId="1260"/>
    <cellStyle name="Input 5 3 2" xfId="1261"/>
    <cellStyle name="Input 5 3 2 2" xfId="1262"/>
    <cellStyle name="Input 5 3 2 2 2" xfId="2572"/>
    <cellStyle name="Input 5 3 2 2 2 2" xfId="5769"/>
    <cellStyle name="Input 5 3 2 2 3" xfId="5373"/>
    <cellStyle name="Input 5 3 2 3" xfId="3645"/>
    <cellStyle name="Input 5 3 2 3 2" xfId="6841"/>
    <cellStyle name="Input 5 3 2 4" xfId="4903"/>
    <cellStyle name="Input 5 3 3" xfId="1263"/>
    <cellStyle name="Input 5 3 3 2" xfId="2957"/>
    <cellStyle name="Input 5 3 3 2 2" xfId="6154"/>
    <cellStyle name="Input 5 3 3 3" xfId="5538"/>
    <cellStyle name="Input 5 3 3 4" xfId="4616"/>
    <cellStyle name="Input 5 3 4" xfId="1264"/>
    <cellStyle name="Input 5 3 4 2" xfId="2916"/>
    <cellStyle name="Input 5 3 4 2 2" xfId="6113"/>
    <cellStyle name="Input 5 3 4 3" xfId="5086"/>
    <cellStyle name="Input 5 3 5" xfId="3461"/>
    <cellStyle name="Input 5 3 5 2" xfId="6657"/>
    <cellStyle name="Input 5 3 6" xfId="4225"/>
    <cellStyle name="Input 5 4" xfId="1265"/>
    <cellStyle name="Input 5 4 2" xfId="1266"/>
    <cellStyle name="Input 5 4 2 2" xfId="1267"/>
    <cellStyle name="Input 5 4 2 2 2" xfId="2700"/>
    <cellStyle name="Input 5 4 2 2 2 2" xfId="5897"/>
    <cellStyle name="Input 5 4 2 2 3" xfId="5306"/>
    <cellStyle name="Input 5 4 2 3" xfId="3184"/>
    <cellStyle name="Input 5 4 2 3 2" xfId="6380"/>
    <cellStyle name="Input 5 4 2 4" xfId="4836"/>
    <cellStyle name="Input 5 4 3" xfId="1268"/>
    <cellStyle name="Input 5 4 3 2" xfId="2970"/>
    <cellStyle name="Input 5 4 3 2 2" xfId="6167"/>
    <cellStyle name="Input 5 4 3 3" xfId="5539"/>
    <cellStyle name="Input 5 4 3 4" xfId="4549"/>
    <cellStyle name="Input 5 4 4" xfId="1269"/>
    <cellStyle name="Input 5 4 4 2" xfId="2597"/>
    <cellStyle name="Input 5 4 4 2 2" xfId="5794"/>
    <cellStyle name="Input 5 4 4 3" xfId="5019"/>
    <cellStyle name="Input 5 4 5" xfId="3306"/>
    <cellStyle name="Input 5 4 5 2" xfId="6502"/>
    <cellStyle name="Input 5 4 6" xfId="4158"/>
    <cellStyle name="Input 5 5" xfId="3173"/>
    <cellStyle name="Input 5 5 2" xfId="6369"/>
    <cellStyle name="Input 6" xfId="1270"/>
    <cellStyle name="Input 6 2" xfId="1271"/>
    <cellStyle name="Input 6 2 2" xfId="1272"/>
    <cellStyle name="Input 6 2 2 2" xfId="1273"/>
    <cellStyle name="Input 6 2 2 2 2" xfId="2721"/>
    <cellStyle name="Input 6 2 2 2 2 2" xfId="5918"/>
    <cellStyle name="Input 6 2 2 2 3" xfId="5285"/>
    <cellStyle name="Input 6 2 2 3" xfId="3366"/>
    <cellStyle name="Input 6 2 2 3 2" xfId="6562"/>
    <cellStyle name="Input 6 2 2 4" xfId="4815"/>
    <cellStyle name="Input 6 2 3" xfId="1274"/>
    <cellStyle name="Input 6 2 3 2" xfId="2988"/>
    <cellStyle name="Input 6 2 3 2 2" xfId="6185"/>
    <cellStyle name="Input 6 2 3 3" xfId="5540"/>
    <cellStyle name="Input 6 2 3 4" xfId="4528"/>
    <cellStyle name="Input 6 2 4" xfId="1275"/>
    <cellStyle name="Input 6 2 4 2" xfId="3047"/>
    <cellStyle name="Input 6 2 4 2 2" xfId="6244"/>
    <cellStyle name="Input 6 2 4 3" xfId="4998"/>
    <cellStyle name="Input 6 2 5" xfId="3218"/>
    <cellStyle name="Input 6 2 5 2" xfId="6414"/>
    <cellStyle name="Input 6 2 6" xfId="4137"/>
    <cellStyle name="Input 6 3" xfId="1276"/>
    <cellStyle name="Input 6 3 2" xfId="1277"/>
    <cellStyle name="Input 6 3 2 2" xfId="1278"/>
    <cellStyle name="Input 6 3 2 2 2" xfId="2692"/>
    <cellStyle name="Input 6 3 2 2 2 2" xfId="5889"/>
    <cellStyle name="Input 6 3 2 2 3" xfId="5314"/>
    <cellStyle name="Input 6 3 2 3" xfId="3579"/>
    <cellStyle name="Input 6 3 2 3 2" xfId="6775"/>
    <cellStyle name="Input 6 3 2 4" xfId="4844"/>
    <cellStyle name="Input 6 3 3" xfId="1279"/>
    <cellStyle name="Input 6 3 3 2" xfId="2965"/>
    <cellStyle name="Input 6 3 3 2 2" xfId="6162"/>
    <cellStyle name="Input 6 3 3 3" xfId="5541"/>
    <cellStyle name="Input 6 3 3 4" xfId="4557"/>
    <cellStyle name="Input 6 3 4" xfId="1280"/>
    <cellStyle name="Input 6 3 4 2" xfId="3278"/>
    <cellStyle name="Input 6 3 4 2 2" xfId="6474"/>
    <cellStyle name="Input 6 3 4 3" xfId="5027"/>
    <cellStyle name="Input 6 3 5" xfId="3301"/>
    <cellStyle name="Input 6 3 5 2" xfId="6497"/>
    <cellStyle name="Input 6 3 6" xfId="4166"/>
    <cellStyle name="Input 6 4" xfId="1281"/>
    <cellStyle name="Input 6 4 2" xfId="1282"/>
    <cellStyle name="Input 6 4 2 2" xfId="2754"/>
    <cellStyle name="Input 6 4 2 2 2" xfId="5951"/>
    <cellStyle name="Input 6 4 2 3" xfId="5252"/>
    <cellStyle name="Input 6 4 3" xfId="3635"/>
    <cellStyle name="Input 6 4 3 2" xfId="6831"/>
    <cellStyle name="Input 6 4 4" xfId="4782"/>
    <cellStyle name="Input 6 5" xfId="1283"/>
    <cellStyle name="Input 6 5 2" xfId="2644"/>
    <cellStyle name="Input 6 5 2 2" xfId="5841"/>
    <cellStyle name="Input 6 5 3" xfId="5542"/>
    <cellStyle name="Input 6 5 4" xfId="4495"/>
    <cellStyle name="Input 6 6" xfId="1284"/>
    <cellStyle name="Input 6 6 2" xfId="3428"/>
    <cellStyle name="Input 6 6 2 2" xfId="6624"/>
    <cellStyle name="Input 6 6 3" xfId="4290"/>
    <cellStyle name="Input 6 7" xfId="3643"/>
    <cellStyle name="Input 6 7 2" xfId="6839"/>
    <cellStyle name="Input 6 8" xfId="4104"/>
    <cellStyle name="InputDataRow" xfId="62"/>
    <cellStyle name="InputLabelRow" xfId="63"/>
    <cellStyle name="InputPc2Right" xfId="64"/>
    <cellStyle name="InputShortText" xfId="65"/>
    <cellStyle name="InputTextLeft" xfId="66"/>
    <cellStyle name="Int.conven" xfId="1285"/>
    <cellStyle name="IntermediateLabelColumn" xfId="67"/>
    <cellStyle name="JG" xfId="1286"/>
    <cellStyle name="LabelLeft" xfId="68"/>
    <cellStyle name="LabelRight" xfId="69"/>
    <cellStyle name="Linked Cell" xfId="12" builtinId="24" customBuiltin="1"/>
    <cellStyle name="Linked Cell 2" xfId="1287"/>
    <cellStyle name="Linked Cell 2 2" xfId="1288"/>
    <cellStyle name="Linked Cell 3" xfId="1289"/>
    <cellStyle name="Linked Cell 4" xfId="1290"/>
    <cellStyle name="LocalFormat" xfId="1291"/>
    <cellStyle name="LocalFormat 2" xfId="1292"/>
    <cellStyle name="LocalFormat 2 2" xfId="1293"/>
    <cellStyle name="LocalFormat 2 2 2" xfId="1294"/>
    <cellStyle name="LocalFormat 2 2 2 2" xfId="1295"/>
    <cellStyle name="LocalFormat 2 2 2 2 2" xfId="1296"/>
    <cellStyle name="LocalFormat 2 2 2 2 2 2" xfId="2783"/>
    <cellStyle name="LocalFormat 2 2 2 2 2 2 2" xfId="5980"/>
    <cellStyle name="LocalFormat 2 2 2 2 2 3" xfId="5222"/>
    <cellStyle name="LocalFormat 2 2 2 2 3" xfId="3204"/>
    <cellStyle name="LocalFormat 2 2 2 2 3 2" xfId="6400"/>
    <cellStyle name="LocalFormat 2 2 2 2 4" xfId="4752"/>
    <cellStyle name="LocalFormat 2 2 2 3" xfId="1297"/>
    <cellStyle name="LocalFormat 2 2 2 3 2" xfId="3458"/>
    <cellStyle name="LocalFormat 2 2 2 3 2 2" xfId="6654"/>
    <cellStyle name="LocalFormat 2 2 2 3 3" xfId="5543"/>
    <cellStyle name="LocalFormat 2 2 2 3 4" xfId="4465"/>
    <cellStyle name="LocalFormat 2 2 2 4" xfId="1298"/>
    <cellStyle name="LocalFormat 2 2 2 4 2" xfId="3764"/>
    <cellStyle name="LocalFormat 2 2 2 4 2 2" xfId="6960"/>
    <cellStyle name="LocalFormat 2 2 2 4 3" xfId="4319"/>
    <cellStyle name="LocalFormat 2 2 2 5" xfId="4074"/>
    <cellStyle name="LocalFormat 2 2 3" xfId="1299"/>
    <cellStyle name="LocalFormat 2 2 3 2" xfId="1300"/>
    <cellStyle name="LocalFormat 2 2 3 2 2" xfId="1301"/>
    <cellStyle name="LocalFormat 2 2 3 2 2 2" xfId="2627"/>
    <cellStyle name="LocalFormat 2 2 3 2 2 2 2" xfId="5824"/>
    <cellStyle name="LocalFormat 2 2 3 2 2 3" xfId="5399"/>
    <cellStyle name="LocalFormat 2 2 3 2 3" xfId="3750"/>
    <cellStyle name="LocalFormat 2 2 3 2 3 2" xfId="6946"/>
    <cellStyle name="LocalFormat 2 2 3 2 4" xfId="4929"/>
    <cellStyle name="LocalFormat 2 2 3 3" xfId="1302"/>
    <cellStyle name="LocalFormat 2 2 3 3 2" xfId="3182"/>
    <cellStyle name="LocalFormat 2 2 3 3 2 2" xfId="6378"/>
    <cellStyle name="LocalFormat 2 2 3 3 3" xfId="5544"/>
    <cellStyle name="LocalFormat 2 2 3 3 4" xfId="4642"/>
    <cellStyle name="LocalFormat 2 2 3 4" xfId="1303"/>
    <cellStyle name="LocalFormat 2 2 3 4 2" xfId="2890"/>
    <cellStyle name="LocalFormat 2 2 3 4 2 2" xfId="6087"/>
    <cellStyle name="LocalFormat 2 2 3 4 3" xfId="5112"/>
    <cellStyle name="LocalFormat 2 2 3 5" xfId="3007"/>
    <cellStyle name="LocalFormat 2 2 3 5 2" xfId="6204"/>
    <cellStyle name="LocalFormat 2 2 3 6" xfId="4251"/>
    <cellStyle name="LocalFormat 2 2 4" xfId="1304"/>
    <cellStyle name="LocalFormat 2 2 4 2" xfId="1305"/>
    <cellStyle name="LocalFormat 2 2 4 2 2" xfId="1306"/>
    <cellStyle name="LocalFormat 2 2 4 2 2 2" xfId="2697"/>
    <cellStyle name="LocalFormat 2 2 4 2 2 2 2" xfId="5894"/>
    <cellStyle name="LocalFormat 2 2 4 2 2 3" xfId="5309"/>
    <cellStyle name="LocalFormat 2 2 4 2 3" xfId="3551"/>
    <cellStyle name="LocalFormat 2 2 4 2 3 2" xfId="6747"/>
    <cellStyle name="LocalFormat 2 2 4 2 4" xfId="4839"/>
    <cellStyle name="LocalFormat 2 2 4 3" xfId="1307"/>
    <cellStyle name="LocalFormat 2 2 4 3 2" xfId="3085"/>
    <cellStyle name="LocalFormat 2 2 4 3 2 2" xfId="6282"/>
    <cellStyle name="LocalFormat 2 2 4 3 3" xfId="5545"/>
    <cellStyle name="LocalFormat 2 2 4 3 4" xfId="4552"/>
    <cellStyle name="LocalFormat 2 2 4 4" xfId="1308"/>
    <cellStyle name="LocalFormat 2 2 4 4 2" xfId="2933"/>
    <cellStyle name="LocalFormat 2 2 4 4 2 2" xfId="6130"/>
    <cellStyle name="LocalFormat 2 2 4 4 3" xfId="5022"/>
    <cellStyle name="LocalFormat 2 2 4 5" xfId="3220"/>
    <cellStyle name="LocalFormat 2 2 4 5 2" xfId="6416"/>
    <cellStyle name="LocalFormat 2 2 4 6" xfId="4161"/>
    <cellStyle name="LocalFormat 2 2 5" xfId="3564"/>
    <cellStyle name="LocalFormat 2 2 5 2" xfId="6760"/>
    <cellStyle name="LocalFormat 2 3" xfId="1309"/>
    <cellStyle name="LocalFormat 2 3 2" xfId="1310"/>
    <cellStyle name="LocalFormat 2 3 2 2" xfId="1311"/>
    <cellStyle name="LocalFormat 2 3 2 2 2" xfId="2827"/>
    <cellStyle name="LocalFormat 2 3 2 2 2 2" xfId="6024"/>
    <cellStyle name="LocalFormat 2 3 2 2 3" xfId="5177"/>
    <cellStyle name="LocalFormat 2 3 2 3" xfId="3995"/>
    <cellStyle name="LocalFormat 2 3 2 3 2" xfId="7191"/>
    <cellStyle name="LocalFormat 2 3 2 4" xfId="4707"/>
    <cellStyle name="LocalFormat 2 3 3" xfId="1312"/>
    <cellStyle name="LocalFormat 2 3 3 2" xfId="3486"/>
    <cellStyle name="LocalFormat 2 3 3 2 2" xfId="6682"/>
    <cellStyle name="LocalFormat 2 3 3 3" xfId="5546"/>
    <cellStyle name="LocalFormat 2 3 3 4" xfId="4420"/>
    <cellStyle name="LocalFormat 2 3 4" xfId="1313"/>
    <cellStyle name="LocalFormat 2 3 4 2" xfId="3704"/>
    <cellStyle name="LocalFormat 2 3 4 2 2" xfId="6900"/>
    <cellStyle name="LocalFormat 2 3 4 3" xfId="4363"/>
    <cellStyle name="LocalFormat 2 3 5" xfId="4029"/>
    <cellStyle name="LocalFormat 2 4" xfId="1314"/>
    <cellStyle name="LocalFormat 2 4 2" xfId="1315"/>
    <cellStyle name="LocalFormat 2 4 2 2" xfId="1316"/>
    <cellStyle name="LocalFormat 2 4 2 2 2" xfId="2562"/>
    <cellStyle name="LocalFormat 2 4 2 2 2 2" xfId="5759"/>
    <cellStyle name="LocalFormat 2 4 2 2 3" xfId="5363"/>
    <cellStyle name="LocalFormat 2 4 2 3" xfId="3755"/>
    <cellStyle name="LocalFormat 2 4 2 3 2" xfId="6951"/>
    <cellStyle name="LocalFormat 2 4 2 4" xfId="4893"/>
    <cellStyle name="LocalFormat 2 4 3" xfId="1317"/>
    <cellStyle name="LocalFormat 2 4 3 2" xfId="3227"/>
    <cellStyle name="LocalFormat 2 4 3 2 2" xfId="6423"/>
    <cellStyle name="LocalFormat 2 4 3 3" xfId="5547"/>
    <cellStyle name="LocalFormat 2 4 3 4" xfId="4606"/>
    <cellStyle name="LocalFormat 2 4 4" xfId="1318"/>
    <cellStyle name="LocalFormat 2 4 4 2" xfId="3231"/>
    <cellStyle name="LocalFormat 2 4 4 2 2" xfId="6427"/>
    <cellStyle name="LocalFormat 2 4 4 3" xfId="5076"/>
    <cellStyle name="LocalFormat 2 4 5" xfId="3803"/>
    <cellStyle name="LocalFormat 2 4 5 2" xfId="6999"/>
    <cellStyle name="LocalFormat 2 4 6" xfId="4215"/>
    <cellStyle name="LocalFormat 2 5" xfId="1319"/>
    <cellStyle name="LocalFormat 2 5 2" xfId="1320"/>
    <cellStyle name="LocalFormat 2 5 2 2" xfId="1321"/>
    <cellStyle name="LocalFormat 2 5 2 2 2" xfId="2674"/>
    <cellStyle name="LocalFormat 2 5 2 2 2 2" xfId="5871"/>
    <cellStyle name="LocalFormat 2 5 2 2 3" xfId="5332"/>
    <cellStyle name="LocalFormat 2 5 2 3" xfId="3408"/>
    <cellStyle name="LocalFormat 2 5 2 3 2" xfId="6604"/>
    <cellStyle name="LocalFormat 2 5 2 4" xfId="4862"/>
    <cellStyle name="LocalFormat 2 5 3" xfId="1322"/>
    <cellStyle name="LocalFormat 2 5 3 2" xfId="3223"/>
    <cellStyle name="LocalFormat 2 5 3 2 2" xfId="6419"/>
    <cellStyle name="LocalFormat 2 5 3 3" xfId="5548"/>
    <cellStyle name="LocalFormat 2 5 3 4" xfId="4575"/>
    <cellStyle name="LocalFormat 2 5 4" xfId="1323"/>
    <cellStyle name="LocalFormat 2 5 4 2" xfId="2592"/>
    <cellStyle name="LocalFormat 2 5 4 2 2" xfId="5789"/>
    <cellStyle name="LocalFormat 2 5 4 3" xfId="5045"/>
    <cellStyle name="LocalFormat 2 5 5" xfId="3625"/>
    <cellStyle name="LocalFormat 2 5 5 2" xfId="6821"/>
    <cellStyle name="LocalFormat 2 5 6" xfId="4184"/>
    <cellStyle name="LocalFormat 3" xfId="1324"/>
    <cellStyle name="LocalFormat 3 2" xfId="1325"/>
    <cellStyle name="LocalFormat 3 2 2" xfId="1326"/>
    <cellStyle name="LocalFormat 3 2 2 2" xfId="1327"/>
    <cellStyle name="LocalFormat 3 2 2 2 2" xfId="2807"/>
    <cellStyle name="LocalFormat 3 2 2 2 2 2" xfId="6004"/>
    <cellStyle name="LocalFormat 3 2 2 2 3" xfId="5197"/>
    <cellStyle name="LocalFormat 3 2 2 3" xfId="3505"/>
    <cellStyle name="LocalFormat 3 2 2 3 2" xfId="6701"/>
    <cellStyle name="LocalFormat 3 2 2 4" xfId="4727"/>
    <cellStyle name="LocalFormat 3 2 3" xfId="1328"/>
    <cellStyle name="LocalFormat 3 2 3 2" xfId="3569"/>
    <cellStyle name="LocalFormat 3 2 3 2 2" xfId="6765"/>
    <cellStyle name="LocalFormat 3 2 3 3" xfId="5549"/>
    <cellStyle name="LocalFormat 3 2 3 4" xfId="4440"/>
    <cellStyle name="LocalFormat 3 2 4" xfId="1329"/>
    <cellStyle name="LocalFormat 3 2 4 2" xfId="3404"/>
    <cellStyle name="LocalFormat 3 2 4 2 2" xfId="6600"/>
    <cellStyle name="LocalFormat 3 2 4 3" xfId="4343"/>
    <cellStyle name="LocalFormat 3 2 5" xfId="4049"/>
    <cellStyle name="LocalFormat 3 3" xfId="1330"/>
    <cellStyle name="LocalFormat 3 3 2" xfId="1331"/>
    <cellStyle name="LocalFormat 3 3 2 2" xfId="1332"/>
    <cellStyle name="LocalFormat 3 3 2 2 2" xfId="2576"/>
    <cellStyle name="LocalFormat 3 3 2 2 2 2" xfId="5773"/>
    <cellStyle name="LocalFormat 3 3 2 2 3" xfId="5377"/>
    <cellStyle name="LocalFormat 3 3 2 3" xfId="3575"/>
    <cellStyle name="LocalFormat 3 3 2 3 2" xfId="6771"/>
    <cellStyle name="LocalFormat 3 3 2 4" xfId="4907"/>
    <cellStyle name="LocalFormat 3 3 3" xfId="1333"/>
    <cellStyle name="LocalFormat 3 3 3 2" xfId="2613"/>
    <cellStyle name="LocalFormat 3 3 3 2 2" xfId="5810"/>
    <cellStyle name="LocalFormat 3 3 3 3" xfId="5550"/>
    <cellStyle name="LocalFormat 3 3 3 4" xfId="4620"/>
    <cellStyle name="LocalFormat 3 3 4" xfId="1334"/>
    <cellStyle name="LocalFormat 3 3 4 2" xfId="2912"/>
    <cellStyle name="LocalFormat 3 3 4 2 2" xfId="6109"/>
    <cellStyle name="LocalFormat 3 3 4 3" xfId="5090"/>
    <cellStyle name="LocalFormat 3 3 5" xfId="3178"/>
    <cellStyle name="LocalFormat 3 3 5 2" xfId="6374"/>
    <cellStyle name="LocalFormat 3 3 6" xfId="4229"/>
    <cellStyle name="LocalFormat 3 4" xfId="1335"/>
    <cellStyle name="LocalFormat 3 4 2" xfId="1336"/>
    <cellStyle name="LocalFormat 3 4 2 2" xfId="1337"/>
    <cellStyle name="LocalFormat 3 4 2 2 2" xfId="2648"/>
    <cellStyle name="LocalFormat 3 4 2 2 2 2" xfId="5845"/>
    <cellStyle name="LocalFormat 3 4 2 2 3" xfId="5415"/>
    <cellStyle name="LocalFormat 3 4 2 3" xfId="3051"/>
    <cellStyle name="LocalFormat 3 4 2 3 2" xfId="6248"/>
    <cellStyle name="LocalFormat 3 4 2 4" xfId="4945"/>
    <cellStyle name="LocalFormat 3 4 3" xfId="1338"/>
    <cellStyle name="LocalFormat 3 4 3 2" xfId="3112"/>
    <cellStyle name="LocalFormat 3 4 3 2 2" xfId="6309"/>
    <cellStyle name="LocalFormat 3 4 3 3" xfId="5551"/>
    <cellStyle name="LocalFormat 3 4 3 4" xfId="4658"/>
    <cellStyle name="LocalFormat 3 4 4" xfId="1339"/>
    <cellStyle name="LocalFormat 3 4 4 2" xfId="2874"/>
    <cellStyle name="LocalFormat 3 4 4 2 2" xfId="6071"/>
    <cellStyle name="LocalFormat 3 4 4 3" xfId="5128"/>
    <cellStyle name="LocalFormat 3 4 5" xfId="3932"/>
    <cellStyle name="LocalFormat 3 4 5 2" xfId="7128"/>
    <cellStyle name="LocalFormat 3 4 6" xfId="4267"/>
    <cellStyle name="LocalFormat 3 5" xfId="3562"/>
    <cellStyle name="LocalFormat 3 5 2" xfId="6758"/>
    <cellStyle name="LocalFormat 4" xfId="1340"/>
    <cellStyle name="LocalFormat 4 2" xfId="1341"/>
    <cellStyle name="LocalFormat 4 2 2" xfId="1342"/>
    <cellStyle name="LocalFormat 4 2 2 2" xfId="1343"/>
    <cellStyle name="LocalFormat 4 2 2 2 2" xfId="2726"/>
    <cellStyle name="LocalFormat 4 2 2 2 2 2" xfId="5923"/>
    <cellStyle name="LocalFormat 4 2 2 2 3" xfId="5280"/>
    <cellStyle name="LocalFormat 4 2 2 3" xfId="3668"/>
    <cellStyle name="LocalFormat 4 2 2 3 2" xfId="6864"/>
    <cellStyle name="LocalFormat 4 2 2 4" xfId="4810"/>
    <cellStyle name="LocalFormat 4 2 3" xfId="1344"/>
    <cellStyle name="LocalFormat 4 2 3 2" xfId="2993"/>
    <cellStyle name="LocalFormat 4 2 3 2 2" xfId="6190"/>
    <cellStyle name="LocalFormat 4 2 3 3" xfId="5552"/>
    <cellStyle name="LocalFormat 4 2 3 4" xfId="4523"/>
    <cellStyle name="LocalFormat 4 2 4" xfId="1345"/>
    <cellStyle name="LocalFormat 4 2 4 2" xfId="3073"/>
    <cellStyle name="LocalFormat 4 2 4 2 2" xfId="6270"/>
    <cellStyle name="LocalFormat 4 2 4 3" xfId="4993"/>
    <cellStyle name="LocalFormat 4 2 5" xfId="3255"/>
    <cellStyle name="LocalFormat 4 2 5 2" xfId="6451"/>
    <cellStyle name="LocalFormat 4 2 6" xfId="4132"/>
    <cellStyle name="LocalFormat 4 3" xfId="1346"/>
    <cellStyle name="LocalFormat 4 3 2" xfId="1347"/>
    <cellStyle name="LocalFormat 4 3 2 2" xfId="1348"/>
    <cellStyle name="LocalFormat 4 3 2 2 2" xfId="2687"/>
    <cellStyle name="LocalFormat 4 3 2 2 2 2" xfId="5884"/>
    <cellStyle name="LocalFormat 4 3 2 2 3" xfId="5319"/>
    <cellStyle name="LocalFormat 4 3 2 3" xfId="3489"/>
    <cellStyle name="LocalFormat 4 3 2 3 2" xfId="6685"/>
    <cellStyle name="LocalFormat 4 3 2 4" xfId="4849"/>
    <cellStyle name="LocalFormat 4 3 3" xfId="1349"/>
    <cellStyle name="LocalFormat 4 3 3 2" xfId="2617"/>
    <cellStyle name="LocalFormat 4 3 3 2 2" xfId="5814"/>
    <cellStyle name="LocalFormat 4 3 3 3" xfId="5553"/>
    <cellStyle name="LocalFormat 4 3 3 4" xfId="4562"/>
    <cellStyle name="LocalFormat 4 3 4" xfId="1350"/>
    <cellStyle name="LocalFormat 4 3 4 2" xfId="2931"/>
    <cellStyle name="LocalFormat 4 3 4 2 2" xfId="6128"/>
    <cellStyle name="LocalFormat 4 3 4 3" xfId="5032"/>
    <cellStyle name="LocalFormat 4 3 5" xfId="3018"/>
    <cellStyle name="LocalFormat 4 3 5 2" xfId="6215"/>
    <cellStyle name="LocalFormat 4 3 6" xfId="4171"/>
    <cellStyle name="LocalFormat 4 4" xfId="1351"/>
    <cellStyle name="LocalFormat 4 4 2" xfId="1352"/>
    <cellStyle name="LocalFormat 4 4 2 2" xfId="2759"/>
    <cellStyle name="LocalFormat 4 4 2 2 2" xfId="5956"/>
    <cellStyle name="LocalFormat 4 4 2 3" xfId="5247"/>
    <cellStyle name="LocalFormat 4 4 3" xfId="3727"/>
    <cellStyle name="LocalFormat 4 4 3 2" xfId="6923"/>
    <cellStyle name="LocalFormat 4 4 4" xfId="4777"/>
    <cellStyle name="LocalFormat 4 5" xfId="1353"/>
    <cellStyle name="LocalFormat 4 5 2" xfId="3002"/>
    <cellStyle name="LocalFormat 4 5 2 2" xfId="6199"/>
    <cellStyle name="LocalFormat 4 5 3" xfId="5554"/>
    <cellStyle name="LocalFormat 4 5 4" xfId="4490"/>
    <cellStyle name="LocalFormat 4 6" xfId="1354"/>
    <cellStyle name="LocalFormat 4 6 2" xfId="3358"/>
    <cellStyle name="LocalFormat 4 6 2 2" xfId="6554"/>
    <cellStyle name="LocalFormat 4 6 3" xfId="4295"/>
    <cellStyle name="LocalFormat 4 7" xfId="4099"/>
    <cellStyle name="LocalFormat 5" xfId="1355"/>
    <cellStyle name="LocalFormat 5 2" xfId="1356"/>
    <cellStyle name="LocalFormat 5 2 2" xfId="1357"/>
    <cellStyle name="LocalFormat 5 2 2 2" xfId="2847"/>
    <cellStyle name="LocalFormat 5 2 2 2 2" xfId="6044"/>
    <cellStyle name="LocalFormat 5 2 2 3" xfId="5157"/>
    <cellStyle name="LocalFormat 5 2 3" xfId="3741"/>
    <cellStyle name="LocalFormat 5 2 3 2" xfId="6937"/>
    <cellStyle name="LocalFormat 5 2 4" xfId="4687"/>
    <cellStyle name="LocalFormat 5 3" xfId="1358"/>
    <cellStyle name="LocalFormat 5 3 2" xfId="3633"/>
    <cellStyle name="LocalFormat 5 3 2 2" xfId="6829"/>
    <cellStyle name="LocalFormat 5 3 3" xfId="5555"/>
    <cellStyle name="LocalFormat 5 3 4" xfId="4400"/>
    <cellStyle name="LocalFormat 5 4" xfId="1359"/>
    <cellStyle name="LocalFormat 5 4 2" xfId="3879"/>
    <cellStyle name="LocalFormat 5 4 2 2" xfId="7075"/>
    <cellStyle name="LocalFormat 5 4 3" xfId="4383"/>
    <cellStyle name="LocalFormat 5 5" xfId="4009"/>
    <cellStyle name="Macro Header" xfId="1360"/>
    <cellStyle name="Macro Text" xfId="1361"/>
    <cellStyle name="MacroCode" xfId="1362"/>
    <cellStyle name="Millares [0]_2AV_M_M " xfId="1363"/>
    <cellStyle name="Millares_2AV_M_M " xfId="1364"/>
    <cellStyle name="Milliers [0]_Open&amp;Close" xfId="46"/>
    <cellStyle name="Milliers_Open&amp;Close" xfId="47"/>
    <cellStyle name="Mon?taire [0]_Open&amp;Close" xfId="70"/>
    <cellStyle name="Mon?taire_Open&amp;Close" xfId="71"/>
    <cellStyle name="Moneda [0]_2AV_M_M " xfId="1365"/>
    <cellStyle name="Moneda_2AV_M_M " xfId="1366"/>
    <cellStyle name="Monétaire [0]_Open&amp;Close" xfId="48"/>
    <cellStyle name="Monétaire_Open&amp;Close" xfId="49"/>
    <cellStyle name="Neutral" xfId="8" builtinId="28" customBuiltin="1"/>
    <cellStyle name="Neutral 2" xfId="1367"/>
    <cellStyle name="Neutral 2 2" xfId="1368"/>
    <cellStyle name="Neutral 3" xfId="1369"/>
    <cellStyle name="Neutral 4" xfId="1370"/>
    <cellStyle name="Normal" xfId="0" builtinId="0"/>
    <cellStyle name="Normal - Style1" xfId="1371"/>
    <cellStyle name="Normal 10" xfId="1372"/>
    <cellStyle name="Normal 10 2" xfId="1373"/>
    <cellStyle name="Normal 10 2 2" xfId="1374"/>
    <cellStyle name="Normal 10 2 2 2" xfId="1375"/>
    <cellStyle name="Normal 10 2 2 2 2" xfId="1376"/>
    <cellStyle name="Normal 10 2 2 3" xfId="1377"/>
    <cellStyle name="Normal 10 2 3" xfId="1378"/>
    <cellStyle name="Normal 10 2 3 2" xfId="1379"/>
    <cellStyle name="Normal 10 2 4" xfId="1380"/>
    <cellStyle name="Normal 10 3" xfId="1381"/>
    <cellStyle name="Normal 10 3 2" xfId="1382"/>
    <cellStyle name="Normal 10 3 2 2" xfId="1383"/>
    <cellStyle name="Normal 10 3 2 2 2" xfId="1384"/>
    <cellStyle name="Normal 10 3 2 3" xfId="1385"/>
    <cellStyle name="Normal 10 3 3" xfId="1386"/>
    <cellStyle name="Normal 10 3 3 2" xfId="1387"/>
    <cellStyle name="Normal 10 3 4" xfId="1388"/>
    <cellStyle name="Normal 10 4" xfId="1389"/>
    <cellStyle name="Normal 10 4 2" xfId="1390"/>
    <cellStyle name="Normal 10 4 2 2" xfId="1391"/>
    <cellStyle name="Normal 10 4 3" xfId="1392"/>
    <cellStyle name="Normal 10 5" xfId="1393"/>
    <cellStyle name="Normal 10 5 2" xfId="1394"/>
    <cellStyle name="Normal 10 6" xfId="1395"/>
    <cellStyle name="Normal 11" xfId="1396"/>
    <cellStyle name="Normal 11 2" xfId="1397"/>
    <cellStyle name="Normal 11 2 2" xfId="1398"/>
    <cellStyle name="Normal 12" xfId="1399"/>
    <cellStyle name="Normal 12 2" xfId="1400"/>
    <cellStyle name="Normal 12 2 2" xfId="1401"/>
    <cellStyle name="Normal 13" xfId="1402"/>
    <cellStyle name="Normal 13 2" xfId="1403"/>
    <cellStyle name="Normal 13 2 2" xfId="1404"/>
    <cellStyle name="Normal 13 3" xfId="1405"/>
    <cellStyle name="Normal 13 4" xfId="1406"/>
    <cellStyle name="Normal 14" xfId="1407"/>
    <cellStyle name="Normal 14 2" xfId="1408"/>
    <cellStyle name="Normal 14 2 2" xfId="1409"/>
    <cellStyle name="Normal 14 3" xfId="1410"/>
    <cellStyle name="Normal 14 4" xfId="1411"/>
    <cellStyle name="Normal 15" xfId="1412"/>
    <cellStyle name="Normal 15 2" xfId="1413"/>
    <cellStyle name="Normal 15 2 2" xfId="1414"/>
    <cellStyle name="Normal 15 3" xfId="1415"/>
    <cellStyle name="Normal 15 4" xfId="1416"/>
    <cellStyle name="Normal 16" xfId="1417"/>
    <cellStyle name="Normal 16 2" xfId="1418"/>
    <cellStyle name="Normal 17" xfId="1419"/>
    <cellStyle name="Normal 17 2" xfId="1420"/>
    <cellStyle name="Normal 18" xfId="1421"/>
    <cellStyle name="Normal 18 2" xfId="1422"/>
    <cellStyle name="Normal 19" xfId="1423"/>
    <cellStyle name="Normal 19 2" xfId="1424"/>
    <cellStyle name="Normal 2" xfId="42"/>
    <cellStyle name="Normal 2 2" xfId="1425"/>
    <cellStyle name="Normal 2 3" xfId="1426"/>
    <cellStyle name="Normal 20" xfId="1427"/>
    <cellStyle name="Normal 20 2" xfId="1428"/>
    <cellStyle name="Normal 21" xfId="1429"/>
    <cellStyle name="Normal 21 2" xfId="1430"/>
    <cellStyle name="Normal 22" xfId="1431"/>
    <cellStyle name="Normal 22 2" xfId="1432"/>
    <cellStyle name="Normal 22 2 2" xfId="1433"/>
    <cellStyle name="Normal 22 3" xfId="1434"/>
    <cellStyle name="Normal 22 4" xfId="1435"/>
    <cellStyle name="Normal 23" xfId="1436"/>
    <cellStyle name="Normal 23 2" xfId="1437"/>
    <cellStyle name="Normal 24" xfId="1438"/>
    <cellStyle name="Normal 24 2" xfId="1439"/>
    <cellStyle name="Normal 25" xfId="1440"/>
    <cellStyle name="Normal 25 2" xfId="1441"/>
    <cellStyle name="Normal 25 2 2" xfId="1442"/>
    <cellStyle name="Normal 25 3" xfId="1443"/>
    <cellStyle name="Normal 26" xfId="1444"/>
    <cellStyle name="Normal 26 2" xfId="1445"/>
    <cellStyle name="Normal 26 2 2" xfId="1446"/>
    <cellStyle name="Normal 26 3" xfId="1447"/>
    <cellStyle name="Normal 27" xfId="1448"/>
    <cellStyle name="Normal 27 2" xfId="1449"/>
    <cellStyle name="Normal 28" xfId="1450"/>
    <cellStyle name="Normal 28 2" xfId="1451"/>
    <cellStyle name="Normal 29" xfId="1452"/>
    <cellStyle name="Normal 29 2" xfId="1453"/>
    <cellStyle name="Normal 3" xfId="54"/>
    <cellStyle name="Normal 3 2" xfId="1455"/>
    <cellStyle name="Normal 3 3" xfId="1456"/>
    <cellStyle name="Normal 3 3 2" xfId="1457"/>
    <cellStyle name="Normal 3 3 2 2" xfId="1458"/>
    <cellStyle name="Normal 3 3 2 2 2" xfId="1459"/>
    <cellStyle name="Normal 3 3 2 2 2 2" xfId="1460"/>
    <cellStyle name="Normal 3 3 2 2 3" xfId="1461"/>
    <cellStyle name="Normal 3 3 2 3" xfId="1462"/>
    <cellStyle name="Normal 3 3 2 3 2" xfId="1463"/>
    <cellStyle name="Normal 3 3 2 4" xfId="1464"/>
    <cellStyle name="Normal 3 3 3" xfId="1465"/>
    <cellStyle name="Normal 3 3 3 2" xfId="1466"/>
    <cellStyle name="Normal 3 3 3 2 2" xfId="1467"/>
    <cellStyle name="Normal 3 3 3 2 2 2" xfId="1468"/>
    <cellStyle name="Normal 3 3 3 2 3" xfId="1469"/>
    <cellStyle name="Normal 3 3 3 3" xfId="1470"/>
    <cellStyle name="Normal 3 3 3 3 2" xfId="1471"/>
    <cellStyle name="Normal 3 3 3 4" xfId="1472"/>
    <cellStyle name="Normal 3 3 4" xfId="1473"/>
    <cellStyle name="Normal 3 3 4 2" xfId="1474"/>
    <cellStyle name="Normal 3 3 4 2 2" xfId="1475"/>
    <cellStyle name="Normal 3 3 4 3" xfId="1476"/>
    <cellStyle name="Normal 3 3 5" xfId="1477"/>
    <cellStyle name="Normal 3 3 5 2" xfId="1478"/>
    <cellStyle name="Normal 3 3 6" xfId="1479"/>
    <cellStyle name="Normal 3 4" xfId="1480"/>
    <cellStyle name="Normal 3 4 2" xfId="1481"/>
    <cellStyle name="Normal 3 4 2 2" xfId="1482"/>
    <cellStyle name="Normal 3 4 2 2 2" xfId="1483"/>
    <cellStyle name="Normal 3 4 2 2 2 2" xfId="1484"/>
    <cellStyle name="Normal 3 4 2 2 3" xfId="1485"/>
    <cellStyle name="Normal 3 4 2 3" xfId="1486"/>
    <cellStyle name="Normal 3 4 2 3 2" xfId="1487"/>
    <cellStyle name="Normal 3 4 2 4" xfId="1488"/>
    <cellStyle name="Normal 3 4 3" xfId="1489"/>
    <cellStyle name="Normal 3 4 3 2" xfId="1490"/>
    <cellStyle name="Normal 3 4 3 2 2" xfId="1491"/>
    <cellStyle name="Normal 3 4 3 2 2 2" xfId="1492"/>
    <cellStyle name="Normal 3 4 3 2 3" xfId="1493"/>
    <cellStyle name="Normal 3 4 3 3" xfId="1494"/>
    <cellStyle name="Normal 3 4 3 3 2" xfId="1495"/>
    <cellStyle name="Normal 3 4 3 4" xfId="1496"/>
    <cellStyle name="Normal 3 4 4" xfId="1497"/>
    <cellStyle name="Normal 3 4 4 2" xfId="1498"/>
    <cellStyle name="Normal 3 4 4 2 2" xfId="1499"/>
    <cellStyle name="Normal 3 4 4 3" xfId="1500"/>
    <cellStyle name="Normal 3 4 5" xfId="1501"/>
    <cellStyle name="Normal 3 4 5 2" xfId="1502"/>
    <cellStyle name="Normal 3 4 6" xfId="1503"/>
    <cellStyle name="Normal 3 5" xfId="1454"/>
    <cellStyle name="Normal 30" xfId="1504"/>
    <cellStyle name="Normal 30 2" xfId="1505"/>
    <cellStyle name="Normal 30 2 2" xfId="1506"/>
    <cellStyle name="Normal 30 3" xfId="1507"/>
    <cellStyle name="Normal 31" xfId="1508"/>
    <cellStyle name="Normal 31 2" xfId="1509"/>
    <cellStyle name="Normal 32" xfId="1510"/>
    <cellStyle name="Normal 32 2" xfId="1511"/>
    <cellStyle name="Normal 33" xfId="1512"/>
    <cellStyle name="Normal 33 2" xfId="1513"/>
    <cellStyle name="Normal 34" xfId="1514"/>
    <cellStyle name="Normal 34 2" xfId="1515"/>
    <cellStyle name="Normal 35" xfId="1516"/>
    <cellStyle name="Normal 35 2" xfId="1517"/>
    <cellStyle name="Normal 36" xfId="1518"/>
    <cellStyle name="Normal 36 2" xfId="1519"/>
    <cellStyle name="Normal 37" xfId="1520"/>
    <cellStyle name="Normal 37 2" xfId="1521"/>
    <cellStyle name="Normal 38" xfId="1522"/>
    <cellStyle name="Normal 38 2" xfId="1523"/>
    <cellStyle name="Normal 39" xfId="1524"/>
    <cellStyle name="Normal 39 2" xfId="1525"/>
    <cellStyle name="Normal 4" xfId="92"/>
    <cellStyle name="Normal 4 2" xfId="1527"/>
    <cellStyle name="Normal 4 3" xfId="1526"/>
    <cellStyle name="Normal 40" xfId="1528"/>
    <cellStyle name="Normal 40 2" xfId="1529"/>
    <cellStyle name="Normal 41" xfId="1530"/>
    <cellStyle name="Normal 41 2" xfId="1531"/>
    <cellStyle name="Normal 41 2 2" xfId="1532"/>
    <cellStyle name="Normal 41 3" xfId="1533"/>
    <cellStyle name="Normal 42" xfId="1534"/>
    <cellStyle name="Normal 42 2" xfId="1535"/>
    <cellStyle name="Normal 42 2 2" xfId="1536"/>
    <cellStyle name="Normal 42 3" xfId="1537"/>
    <cellStyle name="Normal 43" xfId="1538"/>
    <cellStyle name="Normal 43 2" xfId="1539"/>
    <cellStyle name="Normal 44" xfId="1540"/>
    <cellStyle name="Normal 44 2" xfId="1541"/>
    <cellStyle name="Normal 45" xfId="1542"/>
    <cellStyle name="Normal 45 2" xfId="1543"/>
    <cellStyle name="Normal 46" xfId="1544"/>
    <cellStyle name="Normal 47" xfId="1545"/>
    <cellStyle name="Normal 48" xfId="1546"/>
    <cellStyle name="Normal 49" xfId="1547"/>
    <cellStyle name="Normal 49 2" xfId="1548"/>
    <cellStyle name="Normal 5" xfId="1549"/>
    <cellStyle name="Normal 5 2" xfId="1550"/>
    <cellStyle name="Normal 5 3" xfId="1551"/>
    <cellStyle name="Normal 50" xfId="1552"/>
    <cellStyle name="Normal 50 2" xfId="1553"/>
    <cellStyle name="Normal 51" xfId="1554"/>
    <cellStyle name="Normal 51 2" xfId="1555"/>
    <cellStyle name="Normal 52" xfId="1556"/>
    <cellStyle name="Normal 52 2" xfId="1557"/>
    <cellStyle name="Normal 53" xfId="1558"/>
    <cellStyle name="Normal 53 2" xfId="1559"/>
    <cellStyle name="Normal 54" xfId="1560"/>
    <cellStyle name="Normal 54 2" xfId="1561"/>
    <cellStyle name="Normal 55" xfId="1562"/>
    <cellStyle name="Normal 55 2" xfId="1563"/>
    <cellStyle name="Normal 56" xfId="1564"/>
    <cellStyle name="Normal 56 2" xfId="1565"/>
    <cellStyle name="Normal 57" xfId="1566"/>
    <cellStyle name="Normal 57 2" xfId="1567"/>
    <cellStyle name="Normal 58" xfId="1568"/>
    <cellStyle name="Normal 59" xfId="1569"/>
    <cellStyle name="Normal 6" xfId="1570"/>
    <cellStyle name="Normal 60" xfId="1571"/>
    <cellStyle name="Normal 61" xfId="1572"/>
    <cellStyle name="Normal 62" xfId="1573"/>
    <cellStyle name="Normal 63" xfId="1574"/>
    <cellStyle name="Normal 64" xfId="1575"/>
    <cellStyle name="Normal 65" xfId="1576"/>
    <cellStyle name="Normal 66" xfId="1577"/>
    <cellStyle name="Normal 67" xfId="1578"/>
    <cellStyle name="Normal 68" xfId="1579"/>
    <cellStyle name="Normal 7" xfId="1580"/>
    <cellStyle name="Normal 8" xfId="1581"/>
    <cellStyle name="Normal 9" xfId="1582"/>
    <cellStyle name="Normal 9 2" xfId="1583"/>
    <cellStyle name="Normal 9 2 2" xfId="1584"/>
    <cellStyle name="Normal 9 2 2 2" xfId="1585"/>
    <cellStyle name="Normal 9 2 2 2 2" xfId="1586"/>
    <cellStyle name="Normal 9 2 2 3" xfId="1587"/>
    <cellStyle name="Normal 9 2 3" xfId="1588"/>
    <cellStyle name="Normal 9 2 3 2" xfId="1589"/>
    <cellStyle name="Normal 9 2 4" xfId="1590"/>
    <cellStyle name="Normal 9 3" xfId="1591"/>
    <cellStyle name="Normal 9 3 2" xfId="1592"/>
    <cellStyle name="Normal 9 3 2 2" xfId="1593"/>
    <cellStyle name="Normal 9 3 2 2 2" xfId="1594"/>
    <cellStyle name="Normal 9 3 2 3" xfId="1595"/>
    <cellStyle name="Normal 9 3 3" xfId="1596"/>
    <cellStyle name="Normal 9 3 3 2" xfId="1597"/>
    <cellStyle name="Normal 9 3 4" xfId="1598"/>
    <cellStyle name="Normal 9 4" xfId="1599"/>
    <cellStyle name="Normal 9 4 2" xfId="1600"/>
    <cellStyle name="Normal 9 4 2 2" xfId="1601"/>
    <cellStyle name="Normal 9 4 3" xfId="1602"/>
    <cellStyle name="Normal 9 5" xfId="1603"/>
    <cellStyle name="Normal 9 5 2" xfId="1604"/>
    <cellStyle name="Normal 9 6" xfId="1605"/>
    <cellStyle name="Note" xfId="15" builtinId="10" customBuiltin="1"/>
    <cellStyle name="Note 2" xfId="1606"/>
    <cellStyle name="Note 2 2" xfId="1607"/>
    <cellStyle name="Note 2 2 2" xfId="1608"/>
    <cellStyle name="Note 2 2 2 2" xfId="1609"/>
    <cellStyle name="Note 2 2 2 2 2" xfId="1610"/>
    <cellStyle name="Note 2 2 2 2 2 2" xfId="1611"/>
    <cellStyle name="Note 2 2 2 2 2 2 2" xfId="1612"/>
    <cellStyle name="Note 2 2 2 2 2 2 2 2" xfId="2774"/>
    <cellStyle name="Note 2 2 2 2 2 2 2 2 2" xfId="5971"/>
    <cellStyle name="Note 2 2 2 2 2 2 2 3" xfId="5232"/>
    <cellStyle name="Note 2 2 2 2 2 2 3" xfId="3399"/>
    <cellStyle name="Note 2 2 2 2 2 2 3 2" xfId="6595"/>
    <cellStyle name="Note 2 2 2 2 2 2 4" xfId="4762"/>
    <cellStyle name="Note 2 2 2 2 2 3" xfId="1613"/>
    <cellStyle name="Note 2 2 2 2 2 3 2" xfId="3844"/>
    <cellStyle name="Note 2 2 2 2 2 3 2 2" xfId="7040"/>
    <cellStyle name="Note 2 2 2 2 2 3 3" xfId="5556"/>
    <cellStyle name="Note 2 2 2 2 2 3 4" xfId="4475"/>
    <cellStyle name="Note 2 2 2 2 2 4" xfId="1614"/>
    <cellStyle name="Note 2 2 2 2 2 4 2" xfId="3651"/>
    <cellStyle name="Note 2 2 2 2 2 4 2 2" xfId="6847"/>
    <cellStyle name="Note 2 2 2 2 2 4 3" xfId="4310"/>
    <cellStyle name="Note 2 2 2 2 2 5" xfId="4084"/>
    <cellStyle name="Note 2 2 2 2 3" xfId="1615"/>
    <cellStyle name="Note 2 2 2 2 3 2" xfId="1616"/>
    <cellStyle name="Note 2 2 2 2 3 2 2" xfId="1617"/>
    <cellStyle name="Note 2 2 2 2 3 2 2 2" xfId="2636"/>
    <cellStyle name="Note 2 2 2 2 3 2 2 2 2" xfId="5833"/>
    <cellStyle name="Note 2 2 2 2 3 2 2 3" xfId="5409"/>
    <cellStyle name="Note 2 2 2 2 3 2 3" xfId="2954"/>
    <cellStyle name="Note 2 2 2 2 3 2 3 2" xfId="6151"/>
    <cellStyle name="Note 2 2 2 2 3 2 4" xfId="4939"/>
    <cellStyle name="Note 2 2 2 2 3 3" xfId="1618"/>
    <cellStyle name="Note 2 2 2 2 3 3 2" xfId="3784"/>
    <cellStyle name="Note 2 2 2 2 3 3 2 2" xfId="6980"/>
    <cellStyle name="Note 2 2 2 2 3 3 3" xfId="5557"/>
    <cellStyle name="Note 2 2 2 2 3 3 4" xfId="4652"/>
    <cellStyle name="Note 2 2 2 2 3 4" xfId="1619"/>
    <cellStyle name="Note 2 2 2 2 3 4 2" xfId="2880"/>
    <cellStyle name="Note 2 2 2 2 3 4 2 2" xfId="6077"/>
    <cellStyle name="Note 2 2 2 2 3 4 3" xfId="5122"/>
    <cellStyle name="Note 2 2 2 2 3 5" xfId="3702"/>
    <cellStyle name="Note 2 2 2 2 3 5 2" xfId="6898"/>
    <cellStyle name="Note 2 2 2 2 3 6" xfId="4261"/>
    <cellStyle name="Note 2 2 2 2 4" xfId="1620"/>
    <cellStyle name="Note 2 2 2 2 4 2" xfId="1621"/>
    <cellStyle name="Note 2 2 2 2 4 2 2" xfId="1622"/>
    <cellStyle name="Note 2 2 2 2 4 2 2 2" xfId="2645"/>
    <cellStyle name="Note 2 2 2 2 4 2 2 2 2" xfId="5842"/>
    <cellStyle name="Note 2 2 2 2 4 2 2 3" xfId="5413"/>
    <cellStyle name="Note 2 2 2 2 4 2 3" xfId="3245"/>
    <cellStyle name="Note 2 2 2 2 4 2 3 2" xfId="6441"/>
    <cellStyle name="Note 2 2 2 2 4 2 4" xfId="4943"/>
    <cellStyle name="Note 2 2 2 2 4 3" xfId="1623"/>
    <cellStyle name="Note 2 2 2 2 4 3 2" xfId="3357"/>
    <cellStyle name="Note 2 2 2 2 4 3 2 2" xfId="6553"/>
    <cellStyle name="Note 2 2 2 2 4 3 3" xfId="5558"/>
    <cellStyle name="Note 2 2 2 2 4 3 4" xfId="4656"/>
    <cellStyle name="Note 2 2 2 2 4 4" xfId="1624"/>
    <cellStyle name="Note 2 2 2 2 4 4 2" xfId="2876"/>
    <cellStyle name="Note 2 2 2 2 4 4 2 2" xfId="6073"/>
    <cellStyle name="Note 2 2 2 2 4 4 3" xfId="5126"/>
    <cellStyle name="Note 2 2 2 2 4 5" xfId="3687"/>
    <cellStyle name="Note 2 2 2 2 4 5 2" xfId="6883"/>
    <cellStyle name="Note 2 2 2 2 4 6" xfId="4265"/>
    <cellStyle name="Note 2 2 2 2 5" xfId="3804"/>
    <cellStyle name="Note 2 2 2 2 5 2" xfId="7000"/>
    <cellStyle name="Note 2 2 2 3" xfId="1625"/>
    <cellStyle name="Note 2 2 2 3 2" xfId="1626"/>
    <cellStyle name="Note 2 2 2 3 2 2" xfId="1627"/>
    <cellStyle name="Note 2 2 2 3 2 2 2" xfId="2817"/>
    <cellStyle name="Note 2 2 2 3 2 2 2 2" xfId="6014"/>
    <cellStyle name="Note 2 2 2 3 2 2 3" xfId="5187"/>
    <cellStyle name="Note 2 2 2 3 2 3" xfId="3553"/>
    <cellStyle name="Note 2 2 2 3 2 3 2" xfId="6749"/>
    <cellStyle name="Note 2 2 2 3 2 4" xfId="4717"/>
    <cellStyle name="Note 2 2 2 3 3" xfId="1628"/>
    <cellStyle name="Note 2 2 2 3 3 2" xfId="3944"/>
    <cellStyle name="Note 2 2 2 3 3 2 2" xfId="7140"/>
    <cellStyle name="Note 2 2 2 3 3 3" xfId="5559"/>
    <cellStyle name="Note 2 2 2 3 3 4" xfId="4430"/>
    <cellStyle name="Note 2 2 2 3 4" xfId="1629"/>
    <cellStyle name="Note 2 2 2 3 4 2" xfId="3859"/>
    <cellStyle name="Note 2 2 2 3 4 2 2" xfId="7055"/>
    <cellStyle name="Note 2 2 2 3 4 3" xfId="4353"/>
    <cellStyle name="Note 2 2 2 3 5" xfId="4039"/>
    <cellStyle name="Note 2 2 2 4" xfId="1630"/>
    <cellStyle name="Note 2 2 2 4 2" xfId="1631"/>
    <cellStyle name="Note 2 2 2 4 2 2" xfId="1632"/>
    <cellStyle name="Note 2 2 2 4 2 2 2" xfId="2570"/>
    <cellStyle name="Note 2 2 2 4 2 2 2 2" xfId="5767"/>
    <cellStyle name="Note 2 2 2 4 2 2 3" xfId="5371"/>
    <cellStyle name="Note 2 2 2 4 2 3" xfId="3503"/>
    <cellStyle name="Note 2 2 2 4 2 3 2" xfId="6699"/>
    <cellStyle name="Note 2 2 2 4 2 4" xfId="4901"/>
    <cellStyle name="Note 2 2 2 4 3" xfId="1633"/>
    <cellStyle name="Note 2 2 2 4 3 2" xfId="3124"/>
    <cellStyle name="Note 2 2 2 4 3 2 2" xfId="6321"/>
    <cellStyle name="Note 2 2 2 4 3 3" xfId="5560"/>
    <cellStyle name="Note 2 2 2 4 3 4" xfId="4614"/>
    <cellStyle name="Note 2 2 2 4 4" xfId="1634"/>
    <cellStyle name="Note 2 2 2 4 4 2" xfId="2918"/>
    <cellStyle name="Note 2 2 2 4 4 2 2" xfId="6115"/>
    <cellStyle name="Note 2 2 2 4 4 3" xfId="5084"/>
    <cellStyle name="Note 2 2 2 4 5" xfId="3726"/>
    <cellStyle name="Note 2 2 2 4 5 2" xfId="6922"/>
    <cellStyle name="Note 2 2 2 4 6" xfId="4223"/>
    <cellStyle name="Note 2 2 2 5" xfId="1635"/>
    <cellStyle name="Note 2 2 2 5 2" xfId="1636"/>
    <cellStyle name="Note 2 2 2 5 2 2" xfId="1637"/>
    <cellStyle name="Note 2 2 2 5 2 2 2" xfId="2552"/>
    <cellStyle name="Note 2 2 2 5 2 2 2 2" xfId="5749"/>
    <cellStyle name="Note 2 2 2 5 2 2 3" xfId="5352"/>
    <cellStyle name="Note 2 2 2 5 2 3" xfId="3707"/>
    <cellStyle name="Note 2 2 2 5 2 3 2" xfId="6903"/>
    <cellStyle name="Note 2 2 2 5 2 4" xfId="4882"/>
    <cellStyle name="Note 2 2 2 5 3" xfId="1638"/>
    <cellStyle name="Note 2 2 2 5 3 2" xfId="3133"/>
    <cellStyle name="Note 2 2 2 5 3 2 2" xfId="6330"/>
    <cellStyle name="Note 2 2 2 5 3 3" xfId="5561"/>
    <cellStyle name="Note 2 2 2 5 3 4" xfId="4595"/>
    <cellStyle name="Note 2 2 2 5 4" xfId="1639"/>
    <cellStyle name="Note 2 2 2 5 4 2" xfId="2588"/>
    <cellStyle name="Note 2 2 2 5 4 2 2" xfId="5785"/>
    <cellStyle name="Note 2 2 2 5 4 3" xfId="5065"/>
    <cellStyle name="Note 2 2 2 5 5" xfId="3825"/>
    <cellStyle name="Note 2 2 2 5 5 2" xfId="7021"/>
    <cellStyle name="Note 2 2 2 5 6" xfId="4204"/>
    <cellStyle name="Note 2 2 3" xfId="1640"/>
    <cellStyle name="Note 2 2 3 2" xfId="1641"/>
    <cellStyle name="Note 2 2 3 2 2" xfId="1642"/>
    <cellStyle name="Note 2 2 3 2 2 2" xfId="1643"/>
    <cellStyle name="Note 2 2 3 2 2 2 2" xfId="2799"/>
    <cellStyle name="Note 2 2 3 2 2 2 2 2" xfId="5996"/>
    <cellStyle name="Note 2 2 3 2 2 2 3" xfId="5205"/>
    <cellStyle name="Note 2 2 3 2 2 3" xfId="3862"/>
    <cellStyle name="Note 2 2 3 2 2 3 2" xfId="7058"/>
    <cellStyle name="Note 2 2 3 2 2 4" xfId="4735"/>
    <cellStyle name="Note 2 2 3 2 3" xfId="1644"/>
    <cellStyle name="Note 2 2 3 2 3 2" xfId="3402"/>
    <cellStyle name="Note 2 2 3 2 3 2 2" xfId="6598"/>
    <cellStyle name="Note 2 2 3 2 3 3" xfId="5562"/>
    <cellStyle name="Note 2 2 3 2 3 4" xfId="4448"/>
    <cellStyle name="Note 2 2 3 2 4" xfId="1645"/>
    <cellStyle name="Note 2 2 3 2 4 2" xfId="3610"/>
    <cellStyle name="Note 2 2 3 2 4 2 2" xfId="6806"/>
    <cellStyle name="Note 2 2 3 2 4 3" xfId="4335"/>
    <cellStyle name="Note 2 2 3 2 5" xfId="4057"/>
    <cellStyle name="Note 2 2 3 3" xfId="1646"/>
    <cellStyle name="Note 2 2 3 3 2" xfId="1647"/>
    <cellStyle name="Note 2 2 3 3 2 2" xfId="1648"/>
    <cellStyle name="Note 2 2 3 3 2 2 2" xfId="2584"/>
    <cellStyle name="Note 2 2 3 3 2 2 2 2" xfId="5781"/>
    <cellStyle name="Note 2 2 3 3 2 2 3" xfId="5385"/>
    <cellStyle name="Note 2 2 3 3 2 3" xfId="3392"/>
    <cellStyle name="Note 2 2 3 3 2 3 2" xfId="6588"/>
    <cellStyle name="Note 2 2 3 3 2 4" xfId="4915"/>
    <cellStyle name="Note 2 2 3 3 3" xfId="1649"/>
    <cellStyle name="Note 2 2 3 3 3 2" xfId="3556"/>
    <cellStyle name="Note 2 2 3 3 3 2 2" xfId="6752"/>
    <cellStyle name="Note 2 2 3 3 3 3" xfId="5563"/>
    <cellStyle name="Note 2 2 3 3 3 4" xfId="4628"/>
    <cellStyle name="Note 2 2 3 3 4" xfId="1650"/>
    <cellStyle name="Note 2 2 3 3 4 2" xfId="2904"/>
    <cellStyle name="Note 2 2 3 3 4 2 2" xfId="6101"/>
    <cellStyle name="Note 2 2 3 3 4 3" xfId="5098"/>
    <cellStyle name="Note 2 2 3 3 5" xfId="3982"/>
    <cellStyle name="Note 2 2 3 3 5 2" xfId="7178"/>
    <cellStyle name="Note 2 2 3 3 6" xfId="4237"/>
    <cellStyle name="Note 2 2 3 4" xfId="1651"/>
    <cellStyle name="Note 2 2 3 4 2" xfId="1652"/>
    <cellStyle name="Note 2 2 3 4 2 2" xfId="1653"/>
    <cellStyle name="Note 2 2 3 4 2 2 2" xfId="2539"/>
    <cellStyle name="Note 2 2 3 4 2 2 2 2" xfId="5736"/>
    <cellStyle name="Note 2 2 3 4 2 2 3" xfId="5339"/>
    <cellStyle name="Note 2 2 3 4 2 3" xfId="3103"/>
    <cellStyle name="Note 2 2 3 4 2 3 2" xfId="6300"/>
    <cellStyle name="Note 2 2 3 4 2 4" xfId="4869"/>
    <cellStyle name="Note 2 2 3 4 3" xfId="1654"/>
    <cellStyle name="Note 2 2 3 4 3 2" xfId="3127"/>
    <cellStyle name="Note 2 2 3 4 3 2 2" xfId="6324"/>
    <cellStyle name="Note 2 2 3 4 3 3" xfId="5564"/>
    <cellStyle name="Note 2 2 3 4 3 4" xfId="4582"/>
    <cellStyle name="Note 2 2 3 4 4" xfId="1655"/>
    <cellStyle name="Note 2 2 3 4 4 2" xfId="2927"/>
    <cellStyle name="Note 2 2 3 4 4 2 2" xfId="6124"/>
    <cellStyle name="Note 2 2 3 4 4 3" xfId="5052"/>
    <cellStyle name="Note 2 2 3 4 5" xfId="3940"/>
    <cellStyle name="Note 2 2 3 4 5 2" xfId="7136"/>
    <cellStyle name="Note 2 2 3 4 6" xfId="4191"/>
    <cellStyle name="Note 2 2 3 5" xfId="3681"/>
    <cellStyle name="Note 2 2 3 5 2" xfId="6877"/>
    <cellStyle name="Note 2 2 4" xfId="1656"/>
    <cellStyle name="Note 2 2 4 2" xfId="1657"/>
    <cellStyle name="Note 2 2 4 2 2" xfId="1658"/>
    <cellStyle name="Note 2 2 4 2 2 2" xfId="1659"/>
    <cellStyle name="Note 2 2 4 2 2 2 2" xfId="2731"/>
    <cellStyle name="Note 2 2 4 2 2 2 2 2" xfId="5928"/>
    <cellStyle name="Note 2 2 4 2 2 2 3" xfId="5275"/>
    <cellStyle name="Note 2 2 4 2 2 3" xfId="3623"/>
    <cellStyle name="Note 2 2 4 2 2 3 2" xfId="6819"/>
    <cellStyle name="Note 2 2 4 2 2 4" xfId="4805"/>
    <cellStyle name="Note 2 2 4 2 3" xfId="1660"/>
    <cellStyle name="Note 2 2 4 2 3 2" xfId="2995"/>
    <cellStyle name="Note 2 2 4 2 3 2 2" xfId="6192"/>
    <cellStyle name="Note 2 2 4 2 3 3" xfId="5565"/>
    <cellStyle name="Note 2 2 4 2 3 4" xfId="4518"/>
    <cellStyle name="Note 2 2 4 2 4" xfId="1661"/>
    <cellStyle name="Note 2 2 4 2 4 2" xfId="3048"/>
    <cellStyle name="Note 2 2 4 2 4 2 2" xfId="6245"/>
    <cellStyle name="Note 2 2 4 2 4 3" xfId="4988"/>
    <cellStyle name="Note 2 2 4 2 5" xfId="3257"/>
    <cellStyle name="Note 2 2 4 2 5 2" xfId="6453"/>
    <cellStyle name="Note 2 2 4 2 6" xfId="4127"/>
    <cellStyle name="Note 2 2 4 3" xfId="1662"/>
    <cellStyle name="Note 2 2 4 3 2" xfId="1663"/>
    <cellStyle name="Note 2 2 4 3 2 2" xfId="1664"/>
    <cellStyle name="Note 2 2 4 3 2 2 2" xfId="2682"/>
    <cellStyle name="Note 2 2 4 3 2 2 2 2" xfId="5879"/>
    <cellStyle name="Note 2 2 4 3 2 2 3" xfId="5324"/>
    <cellStyle name="Note 2 2 4 3 2 3" xfId="3570"/>
    <cellStyle name="Note 2 2 4 3 2 3 2" xfId="6766"/>
    <cellStyle name="Note 2 2 4 3 2 4" xfId="4854"/>
    <cellStyle name="Note 2 2 4 3 3" xfId="1665"/>
    <cellStyle name="Note 2 2 4 3 3 2" xfId="3331"/>
    <cellStyle name="Note 2 2 4 3 3 2 2" xfId="6527"/>
    <cellStyle name="Note 2 2 4 3 3 3" xfId="5566"/>
    <cellStyle name="Note 2 2 4 3 3 4" xfId="4567"/>
    <cellStyle name="Note 2 2 4 3 4" xfId="1666"/>
    <cellStyle name="Note 2 2 4 3 4 2" xfId="3065"/>
    <cellStyle name="Note 2 2 4 3 4 2 2" xfId="6262"/>
    <cellStyle name="Note 2 2 4 3 4 3" xfId="5037"/>
    <cellStyle name="Note 2 2 4 3 5" xfId="3013"/>
    <cellStyle name="Note 2 2 4 3 5 2" xfId="6210"/>
    <cellStyle name="Note 2 2 4 3 6" xfId="4176"/>
    <cellStyle name="Note 2 2 4 4" xfId="1667"/>
    <cellStyle name="Note 2 2 4 4 2" xfId="1668"/>
    <cellStyle name="Note 2 2 4 4 2 2" xfId="2764"/>
    <cellStyle name="Note 2 2 4 4 2 2 2" xfId="5961"/>
    <cellStyle name="Note 2 2 4 4 2 3" xfId="5242"/>
    <cellStyle name="Note 2 2 4 4 3" xfId="3718"/>
    <cellStyle name="Note 2 2 4 4 3 2" xfId="6914"/>
    <cellStyle name="Note 2 2 4 4 4" xfId="4772"/>
    <cellStyle name="Note 2 2 4 5" xfId="1669"/>
    <cellStyle name="Note 2 2 4 5 2" xfId="3151"/>
    <cellStyle name="Note 2 2 4 5 2 2" xfId="6347"/>
    <cellStyle name="Note 2 2 4 5 3" xfId="5567"/>
    <cellStyle name="Note 2 2 4 5 4" xfId="4485"/>
    <cellStyle name="Note 2 2 4 6" xfId="1670"/>
    <cellStyle name="Note 2 2 4 6 2" xfId="3752"/>
    <cellStyle name="Note 2 2 4 6 2 2" xfId="6948"/>
    <cellStyle name="Note 2 2 4 6 3" xfId="4300"/>
    <cellStyle name="Note 2 2 4 7" xfId="4094"/>
    <cellStyle name="Note 2 2 5" xfId="1671"/>
    <cellStyle name="Note 2 2 5 2" xfId="1672"/>
    <cellStyle name="Note 2 2 5 2 2" xfId="1673"/>
    <cellStyle name="Note 2 2 5 2 2 2" xfId="2837"/>
    <cellStyle name="Note 2 2 5 2 2 2 2" xfId="6034"/>
    <cellStyle name="Note 2 2 5 2 2 3" xfId="5167"/>
    <cellStyle name="Note 2 2 5 2 3" xfId="3478"/>
    <cellStyle name="Note 2 2 5 2 3 2" xfId="6674"/>
    <cellStyle name="Note 2 2 5 2 4" xfId="4697"/>
    <cellStyle name="Note 2 2 5 3" xfId="1674"/>
    <cellStyle name="Note 2 2 5 3 2" xfId="3745"/>
    <cellStyle name="Note 2 2 5 3 2 2" xfId="6941"/>
    <cellStyle name="Note 2 2 5 3 3" xfId="5568"/>
    <cellStyle name="Note 2 2 5 3 4" xfId="4410"/>
    <cellStyle name="Note 2 2 5 4" xfId="1675"/>
    <cellStyle name="Note 2 2 5 4 2" xfId="3992"/>
    <cellStyle name="Note 2 2 5 4 2 2" xfId="7188"/>
    <cellStyle name="Note 2 2 5 4 3" xfId="4373"/>
    <cellStyle name="Note 2 2 5 5" xfId="4019"/>
    <cellStyle name="Note 2 3" xfId="1676"/>
    <cellStyle name="Note 2 3 2" xfId="1677"/>
    <cellStyle name="Note 2 3 2 2" xfId="1678"/>
    <cellStyle name="Note 2 3 2 2 2" xfId="1679"/>
    <cellStyle name="Note 2 3 2 2 2 2" xfId="1680"/>
    <cellStyle name="Note 2 3 2 2 2 2 2" xfId="2782"/>
    <cellStyle name="Note 2 3 2 2 2 2 2 2" xfId="5979"/>
    <cellStyle name="Note 2 3 2 2 2 2 3" xfId="5223"/>
    <cellStyle name="Note 2 3 2 2 2 3" xfId="3828"/>
    <cellStyle name="Note 2 3 2 2 2 3 2" xfId="7024"/>
    <cellStyle name="Note 2 3 2 2 2 4" xfId="4753"/>
    <cellStyle name="Note 2 3 2 2 3" xfId="1681"/>
    <cellStyle name="Note 2 3 2 2 3 2" xfId="3495"/>
    <cellStyle name="Note 2 3 2 2 3 2 2" xfId="6691"/>
    <cellStyle name="Note 2 3 2 2 3 3" xfId="5569"/>
    <cellStyle name="Note 2 3 2 2 3 4" xfId="4466"/>
    <cellStyle name="Note 2 3 2 2 4" xfId="1682"/>
    <cellStyle name="Note 2 3 2 2 4 2" xfId="3164"/>
    <cellStyle name="Note 2 3 2 2 4 2 2" xfId="6360"/>
    <cellStyle name="Note 2 3 2 2 4 3" xfId="4318"/>
    <cellStyle name="Note 2 3 2 2 5" xfId="4075"/>
    <cellStyle name="Note 2 3 2 3" xfId="1683"/>
    <cellStyle name="Note 2 3 2 3 2" xfId="1684"/>
    <cellStyle name="Note 2 3 2 3 2 2" xfId="1685"/>
    <cellStyle name="Note 2 3 2 3 2 2 2" xfId="3026"/>
    <cellStyle name="Note 2 3 2 3 2 2 2 2" xfId="6223"/>
    <cellStyle name="Note 2 3 2 3 2 2 3" xfId="5400"/>
    <cellStyle name="Note 2 3 2 3 2 3" xfId="3414"/>
    <cellStyle name="Note 2 3 2 3 2 3 2" xfId="6610"/>
    <cellStyle name="Note 2 3 2 3 2 4" xfId="4930"/>
    <cellStyle name="Note 2 3 2 3 3" xfId="1686"/>
    <cellStyle name="Note 2 3 2 3 3 2" xfId="3767"/>
    <cellStyle name="Note 2 3 2 3 3 2 2" xfId="6963"/>
    <cellStyle name="Note 2 3 2 3 3 3" xfId="5570"/>
    <cellStyle name="Note 2 3 2 3 3 4" xfId="4643"/>
    <cellStyle name="Note 2 3 2 3 4" xfId="1687"/>
    <cellStyle name="Note 2 3 2 3 4 2" xfId="2889"/>
    <cellStyle name="Note 2 3 2 3 4 2 2" xfId="6086"/>
    <cellStyle name="Note 2 3 2 3 4 3" xfId="5113"/>
    <cellStyle name="Note 2 3 2 3 5" xfId="3006"/>
    <cellStyle name="Note 2 3 2 3 5 2" xfId="6203"/>
    <cellStyle name="Note 2 3 2 3 6" xfId="4252"/>
    <cellStyle name="Note 2 3 2 4" xfId="1688"/>
    <cellStyle name="Note 2 3 2 4 2" xfId="1689"/>
    <cellStyle name="Note 2 3 2 4 2 2" xfId="1690"/>
    <cellStyle name="Note 2 3 2 4 2 2 2" xfId="2639"/>
    <cellStyle name="Note 2 3 2 4 2 2 2 2" xfId="5836"/>
    <cellStyle name="Note 2 3 2 4 2 2 3" xfId="5412"/>
    <cellStyle name="Note 2 3 2 4 2 3" xfId="3293"/>
    <cellStyle name="Note 2 3 2 4 2 3 2" xfId="6489"/>
    <cellStyle name="Note 2 3 2 4 2 4" xfId="4942"/>
    <cellStyle name="Note 2 3 2 4 3" xfId="1691"/>
    <cellStyle name="Note 2 3 2 4 3 2" xfId="3693"/>
    <cellStyle name="Note 2 3 2 4 3 2 2" xfId="6889"/>
    <cellStyle name="Note 2 3 2 4 3 3" xfId="5571"/>
    <cellStyle name="Note 2 3 2 4 3 4" xfId="4655"/>
    <cellStyle name="Note 2 3 2 4 4" xfId="1692"/>
    <cellStyle name="Note 2 3 2 4 4 2" xfId="2877"/>
    <cellStyle name="Note 2 3 2 4 4 2 2" xfId="6074"/>
    <cellStyle name="Note 2 3 2 4 4 3" xfId="5125"/>
    <cellStyle name="Note 2 3 2 4 5" xfId="3543"/>
    <cellStyle name="Note 2 3 2 4 5 2" xfId="6739"/>
    <cellStyle name="Note 2 3 2 4 6" xfId="4264"/>
    <cellStyle name="Note 2 3 2 5" xfId="3945"/>
    <cellStyle name="Note 2 3 2 5 2" xfId="7141"/>
    <cellStyle name="Note 2 3 3" xfId="1693"/>
    <cellStyle name="Note 2 3 3 2" xfId="1694"/>
    <cellStyle name="Note 2 3 3 2 2" xfId="1695"/>
    <cellStyle name="Note 2 3 3 2 2 2" xfId="2826"/>
    <cellStyle name="Note 2 3 3 2 2 2 2" xfId="6023"/>
    <cellStyle name="Note 2 3 3 2 2 3" xfId="5178"/>
    <cellStyle name="Note 2 3 3 2 3" xfId="3758"/>
    <cellStyle name="Note 2 3 3 2 3 2" xfId="6954"/>
    <cellStyle name="Note 2 3 3 2 4" xfId="4708"/>
    <cellStyle name="Note 2 3 3 3" xfId="1696"/>
    <cellStyle name="Note 2 3 3 3 2" xfId="3864"/>
    <cellStyle name="Note 2 3 3 3 2 2" xfId="7060"/>
    <cellStyle name="Note 2 3 3 3 3" xfId="5572"/>
    <cellStyle name="Note 2 3 3 3 4" xfId="4421"/>
    <cellStyle name="Note 2 3 3 4" xfId="1697"/>
    <cellStyle name="Note 2 3 3 4 2" xfId="3939"/>
    <cellStyle name="Note 2 3 3 4 2 2" xfId="7135"/>
    <cellStyle name="Note 2 3 3 4 3" xfId="4362"/>
    <cellStyle name="Note 2 3 3 5" xfId="4030"/>
    <cellStyle name="Note 2 3 4" xfId="1698"/>
    <cellStyle name="Note 2 3 4 2" xfId="1699"/>
    <cellStyle name="Note 2 3 4 2 2" xfId="1700"/>
    <cellStyle name="Note 2 3 4 2 2 2" xfId="2563"/>
    <cellStyle name="Note 2 3 4 2 2 2 2" xfId="5760"/>
    <cellStyle name="Note 2 3 4 2 2 3" xfId="5364"/>
    <cellStyle name="Note 2 3 4 2 3" xfId="3420"/>
    <cellStyle name="Note 2 3 4 2 3 2" xfId="6616"/>
    <cellStyle name="Note 2 3 4 2 4" xfId="4894"/>
    <cellStyle name="Note 2 3 4 3" xfId="1701"/>
    <cellStyle name="Note 2 3 4 3 2" xfId="3315"/>
    <cellStyle name="Note 2 3 4 3 2 2" xfId="6511"/>
    <cellStyle name="Note 2 3 4 3 3" xfId="5573"/>
    <cellStyle name="Note 2 3 4 3 4" xfId="4607"/>
    <cellStyle name="Note 2 3 4 4" xfId="1702"/>
    <cellStyle name="Note 2 3 4 4 2" xfId="2586"/>
    <cellStyle name="Note 2 3 4 4 2 2" xfId="5783"/>
    <cellStyle name="Note 2 3 4 4 3" xfId="5077"/>
    <cellStyle name="Note 2 3 4 5" xfId="3566"/>
    <cellStyle name="Note 2 3 4 5 2" xfId="6762"/>
    <cellStyle name="Note 2 3 4 6" xfId="4216"/>
    <cellStyle name="Note 2 3 5" xfId="1703"/>
    <cellStyle name="Note 2 3 5 2" xfId="1704"/>
    <cellStyle name="Note 2 3 5 2 2" xfId="1705"/>
    <cellStyle name="Note 2 3 5 2 2 2" xfId="2673"/>
    <cellStyle name="Note 2 3 5 2 2 2 2" xfId="5870"/>
    <cellStyle name="Note 2 3 5 2 2 3" xfId="5334"/>
    <cellStyle name="Note 2 3 5 2 3" xfId="3511"/>
    <cellStyle name="Note 2 3 5 2 3 2" xfId="6707"/>
    <cellStyle name="Note 2 3 5 2 4" xfId="4864"/>
    <cellStyle name="Note 2 3 5 3" xfId="1706"/>
    <cellStyle name="Note 2 3 5 3 2" xfId="3326"/>
    <cellStyle name="Note 2 3 5 3 2 2" xfId="6522"/>
    <cellStyle name="Note 2 3 5 3 3" xfId="5574"/>
    <cellStyle name="Note 2 3 5 3 4" xfId="4577"/>
    <cellStyle name="Note 2 3 5 4" xfId="1707"/>
    <cellStyle name="Note 2 3 5 4 2" xfId="3063"/>
    <cellStyle name="Note 2 3 5 4 2 2" xfId="6260"/>
    <cellStyle name="Note 2 3 5 4 3" xfId="5047"/>
    <cellStyle name="Note 2 3 5 5" xfId="3524"/>
    <cellStyle name="Note 2 3 5 5 2" xfId="6720"/>
    <cellStyle name="Note 2 3 5 6" xfId="4186"/>
    <cellStyle name="Note 2 4" xfId="1708"/>
    <cellStyle name="Note 2 4 2" xfId="1709"/>
    <cellStyle name="Note 2 4 2 2" xfId="1710"/>
    <cellStyle name="Note 2 4 2 2 2" xfId="1711"/>
    <cellStyle name="Note 2 4 2 2 2 2" xfId="2806"/>
    <cellStyle name="Note 2 4 2 2 2 2 2" xfId="6003"/>
    <cellStyle name="Note 2 4 2 2 2 3" xfId="5198"/>
    <cellStyle name="Note 2 4 2 2 3" xfId="3885"/>
    <cellStyle name="Note 2 4 2 2 3 2" xfId="7081"/>
    <cellStyle name="Note 2 4 2 2 4" xfId="4728"/>
    <cellStyle name="Note 2 4 2 3" xfId="1712"/>
    <cellStyle name="Note 2 4 2 3 2" xfId="3950"/>
    <cellStyle name="Note 2 4 2 3 2 2" xfId="7146"/>
    <cellStyle name="Note 2 4 2 3 3" xfId="5575"/>
    <cellStyle name="Note 2 4 2 3 4" xfId="4441"/>
    <cellStyle name="Note 2 4 2 4" xfId="1713"/>
    <cellStyle name="Note 2 4 2 4 2" xfId="3739"/>
    <cellStyle name="Note 2 4 2 4 2 2" xfId="6935"/>
    <cellStyle name="Note 2 4 2 4 3" xfId="4342"/>
    <cellStyle name="Note 2 4 2 5" xfId="4050"/>
    <cellStyle name="Note 2 4 3" xfId="1714"/>
    <cellStyle name="Note 2 4 3 2" xfId="1715"/>
    <cellStyle name="Note 2 4 3 2 2" xfId="1716"/>
    <cellStyle name="Note 2 4 3 2 2 2" xfId="2577"/>
    <cellStyle name="Note 2 4 3 2 2 2 2" xfId="5774"/>
    <cellStyle name="Note 2 4 3 2 2 3" xfId="5378"/>
    <cellStyle name="Note 2 4 3 2 3" xfId="3957"/>
    <cellStyle name="Note 2 4 3 2 3 2" xfId="7153"/>
    <cellStyle name="Note 2 4 3 2 4" xfId="4908"/>
    <cellStyle name="Note 2 4 3 3" xfId="1717"/>
    <cellStyle name="Note 2 4 3 3 2" xfId="3084"/>
    <cellStyle name="Note 2 4 3 3 2 2" xfId="6281"/>
    <cellStyle name="Note 2 4 3 3 3" xfId="5576"/>
    <cellStyle name="Note 2 4 3 3 4" xfId="4621"/>
    <cellStyle name="Note 2 4 3 4" xfId="1718"/>
    <cellStyle name="Note 2 4 3 4 2" xfId="2911"/>
    <cellStyle name="Note 2 4 3 4 2 2" xfId="6108"/>
    <cellStyle name="Note 2 4 3 4 3" xfId="5091"/>
    <cellStyle name="Note 2 4 3 5" xfId="3791"/>
    <cellStyle name="Note 2 4 3 5 2" xfId="6987"/>
    <cellStyle name="Note 2 4 3 6" xfId="4230"/>
    <cellStyle name="Note 2 4 4" xfId="1719"/>
    <cellStyle name="Note 2 4 4 2" xfId="1720"/>
    <cellStyle name="Note 2 4 4 2 2" xfId="1721"/>
    <cellStyle name="Note 2 4 4 2 2 2" xfId="2537"/>
    <cellStyle name="Note 2 4 4 2 2 2 2" xfId="5734"/>
    <cellStyle name="Note 2 4 4 2 2 3" xfId="5337"/>
    <cellStyle name="Note 2 4 4 2 3" xfId="3197"/>
    <cellStyle name="Note 2 4 4 2 3 2" xfId="6393"/>
    <cellStyle name="Note 2 4 4 2 4" xfId="4867"/>
    <cellStyle name="Note 2 4 4 3" xfId="1722"/>
    <cellStyle name="Note 2 4 4 3 2" xfId="3129"/>
    <cellStyle name="Note 2 4 4 3 2 2" xfId="6326"/>
    <cellStyle name="Note 2 4 4 3 3" xfId="5577"/>
    <cellStyle name="Note 2 4 4 3 4" xfId="4580"/>
    <cellStyle name="Note 2 4 4 4" xfId="1723"/>
    <cellStyle name="Note 2 4 4 4 2" xfId="2591"/>
    <cellStyle name="Note 2 4 4 4 2 2" xfId="5788"/>
    <cellStyle name="Note 2 4 4 4 3" xfId="5050"/>
    <cellStyle name="Note 2 4 4 5" xfId="3796"/>
    <cellStyle name="Note 2 4 4 5 2" xfId="6992"/>
    <cellStyle name="Note 2 4 4 6" xfId="4189"/>
    <cellStyle name="Note 2 4 5" xfId="3943"/>
    <cellStyle name="Note 2 4 5 2" xfId="7139"/>
    <cellStyle name="Note 2 5" xfId="1724"/>
    <cellStyle name="Note 2 5 2" xfId="1725"/>
    <cellStyle name="Note 2 5 2 2" xfId="1726"/>
    <cellStyle name="Note 2 5 2 2 2" xfId="1727"/>
    <cellStyle name="Note 2 5 2 2 2 2" xfId="2727"/>
    <cellStyle name="Note 2 5 2 2 2 2 2" xfId="5924"/>
    <cellStyle name="Note 2 5 2 2 2 3" xfId="5279"/>
    <cellStyle name="Note 2 5 2 2 3" xfId="3904"/>
    <cellStyle name="Note 2 5 2 2 3 2" xfId="7100"/>
    <cellStyle name="Note 2 5 2 2 4" xfId="4809"/>
    <cellStyle name="Note 2 5 2 3" xfId="1728"/>
    <cellStyle name="Note 2 5 2 3 2" xfId="2994"/>
    <cellStyle name="Note 2 5 2 3 2 2" xfId="6191"/>
    <cellStyle name="Note 2 5 2 3 3" xfId="5578"/>
    <cellStyle name="Note 2 5 2 3 4" xfId="4522"/>
    <cellStyle name="Note 2 5 2 4" xfId="1729"/>
    <cellStyle name="Note 2 5 2 4 2" xfId="2602"/>
    <cellStyle name="Note 2 5 2 4 2 2" xfId="5799"/>
    <cellStyle name="Note 2 5 2 4 3" xfId="4992"/>
    <cellStyle name="Note 2 5 2 5" xfId="3325"/>
    <cellStyle name="Note 2 5 2 5 2" xfId="6521"/>
    <cellStyle name="Note 2 5 2 6" xfId="4131"/>
    <cellStyle name="Note 2 5 3" xfId="1730"/>
    <cellStyle name="Note 2 5 3 2" xfId="1731"/>
    <cellStyle name="Note 2 5 3 2 2" xfId="1732"/>
    <cellStyle name="Note 2 5 3 2 2 2" xfId="2686"/>
    <cellStyle name="Note 2 5 3 2 2 2 2" xfId="5883"/>
    <cellStyle name="Note 2 5 3 2 2 3" xfId="5320"/>
    <cellStyle name="Note 2 5 3 2 3" xfId="3869"/>
    <cellStyle name="Note 2 5 3 2 3 2" xfId="7065"/>
    <cellStyle name="Note 2 5 3 2 4" xfId="4850"/>
    <cellStyle name="Note 2 5 3 3" xfId="1733"/>
    <cellStyle name="Note 2 5 3 3 2" xfId="2963"/>
    <cellStyle name="Note 2 5 3 3 2 2" xfId="6160"/>
    <cellStyle name="Note 2 5 3 3 3" xfId="5579"/>
    <cellStyle name="Note 2 5 3 3 4" xfId="4563"/>
    <cellStyle name="Note 2 5 3 4" xfId="1734"/>
    <cellStyle name="Note 2 5 3 4 2" xfId="3277"/>
    <cellStyle name="Note 2 5 3 4 2 2" xfId="6473"/>
    <cellStyle name="Note 2 5 3 4 3" xfId="5033"/>
    <cellStyle name="Note 2 5 3 5" xfId="3017"/>
    <cellStyle name="Note 2 5 3 5 2" xfId="6214"/>
    <cellStyle name="Note 2 5 3 6" xfId="4172"/>
    <cellStyle name="Note 2 5 4" xfId="1735"/>
    <cellStyle name="Note 2 5 4 2" xfId="1736"/>
    <cellStyle name="Note 2 5 4 2 2" xfId="2760"/>
    <cellStyle name="Note 2 5 4 2 2 2" xfId="5957"/>
    <cellStyle name="Note 2 5 4 2 3" xfId="5246"/>
    <cellStyle name="Note 2 5 4 3" xfId="3964"/>
    <cellStyle name="Note 2 5 4 3 2" xfId="7160"/>
    <cellStyle name="Note 2 5 4 4" xfId="4776"/>
    <cellStyle name="Note 2 5 5" xfId="1737"/>
    <cellStyle name="Note 2 5 5 2" xfId="3003"/>
    <cellStyle name="Note 2 5 5 2 2" xfId="6200"/>
    <cellStyle name="Note 2 5 5 3" xfId="5580"/>
    <cellStyle name="Note 2 5 5 4" xfId="4489"/>
    <cellStyle name="Note 2 5 6" xfId="1738"/>
    <cellStyle name="Note 2 5 6 2" xfId="3342"/>
    <cellStyle name="Note 2 5 6 2 2" xfId="6538"/>
    <cellStyle name="Note 2 5 6 3" xfId="4296"/>
    <cellStyle name="Note 2 5 7" xfId="4098"/>
    <cellStyle name="Note 2 6" xfId="1739"/>
    <cellStyle name="Note 2 6 2" xfId="1740"/>
    <cellStyle name="Note 2 6 2 2" xfId="1741"/>
    <cellStyle name="Note 2 6 2 2 2" xfId="2846"/>
    <cellStyle name="Note 2 6 2 2 2 2" xfId="6043"/>
    <cellStyle name="Note 2 6 2 2 3" xfId="5158"/>
    <cellStyle name="Note 2 6 2 3" xfId="3406"/>
    <cellStyle name="Note 2 6 2 3 2" xfId="6602"/>
    <cellStyle name="Note 2 6 2 4" xfId="4688"/>
    <cellStyle name="Note 2 6 3" xfId="1742"/>
    <cellStyle name="Note 2 6 3 2" xfId="3177"/>
    <cellStyle name="Note 2 6 3 2 2" xfId="6373"/>
    <cellStyle name="Note 2 6 3 3" xfId="5581"/>
    <cellStyle name="Note 2 6 3 4" xfId="4401"/>
    <cellStyle name="Note 2 6 4" xfId="1743"/>
    <cellStyle name="Note 2 6 4 2" xfId="3499"/>
    <cellStyle name="Note 2 6 4 2 2" xfId="6695"/>
    <cellStyle name="Note 2 6 4 3" xfId="4382"/>
    <cellStyle name="Note 2 6 5" xfId="4010"/>
    <cellStyle name="Note 3" xfId="1744"/>
    <cellStyle name="Note 3 2" xfId="1745"/>
    <cellStyle name="Note 3 2 2" xfId="1746"/>
    <cellStyle name="Note 3 2 2 2" xfId="1747"/>
    <cellStyle name="Note 3 2 2 2 2" xfId="1748"/>
    <cellStyle name="Note 3 2 2 2 2 2" xfId="2793"/>
    <cellStyle name="Note 3 2 2 2 2 2 2" xfId="5990"/>
    <cellStyle name="Note 3 2 2 2 2 3" xfId="5212"/>
    <cellStyle name="Note 3 2 2 2 3" xfId="3802"/>
    <cellStyle name="Note 3 2 2 2 3 2" xfId="6998"/>
    <cellStyle name="Note 3 2 2 2 4" xfId="4742"/>
    <cellStyle name="Note 3 2 2 3" xfId="1749"/>
    <cellStyle name="Note 3 2 2 3 2" xfId="3813"/>
    <cellStyle name="Note 3 2 2 3 2 2" xfId="7009"/>
    <cellStyle name="Note 3 2 2 3 3" xfId="5582"/>
    <cellStyle name="Note 3 2 2 3 4" xfId="4455"/>
    <cellStyle name="Note 3 2 2 4" xfId="1750"/>
    <cellStyle name="Note 3 2 2 4 2" xfId="3546"/>
    <cellStyle name="Note 3 2 2 4 2 2" xfId="6742"/>
    <cellStyle name="Note 3 2 2 4 3" xfId="4329"/>
    <cellStyle name="Note 3 2 2 5" xfId="4064"/>
    <cellStyle name="Note 3 2 3" xfId="1751"/>
    <cellStyle name="Note 3 2 3 2" xfId="1752"/>
    <cellStyle name="Note 3 2 3 2 2" xfId="1753"/>
    <cellStyle name="Note 3 2 3 2 2 2" xfId="2618"/>
    <cellStyle name="Note 3 2 3 2 2 2 2" xfId="5815"/>
    <cellStyle name="Note 3 2 3 2 2 3" xfId="5391"/>
    <cellStyle name="Note 3 2 3 2 3" xfId="3809"/>
    <cellStyle name="Note 3 2 3 2 3 2" xfId="7005"/>
    <cellStyle name="Note 3 2 3 2 4" xfId="4921"/>
    <cellStyle name="Note 3 2 3 3" xfId="1754"/>
    <cellStyle name="Note 3 2 3 3 2" xfId="3923"/>
    <cellStyle name="Note 3 2 3 3 2 2" xfId="7119"/>
    <cellStyle name="Note 3 2 3 3 3" xfId="5583"/>
    <cellStyle name="Note 3 2 3 3 4" xfId="4634"/>
    <cellStyle name="Note 3 2 3 4" xfId="1755"/>
    <cellStyle name="Note 3 2 3 4 2" xfId="2898"/>
    <cellStyle name="Note 3 2 3 4 2 2" xfId="6095"/>
    <cellStyle name="Note 3 2 3 4 3" xfId="5104"/>
    <cellStyle name="Note 3 2 3 5" xfId="3655"/>
    <cellStyle name="Note 3 2 3 5 2" xfId="6851"/>
    <cellStyle name="Note 3 2 3 6" xfId="4243"/>
    <cellStyle name="Note 3 2 4" xfId="1756"/>
    <cellStyle name="Note 3 2 4 2" xfId="1757"/>
    <cellStyle name="Note 3 2 4 2 2" xfId="1758"/>
    <cellStyle name="Note 3 2 4 2 2 2" xfId="3025"/>
    <cellStyle name="Note 3 2 4 2 2 2 2" xfId="6222"/>
    <cellStyle name="Note 3 2 4 2 2 3" xfId="5420"/>
    <cellStyle name="Note 3 2 4 2 3" xfId="3081"/>
    <cellStyle name="Note 3 2 4 2 3 2" xfId="6278"/>
    <cellStyle name="Note 3 2 4 2 4" xfId="4950"/>
    <cellStyle name="Note 3 2 4 3" xfId="1759"/>
    <cellStyle name="Note 3 2 4 3 2" xfId="3174"/>
    <cellStyle name="Note 3 2 4 3 2 2" xfId="6370"/>
    <cellStyle name="Note 3 2 4 3 3" xfId="5584"/>
    <cellStyle name="Note 3 2 4 3 4" xfId="4663"/>
    <cellStyle name="Note 3 2 4 4" xfId="1760"/>
    <cellStyle name="Note 3 2 4 4 2" xfId="2870"/>
    <cellStyle name="Note 3 2 4 4 2 2" xfId="6067"/>
    <cellStyle name="Note 3 2 4 4 3" xfId="5133"/>
    <cellStyle name="Note 3 2 4 5" xfId="3967"/>
    <cellStyle name="Note 3 2 4 5 2" xfId="7163"/>
    <cellStyle name="Note 3 2 4 6" xfId="4272"/>
    <cellStyle name="Note 3 2 5" xfId="3152"/>
    <cellStyle name="Note 3 2 5 2" xfId="6348"/>
    <cellStyle name="Note 3 3" xfId="1761"/>
    <cellStyle name="Note 3 3 2" xfId="1762"/>
    <cellStyle name="Note 3 3 2 2" xfId="1763"/>
    <cellStyle name="Note 3 3 2 2 2" xfId="1764"/>
    <cellStyle name="Note 3 3 2 2 2 2" xfId="2716"/>
    <cellStyle name="Note 3 3 2 2 2 2 2" xfId="5913"/>
    <cellStyle name="Note 3 3 2 2 2 3" xfId="5290"/>
    <cellStyle name="Note 3 3 2 2 3" xfId="3350"/>
    <cellStyle name="Note 3 3 2 2 3 2" xfId="6546"/>
    <cellStyle name="Note 3 3 2 2 4" xfId="4820"/>
    <cellStyle name="Note 3 3 2 3" xfId="1765"/>
    <cellStyle name="Note 3 3 2 3 2" xfId="2984"/>
    <cellStyle name="Note 3 3 2 3 2 2" xfId="6181"/>
    <cellStyle name="Note 3 3 2 3 3" xfId="5585"/>
    <cellStyle name="Note 3 3 2 3 4" xfId="4533"/>
    <cellStyle name="Note 3 3 2 4" xfId="1766"/>
    <cellStyle name="Note 3 3 2 4 2" xfId="2600"/>
    <cellStyle name="Note 3 3 2 4 2 2" xfId="5797"/>
    <cellStyle name="Note 3 3 2 4 3" xfId="5003"/>
    <cellStyle name="Note 3 3 2 5" xfId="3249"/>
    <cellStyle name="Note 3 3 2 5 2" xfId="6445"/>
    <cellStyle name="Note 3 3 2 6" xfId="4142"/>
    <cellStyle name="Note 3 3 3" xfId="1767"/>
    <cellStyle name="Note 3 3 3 2" xfId="1768"/>
    <cellStyle name="Note 3 3 3 2 2" xfId="1769"/>
    <cellStyle name="Note 3 3 3 2 2 2" xfId="2657"/>
    <cellStyle name="Note 3 3 3 2 2 2 2" xfId="5854"/>
    <cellStyle name="Note 3 3 3 2 2 3" xfId="5426"/>
    <cellStyle name="Note 3 3 3 2 3" xfId="2946"/>
    <cellStyle name="Note 3 3 3 2 3 2" xfId="6143"/>
    <cellStyle name="Note 3 3 3 2 4" xfId="4956"/>
    <cellStyle name="Note 3 3 3 3" xfId="1770"/>
    <cellStyle name="Note 3 3 3 3 2" xfId="3617"/>
    <cellStyle name="Note 3 3 3 3 2 2" xfId="6813"/>
    <cellStyle name="Note 3 3 3 3 3" xfId="5586"/>
    <cellStyle name="Note 3 3 3 3 4" xfId="4669"/>
    <cellStyle name="Note 3 3 3 4" xfId="1771"/>
    <cellStyle name="Note 3 3 3 4 2" xfId="2864"/>
    <cellStyle name="Note 3 3 3 4 2 2" xfId="6061"/>
    <cellStyle name="Note 3 3 3 4 3" xfId="5139"/>
    <cellStyle name="Note 3 3 3 5" xfId="3464"/>
    <cellStyle name="Note 3 3 3 5 2" xfId="6660"/>
    <cellStyle name="Note 3 3 3 6" xfId="4278"/>
    <cellStyle name="Note 3 3 4" xfId="1772"/>
    <cellStyle name="Note 3 3 4 2" xfId="1773"/>
    <cellStyle name="Note 3 3 4 2 2" xfId="2749"/>
    <cellStyle name="Note 3 3 4 2 2 2" xfId="5946"/>
    <cellStyle name="Note 3 3 4 2 3" xfId="5257"/>
    <cellStyle name="Note 3 3 4 3" xfId="3716"/>
    <cellStyle name="Note 3 3 4 3 2" xfId="6912"/>
    <cellStyle name="Note 3 3 4 4" xfId="4787"/>
    <cellStyle name="Note 3 3 5" xfId="1774"/>
    <cellStyle name="Note 3 3 5 2" xfId="2643"/>
    <cellStyle name="Note 3 3 5 2 2" xfId="5840"/>
    <cellStyle name="Note 3 3 5 3" xfId="5587"/>
    <cellStyle name="Note 3 3 5 4" xfId="4500"/>
    <cellStyle name="Note 3 3 6" xfId="1775"/>
    <cellStyle name="Note 3 3 6 2" xfId="2943"/>
    <cellStyle name="Note 3 3 6 2 2" xfId="6140"/>
    <cellStyle name="Note 3 3 6 3" xfId="4970"/>
    <cellStyle name="Note 3 3 7" xfId="4109"/>
    <cellStyle name="Note 3 4" xfId="1776"/>
    <cellStyle name="Note 3 4 2" xfId="1777"/>
    <cellStyle name="Note 3 4 2 2" xfId="1778"/>
    <cellStyle name="Note 3 4 2 2 2" xfId="2852"/>
    <cellStyle name="Note 3 4 2 2 2 2" xfId="6049"/>
    <cellStyle name="Note 3 4 2 2 3" xfId="5152"/>
    <cellStyle name="Note 3 4 2 3" xfId="3719"/>
    <cellStyle name="Note 3 4 2 3 2" xfId="6915"/>
    <cellStyle name="Note 3 4 2 4" xfId="4682"/>
    <cellStyle name="Note 3 4 3" xfId="1779"/>
    <cellStyle name="Note 3 4 3 2" xfId="3725"/>
    <cellStyle name="Note 3 4 3 2 2" xfId="6921"/>
    <cellStyle name="Note 3 4 3 3" xfId="5588"/>
    <cellStyle name="Note 3 4 3 4" xfId="4395"/>
    <cellStyle name="Note 3 4 4" xfId="1780"/>
    <cellStyle name="Note 3 4 4 2" xfId="3840"/>
    <cellStyle name="Note 3 4 4 2 2" xfId="7036"/>
    <cellStyle name="Note 3 4 4 3" xfId="4387"/>
    <cellStyle name="Note 3 4 5" xfId="4004"/>
    <cellStyle name="Note 4" xfId="1781"/>
    <cellStyle name="Note 4 2" xfId="1782"/>
    <cellStyle name="Note 4 2 2" xfId="1783"/>
    <cellStyle name="Note 4 2 2 2" xfId="1784"/>
    <cellStyle name="Note 4 2 2 2 2" xfId="1785"/>
    <cellStyle name="Note 4 2 2 2 2 2" xfId="2788"/>
    <cellStyle name="Note 4 2 2 2 2 2 2" xfId="5985"/>
    <cellStyle name="Note 4 2 2 2 2 3" xfId="5217"/>
    <cellStyle name="Note 4 2 2 2 3" xfId="3770"/>
    <cellStyle name="Note 4 2 2 2 3 2" xfId="6966"/>
    <cellStyle name="Note 4 2 2 2 4" xfId="4747"/>
    <cellStyle name="Note 4 2 2 3" xfId="1786"/>
    <cellStyle name="Note 4 2 2 3 2" xfId="3821"/>
    <cellStyle name="Note 4 2 2 3 2 2" xfId="7017"/>
    <cellStyle name="Note 4 2 2 3 3" xfId="5589"/>
    <cellStyle name="Note 4 2 2 3 4" xfId="4460"/>
    <cellStyle name="Note 4 2 2 4" xfId="1787"/>
    <cellStyle name="Note 4 2 2 4 2" xfId="3615"/>
    <cellStyle name="Note 4 2 2 4 2 2" xfId="6811"/>
    <cellStyle name="Note 4 2 2 4 3" xfId="4324"/>
    <cellStyle name="Note 4 2 2 5" xfId="4069"/>
    <cellStyle name="Note 4 2 3" xfId="1788"/>
    <cellStyle name="Note 4 2 3 2" xfId="1789"/>
    <cellStyle name="Note 4 2 3 2 2" xfId="1790"/>
    <cellStyle name="Note 4 2 3 2 2 2" xfId="2623"/>
    <cellStyle name="Note 4 2 3 2 2 2 2" xfId="5820"/>
    <cellStyle name="Note 4 2 3 2 2 3" xfId="5395"/>
    <cellStyle name="Note 4 2 3 2 3" xfId="3381"/>
    <cellStyle name="Note 4 2 3 2 3 2" xfId="6577"/>
    <cellStyle name="Note 4 2 3 2 4" xfId="4925"/>
    <cellStyle name="Note 4 2 3 3" xfId="1791"/>
    <cellStyle name="Note 4 2 3 3 2" xfId="3457"/>
    <cellStyle name="Note 4 2 3 3 2 2" xfId="6653"/>
    <cellStyle name="Note 4 2 3 3 3" xfId="5590"/>
    <cellStyle name="Note 4 2 3 3 4" xfId="4638"/>
    <cellStyle name="Note 4 2 3 4" xfId="1792"/>
    <cellStyle name="Note 4 2 3 4 2" xfId="2894"/>
    <cellStyle name="Note 4 2 3 4 2 2" xfId="6091"/>
    <cellStyle name="Note 4 2 3 4 3" xfId="5108"/>
    <cellStyle name="Note 4 2 3 5" xfId="3008"/>
    <cellStyle name="Note 4 2 3 5 2" xfId="6205"/>
    <cellStyle name="Note 4 2 3 6" xfId="4247"/>
    <cellStyle name="Note 4 2 4" xfId="1793"/>
    <cellStyle name="Note 4 2 4 2" xfId="1794"/>
    <cellStyle name="Note 4 2 4 2 2" xfId="1795"/>
    <cellStyle name="Note 4 2 4 2 2 2" xfId="2698"/>
    <cellStyle name="Note 4 2 4 2 2 2 2" xfId="5895"/>
    <cellStyle name="Note 4 2 4 2 2 3" xfId="5308"/>
    <cellStyle name="Note 4 2 4 2 3" xfId="3787"/>
    <cellStyle name="Note 4 2 4 2 3 2" xfId="6983"/>
    <cellStyle name="Note 4 2 4 2 4" xfId="4838"/>
    <cellStyle name="Note 4 2 4 3" xfId="1796"/>
    <cellStyle name="Note 4 2 4 3 2" xfId="2621"/>
    <cellStyle name="Note 4 2 4 3 2 2" xfId="5818"/>
    <cellStyle name="Note 4 2 4 3 3" xfId="5591"/>
    <cellStyle name="Note 4 2 4 3 4" xfId="4551"/>
    <cellStyle name="Note 4 2 4 4" xfId="1797"/>
    <cellStyle name="Note 4 2 4 4 2" xfId="3068"/>
    <cellStyle name="Note 4 2 4 4 2 2" xfId="6265"/>
    <cellStyle name="Note 4 2 4 4 3" xfId="5021"/>
    <cellStyle name="Note 4 2 4 5" xfId="3253"/>
    <cellStyle name="Note 4 2 4 5 2" xfId="6449"/>
    <cellStyle name="Note 4 2 4 6" xfId="4160"/>
    <cellStyle name="Note 4 2 5" xfId="3438"/>
    <cellStyle name="Note 4 2 5 2" xfId="6634"/>
    <cellStyle name="Note 4 3" xfId="1798"/>
    <cellStyle name="Note 4 3 2" xfId="1799"/>
    <cellStyle name="Note 4 3 2 2" xfId="1800"/>
    <cellStyle name="Note 4 3 2 2 2" xfId="1801"/>
    <cellStyle name="Note 4 3 2 2 2 2" xfId="2708"/>
    <cellStyle name="Note 4 3 2 2 2 2 2" xfId="5905"/>
    <cellStyle name="Note 4 3 2 2 2 3" xfId="5298"/>
    <cellStyle name="Note 4 3 2 2 3" xfId="3586"/>
    <cellStyle name="Note 4 3 2 2 3 2" xfId="6782"/>
    <cellStyle name="Note 4 3 2 2 4" xfId="4828"/>
    <cellStyle name="Note 4 3 2 3" xfId="1802"/>
    <cellStyle name="Note 4 3 2 3 2" xfId="2977"/>
    <cellStyle name="Note 4 3 2 3 2 2" xfId="6174"/>
    <cellStyle name="Note 4 3 2 3 3" xfId="5592"/>
    <cellStyle name="Note 4 3 2 3 4" xfId="4541"/>
    <cellStyle name="Note 4 3 2 4" xfId="1803"/>
    <cellStyle name="Note 4 3 2 4 2" xfId="3281"/>
    <cellStyle name="Note 4 3 2 4 2 2" xfId="6477"/>
    <cellStyle name="Note 4 3 2 4 3" xfId="5011"/>
    <cellStyle name="Note 4 3 2 5" xfId="3307"/>
    <cellStyle name="Note 4 3 2 5 2" xfId="6503"/>
    <cellStyle name="Note 4 3 2 6" xfId="4150"/>
    <cellStyle name="Note 4 3 3" xfId="1804"/>
    <cellStyle name="Note 4 3 3 2" xfId="1805"/>
    <cellStyle name="Note 4 3 3 2 2" xfId="1806"/>
    <cellStyle name="Note 4 3 3 2 2 2" xfId="2665"/>
    <cellStyle name="Note 4 3 3 2 2 2 2" xfId="5862"/>
    <cellStyle name="Note 4 3 3 2 2 3" xfId="5434"/>
    <cellStyle name="Note 4 3 3 2 3" xfId="2944"/>
    <cellStyle name="Note 4 3 3 2 3 2" xfId="6141"/>
    <cellStyle name="Note 4 3 3 2 4" xfId="4964"/>
    <cellStyle name="Note 4 3 3 3" xfId="1807"/>
    <cellStyle name="Note 4 3 3 3 2" xfId="3356"/>
    <cellStyle name="Note 4 3 3 3 2 2" xfId="6552"/>
    <cellStyle name="Note 4 3 3 3 3" xfId="5593"/>
    <cellStyle name="Note 4 3 3 3 4" xfId="4677"/>
    <cellStyle name="Note 4 3 3 4" xfId="1808"/>
    <cellStyle name="Note 4 3 3 4 2" xfId="2856"/>
    <cellStyle name="Note 4 3 3 4 2 2" xfId="6053"/>
    <cellStyle name="Note 4 3 3 4 3" xfId="5147"/>
    <cellStyle name="Note 4 3 3 5" xfId="3676"/>
    <cellStyle name="Note 4 3 3 5 2" xfId="6872"/>
    <cellStyle name="Note 4 3 3 6" xfId="4286"/>
    <cellStyle name="Note 4 3 4" xfId="1809"/>
    <cellStyle name="Note 4 3 4 2" xfId="1810"/>
    <cellStyle name="Note 4 3 4 2 2" xfId="2741"/>
    <cellStyle name="Note 4 3 4 2 2 2" xfId="5938"/>
    <cellStyle name="Note 4 3 4 2 3" xfId="5265"/>
    <cellStyle name="Note 4 3 4 3" xfId="3515"/>
    <cellStyle name="Note 4 3 4 3 2" xfId="6711"/>
    <cellStyle name="Note 4 3 4 4" xfId="4795"/>
    <cellStyle name="Note 4 3 5" xfId="1811"/>
    <cellStyle name="Note 4 3 5 2" xfId="3054"/>
    <cellStyle name="Note 4 3 5 2 2" xfId="6251"/>
    <cellStyle name="Note 4 3 5 3" xfId="5594"/>
    <cellStyle name="Note 4 3 5 4" xfId="4508"/>
    <cellStyle name="Note 4 3 6" xfId="1812"/>
    <cellStyle name="Note 4 3 6 2" xfId="2941"/>
    <cellStyle name="Note 4 3 6 2 2" xfId="6138"/>
    <cellStyle name="Note 4 3 6 3" xfId="4978"/>
    <cellStyle name="Note 4 3 7" xfId="4117"/>
    <cellStyle name="Note 4 4" xfId="1813"/>
    <cellStyle name="Note 4 4 2" xfId="1814"/>
    <cellStyle name="Note 4 4 2 2" xfId="1815"/>
    <cellStyle name="Note 4 4 2 2 2" xfId="2832"/>
    <cellStyle name="Note 4 4 2 2 2 2" xfId="6029"/>
    <cellStyle name="Note 4 4 2 2 3" xfId="5172"/>
    <cellStyle name="Note 4 4 2 3" xfId="3529"/>
    <cellStyle name="Note 4 4 2 3 2" xfId="6725"/>
    <cellStyle name="Note 4 4 2 4" xfId="4702"/>
    <cellStyle name="Note 4 4 3" xfId="1816"/>
    <cellStyle name="Note 4 4 3 2" xfId="3654"/>
    <cellStyle name="Note 4 4 3 2 2" xfId="6850"/>
    <cellStyle name="Note 4 4 3 3" xfId="5595"/>
    <cellStyle name="Note 4 4 3 4" xfId="4415"/>
    <cellStyle name="Note 4 4 4" xfId="1817"/>
    <cellStyle name="Note 4 4 4 2" xfId="3685"/>
    <cellStyle name="Note 4 4 4 2 2" xfId="6881"/>
    <cellStyle name="Note 4 4 4 3" xfId="4368"/>
    <cellStyle name="Note 4 4 5" xfId="4024"/>
    <cellStyle name="Note 5" xfId="1818"/>
    <cellStyle name="Note 5 2" xfId="1819"/>
    <cellStyle name="Note 5 2 2" xfId="1820"/>
    <cellStyle name="Note 5 2 2 2" xfId="1821"/>
    <cellStyle name="Note 5 2 2 2 2" xfId="2812"/>
    <cellStyle name="Note 5 2 2 2 2 2" xfId="6009"/>
    <cellStyle name="Note 5 2 2 2 3" xfId="5192"/>
    <cellStyle name="Note 5 2 2 3" xfId="3594"/>
    <cellStyle name="Note 5 2 2 3 2" xfId="6790"/>
    <cellStyle name="Note 5 2 2 4" xfId="4722"/>
    <cellStyle name="Note 5 2 3" xfId="1822"/>
    <cellStyle name="Note 5 2 3 2" xfId="3915"/>
    <cellStyle name="Note 5 2 3 2 2" xfId="7111"/>
    <cellStyle name="Note 5 2 3 3" xfId="5596"/>
    <cellStyle name="Note 5 2 3 4" xfId="4435"/>
    <cellStyle name="Note 5 2 4" xfId="1823"/>
    <cellStyle name="Note 5 2 4 2" xfId="3192"/>
    <cellStyle name="Note 5 2 4 2 2" xfId="6388"/>
    <cellStyle name="Note 5 2 4 3" xfId="4348"/>
    <cellStyle name="Note 5 2 5" xfId="4044"/>
    <cellStyle name="Note 5 3" xfId="1824"/>
    <cellStyle name="Note 5 3 2" xfId="1825"/>
    <cellStyle name="Note 5 3 2 2" xfId="1826"/>
    <cellStyle name="Note 5 3 2 2 2" xfId="2573"/>
    <cellStyle name="Note 5 3 2 2 2 2" xfId="5770"/>
    <cellStyle name="Note 5 3 2 2 3" xfId="5374"/>
    <cellStyle name="Note 5 3 2 3" xfId="3189"/>
    <cellStyle name="Note 5 3 2 3 2" xfId="6385"/>
    <cellStyle name="Note 5 3 2 4" xfId="4904"/>
    <cellStyle name="Note 5 3 3" xfId="1827"/>
    <cellStyle name="Note 5 3 3 2" xfId="3123"/>
    <cellStyle name="Note 5 3 3 2 2" xfId="6320"/>
    <cellStyle name="Note 5 3 3 3" xfId="5597"/>
    <cellStyle name="Note 5 3 3 4" xfId="4617"/>
    <cellStyle name="Note 5 3 4" xfId="1828"/>
    <cellStyle name="Note 5 3 4 2" xfId="2915"/>
    <cellStyle name="Note 5 3 4 2 2" xfId="6112"/>
    <cellStyle name="Note 5 3 4 3" xfId="5087"/>
    <cellStyle name="Note 5 3 5" xfId="3491"/>
    <cellStyle name="Note 5 3 5 2" xfId="6687"/>
    <cellStyle name="Note 5 3 6" xfId="4226"/>
    <cellStyle name="Note 5 4" xfId="1829"/>
    <cellStyle name="Note 5 4 2" xfId="1830"/>
    <cellStyle name="Note 5 4 2 2" xfId="1831"/>
    <cellStyle name="Note 5 4 2 2 2" xfId="2671"/>
    <cellStyle name="Note 5 4 2 2 2 2" xfId="5868"/>
    <cellStyle name="Note 5 4 2 2 3" xfId="5336"/>
    <cellStyle name="Note 5 4 2 3" xfId="3653"/>
    <cellStyle name="Note 5 4 2 3 2" xfId="6849"/>
    <cellStyle name="Note 5 4 2 4" xfId="4866"/>
    <cellStyle name="Note 5 4 3" xfId="1832"/>
    <cellStyle name="Note 5 4 3 2" xfId="3097"/>
    <cellStyle name="Note 5 4 3 2 2" xfId="6294"/>
    <cellStyle name="Note 5 4 3 3" xfId="5598"/>
    <cellStyle name="Note 5 4 3 4" xfId="4579"/>
    <cellStyle name="Note 5 4 4" xfId="1833"/>
    <cellStyle name="Note 5 4 4 2" xfId="3274"/>
    <cellStyle name="Note 5 4 4 2 2" xfId="6470"/>
    <cellStyle name="Note 5 4 4 3" xfId="5049"/>
    <cellStyle name="Note 5 4 5" xfId="3666"/>
    <cellStyle name="Note 5 4 5 2" xfId="6862"/>
    <cellStyle name="Note 5 4 6" xfId="4188"/>
    <cellStyle name="Note 5 5" xfId="3436"/>
    <cellStyle name="Note 5 5 2" xfId="6632"/>
    <cellStyle name="Note 6" xfId="1834"/>
    <cellStyle name="Note 6 2" xfId="1835"/>
    <cellStyle name="Note 6 2 2" xfId="1836"/>
    <cellStyle name="Note 6 2 2 2" xfId="1837"/>
    <cellStyle name="Note 6 2 2 2 2" xfId="2735"/>
    <cellStyle name="Note 6 2 2 2 2 2" xfId="5932"/>
    <cellStyle name="Note 6 2 2 2 3" xfId="5271"/>
    <cellStyle name="Note 6 2 2 3" xfId="3052"/>
    <cellStyle name="Note 6 2 2 3 2" xfId="6249"/>
    <cellStyle name="Note 6 2 2 4" xfId="4801"/>
    <cellStyle name="Note 6 2 3" xfId="1838"/>
    <cellStyle name="Note 6 2 3 2" xfId="3158"/>
    <cellStyle name="Note 6 2 3 2 2" xfId="6354"/>
    <cellStyle name="Note 6 2 3 3" xfId="5599"/>
    <cellStyle name="Note 6 2 3 4" xfId="4514"/>
    <cellStyle name="Note 6 2 4" xfId="1839"/>
    <cellStyle name="Note 6 2 4 2" xfId="2940"/>
    <cellStyle name="Note 6 2 4 2 2" xfId="6137"/>
    <cellStyle name="Note 6 2 4 3" xfId="4984"/>
    <cellStyle name="Note 6 2 5" xfId="3121"/>
    <cellStyle name="Note 6 2 5 2" xfId="6318"/>
    <cellStyle name="Note 6 2 6" xfId="4123"/>
    <cellStyle name="Note 6 3" xfId="1840"/>
    <cellStyle name="Note 6 3 2" xfId="1841"/>
    <cellStyle name="Note 6 3 2 2" xfId="1842"/>
    <cellStyle name="Note 6 3 2 2 2" xfId="2678"/>
    <cellStyle name="Note 6 3 2 2 2 2" xfId="5875"/>
    <cellStyle name="Note 6 3 2 2 3" xfId="5328"/>
    <cellStyle name="Note 6 3 2 3" xfId="3837"/>
    <cellStyle name="Note 6 3 2 3 2" xfId="7033"/>
    <cellStyle name="Note 6 3 2 4" xfId="4858"/>
    <cellStyle name="Note 6 3 3" xfId="1843"/>
    <cellStyle name="Note 6 3 3 2" xfId="3311"/>
    <cellStyle name="Note 6 3 3 2 2" xfId="6507"/>
    <cellStyle name="Note 6 3 3 3" xfId="5600"/>
    <cellStyle name="Note 6 3 3 4" xfId="4571"/>
    <cellStyle name="Note 6 3 4" xfId="1844"/>
    <cellStyle name="Note 6 3 4 2" xfId="3064"/>
    <cellStyle name="Note 6 3 4 2 2" xfId="6261"/>
    <cellStyle name="Note 6 3 4 3" xfId="5041"/>
    <cellStyle name="Note 6 3 5" xfId="3009"/>
    <cellStyle name="Note 6 3 5 2" xfId="6206"/>
    <cellStyle name="Note 6 3 6" xfId="4180"/>
    <cellStyle name="Note 6 4" xfId="1845"/>
    <cellStyle name="Note 6 4 2" xfId="1846"/>
    <cellStyle name="Note 6 4 2 2" xfId="2768"/>
    <cellStyle name="Note 6 4 2 2 2" xfId="5965"/>
    <cellStyle name="Note 6 4 2 3" xfId="5238"/>
    <cellStyle name="Note 6 4 3" xfId="3118"/>
    <cellStyle name="Note 6 4 3 2" xfId="6315"/>
    <cellStyle name="Note 6 4 4" xfId="4768"/>
    <cellStyle name="Note 6 5" xfId="1847"/>
    <cellStyle name="Note 6 5 2" xfId="3517"/>
    <cellStyle name="Note 6 5 2 2" xfId="6713"/>
    <cellStyle name="Note 6 5 3" xfId="5601"/>
    <cellStyle name="Note 6 5 4" xfId="4481"/>
    <cellStyle name="Note 6 6" xfId="1848"/>
    <cellStyle name="Note 6 6 2" xfId="3978"/>
    <cellStyle name="Note 6 6 2 2" xfId="7174"/>
    <cellStyle name="Note 6 6 3" xfId="4304"/>
    <cellStyle name="Note 6 7" xfId="4090"/>
    <cellStyle name="Notes" xfId="1849"/>
    <cellStyle name="Output" xfId="10" builtinId="21" customBuiltin="1"/>
    <cellStyle name="Output 2" xfId="1850"/>
    <cellStyle name="Output 2 2" xfId="1851"/>
    <cellStyle name="Output 2 2 2" xfId="1852"/>
    <cellStyle name="Output 2 2 2 2" xfId="1853"/>
    <cellStyle name="Output 2 2 2 2 2" xfId="1854"/>
    <cellStyle name="Output 2 2 2 2 2 2" xfId="1855"/>
    <cellStyle name="Output 2 2 2 2 2 2 2" xfId="1856"/>
    <cellStyle name="Output 2 2 2 2 2 2 2 2" xfId="2773"/>
    <cellStyle name="Output 2 2 2 2 2 2 2 2 2" xfId="5970"/>
    <cellStyle name="Output 2 2 2 2 2 2 2 3" xfId="5233"/>
    <cellStyle name="Output 2 2 2 2 2 2 3" xfId="3451"/>
    <cellStyle name="Output 2 2 2 2 2 2 3 2" xfId="6647"/>
    <cellStyle name="Output 2 2 2 2 2 2 4" xfId="4763"/>
    <cellStyle name="Output 2 2 2 2 2 3" xfId="1857"/>
    <cellStyle name="Output 2 2 2 2 2 3 2" xfId="3607"/>
    <cellStyle name="Output 2 2 2 2 2 3 2 2" xfId="6803"/>
    <cellStyle name="Output 2 2 2 2 2 3 3" xfId="5602"/>
    <cellStyle name="Output 2 2 2 2 2 3 4" xfId="4476"/>
    <cellStyle name="Output 2 2 2 2 2 4" xfId="1858"/>
    <cellStyle name="Output 2 2 2 2 2 4 2" xfId="3888"/>
    <cellStyle name="Output 2 2 2 2 2 4 2 2" xfId="7084"/>
    <cellStyle name="Output 2 2 2 2 2 4 3" xfId="4309"/>
    <cellStyle name="Output 2 2 2 2 2 5" xfId="3941"/>
    <cellStyle name="Output 2 2 2 2 2 5 2" xfId="7137"/>
    <cellStyle name="Output 2 2 2 2 2 6" xfId="4085"/>
    <cellStyle name="Output 2 2 2 2 3" xfId="1859"/>
    <cellStyle name="Output 2 2 2 2 3 2" xfId="1860"/>
    <cellStyle name="Output 2 2 2 2 3 2 2" xfId="1861"/>
    <cellStyle name="Output 2 2 2 2 3 2 2 2" xfId="2646"/>
    <cellStyle name="Output 2 2 2 2 3 2 2 2 2" xfId="5843"/>
    <cellStyle name="Output 2 2 2 2 3 2 2 3" xfId="5414"/>
    <cellStyle name="Output 2 2 2 2 3 2 3" xfId="2611"/>
    <cellStyle name="Output 2 2 2 2 3 2 3 2" xfId="5808"/>
    <cellStyle name="Output 2 2 2 2 3 2 4" xfId="4944"/>
    <cellStyle name="Output 2 2 2 2 3 3" xfId="1862"/>
    <cellStyle name="Output 2 2 2 2 3 3 2" xfId="3341"/>
    <cellStyle name="Output 2 2 2 2 3 3 2 2" xfId="6537"/>
    <cellStyle name="Output 2 2 2 2 3 3 3" xfId="5603"/>
    <cellStyle name="Output 2 2 2 2 3 3 4" xfId="4657"/>
    <cellStyle name="Output 2 2 2 2 3 4" xfId="1863"/>
    <cellStyle name="Output 2 2 2 2 3 4 2" xfId="2875"/>
    <cellStyle name="Output 2 2 2 2 3 4 2 2" xfId="6072"/>
    <cellStyle name="Output 2 2 2 2 3 4 3" xfId="5127"/>
    <cellStyle name="Output 2 2 2 2 3 5" xfId="3788"/>
    <cellStyle name="Output 2 2 2 2 3 5 2" xfId="6984"/>
    <cellStyle name="Output 2 2 2 2 3 6" xfId="4266"/>
    <cellStyle name="Output 2 2 2 2 4" xfId="3567"/>
    <cellStyle name="Output 2 2 2 2 4 2" xfId="6763"/>
    <cellStyle name="Output 2 2 2 3" xfId="1864"/>
    <cellStyle name="Output 2 2 2 3 2" xfId="1865"/>
    <cellStyle name="Output 2 2 2 3 2 2" xfId="1866"/>
    <cellStyle name="Output 2 2 2 3 2 2 2" xfId="2816"/>
    <cellStyle name="Output 2 2 2 3 2 2 2 2" xfId="6013"/>
    <cellStyle name="Output 2 2 2 3 2 2 3" xfId="5188"/>
    <cellStyle name="Output 2 2 2 3 2 3" xfId="3933"/>
    <cellStyle name="Output 2 2 2 3 2 3 2" xfId="7129"/>
    <cellStyle name="Output 2 2 2 3 2 4" xfId="4718"/>
    <cellStyle name="Output 2 2 2 3 3" xfId="1867"/>
    <cellStyle name="Output 2 2 2 3 3 2" xfId="3709"/>
    <cellStyle name="Output 2 2 2 3 3 2 2" xfId="6905"/>
    <cellStyle name="Output 2 2 2 3 3 3" xfId="5604"/>
    <cellStyle name="Output 2 2 2 3 3 4" xfId="4431"/>
    <cellStyle name="Output 2 2 2 3 4" xfId="1868"/>
    <cellStyle name="Output 2 2 2 3 4 2" xfId="3482"/>
    <cellStyle name="Output 2 2 2 3 4 2 2" xfId="6678"/>
    <cellStyle name="Output 2 2 2 3 4 3" xfId="4352"/>
    <cellStyle name="Output 2 2 2 3 5" xfId="3622"/>
    <cellStyle name="Output 2 2 2 3 5 2" xfId="6818"/>
    <cellStyle name="Output 2 2 2 3 6" xfId="4040"/>
    <cellStyle name="Output 2 2 2 4" xfId="1869"/>
    <cellStyle name="Output 2 2 2 4 2" xfId="1870"/>
    <cellStyle name="Output 2 2 2 4 2 2" xfId="1871"/>
    <cellStyle name="Output 2 2 2 4 2 2 2" xfId="2672"/>
    <cellStyle name="Output 2 2 2 4 2 2 2 2" xfId="5869"/>
    <cellStyle name="Output 2 2 2 4 2 2 3" xfId="5335"/>
    <cellStyle name="Output 2 2 2 4 2 3" xfId="3889"/>
    <cellStyle name="Output 2 2 2 4 2 3 2" xfId="7085"/>
    <cellStyle name="Output 2 2 2 4 2 4" xfId="4865"/>
    <cellStyle name="Output 2 2 2 4 3" xfId="1872"/>
    <cellStyle name="Output 2 2 2 4 3 2" xfId="3256"/>
    <cellStyle name="Output 2 2 2 4 3 2 2" xfId="6452"/>
    <cellStyle name="Output 2 2 2 4 3 3" xfId="5605"/>
    <cellStyle name="Output 2 2 2 4 3 4" xfId="4578"/>
    <cellStyle name="Output 2 2 2 4 4" xfId="1873"/>
    <cellStyle name="Output 2 2 2 4 4 2" xfId="2928"/>
    <cellStyle name="Output 2 2 2 4 4 2 2" xfId="6125"/>
    <cellStyle name="Output 2 2 2 4 4 3" xfId="5048"/>
    <cellStyle name="Output 2 2 2 4 5" xfId="3902"/>
    <cellStyle name="Output 2 2 2 4 5 2" xfId="7098"/>
    <cellStyle name="Output 2 2 2 4 6" xfId="4187"/>
    <cellStyle name="Output 2 2 2 5" xfId="3106"/>
    <cellStyle name="Output 2 2 2 5 2" xfId="6303"/>
    <cellStyle name="Output 2 2 3" xfId="1874"/>
    <cellStyle name="Output 2 2 3 2" xfId="1875"/>
    <cellStyle name="Output 2 2 3 2 2" xfId="1876"/>
    <cellStyle name="Output 2 2 3 2 2 2" xfId="1877"/>
    <cellStyle name="Output 2 2 3 2 2 2 2" xfId="3030"/>
    <cellStyle name="Output 2 2 3 2 2 2 2 2" xfId="6227"/>
    <cellStyle name="Output 2 2 3 2 2 2 3" xfId="5206"/>
    <cellStyle name="Output 2 2 3 2 2 3" xfId="3626"/>
    <cellStyle name="Output 2 2 3 2 2 3 2" xfId="6822"/>
    <cellStyle name="Output 2 2 3 2 2 4" xfId="4736"/>
    <cellStyle name="Output 2 2 3 2 3" xfId="1878"/>
    <cellStyle name="Output 2 2 3 2 3 2" xfId="3449"/>
    <cellStyle name="Output 2 2 3 2 3 2 2" xfId="6645"/>
    <cellStyle name="Output 2 2 3 2 3 3" xfId="5606"/>
    <cellStyle name="Output 2 2 3 2 3 4" xfId="4449"/>
    <cellStyle name="Output 2 2 3 2 4" xfId="1879"/>
    <cellStyle name="Output 2 2 3 2 4 2" xfId="3847"/>
    <cellStyle name="Output 2 2 3 2 4 2 2" xfId="7043"/>
    <cellStyle name="Output 2 2 3 2 4 3" xfId="4334"/>
    <cellStyle name="Output 2 2 3 2 5" xfId="3613"/>
    <cellStyle name="Output 2 2 3 2 5 2" xfId="6809"/>
    <cellStyle name="Output 2 2 3 2 6" xfId="4058"/>
    <cellStyle name="Output 2 2 3 3" xfId="1880"/>
    <cellStyle name="Output 2 2 3 3 2" xfId="1881"/>
    <cellStyle name="Output 2 2 3 3 2 2" xfId="1882"/>
    <cellStyle name="Output 2 2 3 3 2 2 2" xfId="2540"/>
    <cellStyle name="Output 2 2 3 3 2 2 2 2" xfId="5737"/>
    <cellStyle name="Output 2 2 3 3 2 2 3" xfId="5340"/>
    <cellStyle name="Output 2 2 3 3 2 3" xfId="3468"/>
    <cellStyle name="Output 2 2 3 3 2 3 2" xfId="6664"/>
    <cellStyle name="Output 2 2 3 3 2 4" xfId="4870"/>
    <cellStyle name="Output 2 2 3 3 3" xfId="1883"/>
    <cellStyle name="Output 2 2 3 3 3 2" xfId="2614"/>
    <cellStyle name="Output 2 2 3 3 3 2 2" xfId="5811"/>
    <cellStyle name="Output 2 2 3 3 3 3" xfId="5607"/>
    <cellStyle name="Output 2 2 3 3 3 4" xfId="4583"/>
    <cellStyle name="Output 2 2 3 3 4" xfId="1884"/>
    <cellStyle name="Output 2 2 3 3 4 2" xfId="3273"/>
    <cellStyle name="Output 2 2 3 3 4 2 2" xfId="6469"/>
    <cellStyle name="Output 2 2 3 3 4 3" xfId="5053"/>
    <cellStyle name="Output 2 2 3 3 5" xfId="3705"/>
    <cellStyle name="Output 2 2 3 3 5 2" xfId="6901"/>
    <cellStyle name="Output 2 2 3 3 6" xfId="4192"/>
    <cellStyle name="Output 2 2 3 4" xfId="3346"/>
    <cellStyle name="Output 2 2 3 4 2" xfId="6542"/>
    <cellStyle name="Output 2 2 4" xfId="1885"/>
    <cellStyle name="Output 2 2 4 2" xfId="1886"/>
    <cellStyle name="Output 2 2 4 2 2" xfId="1887"/>
    <cellStyle name="Output 2 2 4 2 2 2" xfId="1888"/>
    <cellStyle name="Output 2 2 4 2 2 2 2" xfId="2730"/>
    <cellStyle name="Output 2 2 4 2 2 2 2 2" xfId="5927"/>
    <cellStyle name="Output 2 2 4 2 2 2 3" xfId="5276"/>
    <cellStyle name="Output 2 2 4 2 2 3" xfId="3166"/>
    <cellStyle name="Output 2 2 4 2 2 3 2" xfId="6362"/>
    <cellStyle name="Output 2 2 4 2 2 4" xfId="4806"/>
    <cellStyle name="Output 2 2 4 2 3" xfId="1889"/>
    <cellStyle name="Output 2 2 4 2 3 2" xfId="3295"/>
    <cellStyle name="Output 2 2 4 2 3 2 2" xfId="6491"/>
    <cellStyle name="Output 2 2 4 2 3 3" xfId="5608"/>
    <cellStyle name="Output 2 2 4 2 3 4" xfId="4519"/>
    <cellStyle name="Output 2 2 4 2 4" xfId="1890"/>
    <cellStyle name="Output 2 2 4 2 4 2" xfId="3074"/>
    <cellStyle name="Output 2 2 4 2 4 2 2" xfId="6271"/>
    <cellStyle name="Output 2 2 4 2 4 3" xfId="4989"/>
    <cellStyle name="Output 2 2 4 2 5" xfId="3111"/>
    <cellStyle name="Output 2 2 4 2 5 2" xfId="6308"/>
    <cellStyle name="Output 2 2 4 2 6" xfId="4128"/>
    <cellStyle name="Output 2 2 4 3" xfId="1891"/>
    <cellStyle name="Output 2 2 4 3 2" xfId="3351"/>
    <cellStyle name="Output 2 2 4 3 2 2" xfId="6547"/>
    <cellStyle name="Output 2 2 4 3 3" xfId="5609"/>
    <cellStyle name="Output 2 2 4 4" xfId="1892"/>
    <cellStyle name="Output 2 2 4 4 2" xfId="1893"/>
    <cellStyle name="Output 2 2 4 4 2 2" xfId="1894"/>
    <cellStyle name="Output 2 2 4 4 2 2 2" xfId="2683"/>
    <cellStyle name="Output 2 2 4 4 2 2 2 2" xfId="5880"/>
    <cellStyle name="Output 2 2 4 4 2 2 3" xfId="5323"/>
    <cellStyle name="Output 2 2 4 4 2 3" xfId="3807"/>
    <cellStyle name="Output 2 2 4 4 2 3 2" xfId="7003"/>
    <cellStyle name="Output 2 2 4 4 2 4" xfId="4853"/>
    <cellStyle name="Output 2 2 4 4 3" xfId="1895"/>
    <cellStyle name="Output 2 2 4 4 3 2" xfId="3314"/>
    <cellStyle name="Output 2 2 4 4 3 2 2" xfId="6510"/>
    <cellStyle name="Output 2 2 4 4 3 3" xfId="5610"/>
    <cellStyle name="Output 2 2 4 4 3 4" xfId="4566"/>
    <cellStyle name="Output 2 2 4 4 4" xfId="1896"/>
    <cellStyle name="Output 2 2 4 4 4 2" xfId="3042"/>
    <cellStyle name="Output 2 2 4 4 4 2 2" xfId="6239"/>
    <cellStyle name="Output 2 2 4 4 4 3" xfId="5036"/>
    <cellStyle name="Output 2 2 4 4 5" xfId="3014"/>
    <cellStyle name="Output 2 2 4 4 5 2" xfId="6211"/>
    <cellStyle name="Output 2 2 4 4 6" xfId="4175"/>
    <cellStyle name="Output 2 2 4 5" xfId="1897"/>
    <cellStyle name="Output 2 2 4 5 2" xfId="1898"/>
    <cellStyle name="Output 2 2 4 5 2 2" xfId="2763"/>
    <cellStyle name="Output 2 2 4 5 2 2 2" xfId="5960"/>
    <cellStyle name="Output 2 2 4 5 2 3" xfId="5243"/>
    <cellStyle name="Output 2 2 4 5 3" xfId="3382"/>
    <cellStyle name="Output 2 2 4 5 3 2" xfId="6578"/>
    <cellStyle name="Output 2 2 4 5 4" xfId="4773"/>
    <cellStyle name="Output 2 2 4 6" xfId="1899"/>
    <cellStyle name="Output 2 2 4 6 2" xfId="3109"/>
    <cellStyle name="Output 2 2 4 6 2 2" xfId="6306"/>
    <cellStyle name="Output 2 2 4 6 3" xfId="5611"/>
    <cellStyle name="Output 2 2 4 6 4" xfId="4486"/>
    <cellStyle name="Output 2 2 4 7" xfId="1900"/>
    <cellStyle name="Output 2 2 4 7 2" xfId="3988"/>
    <cellStyle name="Output 2 2 4 7 2 2" xfId="7184"/>
    <cellStyle name="Output 2 2 4 7 3" xfId="4299"/>
    <cellStyle name="Output 2 2 4 8" xfId="3376"/>
    <cellStyle name="Output 2 2 4 8 2" xfId="6572"/>
    <cellStyle name="Output 2 2 4 9" xfId="4095"/>
    <cellStyle name="Output 2 2 5" xfId="1901"/>
    <cellStyle name="Output 2 2 5 2" xfId="1902"/>
    <cellStyle name="Output 2 2 5 2 2" xfId="1903"/>
    <cellStyle name="Output 2 2 5 2 2 2" xfId="2836"/>
    <cellStyle name="Output 2 2 5 2 2 2 2" xfId="6033"/>
    <cellStyle name="Output 2 2 5 2 2 3" xfId="5168"/>
    <cellStyle name="Output 2 2 5 2 3" xfId="3856"/>
    <cellStyle name="Output 2 2 5 2 3 2" xfId="7052"/>
    <cellStyle name="Output 2 2 5 2 4" xfId="4698"/>
    <cellStyle name="Output 2 2 5 3" xfId="1904"/>
    <cellStyle name="Output 2 2 5 3 2" xfId="3409"/>
    <cellStyle name="Output 2 2 5 3 2 2" xfId="6605"/>
    <cellStyle name="Output 2 2 5 3 3" xfId="5612"/>
    <cellStyle name="Output 2 2 5 3 4" xfId="4411"/>
    <cellStyle name="Output 2 2 5 4" xfId="1905"/>
    <cellStyle name="Output 2 2 5 4 2" xfId="3612"/>
    <cellStyle name="Output 2 2 5 4 2 2" xfId="6808"/>
    <cellStyle name="Output 2 2 5 4 3" xfId="4372"/>
    <cellStyle name="Output 2 2 5 5" xfId="3790"/>
    <cellStyle name="Output 2 2 5 5 2" xfId="6986"/>
    <cellStyle name="Output 2 2 5 6" xfId="4020"/>
    <cellStyle name="Output 2 3" xfId="1906"/>
    <cellStyle name="Output 2 3 2" xfId="1907"/>
    <cellStyle name="Output 2 3 2 2" xfId="1908"/>
    <cellStyle name="Output 2 3 2 2 2" xfId="1909"/>
    <cellStyle name="Output 2 3 2 2 2 2" xfId="1910"/>
    <cellStyle name="Output 2 3 2 2 2 2 2" xfId="2781"/>
    <cellStyle name="Output 2 3 2 2 2 2 2 2" xfId="5978"/>
    <cellStyle name="Output 2 3 2 2 2 2 3" xfId="5224"/>
    <cellStyle name="Output 2 3 2 2 2 3" xfId="3591"/>
    <cellStyle name="Output 2 3 2 2 2 3 2" xfId="6787"/>
    <cellStyle name="Output 2 3 2 2 2 4" xfId="4754"/>
    <cellStyle name="Output 2 3 2 2 3" xfId="1911"/>
    <cellStyle name="Output 2 3 2 2 3 2" xfId="3875"/>
    <cellStyle name="Output 2 3 2 2 3 2 2" xfId="7071"/>
    <cellStyle name="Output 2 3 2 2 3 3" xfId="5613"/>
    <cellStyle name="Output 2 3 2 2 3 4" xfId="4467"/>
    <cellStyle name="Output 2 3 2 2 4" xfId="1912"/>
    <cellStyle name="Output 2 3 2 2 4 2" xfId="3621"/>
    <cellStyle name="Output 2 3 2 2 4 2 2" xfId="6817"/>
    <cellStyle name="Output 2 3 2 2 4 3" xfId="4317"/>
    <cellStyle name="Output 2 3 2 2 5" xfId="3861"/>
    <cellStyle name="Output 2 3 2 2 5 2" xfId="7057"/>
    <cellStyle name="Output 2 3 2 2 6" xfId="4076"/>
    <cellStyle name="Output 2 3 2 3" xfId="1913"/>
    <cellStyle name="Output 2 3 2 3 2" xfId="1914"/>
    <cellStyle name="Output 2 3 2 3 2 2" xfId="1915"/>
    <cellStyle name="Output 2 3 2 3 2 2 2" xfId="2656"/>
    <cellStyle name="Output 2 3 2 3 2 2 2 2" xfId="5853"/>
    <cellStyle name="Output 2 3 2 3 2 2 3" xfId="5422"/>
    <cellStyle name="Output 2 3 2 3 2 3" xfId="3033"/>
    <cellStyle name="Output 2 3 2 3 2 3 2" xfId="6230"/>
    <cellStyle name="Output 2 3 2 3 2 4" xfId="4952"/>
    <cellStyle name="Output 2 3 2 3 3" xfId="1916"/>
    <cellStyle name="Output 2 3 2 3 3 2" xfId="3532"/>
    <cellStyle name="Output 2 3 2 3 3 2 2" xfId="6728"/>
    <cellStyle name="Output 2 3 2 3 3 3" xfId="5614"/>
    <cellStyle name="Output 2 3 2 3 3 4" xfId="4665"/>
    <cellStyle name="Output 2 3 2 3 4" xfId="1917"/>
    <cellStyle name="Output 2 3 2 3 4 2" xfId="2868"/>
    <cellStyle name="Output 2 3 2 3 4 2 2" xfId="6065"/>
    <cellStyle name="Output 2 3 2 3 4 3" xfId="5135"/>
    <cellStyle name="Output 2 3 2 3 5" xfId="3394"/>
    <cellStyle name="Output 2 3 2 3 5 2" xfId="6590"/>
    <cellStyle name="Output 2 3 2 3 6" xfId="4274"/>
    <cellStyle name="Output 2 3 2 4" xfId="3710"/>
    <cellStyle name="Output 2 3 2 4 2" xfId="6906"/>
    <cellStyle name="Output 2 3 3" xfId="1918"/>
    <cellStyle name="Output 2 3 3 2" xfId="1919"/>
    <cellStyle name="Output 2 3 3 2 2" xfId="1920"/>
    <cellStyle name="Output 2 3 3 2 2 2" xfId="2825"/>
    <cellStyle name="Output 2 3 3 2 2 2 2" xfId="6022"/>
    <cellStyle name="Output 2 3 3 2 2 3" xfId="5179"/>
    <cellStyle name="Output 2 3 3 2 3" xfId="3424"/>
    <cellStyle name="Output 2 3 3 2 3 2" xfId="6620"/>
    <cellStyle name="Output 2 3 3 2 4" xfId="4709"/>
    <cellStyle name="Output 2 3 3 3" xfId="1921"/>
    <cellStyle name="Output 2 3 3 3 2" xfId="3628"/>
    <cellStyle name="Output 2 3 3 3 2 2" xfId="6824"/>
    <cellStyle name="Output 2 3 3 3 3" xfId="5615"/>
    <cellStyle name="Output 2 3 3 3 4" xfId="4422"/>
    <cellStyle name="Output 2 3 3 4" xfId="1922"/>
    <cellStyle name="Output 2 3 3 4 2" xfId="3559"/>
    <cellStyle name="Output 2 3 3 4 2 2" xfId="6755"/>
    <cellStyle name="Output 2 3 3 4 3" xfId="4361"/>
    <cellStyle name="Output 2 3 3 5" xfId="3510"/>
    <cellStyle name="Output 2 3 3 5 2" xfId="6706"/>
    <cellStyle name="Output 2 3 3 6" xfId="4031"/>
    <cellStyle name="Output 2 3 4" xfId="1923"/>
    <cellStyle name="Output 2 3 4 2" xfId="1924"/>
    <cellStyle name="Output 2 3 4 2 2" xfId="1925"/>
    <cellStyle name="Output 2 3 4 2 2 2" xfId="2702"/>
    <cellStyle name="Output 2 3 4 2 2 2 2" xfId="5899"/>
    <cellStyle name="Output 2 3 4 2 2 3" xfId="5304"/>
    <cellStyle name="Output 2 3 4 2 3" xfId="3878"/>
    <cellStyle name="Output 2 3 4 2 3 2" xfId="7074"/>
    <cellStyle name="Output 2 3 4 2 4" xfId="4834"/>
    <cellStyle name="Output 2 3 4 3" xfId="1926"/>
    <cellStyle name="Output 2 3 4 3 2" xfId="2972"/>
    <cellStyle name="Output 2 3 4 3 2 2" xfId="6169"/>
    <cellStyle name="Output 2 3 4 3 3" xfId="5616"/>
    <cellStyle name="Output 2 3 4 3 4" xfId="4547"/>
    <cellStyle name="Output 2 3 4 4" xfId="1927"/>
    <cellStyle name="Output 2 3 4 4 2" xfId="3280"/>
    <cellStyle name="Output 2 3 4 4 2 2" xfId="6476"/>
    <cellStyle name="Output 2 3 4 4 3" xfId="5017"/>
    <cellStyle name="Output 2 3 4 5" xfId="3320"/>
    <cellStyle name="Output 2 3 4 5 2" xfId="6516"/>
    <cellStyle name="Output 2 3 4 6" xfId="4156"/>
    <cellStyle name="Output 2 3 5" xfId="3994"/>
    <cellStyle name="Output 2 3 5 2" xfId="7190"/>
    <cellStyle name="Output 2 4" xfId="1928"/>
    <cellStyle name="Output 2 4 2" xfId="1929"/>
    <cellStyle name="Output 2 4 2 2" xfId="1930"/>
    <cellStyle name="Output 2 4 2 2 2" xfId="1931"/>
    <cellStyle name="Output 2 4 2 2 2 2" xfId="2805"/>
    <cellStyle name="Output 2 4 2 2 2 2 2" xfId="6002"/>
    <cellStyle name="Output 2 4 2 2 2 3" xfId="5199"/>
    <cellStyle name="Output 2 4 2 2 3" xfId="3647"/>
    <cellStyle name="Output 2 4 2 2 3 2" xfId="6843"/>
    <cellStyle name="Output 2 4 2 2 4" xfId="4729"/>
    <cellStyle name="Output 2 4 2 3" xfId="1932"/>
    <cellStyle name="Output 2 4 2 3 2" xfId="3713"/>
    <cellStyle name="Output 2 4 2 3 2 2" xfId="6909"/>
    <cellStyle name="Output 2 4 2 3 3" xfId="5617"/>
    <cellStyle name="Output 2 4 2 3 4" xfId="4442"/>
    <cellStyle name="Output 2 4 2 4" xfId="1933"/>
    <cellStyle name="Output 2 4 2 4 2" xfId="3976"/>
    <cellStyle name="Output 2 4 2 4 2 2" xfId="7172"/>
    <cellStyle name="Output 2 4 2 4 3" xfId="4341"/>
    <cellStyle name="Output 2 4 2 5" xfId="3782"/>
    <cellStyle name="Output 2 4 2 5 2" xfId="6978"/>
    <cellStyle name="Output 2 4 2 6" xfId="4051"/>
    <cellStyle name="Output 2 4 3" xfId="1934"/>
    <cellStyle name="Output 2 4 3 2" xfId="1935"/>
    <cellStyle name="Output 2 4 3 2 2" xfId="1936"/>
    <cellStyle name="Output 2 4 3 2 2 2" xfId="2705"/>
    <cellStyle name="Output 2 4 3 2 2 2 2" xfId="5902"/>
    <cellStyle name="Output 2 4 3 2 2 3" xfId="5301"/>
    <cellStyle name="Output 2 4 3 2 3" xfId="3395"/>
    <cellStyle name="Output 2 4 3 2 3 2" xfId="6591"/>
    <cellStyle name="Output 2 4 3 2 4" xfId="4831"/>
    <cellStyle name="Output 2 4 3 3" xfId="1937"/>
    <cellStyle name="Output 2 4 3 3 2" xfId="2974"/>
    <cellStyle name="Output 2 4 3 3 2 2" xfId="6171"/>
    <cellStyle name="Output 2 4 3 3 3" xfId="5618"/>
    <cellStyle name="Output 2 4 3 3 4" xfId="4544"/>
    <cellStyle name="Output 2 4 3 4" xfId="1938"/>
    <cellStyle name="Output 2 4 3 4 2" xfId="3045"/>
    <cellStyle name="Output 2 4 3 4 2 2" xfId="6242"/>
    <cellStyle name="Output 2 4 3 4 3" xfId="5014"/>
    <cellStyle name="Output 2 4 3 5" xfId="3221"/>
    <cellStyle name="Output 2 4 3 5 2" xfId="6417"/>
    <cellStyle name="Output 2 4 3 6" xfId="4153"/>
    <cellStyle name="Output 2 4 4" xfId="3708"/>
    <cellStyle name="Output 2 4 4 2" xfId="6904"/>
    <cellStyle name="Output 2 5" xfId="1939"/>
    <cellStyle name="Output 2 5 2" xfId="1940"/>
    <cellStyle name="Output 2 5 2 2" xfId="1941"/>
    <cellStyle name="Output 2 5 2 2 2" xfId="1942"/>
    <cellStyle name="Output 2 5 2 2 2 2" xfId="2728"/>
    <cellStyle name="Output 2 5 2 2 2 2 2" xfId="5925"/>
    <cellStyle name="Output 2 5 2 2 2 3" xfId="5278"/>
    <cellStyle name="Output 2 5 2 2 3" xfId="3526"/>
    <cellStyle name="Output 2 5 2 2 3 2" xfId="6722"/>
    <cellStyle name="Output 2 5 2 2 4" xfId="4808"/>
    <cellStyle name="Output 2 5 2 3" xfId="1943"/>
    <cellStyle name="Output 2 5 2 3 2" xfId="3086"/>
    <cellStyle name="Output 2 5 2 3 2 2" xfId="6283"/>
    <cellStyle name="Output 2 5 2 3 3" xfId="5619"/>
    <cellStyle name="Output 2 5 2 3 4" xfId="4521"/>
    <cellStyle name="Output 2 5 2 4" xfId="1944"/>
    <cellStyle name="Output 2 5 2 4 2" xfId="3285"/>
    <cellStyle name="Output 2 5 2 4 2 2" xfId="6481"/>
    <cellStyle name="Output 2 5 2 4 3" xfId="4991"/>
    <cellStyle name="Output 2 5 2 5" xfId="3308"/>
    <cellStyle name="Output 2 5 2 5 2" xfId="6504"/>
    <cellStyle name="Output 2 5 2 6" xfId="4130"/>
    <cellStyle name="Output 2 5 3" xfId="1945"/>
    <cellStyle name="Output 2 5 3 2" xfId="3213"/>
    <cellStyle name="Output 2 5 3 2 2" xfId="6409"/>
    <cellStyle name="Output 2 5 3 3" xfId="5620"/>
    <cellStyle name="Output 2 5 4" xfId="1946"/>
    <cellStyle name="Output 2 5 4 2" xfId="1947"/>
    <cellStyle name="Output 2 5 4 2 2" xfId="1948"/>
    <cellStyle name="Output 2 5 4 2 2 2" xfId="2685"/>
    <cellStyle name="Output 2 5 4 2 2 2 2" xfId="5882"/>
    <cellStyle name="Output 2 5 4 2 2 3" xfId="5321"/>
    <cellStyle name="Output 2 5 4 2 3" xfId="3632"/>
    <cellStyle name="Output 2 5 4 2 3 2" xfId="6828"/>
    <cellStyle name="Output 2 5 4 2 4" xfId="4851"/>
    <cellStyle name="Output 2 5 4 3" xfId="1949"/>
    <cellStyle name="Output 2 5 4 3 2" xfId="2962"/>
    <cellStyle name="Output 2 5 4 3 2 2" xfId="6159"/>
    <cellStyle name="Output 2 5 4 3 3" xfId="5621"/>
    <cellStyle name="Output 2 5 4 3 4" xfId="4564"/>
    <cellStyle name="Output 2 5 4 4" xfId="1950"/>
    <cellStyle name="Output 2 5 4 4 2" xfId="3236"/>
    <cellStyle name="Output 2 5 4 4 2 2" xfId="6432"/>
    <cellStyle name="Output 2 5 4 4 3" xfId="5034"/>
    <cellStyle name="Output 2 5 4 5" xfId="3016"/>
    <cellStyle name="Output 2 5 4 5 2" xfId="6213"/>
    <cellStyle name="Output 2 5 4 6" xfId="4173"/>
    <cellStyle name="Output 2 5 5" xfId="1951"/>
    <cellStyle name="Output 2 5 5 2" xfId="1952"/>
    <cellStyle name="Output 2 5 5 2 2" xfId="2761"/>
    <cellStyle name="Output 2 5 5 2 2 2" xfId="5958"/>
    <cellStyle name="Output 2 5 5 2 3" xfId="5245"/>
    <cellStyle name="Output 2 5 5 3" xfId="3582"/>
    <cellStyle name="Output 2 5 5 3 2" xfId="6778"/>
    <cellStyle name="Output 2 5 5 4" xfId="4775"/>
    <cellStyle name="Output 2 5 6" xfId="1953"/>
    <cellStyle name="Output 2 5 6 2" xfId="3004"/>
    <cellStyle name="Output 2 5 6 2 2" xfId="6201"/>
    <cellStyle name="Output 2 5 6 3" xfId="5622"/>
    <cellStyle name="Output 2 5 6 4" xfId="4488"/>
    <cellStyle name="Output 2 5 7" xfId="1954"/>
    <cellStyle name="Output 2 5 7 2" xfId="3845"/>
    <cellStyle name="Output 2 5 7 2 2" xfId="7041"/>
    <cellStyle name="Output 2 5 7 3" xfId="4297"/>
    <cellStyle name="Output 2 5 8" xfId="3589"/>
    <cellStyle name="Output 2 5 8 2" xfId="6785"/>
    <cellStyle name="Output 2 5 9" xfId="4097"/>
    <cellStyle name="Output 2 6" xfId="1955"/>
    <cellStyle name="Output 2 6 2" xfId="1956"/>
    <cellStyle name="Output 2 6 2 2" xfId="1957"/>
    <cellStyle name="Output 2 6 2 2 2" xfId="2845"/>
    <cellStyle name="Output 2 6 2 2 2 2" xfId="6042"/>
    <cellStyle name="Output 2 6 2 2 3" xfId="5159"/>
    <cellStyle name="Output 2 6 2 3" xfId="3446"/>
    <cellStyle name="Output 2 6 2 3 2" xfId="6642"/>
    <cellStyle name="Output 2 6 2 4" xfId="4689"/>
    <cellStyle name="Output 2 6 3" xfId="1958"/>
    <cellStyle name="Output 2 6 3 2" xfId="3814"/>
    <cellStyle name="Output 2 6 3 2 2" xfId="7010"/>
    <cellStyle name="Output 2 6 3 3" xfId="5623"/>
    <cellStyle name="Output 2 6 3 4" xfId="4402"/>
    <cellStyle name="Output 2 6 4" xfId="1959"/>
    <cellStyle name="Output 2 6 4 2" xfId="3454"/>
    <cellStyle name="Output 2 6 4 2 2" xfId="6650"/>
    <cellStyle name="Output 2 6 4 3" xfId="4381"/>
    <cellStyle name="Output 2 6 5" xfId="4000"/>
    <cellStyle name="Output 2 6 5 2" xfId="7196"/>
    <cellStyle name="Output 2 6 6" xfId="4011"/>
    <cellStyle name="Output 3" xfId="1960"/>
    <cellStyle name="Output 3 2" xfId="1961"/>
    <cellStyle name="Output 3 2 2" xfId="1962"/>
    <cellStyle name="Output 3 2 2 2" xfId="1963"/>
    <cellStyle name="Output 3 2 2 2 2" xfId="1964"/>
    <cellStyle name="Output 3 2 2 2 2 2" xfId="1965"/>
    <cellStyle name="Output 3 2 2 2 2 2 2" xfId="2778"/>
    <cellStyle name="Output 3 2 2 2 2 2 2 2" xfId="5975"/>
    <cellStyle name="Output 3 2 2 2 2 2 3" xfId="5228"/>
    <cellStyle name="Output 3 2 2 2 2 3" xfId="3827"/>
    <cellStyle name="Output 3 2 2 2 2 3 2" xfId="7023"/>
    <cellStyle name="Output 3 2 2 2 2 4" xfId="4758"/>
    <cellStyle name="Output 3 2 2 2 3" xfId="1966"/>
    <cellStyle name="Output 3 2 2 2 3 2" xfId="3578"/>
    <cellStyle name="Output 3 2 2 2 3 2 2" xfId="6774"/>
    <cellStyle name="Output 3 2 2 2 3 3" xfId="5624"/>
    <cellStyle name="Output 3 2 2 2 3 4" xfId="4471"/>
    <cellStyle name="Output 3 2 2 2 4" xfId="1967"/>
    <cellStyle name="Output 3 2 2 2 4 2" xfId="3101"/>
    <cellStyle name="Output 3 2 2 2 4 2 2" xfId="6298"/>
    <cellStyle name="Output 3 2 2 2 4 3" xfId="4313"/>
    <cellStyle name="Output 3 2 2 2 5" xfId="3523"/>
    <cellStyle name="Output 3 2 2 2 5 2" xfId="6719"/>
    <cellStyle name="Output 3 2 2 2 6" xfId="4080"/>
    <cellStyle name="Output 3 2 2 3" xfId="1968"/>
    <cellStyle name="Output 3 2 2 3 2" xfId="1969"/>
    <cellStyle name="Output 3 2 2 3 2 2" xfId="1970"/>
    <cellStyle name="Output 3 2 2 3 2 2 2" xfId="2548"/>
    <cellStyle name="Output 3 2 2 3 2 2 2 2" xfId="5745"/>
    <cellStyle name="Output 3 2 2 3 2 2 3" xfId="5348"/>
    <cellStyle name="Output 3 2 2 3 2 3" xfId="3664"/>
    <cellStyle name="Output 3 2 2 3 2 3 2" xfId="6860"/>
    <cellStyle name="Output 3 2 2 3 2 4" xfId="4878"/>
    <cellStyle name="Output 3 2 2 3 3" xfId="1971"/>
    <cellStyle name="Output 3 2 2 3 3 2" xfId="3153"/>
    <cellStyle name="Output 3 2 2 3 3 2 2" xfId="6349"/>
    <cellStyle name="Output 3 2 2 3 3 3" xfId="5625"/>
    <cellStyle name="Output 3 2 2 3 3 4" xfId="4591"/>
    <cellStyle name="Output 3 2 2 3 4" xfId="1972"/>
    <cellStyle name="Output 3 2 2 3 4 2" xfId="3060"/>
    <cellStyle name="Output 3 2 2 3 4 2 2" xfId="6257"/>
    <cellStyle name="Output 3 2 2 3 4 3" xfId="5061"/>
    <cellStyle name="Output 3 2 2 3 5" xfId="3609"/>
    <cellStyle name="Output 3 2 2 3 5 2" xfId="6805"/>
    <cellStyle name="Output 3 2 2 3 6" xfId="4200"/>
    <cellStyle name="Output 3 2 2 4" xfId="3914"/>
    <cellStyle name="Output 3 2 2 4 2" xfId="7110"/>
    <cellStyle name="Output 3 2 3" xfId="1973"/>
    <cellStyle name="Output 3 2 3 2" xfId="1974"/>
    <cellStyle name="Output 3 2 3 2 2" xfId="1975"/>
    <cellStyle name="Output 3 2 3 2 2 2" xfId="2821"/>
    <cellStyle name="Output 3 2 3 2 2 2 2" xfId="6018"/>
    <cellStyle name="Output 3 2 3 2 2 3" xfId="5183"/>
    <cellStyle name="Output 3 2 3 2 3" xfId="3689"/>
    <cellStyle name="Output 3 2 3 2 3 2" xfId="6885"/>
    <cellStyle name="Output 3 2 3 2 4" xfId="4713"/>
    <cellStyle name="Output 3 2 3 3" xfId="1976"/>
    <cellStyle name="Output 3 2 3 3 2" xfId="3898"/>
    <cellStyle name="Output 3 2 3 3 2 2" xfId="7094"/>
    <cellStyle name="Output 3 2 3 3 3" xfId="5626"/>
    <cellStyle name="Output 3 2 3 3 4" xfId="4426"/>
    <cellStyle name="Output 3 2 3 4" xfId="1977"/>
    <cellStyle name="Output 3 2 3 4 2" xfId="3525"/>
    <cellStyle name="Output 3 2 3 4 2 2" xfId="6721"/>
    <cellStyle name="Output 3 2 3 4 3" xfId="4357"/>
    <cellStyle name="Output 3 2 3 5" xfId="3145"/>
    <cellStyle name="Output 3 2 3 5 2" xfId="6341"/>
    <cellStyle name="Output 3 2 3 6" xfId="4035"/>
    <cellStyle name="Output 3 2 4" xfId="1978"/>
    <cellStyle name="Output 3 2 4 2" xfId="1979"/>
    <cellStyle name="Output 3 2 4 2 2" xfId="1980"/>
    <cellStyle name="Output 3 2 4 2 2 2" xfId="2703"/>
    <cellStyle name="Output 3 2 4 2 2 2 2" xfId="5900"/>
    <cellStyle name="Output 3 2 4 2 2 3" xfId="5303"/>
    <cellStyle name="Output 3 2 4 2 3" xfId="3498"/>
    <cellStyle name="Output 3 2 4 2 3 2" xfId="6694"/>
    <cellStyle name="Output 3 2 4 2 4" xfId="4833"/>
    <cellStyle name="Output 3 2 4 3" xfId="1981"/>
    <cellStyle name="Output 3 2 4 3 2" xfId="3034"/>
    <cellStyle name="Output 3 2 4 3 2 2" xfId="6231"/>
    <cellStyle name="Output 3 2 4 3 3" xfId="5627"/>
    <cellStyle name="Output 3 2 4 3 4" xfId="4546"/>
    <cellStyle name="Output 3 2 4 4" xfId="1982"/>
    <cellStyle name="Output 3 2 4 4 2" xfId="2934"/>
    <cellStyle name="Output 3 2 4 4 2 2" xfId="6131"/>
    <cellStyle name="Output 3 2 4 4 3" xfId="5016"/>
    <cellStyle name="Output 3 2 4 5" xfId="3303"/>
    <cellStyle name="Output 3 2 4 5 2" xfId="6499"/>
    <cellStyle name="Output 3 2 4 6" xfId="4155"/>
    <cellStyle name="Output 3 2 5" xfId="3514"/>
    <cellStyle name="Output 3 2 5 2" xfId="6710"/>
    <cellStyle name="Output 3 3" xfId="1983"/>
    <cellStyle name="Output 3 3 2" xfId="1984"/>
    <cellStyle name="Output 3 3 2 2" xfId="1985"/>
    <cellStyle name="Output 3 3 2 2 2" xfId="1986"/>
    <cellStyle name="Output 3 3 2 2 2 2" xfId="2802"/>
    <cellStyle name="Output 3 3 2 2 2 2 2" xfId="5999"/>
    <cellStyle name="Output 3 3 2 2 2 3" xfId="5202"/>
    <cellStyle name="Output 3 3 2 2 3" xfId="2612"/>
    <cellStyle name="Output 3 3 2 2 3 2" xfId="5809"/>
    <cellStyle name="Output 3 3 2 2 4" xfId="4732"/>
    <cellStyle name="Output 3 3 2 3" xfId="1987"/>
    <cellStyle name="Output 3 3 2 3 2" xfId="3593"/>
    <cellStyle name="Output 3 3 2 3 2 2" xfId="6789"/>
    <cellStyle name="Output 3 3 2 3 3" xfId="5628"/>
    <cellStyle name="Output 3 3 2 3 4" xfId="4445"/>
    <cellStyle name="Output 3 3 2 4" xfId="1988"/>
    <cellStyle name="Output 3 3 2 4 2" xfId="3419"/>
    <cellStyle name="Output 3 3 2 4 2 2" xfId="6615"/>
    <cellStyle name="Output 3 3 2 4 3" xfId="4338"/>
    <cellStyle name="Output 3 3 2 5" xfId="3691"/>
    <cellStyle name="Output 3 3 2 5 2" xfId="6887"/>
    <cellStyle name="Output 3 3 2 6" xfId="4054"/>
    <cellStyle name="Output 3 3 3" xfId="1989"/>
    <cellStyle name="Output 3 3 3 2" xfId="1990"/>
    <cellStyle name="Output 3 3 3 2 2" xfId="1991"/>
    <cellStyle name="Output 3 3 3 2 2 2" xfId="3028"/>
    <cellStyle name="Output 3 3 3 2 2 2 2" xfId="6225"/>
    <cellStyle name="Output 3 3 3 2 2 3" xfId="5333"/>
    <cellStyle name="Output 3 3 3 2 3" xfId="3444"/>
    <cellStyle name="Output 3 3 3 2 3 2" xfId="6640"/>
    <cellStyle name="Output 3 3 3 2 4" xfId="4863"/>
    <cellStyle name="Output 3 3 3 3" xfId="1992"/>
    <cellStyle name="Output 3 3 3 3 2" xfId="3309"/>
    <cellStyle name="Output 3 3 3 3 2 2" xfId="6505"/>
    <cellStyle name="Output 3 3 3 3 3" xfId="5629"/>
    <cellStyle name="Output 3 3 3 3 4" xfId="4576"/>
    <cellStyle name="Output 3 3 3 4" xfId="1993"/>
    <cellStyle name="Output 3 3 3 4 2" xfId="3041"/>
    <cellStyle name="Output 3 3 3 4 2 2" xfId="6238"/>
    <cellStyle name="Output 3 3 3 4 3" xfId="5046"/>
    <cellStyle name="Output 3 3 3 5" xfId="3168"/>
    <cellStyle name="Output 3 3 3 5 2" xfId="6364"/>
    <cellStyle name="Output 3 3 3 6" xfId="4185"/>
    <cellStyle name="Output 3 3 4" xfId="3773"/>
    <cellStyle name="Output 3 3 4 2" xfId="6969"/>
    <cellStyle name="Output 3 4" xfId="1994"/>
    <cellStyle name="Output 3 4 2" xfId="1995"/>
    <cellStyle name="Output 3 4 2 2" xfId="1996"/>
    <cellStyle name="Output 3 4 2 2 2" xfId="1997"/>
    <cellStyle name="Output 3 4 2 2 2 2" xfId="2734"/>
    <cellStyle name="Output 3 4 2 2 2 2 2" xfId="5931"/>
    <cellStyle name="Output 3 4 2 2 2 3" xfId="5272"/>
    <cellStyle name="Output 3 4 2 2 3" xfId="3472"/>
    <cellStyle name="Output 3 4 2 2 3 2" xfId="6668"/>
    <cellStyle name="Output 3 4 2 2 4" xfId="4802"/>
    <cellStyle name="Output 3 4 2 3" xfId="1998"/>
    <cellStyle name="Output 3 4 2 3 2" xfId="3053"/>
    <cellStyle name="Output 3 4 2 3 2 2" xfId="6250"/>
    <cellStyle name="Output 3 4 2 3 3" xfId="5630"/>
    <cellStyle name="Output 3 4 2 3 4" xfId="4515"/>
    <cellStyle name="Output 3 4 2 4" xfId="1999"/>
    <cellStyle name="Output 3 4 2 4 2" xfId="3286"/>
    <cellStyle name="Output 3 4 2 4 2 2" xfId="6482"/>
    <cellStyle name="Output 3 4 2 4 3" xfId="4985"/>
    <cellStyle name="Output 3 4 2 5" xfId="3224"/>
    <cellStyle name="Output 3 4 2 5 2" xfId="6420"/>
    <cellStyle name="Output 3 4 2 6" xfId="4124"/>
    <cellStyle name="Output 3 4 3" xfId="2000"/>
    <cellStyle name="Output 3 4 3 2" xfId="3922"/>
    <cellStyle name="Output 3 4 3 2 2" xfId="7118"/>
    <cellStyle name="Output 3 4 3 3" xfId="5631"/>
    <cellStyle name="Output 3 4 4" xfId="2001"/>
    <cellStyle name="Output 3 4 4 2" xfId="2002"/>
    <cellStyle name="Output 3 4 4 2 2" xfId="2003"/>
    <cellStyle name="Output 3 4 4 2 2 2" xfId="2679"/>
    <cellStyle name="Output 3 4 4 2 2 2 2" xfId="5876"/>
    <cellStyle name="Output 3 4 4 2 2 3" xfId="5327"/>
    <cellStyle name="Output 3 4 4 2 3" xfId="3379"/>
    <cellStyle name="Output 3 4 4 2 3 2" xfId="6575"/>
    <cellStyle name="Output 3 4 4 2 4" xfId="4857"/>
    <cellStyle name="Output 3 4 4 3" xfId="2004"/>
    <cellStyle name="Output 3 4 4 3 2" xfId="3225"/>
    <cellStyle name="Output 3 4 4 3 2 2" xfId="6421"/>
    <cellStyle name="Output 3 4 4 3 3" xfId="5632"/>
    <cellStyle name="Output 3 4 4 3 4" xfId="4570"/>
    <cellStyle name="Output 3 4 4 4" xfId="2005"/>
    <cellStyle name="Output 3 4 4 4 2" xfId="2593"/>
    <cellStyle name="Output 3 4 4 4 2 2" xfId="5790"/>
    <cellStyle name="Output 3 4 4 4 3" xfId="5040"/>
    <cellStyle name="Output 3 4 4 5" xfId="3010"/>
    <cellStyle name="Output 3 4 4 5 2" xfId="6207"/>
    <cellStyle name="Output 3 4 4 6" xfId="4179"/>
    <cellStyle name="Output 3 4 5" xfId="2006"/>
    <cellStyle name="Output 3 4 5 2" xfId="2007"/>
    <cellStyle name="Output 3 4 5 2 2" xfId="2767"/>
    <cellStyle name="Output 3 4 5 2 2 2" xfId="5964"/>
    <cellStyle name="Output 3 4 5 2 3" xfId="5239"/>
    <cellStyle name="Output 3 4 5 3" xfId="3810"/>
    <cellStyle name="Output 3 4 5 3 2" xfId="7006"/>
    <cellStyle name="Output 3 4 5 4" xfId="4769"/>
    <cellStyle name="Output 3 4 6" xfId="2008"/>
    <cellStyle name="Output 3 4 6 2" xfId="3895"/>
    <cellStyle name="Output 3 4 6 2 2" xfId="7091"/>
    <cellStyle name="Output 3 4 6 3" xfId="5633"/>
    <cellStyle name="Output 3 4 6 4" xfId="4482"/>
    <cellStyle name="Output 3 4 7" xfId="2009"/>
    <cellStyle name="Output 3 4 7 2" xfId="3598"/>
    <cellStyle name="Output 3 4 7 2 2" xfId="6794"/>
    <cellStyle name="Output 3 4 7 3" xfId="4303"/>
    <cellStyle name="Output 3 4 8" xfId="3805"/>
    <cellStyle name="Output 3 4 8 2" xfId="7001"/>
    <cellStyle name="Output 3 4 9" xfId="4091"/>
    <cellStyle name="Output 3 5" xfId="2010"/>
    <cellStyle name="Output 3 5 2" xfId="2011"/>
    <cellStyle name="Output 3 5 2 2" xfId="2012"/>
    <cellStyle name="Output 3 5 2 2 2" xfId="2841"/>
    <cellStyle name="Output 3 5 2 2 2 2" xfId="6038"/>
    <cellStyle name="Output 3 5 2 2 3" xfId="5163"/>
    <cellStyle name="Output 3 5 2 3" xfId="3194"/>
    <cellStyle name="Output 3 5 2 3 2" xfId="6390"/>
    <cellStyle name="Output 3 5 2 4" xfId="4693"/>
    <cellStyle name="Output 3 5 3" xfId="2013"/>
    <cellStyle name="Output 3 5 3 2" xfId="3386"/>
    <cellStyle name="Output 3 5 3 2 2" xfId="6582"/>
    <cellStyle name="Output 3 5 3 3" xfId="5634"/>
    <cellStyle name="Output 3 5 3 4" xfId="4406"/>
    <cellStyle name="Output 3 5 4" xfId="2014"/>
    <cellStyle name="Output 3 5 4 2" xfId="3587"/>
    <cellStyle name="Output 3 5 4 2 2" xfId="6783"/>
    <cellStyle name="Output 3 5 4 3" xfId="4377"/>
    <cellStyle name="Output 3 5 5" xfId="3550"/>
    <cellStyle name="Output 3 5 5 2" xfId="6746"/>
    <cellStyle name="Output 3 5 6" xfId="4015"/>
    <cellStyle name="Output 4" xfId="2015"/>
    <cellStyle name="Output 4 2" xfId="2016"/>
    <cellStyle name="Output 4 2 2" xfId="2017"/>
    <cellStyle name="Output 4 2 2 2" xfId="2018"/>
    <cellStyle name="Output 4 2 2 2 2" xfId="2019"/>
    <cellStyle name="Output 4 2 2 2 2 2" xfId="2792"/>
    <cellStyle name="Output 4 2 2 2 2 2 2" xfId="5989"/>
    <cellStyle name="Output 4 2 2 2 2 3" xfId="5213"/>
    <cellStyle name="Output 4 2 2 2 3" xfId="3565"/>
    <cellStyle name="Output 4 2 2 2 3 2" xfId="6761"/>
    <cellStyle name="Output 4 2 2 2 4" xfId="4743"/>
    <cellStyle name="Output 4 2 2 3" xfId="2020"/>
    <cellStyle name="Output 4 2 2 3 2" xfId="3576"/>
    <cellStyle name="Output 4 2 2 3 2 2" xfId="6772"/>
    <cellStyle name="Output 4 2 2 3 3" xfId="5635"/>
    <cellStyle name="Output 4 2 2 3 4" xfId="4456"/>
    <cellStyle name="Output 4 2 2 4" xfId="2021"/>
    <cellStyle name="Output 4 2 2 4 2" xfId="3781"/>
    <cellStyle name="Output 4 2 2 4 2 2" xfId="6977"/>
    <cellStyle name="Output 4 2 2 4 3" xfId="4328"/>
    <cellStyle name="Output 4 2 2 5" xfId="3740"/>
    <cellStyle name="Output 4 2 2 5 2" xfId="6936"/>
    <cellStyle name="Output 4 2 2 6" xfId="4065"/>
    <cellStyle name="Output 4 2 3" xfId="2022"/>
    <cellStyle name="Output 4 2 3 2" xfId="2023"/>
    <cellStyle name="Output 4 2 3 2 2" xfId="2024"/>
    <cellStyle name="Output 4 2 3 2 2 2" xfId="2544"/>
    <cellStyle name="Output 4 2 3 2 2 2 2" xfId="5741"/>
    <cellStyle name="Output 4 2 3 2 2 3" xfId="5344"/>
    <cellStyle name="Output 4 2 3 2 3" xfId="3171"/>
    <cellStyle name="Output 4 2 3 2 3 2" xfId="6367"/>
    <cellStyle name="Output 4 2 3 2 4" xfId="4874"/>
    <cellStyle name="Output 4 2 3 3" xfId="2025"/>
    <cellStyle name="Output 4 2 3 3 2" xfId="3215"/>
    <cellStyle name="Output 4 2 3 3 2 2" xfId="6411"/>
    <cellStyle name="Output 4 2 3 3 3" xfId="5636"/>
    <cellStyle name="Output 4 2 3 3 4" xfId="4587"/>
    <cellStyle name="Output 4 2 3 4" xfId="2026"/>
    <cellStyle name="Output 4 2 3 4 2" xfId="3272"/>
    <cellStyle name="Output 4 2 3 4 2 2" xfId="6468"/>
    <cellStyle name="Output 4 2 3 4 3" xfId="5057"/>
    <cellStyle name="Output 4 2 3 5" xfId="3684"/>
    <cellStyle name="Output 4 2 3 5 2" xfId="6880"/>
    <cellStyle name="Output 4 2 3 6" xfId="4196"/>
    <cellStyle name="Output 4 2 4" xfId="3110"/>
    <cellStyle name="Output 4 2 4 2" xfId="6307"/>
    <cellStyle name="Output 4 3" xfId="2027"/>
    <cellStyle name="Output 4 3 2" xfId="2028"/>
    <cellStyle name="Output 4 3 2 2" xfId="2029"/>
    <cellStyle name="Output 4 3 2 2 2" xfId="2030"/>
    <cellStyle name="Output 4 3 2 2 2 2" xfId="2715"/>
    <cellStyle name="Output 4 3 2 2 2 2 2" xfId="5912"/>
    <cellStyle name="Output 4 3 2 2 2 3" xfId="5291"/>
    <cellStyle name="Output 4 3 2 2 3" xfId="3212"/>
    <cellStyle name="Output 4 3 2 2 3 2" xfId="6408"/>
    <cellStyle name="Output 4 3 2 2 4" xfId="4821"/>
    <cellStyle name="Output 4 3 2 3" xfId="2031"/>
    <cellStyle name="Output 4 3 2 3 2" xfId="3378"/>
    <cellStyle name="Output 4 3 2 3 2 2" xfId="6574"/>
    <cellStyle name="Output 4 3 2 3 3" xfId="5637"/>
    <cellStyle name="Output 4 3 2 3 4" xfId="4534"/>
    <cellStyle name="Output 4 3 2 4" xfId="2032"/>
    <cellStyle name="Output 4 3 2 4 2" xfId="3046"/>
    <cellStyle name="Output 4 3 2 4 2 2" xfId="6243"/>
    <cellStyle name="Output 4 3 2 4 3" xfId="5004"/>
    <cellStyle name="Output 4 3 2 5" xfId="3305"/>
    <cellStyle name="Output 4 3 2 5 2" xfId="6501"/>
    <cellStyle name="Output 4 3 2 6" xfId="4143"/>
    <cellStyle name="Output 4 3 3" xfId="2033"/>
    <cellStyle name="Output 4 3 3 2" xfId="3456"/>
    <cellStyle name="Output 4 3 3 2 2" xfId="6652"/>
    <cellStyle name="Output 4 3 3 3" xfId="5638"/>
    <cellStyle name="Output 4 3 4" xfId="2034"/>
    <cellStyle name="Output 4 3 4 2" xfId="2035"/>
    <cellStyle name="Output 4 3 4 2 2" xfId="2036"/>
    <cellStyle name="Output 4 3 4 2 2 2" xfId="2658"/>
    <cellStyle name="Output 4 3 4 2 2 2 2" xfId="5855"/>
    <cellStyle name="Output 4 3 4 2 2 3" xfId="5427"/>
    <cellStyle name="Output 4 3 4 2 3" xfId="3292"/>
    <cellStyle name="Output 4 3 4 2 3 2" xfId="6488"/>
    <cellStyle name="Output 4 3 4 2 4" xfId="4957"/>
    <cellStyle name="Output 4 3 4 3" xfId="2037"/>
    <cellStyle name="Output 4 3 4 3 2" xfId="3998"/>
    <cellStyle name="Output 4 3 4 3 2 2" xfId="7194"/>
    <cellStyle name="Output 4 3 4 3 3" xfId="5639"/>
    <cellStyle name="Output 4 3 4 3 4" xfId="4670"/>
    <cellStyle name="Output 4 3 4 4" xfId="2038"/>
    <cellStyle name="Output 4 3 4 4 2" xfId="2863"/>
    <cellStyle name="Output 4 3 4 4 2 2" xfId="6060"/>
    <cellStyle name="Output 4 3 4 4 3" xfId="5140"/>
    <cellStyle name="Output 4 3 4 5" xfId="3488"/>
    <cellStyle name="Output 4 3 4 5 2" xfId="6684"/>
    <cellStyle name="Output 4 3 4 6" xfId="4279"/>
    <cellStyle name="Output 4 3 5" xfId="2039"/>
    <cellStyle name="Output 4 3 5 2" xfId="2040"/>
    <cellStyle name="Output 4 3 5 2 2" xfId="2748"/>
    <cellStyle name="Output 4 3 5 2 2 2" xfId="5945"/>
    <cellStyle name="Output 4 3 5 2 3" xfId="5258"/>
    <cellStyle name="Output 4 3 5 3" xfId="3380"/>
    <cellStyle name="Output 4 3 5 3 2" xfId="6576"/>
    <cellStyle name="Output 4 3 5 4" xfId="4788"/>
    <cellStyle name="Output 4 3 6" xfId="2041"/>
    <cellStyle name="Output 4 3 6 2" xfId="3159"/>
    <cellStyle name="Output 4 3 6 2 2" xfId="6355"/>
    <cellStyle name="Output 4 3 6 3" xfId="5640"/>
    <cellStyle name="Output 4 3 6 4" xfId="4501"/>
    <cellStyle name="Output 4 3 7" xfId="2042"/>
    <cellStyle name="Output 4 3 7 2" xfId="3289"/>
    <cellStyle name="Output 4 3 7 2 2" xfId="6485"/>
    <cellStyle name="Output 4 3 7 3" xfId="4971"/>
    <cellStyle name="Output 4 3 8" xfId="3262"/>
    <cellStyle name="Output 4 3 8 2" xfId="6458"/>
    <cellStyle name="Output 4 3 9" xfId="4110"/>
    <cellStyle name="Output 4 4" xfId="2043"/>
    <cellStyle name="Output 4 4 2" xfId="2044"/>
    <cellStyle name="Output 4 4 2 2" xfId="2045"/>
    <cellStyle name="Output 4 4 2 2 2" xfId="2851"/>
    <cellStyle name="Output 4 4 2 2 2 2" xfId="6048"/>
    <cellStyle name="Output 4 4 2 2 3" xfId="5153"/>
    <cellStyle name="Output 4 4 2 3" xfId="3383"/>
    <cellStyle name="Output 4 4 2 3 2" xfId="6579"/>
    <cellStyle name="Output 4 4 2 4" xfId="4683"/>
    <cellStyle name="Output 4 4 3" xfId="2046"/>
    <cellStyle name="Output 4 4 3 2" xfId="3389"/>
    <cellStyle name="Output 4 4 3 2 2" xfId="6585"/>
    <cellStyle name="Output 4 4 3 3" xfId="5641"/>
    <cellStyle name="Output 4 4 3 4" xfId="4396"/>
    <cellStyle name="Output 4 4 4" xfId="2047"/>
    <cellStyle name="Output 4 4 4 2" xfId="3116"/>
    <cellStyle name="Output 4 4 4 2 2" xfId="6313"/>
    <cellStyle name="Output 4 4 4 3" xfId="4386"/>
    <cellStyle name="Output 4 4 5" xfId="3769"/>
    <cellStyle name="Output 4 4 5 2" xfId="6965"/>
    <cellStyle name="Output 4 4 6" xfId="4005"/>
    <cellStyle name="Output 5" xfId="2048"/>
    <cellStyle name="Output 5 2" xfId="2049"/>
    <cellStyle name="Output 5 2 2" xfId="2050"/>
    <cellStyle name="Output 5 2 2 2" xfId="2051"/>
    <cellStyle name="Output 5 2 2 2 2" xfId="2052"/>
    <cellStyle name="Output 5 2 2 2 2 2" xfId="2787"/>
    <cellStyle name="Output 5 2 2 2 2 2 2" xfId="5984"/>
    <cellStyle name="Output 5 2 2 2 2 3" xfId="5218"/>
    <cellStyle name="Output 5 2 2 2 3" xfId="3536"/>
    <cellStyle name="Output 5 2 2 2 3 2" xfId="6732"/>
    <cellStyle name="Output 5 2 2 2 4" xfId="4748"/>
    <cellStyle name="Output 5 2 2 3" xfId="2053"/>
    <cellStyle name="Output 5 2 2 3 2" xfId="3584"/>
    <cellStyle name="Output 5 2 2 3 2 2" xfId="6780"/>
    <cellStyle name="Output 5 2 2 3 3" xfId="5642"/>
    <cellStyle name="Output 5 2 2 3 4" xfId="4461"/>
    <cellStyle name="Output 5 2 2 4" xfId="2054"/>
    <cellStyle name="Output 5 2 2 4 2" xfId="3851"/>
    <cellStyle name="Output 5 2 2 4 2 2" xfId="7047"/>
    <cellStyle name="Output 5 2 2 4 3" xfId="4323"/>
    <cellStyle name="Output 5 2 2 5" xfId="3649"/>
    <cellStyle name="Output 5 2 2 5 2" xfId="6845"/>
    <cellStyle name="Output 5 2 2 6" xfId="4070"/>
    <cellStyle name="Output 5 2 3" xfId="2055"/>
    <cellStyle name="Output 5 2 3 2" xfId="2056"/>
    <cellStyle name="Output 5 2 3 2 2" xfId="2057"/>
    <cellStyle name="Output 5 2 3 2 2 2" xfId="2651"/>
    <cellStyle name="Output 5 2 3 2 2 2 2" xfId="5848"/>
    <cellStyle name="Output 5 2 3 2 2 3" xfId="5417"/>
    <cellStyle name="Output 5 2 3 2 3" xfId="2951"/>
    <cellStyle name="Output 5 2 3 2 3 2" xfId="6148"/>
    <cellStyle name="Output 5 2 3 2 4" xfId="4947"/>
    <cellStyle name="Output 5 2 3 3" xfId="2058"/>
    <cellStyle name="Output 5 2 3 3 2" xfId="3487"/>
    <cellStyle name="Output 5 2 3 3 2 2" xfId="6683"/>
    <cellStyle name="Output 5 2 3 3 3" xfId="5643"/>
    <cellStyle name="Output 5 2 3 3 4" xfId="4660"/>
    <cellStyle name="Output 5 2 3 4" xfId="2059"/>
    <cellStyle name="Output 5 2 3 4 2" xfId="2873"/>
    <cellStyle name="Output 5 2 3 4 2 2" xfId="6070"/>
    <cellStyle name="Output 5 2 3 4 3" xfId="5130"/>
    <cellStyle name="Output 5 2 3 5" xfId="3361"/>
    <cellStyle name="Output 5 2 3 5 2" xfId="6557"/>
    <cellStyle name="Output 5 2 3 6" xfId="4269"/>
    <cellStyle name="Output 5 2 4" xfId="3519"/>
    <cellStyle name="Output 5 2 4 2" xfId="6715"/>
    <cellStyle name="Output 5 3" xfId="2060"/>
    <cellStyle name="Output 5 3 2" xfId="2061"/>
    <cellStyle name="Output 5 3 2 2" xfId="2062"/>
    <cellStyle name="Output 5 3 2 2 2" xfId="2063"/>
    <cellStyle name="Output 5 3 2 2 2 2" xfId="2712"/>
    <cellStyle name="Output 5 3 2 2 2 2 2" xfId="5909"/>
    <cellStyle name="Output 5 3 2 2 2 3" xfId="5294"/>
    <cellStyle name="Output 5 3 2 2 3" xfId="3985"/>
    <cellStyle name="Output 5 3 2 2 3 2" xfId="7181"/>
    <cellStyle name="Output 5 3 2 2 4" xfId="4824"/>
    <cellStyle name="Output 5 3 2 3" xfId="2064"/>
    <cellStyle name="Output 5 3 2 3 2" xfId="2981"/>
    <cellStyle name="Output 5 3 2 3 2 2" xfId="6178"/>
    <cellStyle name="Output 5 3 2 3 3" xfId="5644"/>
    <cellStyle name="Output 5 3 2 3 4" xfId="4537"/>
    <cellStyle name="Output 5 3 2 4" xfId="2065"/>
    <cellStyle name="Output 5 3 2 4 2" xfId="3282"/>
    <cellStyle name="Output 5 3 2 4 2 2" xfId="6478"/>
    <cellStyle name="Output 5 3 2 4 3" xfId="5007"/>
    <cellStyle name="Output 5 3 2 5" xfId="3217"/>
    <cellStyle name="Output 5 3 2 5 2" xfId="6413"/>
    <cellStyle name="Output 5 3 2 6" xfId="4146"/>
    <cellStyle name="Output 5 3 3" xfId="2066"/>
    <cellStyle name="Output 5 3 3 2" xfId="3497"/>
    <cellStyle name="Output 5 3 3 2 2" xfId="6693"/>
    <cellStyle name="Output 5 3 3 3" xfId="5645"/>
    <cellStyle name="Output 5 3 4" xfId="2067"/>
    <cellStyle name="Output 5 3 4 2" xfId="2068"/>
    <cellStyle name="Output 5 3 4 2 2" xfId="2069"/>
    <cellStyle name="Output 5 3 4 2 2 2" xfId="2661"/>
    <cellStyle name="Output 5 3 4 2 2 2 2" xfId="5858"/>
    <cellStyle name="Output 5 3 4 2 2 3" xfId="5430"/>
    <cellStyle name="Output 5 3 4 2 3" xfId="2945"/>
    <cellStyle name="Output 5 3 4 2 3 2" xfId="6142"/>
    <cellStyle name="Output 5 3 4 2 4" xfId="4960"/>
    <cellStyle name="Output 5 3 4 3" xfId="2070"/>
    <cellStyle name="Output 5 3 4 3 2" xfId="3783"/>
    <cellStyle name="Output 5 3 4 3 2 2" xfId="6979"/>
    <cellStyle name="Output 5 3 4 3 3" xfId="5646"/>
    <cellStyle name="Output 5 3 4 3 4" xfId="4673"/>
    <cellStyle name="Output 5 3 4 4" xfId="2071"/>
    <cellStyle name="Output 5 3 4 4 2" xfId="2860"/>
    <cellStyle name="Output 5 3 4 4 2 2" xfId="6057"/>
    <cellStyle name="Output 5 3 4 4 3" xfId="5143"/>
    <cellStyle name="Output 5 3 4 5" xfId="3175"/>
    <cellStyle name="Output 5 3 4 5 2" xfId="6371"/>
    <cellStyle name="Output 5 3 4 6" xfId="4282"/>
    <cellStyle name="Output 5 3 5" xfId="2072"/>
    <cellStyle name="Output 5 3 5 2" xfId="2073"/>
    <cellStyle name="Output 5 3 5 2 2" xfId="2745"/>
    <cellStyle name="Output 5 3 5 2 2 2" xfId="5942"/>
    <cellStyle name="Output 5 3 5 2 3" xfId="5261"/>
    <cellStyle name="Output 5 3 5 3" xfId="3984"/>
    <cellStyle name="Output 5 3 5 3 2" xfId="7180"/>
    <cellStyle name="Output 5 3 5 4" xfId="4791"/>
    <cellStyle name="Output 5 3 6" xfId="2074"/>
    <cellStyle name="Output 5 3 6 2" xfId="2998"/>
    <cellStyle name="Output 5 3 6 2 2" xfId="6195"/>
    <cellStyle name="Output 5 3 6 3" xfId="5647"/>
    <cellStyle name="Output 5 3 6 4" xfId="4504"/>
    <cellStyle name="Output 5 3 7" xfId="2075"/>
    <cellStyle name="Output 5 3 7 2" xfId="2942"/>
    <cellStyle name="Output 5 3 7 2 2" xfId="6139"/>
    <cellStyle name="Output 5 3 7 3" xfId="4974"/>
    <cellStyle name="Output 5 3 8" xfId="3161"/>
    <cellStyle name="Output 5 3 8 2" xfId="6357"/>
    <cellStyle name="Output 5 3 9" xfId="4113"/>
    <cellStyle name="Output 5 4" xfId="2076"/>
    <cellStyle name="Output 5 4 2" xfId="2077"/>
    <cellStyle name="Output 5 4 2 2" xfId="2078"/>
    <cellStyle name="Output 5 4 2 2 2" xfId="2831"/>
    <cellStyle name="Output 5 4 2 2 2 2" xfId="6028"/>
    <cellStyle name="Output 5 4 2 2 3" xfId="5173"/>
    <cellStyle name="Output 5 4 2 3" xfId="3907"/>
    <cellStyle name="Output 5 4 2 3 2" xfId="7103"/>
    <cellStyle name="Output 5 4 2 4" xfId="4703"/>
    <cellStyle name="Output 5 4 3" xfId="2079"/>
    <cellStyle name="Output 5 4 3 2" xfId="3198"/>
    <cellStyle name="Output 5 4 3 2 2" xfId="6394"/>
    <cellStyle name="Output 5 4 3 3" xfId="5648"/>
    <cellStyle name="Output 5 4 3 4" xfId="4416"/>
    <cellStyle name="Output 5 4 4" xfId="2080"/>
    <cellStyle name="Output 5 4 4 2" xfId="3920"/>
    <cellStyle name="Output 5 4 4 2 2" xfId="7116"/>
    <cellStyle name="Output 5 4 4 3" xfId="4367"/>
    <cellStyle name="Output 5 4 5" xfId="3836"/>
    <cellStyle name="Output 5 4 5 2" xfId="7032"/>
    <cellStyle name="Output 5 4 6" xfId="4025"/>
    <cellStyle name="Output 5 5" xfId="3492"/>
    <cellStyle name="Output 5 5 2" xfId="6688"/>
    <cellStyle name="Output 6" xfId="2081"/>
    <cellStyle name="Output 6 2" xfId="2082"/>
    <cellStyle name="Output 6 2 2" xfId="2083"/>
    <cellStyle name="Output 6 2 2 2" xfId="2084"/>
    <cellStyle name="Output 6 2 2 2 2" xfId="2085"/>
    <cellStyle name="Output 6 2 2 2 2 2" xfId="2707"/>
    <cellStyle name="Output 6 2 2 2 2 2 2" xfId="5904"/>
    <cellStyle name="Output 6 2 2 2 2 3" xfId="5299"/>
    <cellStyle name="Output 6 2 2 2 3" xfId="3968"/>
    <cellStyle name="Output 6 2 2 2 3 2" xfId="7164"/>
    <cellStyle name="Output 6 2 2 2 4" xfId="4829"/>
    <cellStyle name="Output 6 2 2 3" xfId="2086"/>
    <cellStyle name="Output 6 2 2 3 2" xfId="2976"/>
    <cellStyle name="Output 6 2 2 3 2 2" xfId="6173"/>
    <cellStyle name="Output 6 2 2 3 3" xfId="5649"/>
    <cellStyle name="Output 6 2 2 3 4" xfId="4542"/>
    <cellStyle name="Output 6 2 2 4" xfId="2087"/>
    <cellStyle name="Output 6 2 2 4 2" xfId="3239"/>
    <cellStyle name="Output 6 2 2 4 2 2" xfId="6435"/>
    <cellStyle name="Output 6 2 2 4 3" xfId="5012"/>
    <cellStyle name="Output 6 2 2 5" xfId="3324"/>
    <cellStyle name="Output 6 2 2 5 2" xfId="6520"/>
    <cellStyle name="Output 6 2 2 6" xfId="4151"/>
    <cellStyle name="Output 6 2 3" xfId="2088"/>
    <cellStyle name="Output 6 2 3 2" xfId="3877"/>
    <cellStyle name="Output 6 2 3 2 2" xfId="7073"/>
    <cellStyle name="Output 6 2 3 3" xfId="5650"/>
    <cellStyle name="Output 6 2 4" xfId="2089"/>
    <cellStyle name="Output 6 2 4 2" xfId="2090"/>
    <cellStyle name="Output 6 2 4 2 2" xfId="2091"/>
    <cellStyle name="Output 6 2 4 2 2 2" xfId="2666"/>
    <cellStyle name="Output 6 2 4 2 2 2 2" xfId="5863"/>
    <cellStyle name="Output 6 2 4 2 2 3" xfId="5435"/>
    <cellStyle name="Output 6 2 4 2 3" xfId="3290"/>
    <cellStyle name="Output 6 2 4 2 3 2" xfId="6486"/>
    <cellStyle name="Output 6 2 4 2 4" xfId="4965"/>
    <cellStyle name="Output 6 2 4 3" xfId="2092"/>
    <cellStyle name="Output 6 2 4 3 2" xfId="3340"/>
    <cellStyle name="Output 6 2 4 3 2 2" xfId="6536"/>
    <cellStyle name="Output 6 2 4 3 3" xfId="5651"/>
    <cellStyle name="Output 6 2 4 3 4" xfId="4678"/>
    <cellStyle name="Output 6 2 4 4" xfId="2093"/>
    <cellStyle name="Output 6 2 4 4 2" xfId="2855"/>
    <cellStyle name="Output 6 2 4 4 2 2" xfId="6052"/>
    <cellStyle name="Output 6 2 4 4 3" xfId="5148"/>
    <cellStyle name="Output 6 2 4 5" xfId="3855"/>
    <cellStyle name="Output 6 2 4 5 2" xfId="7051"/>
    <cellStyle name="Output 6 2 4 6" xfId="4287"/>
    <cellStyle name="Output 6 2 5" xfId="2094"/>
    <cellStyle name="Output 6 2 5 2" xfId="2095"/>
    <cellStyle name="Output 6 2 5 2 2" xfId="2740"/>
    <cellStyle name="Output 6 2 5 2 2 2" xfId="5937"/>
    <cellStyle name="Output 6 2 5 2 3" xfId="5266"/>
    <cellStyle name="Output 6 2 5 3" xfId="3893"/>
    <cellStyle name="Output 6 2 5 3 2" xfId="7089"/>
    <cellStyle name="Output 6 2 5 4" xfId="4796"/>
    <cellStyle name="Output 6 2 6" xfId="2096"/>
    <cellStyle name="Output 6 2 6 2" xfId="3088"/>
    <cellStyle name="Output 6 2 6 2 2" xfId="6285"/>
    <cellStyle name="Output 6 2 6 3" xfId="5652"/>
    <cellStyle name="Output 6 2 6 4" xfId="4509"/>
    <cellStyle name="Output 6 2 7" xfId="2097"/>
    <cellStyle name="Output 6 2 7 2" xfId="3287"/>
    <cellStyle name="Output 6 2 7 2 2" xfId="6483"/>
    <cellStyle name="Output 6 2 7 3" xfId="4979"/>
    <cellStyle name="Output 6 2 8" xfId="3260"/>
    <cellStyle name="Output 6 2 8 2" xfId="6456"/>
    <cellStyle name="Output 6 2 9" xfId="4118"/>
    <cellStyle name="Output 6 3" xfId="2098"/>
    <cellStyle name="Output 6 3 2" xfId="2099"/>
    <cellStyle name="Output 6 3 2 2" xfId="2100"/>
    <cellStyle name="Output 6 3 2 2 2" xfId="2811"/>
    <cellStyle name="Output 6 3 2 2 2 2" xfId="6008"/>
    <cellStyle name="Output 6 3 2 2 3" xfId="5193"/>
    <cellStyle name="Output 6 3 2 3" xfId="3975"/>
    <cellStyle name="Output 6 3 2 3 2" xfId="7171"/>
    <cellStyle name="Output 6 3 2 4" xfId="4723"/>
    <cellStyle name="Output 6 3 3" xfId="2101"/>
    <cellStyle name="Output 6 3 3 2" xfId="3680"/>
    <cellStyle name="Output 6 3 3 2 2" xfId="6876"/>
    <cellStyle name="Output 6 3 3 3" xfId="5653"/>
    <cellStyle name="Output 6 3 3 4" xfId="4436"/>
    <cellStyle name="Output 6 3 4" xfId="2102"/>
    <cellStyle name="Output 6 3 4 2" xfId="3648"/>
    <cellStyle name="Output 6 3 4 2 2" xfId="6844"/>
    <cellStyle name="Output 6 3 4 3" xfId="4347"/>
    <cellStyle name="Output 6 3 5" xfId="3673"/>
    <cellStyle name="Output 6 3 5 2" xfId="6869"/>
    <cellStyle name="Output 6 3 6" xfId="4045"/>
    <cellStyle name="Output 6 4" xfId="3521"/>
    <cellStyle name="Output 6 4 2" xfId="6717"/>
    <cellStyle name="Output 7" xfId="2103"/>
    <cellStyle name="Output 7 2" xfId="2104"/>
    <cellStyle name="Output 7 2 2" xfId="2105"/>
    <cellStyle name="Output 7 2 2 2" xfId="2106"/>
    <cellStyle name="Output 7 2 2 2 2" xfId="2722"/>
    <cellStyle name="Output 7 2 2 2 2 2" xfId="5919"/>
    <cellStyle name="Output 7 2 2 2 3" xfId="5284"/>
    <cellStyle name="Output 7 2 2 3" xfId="3703"/>
    <cellStyle name="Output 7 2 2 3 2" xfId="6899"/>
    <cellStyle name="Output 7 2 2 4" xfId="4814"/>
    <cellStyle name="Output 7 2 3" xfId="2107"/>
    <cellStyle name="Output 7 2 3 2" xfId="2989"/>
    <cellStyle name="Output 7 2 3 2 2" xfId="6186"/>
    <cellStyle name="Output 7 2 3 3" xfId="5654"/>
    <cellStyle name="Output 7 2 3 4" xfId="4527"/>
    <cellStyle name="Output 7 2 4" xfId="2108"/>
    <cellStyle name="Output 7 2 4 2" xfId="2601"/>
    <cellStyle name="Output 7 2 4 2 2" xfId="5798"/>
    <cellStyle name="Output 7 2 4 3" xfId="4997"/>
    <cellStyle name="Output 7 2 5" xfId="3096"/>
    <cellStyle name="Output 7 2 5 2" xfId="6293"/>
    <cellStyle name="Output 7 2 6" xfId="4136"/>
    <cellStyle name="Output 7 3" xfId="2109"/>
    <cellStyle name="Output 7 3 2" xfId="3552"/>
    <cellStyle name="Output 7 3 2 2" xfId="6748"/>
    <cellStyle name="Output 7 3 3" xfId="5655"/>
    <cellStyle name="Output 7 4" xfId="2110"/>
    <cellStyle name="Output 7 4 2" xfId="2111"/>
    <cellStyle name="Output 7 4 2 2" xfId="2112"/>
    <cellStyle name="Output 7 4 2 2 2" xfId="2691"/>
    <cellStyle name="Output 7 4 2 2 2 2" xfId="5888"/>
    <cellStyle name="Output 7 4 2 2 3" xfId="5315"/>
    <cellStyle name="Output 7 4 2 3" xfId="3961"/>
    <cellStyle name="Output 7 4 2 3 2" xfId="7157"/>
    <cellStyle name="Output 7 4 2 4" xfId="4845"/>
    <cellStyle name="Output 7 4 3" xfId="2113"/>
    <cellStyle name="Output 7 4 3 2" xfId="2964"/>
    <cellStyle name="Output 7 4 3 2 2" xfId="6161"/>
    <cellStyle name="Output 7 4 3 3" xfId="5656"/>
    <cellStyle name="Output 7 4 3 4" xfId="4558"/>
    <cellStyle name="Output 7 4 4" xfId="2114"/>
    <cellStyle name="Output 7 4 4 2" xfId="3237"/>
    <cellStyle name="Output 7 4 4 2 2" xfId="6433"/>
    <cellStyle name="Output 7 4 4 3" xfId="5028"/>
    <cellStyle name="Output 7 4 5" xfId="2655"/>
    <cellStyle name="Output 7 4 5 2" xfId="5852"/>
    <cellStyle name="Output 7 4 6" xfId="4167"/>
    <cellStyle name="Output 7 5" xfId="2115"/>
    <cellStyle name="Output 7 5 2" xfId="2116"/>
    <cellStyle name="Output 7 5 2 2" xfId="2755"/>
    <cellStyle name="Output 7 5 2 2 2" xfId="5952"/>
    <cellStyle name="Output 7 5 2 3" xfId="5251"/>
    <cellStyle name="Output 7 5 3" xfId="3873"/>
    <cellStyle name="Output 7 5 3 2" xfId="7069"/>
    <cellStyle name="Output 7 5 4" xfId="4781"/>
    <cellStyle name="Output 7 6" xfId="2117"/>
    <cellStyle name="Output 7 6 2" xfId="3160"/>
    <cellStyle name="Output 7 6 2 2" xfId="6356"/>
    <cellStyle name="Output 7 6 3" xfId="5657"/>
    <cellStyle name="Output 7 6 4" xfId="4494"/>
    <cellStyle name="Output 7 7" xfId="2118"/>
    <cellStyle name="Output 7 7 2" xfId="3785"/>
    <cellStyle name="Output 7 7 2 2" xfId="6981"/>
    <cellStyle name="Output 7 7 3" xfId="4291"/>
    <cellStyle name="Output 7 8" xfId="3881"/>
    <cellStyle name="Output 7 8 2" xfId="7077"/>
    <cellStyle name="Output 7 9" xfId="4103"/>
    <cellStyle name="Page 1" xfId="72"/>
    <cellStyle name="Page 2" xfId="73"/>
    <cellStyle name="Page 3" xfId="74"/>
    <cellStyle name="Page 4" xfId="75"/>
    <cellStyle name="Page 5" xfId="76"/>
    <cellStyle name="Page 6" xfId="77"/>
    <cellStyle name="Page 7" xfId="78"/>
    <cellStyle name="Page1" xfId="79"/>
    <cellStyle name="Page2" xfId="80"/>
    <cellStyle name="Page3" xfId="81"/>
    <cellStyle name="Page4" xfId="82"/>
    <cellStyle name="Page5" xfId="83"/>
    <cellStyle name="Page6" xfId="84"/>
    <cellStyle name="Percent 2" xfId="50"/>
    <cellStyle name="Percent 3" xfId="55"/>
    <cellStyle name="Percent 3 2" xfId="2119"/>
    <cellStyle name="Percent 4" xfId="94"/>
    <cellStyle name="Percent 4 2" xfId="2120"/>
    <cellStyle name="Percent 5" xfId="2121"/>
    <cellStyle name="Percent 5 2" xfId="7307"/>
    <cellStyle name="Percent 6" xfId="2122"/>
    <cellStyle name="Percentage" xfId="2123"/>
    <cellStyle name="RangeName" xfId="2124"/>
    <cellStyle name="RateConven" xfId="2125"/>
    <cellStyle name="red" xfId="2126"/>
    <cellStyle name="ResultDateCenter" xfId="85"/>
    <cellStyle name="Style 1" xfId="86"/>
    <cellStyle name="Style 1 2" xfId="2128"/>
    <cellStyle name="Style 1 3" xfId="2129"/>
    <cellStyle name="Style 1 3 2" xfId="2130"/>
    <cellStyle name="Style 1 3 2 2" xfId="2131"/>
    <cellStyle name="Style 1 3 2 2 2" xfId="2132"/>
    <cellStyle name="Style 1 3 2 2 2 2" xfId="2133"/>
    <cellStyle name="Style 1 3 2 2 2 2 2" xfId="2134"/>
    <cellStyle name="Style 1 3 2 2 2 2 2 2" xfId="2780"/>
    <cellStyle name="Style 1 3 2 2 2 2 2 2 2" xfId="5977"/>
    <cellStyle name="Style 1 3 2 2 2 2 2 3" xfId="5225"/>
    <cellStyle name="Style 1 3 2 2 2 2 3" xfId="3972"/>
    <cellStyle name="Style 1 3 2 2 2 2 3 2" xfId="7168"/>
    <cellStyle name="Style 1 3 2 2 2 2 4" xfId="4755"/>
    <cellStyle name="Style 1 3 2 2 2 3" xfId="2135"/>
    <cellStyle name="Style 1 3 2 2 2 3 2" xfId="3637"/>
    <cellStyle name="Style 1 3 2 2 2 3 2 2" xfId="6833"/>
    <cellStyle name="Style 1 3 2 2 2 3 3" xfId="5658"/>
    <cellStyle name="Style 1 3 2 2 2 3 4" xfId="4468"/>
    <cellStyle name="Style 1 3 2 2 2 4" xfId="2136"/>
    <cellStyle name="Style 1 3 2 2 2 4 2" xfId="3857"/>
    <cellStyle name="Style 1 3 2 2 2 4 2 2" xfId="7053"/>
    <cellStyle name="Style 1 3 2 2 2 4 3" xfId="4316"/>
    <cellStyle name="Style 1 3 2 2 2 5" xfId="4077"/>
    <cellStyle name="Style 1 3 2 2 3" xfId="2137"/>
    <cellStyle name="Style 1 3 2 2 3 2" xfId="2138"/>
    <cellStyle name="Style 1 3 2 2 3 2 2" xfId="2139"/>
    <cellStyle name="Style 1 3 2 2 3 2 2 2" xfId="2629"/>
    <cellStyle name="Style 1 3 2 2 3 2 2 2 2" xfId="5826"/>
    <cellStyle name="Style 1 3 2 2 3 2 2 3" xfId="5402"/>
    <cellStyle name="Style 1 3 2 2 3 2 3" xfId="3516"/>
    <cellStyle name="Style 1 3 2 2 3 2 3 2" xfId="6712"/>
    <cellStyle name="Style 1 3 2 2 3 2 4" xfId="4932"/>
    <cellStyle name="Style 1 3 2 2 3 3" xfId="2140"/>
    <cellStyle name="Style 1 3 2 2 3 3 2" xfId="3910"/>
    <cellStyle name="Style 1 3 2 2 3 3 2 2" xfId="7106"/>
    <cellStyle name="Style 1 3 2 2 3 3 3" xfId="5659"/>
    <cellStyle name="Style 1 3 2 2 3 3 4" xfId="4645"/>
    <cellStyle name="Style 1 3 2 2 3 4" xfId="2141"/>
    <cellStyle name="Style 1 3 2 2 3 4 2" xfId="2887"/>
    <cellStyle name="Style 1 3 2 2 3 4 2 2" xfId="6084"/>
    <cellStyle name="Style 1 3 2 2 3 4 3" xfId="5115"/>
    <cellStyle name="Style 1 3 2 2 3 5" xfId="3431"/>
    <cellStyle name="Style 1 3 2 2 3 5 2" xfId="6627"/>
    <cellStyle name="Style 1 3 2 2 3 6" xfId="4254"/>
    <cellStyle name="Style 1 3 2 2 4" xfId="2142"/>
    <cellStyle name="Style 1 3 2 2 4 2" xfId="2143"/>
    <cellStyle name="Style 1 3 2 2 4 2 2" xfId="2144"/>
    <cellStyle name="Style 1 3 2 2 4 2 2 2" xfId="2546"/>
    <cellStyle name="Style 1 3 2 2 4 2 2 2 2" xfId="5743"/>
    <cellStyle name="Style 1 3 2 2 4 2 2 3" xfId="5346"/>
    <cellStyle name="Style 1 3 2 2 4 2 3" xfId="3522"/>
    <cellStyle name="Style 1 3 2 2 4 2 3 2" xfId="6718"/>
    <cellStyle name="Style 1 3 2 2 4 2 4" xfId="4876"/>
    <cellStyle name="Style 1 3 2 2 4 3" xfId="2145"/>
    <cellStyle name="Style 1 3 2 2 4 3 2" xfId="3206"/>
    <cellStyle name="Style 1 3 2 2 4 3 2 2" xfId="6402"/>
    <cellStyle name="Style 1 3 2 2 4 3 3" xfId="5660"/>
    <cellStyle name="Style 1 3 2 2 4 3 4" xfId="4589"/>
    <cellStyle name="Style 1 3 2 2 4 4" xfId="2146"/>
    <cellStyle name="Style 1 3 2 2 4 4 2" xfId="2589"/>
    <cellStyle name="Style 1 3 2 2 4 4 2 2" xfId="5786"/>
    <cellStyle name="Style 1 3 2 2 4 4 3" xfId="5059"/>
    <cellStyle name="Style 1 3 2 2 4 5" xfId="3210"/>
    <cellStyle name="Style 1 3 2 2 4 5 2" xfId="6406"/>
    <cellStyle name="Style 1 3 2 2 4 6" xfId="4198"/>
    <cellStyle name="Style 1 3 2 2 5" xfId="3372"/>
    <cellStyle name="Style 1 3 2 2 5 2" xfId="6568"/>
    <cellStyle name="Style 1 3 2 3" xfId="2147"/>
    <cellStyle name="Style 1 3 2 3 2" xfId="2148"/>
    <cellStyle name="Style 1 3 2 3 2 2" xfId="2149"/>
    <cellStyle name="Style 1 3 2 3 2 2 2" xfId="2824"/>
    <cellStyle name="Style 1 3 2 3 2 2 2 2" xfId="6021"/>
    <cellStyle name="Style 1 3 2 3 2 2 3" xfId="5180"/>
    <cellStyle name="Style 1 3 2 3 2 3" xfId="3780"/>
    <cellStyle name="Style 1 3 2 3 2 3 2" xfId="6976"/>
    <cellStyle name="Style 1 3 2 3 2 4" xfId="4710"/>
    <cellStyle name="Style 1 3 2 3 3" xfId="2150"/>
    <cellStyle name="Style 1 3 2 3 3 2" xfId="3172"/>
    <cellStyle name="Style 1 3 2 3 3 2 2" xfId="6368"/>
    <cellStyle name="Style 1 3 2 3 3 3" xfId="5661"/>
    <cellStyle name="Style 1 3 2 3 3 4" xfId="4423"/>
    <cellStyle name="Style 1 3 2 3 4" xfId="2151"/>
    <cellStyle name="Style 1 3 2 3 4 2" xfId="3795"/>
    <cellStyle name="Style 1 3 2 3 4 2 2" xfId="6991"/>
    <cellStyle name="Style 1 3 2 3 4 3" xfId="4360"/>
    <cellStyle name="Style 1 3 2 3 5" xfId="4032"/>
    <cellStyle name="Style 1 3 2 4" xfId="2152"/>
    <cellStyle name="Style 1 3 2 4 2" xfId="2153"/>
    <cellStyle name="Style 1 3 2 4 2 2" xfId="2154"/>
    <cellStyle name="Style 1 3 2 4 2 2 2" xfId="2564"/>
    <cellStyle name="Style 1 3 2 4 2 2 2 2" xfId="5761"/>
    <cellStyle name="Style 1 3 2 4 2 2 3" xfId="5365"/>
    <cellStyle name="Style 1 3 2 4 2 3" xfId="3829"/>
    <cellStyle name="Style 1 3 2 4 2 3 2" xfId="7025"/>
    <cellStyle name="Style 1 3 2 4 2 4" xfId="4895"/>
    <cellStyle name="Style 1 3 2 4 3" xfId="2155"/>
    <cellStyle name="Style 1 3 2 4 3 2" xfId="3332"/>
    <cellStyle name="Style 1 3 2 4 3 2 2" xfId="6528"/>
    <cellStyle name="Style 1 3 2 4 3 3" xfId="5662"/>
    <cellStyle name="Style 1 3 2 4 3 4" xfId="4608"/>
    <cellStyle name="Style 1 3 2 4 4" xfId="2156"/>
    <cellStyle name="Style 1 3 2 4 4 2" xfId="3037"/>
    <cellStyle name="Style 1 3 2 4 4 2 2" xfId="6234"/>
    <cellStyle name="Style 1 3 2 4 4 3" xfId="5078"/>
    <cellStyle name="Style 1 3 2 4 5" xfId="3947"/>
    <cellStyle name="Style 1 3 2 4 5 2" xfId="7143"/>
    <cellStyle name="Style 1 3 2 4 6" xfId="4217"/>
    <cellStyle name="Style 1 3 2 5" xfId="2157"/>
    <cellStyle name="Style 1 3 2 5 2" xfId="2158"/>
    <cellStyle name="Style 1 3 2 5 2 2" xfId="2159"/>
    <cellStyle name="Style 1 3 2 5 2 2 2" xfId="2578"/>
    <cellStyle name="Style 1 3 2 5 2 2 2 2" xfId="5775"/>
    <cellStyle name="Style 1 3 2 5 2 2 3" xfId="5379"/>
    <cellStyle name="Style 1 3 2 5 2 3" xfId="3720"/>
    <cellStyle name="Style 1 3 2 5 2 3 2" xfId="6916"/>
    <cellStyle name="Style 1 3 2 5 2 4" xfId="4909"/>
    <cellStyle name="Style 1 3 2 5 3" xfId="2160"/>
    <cellStyle name="Style 1 3 2 5 3 2" xfId="2955"/>
    <cellStyle name="Style 1 3 2 5 3 2 2" xfId="6152"/>
    <cellStyle name="Style 1 3 2 5 3 3" xfId="5663"/>
    <cellStyle name="Style 1 3 2 5 3 4" xfId="4622"/>
    <cellStyle name="Style 1 3 2 5 4" xfId="2161"/>
    <cellStyle name="Style 1 3 2 5 4 2" xfId="2910"/>
    <cellStyle name="Style 1 3 2 5 4 2 2" xfId="6107"/>
    <cellStyle name="Style 1 3 2 5 4 3" xfId="5092"/>
    <cellStyle name="Style 1 3 2 5 5" xfId="3555"/>
    <cellStyle name="Style 1 3 2 5 5 2" xfId="6751"/>
    <cellStyle name="Style 1 3 2 5 6" xfId="4231"/>
    <cellStyle name="Style 1 3 3" xfId="2162"/>
    <cellStyle name="Style 1 3 3 2" xfId="2163"/>
    <cellStyle name="Style 1 3 3 2 2" xfId="2164"/>
    <cellStyle name="Style 1 3 3 2 2 2" xfId="2165"/>
    <cellStyle name="Style 1 3 3 2 2 2 2" xfId="2804"/>
    <cellStyle name="Style 1 3 3 2 2 2 2 2" xfId="6001"/>
    <cellStyle name="Style 1 3 3 2 2 2 3" xfId="5200"/>
    <cellStyle name="Style 1 3 3 2 2 3" xfId="3191"/>
    <cellStyle name="Style 1 3 3 2 2 3 2" xfId="6387"/>
    <cellStyle name="Style 1 3 3 2 2 4" xfId="4730"/>
    <cellStyle name="Style 1 3 3 2 3" xfId="2166"/>
    <cellStyle name="Style 1 3 3 2 3 2" xfId="3377"/>
    <cellStyle name="Style 1 3 3 2 3 2 2" xfId="6573"/>
    <cellStyle name="Style 1 3 3 2 3 3" xfId="5664"/>
    <cellStyle name="Style 1 3 3 2 3 4" xfId="4443"/>
    <cellStyle name="Style 1 3 3 2 4" xfId="2167"/>
    <cellStyle name="Style 1 3 3 2 4 2" xfId="3595"/>
    <cellStyle name="Style 1 3 3 2 4 2 2" xfId="6791"/>
    <cellStyle name="Style 1 3 3 2 4 3" xfId="4340"/>
    <cellStyle name="Style 1 3 3 2 5" xfId="4052"/>
    <cellStyle name="Style 1 3 3 3" xfId="2168"/>
    <cellStyle name="Style 1 3 3 3 2" xfId="2169"/>
    <cellStyle name="Style 1 3 3 3 2 2" xfId="2170"/>
    <cellStyle name="Style 1 3 3 3 2 2 2" xfId="2579"/>
    <cellStyle name="Style 1 3 3 3 2 2 2 2" xfId="5776"/>
    <cellStyle name="Style 1 3 3 3 2 2 3" xfId="5380"/>
    <cellStyle name="Style 1 3 3 3 2 3" xfId="3384"/>
    <cellStyle name="Style 1 3 3 3 2 3 2" xfId="6580"/>
    <cellStyle name="Style 1 3 3 3 2 4" xfId="4910"/>
    <cellStyle name="Style 1 3 3 3 3" xfId="2171"/>
    <cellStyle name="Style 1 3 3 3 3 2" xfId="3430"/>
    <cellStyle name="Style 1 3 3 3 3 2 2" xfId="6626"/>
    <cellStyle name="Style 1 3 3 3 3 3" xfId="5665"/>
    <cellStyle name="Style 1 3 3 3 3 4" xfId="4623"/>
    <cellStyle name="Style 1 3 3 3 4" xfId="2172"/>
    <cellStyle name="Style 1 3 3 3 4 2" xfId="2909"/>
    <cellStyle name="Style 1 3 3 3 4 2 2" xfId="6106"/>
    <cellStyle name="Style 1 3 3 3 4 3" xfId="5093"/>
    <cellStyle name="Style 1 3 3 3 5" xfId="3935"/>
    <cellStyle name="Style 1 3 3 3 5 2" xfId="7131"/>
    <cellStyle name="Style 1 3 3 3 6" xfId="4232"/>
    <cellStyle name="Style 1 3 3 4" xfId="2173"/>
    <cellStyle name="Style 1 3 3 4 2" xfId="2174"/>
    <cellStyle name="Style 1 3 3 4 2 2" xfId="2175"/>
    <cellStyle name="Style 1 3 3 4 2 2 2" xfId="2694"/>
    <cellStyle name="Style 1 3 3 4 2 2 2 2" xfId="5891"/>
    <cellStyle name="Style 1 3 3 4 2 2 3" xfId="5312"/>
    <cellStyle name="Style 1 3 3 4 2 3" xfId="3360"/>
    <cellStyle name="Style 1 3 3 4 2 3 2" xfId="6556"/>
    <cellStyle name="Style 1 3 3 4 2 4" xfId="4842"/>
    <cellStyle name="Style 1 3 3 4 3" xfId="2176"/>
    <cellStyle name="Style 1 3 3 4 3 2" xfId="2966"/>
    <cellStyle name="Style 1 3 3 4 3 2 2" xfId="6163"/>
    <cellStyle name="Style 1 3 3 4 3 3" xfId="5666"/>
    <cellStyle name="Style 1 3 3 4 3 4" xfId="4555"/>
    <cellStyle name="Style 1 3 3 4 4" xfId="2177"/>
    <cellStyle name="Style 1 3 3 4 4 2" xfId="3067"/>
    <cellStyle name="Style 1 3 3 4 4 2 2" xfId="6264"/>
    <cellStyle name="Style 1 3 3 4 4 3" xfId="5025"/>
    <cellStyle name="Style 1 3 3 4 5" xfId="3021"/>
    <cellStyle name="Style 1 3 3 4 5 2" xfId="6218"/>
    <cellStyle name="Style 1 3 3 4 6" xfId="4164"/>
    <cellStyle name="Style 1 3 3 5" xfId="3370"/>
    <cellStyle name="Style 1 3 3 5 2" xfId="6566"/>
    <cellStyle name="Style 1 3 4" xfId="2178"/>
    <cellStyle name="Style 1 3 4 2" xfId="2179"/>
    <cellStyle name="Style 1 3 4 2 2" xfId="2180"/>
    <cellStyle name="Style 1 3 4 2 2 2" xfId="2181"/>
    <cellStyle name="Style 1 3 4 2 2 2 2" xfId="2738"/>
    <cellStyle name="Style 1 3 4 2 2 2 2 2" xfId="5935"/>
    <cellStyle name="Style 1 3 4 2 2 2 3" xfId="5268"/>
    <cellStyle name="Style 1 3 4 2 2 3" xfId="3200"/>
    <cellStyle name="Style 1 3 4 2 2 3 2" xfId="6396"/>
    <cellStyle name="Style 1 3 4 2 2 4" xfId="4798"/>
    <cellStyle name="Style 1 3 4 2 3" xfId="2182"/>
    <cellStyle name="Style 1 3 4 2 3 2" xfId="3296"/>
    <cellStyle name="Style 1 3 4 2 3 2 2" xfId="6492"/>
    <cellStyle name="Style 1 3 4 2 3 3" xfId="5667"/>
    <cellStyle name="Style 1 3 4 2 3 4" xfId="4511"/>
    <cellStyle name="Style 1 3 4 2 4" xfId="2183"/>
    <cellStyle name="Style 1 3 4 2 4 2" xfId="2604"/>
    <cellStyle name="Style 1 3 4 2 4 2 2" xfId="5801"/>
    <cellStyle name="Style 1 3 4 2 4 3" xfId="4981"/>
    <cellStyle name="Style 1 3 4 2 5" xfId="3312"/>
    <cellStyle name="Style 1 3 4 2 5 2" xfId="6508"/>
    <cellStyle name="Style 1 3 4 2 6" xfId="4120"/>
    <cellStyle name="Style 1 3 4 3" xfId="2184"/>
    <cellStyle name="Style 1 3 4 3 2" xfId="2185"/>
    <cellStyle name="Style 1 3 4 3 2 2" xfId="2186"/>
    <cellStyle name="Style 1 3 4 3 2 2 2" xfId="2675"/>
    <cellStyle name="Style 1 3 4 3 2 2 2 2" xfId="5872"/>
    <cellStyle name="Style 1 3 4 3 2 2 3" xfId="5331"/>
    <cellStyle name="Style 1 3 4 3 2 3" xfId="3744"/>
    <cellStyle name="Style 1 3 4 3 2 3 2" xfId="6940"/>
    <cellStyle name="Style 1 3 4 3 2 4" xfId="4861"/>
    <cellStyle name="Style 1 3 4 3 3" xfId="2187"/>
    <cellStyle name="Style 1 3 4 3 3 2" xfId="3113"/>
    <cellStyle name="Style 1 3 4 3 3 2 2" xfId="6310"/>
    <cellStyle name="Style 1 3 4 3 3 3" xfId="5668"/>
    <cellStyle name="Style 1 3 4 3 3 4" xfId="4574"/>
    <cellStyle name="Style 1 3 4 3 4" xfId="2188"/>
    <cellStyle name="Style 1 3 4 3 4 2" xfId="3235"/>
    <cellStyle name="Style 1 3 4 3 4 2 2" xfId="6431"/>
    <cellStyle name="Style 1 3 4 3 4 3" xfId="5044"/>
    <cellStyle name="Style 1 3 4 3 5" xfId="3860"/>
    <cellStyle name="Style 1 3 4 3 5 2" xfId="7056"/>
    <cellStyle name="Style 1 3 4 3 6" xfId="4183"/>
    <cellStyle name="Style 1 3 4 4" xfId="2189"/>
    <cellStyle name="Style 1 3 4 4 2" xfId="2190"/>
    <cellStyle name="Style 1 3 4 4 2 2" xfId="2771"/>
    <cellStyle name="Style 1 3 4 4 2 2 2" xfId="5968"/>
    <cellStyle name="Style 1 3 4 4 2 3" xfId="5235"/>
    <cellStyle name="Style 1 3 4 4 3" xfId="3882"/>
    <cellStyle name="Style 1 3 4 4 3 2" xfId="7078"/>
    <cellStyle name="Style 1 3 4 4 4" xfId="4765"/>
    <cellStyle name="Style 1 3 4 5" xfId="2191"/>
    <cellStyle name="Style 1 3 4 5 2" xfId="3751"/>
    <cellStyle name="Style 1 3 4 5 2 2" xfId="6947"/>
    <cellStyle name="Style 1 3 4 5 3" xfId="5669"/>
    <cellStyle name="Style 1 3 4 5 4" xfId="4478"/>
    <cellStyle name="Style 1 3 4 6" xfId="2192"/>
    <cellStyle name="Style 1 3 4 6 2" xfId="3445"/>
    <cellStyle name="Style 1 3 4 6 2 2" xfId="6641"/>
    <cellStyle name="Style 1 3 4 6 3" xfId="4307"/>
    <cellStyle name="Style 1 3 4 7" xfId="4087"/>
    <cellStyle name="Style 1 3 5" xfId="2193"/>
    <cellStyle name="Style 1 3 5 2" xfId="2194"/>
    <cellStyle name="Style 1 3 5 2 2" xfId="2195"/>
    <cellStyle name="Style 1 3 5 2 2 2" xfId="2844"/>
    <cellStyle name="Style 1 3 5 2 2 2 2" xfId="6041"/>
    <cellStyle name="Style 1 3 5 2 2 3" xfId="5160"/>
    <cellStyle name="Style 1 3 5 2 3" xfId="3508"/>
    <cellStyle name="Style 1 3 5 2 3 2" xfId="6704"/>
    <cellStyle name="Style 1 3 5 2 4" xfId="4690"/>
    <cellStyle name="Style 1 3 5 3" xfId="2196"/>
    <cellStyle name="Style 1 3 5 3 2" xfId="3577"/>
    <cellStyle name="Style 1 3 5 3 2 2" xfId="6773"/>
    <cellStyle name="Style 1 3 5 3 3" xfId="5670"/>
    <cellStyle name="Style 1 3 5 3 4" xfId="4403"/>
    <cellStyle name="Style 1 3 5 4" xfId="2197"/>
    <cellStyle name="Style 1 3 5 4 2" xfId="3396"/>
    <cellStyle name="Style 1 3 5 4 2 2" xfId="6592"/>
    <cellStyle name="Style 1 3 5 4 3" xfId="4380"/>
    <cellStyle name="Style 1 3 5 5" xfId="4012"/>
    <cellStyle name="Style 1 4" xfId="2198"/>
    <cellStyle name="Style 1 5" xfId="2199"/>
    <cellStyle name="Style 1 6" xfId="2127"/>
    <cellStyle name="Style 1_apollo_curves" xfId="2200"/>
    <cellStyle name="Style 2" xfId="2201"/>
    <cellStyle name="TableF" xfId="2202"/>
    <cellStyle name="TableF 2" xfId="2203"/>
    <cellStyle name="text" xfId="2204"/>
    <cellStyle name="text2" xfId="2205"/>
    <cellStyle name="Title" xfId="1" builtinId="15" customBuiltin="1"/>
    <cellStyle name="Title 2" xfId="2206"/>
    <cellStyle name="Title 2 2" xfId="2207"/>
    <cellStyle name="Title 3" xfId="2208"/>
    <cellStyle name="Title 4" xfId="2209"/>
    <cellStyle name="Title 5" xfId="2210"/>
    <cellStyle name="Title 6" xfId="2211"/>
    <cellStyle name="title2" xfId="2212"/>
    <cellStyle name="TopGrey" xfId="2213"/>
    <cellStyle name="Total" xfId="17" builtinId="25" customBuiltin="1"/>
    <cellStyle name="Total 2" xfId="2214"/>
    <cellStyle name="Total 2 2" xfId="2215"/>
    <cellStyle name="Total 2 2 2" xfId="2216"/>
    <cellStyle name="Total 2 2 2 2" xfId="2217"/>
    <cellStyle name="Total 2 2 2 2 2" xfId="2218"/>
    <cellStyle name="Total 2 2 2 2 2 2" xfId="2219"/>
    <cellStyle name="Total 2 2 2 2 2 2 2" xfId="2220"/>
    <cellStyle name="Total 2 2 2 2 2 2 2 2" xfId="2772"/>
    <cellStyle name="Total 2 2 2 2 2 2 2 2 2" xfId="5969"/>
    <cellStyle name="Total 2 2 2 2 2 2 2 3" xfId="5234"/>
    <cellStyle name="Total 2 2 2 2 2 2 3" xfId="3502"/>
    <cellStyle name="Total 2 2 2 2 2 2 3 2" xfId="6698"/>
    <cellStyle name="Total 2 2 2 2 2 2 4" xfId="4764"/>
    <cellStyle name="Total 2 2 2 2 2 3" xfId="2221"/>
    <cellStyle name="Total 2 2 2 2 2 3 2" xfId="3987"/>
    <cellStyle name="Total 2 2 2 2 2 3 2 2" xfId="7183"/>
    <cellStyle name="Total 2 2 2 2 2 3 3" xfId="5671"/>
    <cellStyle name="Total 2 2 2 2 2 3 4" xfId="4477"/>
    <cellStyle name="Total 2 2 2 2 2 4" xfId="2222"/>
    <cellStyle name="Total 2 2 2 2 2 4 2" xfId="3509"/>
    <cellStyle name="Total 2 2 2 2 2 4 2 2" xfId="6705"/>
    <cellStyle name="Total 2 2 2 2 2 4 3" xfId="4308"/>
    <cellStyle name="Total 2 2 2 2 2 5" xfId="3706"/>
    <cellStyle name="Total 2 2 2 2 2 5 2" xfId="6902"/>
    <cellStyle name="Total 2 2 2 2 2 6" xfId="4086"/>
    <cellStyle name="Total 2 2 2 2 3" xfId="2223"/>
    <cellStyle name="Total 2 2 2 2 3 2" xfId="2224"/>
    <cellStyle name="Total 2 2 2 2 3 2 2" xfId="2225"/>
    <cellStyle name="Total 2 2 2 2 3 2 2 2" xfId="2637"/>
    <cellStyle name="Total 2 2 2 2 3 2 2 2 2" xfId="5834"/>
    <cellStyle name="Total 2 2 2 2 3 2 2 3" xfId="5410"/>
    <cellStyle name="Total 2 2 2 2 3 2 3" xfId="2953"/>
    <cellStyle name="Total 2 2 2 2 3 2 3 2" xfId="6150"/>
    <cellStyle name="Total 2 2 2 2 3 2 4" xfId="4940"/>
    <cellStyle name="Total 2 2 2 2 3 3" xfId="2226"/>
    <cellStyle name="Total 2 2 2 2 3 3 2" xfId="3548"/>
    <cellStyle name="Total 2 2 2 2 3 3 2 2" xfId="6744"/>
    <cellStyle name="Total 2 2 2 2 3 3 3" xfId="5672"/>
    <cellStyle name="Total 2 2 2 2 3 3 4" xfId="4653"/>
    <cellStyle name="Total 2 2 2 2 3 4" xfId="2227"/>
    <cellStyle name="Total 2 2 2 2 3 4 2" xfId="2879"/>
    <cellStyle name="Total 2 2 2 2 3 4 2 2" xfId="6076"/>
    <cellStyle name="Total 2 2 2 2 3 4 3" xfId="5123"/>
    <cellStyle name="Total 2 2 2 2 3 5" xfId="3365"/>
    <cellStyle name="Total 2 2 2 2 3 5 2" xfId="6561"/>
    <cellStyle name="Total 2 2 2 2 3 6" xfId="4262"/>
    <cellStyle name="Total 2 2 2 2 4" xfId="2228"/>
    <cellStyle name="Total 2 2 2 2 4 2" xfId="2229"/>
    <cellStyle name="Total 2 2 2 2 4 2 2" xfId="2230"/>
    <cellStyle name="Total 2 2 2 2 4 2 2 2" xfId="2696"/>
    <cellStyle name="Total 2 2 2 2 4 2 2 2 2" xfId="5893"/>
    <cellStyle name="Total 2 2 2 2 4 2 2 3" xfId="5310"/>
    <cellStyle name="Total 2 2 2 2 4 2 3" xfId="3931"/>
    <cellStyle name="Total 2 2 2 2 4 2 3 2" xfId="7127"/>
    <cellStyle name="Total 2 2 2 2 4 2 4" xfId="4840"/>
    <cellStyle name="Total 2 2 2 2 4 3" xfId="2231"/>
    <cellStyle name="Total 2 2 2 2 4 3 2" xfId="2968"/>
    <cellStyle name="Total 2 2 2 2 4 3 2 2" xfId="6165"/>
    <cellStyle name="Total 2 2 2 2 4 3 3" xfId="5673"/>
    <cellStyle name="Total 2 2 2 2 4 3 4" xfId="4553"/>
    <cellStyle name="Total 2 2 2 2 4 4" xfId="2232"/>
    <cellStyle name="Total 2 2 2 2 4 4 2" xfId="3279"/>
    <cellStyle name="Total 2 2 2 2 4 4 2 2" xfId="6475"/>
    <cellStyle name="Total 2 2 2 2 4 4 3" xfId="5023"/>
    <cellStyle name="Total 2 2 2 2 4 5" xfId="3125"/>
    <cellStyle name="Total 2 2 2 2 4 5 2" xfId="6322"/>
    <cellStyle name="Total 2 2 2 2 4 6" xfId="4162"/>
    <cellStyle name="Total 2 2 2 2 5" xfId="3948"/>
    <cellStyle name="Total 2 2 2 2 5 2" xfId="7144"/>
    <cellStyle name="Total 2 2 2 3" xfId="2233"/>
    <cellStyle name="Total 2 2 2 3 2" xfId="2234"/>
    <cellStyle name="Total 2 2 2 3 2 2" xfId="2235"/>
    <cellStyle name="Total 2 2 2 3 2 2 2" xfId="2815"/>
    <cellStyle name="Total 2 2 2 3 2 2 2 2" xfId="6012"/>
    <cellStyle name="Total 2 2 2 3 2 2 3" xfId="5189"/>
    <cellStyle name="Total 2 2 2 3 2 3" xfId="3698"/>
    <cellStyle name="Total 2 2 2 3 2 3 2" xfId="6894"/>
    <cellStyle name="Total 2 2 2 3 2 4" xfId="4719"/>
    <cellStyle name="Total 2 2 2 3 3" xfId="2236"/>
    <cellStyle name="Total 2 2 2 3 3 2" xfId="3371"/>
    <cellStyle name="Total 2 2 2 3 3 2 2" xfId="6567"/>
    <cellStyle name="Total 2 2 2 3 3 3" xfId="5674"/>
    <cellStyle name="Total 2 2 2 3 3 4" xfId="4432"/>
    <cellStyle name="Total 2 2 2 3 4" xfId="2237"/>
    <cellStyle name="Total 2 2 2 3 4 2" xfId="3471"/>
    <cellStyle name="Total 2 2 2 3 4 2 2" xfId="6667"/>
    <cellStyle name="Total 2 2 2 3 4 3" xfId="4351"/>
    <cellStyle name="Total 2 2 2 3 5" xfId="3165"/>
    <cellStyle name="Total 2 2 2 3 5 2" xfId="6361"/>
    <cellStyle name="Total 2 2 2 3 6" xfId="4041"/>
    <cellStyle name="Total 2 2 2 4" xfId="2238"/>
    <cellStyle name="Total 2 2 2 4 2" xfId="2239"/>
    <cellStyle name="Total 2 2 2 4 2 2" xfId="2240"/>
    <cellStyle name="Total 2 2 2 4 2 2 2" xfId="2571"/>
    <cellStyle name="Total 2 2 2 4 2 2 2 2" xfId="5768"/>
    <cellStyle name="Total 2 2 2 4 2 2 3" xfId="5372"/>
    <cellStyle name="Total 2 2 2 4 2 3" xfId="3883"/>
    <cellStyle name="Total 2 2 2 4 2 3 2" xfId="7079"/>
    <cellStyle name="Total 2 2 2 4 2 4" xfId="4902"/>
    <cellStyle name="Total 2 2 2 4 3" xfId="2241"/>
    <cellStyle name="Total 2 2 2 4 3 2" xfId="2958"/>
    <cellStyle name="Total 2 2 2 4 3 2 2" xfId="6155"/>
    <cellStyle name="Total 2 2 2 4 3 3" xfId="5675"/>
    <cellStyle name="Total 2 2 2 4 3 4" xfId="4615"/>
    <cellStyle name="Total 2 2 2 4 4" xfId="2242"/>
    <cellStyle name="Total 2 2 2 4 4 2" xfId="2917"/>
    <cellStyle name="Total 2 2 2 4 4 2 2" xfId="6114"/>
    <cellStyle name="Total 2 2 2 4 4 3" xfId="5085"/>
    <cellStyle name="Total 2 2 2 4 5" xfId="3390"/>
    <cellStyle name="Total 2 2 2 4 5 2" xfId="6586"/>
    <cellStyle name="Total 2 2 2 4 6" xfId="4224"/>
    <cellStyle name="Total 2 2 2 5" xfId="2243"/>
    <cellStyle name="Total 2 2 2 5 2" xfId="2244"/>
    <cellStyle name="Total 2 2 2 5 2 2" xfId="2245"/>
    <cellStyle name="Total 2 2 2 5 2 2 2" xfId="2704"/>
    <cellStyle name="Total 2 2 2 5 2 2 2 2" xfId="5901"/>
    <cellStyle name="Total 2 2 2 5 2 2 3" xfId="5302"/>
    <cellStyle name="Total 2 2 2 5 2 3" xfId="3455"/>
    <cellStyle name="Total 2 2 2 5 2 3 2" xfId="6651"/>
    <cellStyle name="Total 2 2 2 5 2 4" xfId="4832"/>
    <cellStyle name="Total 2 2 2 5 3" xfId="2246"/>
    <cellStyle name="Total 2 2 2 5 3 2" xfId="2973"/>
    <cellStyle name="Total 2 2 2 5 3 2 2" xfId="6170"/>
    <cellStyle name="Total 2 2 2 5 3 3" xfId="5676"/>
    <cellStyle name="Total 2 2 2 5 3 4" xfId="4545"/>
    <cellStyle name="Total 2 2 2 5 4" xfId="2247"/>
    <cellStyle name="Total 2 2 2 5 4 2" xfId="3069"/>
    <cellStyle name="Total 2 2 2 5 4 2 2" xfId="6266"/>
    <cellStyle name="Total 2 2 2 5 4 3" xfId="5015"/>
    <cellStyle name="Total 2 2 2 5 5" xfId="3216"/>
    <cellStyle name="Total 2 2 2 5 5 2" xfId="6412"/>
    <cellStyle name="Total 2 2 2 5 6" xfId="4154"/>
    <cellStyle name="Total 2 2 2 6" xfId="3466"/>
    <cellStyle name="Total 2 2 2 6 2" xfId="6662"/>
    <cellStyle name="Total 2 2 3" xfId="2248"/>
    <cellStyle name="Total 2 2 3 2" xfId="2249"/>
    <cellStyle name="Total 2 2 3 2 2" xfId="2250"/>
    <cellStyle name="Total 2 2 3 2 2 2" xfId="2251"/>
    <cellStyle name="Total 2 2 3 2 2 2 2" xfId="2798"/>
    <cellStyle name="Total 2 2 3 2 2 2 2 2" xfId="5995"/>
    <cellStyle name="Total 2 2 3 2 2 2 3" xfId="5207"/>
    <cellStyle name="Total 2 2 3 2 2 3" xfId="3170"/>
    <cellStyle name="Total 2 2 3 2 2 3 2" xfId="6366"/>
    <cellStyle name="Total 2 2 3 2 2 4" xfId="4737"/>
    <cellStyle name="Total 2 2 3 2 3" xfId="2252"/>
    <cellStyle name="Total 2 2 3 2 3 2" xfId="3504"/>
    <cellStyle name="Total 2 2 3 2 3 2 2" xfId="6700"/>
    <cellStyle name="Total 2 2 3 2 3 3" xfId="5677"/>
    <cellStyle name="Total 2 2 3 2 3 4" xfId="4450"/>
    <cellStyle name="Total 2 2 3 2 4" xfId="2253"/>
    <cellStyle name="Total 2 2 3 2 4 2" xfId="3337"/>
    <cellStyle name="Total 2 2 3 2 4 2 2" xfId="6533"/>
    <cellStyle name="Total 2 2 3 2 4 3" xfId="4333"/>
    <cellStyle name="Total 2 2 3 2 5" xfId="3993"/>
    <cellStyle name="Total 2 2 3 2 5 2" xfId="7189"/>
    <cellStyle name="Total 2 2 3 2 6" xfId="4059"/>
    <cellStyle name="Total 2 2 3 3" xfId="2254"/>
    <cellStyle name="Total 2 2 3 3 2" xfId="2255"/>
    <cellStyle name="Total 2 2 3 3 2 2" xfId="2256"/>
    <cellStyle name="Total 2 2 3 3 2 2 2" xfId="2585"/>
    <cellStyle name="Total 2 2 3 3 2 2 2 2" xfId="5782"/>
    <cellStyle name="Total 2 2 3 3 2 2 3" xfId="5386"/>
    <cellStyle name="Total 2 2 3 3 2 3" xfId="3459"/>
    <cellStyle name="Total 2 2 3 3 2 3 2" xfId="6655"/>
    <cellStyle name="Total 2 2 3 3 2 4" xfId="4916"/>
    <cellStyle name="Total 2 2 3 3 3" xfId="2257"/>
    <cellStyle name="Total 2 2 3 3 3 2" xfId="3936"/>
    <cellStyle name="Total 2 2 3 3 3 2 2" xfId="7132"/>
    <cellStyle name="Total 2 2 3 3 3 3" xfId="5678"/>
    <cellStyle name="Total 2 2 3 3 3 4" xfId="4629"/>
    <cellStyle name="Total 2 2 3 3 4" xfId="2258"/>
    <cellStyle name="Total 2 2 3 3 4 2" xfId="2903"/>
    <cellStyle name="Total 2 2 3 3 4 2 2" xfId="6100"/>
    <cellStyle name="Total 2 2 3 3 4 3" xfId="5099"/>
    <cellStyle name="Total 2 2 3 3 5" xfId="3746"/>
    <cellStyle name="Total 2 2 3 3 5 2" xfId="6942"/>
    <cellStyle name="Total 2 2 3 3 6" xfId="4238"/>
    <cellStyle name="Total 2 2 3 4" xfId="2259"/>
    <cellStyle name="Total 2 2 3 4 2" xfId="2260"/>
    <cellStyle name="Total 2 2 3 4 2 2" xfId="2261"/>
    <cellStyle name="Total 2 2 3 4 2 2 2" xfId="2541"/>
    <cellStyle name="Total 2 2 3 4 2 2 2 2" xfId="5738"/>
    <cellStyle name="Total 2 2 3 4 2 2 3" xfId="5341"/>
    <cellStyle name="Total 2 2 3 4 2 3" xfId="3485"/>
    <cellStyle name="Total 2 2 3 4 2 3 2" xfId="6681"/>
    <cellStyle name="Total 2 2 3 4 2 4" xfId="4871"/>
    <cellStyle name="Total 2 2 3 4 3" xfId="2262"/>
    <cellStyle name="Total 2 2 3 4 3 2" xfId="2961"/>
    <cellStyle name="Total 2 2 3 4 3 2 2" xfId="6158"/>
    <cellStyle name="Total 2 2 3 4 3 3" xfId="5679"/>
    <cellStyle name="Total 2 2 3 4 3 4" xfId="4584"/>
    <cellStyle name="Total 2 2 3 4 4" xfId="2263"/>
    <cellStyle name="Total 2 2 3 4 4 2" xfId="2590"/>
    <cellStyle name="Total 2 2 3 4 4 2 2" xfId="5787"/>
    <cellStyle name="Total 2 2 3 4 4 3" xfId="5054"/>
    <cellStyle name="Total 2 2 3 4 5" xfId="3368"/>
    <cellStyle name="Total 2 2 3 4 5 2" xfId="6564"/>
    <cellStyle name="Total 2 2 3 4 6" xfId="4193"/>
    <cellStyle name="Total 2 2 3 5" xfId="3208"/>
    <cellStyle name="Total 2 2 3 5 2" xfId="6404"/>
    <cellStyle name="Total 2 2 4" xfId="2264"/>
    <cellStyle name="Total 2 2 4 2" xfId="2265"/>
    <cellStyle name="Total 2 2 4 2 2" xfId="2266"/>
    <cellStyle name="Total 2 2 4 2 2 2" xfId="2267"/>
    <cellStyle name="Total 2 2 4 2 2 2 2" xfId="2719"/>
    <cellStyle name="Total 2 2 4 2 2 2 2 2" xfId="5916"/>
    <cellStyle name="Total 2 2 4 2 2 2 3" xfId="5287"/>
    <cellStyle name="Total 2 2 4 2 2 3" xfId="3542"/>
    <cellStyle name="Total 2 2 4 2 2 3 2" xfId="6738"/>
    <cellStyle name="Total 2 2 4 2 2 4" xfId="4817"/>
    <cellStyle name="Total 2 2 4 2 3" xfId="2268"/>
    <cellStyle name="Total 2 2 4 2 3 2" xfId="2986"/>
    <cellStyle name="Total 2 2 4 2 3 2 2" xfId="6183"/>
    <cellStyle name="Total 2 2 4 2 3 3" xfId="5680"/>
    <cellStyle name="Total 2 2 4 2 3 4" xfId="4530"/>
    <cellStyle name="Total 2 2 4 2 4" xfId="2269"/>
    <cellStyle name="Total 2 2 4 2 4 2" xfId="2937"/>
    <cellStyle name="Total 2 2 4 2 4 2 2" xfId="6134"/>
    <cellStyle name="Total 2 2 4 2 4 3" xfId="5000"/>
    <cellStyle name="Total 2 2 4 2 5" xfId="2535"/>
    <cellStyle name="Total 2 2 4 2 5 2" xfId="5732"/>
    <cellStyle name="Total 2 2 4 2 6" xfId="4139"/>
    <cellStyle name="Total 2 2 4 3" xfId="2270"/>
    <cellStyle name="Total 2 2 4 3 2" xfId="2271"/>
    <cellStyle name="Total 2 2 4 3 2 2" xfId="2272"/>
    <cellStyle name="Total 2 2 4 3 2 2 2" xfId="2667"/>
    <cellStyle name="Total 2 2 4 3 2 2 2 2" xfId="5864"/>
    <cellStyle name="Total 2 2 4 3 2 2 3" xfId="5423"/>
    <cellStyle name="Total 2 2 4 3 2 3" xfId="2949"/>
    <cellStyle name="Total 2 2 4 3 2 3 2" xfId="6146"/>
    <cellStyle name="Total 2 2 4 3 2 4" xfId="4953"/>
    <cellStyle name="Total 2 2 4 3 3" xfId="2273"/>
    <cellStyle name="Total 2 2 4 3 3 2" xfId="3909"/>
    <cellStyle name="Total 2 2 4 3 3 2 2" xfId="7105"/>
    <cellStyle name="Total 2 2 4 3 3 3" xfId="5681"/>
    <cellStyle name="Total 2 2 4 3 3 4" xfId="4666"/>
    <cellStyle name="Total 2 2 4 3 4" xfId="2274"/>
    <cellStyle name="Total 2 2 4 3 4 2" xfId="2867"/>
    <cellStyle name="Total 2 2 4 3 4 2 2" xfId="6064"/>
    <cellStyle name="Total 2 2 4 3 4 3" xfId="5136"/>
    <cellStyle name="Total 2 2 4 3 5" xfId="3639"/>
    <cellStyle name="Total 2 2 4 3 5 2" xfId="6835"/>
    <cellStyle name="Total 2 2 4 3 6" xfId="4275"/>
    <cellStyle name="Total 2 2 4 4" xfId="2275"/>
    <cellStyle name="Total 2 2 4 4 2" xfId="2276"/>
    <cellStyle name="Total 2 2 4 4 2 2" xfId="2752"/>
    <cellStyle name="Total 2 2 4 4 2 2 2" xfId="5949"/>
    <cellStyle name="Total 2 2 4 4 2 3" xfId="5254"/>
    <cellStyle name="Total 2 2 4 4 3" xfId="3808"/>
    <cellStyle name="Total 2 2 4 4 3 2" xfId="7004"/>
    <cellStyle name="Total 2 2 4 4 4" xfId="4784"/>
    <cellStyle name="Total 2 2 4 5" xfId="2277"/>
    <cellStyle name="Total 2 2 4 5 2" xfId="2999"/>
    <cellStyle name="Total 2 2 4 5 2 2" xfId="6196"/>
    <cellStyle name="Total 2 2 4 5 3" xfId="5682"/>
    <cellStyle name="Total 2 2 4 5 4" xfId="4497"/>
    <cellStyle name="Total 2 2 4 6" xfId="2278"/>
    <cellStyle name="Total 2 2 4 6 2" xfId="2607"/>
    <cellStyle name="Total 2 2 4 6 2 2" xfId="5804"/>
    <cellStyle name="Total 2 2 4 6 3" xfId="4967"/>
    <cellStyle name="Total 2 2 4 7" xfId="3313"/>
    <cellStyle name="Total 2 2 4 7 2" xfId="6509"/>
    <cellStyle name="Total 2 2 4 8" xfId="4106"/>
    <cellStyle name="Total 2 2 5" xfId="2279"/>
    <cellStyle name="Total 2 2 5 2" xfId="2280"/>
    <cellStyle name="Total 2 2 5 2 2" xfId="2281"/>
    <cellStyle name="Total 2 2 5 2 2 2" xfId="2835"/>
    <cellStyle name="Total 2 2 5 2 2 2 2" xfId="6032"/>
    <cellStyle name="Total 2 2 5 2 2 3" xfId="5169"/>
    <cellStyle name="Total 2 2 5 2 3" xfId="3620"/>
    <cellStyle name="Total 2 2 5 2 3 2" xfId="6816"/>
    <cellStyle name="Total 2 2 5 2 4" xfId="4699"/>
    <cellStyle name="Total 2 2 5 3" xfId="2282"/>
    <cellStyle name="Total 2 2 5 3 2" xfId="3443"/>
    <cellStyle name="Total 2 2 5 3 2 2" xfId="6639"/>
    <cellStyle name="Total 2 2 5 3 3" xfId="5683"/>
    <cellStyle name="Total 2 2 5 3 4" xfId="4412"/>
    <cellStyle name="Total 2 2 5 4" xfId="2283"/>
    <cellStyle name="Total 2 2 5 4 2" xfId="3849"/>
    <cellStyle name="Total 2 2 5 4 2 2" xfId="7045"/>
    <cellStyle name="Total 2 2 5 4 3" xfId="4371"/>
    <cellStyle name="Total 2 2 5 5" xfId="3554"/>
    <cellStyle name="Total 2 2 5 5 2" xfId="6750"/>
    <cellStyle name="Total 2 2 5 6" xfId="4021"/>
    <cellStyle name="Total 2 3" xfId="2284"/>
    <cellStyle name="Total 2 3 2" xfId="2285"/>
    <cellStyle name="Total 2 3 2 2" xfId="2286"/>
    <cellStyle name="Total 2 3 2 2 2" xfId="2287"/>
    <cellStyle name="Total 2 3 2 2 2 2" xfId="2288"/>
    <cellStyle name="Total 2 3 2 2 2 2 2" xfId="3029"/>
    <cellStyle name="Total 2 3 2 2 2 2 2 2" xfId="6226"/>
    <cellStyle name="Total 2 3 2 2 2 2 3" xfId="5226"/>
    <cellStyle name="Total 2 3 2 2 2 3" xfId="3735"/>
    <cellStyle name="Total 2 3 2 2 2 3 2" xfId="6931"/>
    <cellStyle name="Total 2 3 2 2 2 4" xfId="4756"/>
    <cellStyle name="Total 2 3 2 2 3" xfId="2289"/>
    <cellStyle name="Total 2 3 2 2 3 2" xfId="3181"/>
    <cellStyle name="Total 2 3 2 2 3 2 2" xfId="6377"/>
    <cellStyle name="Total 2 3 2 2 3 3" xfId="5684"/>
    <cellStyle name="Total 2 3 2 2 3 4" xfId="4469"/>
    <cellStyle name="Total 2 3 2 2 4" xfId="2290"/>
    <cellStyle name="Total 2 3 2 2 4 2" xfId="3479"/>
    <cellStyle name="Total 2 3 2 2 4 2 2" xfId="6675"/>
    <cellStyle name="Total 2 3 2 2 4 3" xfId="4315"/>
    <cellStyle name="Total 2 3 2 2 5" xfId="3169"/>
    <cellStyle name="Total 2 3 2 2 5 2" xfId="6365"/>
    <cellStyle name="Total 2 3 2 2 6" xfId="4078"/>
    <cellStyle name="Total 2 3 2 3" xfId="2291"/>
    <cellStyle name="Total 2 3 2 3 2" xfId="2292"/>
    <cellStyle name="Total 2 3 2 3 2 2" xfId="2293"/>
    <cellStyle name="Total 2 3 2 3 2 2 2" xfId="2630"/>
    <cellStyle name="Total 2 3 2 3 2 2 2 2" xfId="5827"/>
    <cellStyle name="Total 2 3 2 3 2 2 3" xfId="5403"/>
    <cellStyle name="Total 2 3 2 3 2 3" xfId="3894"/>
    <cellStyle name="Total 2 3 2 3 2 3 2" xfId="7090"/>
    <cellStyle name="Total 2 3 2 3 2 4" xfId="4933"/>
    <cellStyle name="Total 2 3 2 3 3" xfId="2294"/>
    <cellStyle name="Total 2 3 2 3 3 2" xfId="3675"/>
    <cellStyle name="Total 2 3 2 3 3 2 2" xfId="6871"/>
    <cellStyle name="Total 2 3 2 3 3 3" xfId="5685"/>
    <cellStyle name="Total 2 3 2 3 3 4" xfId="4646"/>
    <cellStyle name="Total 2 3 2 3 4" xfId="2295"/>
    <cellStyle name="Total 2 3 2 3 4 2" xfId="2886"/>
    <cellStyle name="Total 2 3 2 3 4 2 2" xfId="6083"/>
    <cellStyle name="Total 2 3 2 3 4 3" xfId="5116"/>
    <cellStyle name="Total 2 3 2 3 5" xfId="3527"/>
    <cellStyle name="Total 2 3 2 3 5 2" xfId="6723"/>
    <cellStyle name="Total 2 3 2 3 6" xfId="4255"/>
    <cellStyle name="Total 2 3 2 4" xfId="2296"/>
    <cellStyle name="Total 2 3 2 4 2" xfId="2297"/>
    <cellStyle name="Total 2 3 2 4 2 2" xfId="2298"/>
    <cellStyle name="Total 2 3 2 4 2 2 2" xfId="2556"/>
    <cellStyle name="Total 2 3 2 4 2 2 2 2" xfId="5753"/>
    <cellStyle name="Total 2 3 2 4 2 2 3" xfId="5357"/>
    <cellStyle name="Total 2 3 2 4 2 3" xfId="3682"/>
    <cellStyle name="Total 2 3 2 4 2 3 2" xfId="6878"/>
    <cellStyle name="Total 2 3 2 4 2 4" xfId="4887"/>
    <cellStyle name="Total 2 3 2 4 3" xfId="2299"/>
    <cellStyle name="Total 2 3 2 4 3 2" xfId="3132"/>
    <cellStyle name="Total 2 3 2 4 3 2 2" xfId="6329"/>
    <cellStyle name="Total 2 3 2 4 3 3" xfId="5686"/>
    <cellStyle name="Total 2 3 2 4 3 4" xfId="4600"/>
    <cellStyle name="Total 2 3 2 4 4" xfId="2300"/>
    <cellStyle name="Total 2 3 2 4 4 2" xfId="3232"/>
    <cellStyle name="Total 2 3 2 4 4 2 2" xfId="6428"/>
    <cellStyle name="Total 2 3 2 4 4 3" xfId="5070"/>
    <cellStyle name="Total 2 3 2 4 5" xfId="3453"/>
    <cellStyle name="Total 2 3 2 4 5 2" xfId="6649"/>
    <cellStyle name="Total 2 3 2 4 6" xfId="4209"/>
    <cellStyle name="Total 2 3 2 5" xfId="3771"/>
    <cellStyle name="Total 2 3 2 5 2" xfId="6967"/>
    <cellStyle name="Total 2 3 3" xfId="2301"/>
    <cellStyle name="Total 2 3 3 2" xfId="2302"/>
    <cellStyle name="Total 2 3 3 2 2" xfId="2303"/>
    <cellStyle name="Total 2 3 3 2 2 2" xfId="2823"/>
    <cellStyle name="Total 2 3 3 2 2 2 2" xfId="6020"/>
    <cellStyle name="Total 2 3 3 2 2 3" xfId="5181"/>
    <cellStyle name="Total 2 3 3 2 3" xfId="3545"/>
    <cellStyle name="Total 2 3 3 2 3 2" xfId="6741"/>
    <cellStyle name="Total 2 3 3 2 4" xfId="4711"/>
    <cellStyle name="Total 2 3 3 3" xfId="2304"/>
    <cellStyle name="Total 2 3 3 3 2" xfId="3437"/>
    <cellStyle name="Total 2 3 3 3 2 2" xfId="6633"/>
    <cellStyle name="Total 2 3 3 3 3" xfId="5687"/>
    <cellStyle name="Total 2 3 3 3 4" xfId="4424"/>
    <cellStyle name="Total 2 3 3 4" xfId="2305"/>
    <cellStyle name="Total 2 3 3 4 2" xfId="3667"/>
    <cellStyle name="Total 2 3 3 4 2 2" xfId="6863"/>
    <cellStyle name="Total 2 3 3 4 3" xfId="4359"/>
    <cellStyle name="Total 2 3 3 5" xfId="3652"/>
    <cellStyle name="Total 2 3 3 5 2" xfId="6848"/>
    <cellStyle name="Total 2 3 3 6" xfId="4033"/>
    <cellStyle name="Total 2 3 4" xfId="2306"/>
    <cellStyle name="Total 2 3 4 2" xfId="2307"/>
    <cellStyle name="Total 2 3 4 2 2" xfId="2308"/>
    <cellStyle name="Total 2 3 4 2 2 2" xfId="2565"/>
    <cellStyle name="Total 2 3 4 2 2 2 2" xfId="5762"/>
    <cellStyle name="Total 2 3 4 2 2 3" xfId="5366"/>
    <cellStyle name="Total 2 3 4 2 3" xfId="3592"/>
    <cellStyle name="Total 2 3 4 2 3 2" xfId="6788"/>
    <cellStyle name="Total 2 3 4 2 4" xfId="4896"/>
    <cellStyle name="Total 2 3 4 3" xfId="2309"/>
    <cellStyle name="Total 2 3 4 3 2" xfId="3265"/>
    <cellStyle name="Total 2 3 4 3 2 2" xfId="6461"/>
    <cellStyle name="Total 2 3 4 3 3" xfId="5688"/>
    <cellStyle name="Total 2 3 4 3 4" xfId="4609"/>
    <cellStyle name="Total 2 3 4 4" xfId="2310"/>
    <cellStyle name="Total 2 3 4 4 2" xfId="3057"/>
    <cellStyle name="Total 2 3 4 4 2 2" xfId="6254"/>
    <cellStyle name="Total 2 3 4 4 3" xfId="5079"/>
    <cellStyle name="Total 2 3 4 5" xfId="3712"/>
    <cellStyle name="Total 2 3 4 5 2" xfId="6908"/>
    <cellStyle name="Total 2 3 4 6" xfId="4218"/>
    <cellStyle name="Total 2 3 5" xfId="2311"/>
    <cellStyle name="Total 2 3 5 2" xfId="2312"/>
    <cellStyle name="Total 2 3 5 2 2" xfId="2313"/>
    <cellStyle name="Total 2 3 5 2 2 2" xfId="2554"/>
    <cellStyle name="Total 2 3 5 2 2 2 2" xfId="5751"/>
    <cellStyle name="Total 2 3 5 2 2 3" xfId="5355"/>
    <cellStyle name="Total 2 3 5 2 3" xfId="3540"/>
    <cellStyle name="Total 2 3 5 2 3 2" xfId="6736"/>
    <cellStyle name="Total 2 3 5 2 4" xfId="4885"/>
    <cellStyle name="Total 2 3 5 3" xfId="2314"/>
    <cellStyle name="Total 2 3 5 3 2" xfId="3335"/>
    <cellStyle name="Total 2 3 5 3 2 2" xfId="6531"/>
    <cellStyle name="Total 2 3 5 3 3" xfId="5689"/>
    <cellStyle name="Total 2 3 5 3 4" xfId="4598"/>
    <cellStyle name="Total 2 3 5 4" xfId="2315"/>
    <cellStyle name="Total 2 3 5 4 2" xfId="2924"/>
    <cellStyle name="Total 2 3 5 4 2 2" xfId="6121"/>
    <cellStyle name="Total 2 3 5 4 3" xfId="5068"/>
    <cellStyle name="Total 2 3 5 5" xfId="3733"/>
    <cellStyle name="Total 2 3 5 5 2" xfId="6929"/>
    <cellStyle name="Total 2 3 5 6" xfId="4207"/>
    <cellStyle name="Total 2 3 6" xfId="3423"/>
    <cellStyle name="Total 2 3 6 2" xfId="6619"/>
    <cellStyle name="Total 2 4" xfId="2316"/>
    <cellStyle name="Total 2 4 2" xfId="2317"/>
    <cellStyle name="Total 2 4 2 2" xfId="2318"/>
    <cellStyle name="Total 2 4 2 2 2" xfId="2319"/>
    <cellStyle name="Total 2 4 2 2 2 2" xfId="2797"/>
    <cellStyle name="Total 2 4 2 2 2 2 2" xfId="5994"/>
    <cellStyle name="Total 2 4 2 2 2 3" xfId="5208"/>
    <cellStyle name="Total 2 4 2 2 3" xfId="3439"/>
    <cellStyle name="Total 2 4 2 2 3 2" xfId="6635"/>
    <cellStyle name="Total 2 4 2 2 4" xfId="4738"/>
    <cellStyle name="Total 2 4 2 3" xfId="2320"/>
    <cellStyle name="Total 2 4 2 3 2" xfId="3884"/>
    <cellStyle name="Total 2 4 2 3 2 2" xfId="7080"/>
    <cellStyle name="Total 2 4 2 3 3" xfId="5690"/>
    <cellStyle name="Total 2 4 2 3 4" xfId="4451"/>
    <cellStyle name="Total 2 4 2 4" xfId="2321"/>
    <cellStyle name="Total 2 4 2 4 2" xfId="3354"/>
    <cellStyle name="Total 2 4 2 4 2 2" xfId="6550"/>
    <cellStyle name="Total 2 4 2 4 3" xfId="4332"/>
    <cellStyle name="Total 2 4 2 5" xfId="3757"/>
    <cellStyle name="Total 2 4 2 5 2" xfId="6953"/>
    <cellStyle name="Total 2 4 2 6" xfId="4060"/>
    <cellStyle name="Total 2 4 3" xfId="2322"/>
    <cellStyle name="Total 2 4 3 2" xfId="2323"/>
    <cellStyle name="Total 2 4 3 2 2" xfId="2324"/>
    <cellStyle name="Total 2 4 3 2 2 2" xfId="2610"/>
    <cellStyle name="Total 2 4 3 2 2 2 2" xfId="5807"/>
    <cellStyle name="Total 2 4 3 2 2 3" xfId="5387"/>
    <cellStyle name="Total 2 4 3 2 3" xfId="3494"/>
    <cellStyle name="Total 2 4 3 2 3 2" xfId="6690"/>
    <cellStyle name="Total 2 4 3 2 4" xfId="4917"/>
    <cellStyle name="Total 2 4 3 3" xfId="2325"/>
    <cellStyle name="Total 2 4 3 3 2" xfId="3701"/>
    <cellStyle name="Total 2 4 3 3 2 2" xfId="6897"/>
    <cellStyle name="Total 2 4 3 3 3" xfId="5691"/>
    <cellStyle name="Total 2 4 3 3 4" xfId="4630"/>
    <cellStyle name="Total 2 4 3 4" xfId="2326"/>
    <cellStyle name="Total 2 4 3 4 2" xfId="2902"/>
    <cellStyle name="Total 2 4 3 4 2 2" xfId="6099"/>
    <cellStyle name="Total 2 4 3 4 3" xfId="5100"/>
    <cellStyle name="Total 2 4 3 5" xfId="3410"/>
    <cellStyle name="Total 2 4 3 5 2" xfId="6606"/>
    <cellStyle name="Total 2 4 3 6" xfId="4239"/>
    <cellStyle name="Total 2 4 4" xfId="2327"/>
    <cellStyle name="Total 2 4 4 2" xfId="2328"/>
    <cellStyle name="Total 2 4 4 2 2" xfId="2329"/>
    <cellStyle name="Total 2 4 4 2 2 2" xfId="2542"/>
    <cellStyle name="Total 2 4 4 2 2 2 2" xfId="5739"/>
    <cellStyle name="Total 2 4 4 2 2 3" xfId="5342"/>
    <cellStyle name="Total 2 4 4 2 3" xfId="3863"/>
    <cellStyle name="Total 2 4 4 2 3 2" xfId="7059"/>
    <cellStyle name="Total 2 4 4 2 4" xfId="4872"/>
    <cellStyle name="Total 2 4 4 3" xfId="2330"/>
    <cellStyle name="Total 2 4 4 3 2" xfId="2960"/>
    <cellStyle name="Total 2 4 4 3 2 2" xfId="6157"/>
    <cellStyle name="Total 2 4 4 3 3" xfId="5692"/>
    <cellStyle name="Total 2 4 4 3 4" xfId="4585"/>
    <cellStyle name="Total 2 4 4 4" xfId="2331"/>
    <cellStyle name="Total 2 4 4 4 2" xfId="3061"/>
    <cellStyle name="Total 2 4 4 4 2 2" xfId="6258"/>
    <cellStyle name="Total 2 4 4 4 3" xfId="5055"/>
    <cellStyle name="Total 2 4 4 5" xfId="3775"/>
    <cellStyle name="Total 2 4 4 5 2" xfId="6971"/>
    <cellStyle name="Total 2 4 4 6" xfId="4194"/>
    <cellStyle name="Total 2 4 5" xfId="3951"/>
    <cellStyle name="Total 2 4 5 2" xfId="7147"/>
    <cellStyle name="Total 2 5" xfId="2332"/>
    <cellStyle name="Total 2 5 2" xfId="2333"/>
    <cellStyle name="Total 2 5 2 2" xfId="2334"/>
    <cellStyle name="Total 2 5 2 2 2" xfId="2335"/>
    <cellStyle name="Total 2 5 2 2 2 2" xfId="2737"/>
    <cellStyle name="Total 2 5 2 2 2 2 2" xfId="5934"/>
    <cellStyle name="Total 2 5 2 2 2 3" xfId="5269"/>
    <cellStyle name="Total 2 5 2 2 3" xfId="3149"/>
    <cellStyle name="Total 2 5 2 2 3 2" xfId="6345"/>
    <cellStyle name="Total 2 5 2 2 4" xfId="4799"/>
    <cellStyle name="Total 2 5 2 3" xfId="2336"/>
    <cellStyle name="Total 2 5 2 3 2" xfId="3246"/>
    <cellStyle name="Total 2 5 2 3 2 2" xfId="6442"/>
    <cellStyle name="Total 2 5 2 3 3" xfId="5693"/>
    <cellStyle name="Total 2 5 2 3 4" xfId="4512"/>
    <cellStyle name="Total 2 5 2 4" xfId="2337"/>
    <cellStyle name="Total 2 5 2 4 2" xfId="3049"/>
    <cellStyle name="Total 2 5 2 4 2 2" xfId="6246"/>
    <cellStyle name="Total 2 5 2 4 3" xfId="4982"/>
    <cellStyle name="Total 2 5 2 5" xfId="3329"/>
    <cellStyle name="Total 2 5 2 5 2" xfId="6525"/>
    <cellStyle name="Total 2 5 2 6" xfId="4121"/>
    <cellStyle name="Total 2 5 3" xfId="2338"/>
    <cellStyle name="Total 2 5 3 2" xfId="2339"/>
    <cellStyle name="Total 2 5 3 2 2" xfId="2340"/>
    <cellStyle name="Total 2 5 3 2 2 2" xfId="2676"/>
    <cellStyle name="Total 2 5 3 2 2 2 2" xfId="5873"/>
    <cellStyle name="Total 2 5 3 2 2 3" xfId="5330"/>
    <cellStyle name="Total 2 5 3 2 3" xfId="3980"/>
    <cellStyle name="Total 2 5 3 2 3 2" xfId="7176"/>
    <cellStyle name="Total 2 5 3 2 4" xfId="4860"/>
    <cellStyle name="Total 2 5 3 3" xfId="2341"/>
    <cellStyle name="Total 2 5 3 3 2" xfId="3258"/>
    <cellStyle name="Total 2 5 3 3 2 2" xfId="6454"/>
    <cellStyle name="Total 2 5 3 3 3" xfId="5694"/>
    <cellStyle name="Total 2 5 3 3 4" xfId="4573"/>
    <cellStyle name="Total 2 5 3 4" xfId="2342"/>
    <cellStyle name="Total 2 5 3 4 2" xfId="3275"/>
    <cellStyle name="Total 2 5 3 4 2 2" xfId="6471"/>
    <cellStyle name="Total 2 5 3 4 3" xfId="5043"/>
    <cellStyle name="Total 2 5 3 5" xfId="3483"/>
    <cellStyle name="Total 2 5 3 5 2" xfId="6679"/>
    <cellStyle name="Total 2 5 3 6" xfId="4182"/>
    <cellStyle name="Total 2 5 4" xfId="2343"/>
    <cellStyle name="Total 2 5 4 2" xfId="2344"/>
    <cellStyle name="Total 2 5 4 2 2" xfId="2770"/>
    <cellStyle name="Total 2 5 4 2 2 2" xfId="5967"/>
    <cellStyle name="Total 2 5 4 2 3" xfId="5236"/>
    <cellStyle name="Total 2 5 4 3" xfId="3644"/>
    <cellStyle name="Total 2 5 4 3 2" xfId="6840"/>
    <cellStyle name="Total 2 5 4 4" xfId="4766"/>
    <cellStyle name="Total 2 5 5" xfId="2345"/>
    <cellStyle name="Total 2 5 5 2" xfId="3415"/>
    <cellStyle name="Total 2 5 5 2 2" xfId="6611"/>
    <cellStyle name="Total 2 5 5 3" xfId="5695"/>
    <cellStyle name="Total 2 5 5 4" xfId="4479"/>
    <cellStyle name="Total 2 5 6" xfId="2346"/>
    <cellStyle name="Total 2 5 6 2" xfId="3407"/>
    <cellStyle name="Total 2 5 6 2 2" xfId="6603"/>
    <cellStyle name="Total 2 5 6 3" xfId="4306"/>
    <cellStyle name="Total 2 5 7" xfId="3918"/>
    <cellStyle name="Total 2 5 7 2" xfId="7114"/>
    <cellStyle name="Total 2 5 8" xfId="4088"/>
    <cellStyle name="Total 2 6" xfId="2347"/>
    <cellStyle name="Total 2 6 2" xfId="2348"/>
    <cellStyle name="Total 2 6 2 2" xfId="2349"/>
    <cellStyle name="Total 2 6 2 2 2" xfId="2843"/>
    <cellStyle name="Total 2 6 2 2 2 2" xfId="6040"/>
    <cellStyle name="Total 2 6 2 2 3" xfId="5161"/>
    <cellStyle name="Total 2 6 2 3" xfId="3887"/>
    <cellStyle name="Total 2 6 2 3 2" xfId="7083"/>
    <cellStyle name="Total 2 6 2 4" xfId="4691"/>
    <cellStyle name="Total 2 6 3" xfId="2350"/>
    <cellStyle name="Total 2 6 3 2" xfId="3959"/>
    <cellStyle name="Total 2 6 3 2 2" xfId="7155"/>
    <cellStyle name="Total 2 6 3 3" xfId="5696"/>
    <cellStyle name="Total 2 6 3 4" xfId="4404"/>
    <cellStyle name="Total 2 6 4" xfId="2351"/>
    <cellStyle name="Total 2 6 4 2" xfId="3732"/>
    <cellStyle name="Total 2 6 4 2 2" xfId="6928"/>
    <cellStyle name="Total 2 6 4 3" xfId="4379"/>
    <cellStyle name="Total 2 6 5" xfId="3429"/>
    <cellStyle name="Total 2 6 5 2" xfId="6625"/>
    <cellStyle name="Total 2 6 6" xfId="4013"/>
    <cellStyle name="Total 3" xfId="2352"/>
    <cellStyle name="Total 3 2" xfId="2353"/>
    <cellStyle name="Total 3 2 2" xfId="2354"/>
    <cellStyle name="Total 3 2 2 2" xfId="2355"/>
    <cellStyle name="Total 3 2 2 2 2" xfId="2356"/>
    <cellStyle name="Total 3 2 2 2 2 2" xfId="2357"/>
    <cellStyle name="Total 3 2 2 2 2 2 2" xfId="2777"/>
    <cellStyle name="Total 3 2 2 2 2 2 2 2" xfId="5974"/>
    <cellStyle name="Total 3 2 2 2 2 2 3" xfId="5229"/>
    <cellStyle name="Total 3 2 2 2 2 3" xfId="3590"/>
    <cellStyle name="Total 3 2 2 2 2 3 2" xfId="6786"/>
    <cellStyle name="Total 3 2 2 2 2 4" xfId="4759"/>
    <cellStyle name="Total 3 2 2 2 3" xfId="2358"/>
    <cellStyle name="Total 3 2 2 2 3 2" xfId="3960"/>
    <cellStyle name="Total 3 2 2 2 3 2 2" xfId="7156"/>
    <cellStyle name="Total 3 2 2 2 3 3" xfId="5697"/>
    <cellStyle name="Total 3 2 2 2 3 4" xfId="4472"/>
    <cellStyle name="Total 3 2 2 2 4" xfId="2359"/>
    <cellStyle name="Total 3 2 2 2 4 2" xfId="3144"/>
    <cellStyle name="Total 3 2 2 2 4 2 2" xfId="6340"/>
    <cellStyle name="Total 3 2 2 2 4 3" xfId="4312"/>
    <cellStyle name="Total 3 2 2 2 5" xfId="3901"/>
    <cellStyle name="Total 3 2 2 2 5 2" xfId="7097"/>
    <cellStyle name="Total 3 2 2 2 6" xfId="4081"/>
    <cellStyle name="Total 3 2 2 3" xfId="2360"/>
    <cellStyle name="Total 3 2 2 3 2" xfId="2361"/>
    <cellStyle name="Total 3 2 2 3 2 2" xfId="2362"/>
    <cellStyle name="Total 3 2 2 3 2 2 2" xfId="2633"/>
    <cellStyle name="Total 3 2 2 3 2 2 2 2" xfId="5830"/>
    <cellStyle name="Total 3 2 2 3 2 2 3" xfId="5406"/>
    <cellStyle name="Total 3 2 2 3 2 3" xfId="3150"/>
    <cellStyle name="Total 3 2 2 3 2 3 2" xfId="6346"/>
    <cellStyle name="Total 3 2 2 3 2 4" xfId="4936"/>
    <cellStyle name="Total 3 2 2 3 3" xfId="2363"/>
    <cellStyle name="Total 3 2 2 3 3 2" xfId="3999"/>
    <cellStyle name="Total 3 2 2 3 3 2 2" xfId="7195"/>
    <cellStyle name="Total 3 2 2 3 3 3" xfId="5698"/>
    <cellStyle name="Total 3 2 2 3 3 4" xfId="4649"/>
    <cellStyle name="Total 3 2 2 3 4" xfId="2364"/>
    <cellStyle name="Total 3 2 2 3 4 2" xfId="2883"/>
    <cellStyle name="Total 3 2 2 3 4 2 2" xfId="6080"/>
    <cellStyle name="Total 3 2 2 3 4 3" xfId="5119"/>
    <cellStyle name="Total 3 2 2 3 5" xfId="3793"/>
    <cellStyle name="Total 3 2 2 3 5 2" xfId="6989"/>
    <cellStyle name="Total 3 2 2 3 6" xfId="4258"/>
    <cellStyle name="Total 3 2 2 4" xfId="2365"/>
    <cellStyle name="Total 3 2 2 4 2" xfId="2366"/>
    <cellStyle name="Total 3 2 2 4 2 2" xfId="2367"/>
    <cellStyle name="Total 3 2 2 4 2 2 2" xfId="2549"/>
    <cellStyle name="Total 3 2 2 4 2 2 2 2" xfId="5746"/>
    <cellStyle name="Total 3 2 2 4 2 2 3" xfId="5349"/>
    <cellStyle name="Total 3 2 2 4 2 3" xfId="3798"/>
    <cellStyle name="Total 3 2 2 4 2 3 2" xfId="6994"/>
    <cellStyle name="Total 3 2 2 4 2 4" xfId="4879"/>
    <cellStyle name="Total 3 2 2 4 3" xfId="2368"/>
    <cellStyle name="Total 3 2 2 4 3 2" xfId="3139"/>
    <cellStyle name="Total 3 2 2 4 3 2 2" xfId="6335"/>
    <cellStyle name="Total 3 2 2 4 3 3" xfId="5699"/>
    <cellStyle name="Total 3 2 2 4 3 4" xfId="4592"/>
    <cellStyle name="Total 3 2 2 4 4" xfId="2369"/>
    <cellStyle name="Total 3 2 2 4 4 2" xfId="2925"/>
    <cellStyle name="Total 3 2 2 4 4 2 2" xfId="6122"/>
    <cellStyle name="Total 3 2 2 4 4 3" xfId="5062"/>
    <cellStyle name="Total 3 2 2 4 5" xfId="3989"/>
    <cellStyle name="Total 3 2 2 4 5 2" xfId="7185"/>
    <cellStyle name="Total 3 2 2 4 6" xfId="4201"/>
    <cellStyle name="Total 3 2 2 5" xfId="3679"/>
    <cellStyle name="Total 3 2 2 5 2" xfId="6875"/>
    <cellStyle name="Total 3 2 3" xfId="2370"/>
    <cellStyle name="Total 3 2 3 2" xfId="2371"/>
    <cellStyle name="Total 3 2 3 2 2" xfId="2372"/>
    <cellStyle name="Total 3 2 3 2 2 2" xfId="2820"/>
    <cellStyle name="Total 3 2 3 2 2 2 2" xfId="6017"/>
    <cellStyle name="Total 3 2 3 2 2 3" xfId="5184"/>
    <cellStyle name="Total 3 2 3 2 3" xfId="3353"/>
    <cellStyle name="Total 3 2 3 2 3 2" xfId="6549"/>
    <cellStyle name="Total 3 2 3 2 4" xfId="4714"/>
    <cellStyle name="Total 3 2 3 3" xfId="2373"/>
    <cellStyle name="Total 3 2 3 3 2" xfId="3662"/>
    <cellStyle name="Total 3 2 3 3 2 2" xfId="6858"/>
    <cellStyle name="Total 3 2 3 3 3" xfId="5700"/>
    <cellStyle name="Total 3 2 3 3 4" xfId="4427"/>
    <cellStyle name="Total 3 2 3 4" xfId="2374"/>
    <cellStyle name="Total 3 2 3 4 2" xfId="3433"/>
    <cellStyle name="Total 3 2 3 4 2 2" xfId="6629"/>
    <cellStyle name="Total 3 2 3 4 3" xfId="4356"/>
    <cellStyle name="Total 3 2 3 5" xfId="3102"/>
    <cellStyle name="Total 3 2 3 5 2" xfId="6299"/>
    <cellStyle name="Total 3 2 3 6" xfId="4036"/>
    <cellStyle name="Total 3 2 4" xfId="2375"/>
    <cellStyle name="Total 3 2 4 2" xfId="2376"/>
    <cellStyle name="Total 3 2 4 2 2" xfId="2377"/>
    <cellStyle name="Total 3 2 4 2 2 2" xfId="2567"/>
    <cellStyle name="Total 3 2 4 2 2 2 2" xfId="5764"/>
    <cellStyle name="Total 3 2 4 2 2 3" xfId="5368"/>
    <cellStyle name="Total 3 2 4 2 3" xfId="3736"/>
    <cellStyle name="Total 3 2 4 2 3 2" xfId="6932"/>
    <cellStyle name="Total 3 2 4 2 4" xfId="4898"/>
    <cellStyle name="Total 3 2 4 3" xfId="2378"/>
    <cellStyle name="Total 3 2 4 3 2" xfId="3334"/>
    <cellStyle name="Total 3 2 4 3 2 2" xfId="6530"/>
    <cellStyle name="Total 3 2 4 3 3" xfId="5701"/>
    <cellStyle name="Total 3 2 4 3 4" xfId="4611"/>
    <cellStyle name="Total 3 2 4 4" xfId="2379"/>
    <cellStyle name="Total 3 2 4 4 2" xfId="2921"/>
    <cellStyle name="Total 3 2 4 4 2 2" xfId="6118"/>
    <cellStyle name="Total 3 2 4 4 3" xfId="5081"/>
    <cellStyle name="Total 3 2 4 5" xfId="3818"/>
    <cellStyle name="Total 3 2 4 5 2" xfId="7014"/>
    <cellStyle name="Total 3 2 4 6" xfId="4220"/>
    <cellStyle name="Total 3 2 5" xfId="2380"/>
    <cellStyle name="Total 3 2 5 2" xfId="2381"/>
    <cellStyle name="Total 3 2 5 2 2" xfId="2382"/>
    <cellStyle name="Total 3 2 5 2 2 2" xfId="2695"/>
    <cellStyle name="Total 3 2 5 2 2 2 2" xfId="5892"/>
    <cellStyle name="Total 3 2 5 2 2 3" xfId="5311"/>
    <cellStyle name="Total 3 2 5 2 3" xfId="3696"/>
    <cellStyle name="Total 3 2 5 2 3 2" xfId="6892"/>
    <cellStyle name="Total 3 2 5 2 4" xfId="4841"/>
    <cellStyle name="Total 3 2 5 3" xfId="2383"/>
    <cellStyle name="Total 3 2 5 3 2" xfId="2967"/>
    <cellStyle name="Total 3 2 5 3 2 2" xfId="6164"/>
    <cellStyle name="Total 3 2 5 3 3" xfId="5702"/>
    <cellStyle name="Total 3 2 5 3 4" xfId="4554"/>
    <cellStyle name="Total 3 2 5 4" xfId="2384"/>
    <cellStyle name="Total 3 2 5 4 2" xfId="2596"/>
    <cellStyle name="Total 3 2 5 4 2 2" xfId="5793"/>
    <cellStyle name="Total 3 2 5 4 3" xfId="5024"/>
    <cellStyle name="Total 3 2 5 5" xfId="3095"/>
    <cellStyle name="Total 3 2 5 5 2" xfId="6292"/>
    <cellStyle name="Total 3 2 5 6" xfId="4163"/>
    <cellStyle name="Total 3 2 6" xfId="3892"/>
    <cellStyle name="Total 3 2 6 2" xfId="7088"/>
    <cellStyle name="Total 3 3" xfId="2385"/>
    <cellStyle name="Total 3 3 2" xfId="2386"/>
    <cellStyle name="Total 3 3 2 2" xfId="2387"/>
    <cellStyle name="Total 3 3 2 2 2" xfId="2388"/>
    <cellStyle name="Total 3 3 2 2 2 2" xfId="2796"/>
    <cellStyle name="Total 3 3 2 2 2 2 2" xfId="5993"/>
    <cellStyle name="Total 3 3 2 2 2 3" xfId="5209"/>
    <cellStyle name="Total 3 3 2 2 3" xfId="3518"/>
    <cellStyle name="Total 3 3 2 2 3 2" xfId="6714"/>
    <cellStyle name="Total 3 3 2 2 4" xfId="4739"/>
    <cellStyle name="Total 3 3 2 3" xfId="2389"/>
    <cellStyle name="Total 3 3 2 3 2" xfId="3646"/>
    <cellStyle name="Total 3 3 2 3 2 2" xfId="6842"/>
    <cellStyle name="Total 3 3 2 3 3" xfId="5703"/>
    <cellStyle name="Total 3 3 2 3 4" xfId="4452"/>
    <cellStyle name="Total 3 3 2 4" xfId="2390"/>
    <cellStyle name="Total 3 3 2 4 2" xfId="3690"/>
    <cellStyle name="Total 3 3 2 4 2 2" xfId="6886"/>
    <cellStyle name="Total 3 3 2 4 3" xfId="4331"/>
    <cellStyle name="Total 3 3 2 5" xfId="3422"/>
    <cellStyle name="Total 3 3 2 5 2" xfId="6618"/>
    <cellStyle name="Total 3 3 2 6" xfId="4061"/>
    <cellStyle name="Total 3 3 3" xfId="2391"/>
    <cellStyle name="Total 3 3 3 2" xfId="2392"/>
    <cellStyle name="Total 3 3 3 2 2" xfId="2393"/>
    <cellStyle name="Total 3 3 3 2 2 2" xfId="2670"/>
    <cellStyle name="Total 3 3 3 2 2 2 2" xfId="5867"/>
    <cellStyle name="Total 3 3 3 2 2 3" xfId="5388"/>
    <cellStyle name="Total 3 3 3 2 3" xfId="3874"/>
    <cellStyle name="Total 3 3 3 2 3 2" xfId="7070"/>
    <cellStyle name="Total 3 3 3 2 4" xfId="4918"/>
    <cellStyle name="Total 3 3 3 3" xfId="2394"/>
    <cellStyle name="Total 3 3 3 3 2" xfId="3364"/>
    <cellStyle name="Total 3 3 3 3 2 2" xfId="6560"/>
    <cellStyle name="Total 3 3 3 3 3" xfId="5704"/>
    <cellStyle name="Total 3 3 3 3 4" xfId="4631"/>
    <cellStyle name="Total 3 3 3 4" xfId="2395"/>
    <cellStyle name="Total 3 3 3 4 2" xfId="2901"/>
    <cellStyle name="Total 3 3 3 4 2 2" xfId="6098"/>
    <cellStyle name="Total 3 3 3 4 3" xfId="5101"/>
    <cellStyle name="Total 3 3 3 5" xfId="3442"/>
    <cellStyle name="Total 3 3 3 5 2" xfId="6638"/>
    <cellStyle name="Total 3 3 3 6" xfId="4240"/>
    <cellStyle name="Total 3 3 4" xfId="2396"/>
    <cellStyle name="Total 3 3 4 2" xfId="2397"/>
    <cellStyle name="Total 3 3 4 2 2" xfId="2398"/>
    <cellStyle name="Total 3 3 4 2 2 2" xfId="2543"/>
    <cellStyle name="Total 3 3 4 2 2 2 2" xfId="5740"/>
    <cellStyle name="Total 3 3 4 2 2 3" xfId="5343"/>
    <cellStyle name="Total 3 3 4 2 3" xfId="3627"/>
    <cellStyle name="Total 3 3 4 2 3 2" xfId="6823"/>
    <cellStyle name="Total 3 3 4 2 4" xfId="4873"/>
    <cellStyle name="Total 3 3 4 3" xfId="2399"/>
    <cellStyle name="Total 3 3 4 3 2" xfId="3339"/>
    <cellStyle name="Total 3 3 4 3 2 2" xfId="6535"/>
    <cellStyle name="Total 3 3 4 3 3" xfId="5705"/>
    <cellStyle name="Total 3 3 4 3 4" xfId="4586"/>
    <cellStyle name="Total 3 3 4 4" xfId="2400"/>
    <cellStyle name="Total 3 3 4 4 2" xfId="2926"/>
    <cellStyle name="Total 3 3 4 4 2 2" xfId="6123"/>
    <cellStyle name="Total 3 3 4 4 3" xfId="5056"/>
    <cellStyle name="Total 3 3 4 5" xfId="3919"/>
    <cellStyle name="Total 3 3 4 5 2" xfId="7115"/>
    <cellStyle name="Total 3 3 4 6" xfId="4195"/>
    <cellStyle name="Total 3 3 5" xfId="3714"/>
    <cellStyle name="Total 3 3 5 2" xfId="6910"/>
    <cellStyle name="Total 3 4" xfId="2401"/>
    <cellStyle name="Total 3 4 2" xfId="2402"/>
    <cellStyle name="Total 3 4 2 2" xfId="2403"/>
    <cellStyle name="Total 3 4 2 2 2" xfId="2404"/>
    <cellStyle name="Total 3 4 2 2 2 2" xfId="2733"/>
    <cellStyle name="Total 3 4 2 2 2 2 2" xfId="5930"/>
    <cellStyle name="Total 3 4 2 2 2 3" xfId="5273"/>
    <cellStyle name="Total 3 4 2 2 3" xfId="3481"/>
    <cellStyle name="Total 3 4 2 2 3 2" xfId="6677"/>
    <cellStyle name="Total 3 4 2 2 4" xfId="4803"/>
    <cellStyle name="Total 3 4 2 3" xfId="2405"/>
    <cellStyle name="Total 3 4 2 3 2" xfId="3087"/>
    <cellStyle name="Total 3 4 2 3 2 2" xfId="6284"/>
    <cellStyle name="Total 3 4 2 3 3" xfId="5706"/>
    <cellStyle name="Total 3 4 2 3 4" xfId="4516"/>
    <cellStyle name="Total 3 4 2 4" xfId="2406"/>
    <cellStyle name="Total 3 4 2 4 2" xfId="3242"/>
    <cellStyle name="Total 3 4 2 4 2 2" xfId="6438"/>
    <cellStyle name="Total 3 4 2 4 3" xfId="4986"/>
    <cellStyle name="Total 3 4 2 5" xfId="3310"/>
    <cellStyle name="Total 3 4 2 5 2" xfId="6506"/>
    <cellStyle name="Total 3 4 2 6" xfId="4125"/>
    <cellStyle name="Total 3 4 3" xfId="2407"/>
    <cellStyle name="Total 3 4 3 2" xfId="2408"/>
    <cellStyle name="Total 3 4 3 2 2" xfId="2409"/>
    <cellStyle name="Total 3 4 3 2 2 2" xfId="2680"/>
    <cellStyle name="Total 3 4 3 2 2 2 2" xfId="5877"/>
    <cellStyle name="Total 3 4 3 2 2 3" xfId="5326"/>
    <cellStyle name="Total 3 4 3 2 3" xfId="3715"/>
    <cellStyle name="Total 3 4 3 2 3 2" xfId="6911"/>
    <cellStyle name="Total 3 4 3 2 4" xfId="4856"/>
    <cellStyle name="Total 3 4 3 3" xfId="2410"/>
    <cellStyle name="Total 3 4 3 3 2" xfId="3122"/>
    <cellStyle name="Total 3 4 3 3 2 2" xfId="6319"/>
    <cellStyle name="Total 3 4 3 3 3" xfId="5707"/>
    <cellStyle name="Total 3 4 3 3 4" xfId="4569"/>
    <cellStyle name="Total 3 4 3 4" xfId="2411"/>
    <cellStyle name="Total 3 4 3 4 2" xfId="3276"/>
    <cellStyle name="Total 3 4 3 4 2 2" xfId="6472"/>
    <cellStyle name="Total 3 4 3 4 3" xfId="5039"/>
    <cellStyle name="Total 3 4 3 5" xfId="3011"/>
    <cellStyle name="Total 3 4 3 5 2" xfId="6208"/>
    <cellStyle name="Total 3 4 3 6" xfId="4178"/>
    <cellStyle name="Total 3 4 4" xfId="2412"/>
    <cellStyle name="Total 3 4 4 2" xfId="2413"/>
    <cellStyle name="Total 3 4 4 2 2" xfId="2766"/>
    <cellStyle name="Total 3 4 4 2 2 2" xfId="5963"/>
    <cellStyle name="Total 3 4 4 2 3" xfId="5240"/>
    <cellStyle name="Total 3 4 4 3" xfId="3573"/>
    <cellStyle name="Total 3 4 4 3 2" xfId="6769"/>
    <cellStyle name="Total 3 4 4 4" xfId="4770"/>
    <cellStyle name="Total 3 4 5" xfId="2414"/>
    <cellStyle name="Total 3 4 5 2" xfId="3658"/>
    <cellStyle name="Total 3 4 5 2 2" xfId="6854"/>
    <cellStyle name="Total 3 4 5 3" xfId="5708"/>
    <cellStyle name="Total 3 4 5 4" xfId="4483"/>
    <cellStyle name="Total 3 4 6" xfId="2415"/>
    <cellStyle name="Total 3 4 6 2" xfId="3835"/>
    <cellStyle name="Total 3 4 6 2 2" xfId="7031"/>
    <cellStyle name="Total 3 4 6 3" xfId="4302"/>
    <cellStyle name="Total 3 4 7" xfId="3568"/>
    <cellStyle name="Total 3 4 7 2" xfId="6764"/>
    <cellStyle name="Total 3 4 8" xfId="4092"/>
    <cellStyle name="Total 3 5" xfId="2416"/>
    <cellStyle name="Total 3 5 2" xfId="2417"/>
    <cellStyle name="Total 3 5 2 2" xfId="2418"/>
    <cellStyle name="Total 3 5 2 2 2" xfId="2840"/>
    <cellStyle name="Total 3 5 2 2 2 2" xfId="6037"/>
    <cellStyle name="Total 3 5 2 2 3" xfId="5164"/>
    <cellStyle name="Total 3 5 2 3" xfId="3143"/>
    <cellStyle name="Total 3 5 2 3 2" xfId="6339"/>
    <cellStyle name="Total 3 5 2 4" xfId="4694"/>
    <cellStyle name="Total 3 5 3" xfId="2419"/>
    <cellStyle name="Total 3 5 3 2" xfId="3838"/>
    <cellStyle name="Total 3 5 3 2 2" xfId="7034"/>
    <cellStyle name="Total 3 5 3 3" xfId="5709"/>
    <cellStyle name="Total 3 5 3 4" xfId="4407"/>
    <cellStyle name="Total 3 5 4" xfId="2420"/>
    <cellStyle name="Total 3 5 4 2" xfId="3824"/>
    <cellStyle name="Total 3 5 4 2 2" xfId="7020"/>
    <cellStyle name="Total 3 5 4 3" xfId="4376"/>
    <cellStyle name="Total 3 5 5" xfId="3930"/>
    <cellStyle name="Total 3 5 5 2" xfId="7126"/>
    <cellStyle name="Total 3 5 6" xfId="4016"/>
    <cellStyle name="Total 4" xfId="2421"/>
    <cellStyle name="Total 4 2" xfId="2422"/>
    <cellStyle name="Total 4 2 2" xfId="2423"/>
    <cellStyle name="Total 4 2 2 2" xfId="2424"/>
    <cellStyle name="Total 4 2 2 2 2" xfId="2425"/>
    <cellStyle name="Total 4 2 2 2 2 2" xfId="2791"/>
    <cellStyle name="Total 4 2 2 2 2 2 2" xfId="5988"/>
    <cellStyle name="Total 4 2 2 2 2 3" xfId="5214"/>
    <cellStyle name="Total 4 2 2 2 3" xfId="3946"/>
    <cellStyle name="Total 4 2 2 2 3 2" xfId="7142"/>
    <cellStyle name="Total 4 2 2 2 4" xfId="4744"/>
    <cellStyle name="Total 4 2 2 3" xfId="2426"/>
    <cellStyle name="Total 4 2 2 3 2" xfId="3958"/>
    <cellStyle name="Total 4 2 2 3 2 2" xfId="7154"/>
    <cellStyle name="Total 4 2 2 3 3" xfId="5710"/>
    <cellStyle name="Total 4 2 2 3 4" xfId="4457"/>
    <cellStyle name="Total 4 2 2 4" xfId="2427"/>
    <cellStyle name="Total 4 2 2 4 2" xfId="3425"/>
    <cellStyle name="Total 4 2 2 4 2 2" xfId="6621"/>
    <cellStyle name="Total 4 2 2 4 3" xfId="4327"/>
    <cellStyle name="Total 4 2 2 5" xfId="3405"/>
    <cellStyle name="Total 4 2 2 5 2" xfId="6601"/>
    <cellStyle name="Total 4 2 2 6" xfId="4066"/>
    <cellStyle name="Total 4 2 3" xfId="2428"/>
    <cellStyle name="Total 4 2 3 2" xfId="2429"/>
    <cellStyle name="Total 4 2 3 2 2" xfId="2430"/>
    <cellStyle name="Total 4 2 3 2 2 2" xfId="2619"/>
    <cellStyle name="Total 4 2 3 2 2 2 2" xfId="5816"/>
    <cellStyle name="Total 4 2 3 2 2 3" xfId="5392"/>
    <cellStyle name="Total 4 2 3 2 3" xfId="3572"/>
    <cellStyle name="Total 4 2 3 2 3 2" xfId="6768"/>
    <cellStyle name="Total 4 2 3 2 4" xfId="4922"/>
    <cellStyle name="Total 4 2 3 3" xfId="2431"/>
    <cellStyle name="Total 4 2 3 3 2" xfId="3688"/>
    <cellStyle name="Total 4 2 3 3 2 2" xfId="6884"/>
    <cellStyle name="Total 4 2 3 3 3" xfId="5711"/>
    <cellStyle name="Total 4 2 3 3 4" xfId="4635"/>
    <cellStyle name="Total 4 2 3 4" xfId="2432"/>
    <cellStyle name="Total 4 2 3 4 2" xfId="2897"/>
    <cellStyle name="Total 4 2 3 4 2 2" xfId="6094"/>
    <cellStyle name="Total 4 2 3 4 3" xfId="5105"/>
    <cellStyle name="Total 4 2 3 5" xfId="3199"/>
    <cellStyle name="Total 4 2 3 5 2" xfId="6395"/>
    <cellStyle name="Total 4 2 3 6" xfId="4244"/>
    <cellStyle name="Total 4 2 4" xfId="2433"/>
    <cellStyle name="Total 4 2 4 2" xfId="2434"/>
    <cellStyle name="Total 4 2 4 2 2" xfId="2435"/>
    <cellStyle name="Total 4 2 4 2 2 2" xfId="2557"/>
    <cellStyle name="Total 4 2 4 2 2 2 2" xfId="5754"/>
    <cellStyle name="Total 4 2 4 2 2 3" xfId="5358"/>
    <cellStyle name="Total 4 2 4 2 3" xfId="3347"/>
    <cellStyle name="Total 4 2 4 2 3 2" xfId="6543"/>
    <cellStyle name="Total 4 2 4 2 4" xfId="4888"/>
    <cellStyle name="Total 4 2 4 3" xfId="2436"/>
    <cellStyle name="Total 4 2 4 3 2" xfId="3228"/>
    <cellStyle name="Total 4 2 4 3 2 2" xfId="6424"/>
    <cellStyle name="Total 4 2 4 3 3" xfId="5712"/>
    <cellStyle name="Total 4 2 4 3 4" xfId="4601"/>
    <cellStyle name="Total 4 2 4 4" xfId="2437"/>
    <cellStyle name="Total 4 2 4 4 2" xfId="2587"/>
    <cellStyle name="Total 4 2 4 4 2 2" xfId="5784"/>
    <cellStyle name="Total 4 2 4 4 3" xfId="5071"/>
    <cellStyle name="Total 4 2 4 5" xfId="3500"/>
    <cellStyle name="Total 4 2 4 5 2" xfId="6696"/>
    <cellStyle name="Total 4 2 4 6" xfId="4210"/>
    <cellStyle name="Total 4 2 5" xfId="3094"/>
    <cellStyle name="Total 4 2 5 2" xfId="6291"/>
    <cellStyle name="Total 4 3" xfId="2438"/>
    <cellStyle name="Total 4 3 2" xfId="2439"/>
    <cellStyle name="Total 4 3 2 2" xfId="2440"/>
    <cellStyle name="Total 4 3 2 2 2" xfId="2441"/>
    <cellStyle name="Total 4 3 2 2 2 2" xfId="2714"/>
    <cellStyle name="Total 4 3 2 2 2 2 2" xfId="5911"/>
    <cellStyle name="Total 4 3 2 2 2 3" xfId="5292"/>
    <cellStyle name="Total 4 3 2 2 3" xfId="3842"/>
    <cellStyle name="Total 4 3 2 2 3 2" xfId="7038"/>
    <cellStyle name="Total 4 3 2 2 4" xfId="4822"/>
    <cellStyle name="Total 4 3 2 3" xfId="2442"/>
    <cellStyle name="Total 4 3 2 3 2" xfId="2983"/>
    <cellStyle name="Total 4 3 2 3 2 2" xfId="6180"/>
    <cellStyle name="Total 4 3 2 3 3" xfId="5713"/>
    <cellStyle name="Total 4 3 2 3 4" xfId="4535"/>
    <cellStyle name="Total 4 3 2 4" xfId="2443"/>
    <cellStyle name="Total 4 3 2 4 2" xfId="3071"/>
    <cellStyle name="Total 4 3 2 4 2 2" xfId="6268"/>
    <cellStyle name="Total 4 3 2 4 3" xfId="5005"/>
    <cellStyle name="Total 4 3 2 5" xfId="3322"/>
    <cellStyle name="Total 4 3 2 5 2" xfId="6518"/>
    <cellStyle name="Total 4 3 2 6" xfId="4144"/>
    <cellStyle name="Total 4 3 3" xfId="2444"/>
    <cellStyle name="Total 4 3 3 2" xfId="2445"/>
    <cellStyle name="Total 4 3 3 2 2" xfId="2446"/>
    <cellStyle name="Total 4 3 3 2 2 2" xfId="2659"/>
    <cellStyle name="Total 4 3 3 2 2 2 2" xfId="5856"/>
    <cellStyle name="Total 4 3 3 2 2 3" xfId="5428"/>
    <cellStyle name="Total 4 3 3 2 3" xfId="2609"/>
    <cellStyle name="Total 4 3 3 2 3 2" xfId="5806"/>
    <cellStyle name="Total 4 3 3 2 4" xfId="4958"/>
    <cellStyle name="Total 4 3 3 3" xfId="2447"/>
    <cellStyle name="Total 4 3 3 3 2" xfId="3760"/>
    <cellStyle name="Total 4 3 3 3 2 2" xfId="6956"/>
    <cellStyle name="Total 4 3 3 3 3" xfId="5714"/>
    <cellStyle name="Total 4 3 3 3 4" xfId="4671"/>
    <cellStyle name="Total 4 3 3 4" xfId="2448"/>
    <cellStyle name="Total 4 3 3 4 2" xfId="2862"/>
    <cellStyle name="Total 4 3 3 4 2 2" xfId="6059"/>
    <cellStyle name="Total 4 3 3 4 3" xfId="5141"/>
    <cellStyle name="Total 4 3 3 5" xfId="3867"/>
    <cellStyle name="Total 4 3 3 5 2" xfId="7063"/>
    <cellStyle name="Total 4 3 3 6" xfId="4280"/>
    <cellStyle name="Total 4 3 4" xfId="2449"/>
    <cellStyle name="Total 4 3 4 2" xfId="2450"/>
    <cellStyle name="Total 4 3 4 2 2" xfId="2747"/>
    <cellStyle name="Total 4 3 4 2 2 2" xfId="5944"/>
    <cellStyle name="Total 4 3 4 2 3" xfId="5259"/>
    <cellStyle name="Total 4 3 4 3" xfId="3841"/>
    <cellStyle name="Total 4 3 4 3 2" xfId="7037"/>
    <cellStyle name="Total 4 3 4 4" xfId="4789"/>
    <cellStyle name="Total 4 3 5" xfId="2451"/>
    <cellStyle name="Total 4 3 5 2" xfId="3055"/>
    <cellStyle name="Total 4 3 5 2 2" xfId="6252"/>
    <cellStyle name="Total 4 3 5 3" xfId="5715"/>
    <cellStyle name="Total 4 3 5 4" xfId="4502"/>
    <cellStyle name="Total 4 3 6" xfId="2452"/>
    <cellStyle name="Total 4 3 6 2" xfId="2606"/>
    <cellStyle name="Total 4 3 6 2 2" xfId="5803"/>
    <cellStyle name="Total 4 3 6 3" xfId="4972"/>
    <cellStyle name="Total 4 3 7" xfId="3137"/>
    <cellStyle name="Total 4 3 7 2" xfId="6333"/>
    <cellStyle name="Total 4 3 8" xfId="4111"/>
    <cellStyle name="Total 4 4" xfId="2453"/>
    <cellStyle name="Total 4 4 2" xfId="2454"/>
    <cellStyle name="Total 4 4 2 2" xfId="2455"/>
    <cellStyle name="Total 4 4 2 2 2" xfId="2850"/>
    <cellStyle name="Total 4 4 2 2 2 2" xfId="6047"/>
    <cellStyle name="Total 4 4 2 2 3" xfId="5154"/>
    <cellStyle name="Total 4 4 2 3" xfId="3834"/>
    <cellStyle name="Total 4 4 2 3 2" xfId="7030"/>
    <cellStyle name="Total 4 4 2 4" xfId="4684"/>
    <cellStyle name="Total 4 4 3" xfId="2456"/>
    <cellStyle name="Total 4 4 3 2" xfId="3462"/>
    <cellStyle name="Total 4 4 3 2 2" xfId="6658"/>
    <cellStyle name="Total 4 4 3 3" xfId="5716"/>
    <cellStyle name="Total 4 4 3 4" xfId="4397"/>
    <cellStyle name="Total 4 4 4" xfId="2457"/>
    <cellStyle name="Total 4 4 4 2" xfId="3817"/>
    <cellStyle name="Total 4 4 4 2 2" xfId="7013"/>
    <cellStyle name="Total 4 4 4 3" xfId="4392"/>
    <cellStyle name="Total 4 4 5" xfId="3535"/>
    <cellStyle name="Total 4 4 5 2" xfId="6731"/>
    <cellStyle name="Total 4 4 6" xfId="4006"/>
    <cellStyle name="Total 5" xfId="2458"/>
    <cellStyle name="Total 5 2" xfId="2459"/>
    <cellStyle name="Total 5 2 2" xfId="2460"/>
    <cellStyle name="Total 5 2 2 2" xfId="2461"/>
    <cellStyle name="Total 5 2 2 2 2" xfId="2462"/>
    <cellStyle name="Total 5 2 2 2 2 2" xfId="2786"/>
    <cellStyle name="Total 5 2 2 2 2 2 2" xfId="5983"/>
    <cellStyle name="Total 5 2 2 2 2 3" xfId="5219"/>
    <cellStyle name="Total 5 2 2 2 3" xfId="3913"/>
    <cellStyle name="Total 5 2 2 2 3 2" xfId="7109"/>
    <cellStyle name="Total 5 2 2 2 4" xfId="4749"/>
    <cellStyle name="Total 5 2 2 3" xfId="2463"/>
    <cellStyle name="Total 5 2 2 3 2" xfId="3966"/>
    <cellStyle name="Total 5 2 2 3 2 2" xfId="7162"/>
    <cellStyle name="Total 5 2 2 3 3" xfId="5717"/>
    <cellStyle name="Total 5 2 2 3 4" xfId="4462"/>
    <cellStyle name="Total 5 2 2 4" xfId="2464"/>
    <cellStyle name="Total 5 2 2 4 2" xfId="3672"/>
    <cellStyle name="Total 5 2 2 4 2 2" xfId="6868"/>
    <cellStyle name="Total 5 2 2 4 3" xfId="4322"/>
    <cellStyle name="Total 5 2 2 5" xfId="3193"/>
    <cellStyle name="Total 5 2 2 5 2" xfId="6389"/>
    <cellStyle name="Total 5 2 2 6" xfId="4071"/>
    <cellStyle name="Total 5 2 3" xfId="2465"/>
    <cellStyle name="Total 5 2 3 2" xfId="2466"/>
    <cellStyle name="Total 5 2 3 2 2" xfId="2467"/>
    <cellStyle name="Total 5 2 3 2 2 2" xfId="2624"/>
    <cellStyle name="Total 5 2 3 2 2 2 2" xfId="5821"/>
    <cellStyle name="Total 5 2 3 2 2 3" xfId="5396"/>
    <cellStyle name="Total 5 2 3 2 3" xfId="3843"/>
    <cellStyle name="Total 5 2 3 2 3 2" xfId="7039"/>
    <cellStyle name="Total 5 2 3 2 4" xfId="4926"/>
    <cellStyle name="Total 5 2 3 3" xfId="2468"/>
    <cellStyle name="Total 5 2 3 3 2" xfId="3496"/>
    <cellStyle name="Total 5 2 3 3 2 2" xfId="6692"/>
    <cellStyle name="Total 5 2 3 3 3" xfId="5718"/>
    <cellStyle name="Total 5 2 3 3 4" xfId="4639"/>
    <cellStyle name="Total 5 2 3 4" xfId="2469"/>
    <cellStyle name="Total 5 2 3 4 2" xfId="2893"/>
    <cellStyle name="Total 5 2 3 4 2 2" xfId="6090"/>
    <cellStyle name="Total 5 2 3 4 3" xfId="5109"/>
    <cellStyle name="Total 5 2 3 5" xfId="3300"/>
    <cellStyle name="Total 5 2 3 5 2" xfId="6496"/>
    <cellStyle name="Total 5 2 3 6" xfId="4248"/>
    <cellStyle name="Total 5 2 4" xfId="2470"/>
    <cellStyle name="Total 5 2 4 2" xfId="2471"/>
    <cellStyle name="Total 5 2 4 2 2" xfId="2472"/>
    <cellStyle name="Total 5 2 4 2 2 2" xfId="2654"/>
    <cellStyle name="Total 5 2 4 2 2 2 2" xfId="5851"/>
    <cellStyle name="Total 5 2 4 2 2 3" xfId="5421"/>
    <cellStyle name="Total 5 2 4 2 3" xfId="3036"/>
    <cellStyle name="Total 5 2 4 2 3 2" xfId="6233"/>
    <cellStyle name="Total 5 2 4 2 4" xfId="4951"/>
    <cellStyle name="Total 5 2 4 3" xfId="2473"/>
    <cellStyle name="Total 5 2 4 3 2" xfId="3766"/>
    <cellStyle name="Total 5 2 4 3 2 2" xfId="6962"/>
    <cellStyle name="Total 5 2 4 3 3" xfId="5719"/>
    <cellStyle name="Total 5 2 4 3 4" xfId="4664"/>
    <cellStyle name="Total 5 2 4 4" xfId="2474"/>
    <cellStyle name="Total 5 2 4 4 2" xfId="2869"/>
    <cellStyle name="Total 5 2 4 4 2 2" xfId="6066"/>
    <cellStyle name="Total 5 2 4 4 3" xfId="5134"/>
    <cellStyle name="Total 5 2 4 5" xfId="3730"/>
    <cellStyle name="Total 5 2 4 5 2" xfId="6926"/>
    <cellStyle name="Total 5 2 4 6" xfId="4273"/>
    <cellStyle name="Total 5 2 5" xfId="3897"/>
    <cellStyle name="Total 5 2 5 2" xfId="7093"/>
    <cellStyle name="Total 5 3" xfId="2475"/>
    <cellStyle name="Total 5 3 2" xfId="2476"/>
    <cellStyle name="Total 5 3 2 2" xfId="2477"/>
    <cellStyle name="Total 5 3 2 2 2" xfId="2478"/>
    <cellStyle name="Total 5 3 2 2 2 2" xfId="2711"/>
    <cellStyle name="Total 5 3 2 2 2 2 2" xfId="5908"/>
    <cellStyle name="Total 5 3 2 2 2 3" xfId="5295"/>
    <cellStyle name="Total 5 3 2 2 3" xfId="3749"/>
    <cellStyle name="Total 5 3 2 2 3 2" xfId="6945"/>
    <cellStyle name="Total 5 3 2 2 4" xfId="4825"/>
    <cellStyle name="Total 5 3 2 3" xfId="2479"/>
    <cellStyle name="Total 5 3 2 3 2" xfId="2980"/>
    <cellStyle name="Total 5 3 2 3 2 2" xfId="6177"/>
    <cellStyle name="Total 5 3 2 3 3" xfId="5720"/>
    <cellStyle name="Total 5 3 2 3 4" xfId="4538"/>
    <cellStyle name="Total 5 3 2 4" xfId="2480"/>
    <cellStyle name="Total 5 3 2 4 2" xfId="2599"/>
    <cellStyle name="Total 5 3 2 4 2 2" xfId="5796"/>
    <cellStyle name="Total 5 3 2 4 3" xfId="5008"/>
    <cellStyle name="Total 5 3 2 5" xfId="3304"/>
    <cellStyle name="Total 5 3 2 5 2" xfId="6500"/>
    <cellStyle name="Total 5 3 2 6" xfId="4147"/>
    <cellStyle name="Total 5 3 3" xfId="2481"/>
    <cellStyle name="Total 5 3 3 2" xfId="2482"/>
    <cellStyle name="Total 5 3 3 2 2" xfId="2483"/>
    <cellStyle name="Total 5 3 3 2 2 2" xfId="2663"/>
    <cellStyle name="Total 5 3 3 2 2 2 2" xfId="5860"/>
    <cellStyle name="Total 5 3 3 2 2 3" xfId="5431"/>
    <cellStyle name="Total 5 3 3 2 3" xfId="3291"/>
    <cellStyle name="Total 5 3 3 2 3 2" xfId="6487"/>
    <cellStyle name="Total 5 3 3 2 4" xfId="4961"/>
    <cellStyle name="Total 5 3 3 3" xfId="2484"/>
    <cellStyle name="Total 5 3 3 3 2" xfId="3547"/>
    <cellStyle name="Total 5 3 3 3 2 2" xfId="6743"/>
    <cellStyle name="Total 5 3 3 3 3" xfId="5721"/>
    <cellStyle name="Total 5 3 3 3 4" xfId="4674"/>
    <cellStyle name="Total 5 3 3 4" xfId="2485"/>
    <cellStyle name="Total 5 3 3 4 2" xfId="2859"/>
    <cellStyle name="Total 5 3 3 4 2 2" xfId="6056"/>
    <cellStyle name="Total 5 3 3 4 3" xfId="5144"/>
    <cellStyle name="Total 5 3 3 5" xfId="3768"/>
    <cellStyle name="Total 5 3 3 5 2" xfId="6964"/>
    <cellStyle name="Total 5 3 3 6" xfId="4283"/>
    <cellStyle name="Total 5 3 4" xfId="2486"/>
    <cellStyle name="Total 5 3 4 2" xfId="2487"/>
    <cellStyle name="Total 5 3 4 2 2" xfId="2744"/>
    <cellStyle name="Total 5 3 4 2 2 2" xfId="5941"/>
    <cellStyle name="Total 5 3 4 2 3" xfId="5262"/>
    <cellStyle name="Total 5 3 4 3" xfId="3748"/>
    <cellStyle name="Total 5 3 4 3 2" xfId="6944"/>
    <cellStyle name="Total 5 3 4 4" xfId="4792"/>
    <cellStyle name="Total 5 3 5" xfId="2488"/>
    <cellStyle name="Total 5 3 5 2" xfId="3297"/>
    <cellStyle name="Total 5 3 5 2 2" xfId="6493"/>
    <cellStyle name="Total 5 3 5 3" xfId="5722"/>
    <cellStyle name="Total 5 3 5 4" xfId="4505"/>
    <cellStyle name="Total 5 3 6" xfId="2489"/>
    <cellStyle name="Total 5 3 6 2" xfId="3288"/>
    <cellStyle name="Total 5 3 6 2 2" xfId="6484"/>
    <cellStyle name="Total 5 3 6 3" xfId="4975"/>
    <cellStyle name="Total 5 3 7" xfId="3162"/>
    <cellStyle name="Total 5 3 7 2" xfId="6358"/>
    <cellStyle name="Total 5 3 8" xfId="4114"/>
    <cellStyle name="Total 5 4" xfId="2490"/>
    <cellStyle name="Total 5 4 2" xfId="2491"/>
    <cellStyle name="Total 5 4 2 2" xfId="2492"/>
    <cellStyle name="Total 5 4 2 2 2" xfId="2830"/>
    <cellStyle name="Total 5 4 2 2 2 2" xfId="6027"/>
    <cellStyle name="Total 5 4 2 2 3" xfId="5174"/>
    <cellStyle name="Total 5 4 2 3" xfId="3671"/>
    <cellStyle name="Total 5 4 2 3 2" xfId="6867"/>
    <cellStyle name="Total 5 4 2 4" xfId="4704"/>
    <cellStyle name="Total 5 4 3" xfId="2493"/>
    <cellStyle name="Total 5 4 3 2" xfId="3147"/>
    <cellStyle name="Total 5 4 3 2 2" xfId="6343"/>
    <cellStyle name="Total 5 4 3 3" xfId="5723"/>
    <cellStyle name="Total 5 4 3 4" xfId="4417"/>
    <cellStyle name="Total 5 4 4" xfId="2494"/>
    <cellStyle name="Total 5 4 4 2" xfId="3541"/>
    <cellStyle name="Total 5 4 4 2 2" xfId="6737"/>
    <cellStyle name="Total 5 4 4 3" xfId="4366"/>
    <cellStyle name="Total 5 4 5" xfId="3599"/>
    <cellStyle name="Total 5 4 5 2" xfId="6795"/>
    <cellStyle name="Total 5 4 6" xfId="4026"/>
    <cellStyle name="Total 5 5" xfId="3872"/>
    <cellStyle name="Total 5 5 2" xfId="7068"/>
    <cellStyle name="Total 6" xfId="2495"/>
    <cellStyle name="Total 6 2" xfId="2496"/>
    <cellStyle name="Total 6 2 2" xfId="2497"/>
    <cellStyle name="Total 6 2 2 2" xfId="2498"/>
    <cellStyle name="Total 6 2 2 2 2" xfId="2499"/>
    <cellStyle name="Total 6 2 2 2 2 2" xfId="2706"/>
    <cellStyle name="Total 6 2 2 2 2 2 2" xfId="5903"/>
    <cellStyle name="Total 6 2 2 2 2 3" xfId="5300"/>
    <cellStyle name="Total 6 2 2 2 3" xfId="3731"/>
    <cellStyle name="Total 6 2 2 2 3 2" xfId="6927"/>
    <cellStyle name="Total 6 2 2 2 4" xfId="4830"/>
    <cellStyle name="Total 6 2 2 3" xfId="2500"/>
    <cellStyle name="Total 6 2 2 3 2" xfId="2975"/>
    <cellStyle name="Total 6 2 2 3 2 2" xfId="6172"/>
    <cellStyle name="Total 6 2 2 3 3" xfId="5724"/>
    <cellStyle name="Total 6 2 2 3 4" xfId="4543"/>
    <cellStyle name="Total 6 2 2 4" xfId="2501"/>
    <cellStyle name="Total 6 2 2 4 2" xfId="2598"/>
    <cellStyle name="Total 6 2 2 4 2 2" xfId="5795"/>
    <cellStyle name="Total 6 2 2 4 3" xfId="5013"/>
    <cellStyle name="Total 6 2 2 5" xfId="3254"/>
    <cellStyle name="Total 6 2 2 5 2" xfId="6450"/>
    <cellStyle name="Total 6 2 2 6" xfId="4152"/>
    <cellStyle name="Total 6 2 3" xfId="2502"/>
    <cellStyle name="Total 6 2 3 2" xfId="2503"/>
    <cellStyle name="Total 6 2 3 2 2" xfId="2504"/>
    <cellStyle name="Total 6 2 3 2 2 2" xfId="4001"/>
    <cellStyle name="Total 6 2 3 2 2 2 2" xfId="7197"/>
    <cellStyle name="Total 6 2 3 2 2 3" xfId="5436"/>
    <cellStyle name="Total 6 2 3 2 3" xfId="3244"/>
    <cellStyle name="Total 6 2 3 2 3 2" xfId="6440"/>
    <cellStyle name="Total 6 2 3 2 4" xfId="4966"/>
    <cellStyle name="Total 6 2 3 3" xfId="2505"/>
    <cellStyle name="Total 6 2 3 3 2" xfId="3811"/>
    <cellStyle name="Total 6 2 3 3 2 2" xfId="7007"/>
    <cellStyle name="Total 6 2 3 3 3" xfId="5725"/>
    <cellStyle name="Total 6 2 3 3 4" xfId="4679"/>
    <cellStyle name="Total 6 2 3 4" xfId="2506"/>
    <cellStyle name="Total 6 2 3 4 2" xfId="3031"/>
    <cellStyle name="Total 6 2 3 4 2 2" xfId="6228"/>
    <cellStyle name="Total 6 2 3 4 3" xfId="5149"/>
    <cellStyle name="Total 6 2 3 5" xfId="3619"/>
    <cellStyle name="Total 6 2 3 5 2" xfId="6815"/>
    <cellStyle name="Total 6 2 3 6" xfId="4288"/>
    <cellStyle name="Total 6 2 4" xfId="2507"/>
    <cellStyle name="Total 6 2 4 2" xfId="2508"/>
    <cellStyle name="Total 6 2 4 2 2" xfId="2739"/>
    <cellStyle name="Total 6 2 4 2 2 2" xfId="5936"/>
    <cellStyle name="Total 6 2 4 2 3" xfId="5267"/>
    <cellStyle name="Total 6 2 4 3" xfId="3656"/>
    <cellStyle name="Total 6 2 4 3 2" xfId="6852"/>
    <cellStyle name="Total 6 2 4 4" xfId="4797"/>
    <cellStyle name="Total 6 2 5" xfId="2509"/>
    <cellStyle name="Total 6 2 5 2" xfId="2997"/>
    <cellStyle name="Total 6 2 5 2 2" xfId="6194"/>
    <cellStyle name="Total 6 2 5 3" xfId="5726"/>
    <cellStyle name="Total 6 2 5 4" xfId="4510"/>
    <cellStyle name="Total 6 2 6" xfId="2510"/>
    <cellStyle name="Total 6 2 6 2" xfId="3243"/>
    <cellStyle name="Total 6 2 6 2 2" xfId="6439"/>
    <cellStyle name="Total 6 2 6 3" xfId="4980"/>
    <cellStyle name="Total 6 2 7" xfId="3131"/>
    <cellStyle name="Total 6 2 7 2" xfId="6328"/>
    <cellStyle name="Total 6 2 8" xfId="4119"/>
    <cellStyle name="Total 6 3" xfId="2511"/>
    <cellStyle name="Total 6 3 2" xfId="2512"/>
    <cellStyle name="Total 6 3 2 2" xfId="2513"/>
    <cellStyle name="Total 6 3 2 2 2" xfId="2810"/>
    <cellStyle name="Total 6 3 2 2 2 2" xfId="6007"/>
    <cellStyle name="Total 6 3 2 2 3" xfId="5194"/>
    <cellStyle name="Total 6 3 2 3" xfId="3738"/>
    <cellStyle name="Total 6 3 2 3 2" xfId="6934"/>
    <cellStyle name="Total 6 3 2 4" xfId="4724"/>
    <cellStyle name="Total 6 3 3" xfId="2514"/>
    <cellStyle name="Total 6 3 3 2" xfId="3345"/>
    <cellStyle name="Total 6 3 3 2 2" xfId="6541"/>
    <cellStyle name="Total 6 3 3 3" xfId="5727"/>
    <cellStyle name="Total 6 3 3 4" xfId="4437"/>
    <cellStyle name="Total 6 3 4" xfId="2515"/>
    <cellStyle name="Total 6 3 4 2" xfId="3886"/>
    <cellStyle name="Total 6 3 4 2 2" xfId="7082"/>
    <cellStyle name="Total 6 3 4 3" xfId="4346"/>
    <cellStyle name="Total 6 3 5" xfId="3852"/>
    <cellStyle name="Total 6 3 5 2" xfId="7048"/>
    <cellStyle name="Total 6 3 6" xfId="4046"/>
    <cellStyle name="Total 6 4" xfId="3899"/>
    <cellStyle name="Total 6 4 2" xfId="7095"/>
    <cellStyle name="Total 7" xfId="2516"/>
    <cellStyle name="Total 7 2" xfId="2517"/>
    <cellStyle name="Total 7 2 2" xfId="2518"/>
    <cellStyle name="Total 7 2 2 2" xfId="2519"/>
    <cellStyle name="Total 7 2 2 2 2" xfId="2723"/>
    <cellStyle name="Total 7 2 2 2 2 2" xfId="5920"/>
    <cellStyle name="Total 7 2 2 2 3" xfId="5283"/>
    <cellStyle name="Total 7 2 2 3" xfId="3938"/>
    <cellStyle name="Total 7 2 2 3 2" xfId="7134"/>
    <cellStyle name="Total 7 2 2 4" xfId="4813"/>
    <cellStyle name="Total 7 2 3" xfId="2520"/>
    <cellStyle name="Total 7 2 3 2" xfId="2990"/>
    <cellStyle name="Total 7 2 3 2 2" xfId="6187"/>
    <cellStyle name="Total 7 2 3 3" xfId="5728"/>
    <cellStyle name="Total 7 2 3 4" xfId="4526"/>
    <cellStyle name="Total 7 2 4" xfId="2521"/>
    <cellStyle name="Total 7 2 4 2" xfId="3241"/>
    <cellStyle name="Total 7 2 4 2 2" xfId="6437"/>
    <cellStyle name="Total 7 2 4 3" xfId="4996"/>
    <cellStyle name="Total 7 2 5" xfId="3128"/>
    <cellStyle name="Total 7 2 5 2" xfId="6325"/>
    <cellStyle name="Total 7 2 6" xfId="4135"/>
    <cellStyle name="Total 7 3" xfId="2522"/>
    <cellStyle name="Total 7 3 2" xfId="2523"/>
    <cellStyle name="Total 7 3 2 2" xfId="2524"/>
    <cellStyle name="Total 7 3 2 2 2" xfId="2690"/>
    <cellStyle name="Total 7 3 2 2 2 2" xfId="5887"/>
    <cellStyle name="Total 7 3 2 2 3" xfId="5316"/>
    <cellStyle name="Total 7 3 2 3" xfId="3724"/>
    <cellStyle name="Total 7 3 2 3 2" xfId="6920"/>
    <cellStyle name="Total 7 3 2 4" xfId="4846"/>
    <cellStyle name="Total 7 3 3" xfId="2525"/>
    <cellStyle name="Total 7 3 3 2" xfId="3157"/>
    <cellStyle name="Total 7 3 3 2 2" xfId="6353"/>
    <cellStyle name="Total 7 3 3 3" xfId="5729"/>
    <cellStyle name="Total 7 3 3 4" xfId="4559"/>
    <cellStyle name="Total 7 3 4" xfId="2526"/>
    <cellStyle name="Total 7 3 4 2" xfId="2595"/>
    <cellStyle name="Total 7 3 4 2 2" xfId="5792"/>
    <cellStyle name="Total 7 3 4 3" xfId="5029"/>
    <cellStyle name="Total 7 3 5" xfId="3093"/>
    <cellStyle name="Total 7 3 5 2" xfId="6290"/>
    <cellStyle name="Total 7 3 6" xfId="4168"/>
    <cellStyle name="Total 7 4" xfId="2527"/>
    <cellStyle name="Total 7 4 2" xfId="2528"/>
    <cellStyle name="Total 7 4 2 2" xfId="2756"/>
    <cellStyle name="Total 7 4 2 2 2" xfId="5953"/>
    <cellStyle name="Total 7 4 2 3" xfId="5250"/>
    <cellStyle name="Total 7 4 3" xfId="3493"/>
    <cellStyle name="Total 7 4 3 2" xfId="6689"/>
    <cellStyle name="Total 7 4 4" xfId="4780"/>
    <cellStyle name="Total 7 5" xfId="2529"/>
    <cellStyle name="Total 7 5 2" xfId="3299"/>
    <cellStyle name="Total 7 5 2 2" xfId="6495"/>
    <cellStyle name="Total 7 5 3" xfId="5730"/>
    <cellStyle name="Total 7 5 4" xfId="4493"/>
    <cellStyle name="Total 7 6" xfId="2530"/>
    <cellStyle name="Total 7 6 2" xfId="3549"/>
    <cellStyle name="Total 7 6 2 2" xfId="6745"/>
    <cellStyle name="Total 7 6 3" xfId="4292"/>
    <cellStyle name="Total 7 7" xfId="3501"/>
    <cellStyle name="Total 7 7 2" xfId="6697"/>
    <cellStyle name="Total 7 8" xfId="4102"/>
    <cellStyle name="toto" xfId="2531"/>
    <cellStyle name="Warning Text" xfId="14" builtinId="11" customBuiltin="1"/>
    <cellStyle name="Warning Text 2" xfId="2532"/>
    <cellStyle name="Warning Text 3" xfId="2533"/>
    <cellStyle name="パーセント 2" xfId="87"/>
    <cellStyle name="桁区切り 2" xfId="88"/>
    <cellStyle name="桁区切り_DegitalOption_test" xfId="89"/>
    <cellStyle name="標準 2" xfId="90"/>
    <cellStyle name="標準 3" xfId="91"/>
    <cellStyle name="標準 4" xfId="51"/>
    <cellStyle name="標準_examplePortfolio" xfId="52"/>
  </cellStyles>
  <dxfs count="0"/>
  <tableStyles count="0" defaultTableStyle="TableStyleMedium2" defaultPivotStyle="PivotStyleLight16"/>
  <colors>
    <mruColors>
      <color rgb="FFFFFFCC"/>
      <color rgb="FF00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02\Global\Secure\DIR_MLib_Analytics\PricingTools\SwapsPricer\SwapsPricerV2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  <sheetName val="Instruments"/>
      <sheetName val="Instrument Data"/>
      <sheetName val="EUR Market Data"/>
      <sheetName val="USD Market Data"/>
      <sheetName val="GBP Market Data"/>
      <sheetName val="JPY Market Data"/>
      <sheetName val="EUR Curve Config"/>
      <sheetName val="USD Curve Config"/>
      <sheetName val="GBP Curve Config"/>
      <sheetName val="JPY Curve Config"/>
      <sheetName val="Multi-Curves"/>
      <sheetName val="Forward Charts"/>
      <sheetName val="EUR OIS"/>
      <sheetName val="USD OIS"/>
      <sheetName val="GBP OIS"/>
      <sheetName val="JPY OIS"/>
      <sheetName val="EUR Swaps"/>
      <sheetName val="USD Swaps"/>
      <sheetName val="GBP Swaps"/>
      <sheetName val="JPY Swaps"/>
      <sheetName val="EUR Swap Cashflows"/>
      <sheetName val="USD Swap Cashflows"/>
      <sheetName val="GBP Swap Cashflows"/>
      <sheetName val="JPY Swap Cashflows"/>
      <sheetName val="EUR Asset Swaps"/>
      <sheetName val="USD Asset Swaps"/>
      <sheetName val="GBP Asset Swaps"/>
      <sheetName val="JPY Asset Swaps"/>
      <sheetName val="EUR ASW Cashflows"/>
      <sheetName val="USD ASW Cashflows"/>
      <sheetName val="GBP ASW Cashflows"/>
      <sheetName val="JPY ASW Cashflows"/>
      <sheetName val="EUR Tenor Basis"/>
      <sheetName val="USD Tenor Basis"/>
      <sheetName val="GBP Tenor Basis"/>
      <sheetName val="JPY Tenor Basis"/>
      <sheetName val="EUR VNS Schedules"/>
      <sheetName val="EUR VNS"/>
      <sheetName val="USD VNS Schedules"/>
      <sheetName val="USD VNS"/>
      <sheetName val="GBP VNS Schedules"/>
      <sheetName val="GBP VNS"/>
      <sheetName val="JPY VNS Schedules"/>
      <sheetName val="JPY VNS"/>
      <sheetName val="Standard Swap Pricing"/>
      <sheetName val="EUR IMM Swaps"/>
      <sheetName val="USD IMM Swaps"/>
      <sheetName val="EUR Custom Swap"/>
      <sheetName val="EUR Cashflows"/>
      <sheetName val="USD Custom Swap"/>
      <sheetName val="USD Cashflows"/>
      <sheetName val="EUR XCCY"/>
      <sheetName val="EUR XCCY Structure"/>
    </sheetNames>
    <sheetDataSet>
      <sheetData sheetId="0">
        <row r="2">
          <cell r="C2">
            <v>42962</v>
          </cell>
        </row>
        <row r="206">
          <cell r="B206">
            <v>0</v>
          </cell>
          <cell r="C206" t="str">
            <v>ZeroCpn</v>
          </cell>
        </row>
        <row r="207">
          <cell r="B207">
            <v>1</v>
          </cell>
          <cell r="C207" t="str">
            <v>Annual</v>
          </cell>
        </row>
        <row r="208">
          <cell r="B208">
            <v>2</v>
          </cell>
          <cell r="C208" t="str">
            <v>Semi-Annual</v>
          </cell>
        </row>
        <row r="209">
          <cell r="B209">
            <v>4</v>
          </cell>
          <cell r="C209" t="str">
            <v>Quarterly</v>
          </cell>
        </row>
        <row r="210">
          <cell r="B210">
            <v>12</v>
          </cell>
          <cell r="C210" t="str">
            <v>Monthly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8"/>
  <sheetViews>
    <sheetView showGridLines="0" workbookViewId="0"/>
  </sheetViews>
  <sheetFormatPr defaultRowHeight="15"/>
  <cols>
    <col min="2" max="2" width="17.140625" style="25" customWidth="1"/>
  </cols>
  <sheetData>
    <row r="2" spans="2:12">
      <c r="B2" s="53" t="s">
        <v>49</v>
      </c>
      <c r="E2" s="26" t="s">
        <v>199</v>
      </c>
      <c r="K2" s="26" t="s">
        <v>241</v>
      </c>
    </row>
    <row r="3" spans="2:12">
      <c r="B3" s="49">
        <f ca="1">TODAY()</f>
        <v>44063</v>
      </c>
    </row>
    <row r="4" spans="2:12">
      <c r="E4" s="26" t="s">
        <v>9</v>
      </c>
      <c r="H4" s="26" t="s">
        <v>45</v>
      </c>
      <c r="I4" s="37"/>
    </row>
    <row r="5" spans="2:12">
      <c r="E5" s="109" t="s">
        <v>200</v>
      </c>
      <c r="F5" s="108">
        <v>1.23444E-2</v>
      </c>
      <c r="H5" s="109" t="s">
        <v>200</v>
      </c>
      <c r="I5" s="108">
        <v>1.5900000000000001E-2</v>
      </c>
      <c r="K5" s="26" t="s">
        <v>243</v>
      </c>
      <c r="L5" s="139">
        <v>0.75</v>
      </c>
    </row>
    <row r="6" spans="2:12">
      <c r="E6" s="109" t="s">
        <v>201</v>
      </c>
      <c r="F6" s="108">
        <v>1.2955599999999999E-2</v>
      </c>
      <c r="H6" s="109" t="s">
        <v>201</v>
      </c>
      <c r="I6" s="108">
        <v>1.7100000000000001E-2</v>
      </c>
      <c r="K6" s="26"/>
      <c r="L6" s="139"/>
    </row>
    <row r="7" spans="2:12">
      <c r="E7" s="109" t="s">
        <v>202</v>
      </c>
      <c r="F7" s="108">
        <v>1.45556E-2</v>
      </c>
      <c r="H7" s="109" t="s">
        <v>202</v>
      </c>
      <c r="I7" s="108">
        <v>1.8599999999999998E-2</v>
      </c>
      <c r="K7" s="26"/>
      <c r="L7" s="139"/>
    </row>
    <row r="8" spans="2:12">
      <c r="E8" s="109" t="s">
        <v>203</v>
      </c>
      <c r="F8" s="108">
        <v>1.72789E-2</v>
      </c>
      <c r="H8" s="109"/>
      <c r="I8" s="108"/>
      <c r="K8" s="26"/>
      <c r="L8" s="1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2"/>
  <sheetViews>
    <sheetView showGridLines="0" workbookViewId="0"/>
  </sheetViews>
  <sheetFormatPr defaultRowHeight="15"/>
  <cols>
    <col min="2" max="2" width="15.7109375" style="37" customWidth="1"/>
    <col min="3" max="3" width="9.140625" style="37" customWidth="1"/>
    <col min="4" max="4" width="35.7109375" customWidth="1"/>
    <col min="5" max="5" width="35.7109375" style="37" customWidth="1"/>
    <col min="6" max="6" width="15.7109375" style="37" customWidth="1"/>
    <col min="7" max="15" width="15.7109375" style="25" customWidth="1"/>
    <col min="17" max="17" width="31" style="37" bestFit="1" customWidth="1"/>
    <col min="18" max="18" width="27" bestFit="1" customWidth="1"/>
  </cols>
  <sheetData>
    <row r="2" spans="1:18" s="37" customFormat="1">
      <c r="B2" s="53" t="s">
        <v>140</v>
      </c>
      <c r="G2" s="25"/>
      <c r="H2" s="25"/>
      <c r="I2" s="25"/>
      <c r="J2" s="25"/>
      <c r="K2" s="25"/>
      <c r="L2" s="25"/>
      <c r="M2" s="25"/>
      <c r="N2" s="25"/>
      <c r="O2" s="25"/>
    </row>
    <row r="3" spans="1:18">
      <c r="Q3" s="48" t="s">
        <v>141</v>
      </c>
    </row>
    <row r="5" spans="1:18">
      <c r="B5" s="53" t="s">
        <v>197</v>
      </c>
      <c r="D5" s="48" t="s">
        <v>138</v>
      </c>
      <c r="E5" s="48" t="s">
        <v>86</v>
      </c>
      <c r="F5" s="48" t="s">
        <v>87</v>
      </c>
      <c r="G5" s="53" t="s">
        <v>77</v>
      </c>
      <c r="H5" s="53" t="s">
        <v>53</v>
      </c>
      <c r="I5" s="53" t="s">
        <v>139</v>
      </c>
      <c r="J5" s="53" t="s">
        <v>90</v>
      </c>
      <c r="K5" s="53" t="s">
        <v>91</v>
      </c>
      <c r="L5" s="53" t="s">
        <v>20</v>
      </c>
      <c r="M5" s="53" t="s">
        <v>69</v>
      </c>
      <c r="N5" s="53" t="s">
        <v>83</v>
      </c>
      <c r="O5" s="53" t="s">
        <v>21</v>
      </c>
      <c r="Q5" s="26" t="s">
        <v>72</v>
      </c>
      <c r="R5" s="53"/>
    </row>
    <row r="6" spans="1:18">
      <c r="A6" s="110">
        <v>1</v>
      </c>
      <c r="B6" s="103">
        <v>96.021000000000001</v>
      </c>
      <c r="D6" s="79" t="str">
        <f>_xll.meLWOBondCreate(E6,_xll.meUtilityLVBFromMultipleKeysValues($E$5:$G$5,E6:G6,,$Q$6:$Q$9,$R$6:$R$9),_xll.meUtilityLVBFromMultipleKeysValues($H$5:$O$5,H6:O6,,$Q$16:$Q$24,$R$16:$R$24))</f>
        <v>MIZUHO-3.2%-26-MAR-25-USD@118:3</v>
      </c>
      <c r="E6" s="100" t="s">
        <v>143</v>
      </c>
      <c r="F6" s="76" t="s">
        <v>121</v>
      </c>
      <c r="G6" s="85" t="b">
        <v>1</v>
      </c>
      <c r="H6" s="86">
        <v>42089</v>
      </c>
      <c r="I6" s="86">
        <f>H6</f>
        <v>42089</v>
      </c>
      <c r="J6" s="86"/>
      <c r="K6" s="86"/>
      <c r="L6" s="86">
        <v>45742</v>
      </c>
      <c r="M6" s="87">
        <v>3.2000000000000001E-2</v>
      </c>
      <c r="N6" s="88" t="s">
        <v>104</v>
      </c>
      <c r="O6" s="89" t="s">
        <v>47</v>
      </c>
      <c r="Q6" s="27" t="s">
        <v>73</v>
      </c>
      <c r="R6" s="14" t="s">
        <v>74</v>
      </c>
    </row>
    <row r="7" spans="1:18">
      <c r="A7" s="110">
        <f>A6+1</f>
        <v>2</v>
      </c>
      <c r="B7" s="104">
        <v>94.55</v>
      </c>
      <c r="D7" s="80" t="str">
        <f>_xll.meLWOBondCreate(E7,_xll.meUtilityLVBFromMultipleKeysValues($E$5:$G$5,E7:G7,,$Q$6:$Q$9,$R$6:$R$9),_xll.meUtilityLVBFromMultipleKeysValues($H$5:$O$5,H7:O7,,$Q$16:$Q$24,$R$16:$R$24))</f>
        <v>MIZUHO-1.61-27-JUL-21-USD@96:3</v>
      </c>
      <c r="E7" s="101" t="s">
        <v>255</v>
      </c>
      <c r="F7" s="77" t="s">
        <v>254</v>
      </c>
      <c r="G7" s="90" t="b">
        <v>1</v>
      </c>
      <c r="H7" s="91">
        <v>42566</v>
      </c>
      <c r="I7" s="91">
        <v>42578</v>
      </c>
      <c r="J7" s="91"/>
      <c r="K7" s="91"/>
      <c r="L7" s="91">
        <v>44404</v>
      </c>
      <c r="M7" s="92">
        <v>1.61E-2</v>
      </c>
      <c r="N7" s="93" t="s">
        <v>104</v>
      </c>
      <c r="O7" s="94" t="s">
        <v>47</v>
      </c>
      <c r="Q7" s="28" t="s">
        <v>8</v>
      </c>
      <c r="R7" s="15" t="s">
        <v>9</v>
      </c>
    </row>
    <row r="8" spans="1:18">
      <c r="A8" s="110">
        <f t="shared" ref="A8:A32" si="0">A7+1</f>
        <v>3</v>
      </c>
      <c r="B8" s="104">
        <v>100</v>
      </c>
      <c r="D8" s="80" t="str">
        <f>_xll.meLWOBondCreate(E8,_xll.meUtilityLVBFromMultipleKeysValues($E$5:$G$5,E8:G8,,$Q$6:$Q$9,$R$6:$R$9),_xll.meUtilityLVBFromMultipleKeysValues($H$5:$O$5,H8:O8,,$Q$16:$Q$24,$R$16:$R$24))</f>
        <v>USD-DUMMY-BOND2@109:3</v>
      </c>
      <c r="E8" s="101" t="s">
        <v>144</v>
      </c>
      <c r="F8" s="77" t="s">
        <v>209</v>
      </c>
      <c r="G8" s="90" t="b">
        <v>1</v>
      </c>
      <c r="H8" s="91">
        <v>42089</v>
      </c>
      <c r="I8" s="91">
        <f t="shared" ref="I8:I32" si="1">H8</f>
        <v>42089</v>
      </c>
      <c r="J8" s="91"/>
      <c r="K8" s="91"/>
      <c r="L8" s="91">
        <v>45742</v>
      </c>
      <c r="M8" s="92">
        <v>3.2000000000000001E-2</v>
      </c>
      <c r="N8" s="93" t="s">
        <v>104</v>
      </c>
      <c r="O8" s="94" t="s">
        <v>47</v>
      </c>
      <c r="Q8" s="28" t="s">
        <v>75</v>
      </c>
      <c r="R8" s="17" t="s">
        <v>76</v>
      </c>
    </row>
    <row r="9" spans="1:18">
      <c r="A9" s="110">
        <f t="shared" si="0"/>
        <v>4</v>
      </c>
      <c r="B9" s="104">
        <v>100</v>
      </c>
      <c r="D9" s="80" t="str">
        <f>_xll.meLWOBondCreate(E9,_xll.meUtilityLVBFromMultipleKeysValues($E$5:$G$5,E9:G9,,$Q$6:$Q$9,$R$6:$R$9),_xll.meUtilityLVBFromMultipleKeysValues($H$5:$O$5,H9:O9,,$Q$16:$Q$24,$R$16:$R$24))</f>
        <v>USD-DUMMY-BOND3@121:3</v>
      </c>
      <c r="E9" s="101" t="s">
        <v>145</v>
      </c>
      <c r="F9" s="77" t="s">
        <v>210</v>
      </c>
      <c r="G9" s="90" t="b">
        <v>1</v>
      </c>
      <c r="H9" s="91">
        <v>42089</v>
      </c>
      <c r="I9" s="91">
        <f t="shared" si="1"/>
        <v>42089</v>
      </c>
      <c r="J9" s="91"/>
      <c r="K9" s="91"/>
      <c r="L9" s="91">
        <v>45742</v>
      </c>
      <c r="M9" s="92">
        <v>3.2000000000000001E-2</v>
      </c>
      <c r="N9" s="93" t="s">
        <v>104</v>
      </c>
      <c r="O9" s="94" t="s">
        <v>47</v>
      </c>
      <c r="Q9" s="28" t="s">
        <v>78</v>
      </c>
      <c r="R9" s="17" t="s">
        <v>79</v>
      </c>
    </row>
    <row r="10" spans="1:18">
      <c r="A10" s="110">
        <f t="shared" si="0"/>
        <v>5</v>
      </c>
      <c r="B10" s="104">
        <v>100</v>
      </c>
      <c r="D10" s="80" t="str">
        <f>_xll.meLWOBondCreate(E10,_xll.meUtilityLVBFromMultipleKeysValues($E$5:$G$5,E10:G10,,$Q$6:$Q$9,$R$6:$R$9),_xll.meUtilityLVBFromMultipleKeysValues($H$5:$O$5,H10:O10,,$Q$16:$Q$24,$R$16:$R$24))</f>
        <v>USD-DUMMY-BOND4@125:3</v>
      </c>
      <c r="E10" s="101" t="s">
        <v>146</v>
      </c>
      <c r="F10" s="77" t="s">
        <v>211</v>
      </c>
      <c r="G10" s="90" t="b">
        <v>1</v>
      </c>
      <c r="H10" s="91">
        <v>42089</v>
      </c>
      <c r="I10" s="91">
        <f t="shared" si="1"/>
        <v>42089</v>
      </c>
      <c r="J10" s="91"/>
      <c r="K10" s="91"/>
      <c r="L10" s="91">
        <v>45742</v>
      </c>
      <c r="M10" s="92">
        <v>3.2000000000000001E-2</v>
      </c>
      <c r="N10" s="93" t="s">
        <v>104</v>
      </c>
      <c r="O10" s="94" t="s">
        <v>47</v>
      </c>
      <c r="Q10" s="28" t="s">
        <v>86</v>
      </c>
      <c r="R10" s="74"/>
    </row>
    <row r="11" spans="1:18">
      <c r="A11" s="110">
        <f t="shared" si="0"/>
        <v>6</v>
      </c>
      <c r="B11" s="104">
        <v>100</v>
      </c>
      <c r="D11" s="80" t="str">
        <f>_xll.meLWOBondCreate(E11,_xll.meUtilityLVBFromMultipleKeysValues($E$5:$G$5,E11:G11,,$Q$6:$Q$9,$R$6:$R$9),_xll.meUtilityLVBFromMultipleKeysValues($H$5:$O$5,H11:O11,,$Q$16:$Q$24,$R$16:$R$24))</f>
        <v>USD-DUMMY-BOND5@122:3</v>
      </c>
      <c r="E11" s="101" t="s">
        <v>147</v>
      </c>
      <c r="F11" s="77" t="s">
        <v>212</v>
      </c>
      <c r="G11" s="90" t="b">
        <v>1</v>
      </c>
      <c r="H11" s="91">
        <v>42089</v>
      </c>
      <c r="I11" s="91">
        <f t="shared" si="1"/>
        <v>42089</v>
      </c>
      <c r="J11" s="91"/>
      <c r="K11" s="91"/>
      <c r="L11" s="91">
        <v>45742</v>
      </c>
      <c r="M11" s="92">
        <v>3.2000000000000001E-2</v>
      </c>
      <c r="N11" s="93" t="s">
        <v>104</v>
      </c>
      <c r="O11" s="94" t="s">
        <v>47</v>
      </c>
      <c r="Q11" s="28" t="s">
        <v>87</v>
      </c>
      <c r="R11" s="74"/>
    </row>
    <row r="12" spans="1:18">
      <c r="A12" s="110">
        <f t="shared" si="0"/>
        <v>7</v>
      </c>
      <c r="B12" s="104">
        <v>100</v>
      </c>
      <c r="D12" s="80" t="str">
        <f>_xll.meLWOBondCreate(E12,_xll.meUtilityLVBFromMultipleKeysValues($E$5:$G$5,E12:G12,,$Q$6:$Q$9,$R$6:$R$9),_xll.meUtilityLVBFromMultipleKeysValues($H$5:$O$5,H12:O12,,$Q$16:$Q$24,$R$16:$R$24))</f>
        <v>USD-DUMMY-BOND6@117:3</v>
      </c>
      <c r="E12" s="101" t="s">
        <v>148</v>
      </c>
      <c r="F12" s="77" t="s">
        <v>213</v>
      </c>
      <c r="G12" s="90" t="b">
        <v>1</v>
      </c>
      <c r="H12" s="91">
        <v>42089</v>
      </c>
      <c r="I12" s="91">
        <f t="shared" si="1"/>
        <v>42089</v>
      </c>
      <c r="J12" s="91"/>
      <c r="K12" s="91"/>
      <c r="L12" s="91">
        <v>45742</v>
      </c>
      <c r="M12" s="92">
        <v>3.2000000000000001E-2</v>
      </c>
      <c r="N12" s="93" t="s">
        <v>104</v>
      </c>
      <c r="O12" s="94" t="s">
        <v>47</v>
      </c>
      <c r="Q12" s="29" t="s">
        <v>77</v>
      </c>
      <c r="R12" s="75"/>
    </row>
    <row r="13" spans="1:18">
      <c r="A13" s="110">
        <f t="shared" si="0"/>
        <v>8</v>
      </c>
      <c r="B13" s="104">
        <v>100</v>
      </c>
      <c r="D13" s="80" t="str">
        <f>_xll.meLWOBondCreate(E13,_xll.meUtilityLVBFromMultipleKeysValues($E$5:$G$5,E13:G13,,$Q$6:$Q$9,$R$6:$R$9),_xll.meUtilityLVBFromMultipleKeysValues($H$5:$O$5,H13:O13,,$Q$16:$Q$24,$R$16:$R$24))</f>
        <v>USD-DUMMY-BOND7@145:3</v>
      </c>
      <c r="E13" s="101" t="s">
        <v>149</v>
      </c>
      <c r="F13" s="77" t="s">
        <v>214</v>
      </c>
      <c r="G13" s="90" t="b">
        <v>1</v>
      </c>
      <c r="H13" s="91">
        <v>42089</v>
      </c>
      <c r="I13" s="91">
        <f t="shared" si="1"/>
        <v>42089</v>
      </c>
      <c r="J13" s="91"/>
      <c r="K13" s="91"/>
      <c r="L13" s="91">
        <v>45742</v>
      </c>
      <c r="M13" s="92">
        <v>3.2000000000000001E-2</v>
      </c>
      <c r="N13" s="93" t="s">
        <v>104</v>
      </c>
      <c r="O13" s="94" t="s">
        <v>47</v>
      </c>
      <c r="Q13"/>
    </row>
    <row r="14" spans="1:18">
      <c r="A14" s="110">
        <f t="shared" si="0"/>
        <v>9</v>
      </c>
      <c r="B14" s="104">
        <v>100</v>
      </c>
      <c r="D14" s="80" t="str">
        <f>_xll.meLWOBondCreate(E14,_xll.meUtilityLVBFromMultipleKeysValues($E$5:$G$5,E14:G14,,$Q$6:$Q$9,$R$6:$R$9),_xll.meUtilityLVBFromMultipleKeysValues($H$5:$O$5,H14:O14,,$Q$16:$Q$24,$R$16:$R$24))</f>
        <v>USD-DUMMY-BOND8@144:3</v>
      </c>
      <c r="E14" s="101" t="s">
        <v>150</v>
      </c>
      <c r="F14" s="77" t="s">
        <v>215</v>
      </c>
      <c r="G14" s="90" t="b">
        <v>1</v>
      </c>
      <c r="H14" s="91">
        <v>42089</v>
      </c>
      <c r="I14" s="91">
        <f t="shared" si="1"/>
        <v>42089</v>
      </c>
      <c r="J14" s="91"/>
      <c r="K14" s="91"/>
      <c r="L14" s="91">
        <v>45742</v>
      </c>
      <c r="M14" s="92">
        <v>3.2000000000000001E-2</v>
      </c>
      <c r="N14" s="93" t="s">
        <v>104</v>
      </c>
      <c r="O14" s="94" t="s">
        <v>47</v>
      </c>
      <c r="Q14"/>
    </row>
    <row r="15" spans="1:18">
      <c r="A15" s="110">
        <f t="shared" si="0"/>
        <v>10</v>
      </c>
      <c r="B15" s="104">
        <v>100</v>
      </c>
      <c r="D15" s="80" t="str">
        <f>_xll.meLWOBondCreate(E15,_xll.meUtilityLVBFromMultipleKeysValues($E$5:$G$5,E15:G15,,$Q$6:$Q$9,$R$6:$R$9),_xll.meUtilityLVBFromMultipleKeysValues($H$5:$O$5,H15:O15,,$Q$16:$Q$24,$R$16:$R$24))</f>
        <v>USD-DUMMY-BOND9@115:3</v>
      </c>
      <c r="E15" s="101" t="s">
        <v>151</v>
      </c>
      <c r="F15" s="77" t="s">
        <v>216</v>
      </c>
      <c r="G15" s="90" t="b">
        <v>1</v>
      </c>
      <c r="H15" s="91">
        <v>42089</v>
      </c>
      <c r="I15" s="91">
        <f t="shared" si="1"/>
        <v>42089</v>
      </c>
      <c r="J15" s="91"/>
      <c r="K15" s="91"/>
      <c r="L15" s="91">
        <v>45742</v>
      </c>
      <c r="M15" s="92">
        <v>3.2000000000000001E-2</v>
      </c>
      <c r="N15" s="93" t="s">
        <v>104</v>
      </c>
      <c r="O15" s="94" t="s">
        <v>47</v>
      </c>
      <c r="Q15" s="26" t="s">
        <v>80</v>
      </c>
    </row>
    <row r="16" spans="1:18">
      <c r="A16" s="110">
        <f t="shared" si="0"/>
        <v>11</v>
      </c>
      <c r="B16" s="104">
        <v>100</v>
      </c>
      <c r="D16" s="80" t="str">
        <f>_xll.meLWOBondCreate(E16,_xll.meUtilityLVBFromMultipleKeysValues($E$5:$G$5,E16:G16,,$Q$6:$Q$9,$R$6:$R$9),_xll.meUtilityLVBFromMultipleKeysValues($H$5:$O$5,H16:O16,,$Q$16:$Q$24,$R$16:$R$24))</f>
        <v>USD-DUMMY-BOND10@131:3</v>
      </c>
      <c r="E16" s="101" t="s">
        <v>152</v>
      </c>
      <c r="F16" s="77" t="s">
        <v>217</v>
      </c>
      <c r="G16" s="90" t="b">
        <v>1</v>
      </c>
      <c r="H16" s="91">
        <v>42089</v>
      </c>
      <c r="I16" s="91">
        <f t="shared" si="1"/>
        <v>42089</v>
      </c>
      <c r="J16" s="91"/>
      <c r="K16" s="91"/>
      <c r="L16" s="91">
        <v>45742</v>
      </c>
      <c r="M16" s="92">
        <v>3.2000000000000001E-2</v>
      </c>
      <c r="N16" s="93" t="s">
        <v>104</v>
      </c>
      <c r="O16" s="94" t="s">
        <v>47</v>
      </c>
      <c r="Q16" s="27" t="s">
        <v>4</v>
      </c>
      <c r="R16" s="14" t="s">
        <v>70</v>
      </c>
    </row>
    <row r="17" spans="1:18">
      <c r="A17" s="110">
        <f t="shared" si="0"/>
        <v>12</v>
      </c>
      <c r="B17" s="104">
        <v>100</v>
      </c>
      <c r="D17" s="80" t="str">
        <f>_xll.meLWOBondCreate(E17,_xll.meUtilityLVBFromMultipleKeysValues($E$5:$G$5,E17:G17,,$Q$6:$Q$9,$R$6:$R$9),_xll.meUtilityLVBFromMultipleKeysValues($H$5:$O$5,H17:O17,,$Q$16:$Q$24,$R$16:$R$24))</f>
        <v>USD-DUMMY-BOND11@134:3</v>
      </c>
      <c r="E17" s="101" t="s">
        <v>153</v>
      </c>
      <c r="F17" s="77" t="s">
        <v>218</v>
      </c>
      <c r="G17" s="90" t="b">
        <v>1</v>
      </c>
      <c r="H17" s="91">
        <v>42089</v>
      </c>
      <c r="I17" s="91">
        <f t="shared" si="1"/>
        <v>42089</v>
      </c>
      <c r="J17" s="91"/>
      <c r="K17" s="91"/>
      <c r="L17" s="91">
        <v>45742</v>
      </c>
      <c r="M17" s="92">
        <v>3.2000000000000001E-2</v>
      </c>
      <c r="N17" s="93" t="s">
        <v>104</v>
      </c>
      <c r="O17" s="94" t="s">
        <v>47</v>
      </c>
      <c r="Q17" s="13" t="s">
        <v>3</v>
      </c>
      <c r="R17" s="15" t="s">
        <v>71</v>
      </c>
    </row>
    <row r="18" spans="1:18">
      <c r="A18" s="110">
        <f t="shared" si="0"/>
        <v>13</v>
      </c>
      <c r="B18" s="104">
        <v>100</v>
      </c>
      <c r="D18" s="80" t="str">
        <f>_xll.meLWOBondCreate(E18,_xll.meUtilityLVBFromMultipleKeysValues($E$5:$G$5,E18:G18,,$Q$6:$Q$9,$R$6:$R$9),_xll.meUtilityLVBFromMultipleKeysValues($H$5:$O$5,H18:O18,,$Q$16:$Q$24,$R$16:$R$24))</f>
        <v>USD-DUMMY-BOND12@100:3</v>
      </c>
      <c r="E18" s="101" t="s">
        <v>154</v>
      </c>
      <c r="F18" s="77" t="s">
        <v>219</v>
      </c>
      <c r="G18" s="90" t="b">
        <v>1</v>
      </c>
      <c r="H18" s="91">
        <v>42089</v>
      </c>
      <c r="I18" s="91">
        <f t="shared" si="1"/>
        <v>42089</v>
      </c>
      <c r="J18" s="91"/>
      <c r="K18" s="91"/>
      <c r="L18" s="91">
        <v>45742</v>
      </c>
      <c r="M18" s="92">
        <v>3.2000000000000001E-2</v>
      </c>
      <c r="N18" s="93" t="s">
        <v>104</v>
      </c>
      <c r="O18" s="94" t="s">
        <v>47</v>
      </c>
      <c r="Q18" s="28" t="s">
        <v>81</v>
      </c>
      <c r="R18" s="16">
        <v>1000000</v>
      </c>
    </row>
    <row r="19" spans="1:18">
      <c r="A19" s="110">
        <f t="shared" si="0"/>
        <v>14</v>
      </c>
      <c r="B19" s="104">
        <v>100</v>
      </c>
      <c r="D19" s="80" t="str">
        <f>_xll.meLWOBondCreate(E19,_xll.meUtilityLVBFromMultipleKeysValues($E$5:$G$5,E19:G19,,$Q$6:$Q$9,$R$6:$R$9),_xll.meUtilityLVBFromMultipleKeysValues($H$5:$O$5,H19:O19,,$Q$16:$Q$24,$R$16:$R$24))</f>
        <v>USD-DUMMY-BOND13@139:3</v>
      </c>
      <c r="E19" s="101" t="s">
        <v>155</v>
      </c>
      <c r="F19" s="77" t="s">
        <v>220</v>
      </c>
      <c r="G19" s="90" t="b">
        <v>1</v>
      </c>
      <c r="H19" s="91">
        <v>42089</v>
      </c>
      <c r="I19" s="91">
        <f t="shared" si="1"/>
        <v>42089</v>
      </c>
      <c r="J19" s="91"/>
      <c r="K19" s="91"/>
      <c r="L19" s="91">
        <v>45742</v>
      </c>
      <c r="M19" s="92">
        <v>3.2000000000000001E-2</v>
      </c>
      <c r="N19" s="93" t="s">
        <v>104</v>
      </c>
      <c r="O19" s="94" t="s">
        <v>47</v>
      </c>
      <c r="Q19" s="28" t="s">
        <v>26</v>
      </c>
      <c r="R19" s="15" t="s">
        <v>24</v>
      </c>
    </row>
    <row r="20" spans="1:18">
      <c r="A20" s="110">
        <f t="shared" si="0"/>
        <v>15</v>
      </c>
      <c r="B20" s="104">
        <v>100</v>
      </c>
      <c r="D20" s="80" t="str">
        <f>_xll.meLWOBondCreate(E20,_xll.meUtilityLVBFromMultipleKeysValues($E$5:$G$5,E20:G20,,$Q$6:$Q$9,$R$6:$R$9),_xll.meUtilityLVBFromMultipleKeysValues($H$5:$O$5,H20:O20,,$Q$16:$Q$24,$R$16:$R$24))</f>
        <v>USD-DUMMY-BOND14@116:3</v>
      </c>
      <c r="E20" s="101" t="s">
        <v>156</v>
      </c>
      <c r="F20" s="77" t="s">
        <v>221</v>
      </c>
      <c r="G20" s="90" t="b">
        <v>1</v>
      </c>
      <c r="H20" s="91">
        <v>42089</v>
      </c>
      <c r="I20" s="91">
        <f t="shared" si="1"/>
        <v>42089</v>
      </c>
      <c r="J20" s="91"/>
      <c r="K20" s="91"/>
      <c r="L20" s="91">
        <v>45742</v>
      </c>
      <c r="M20" s="92">
        <v>3.2000000000000001E-2</v>
      </c>
      <c r="N20" s="93" t="s">
        <v>104</v>
      </c>
      <c r="O20" s="94" t="s">
        <v>47</v>
      </c>
      <c r="Q20" s="28" t="s">
        <v>27</v>
      </c>
      <c r="R20" s="15" t="s">
        <v>68</v>
      </c>
    </row>
    <row r="21" spans="1:18">
      <c r="A21" s="110">
        <f t="shared" si="0"/>
        <v>16</v>
      </c>
      <c r="B21" s="104">
        <v>100</v>
      </c>
      <c r="D21" s="80" t="str">
        <f>_xll.meLWOBondCreate(E21,_xll.meUtilityLVBFromMultipleKeysValues($E$5:$G$5,E21:G21,,$Q$6:$Q$9,$R$6:$R$9),_xll.meUtilityLVBFromMultipleKeysValues($H$5:$O$5,H21:O21,,$Q$16:$Q$24,$R$16:$R$24))</f>
        <v>USD-DUMMY-BOND15@110:3</v>
      </c>
      <c r="E21" s="101" t="s">
        <v>157</v>
      </c>
      <c r="F21" s="77" t="s">
        <v>222</v>
      </c>
      <c r="G21" s="90" t="b">
        <v>1</v>
      </c>
      <c r="H21" s="91">
        <v>42089</v>
      </c>
      <c r="I21" s="91">
        <f t="shared" si="1"/>
        <v>42089</v>
      </c>
      <c r="J21" s="91"/>
      <c r="K21" s="91"/>
      <c r="L21" s="91">
        <v>45742</v>
      </c>
      <c r="M21" s="92">
        <v>3.2000000000000001E-2</v>
      </c>
      <c r="N21" s="93" t="s">
        <v>104</v>
      </c>
      <c r="O21" s="94" t="s">
        <v>47</v>
      </c>
      <c r="Q21" s="28" t="s">
        <v>28</v>
      </c>
      <c r="R21" s="15" t="s">
        <v>82</v>
      </c>
    </row>
    <row r="22" spans="1:18">
      <c r="A22" s="110">
        <f t="shared" si="0"/>
        <v>17</v>
      </c>
      <c r="B22" s="104">
        <v>100</v>
      </c>
      <c r="D22" s="80" t="str">
        <f>_xll.meLWOBondCreate(E22,_xll.meUtilityLVBFromMultipleKeysValues($E$5:$G$5,E22:G22,,$Q$6:$Q$9,$R$6:$R$9),_xll.meUtilityLVBFromMultipleKeysValues($H$5:$O$5,H22:O22,,$Q$16:$Q$24,$R$16:$R$24))</f>
        <v>USD-DUMMY-BOND16@97:3</v>
      </c>
      <c r="E22" s="101" t="s">
        <v>158</v>
      </c>
      <c r="F22" s="77" t="s">
        <v>223</v>
      </c>
      <c r="G22" s="90" t="b">
        <v>1</v>
      </c>
      <c r="H22" s="91">
        <v>42089</v>
      </c>
      <c r="I22" s="91">
        <f t="shared" si="1"/>
        <v>42089</v>
      </c>
      <c r="J22" s="91"/>
      <c r="K22" s="91"/>
      <c r="L22" s="91">
        <v>45742</v>
      </c>
      <c r="M22" s="92">
        <v>3.2000000000000001E-2</v>
      </c>
      <c r="N22" s="93" t="s">
        <v>104</v>
      </c>
      <c r="O22" s="94" t="s">
        <v>47</v>
      </c>
      <c r="Q22" s="28" t="s">
        <v>29</v>
      </c>
      <c r="R22" s="15" t="s">
        <v>68</v>
      </c>
    </row>
    <row r="23" spans="1:18">
      <c r="A23" s="110">
        <f t="shared" si="0"/>
        <v>18</v>
      </c>
      <c r="B23" s="104">
        <v>100</v>
      </c>
      <c r="D23" s="80" t="str">
        <f>_xll.meLWOBondCreate(E23,_xll.meUtilityLVBFromMultipleKeysValues($E$5:$G$5,E23:G23,,$Q$6:$Q$9,$R$6:$R$9),_xll.meUtilityLVBFromMultipleKeysValues($H$5:$O$5,H23:O23,,$Q$16:$Q$24,$R$16:$R$24))</f>
        <v>USD-DUMMY-BOND17@130:3</v>
      </c>
      <c r="E23" s="101" t="s">
        <v>159</v>
      </c>
      <c r="F23" s="77" t="s">
        <v>224</v>
      </c>
      <c r="G23" s="90" t="b">
        <v>1</v>
      </c>
      <c r="H23" s="91">
        <v>42089</v>
      </c>
      <c r="I23" s="91">
        <f t="shared" si="1"/>
        <v>42089</v>
      </c>
      <c r="J23" s="91"/>
      <c r="K23" s="91"/>
      <c r="L23" s="91">
        <v>45742</v>
      </c>
      <c r="M23" s="92">
        <v>3.2000000000000001E-2</v>
      </c>
      <c r="N23" s="93" t="s">
        <v>104</v>
      </c>
      <c r="O23" s="94" t="s">
        <v>47</v>
      </c>
      <c r="Q23" s="28" t="s">
        <v>37</v>
      </c>
      <c r="R23" s="15" t="s">
        <v>35</v>
      </c>
    </row>
    <row r="24" spans="1:18">
      <c r="A24" s="110">
        <f t="shared" si="0"/>
        <v>19</v>
      </c>
      <c r="B24" s="104">
        <v>100</v>
      </c>
      <c r="D24" s="80" t="str">
        <f>_xll.meLWOBondCreate(E24,_xll.meUtilityLVBFromMultipleKeysValues($E$5:$G$5,E24:G24,,$Q$6:$Q$9,$R$6:$R$9),_xll.meUtilityLVBFromMultipleKeysValues($H$5:$O$5,H24:O24,,$Q$16:$Q$24,$R$16:$R$24))</f>
        <v>USD-DUMMY-BOND18@135:3</v>
      </c>
      <c r="E24" s="101" t="s">
        <v>160</v>
      </c>
      <c r="F24" s="77" t="s">
        <v>225</v>
      </c>
      <c r="G24" s="90" t="b">
        <v>1</v>
      </c>
      <c r="H24" s="91">
        <v>42089</v>
      </c>
      <c r="I24" s="91">
        <f t="shared" si="1"/>
        <v>42089</v>
      </c>
      <c r="J24" s="91"/>
      <c r="K24" s="91"/>
      <c r="L24" s="91">
        <v>45742</v>
      </c>
      <c r="M24" s="92">
        <v>3.2000000000000001E-2</v>
      </c>
      <c r="N24" s="93" t="s">
        <v>104</v>
      </c>
      <c r="O24" s="94" t="s">
        <v>47</v>
      </c>
      <c r="Q24" s="28" t="s">
        <v>84</v>
      </c>
      <c r="R24" s="15" t="s">
        <v>85</v>
      </c>
    </row>
    <row r="25" spans="1:18">
      <c r="A25" s="110">
        <f t="shared" si="0"/>
        <v>20</v>
      </c>
      <c r="B25" s="104">
        <v>100</v>
      </c>
      <c r="D25" s="80" t="str">
        <f>_xll.meLWOBondCreate(E25,_xll.meUtilityLVBFromMultipleKeysValues($E$5:$G$5,E25:G25,,$Q$6:$Q$9,$R$6:$R$9),_xll.meUtilityLVBFromMultipleKeysValues($H$5:$O$5,H25:O25,,$Q$16:$Q$24,$R$16:$R$24))</f>
        <v>USD-DUMMY-BOND19@99:3</v>
      </c>
      <c r="E25" s="101" t="s">
        <v>161</v>
      </c>
      <c r="F25" s="77" t="s">
        <v>226</v>
      </c>
      <c r="G25" s="90" t="b">
        <v>1</v>
      </c>
      <c r="H25" s="91">
        <v>42089</v>
      </c>
      <c r="I25" s="91">
        <f t="shared" si="1"/>
        <v>42089</v>
      </c>
      <c r="J25" s="91"/>
      <c r="K25" s="91"/>
      <c r="L25" s="91">
        <v>45742</v>
      </c>
      <c r="M25" s="92">
        <v>3.2000000000000001E-2</v>
      </c>
      <c r="N25" s="93" t="s">
        <v>104</v>
      </c>
      <c r="O25" s="94" t="s">
        <v>47</v>
      </c>
      <c r="Q25" s="28" t="s">
        <v>53</v>
      </c>
      <c r="R25" s="82"/>
    </row>
    <row r="26" spans="1:18">
      <c r="A26" s="110">
        <f t="shared" si="0"/>
        <v>21</v>
      </c>
      <c r="B26" s="104">
        <v>100</v>
      </c>
      <c r="D26" s="80" t="str">
        <f>_xll.meLWOBondCreate(E26,_xll.meUtilityLVBFromMultipleKeysValues($E$5:$G$5,E26:G26,,$Q$6:$Q$9,$R$6:$R$9),_xll.meUtilityLVBFromMultipleKeysValues($H$5:$O$5,H26:O26,,$Q$16:$Q$24,$R$16:$R$24))</f>
        <v>USD-DUMMY-BOND20@111:3</v>
      </c>
      <c r="E26" s="101" t="s">
        <v>162</v>
      </c>
      <c r="F26" s="77" t="s">
        <v>227</v>
      </c>
      <c r="G26" s="90" t="b">
        <v>1</v>
      </c>
      <c r="H26" s="91">
        <v>42089</v>
      </c>
      <c r="I26" s="91">
        <f t="shared" si="1"/>
        <v>42089</v>
      </c>
      <c r="J26" s="91"/>
      <c r="K26" s="91"/>
      <c r="L26" s="91">
        <v>45742</v>
      </c>
      <c r="M26" s="92">
        <v>3.2000000000000001E-2</v>
      </c>
      <c r="N26" s="93" t="s">
        <v>104</v>
      </c>
      <c r="O26" s="94" t="s">
        <v>47</v>
      </c>
      <c r="Q26" s="28" t="s">
        <v>139</v>
      </c>
      <c r="R26" s="82"/>
    </row>
    <row r="27" spans="1:18">
      <c r="A27" s="110">
        <f t="shared" si="0"/>
        <v>22</v>
      </c>
      <c r="B27" s="104">
        <v>100</v>
      </c>
      <c r="D27" s="80" t="str">
        <f>_xll.meLWOBondCreate(E27,_xll.meUtilityLVBFromMultipleKeysValues($E$5:$G$5,E27:G27,,$Q$6:$Q$9,$R$6:$R$9),_xll.meUtilityLVBFromMultipleKeysValues($H$5:$O$5,H27:O27,,$Q$16:$Q$24,$R$16:$R$24))</f>
        <v>USD-DUMMY-BOND21@95:3</v>
      </c>
      <c r="E27" s="101" t="s">
        <v>163</v>
      </c>
      <c r="F27" s="77" t="s">
        <v>228</v>
      </c>
      <c r="G27" s="90" t="b">
        <v>1</v>
      </c>
      <c r="H27" s="91">
        <v>42089</v>
      </c>
      <c r="I27" s="91">
        <f t="shared" si="1"/>
        <v>42089</v>
      </c>
      <c r="J27" s="91"/>
      <c r="K27" s="91"/>
      <c r="L27" s="91">
        <v>45742</v>
      </c>
      <c r="M27" s="92">
        <v>3.2000000000000001E-2</v>
      </c>
      <c r="N27" s="93" t="s">
        <v>104</v>
      </c>
      <c r="O27" s="94" t="s">
        <v>47</v>
      </c>
      <c r="Q27" s="28" t="s">
        <v>90</v>
      </c>
      <c r="R27" s="82"/>
    </row>
    <row r="28" spans="1:18">
      <c r="A28" s="110">
        <f t="shared" si="0"/>
        <v>23</v>
      </c>
      <c r="B28" s="104">
        <v>100</v>
      </c>
      <c r="D28" s="80" t="str">
        <f>_xll.meLWOBondCreate(E28,_xll.meUtilityLVBFromMultipleKeysValues($E$5:$G$5,E28:G28,,$Q$6:$Q$9,$R$6:$R$9),_xll.meUtilityLVBFromMultipleKeysValues($H$5:$O$5,H28:O28,,$Q$16:$Q$24,$R$16:$R$24))</f>
        <v>USD-DUMMY-BOND22@140:3</v>
      </c>
      <c r="E28" s="101" t="s">
        <v>164</v>
      </c>
      <c r="F28" s="77" t="s">
        <v>229</v>
      </c>
      <c r="G28" s="90" t="b">
        <v>1</v>
      </c>
      <c r="H28" s="91">
        <v>42089</v>
      </c>
      <c r="I28" s="91">
        <f t="shared" si="1"/>
        <v>42089</v>
      </c>
      <c r="J28" s="91"/>
      <c r="K28" s="91"/>
      <c r="L28" s="91">
        <v>45742</v>
      </c>
      <c r="M28" s="92">
        <v>3.2000000000000001E-2</v>
      </c>
      <c r="N28" s="93" t="s">
        <v>104</v>
      </c>
      <c r="O28" s="94" t="s">
        <v>47</v>
      </c>
      <c r="Q28" s="28" t="s">
        <v>91</v>
      </c>
      <c r="R28" s="82"/>
    </row>
    <row r="29" spans="1:18">
      <c r="A29" s="110">
        <f t="shared" si="0"/>
        <v>24</v>
      </c>
      <c r="B29" s="104">
        <v>100</v>
      </c>
      <c r="D29" s="80" t="str">
        <f>_xll.meLWOBondCreate(E29,_xll.meUtilityLVBFromMultipleKeysValues($E$5:$G$5,E29:G29,,$Q$6:$Q$9,$R$6:$R$9),_xll.meUtilityLVBFromMultipleKeysValues($H$5:$O$5,H29:O29,,$Q$16:$Q$24,$R$16:$R$24))</f>
        <v>USD-DUMMY-BOND23@132:3</v>
      </c>
      <c r="E29" s="101" t="s">
        <v>165</v>
      </c>
      <c r="F29" s="77" t="s">
        <v>230</v>
      </c>
      <c r="G29" s="90" t="b">
        <v>1</v>
      </c>
      <c r="H29" s="91">
        <v>42089</v>
      </c>
      <c r="I29" s="91">
        <f t="shared" si="1"/>
        <v>42089</v>
      </c>
      <c r="J29" s="91"/>
      <c r="K29" s="91"/>
      <c r="L29" s="91">
        <v>45742</v>
      </c>
      <c r="M29" s="92">
        <v>3.2000000000000001E-2</v>
      </c>
      <c r="N29" s="93" t="s">
        <v>104</v>
      </c>
      <c r="O29" s="94" t="s">
        <v>47</v>
      </c>
      <c r="Q29" s="28" t="s">
        <v>20</v>
      </c>
      <c r="R29" s="82"/>
    </row>
    <row r="30" spans="1:18">
      <c r="A30" s="110">
        <f t="shared" si="0"/>
        <v>25</v>
      </c>
      <c r="B30" s="104">
        <v>100</v>
      </c>
      <c r="D30" s="80" t="str">
        <f>_xll.meLWOBondCreate(E30,_xll.meUtilityLVBFromMultipleKeysValues($E$5:$G$5,E30:G30,,$Q$6:$Q$9,$R$6:$R$9),_xll.meUtilityLVBFromMultipleKeysValues($H$5:$O$5,H30:O30,,$Q$16:$Q$24,$R$16:$R$24))</f>
        <v>USD-DUMMY-BOND24@141:3</v>
      </c>
      <c r="E30" s="101" t="s">
        <v>166</v>
      </c>
      <c r="F30" s="77" t="s">
        <v>231</v>
      </c>
      <c r="G30" s="90" t="b">
        <v>1</v>
      </c>
      <c r="H30" s="91">
        <v>42089</v>
      </c>
      <c r="I30" s="91">
        <f t="shared" si="1"/>
        <v>42089</v>
      </c>
      <c r="J30" s="91"/>
      <c r="K30" s="91"/>
      <c r="L30" s="91">
        <v>45742</v>
      </c>
      <c r="M30" s="92">
        <v>3.2000000000000001E-2</v>
      </c>
      <c r="N30" s="93" t="s">
        <v>104</v>
      </c>
      <c r="O30" s="94" t="s">
        <v>47</v>
      </c>
      <c r="Q30" s="28" t="s">
        <v>69</v>
      </c>
      <c r="R30" s="83"/>
    </row>
    <row r="31" spans="1:18">
      <c r="A31" s="110">
        <f t="shared" si="0"/>
        <v>26</v>
      </c>
      <c r="B31" s="104">
        <v>100</v>
      </c>
      <c r="D31" s="80" t="str">
        <f>_xll.meLWOBondCreate(E31,_xll.meUtilityLVBFromMultipleKeysValues($E$5:$G$5,E31:G31,,$Q$6:$Q$9,$R$6:$R$9),_xll.meUtilityLVBFromMultipleKeysValues($H$5:$O$5,H31:O31,,$Q$16:$Q$24,$R$16:$R$24))</f>
        <v>USD-DUMMY-BOND25@103:3</v>
      </c>
      <c r="E31" s="101" t="s">
        <v>167</v>
      </c>
      <c r="F31" s="77" t="s">
        <v>232</v>
      </c>
      <c r="G31" s="90" t="b">
        <v>1</v>
      </c>
      <c r="H31" s="91">
        <v>42089</v>
      </c>
      <c r="I31" s="91">
        <f t="shared" si="1"/>
        <v>42089</v>
      </c>
      <c r="J31" s="91"/>
      <c r="K31" s="91"/>
      <c r="L31" s="91">
        <v>45742</v>
      </c>
      <c r="M31" s="92">
        <v>3.2000000000000001E-2</v>
      </c>
      <c r="N31" s="93" t="s">
        <v>104</v>
      </c>
      <c r="O31" s="94" t="s">
        <v>47</v>
      </c>
      <c r="Q31" s="28" t="s">
        <v>83</v>
      </c>
      <c r="R31" s="83"/>
    </row>
    <row r="32" spans="1:18">
      <c r="A32" s="110">
        <f t="shared" si="0"/>
        <v>27</v>
      </c>
      <c r="B32" s="105">
        <v>100</v>
      </c>
      <c r="D32" s="81" t="str">
        <f>_xll.meLWOBondCreate(E32,_xll.meUtilityLVBFromMultipleKeysValues($E$5:$G$5,E32:G32,,$Q$6:$Q$9,$R$6:$R$9),_xll.meUtilityLVBFromMultipleKeysValues($H$5:$O$5,H32:O32,,$Q$16:$Q$24,$R$16:$R$24))</f>
        <v>USD-DUMMY-BOND26@129:3</v>
      </c>
      <c r="E32" s="102" t="s">
        <v>168</v>
      </c>
      <c r="F32" s="78" t="s">
        <v>233</v>
      </c>
      <c r="G32" s="95" t="b">
        <v>1</v>
      </c>
      <c r="H32" s="96">
        <v>42089</v>
      </c>
      <c r="I32" s="96">
        <f t="shared" si="1"/>
        <v>42089</v>
      </c>
      <c r="J32" s="96"/>
      <c r="K32" s="96"/>
      <c r="L32" s="96">
        <v>45742</v>
      </c>
      <c r="M32" s="97">
        <v>3.2000000000000001E-2</v>
      </c>
      <c r="N32" s="98" t="s">
        <v>104</v>
      </c>
      <c r="O32" s="99" t="s">
        <v>47</v>
      </c>
      <c r="Q32" s="29" t="s">
        <v>21</v>
      </c>
      <c r="R32" s="8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32"/>
  <sheetViews>
    <sheetView showGridLines="0" workbookViewId="0"/>
  </sheetViews>
  <sheetFormatPr defaultRowHeight="15"/>
  <cols>
    <col min="1" max="1" width="9.140625" style="37"/>
    <col min="2" max="2" width="15.7109375" style="37" customWidth="1"/>
    <col min="3" max="3" width="9.140625" style="37"/>
    <col min="4" max="5" width="35.7109375" style="37" customWidth="1"/>
    <col min="6" max="6" width="15.7109375" style="37" customWidth="1"/>
    <col min="7" max="15" width="15.7109375" style="25" customWidth="1"/>
    <col min="16" max="16" width="9.140625" style="37"/>
    <col min="17" max="17" width="31" style="37" bestFit="1" customWidth="1"/>
    <col min="18" max="18" width="27" style="37" bestFit="1" customWidth="1"/>
    <col min="19" max="16384" width="9.140625" style="37"/>
  </cols>
  <sheetData>
    <row r="2" spans="1:18">
      <c r="B2" s="53" t="s">
        <v>142</v>
      </c>
      <c r="D2" s="26"/>
    </row>
    <row r="3" spans="1:18">
      <c r="Q3" s="48" t="s">
        <v>234</v>
      </c>
    </row>
    <row r="5" spans="1:18">
      <c r="B5" s="53" t="s">
        <v>197</v>
      </c>
      <c r="D5" s="48" t="s">
        <v>138</v>
      </c>
      <c r="E5" s="48" t="s">
        <v>86</v>
      </c>
      <c r="F5" s="48" t="s">
        <v>87</v>
      </c>
      <c r="G5" s="53" t="s">
        <v>77</v>
      </c>
      <c r="H5" s="53" t="s">
        <v>53</v>
      </c>
      <c r="I5" s="53" t="s">
        <v>139</v>
      </c>
      <c r="J5" s="53" t="s">
        <v>90</v>
      </c>
      <c r="K5" s="53" t="s">
        <v>91</v>
      </c>
      <c r="L5" s="53" t="s">
        <v>20</v>
      </c>
      <c r="M5" s="53" t="s">
        <v>69</v>
      </c>
      <c r="N5" s="53" t="s">
        <v>83</v>
      </c>
      <c r="O5" s="53" t="s">
        <v>21</v>
      </c>
      <c r="Q5" s="26" t="s">
        <v>72</v>
      </c>
      <c r="R5" s="53"/>
    </row>
    <row r="6" spans="1:18">
      <c r="A6" s="110">
        <v>1</v>
      </c>
      <c r="B6" s="103">
        <v>95.483000000000004</v>
      </c>
      <c r="D6" s="79" t="str">
        <f>_xll.meLWOBondCreate(E6,_xll.meUtilityLVBFromMultipleKeysValues($E$5:$G$5,E6:G6,,$Q$6:$Q$9,$R$6:$R$9),_xll.meUtilityLVBFromMultipleKeysValues($H$5:$O$5,H6:O6,,$Q$16:$Q$24,$R$16:$R$24))</f>
        <v>MIZUHO-3.92%-15-JAN-26 AUD@101:3</v>
      </c>
      <c r="E6" s="76" t="s">
        <v>205</v>
      </c>
      <c r="F6" s="76" t="s">
        <v>122</v>
      </c>
      <c r="G6" s="85" t="b">
        <v>1</v>
      </c>
      <c r="H6" s="86">
        <v>42566</v>
      </c>
      <c r="I6" s="86">
        <v>42566</v>
      </c>
      <c r="J6" s="86"/>
      <c r="K6" s="86"/>
      <c r="L6" s="86">
        <v>46037</v>
      </c>
      <c r="M6" s="87">
        <v>3.9199999999999999E-2</v>
      </c>
      <c r="N6" s="88" t="s">
        <v>104</v>
      </c>
      <c r="O6" s="89" t="s">
        <v>47</v>
      </c>
      <c r="Q6" s="27" t="s">
        <v>73</v>
      </c>
      <c r="R6" s="14" t="s">
        <v>74</v>
      </c>
    </row>
    <row r="7" spans="1:18">
      <c r="A7" s="110">
        <f>A6+1</f>
        <v>2</v>
      </c>
      <c r="B7" s="104">
        <v>100</v>
      </c>
      <c r="D7" s="80" t="str">
        <f>_xll.meLWOBondCreate(E7,_xll.meUtilityLVBFromMultipleKeysValues($E$5:$G$5,E7:G7,,$Q$6:$Q$9,$R$6:$R$9),_xll.meUtilityLVBFromMultipleKeysValues($H$5:$O$5,H7:O7,,$Q$16:$Q$24,$R$16:$R$24))</f>
        <v>MIZUHO-2.62%27-JUL-21-AUD@98:3</v>
      </c>
      <c r="E7" s="77" t="s">
        <v>257</v>
      </c>
      <c r="F7" s="77" t="s">
        <v>256</v>
      </c>
      <c r="G7" s="90" t="b">
        <v>1</v>
      </c>
      <c r="H7" s="91">
        <v>42578</v>
      </c>
      <c r="I7" s="91">
        <v>42578</v>
      </c>
      <c r="J7" s="91"/>
      <c r="K7" s="91"/>
      <c r="L7" s="91">
        <v>44404</v>
      </c>
      <c r="M7" s="92">
        <v>2.6200000000000001E-2</v>
      </c>
      <c r="N7" s="93" t="s">
        <v>104</v>
      </c>
      <c r="O7" s="94" t="s">
        <v>47</v>
      </c>
      <c r="Q7" s="28" t="s">
        <v>8</v>
      </c>
      <c r="R7" s="15" t="s">
        <v>45</v>
      </c>
    </row>
    <row r="8" spans="1:18">
      <c r="A8" s="110">
        <f t="shared" ref="A8:A32" si="0">A7+1</f>
        <v>3</v>
      </c>
      <c r="B8" s="104">
        <v>100</v>
      </c>
      <c r="D8" s="80" t="str">
        <f>_xll.meLWOBondCreate(E8,_xll.meUtilityLVBFromMultipleKeysValues($E$5:$G$5,E8:G8,,$Q$6:$Q$9,$R$6:$R$9),_xll.meUtilityLVBFromMultipleKeysValues($H$5:$O$5,H8:O8,,$Q$16:$Q$24,$R$16:$R$24))</f>
        <v>AUD_DUMMY_BOND2@123:3</v>
      </c>
      <c r="E8" s="77" t="s">
        <v>169</v>
      </c>
      <c r="F8" s="77" t="s">
        <v>209</v>
      </c>
      <c r="G8" s="90" t="b">
        <v>1</v>
      </c>
      <c r="H8" s="91">
        <v>42566</v>
      </c>
      <c r="I8" s="91">
        <v>42566</v>
      </c>
      <c r="J8" s="91"/>
      <c r="K8" s="91"/>
      <c r="L8" s="91">
        <v>46037</v>
      </c>
      <c r="M8" s="92">
        <v>3.9199999999999999E-2</v>
      </c>
      <c r="N8" s="93" t="s">
        <v>104</v>
      </c>
      <c r="O8" s="94" t="s">
        <v>47</v>
      </c>
      <c r="Q8" s="28" t="s">
        <v>75</v>
      </c>
      <c r="R8" s="17" t="s">
        <v>76</v>
      </c>
    </row>
    <row r="9" spans="1:18">
      <c r="A9" s="110">
        <f t="shared" si="0"/>
        <v>4</v>
      </c>
      <c r="B9" s="104">
        <v>100</v>
      </c>
      <c r="D9" s="80" t="str">
        <f>_xll.meLWOBondCreate(E9,_xll.meUtilityLVBFromMultipleKeysValues($E$5:$G$5,E9:G9,,$Q$6:$Q$9,$R$6:$R$9),_xll.meUtilityLVBFromMultipleKeysValues($H$5:$O$5,H9:O9,,$Q$16:$Q$24,$R$16:$R$24))</f>
        <v>AUD_DUMMY_BOND3@124:3</v>
      </c>
      <c r="E9" s="77" t="s">
        <v>170</v>
      </c>
      <c r="F9" s="77" t="s">
        <v>210</v>
      </c>
      <c r="G9" s="90" t="b">
        <v>1</v>
      </c>
      <c r="H9" s="91">
        <v>42566</v>
      </c>
      <c r="I9" s="91">
        <v>42566</v>
      </c>
      <c r="J9" s="91"/>
      <c r="K9" s="91"/>
      <c r="L9" s="91">
        <v>46037</v>
      </c>
      <c r="M9" s="92">
        <v>3.9199999999999999E-2</v>
      </c>
      <c r="N9" s="93" t="s">
        <v>104</v>
      </c>
      <c r="O9" s="94" t="s">
        <v>47</v>
      </c>
      <c r="Q9" s="28" t="s">
        <v>78</v>
      </c>
      <c r="R9" s="17" t="s">
        <v>79</v>
      </c>
    </row>
    <row r="10" spans="1:18">
      <c r="A10" s="110">
        <f t="shared" si="0"/>
        <v>5</v>
      </c>
      <c r="B10" s="104">
        <v>100</v>
      </c>
      <c r="D10" s="80" t="str">
        <f>_xll.meLWOBondCreate(E10,_xll.meUtilityLVBFromMultipleKeysValues($E$5:$G$5,E10:G10,,$Q$6:$Q$9,$R$6:$R$9),_xll.meUtilityLVBFromMultipleKeysValues($H$5:$O$5,H10:O10,,$Q$16:$Q$24,$R$16:$R$24))</f>
        <v>AUD_DUMMY_BOND4@94:3</v>
      </c>
      <c r="E10" s="77" t="s">
        <v>171</v>
      </c>
      <c r="F10" s="77" t="s">
        <v>211</v>
      </c>
      <c r="G10" s="90" t="b">
        <v>1</v>
      </c>
      <c r="H10" s="91">
        <v>42566</v>
      </c>
      <c r="I10" s="91">
        <v>42566</v>
      </c>
      <c r="J10" s="91"/>
      <c r="K10" s="91"/>
      <c r="L10" s="91">
        <v>46037</v>
      </c>
      <c r="M10" s="92">
        <v>3.9199999999999999E-2</v>
      </c>
      <c r="N10" s="93" t="s">
        <v>104</v>
      </c>
      <c r="O10" s="94" t="s">
        <v>47</v>
      </c>
      <c r="Q10" s="28" t="s">
        <v>86</v>
      </c>
      <c r="R10" s="74"/>
    </row>
    <row r="11" spans="1:18">
      <c r="A11" s="110">
        <f t="shared" si="0"/>
        <v>6</v>
      </c>
      <c r="B11" s="104">
        <v>100</v>
      </c>
      <c r="D11" s="80" t="str">
        <f>_xll.meLWOBondCreate(E11,_xll.meUtilityLVBFromMultipleKeysValues($E$5:$G$5,E11:G11,,$Q$6:$Q$9,$R$6:$R$9),_xll.meUtilityLVBFromMultipleKeysValues($H$5:$O$5,H11:O11,,$Q$16:$Q$24,$R$16:$R$24))</f>
        <v>AUD_DUMMY_BOND5@108:3</v>
      </c>
      <c r="E11" s="77" t="s">
        <v>172</v>
      </c>
      <c r="F11" s="77" t="s">
        <v>212</v>
      </c>
      <c r="G11" s="90" t="b">
        <v>1</v>
      </c>
      <c r="H11" s="91">
        <v>42566</v>
      </c>
      <c r="I11" s="91">
        <v>42566</v>
      </c>
      <c r="J11" s="91"/>
      <c r="K11" s="91"/>
      <c r="L11" s="91">
        <v>46037</v>
      </c>
      <c r="M11" s="92">
        <v>3.9199999999999999E-2</v>
      </c>
      <c r="N11" s="93" t="s">
        <v>104</v>
      </c>
      <c r="O11" s="94" t="s">
        <v>47</v>
      </c>
      <c r="Q11" s="28" t="s">
        <v>87</v>
      </c>
      <c r="R11" s="74"/>
    </row>
    <row r="12" spans="1:18">
      <c r="A12" s="110">
        <f t="shared" si="0"/>
        <v>7</v>
      </c>
      <c r="B12" s="104">
        <v>100</v>
      </c>
      <c r="D12" s="80" t="str">
        <f>_xll.meLWOBondCreate(E12,_xll.meUtilityLVBFromMultipleKeysValues($E$5:$G$5,E12:G12,,$Q$6:$Q$9,$R$6:$R$9),_xll.meUtilityLVBFromMultipleKeysValues($H$5:$O$5,H12:O12,,$Q$16:$Q$24,$R$16:$R$24))</f>
        <v>AUD_DUMMY_BOND6@105:3</v>
      </c>
      <c r="E12" s="77" t="s">
        <v>173</v>
      </c>
      <c r="F12" s="77" t="s">
        <v>213</v>
      </c>
      <c r="G12" s="90" t="b">
        <v>1</v>
      </c>
      <c r="H12" s="91">
        <v>42566</v>
      </c>
      <c r="I12" s="91">
        <v>42566</v>
      </c>
      <c r="J12" s="91"/>
      <c r="K12" s="91"/>
      <c r="L12" s="91">
        <v>46037</v>
      </c>
      <c r="M12" s="92">
        <v>3.9199999999999999E-2</v>
      </c>
      <c r="N12" s="93" t="s">
        <v>104</v>
      </c>
      <c r="O12" s="94" t="s">
        <v>47</v>
      </c>
      <c r="Q12" s="29" t="s">
        <v>77</v>
      </c>
      <c r="R12" s="75"/>
    </row>
    <row r="13" spans="1:18">
      <c r="A13" s="110">
        <f t="shared" si="0"/>
        <v>8</v>
      </c>
      <c r="B13" s="104">
        <v>100</v>
      </c>
      <c r="D13" s="80" t="str">
        <f>_xll.meLWOBondCreate(E13,_xll.meUtilityLVBFromMultipleKeysValues($E$5:$G$5,E13:G13,,$Q$6:$Q$9,$R$6:$R$9),_xll.meUtilityLVBFromMultipleKeysValues($H$5:$O$5,H13:O13,,$Q$16:$Q$24,$R$16:$R$24))</f>
        <v>AUD_DUMMY_BOND7@114:3</v>
      </c>
      <c r="E13" s="77" t="s">
        <v>174</v>
      </c>
      <c r="F13" s="77" t="s">
        <v>214</v>
      </c>
      <c r="G13" s="90" t="b">
        <v>1</v>
      </c>
      <c r="H13" s="91">
        <v>42566</v>
      </c>
      <c r="I13" s="91">
        <v>42566</v>
      </c>
      <c r="J13" s="91"/>
      <c r="K13" s="91"/>
      <c r="L13" s="91">
        <v>46037</v>
      </c>
      <c r="M13" s="92">
        <v>3.9199999999999999E-2</v>
      </c>
      <c r="N13" s="93" t="s">
        <v>104</v>
      </c>
      <c r="O13" s="94" t="s">
        <v>47</v>
      </c>
    </row>
    <row r="14" spans="1:18">
      <c r="A14" s="110">
        <f t="shared" si="0"/>
        <v>9</v>
      </c>
      <c r="B14" s="104">
        <v>100</v>
      </c>
      <c r="D14" s="80" t="str">
        <f>_xll.meLWOBondCreate(E14,_xll.meUtilityLVBFromMultipleKeysValues($E$5:$G$5,E14:G14,,$Q$6:$Q$9,$R$6:$R$9),_xll.meUtilityLVBFromMultipleKeysValues($H$5:$O$5,H14:O14,,$Q$16:$Q$24,$R$16:$R$24))</f>
        <v>AUD_DUMMY_BOND8@112:3</v>
      </c>
      <c r="E14" s="77" t="s">
        <v>175</v>
      </c>
      <c r="F14" s="77" t="s">
        <v>215</v>
      </c>
      <c r="G14" s="90" t="b">
        <v>1</v>
      </c>
      <c r="H14" s="91">
        <v>42566</v>
      </c>
      <c r="I14" s="91">
        <v>42566</v>
      </c>
      <c r="J14" s="91"/>
      <c r="K14" s="91"/>
      <c r="L14" s="91">
        <v>46037</v>
      </c>
      <c r="M14" s="92">
        <v>3.9199999999999999E-2</v>
      </c>
      <c r="N14" s="93" t="s">
        <v>104</v>
      </c>
      <c r="O14" s="94" t="s">
        <v>47</v>
      </c>
    </row>
    <row r="15" spans="1:18">
      <c r="A15" s="110">
        <f t="shared" si="0"/>
        <v>10</v>
      </c>
      <c r="B15" s="104">
        <v>100</v>
      </c>
      <c r="D15" s="80" t="str">
        <f>_xll.meLWOBondCreate(E15,_xll.meUtilityLVBFromMultipleKeysValues($E$5:$G$5,E15:G15,,$Q$6:$Q$9,$R$6:$R$9),_xll.meUtilityLVBFromMultipleKeysValues($H$5:$O$5,H15:O15,,$Q$16:$Q$24,$R$16:$R$24))</f>
        <v>AUD_DUMMY_BOND9@138:3</v>
      </c>
      <c r="E15" s="77" t="s">
        <v>176</v>
      </c>
      <c r="F15" s="77" t="s">
        <v>216</v>
      </c>
      <c r="G15" s="90" t="b">
        <v>1</v>
      </c>
      <c r="H15" s="91">
        <v>42566</v>
      </c>
      <c r="I15" s="91">
        <v>42566</v>
      </c>
      <c r="J15" s="91"/>
      <c r="K15" s="91"/>
      <c r="L15" s="91">
        <v>46037</v>
      </c>
      <c r="M15" s="92">
        <v>3.9199999999999999E-2</v>
      </c>
      <c r="N15" s="93" t="s">
        <v>104</v>
      </c>
      <c r="O15" s="94" t="s">
        <v>47</v>
      </c>
      <c r="Q15" s="26" t="s">
        <v>80</v>
      </c>
    </row>
    <row r="16" spans="1:18">
      <c r="A16" s="110">
        <f t="shared" si="0"/>
        <v>11</v>
      </c>
      <c r="B16" s="104">
        <v>100</v>
      </c>
      <c r="D16" s="80" t="str">
        <f>_xll.meLWOBondCreate(E16,_xll.meUtilityLVBFromMultipleKeysValues($E$5:$G$5,E16:G16,,$Q$6:$Q$9,$R$6:$R$9),_xll.meUtilityLVBFromMultipleKeysValues($H$5:$O$5,H16:O16,,$Q$16:$Q$24,$R$16:$R$24))</f>
        <v>AUD_DUMMY_BOND10@128:3</v>
      </c>
      <c r="E16" s="77" t="s">
        <v>177</v>
      </c>
      <c r="F16" s="77" t="s">
        <v>217</v>
      </c>
      <c r="G16" s="90" t="b">
        <v>1</v>
      </c>
      <c r="H16" s="91">
        <v>42566</v>
      </c>
      <c r="I16" s="91">
        <v>42566</v>
      </c>
      <c r="J16" s="91"/>
      <c r="K16" s="91"/>
      <c r="L16" s="91">
        <v>46037</v>
      </c>
      <c r="M16" s="92">
        <v>3.9199999999999999E-2</v>
      </c>
      <c r="N16" s="93" t="s">
        <v>104</v>
      </c>
      <c r="O16" s="94" t="s">
        <v>47</v>
      </c>
      <c r="Q16" s="27" t="s">
        <v>4</v>
      </c>
      <c r="R16" s="14" t="s">
        <v>70</v>
      </c>
    </row>
    <row r="17" spans="1:18">
      <c r="A17" s="110">
        <f t="shared" si="0"/>
        <v>12</v>
      </c>
      <c r="B17" s="104">
        <v>100</v>
      </c>
      <c r="D17" s="80" t="str">
        <f>_xll.meLWOBondCreate(E17,_xll.meUtilityLVBFromMultipleKeysValues($E$5:$G$5,E17:G17,,$Q$6:$Q$9,$R$6:$R$9),_xll.meUtilityLVBFromMultipleKeysValues($H$5:$O$5,H17:O17,,$Q$16:$Q$24,$R$16:$R$24))</f>
        <v>AUD_DUMMY_BOND11@119:3</v>
      </c>
      <c r="E17" s="77" t="s">
        <v>178</v>
      </c>
      <c r="F17" s="77" t="s">
        <v>218</v>
      </c>
      <c r="G17" s="90" t="b">
        <v>1</v>
      </c>
      <c r="H17" s="91">
        <v>42566</v>
      </c>
      <c r="I17" s="91">
        <v>42566</v>
      </c>
      <c r="J17" s="91"/>
      <c r="K17" s="91"/>
      <c r="L17" s="91">
        <v>46037</v>
      </c>
      <c r="M17" s="92">
        <v>3.9199999999999999E-2</v>
      </c>
      <c r="N17" s="93" t="s">
        <v>104</v>
      </c>
      <c r="O17" s="94" t="s">
        <v>47</v>
      </c>
      <c r="Q17" s="13" t="s">
        <v>3</v>
      </c>
      <c r="R17" s="15" t="s">
        <v>71</v>
      </c>
    </row>
    <row r="18" spans="1:18">
      <c r="A18" s="110">
        <f t="shared" si="0"/>
        <v>13</v>
      </c>
      <c r="B18" s="104">
        <v>100</v>
      </c>
      <c r="D18" s="80" t="str">
        <f>_xll.meLWOBondCreate(E18,_xll.meUtilityLVBFromMultipleKeysValues($E$5:$G$5,E18:G18,,$Q$6:$Q$9,$R$6:$R$9),_xll.meUtilityLVBFromMultipleKeysValues($H$5:$O$5,H18:O18,,$Q$16:$Q$24,$R$16:$R$24))</f>
        <v>AUD_DUMMY_BOND12@102:3</v>
      </c>
      <c r="E18" s="77" t="s">
        <v>179</v>
      </c>
      <c r="F18" s="77" t="s">
        <v>219</v>
      </c>
      <c r="G18" s="90" t="b">
        <v>1</v>
      </c>
      <c r="H18" s="91">
        <v>42566</v>
      </c>
      <c r="I18" s="91">
        <v>42566</v>
      </c>
      <c r="J18" s="91"/>
      <c r="K18" s="91"/>
      <c r="L18" s="91">
        <v>46037</v>
      </c>
      <c r="M18" s="92">
        <v>3.9199999999999999E-2</v>
      </c>
      <c r="N18" s="93" t="s">
        <v>104</v>
      </c>
      <c r="O18" s="94" t="s">
        <v>47</v>
      </c>
      <c r="Q18" s="28" t="s">
        <v>81</v>
      </c>
      <c r="R18" s="16">
        <v>1000000</v>
      </c>
    </row>
    <row r="19" spans="1:18">
      <c r="A19" s="110">
        <f t="shared" si="0"/>
        <v>14</v>
      </c>
      <c r="B19" s="104">
        <v>100</v>
      </c>
      <c r="D19" s="80" t="str">
        <f>_xll.meLWOBondCreate(E19,_xll.meUtilityLVBFromMultipleKeysValues($E$5:$G$5,E19:G19,,$Q$6:$Q$9,$R$6:$R$9),_xll.meUtilityLVBFromMultipleKeysValues($H$5:$O$5,H19:O19,,$Q$16:$Q$24,$R$16:$R$24))</f>
        <v>AUD_DUMMY_BOND13@92:3</v>
      </c>
      <c r="E19" s="77" t="s">
        <v>180</v>
      </c>
      <c r="F19" s="77" t="s">
        <v>220</v>
      </c>
      <c r="G19" s="90" t="b">
        <v>1</v>
      </c>
      <c r="H19" s="91">
        <v>42566</v>
      </c>
      <c r="I19" s="91">
        <v>42566</v>
      </c>
      <c r="J19" s="91"/>
      <c r="K19" s="91"/>
      <c r="L19" s="91">
        <v>46037</v>
      </c>
      <c r="M19" s="92">
        <v>3.9199999999999999E-2</v>
      </c>
      <c r="N19" s="93" t="s">
        <v>104</v>
      </c>
      <c r="O19" s="94" t="s">
        <v>47</v>
      </c>
      <c r="Q19" s="28" t="s">
        <v>26</v>
      </c>
      <c r="R19" s="15" t="s">
        <v>24</v>
      </c>
    </row>
    <row r="20" spans="1:18">
      <c r="A20" s="110">
        <f t="shared" si="0"/>
        <v>15</v>
      </c>
      <c r="B20" s="104">
        <v>100</v>
      </c>
      <c r="D20" s="80" t="str">
        <f>_xll.meLWOBondCreate(E20,_xll.meUtilityLVBFromMultipleKeysValues($E$5:$G$5,E20:G20,,$Q$6:$Q$9,$R$6:$R$9),_xll.meUtilityLVBFromMultipleKeysValues($H$5:$O$5,H20:O20,,$Q$16:$Q$24,$R$16:$R$24))</f>
        <v>AUD_DUMMY_BOND14@107:3</v>
      </c>
      <c r="E20" s="77" t="s">
        <v>181</v>
      </c>
      <c r="F20" s="77" t="s">
        <v>221</v>
      </c>
      <c r="G20" s="90" t="b">
        <v>1</v>
      </c>
      <c r="H20" s="91">
        <v>42566</v>
      </c>
      <c r="I20" s="91">
        <v>42566</v>
      </c>
      <c r="J20" s="91"/>
      <c r="K20" s="91"/>
      <c r="L20" s="91">
        <v>46037</v>
      </c>
      <c r="M20" s="92">
        <v>3.9199999999999999E-2</v>
      </c>
      <c r="N20" s="93" t="s">
        <v>104</v>
      </c>
      <c r="O20" s="94" t="s">
        <v>47</v>
      </c>
      <c r="Q20" s="28" t="s">
        <v>27</v>
      </c>
      <c r="R20" s="15" t="s">
        <v>65</v>
      </c>
    </row>
    <row r="21" spans="1:18">
      <c r="A21" s="110">
        <f t="shared" si="0"/>
        <v>16</v>
      </c>
      <c r="B21" s="104">
        <v>100</v>
      </c>
      <c r="D21" s="80" t="str">
        <f>_xll.meLWOBondCreate(E21,_xll.meUtilityLVBFromMultipleKeysValues($E$5:$G$5,E21:G21,,$Q$6:$Q$9,$R$6:$R$9),_xll.meUtilityLVBFromMultipleKeysValues($H$5:$O$5,H21:O21,,$Q$16:$Q$24,$R$16:$R$24))</f>
        <v>AUD_DUMMY_BOND15@91:3</v>
      </c>
      <c r="E21" s="77" t="s">
        <v>182</v>
      </c>
      <c r="F21" s="77" t="s">
        <v>222</v>
      </c>
      <c r="G21" s="90" t="b">
        <v>1</v>
      </c>
      <c r="H21" s="91">
        <v>42566</v>
      </c>
      <c r="I21" s="91">
        <v>42566</v>
      </c>
      <c r="J21" s="91"/>
      <c r="K21" s="91"/>
      <c r="L21" s="91">
        <v>46037</v>
      </c>
      <c r="M21" s="92">
        <v>3.9199999999999999E-2</v>
      </c>
      <c r="N21" s="93" t="s">
        <v>104</v>
      </c>
      <c r="O21" s="94" t="s">
        <v>47</v>
      </c>
      <c r="Q21" s="28" t="s">
        <v>28</v>
      </c>
      <c r="R21" s="15" t="s">
        <v>82</v>
      </c>
    </row>
    <row r="22" spans="1:18">
      <c r="A22" s="110">
        <f t="shared" si="0"/>
        <v>17</v>
      </c>
      <c r="B22" s="104">
        <v>100</v>
      </c>
      <c r="D22" s="80" t="str">
        <f>_xll.meLWOBondCreate(E22,_xll.meUtilityLVBFromMultipleKeysValues($E$5:$G$5,E22:G22,,$Q$6:$Q$9,$R$6:$R$9),_xll.meUtilityLVBFromMultipleKeysValues($H$5:$O$5,H22:O22,,$Q$16:$Q$24,$R$16:$R$24))</f>
        <v>AUD_DUMMY_BOND16@126:3</v>
      </c>
      <c r="E22" s="77" t="s">
        <v>183</v>
      </c>
      <c r="F22" s="77" t="s">
        <v>223</v>
      </c>
      <c r="G22" s="90" t="b">
        <v>1</v>
      </c>
      <c r="H22" s="91">
        <v>42566</v>
      </c>
      <c r="I22" s="91">
        <v>42566</v>
      </c>
      <c r="J22" s="91"/>
      <c r="K22" s="91"/>
      <c r="L22" s="91">
        <v>46037</v>
      </c>
      <c r="M22" s="92">
        <v>3.9199999999999999E-2</v>
      </c>
      <c r="N22" s="93" t="s">
        <v>104</v>
      </c>
      <c r="O22" s="94" t="s">
        <v>47</v>
      </c>
      <c r="Q22" s="28" t="s">
        <v>29</v>
      </c>
      <c r="R22" s="15" t="s">
        <v>65</v>
      </c>
    </row>
    <row r="23" spans="1:18">
      <c r="A23" s="110">
        <f t="shared" si="0"/>
        <v>18</v>
      </c>
      <c r="B23" s="104">
        <v>100</v>
      </c>
      <c r="D23" s="80" t="str">
        <f>_xll.meLWOBondCreate(E23,_xll.meUtilityLVBFromMultipleKeysValues($E$5:$G$5,E23:G23,,$Q$6:$Q$9,$R$6:$R$9),_xll.meUtilityLVBFromMultipleKeysValues($H$5:$O$5,H23:O23,,$Q$16:$Q$24,$R$16:$R$24))</f>
        <v>AUD_DUMMY_BOND17@136:3</v>
      </c>
      <c r="E23" s="77" t="s">
        <v>184</v>
      </c>
      <c r="F23" s="77" t="s">
        <v>224</v>
      </c>
      <c r="G23" s="90" t="b">
        <v>1</v>
      </c>
      <c r="H23" s="91">
        <v>42566</v>
      </c>
      <c r="I23" s="91">
        <v>42566</v>
      </c>
      <c r="J23" s="91"/>
      <c r="K23" s="91"/>
      <c r="L23" s="91">
        <v>46037</v>
      </c>
      <c r="M23" s="92">
        <v>3.9199999999999999E-2</v>
      </c>
      <c r="N23" s="93" t="s">
        <v>104</v>
      </c>
      <c r="O23" s="94" t="s">
        <v>47</v>
      </c>
      <c r="Q23" s="28" t="s">
        <v>37</v>
      </c>
      <c r="R23" s="15" t="s">
        <v>35</v>
      </c>
    </row>
    <row r="24" spans="1:18">
      <c r="A24" s="110">
        <f t="shared" si="0"/>
        <v>19</v>
      </c>
      <c r="B24" s="104">
        <v>100</v>
      </c>
      <c r="D24" s="80" t="str">
        <f>_xll.meLWOBondCreate(E24,_xll.meUtilityLVBFromMultipleKeysValues($E$5:$G$5,E24:G24,,$Q$6:$Q$9,$R$6:$R$9),_xll.meUtilityLVBFromMultipleKeysValues($H$5:$O$5,H24:O24,,$Q$16:$Q$24,$R$16:$R$24))</f>
        <v>AUD_DUMMY_BOND18@133:3</v>
      </c>
      <c r="E24" s="77" t="s">
        <v>185</v>
      </c>
      <c r="F24" s="77" t="s">
        <v>225</v>
      </c>
      <c r="G24" s="90" t="b">
        <v>1</v>
      </c>
      <c r="H24" s="91">
        <v>42566</v>
      </c>
      <c r="I24" s="91">
        <v>42566</v>
      </c>
      <c r="J24" s="91"/>
      <c r="K24" s="91"/>
      <c r="L24" s="91">
        <v>46037</v>
      </c>
      <c r="M24" s="92">
        <v>3.9199999999999999E-2</v>
      </c>
      <c r="N24" s="93" t="s">
        <v>104</v>
      </c>
      <c r="O24" s="94" t="s">
        <v>47</v>
      </c>
      <c r="Q24" s="28" t="s">
        <v>84</v>
      </c>
      <c r="R24" s="15" t="s">
        <v>266</v>
      </c>
    </row>
    <row r="25" spans="1:18">
      <c r="A25" s="110">
        <f t="shared" si="0"/>
        <v>20</v>
      </c>
      <c r="B25" s="104">
        <v>100</v>
      </c>
      <c r="D25" s="80" t="str">
        <f>_xll.meLWOBondCreate(E25,_xll.meUtilityLVBFromMultipleKeysValues($E$5:$G$5,E25:G25,,$Q$6:$Q$9,$R$6:$R$9),_xll.meUtilityLVBFromMultipleKeysValues($H$5:$O$5,H25:O25,,$Q$16:$Q$24,$R$16:$R$24))</f>
        <v>AUD_DUMMY_BOND19@137:3</v>
      </c>
      <c r="E25" s="77" t="s">
        <v>186</v>
      </c>
      <c r="F25" s="77" t="s">
        <v>226</v>
      </c>
      <c r="G25" s="90" t="b">
        <v>1</v>
      </c>
      <c r="H25" s="91">
        <v>42566</v>
      </c>
      <c r="I25" s="91">
        <v>42566</v>
      </c>
      <c r="J25" s="91"/>
      <c r="K25" s="91"/>
      <c r="L25" s="91">
        <v>46037</v>
      </c>
      <c r="M25" s="92">
        <v>3.9199999999999999E-2</v>
      </c>
      <c r="N25" s="93" t="s">
        <v>104</v>
      </c>
      <c r="O25" s="94" t="s">
        <v>47</v>
      </c>
      <c r="Q25" s="28" t="s">
        <v>53</v>
      </c>
      <c r="R25" s="82"/>
    </row>
    <row r="26" spans="1:18">
      <c r="A26" s="110">
        <f t="shared" si="0"/>
        <v>21</v>
      </c>
      <c r="B26" s="104">
        <v>100</v>
      </c>
      <c r="D26" s="80" t="str">
        <f>_xll.meLWOBondCreate(E26,_xll.meUtilityLVBFromMultipleKeysValues($E$5:$G$5,E26:G26,,$Q$6:$Q$9,$R$6:$R$9),_xll.meUtilityLVBFromMultipleKeysValues($H$5:$O$5,H26:O26,,$Q$16:$Q$24,$R$16:$R$24))</f>
        <v>AUD_DUMMY_BOND20@127:3</v>
      </c>
      <c r="E26" s="77" t="s">
        <v>187</v>
      </c>
      <c r="F26" s="77" t="s">
        <v>227</v>
      </c>
      <c r="G26" s="90" t="b">
        <v>1</v>
      </c>
      <c r="H26" s="91">
        <v>42566</v>
      </c>
      <c r="I26" s="91">
        <v>42566</v>
      </c>
      <c r="J26" s="91"/>
      <c r="K26" s="91"/>
      <c r="L26" s="91">
        <v>46037</v>
      </c>
      <c r="M26" s="92">
        <v>3.9199999999999999E-2</v>
      </c>
      <c r="N26" s="93" t="s">
        <v>104</v>
      </c>
      <c r="O26" s="94" t="s">
        <v>47</v>
      </c>
      <c r="Q26" s="28" t="s">
        <v>139</v>
      </c>
      <c r="R26" s="82"/>
    </row>
    <row r="27" spans="1:18">
      <c r="A27" s="110">
        <f t="shared" si="0"/>
        <v>22</v>
      </c>
      <c r="B27" s="104">
        <v>100</v>
      </c>
      <c r="D27" s="80" t="str">
        <f>_xll.meLWOBondCreate(E27,_xll.meUtilityLVBFromMultipleKeysValues($E$5:$G$5,E27:G27,,$Q$6:$Q$9,$R$6:$R$9),_xll.meUtilityLVBFromMultipleKeysValues($H$5:$O$5,H27:O27,,$Q$16:$Q$24,$R$16:$R$24))</f>
        <v>AUD_DUMMY_BOND21@120:3</v>
      </c>
      <c r="E27" s="77" t="s">
        <v>188</v>
      </c>
      <c r="F27" s="77" t="s">
        <v>228</v>
      </c>
      <c r="G27" s="90" t="b">
        <v>1</v>
      </c>
      <c r="H27" s="91">
        <v>42566</v>
      </c>
      <c r="I27" s="91">
        <v>42566</v>
      </c>
      <c r="J27" s="91"/>
      <c r="K27" s="91"/>
      <c r="L27" s="91">
        <v>46037</v>
      </c>
      <c r="M27" s="92">
        <v>3.9199999999999999E-2</v>
      </c>
      <c r="N27" s="93" t="s">
        <v>104</v>
      </c>
      <c r="O27" s="94" t="s">
        <v>47</v>
      </c>
      <c r="Q27" s="28" t="s">
        <v>90</v>
      </c>
      <c r="R27" s="82"/>
    </row>
    <row r="28" spans="1:18">
      <c r="A28" s="110">
        <f t="shared" si="0"/>
        <v>23</v>
      </c>
      <c r="B28" s="104">
        <v>100</v>
      </c>
      <c r="D28" s="80" t="str">
        <f>_xll.meLWOBondCreate(E28,_xll.meUtilityLVBFromMultipleKeysValues($E$5:$G$5,E28:G28,,$Q$6:$Q$9,$R$6:$R$9),_xll.meUtilityLVBFromMultipleKeysValues($H$5:$O$5,H28:O28,,$Q$16:$Q$24,$R$16:$R$24))</f>
        <v>AUD_DUMMY_BOND22@93:3</v>
      </c>
      <c r="E28" s="77" t="s">
        <v>189</v>
      </c>
      <c r="F28" s="77" t="s">
        <v>229</v>
      </c>
      <c r="G28" s="90" t="b">
        <v>1</v>
      </c>
      <c r="H28" s="91">
        <v>42566</v>
      </c>
      <c r="I28" s="91">
        <v>42566</v>
      </c>
      <c r="J28" s="91"/>
      <c r="K28" s="91"/>
      <c r="L28" s="91">
        <v>46037</v>
      </c>
      <c r="M28" s="92">
        <v>3.9199999999999999E-2</v>
      </c>
      <c r="N28" s="93" t="s">
        <v>104</v>
      </c>
      <c r="O28" s="94" t="s">
        <v>47</v>
      </c>
      <c r="Q28" s="28" t="s">
        <v>91</v>
      </c>
      <c r="R28" s="82"/>
    </row>
    <row r="29" spans="1:18">
      <c r="A29" s="110">
        <f t="shared" si="0"/>
        <v>24</v>
      </c>
      <c r="B29" s="104">
        <v>100</v>
      </c>
      <c r="D29" s="80" t="str">
        <f>_xll.meLWOBondCreate(E29,_xll.meUtilityLVBFromMultipleKeysValues($E$5:$G$5,E29:G29,,$Q$6:$Q$9,$R$6:$R$9),_xll.meUtilityLVBFromMultipleKeysValues($H$5:$O$5,H29:O29,,$Q$16:$Q$24,$R$16:$R$24))</f>
        <v>AUD_DUMMY_BOND23@142:3</v>
      </c>
      <c r="E29" s="77" t="s">
        <v>190</v>
      </c>
      <c r="F29" s="77" t="s">
        <v>230</v>
      </c>
      <c r="G29" s="90" t="b">
        <v>1</v>
      </c>
      <c r="H29" s="91">
        <v>42566</v>
      </c>
      <c r="I29" s="91">
        <v>42566</v>
      </c>
      <c r="J29" s="91"/>
      <c r="K29" s="91"/>
      <c r="L29" s="91">
        <v>46037</v>
      </c>
      <c r="M29" s="92">
        <v>3.9199999999999999E-2</v>
      </c>
      <c r="N29" s="93" t="s">
        <v>104</v>
      </c>
      <c r="O29" s="94" t="s">
        <v>47</v>
      </c>
      <c r="Q29" s="28" t="s">
        <v>20</v>
      </c>
      <c r="R29" s="82"/>
    </row>
    <row r="30" spans="1:18">
      <c r="A30" s="110">
        <f t="shared" si="0"/>
        <v>25</v>
      </c>
      <c r="B30" s="104">
        <v>100</v>
      </c>
      <c r="D30" s="80" t="str">
        <f>_xll.meLWOBondCreate(E30,_xll.meUtilityLVBFromMultipleKeysValues($E$5:$G$5,E30:G30,,$Q$6:$Q$9,$R$6:$R$9),_xll.meUtilityLVBFromMultipleKeysValues($H$5:$O$5,H30:O30,,$Q$16:$Q$24,$R$16:$R$24))</f>
        <v>AUD_DUMMY_BOND24@113:3</v>
      </c>
      <c r="E30" s="77" t="s">
        <v>191</v>
      </c>
      <c r="F30" s="77" t="s">
        <v>231</v>
      </c>
      <c r="G30" s="90" t="b">
        <v>1</v>
      </c>
      <c r="H30" s="91">
        <v>42566</v>
      </c>
      <c r="I30" s="91">
        <v>42566</v>
      </c>
      <c r="J30" s="91"/>
      <c r="K30" s="91"/>
      <c r="L30" s="91">
        <v>46037</v>
      </c>
      <c r="M30" s="92">
        <v>3.9199999999999999E-2</v>
      </c>
      <c r="N30" s="93" t="s">
        <v>104</v>
      </c>
      <c r="O30" s="94" t="s">
        <v>47</v>
      </c>
      <c r="Q30" s="28" t="s">
        <v>69</v>
      </c>
      <c r="R30" s="83"/>
    </row>
    <row r="31" spans="1:18">
      <c r="A31" s="110">
        <f t="shared" si="0"/>
        <v>26</v>
      </c>
      <c r="B31" s="104">
        <v>100</v>
      </c>
      <c r="D31" s="80" t="str">
        <f>_xll.meLWOBondCreate(E31,_xll.meUtilityLVBFromMultipleKeysValues($E$5:$G$5,E31:G31,,$Q$6:$Q$9,$R$6:$R$9),_xll.meUtilityLVBFromMultipleKeysValues($H$5:$O$5,H31:O31,,$Q$16:$Q$24,$R$16:$R$24))</f>
        <v>AUD_DUMMY_BOND25@106:3</v>
      </c>
      <c r="E31" s="77" t="s">
        <v>192</v>
      </c>
      <c r="F31" s="77" t="s">
        <v>232</v>
      </c>
      <c r="G31" s="90" t="b">
        <v>1</v>
      </c>
      <c r="H31" s="91">
        <v>42566</v>
      </c>
      <c r="I31" s="91">
        <v>42566</v>
      </c>
      <c r="J31" s="91"/>
      <c r="K31" s="91"/>
      <c r="L31" s="91">
        <v>46037</v>
      </c>
      <c r="M31" s="92">
        <v>3.9199999999999999E-2</v>
      </c>
      <c r="N31" s="93" t="s">
        <v>104</v>
      </c>
      <c r="O31" s="94" t="s">
        <v>47</v>
      </c>
      <c r="Q31" s="28" t="s">
        <v>83</v>
      </c>
      <c r="R31" s="83"/>
    </row>
    <row r="32" spans="1:18">
      <c r="A32" s="110">
        <f t="shared" si="0"/>
        <v>27</v>
      </c>
      <c r="B32" s="105">
        <v>100</v>
      </c>
      <c r="D32" s="81" t="str">
        <f>_xll.meLWOBondCreate(E32,_xll.meUtilityLVBFromMultipleKeysValues($E$5:$G$5,E32:G32,,$Q$6:$Q$9,$R$6:$R$9),_xll.meUtilityLVBFromMultipleKeysValues($H$5:$O$5,H32:O32,,$Q$16:$Q$24,$R$16:$R$24))</f>
        <v>AUD_DUMMY_BOND26@143:3</v>
      </c>
      <c r="E32" s="78" t="s">
        <v>193</v>
      </c>
      <c r="F32" s="78" t="s">
        <v>233</v>
      </c>
      <c r="G32" s="95" t="b">
        <v>1</v>
      </c>
      <c r="H32" s="96">
        <v>42566</v>
      </c>
      <c r="I32" s="96">
        <v>42566</v>
      </c>
      <c r="J32" s="96"/>
      <c r="K32" s="96"/>
      <c r="L32" s="96">
        <v>46037</v>
      </c>
      <c r="M32" s="97">
        <v>3.9199999999999999E-2</v>
      </c>
      <c r="N32" s="98" t="s">
        <v>104</v>
      </c>
      <c r="O32" s="99" t="s">
        <v>47</v>
      </c>
      <c r="Q32" s="29" t="s">
        <v>21</v>
      </c>
      <c r="R32" s="8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54"/>
  <sheetViews>
    <sheetView showGridLines="0" workbookViewId="0"/>
  </sheetViews>
  <sheetFormatPr defaultRowHeight="15"/>
  <cols>
    <col min="1" max="1" width="9.140625" style="37"/>
    <col min="2" max="2" width="27.85546875" style="37" bestFit="1" customWidth="1"/>
    <col min="3" max="4" width="18.7109375" style="37" customWidth="1"/>
    <col min="5" max="5" width="9.140625" style="37"/>
    <col min="6" max="6" width="30.7109375" style="37" customWidth="1"/>
    <col min="7" max="8" width="18.7109375" style="37" customWidth="1"/>
    <col min="9" max="9" width="9.140625" style="37"/>
    <col min="10" max="10" width="30.7109375" style="37" customWidth="1"/>
    <col min="11" max="12" width="18.7109375" style="37" customWidth="1"/>
    <col min="13" max="13" width="9.140625" style="37"/>
    <col min="14" max="14" width="30.7109375" style="37" customWidth="1"/>
    <col min="15" max="16" width="18.7109375" style="37" customWidth="1"/>
    <col min="17" max="16384" width="9.140625" style="37"/>
  </cols>
  <sheetData>
    <row r="2" spans="2:19">
      <c r="B2" s="48" t="s">
        <v>112</v>
      </c>
      <c r="K2" s="55" t="str">
        <f ca="1">_xll.meLWOXccySwapCreate(J11,J12:L45,J49:K51)</f>
        <v>USD_AUD_XCCY_SWAP@203:5</v>
      </c>
      <c r="L2" s="38"/>
    </row>
    <row r="3" spans="2:19" ht="15" customHeight="1">
      <c r="B3" s="265">
        <f ca="1">O8</f>
        <v>101.03511646515895</v>
      </c>
      <c r="C3" s="266"/>
      <c r="F3" s="51" t="s">
        <v>115</v>
      </c>
      <c r="G3" s="55" t="str">
        <f ca="1">_xll.meLWOSwapCreate(F11,F12:H45,FALSE)</f>
        <v>USD_ASSET_SWAP@173:5</v>
      </c>
      <c r="H3" s="40"/>
      <c r="I3" s="40"/>
      <c r="J3" s="51" t="s">
        <v>51</v>
      </c>
      <c r="K3" s="245" t="s">
        <v>97</v>
      </c>
      <c r="L3" s="30" t="s">
        <v>0</v>
      </c>
      <c r="M3" s="38"/>
      <c r="N3" s="51" t="s">
        <v>115</v>
      </c>
      <c r="O3" s="55" t="str">
        <f ca="1">_xll.meLWOSwapCreate(N11,N12:P45,FALSE)</f>
        <v>AUD_ASSET_SWAP@232:5</v>
      </c>
      <c r="P3" s="38"/>
    </row>
    <row r="4" spans="2:19" ht="15" customHeight="1">
      <c r="B4" s="267"/>
      <c r="C4" s="268"/>
      <c r="H4" s="40"/>
      <c r="I4" s="40"/>
      <c r="J4" s="41"/>
      <c r="K4" s="246" t="s">
        <v>67</v>
      </c>
      <c r="L4" s="31" t="s">
        <v>52</v>
      </c>
      <c r="M4" s="38"/>
      <c r="N4" s="241" t="s">
        <v>269</v>
      </c>
      <c r="O4" s="242">
        <f ca="1">_xll.meDateFromTenor(TODAY(),"2D","MOD_FOLLOWING","SYB")</f>
        <v>44067</v>
      </c>
      <c r="P4" s="37" t="s">
        <v>271</v>
      </c>
      <c r="Q4" s="38"/>
      <c r="R4" s="38"/>
      <c r="S4" s="38"/>
    </row>
    <row r="5" spans="2:19">
      <c r="F5" s="241" t="s">
        <v>269</v>
      </c>
      <c r="G5" s="251">
        <f ca="1">_xll.meDateFromTenor(TODAY(),"2D","MOD_FOLLOWING","SYB")</f>
        <v>44067</v>
      </c>
      <c r="H5" s="40"/>
      <c r="I5" s="40"/>
      <c r="J5" s="38"/>
      <c r="K5" s="246" t="s">
        <v>268</v>
      </c>
      <c r="L5" s="140">
        <v>0.71870000000000001</v>
      </c>
      <c r="M5" s="38"/>
      <c r="N5" s="243" t="s">
        <v>54</v>
      </c>
      <c r="O5" s="244" t="s">
        <v>52</v>
      </c>
      <c r="Q5" s="38"/>
      <c r="R5" s="38"/>
      <c r="S5" s="38"/>
    </row>
    <row r="6" spans="2:19">
      <c r="B6" s="26" t="s">
        <v>270</v>
      </c>
      <c r="F6" s="243" t="s">
        <v>54</v>
      </c>
      <c r="G6" s="252" t="s">
        <v>0</v>
      </c>
      <c r="H6" s="40"/>
      <c r="I6" s="40"/>
      <c r="J6" s="38"/>
      <c r="K6" s="247" t="s">
        <v>269</v>
      </c>
      <c r="L6" s="250">
        <f ca="1">G5</f>
        <v>44067</v>
      </c>
      <c r="M6" s="38"/>
      <c r="N6" s="37" t="s">
        <v>276</v>
      </c>
      <c r="O6" s="106">
        <v>0.71870000000000001</v>
      </c>
      <c r="Q6" s="38"/>
      <c r="R6" s="38"/>
      <c r="S6" s="38"/>
    </row>
    <row r="7" spans="2:19">
      <c r="D7" s="37" t="s">
        <v>271</v>
      </c>
      <c r="G7" s="106"/>
      <c r="Q7" s="38"/>
      <c r="R7" s="38"/>
      <c r="S7" s="38"/>
    </row>
    <row r="8" spans="2:19">
      <c r="F8" s="41" t="s">
        <v>126</v>
      </c>
      <c r="G8" s="65">
        <f ca="1">_xll.meLWOAssetSwapSpread(G3,'USD-BONDS'!$D$6,C13,F5:G6)</f>
        <v>370.97754321098603</v>
      </c>
      <c r="J8" s="26" t="s">
        <v>116</v>
      </c>
      <c r="K8" s="65">
        <f ca="1">_xll.meLWOXccySwapParSpread(K2,K3:L6,,L12)</f>
        <v>330.93585513782392</v>
      </c>
      <c r="N8" s="26" t="s">
        <v>125</v>
      </c>
      <c r="O8" s="65">
        <f ca="1">_xll.meLWOAssetSwapSpreadToCleanPrice(O3,K8,N4:O5)</f>
        <v>101.03511646515895</v>
      </c>
    </row>
    <row r="9" spans="2:19">
      <c r="F9" s="254"/>
      <c r="G9" s="255"/>
      <c r="H9" s="254"/>
      <c r="I9" s="254"/>
      <c r="J9" s="254"/>
      <c r="K9" s="255"/>
      <c r="L9" s="254"/>
      <c r="M9" s="254"/>
      <c r="N9" s="254"/>
      <c r="O9" s="255"/>
      <c r="P9" s="254"/>
    </row>
    <row r="10" spans="2:19">
      <c r="F10" s="254"/>
      <c r="G10" s="253"/>
      <c r="H10" s="253"/>
      <c r="I10" s="254"/>
      <c r="J10" s="258" t="s">
        <v>275</v>
      </c>
      <c r="K10" s="253"/>
      <c r="L10" s="253"/>
      <c r="M10" s="254"/>
      <c r="N10" s="254"/>
      <c r="O10" s="253"/>
      <c r="P10" s="253"/>
    </row>
    <row r="11" spans="2:19">
      <c r="B11" s="26" t="s">
        <v>129</v>
      </c>
      <c r="C11" s="25" t="s">
        <v>106</v>
      </c>
      <c r="D11" s="25" t="s">
        <v>107</v>
      </c>
      <c r="F11" s="51" t="s">
        <v>110</v>
      </c>
      <c r="G11" s="25" t="s">
        <v>117</v>
      </c>
      <c r="H11" s="25" t="s">
        <v>98</v>
      </c>
      <c r="J11" s="26" t="s">
        <v>114</v>
      </c>
      <c r="K11" s="25" t="s">
        <v>118</v>
      </c>
      <c r="L11" s="25" t="s">
        <v>119</v>
      </c>
      <c r="N11" s="26" t="s">
        <v>120</v>
      </c>
      <c r="O11" s="25"/>
      <c r="P11" s="25"/>
    </row>
    <row r="12" spans="2:19">
      <c r="B12" s="2" t="s">
        <v>87</v>
      </c>
      <c r="C12" s="63" t="s">
        <v>121</v>
      </c>
      <c r="D12" s="63" t="s">
        <v>122</v>
      </c>
      <c r="F12" s="27" t="s">
        <v>1</v>
      </c>
      <c r="G12" s="30" t="s">
        <v>263</v>
      </c>
      <c r="H12" s="30" t="s">
        <v>67</v>
      </c>
      <c r="J12" s="27" t="s">
        <v>1</v>
      </c>
      <c r="K12" s="30" t="s">
        <v>97</v>
      </c>
      <c r="L12" s="30" t="s">
        <v>67</v>
      </c>
      <c r="N12" s="27" t="s">
        <v>1</v>
      </c>
      <c r="O12" s="30" t="s">
        <v>263</v>
      </c>
      <c r="P12" s="30" t="s">
        <v>67</v>
      </c>
    </row>
    <row r="13" spans="2:19">
      <c r="B13" s="3" t="s">
        <v>111</v>
      </c>
      <c r="C13" s="62">
        <f ca="1">'USD-BONDS'!B6</f>
        <v>96.021000000000001</v>
      </c>
      <c r="D13" s="64">
        <f ca="1">O8</f>
        <v>101.03511646515895</v>
      </c>
      <c r="F13" s="28" t="s">
        <v>2</v>
      </c>
      <c r="G13" s="35">
        <v>1000000</v>
      </c>
      <c r="H13" s="35">
        <v>1000000</v>
      </c>
      <c r="J13" s="28" t="s">
        <v>2</v>
      </c>
      <c r="K13" s="35">
        <v>1000000</v>
      </c>
      <c r="L13" s="35">
        <f>K13/L5</f>
        <v>1391401.1409489356</v>
      </c>
      <c r="N13" s="28" t="s">
        <v>2</v>
      </c>
      <c r="O13" s="35">
        <v>1000000</v>
      </c>
      <c r="P13" s="35">
        <v>1000000</v>
      </c>
    </row>
    <row r="14" spans="2:19">
      <c r="B14" s="43" t="s">
        <v>2</v>
      </c>
      <c r="C14" s="46">
        <v>1000000</v>
      </c>
      <c r="D14" s="46">
        <v>1000000</v>
      </c>
      <c r="F14" s="28" t="s">
        <v>3</v>
      </c>
      <c r="G14" s="31" t="s">
        <v>44</v>
      </c>
      <c r="H14" s="31" t="s">
        <v>44</v>
      </c>
      <c r="J14" s="28" t="s">
        <v>3</v>
      </c>
      <c r="K14" s="260" t="s">
        <v>71</v>
      </c>
      <c r="L14" s="260" t="s">
        <v>71</v>
      </c>
      <c r="N14" s="28" t="s">
        <v>3</v>
      </c>
      <c r="O14" s="31" t="s">
        <v>44</v>
      </c>
      <c r="P14" s="31" t="s">
        <v>44</v>
      </c>
    </row>
    <row r="15" spans="2:19">
      <c r="B15" s="43" t="s">
        <v>4</v>
      </c>
      <c r="C15" s="6" t="s">
        <v>5</v>
      </c>
      <c r="D15" s="6" t="s">
        <v>5</v>
      </c>
      <c r="F15" s="28" t="s">
        <v>4</v>
      </c>
      <c r="G15" s="31" t="s">
        <v>96</v>
      </c>
      <c r="H15" s="31" t="s">
        <v>99</v>
      </c>
      <c r="J15" s="28" t="s">
        <v>4</v>
      </c>
      <c r="K15" s="31" t="s">
        <v>96</v>
      </c>
      <c r="L15" s="31" t="s">
        <v>99</v>
      </c>
      <c r="N15" s="28" t="s">
        <v>4</v>
      </c>
      <c r="O15" s="31" t="str">
        <f>K15</f>
        <v>PAY</v>
      </c>
      <c r="P15" s="31" t="s">
        <v>99</v>
      </c>
    </row>
    <row r="16" spans="2:19">
      <c r="B16" s="43" t="s">
        <v>53</v>
      </c>
      <c r="C16" s="12">
        <f>'USD-BONDS'!$H$6</f>
        <v>42089</v>
      </c>
      <c r="D16" s="12">
        <f>'AUD-BONDS'!$H$6</f>
        <v>42566</v>
      </c>
      <c r="F16" s="28" t="s">
        <v>6</v>
      </c>
      <c r="G16" s="31"/>
      <c r="H16" s="66" t="s">
        <v>102</v>
      </c>
      <c r="J16" s="28" t="s">
        <v>6</v>
      </c>
      <c r="K16" s="66" t="s">
        <v>102</v>
      </c>
      <c r="L16" s="66" t="s">
        <v>66</v>
      </c>
      <c r="N16" s="28" t="s">
        <v>6</v>
      </c>
      <c r="O16" s="66"/>
      <c r="P16" s="66" t="s">
        <v>66</v>
      </c>
    </row>
    <row r="17" spans="2:17">
      <c r="B17" s="43" t="s">
        <v>19</v>
      </c>
      <c r="C17" s="12">
        <f ca="1">_xll.meDateFromTenor(Settings.COB,"2D","MOD_FOLLOWING","NYB")</f>
        <v>44067</v>
      </c>
      <c r="D17" s="12">
        <f ca="1">_xll.meDateFromTenor(Settings.COB,"2D","MOD_FOLLOWING","SYB")</f>
        <v>44067</v>
      </c>
      <c r="F17" s="28" t="s">
        <v>7</v>
      </c>
      <c r="G17" s="34" t="s">
        <v>46</v>
      </c>
      <c r="H17" s="34" t="s">
        <v>46</v>
      </c>
      <c r="J17" s="28" t="s">
        <v>7</v>
      </c>
      <c r="K17" s="34" t="s">
        <v>46</v>
      </c>
      <c r="L17" s="34" t="s">
        <v>105</v>
      </c>
      <c r="N17" s="28" t="s">
        <v>7</v>
      </c>
      <c r="O17" s="34" t="s">
        <v>50</v>
      </c>
      <c r="P17" s="34" t="s">
        <v>50</v>
      </c>
    </row>
    <row r="18" spans="2:17">
      <c r="B18" s="43" t="s">
        <v>91</v>
      </c>
      <c r="C18" s="12">
        <f ca="1">_xll.meLWOBondLastCouponDate('USD-BONDS'!D6,Settings.COB)</f>
        <v>43916</v>
      </c>
      <c r="D18" s="12">
        <f ca="1">_xll.meLWOBondLastCouponDate('AUD-BONDS'!D6,Settings.COB)</f>
        <v>44027</v>
      </c>
      <c r="E18" s="71"/>
      <c r="F18" s="28" t="s">
        <v>8</v>
      </c>
      <c r="G18" s="34" t="s">
        <v>9</v>
      </c>
      <c r="H18" s="34" t="s">
        <v>9</v>
      </c>
      <c r="J18" s="28" t="s">
        <v>8</v>
      </c>
      <c r="K18" s="34" t="s">
        <v>9</v>
      </c>
      <c r="L18" s="34" t="s">
        <v>45</v>
      </c>
      <c r="N18" s="28" t="s">
        <v>8</v>
      </c>
      <c r="O18" s="34" t="s">
        <v>45</v>
      </c>
      <c r="P18" s="34" t="s">
        <v>45</v>
      </c>
    </row>
    <row r="19" spans="2:17">
      <c r="B19" s="43" t="s">
        <v>20</v>
      </c>
      <c r="C19" s="12">
        <f>'USD-BONDS'!$L$6</f>
        <v>45742</v>
      </c>
      <c r="D19" s="12">
        <f>'AUD-BONDS'!$L$6</f>
        <v>46037</v>
      </c>
      <c r="F19" s="28" t="s">
        <v>10</v>
      </c>
      <c r="G19" s="33">
        <v>1</v>
      </c>
      <c r="H19" s="33">
        <v>1</v>
      </c>
      <c r="J19" s="28" t="s">
        <v>10</v>
      </c>
      <c r="K19" s="57">
        <v>1</v>
      </c>
      <c r="L19" s="57">
        <v>1</v>
      </c>
      <c r="N19" s="28" t="s">
        <v>10</v>
      </c>
      <c r="O19" s="57">
        <f>L19</f>
        <v>1</v>
      </c>
      <c r="P19" s="57">
        <v>1</v>
      </c>
    </row>
    <row r="20" spans="2:17">
      <c r="B20" s="43" t="s">
        <v>54</v>
      </c>
      <c r="C20" s="4" t="s">
        <v>0</v>
      </c>
      <c r="D20" s="4" t="s">
        <v>52</v>
      </c>
      <c r="F20" s="28" t="s">
        <v>11</v>
      </c>
      <c r="G20" s="56">
        <v>3.2000000000000001E-2</v>
      </c>
      <c r="H20" s="36"/>
      <c r="J20" s="28" t="s">
        <v>11</v>
      </c>
      <c r="K20" s="36"/>
      <c r="L20" s="36"/>
      <c r="N20" s="28" t="s">
        <v>11</v>
      </c>
      <c r="O20" s="56">
        <f>D25</f>
        <v>3.9199999999999999E-2</v>
      </c>
      <c r="P20" s="36"/>
    </row>
    <row r="21" spans="2:17">
      <c r="B21" s="43" t="s">
        <v>6</v>
      </c>
      <c r="C21" s="9" t="s">
        <v>102</v>
      </c>
      <c r="D21" s="9" t="s">
        <v>48</v>
      </c>
      <c r="F21" s="28" t="s">
        <v>13</v>
      </c>
      <c r="G21" s="31"/>
      <c r="H21" s="31" t="s">
        <v>14</v>
      </c>
      <c r="J21" s="28" t="s">
        <v>13</v>
      </c>
      <c r="K21" s="31" t="s">
        <v>14</v>
      </c>
      <c r="L21" s="31" t="s">
        <v>14</v>
      </c>
      <c r="N21" s="28" t="s">
        <v>13</v>
      </c>
      <c r="O21" s="31"/>
      <c r="P21" s="31" t="s">
        <v>14</v>
      </c>
    </row>
    <row r="22" spans="2:17">
      <c r="B22" s="43" t="s">
        <v>7</v>
      </c>
      <c r="C22" s="9" t="s">
        <v>46</v>
      </c>
      <c r="D22" s="9" t="s">
        <v>50</v>
      </c>
      <c r="F22" s="28" t="s">
        <v>15</v>
      </c>
      <c r="G22" s="31"/>
      <c r="H22" s="31" t="s">
        <v>14</v>
      </c>
      <c r="J22" s="28" t="s">
        <v>15</v>
      </c>
      <c r="K22" s="59" t="s">
        <v>14</v>
      </c>
      <c r="L22" s="31" t="s">
        <v>14</v>
      </c>
      <c r="N22" s="28" t="s">
        <v>15</v>
      </c>
      <c r="O22" s="31"/>
      <c r="P22" s="31" t="s">
        <v>14</v>
      </c>
    </row>
    <row r="23" spans="2:17">
      <c r="B23" s="43" t="s">
        <v>55</v>
      </c>
      <c r="C23" s="10" t="b">
        <v>1</v>
      </c>
      <c r="D23" s="10" t="b">
        <v>1</v>
      </c>
      <c r="F23" s="28" t="s">
        <v>16</v>
      </c>
      <c r="G23" s="22"/>
      <c r="H23" s="239">
        <f>SETTINGS!F6</f>
        <v>1.2955599999999999E-2</v>
      </c>
      <c r="J23" s="28" t="s">
        <v>16</v>
      </c>
      <c r="K23" s="239">
        <f>SETTINGS!F6</f>
        <v>1.2955599999999999E-2</v>
      </c>
      <c r="L23" s="239">
        <f>SETTINGS!I6</f>
        <v>1.7100000000000001E-2</v>
      </c>
      <c r="N23" s="28" t="s">
        <v>16</v>
      </c>
      <c r="O23" s="39"/>
      <c r="P23" s="239">
        <f>SETTINGS!I6</f>
        <v>1.7100000000000001E-2</v>
      </c>
    </row>
    <row r="24" spans="2:17">
      <c r="B24" s="43" t="s">
        <v>56</v>
      </c>
      <c r="C24" s="47" t="s">
        <v>47</v>
      </c>
      <c r="D24" s="47" t="s">
        <v>47</v>
      </c>
      <c r="F24" s="28" t="s">
        <v>17</v>
      </c>
      <c r="G24" s="31" t="s">
        <v>12</v>
      </c>
      <c r="H24" s="31" t="s">
        <v>12</v>
      </c>
      <c r="J24" s="28" t="s">
        <v>17</v>
      </c>
      <c r="K24" s="59" t="s">
        <v>12</v>
      </c>
      <c r="L24" s="31" t="s">
        <v>12</v>
      </c>
      <c r="N24" s="28" t="s">
        <v>17</v>
      </c>
      <c r="O24" s="31" t="s">
        <v>12</v>
      </c>
      <c r="P24" s="31" t="s">
        <v>12</v>
      </c>
    </row>
    <row r="25" spans="2:17">
      <c r="B25" s="43" t="s">
        <v>11</v>
      </c>
      <c r="C25" s="238">
        <f>'USD-BONDS'!$M$6</f>
        <v>3.2000000000000001E-2</v>
      </c>
      <c r="D25" s="238">
        <f>'AUD-BONDS'!$M$6</f>
        <v>3.9199999999999999E-2</v>
      </c>
      <c r="F25" s="28" t="s">
        <v>18</v>
      </c>
      <c r="G25" s="23">
        <v>0</v>
      </c>
      <c r="H25" s="23">
        <v>0</v>
      </c>
      <c r="J25" s="28" t="s">
        <v>18</v>
      </c>
      <c r="K25" s="60">
        <f ca="1">G8</f>
        <v>370.97754321098603</v>
      </c>
      <c r="L25" s="23">
        <v>0</v>
      </c>
      <c r="N25" s="28" t="s">
        <v>18</v>
      </c>
      <c r="O25" s="23"/>
      <c r="P25" s="60">
        <f ca="1">K8</f>
        <v>330.93585513782392</v>
      </c>
    </row>
    <row r="26" spans="2:17">
      <c r="B26" s="43" t="s">
        <v>57</v>
      </c>
      <c r="C26" s="6" t="s">
        <v>104</v>
      </c>
      <c r="D26" s="6" t="s">
        <v>104</v>
      </c>
      <c r="F26" s="28" t="s">
        <v>19</v>
      </c>
      <c r="G26" s="50">
        <f ca="1">C18</f>
        <v>43916</v>
      </c>
      <c r="H26" s="259">
        <f ca="1">C17</f>
        <v>44067</v>
      </c>
      <c r="J26" s="28" t="s">
        <v>19</v>
      </c>
      <c r="K26" s="259">
        <f ca="1">H26</f>
        <v>44067</v>
      </c>
      <c r="L26" s="259">
        <f ca="1">P26</f>
        <v>44067</v>
      </c>
      <c r="M26" s="71" t="s">
        <v>123</v>
      </c>
      <c r="N26" s="28" t="s">
        <v>19</v>
      </c>
      <c r="O26" s="50">
        <f ca="1">D18</f>
        <v>44027</v>
      </c>
      <c r="P26" s="259">
        <f ca="1">D17</f>
        <v>44067</v>
      </c>
      <c r="Q26" s="71" t="s">
        <v>123</v>
      </c>
    </row>
    <row r="27" spans="2:17">
      <c r="B27" s="44" t="s">
        <v>58</v>
      </c>
      <c r="C27" s="6" t="s">
        <v>82</v>
      </c>
      <c r="D27" s="6" t="s">
        <v>24</v>
      </c>
      <c r="F27" s="28" t="s">
        <v>20</v>
      </c>
      <c r="G27" s="50">
        <f>$C$19</f>
        <v>45742</v>
      </c>
      <c r="H27" s="50">
        <f>$C$19</f>
        <v>45742</v>
      </c>
      <c r="J27" s="28" t="s">
        <v>20</v>
      </c>
      <c r="K27" s="50">
        <f>$C$19</f>
        <v>45742</v>
      </c>
      <c r="L27" s="50">
        <f>$D$19</f>
        <v>46037</v>
      </c>
      <c r="N27" s="28" t="s">
        <v>20</v>
      </c>
      <c r="O27" s="50">
        <f>$D$19</f>
        <v>46037</v>
      </c>
      <c r="P27" s="50">
        <f>$D$19</f>
        <v>46037</v>
      </c>
    </row>
    <row r="28" spans="2:17">
      <c r="B28" s="44" t="s">
        <v>59</v>
      </c>
      <c r="C28" s="11" t="s">
        <v>68</v>
      </c>
      <c r="D28" s="11" t="s">
        <v>65</v>
      </c>
      <c r="F28" s="28" t="s">
        <v>21</v>
      </c>
      <c r="G28" s="31" t="s">
        <v>47</v>
      </c>
      <c r="H28" s="31" t="s">
        <v>100</v>
      </c>
      <c r="J28" s="28" t="s">
        <v>21</v>
      </c>
      <c r="K28" s="31" t="s">
        <v>100</v>
      </c>
      <c r="L28" s="31" t="s">
        <v>100</v>
      </c>
      <c r="N28" s="28" t="s">
        <v>21</v>
      </c>
      <c r="O28" s="31" t="s">
        <v>47</v>
      </c>
      <c r="P28" s="31" t="s">
        <v>100</v>
      </c>
    </row>
    <row r="29" spans="2:17">
      <c r="B29" s="43" t="s">
        <v>60</v>
      </c>
      <c r="C29" s="5"/>
      <c r="D29" s="5"/>
      <c r="F29" s="28" t="s">
        <v>22</v>
      </c>
      <c r="G29" s="31" t="s">
        <v>104</v>
      </c>
      <c r="H29" s="31" t="s">
        <v>101</v>
      </c>
      <c r="J29" s="28" t="s">
        <v>22</v>
      </c>
      <c r="K29" s="31" t="s">
        <v>101</v>
      </c>
      <c r="L29" s="31" t="s">
        <v>103</v>
      </c>
      <c r="N29" s="28" t="s">
        <v>22</v>
      </c>
      <c r="O29" s="31" t="s">
        <v>104</v>
      </c>
      <c r="P29" s="31" t="s">
        <v>103</v>
      </c>
    </row>
    <row r="30" spans="2:17">
      <c r="B30" s="43" t="s">
        <v>61</v>
      </c>
      <c r="C30" s="5"/>
      <c r="D30" s="5"/>
      <c r="F30" s="28" t="s">
        <v>23</v>
      </c>
      <c r="G30" s="24" t="s">
        <v>82</v>
      </c>
      <c r="H30" s="24" t="s">
        <v>82</v>
      </c>
      <c r="J30" s="28" t="s">
        <v>23</v>
      </c>
      <c r="K30" s="24" t="s">
        <v>82</v>
      </c>
      <c r="L30" s="24" t="s">
        <v>82</v>
      </c>
      <c r="N30" s="28" t="s">
        <v>23</v>
      </c>
      <c r="O30" s="24" t="s">
        <v>82</v>
      </c>
      <c r="P30" s="24" t="s">
        <v>82</v>
      </c>
    </row>
    <row r="31" spans="2:17">
      <c r="B31" s="43" t="s">
        <v>62</v>
      </c>
      <c r="C31" s="6" t="s">
        <v>33</v>
      </c>
      <c r="D31" s="6" t="s">
        <v>33</v>
      </c>
      <c r="F31" s="28" t="s">
        <v>25</v>
      </c>
      <c r="G31" s="31" t="s">
        <v>68</v>
      </c>
      <c r="H31" s="31" t="s">
        <v>68</v>
      </c>
      <c r="J31" s="28" t="s">
        <v>25</v>
      </c>
      <c r="K31" s="31" t="s">
        <v>68</v>
      </c>
      <c r="L31" s="31" t="s">
        <v>65</v>
      </c>
      <c r="N31" s="28" t="s">
        <v>25</v>
      </c>
      <c r="O31" s="31" t="s">
        <v>65</v>
      </c>
      <c r="P31" s="31" t="s">
        <v>65</v>
      </c>
    </row>
    <row r="32" spans="2:17">
      <c r="B32" s="43" t="s">
        <v>63</v>
      </c>
      <c r="C32" s="7" t="s">
        <v>39</v>
      </c>
      <c r="D32" s="7" t="s">
        <v>39</v>
      </c>
      <c r="F32" s="28" t="s">
        <v>26</v>
      </c>
      <c r="G32" s="24" t="s">
        <v>82</v>
      </c>
      <c r="H32" s="24" t="s">
        <v>82</v>
      </c>
      <c r="J32" s="28" t="s">
        <v>26</v>
      </c>
      <c r="K32" s="24" t="s">
        <v>82</v>
      </c>
      <c r="L32" s="24" t="s">
        <v>82</v>
      </c>
      <c r="N32" s="28" t="s">
        <v>26</v>
      </c>
      <c r="O32" s="24" t="s">
        <v>82</v>
      </c>
      <c r="P32" s="24" t="s">
        <v>82</v>
      </c>
    </row>
    <row r="33" spans="2:16">
      <c r="B33" s="45" t="s">
        <v>64</v>
      </c>
      <c r="C33" s="8" t="s">
        <v>35</v>
      </c>
      <c r="D33" s="8" t="s">
        <v>35</v>
      </c>
      <c r="F33" s="28" t="s">
        <v>27</v>
      </c>
      <c r="G33" s="31" t="s">
        <v>68</v>
      </c>
      <c r="H33" s="31" t="s">
        <v>68</v>
      </c>
      <c r="J33" s="28" t="s">
        <v>27</v>
      </c>
      <c r="K33" s="31" t="s">
        <v>68</v>
      </c>
      <c r="L33" s="31" t="s">
        <v>65</v>
      </c>
      <c r="N33" s="28" t="s">
        <v>27</v>
      </c>
      <c r="O33" s="31" t="s">
        <v>65</v>
      </c>
      <c r="P33" s="31" t="s">
        <v>65</v>
      </c>
    </row>
    <row r="34" spans="2:16">
      <c r="B34" s="71"/>
      <c r="F34" s="28" t="s">
        <v>28</v>
      </c>
      <c r="G34" s="24" t="s">
        <v>82</v>
      </c>
      <c r="H34" s="24" t="s">
        <v>82</v>
      </c>
      <c r="J34" s="28" t="s">
        <v>28</v>
      </c>
      <c r="K34" s="24" t="s">
        <v>82</v>
      </c>
      <c r="L34" s="24" t="s">
        <v>82</v>
      </c>
      <c r="N34" s="28" t="s">
        <v>28</v>
      </c>
      <c r="O34" s="24" t="s">
        <v>82</v>
      </c>
      <c r="P34" s="24" t="s">
        <v>82</v>
      </c>
    </row>
    <row r="35" spans="2:16">
      <c r="F35" s="28" t="s">
        <v>29</v>
      </c>
      <c r="G35" s="31" t="s">
        <v>68</v>
      </c>
      <c r="H35" s="31" t="s">
        <v>68</v>
      </c>
      <c r="J35" s="28" t="s">
        <v>29</v>
      </c>
      <c r="K35" s="31" t="s">
        <v>68</v>
      </c>
      <c r="L35" s="31" t="s">
        <v>65</v>
      </c>
      <c r="N35" s="28" t="s">
        <v>29</v>
      </c>
      <c r="O35" s="31" t="s">
        <v>65</v>
      </c>
      <c r="P35" s="31" t="s">
        <v>65</v>
      </c>
    </row>
    <row r="36" spans="2:16">
      <c r="F36" s="28" t="s">
        <v>30</v>
      </c>
      <c r="G36" s="31"/>
      <c r="H36" s="31"/>
      <c r="J36" s="28" t="s">
        <v>30</v>
      </c>
      <c r="K36" s="31"/>
      <c r="L36" s="31"/>
      <c r="N36" s="28" t="s">
        <v>30</v>
      </c>
      <c r="O36" s="31"/>
      <c r="P36" s="31"/>
    </row>
    <row r="37" spans="2:16">
      <c r="F37" s="28" t="s">
        <v>31</v>
      </c>
      <c r="G37" s="31"/>
      <c r="H37" s="31"/>
      <c r="J37" s="28" t="s">
        <v>31</v>
      </c>
      <c r="K37" s="31"/>
      <c r="L37" s="31"/>
      <c r="N37" s="28" t="s">
        <v>31</v>
      </c>
      <c r="O37" s="31"/>
      <c r="P37" s="31"/>
    </row>
    <row r="38" spans="2:16">
      <c r="F38" s="28" t="s">
        <v>32</v>
      </c>
      <c r="G38" s="31" t="s">
        <v>33</v>
      </c>
      <c r="H38" s="31" t="s">
        <v>33</v>
      </c>
      <c r="J38" s="28" t="s">
        <v>32</v>
      </c>
      <c r="K38" s="31" t="s">
        <v>33</v>
      </c>
      <c r="L38" s="31" t="s">
        <v>33</v>
      </c>
      <c r="N38" s="28" t="s">
        <v>32</v>
      </c>
      <c r="O38" s="31" t="s">
        <v>33</v>
      </c>
      <c r="P38" s="31" t="s">
        <v>33</v>
      </c>
    </row>
    <row r="39" spans="2:16">
      <c r="F39" s="28" t="s">
        <v>34</v>
      </c>
      <c r="G39" s="31"/>
      <c r="H39" s="31" t="s">
        <v>35</v>
      </c>
      <c r="J39" s="28" t="s">
        <v>34</v>
      </c>
      <c r="K39" s="31" t="s">
        <v>35</v>
      </c>
      <c r="L39" s="31" t="s">
        <v>35</v>
      </c>
      <c r="N39" s="28" t="s">
        <v>34</v>
      </c>
      <c r="O39" s="31"/>
      <c r="P39" s="31" t="s">
        <v>35</v>
      </c>
    </row>
    <row r="40" spans="2:16">
      <c r="F40" s="28" t="s">
        <v>36</v>
      </c>
      <c r="G40" s="31"/>
      <c r="H40" s="31"/>
      <c r="J40" s="28" t="s">
        <v>36</v>
      </c>
      <c r="K40" s="31"/>
      <c r="L40" s="31"/>
      <c r="N40" s="28" t="s">
        <v>36</v>
      </c>
      <c r="O40" s="31"/>
      <c r="P40" s="31"/>
    </row>
    <row r="41" spans="2:16">
      <c r="F41" s="28" t="s">
        <v>37</v>
      </c>
      <c r="G41" s="31" t="s">
        <v>35</v>
      </c>
      <c r="H41" s="31" t="s">
        <v>35</v>
      </c>
      <c r="J41" s="28" t="s">
        <v>37</v>
      </c>
      <c r="K41" s="31" t="s">
        <v>35</v>
      </c>
      <c r="L41" s="31" t="s">
        <v>35</v>
      </c>
      <c r="N41" s="28" t="s">
        <v>37</v>
      </c>
      <c r="O41" s="31" t="s">
        <v>35</v>
      </c>
      <c r="P41" s="31" t="s">
        <v>35</v>
      </c>
    </row>
    <row r="42" spans="2:16">
      <c r="F42" s="28" t="s">
        <v>38</v>
      </c>
      <c r="G42" s="31" t="s">
        <v>39</v>
      </c>
      <c r="H42" s="31" t="s">
        <v>39</v>
      </c>
      <c r="J42" s="28" t="s">
        <v>38</v>
      </c>
      <c r="K42" s="31" t="s">
        <v>39</v>
      </c>
      <c r="L42" s="31" t="s">
        <v>39</v>
      </c>
      <c r="N42" s="28" t="s">
        <v>38</v>
      </c>
      <c r="O42" s="31" t="s">
        <v>39</v>
      </c>
      <c r="P42" s="31" t="s">
        <v>39</v>
      </c>
    </row>
    <row r="43" spans="2:16">
      <c r="F43" s="28" t="s">
        <v>84</v>
      </c>
      <c r="G43" s="31" t="s">
        <v>265</v>
      </c>
      <c r="H43" s="31"/>
      <c r="J43" s="28" t="s">
        <v>272</v>
      </c>
      <c r="K43" s="31" t="b">
        <v>0</v>
      </c>
      <c r="L43" s="31" t="b">
        <v>0</v>
      </c>
      <c r="N43" s="28" t="s">
        <v>84</v>
      </c>
      <c r="O43" s="31" t="s">
        <v>265</v>
      </c>
      <c r="P43" s="31"/>
    </row>
    <row r="44" spans="2:16">
      <c r="F44" s="28" t="s">
        <v>272</v>
      </c>
      <c r="G44" s="31"/>
      <c r="H44" s="31" t="b">
        <v>0</v>
      </c>
      <c r="J44" s="28"/>
      <c r="K44" s="31"/>
      <c r="L44" s="31"/>
      <c r="N44" s="28" t="s">
        <v>272</v>
      </c>
      <c r="O44" s="31"/>
      <c r="P44" s="31" t="b">
        <v>0</v>
      </c>
    </row>
    <row r="45" spans="2:16">
      <c r="F45" s="29"/>
      <c r="G45" s="32"/>
      <c r="H45" s="32"/>
      <c r="J45" s="29"/>
      <c r="K45" s="32"/>
      <c r="L45" s="32"/>
      <c r="N45" s="29"/>
      <c r="O45" s="32"/>
      <c r="P45" s="32"/>
    </row>
    <row r="46" spans="2:16">
      <c r="F46" s="70" t="s">
        <v>124</v>
      </c>
      <c r="J46" s="38"/>
      <c r="K46" s="38"/>
      <c r="L46" s="38"/>
    </row>
    <row r="47" spans="2:16">
      <c r="J47" s="38"/>
      <c r="K47" s="38"/>
      <c r="L47" s="38"/>
    </row>
    <row r="48" spans="2:16">
      <c r="G48" s="52"/>
      <c r="J48" s="1" t="s">
        <v>113</v>
      </c>
    </row>
    <row r="49" spans="7:12">
      <c r="G49" s="52"/>
      <c r="J49" s="27" t="s">
        <v>40</v>
      </c>
      <c r="K49" s="257" t="b">
        <v>0</v>
      </c>
      <c r="L49" s="37" t="s">
        <v>274</v>
      </c>
    </row>
    <row r="50" spans="7:12">
      <c r="G50" s="52"/>
      <c r="J50" s="28" t="s">
        <v>41</v>
      </c>
      <c r="K50" s="68" t="s">
        <v>9</v>
      </c>
    </row>
    <row r="51" spans="7:12">
      <c r="G51" s="52"/>
      <c r="J51" s="29" t="s">
        <v>43</v>
      </c>
      <c r="K51" s="69"/>
    </row>
    <row r="52" spans="7:12">
      <c r="G52" s="52"/>
    </row>
    <row r="53" spans="7:12">
      <c r="G53" s="52"/>
    </row>
    <row r="54" spans="7:12">
      <c r="G54" s="52"/>
    </row>
  </sheetData>
  <mergeCells count="1">
    <mergeCell ref="B3:C4"/>
  </mergeCells>
  <dataValidations count="3">
    <dataValidation type="list" allowBlank="1" showInputMessage="1" showErrorMessage="1" sqref="C32:D32">
      <formula1>"None,ShortStart,ShortEnd,LongStart,LongEnd,SS,SE,LS,LE"</formula1>
    </dataValidation>
    <dataValidation type="list" allowBlank="1" showInputMessage="1" showErrorMessage="1" sqref="C15:D15">
      <formula1>"PAYER,RECEIVER"</formula1>
    </dataValidation>
    <dataValidation type="list" allowBlank="1" showInputMessage="1" showErrorMessage="1" sqref="C26:D26">
      <formula1>"ACT/ACT,ACT/365,ACT/365_ISDA,ACT/360,30/360,30E/360,ACT/365FJ"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7"/>
  <sheetViews>
    <sheetView showGridLines="0" tabSelected="1" workbookViewId="0"/>
  </sheetViews>
  <sheetFormatPr defaultRowHeight="15"/>
  <cols>
    <col min="1" max="1" width="9.140625" style="37"/>
    <col min="2" max="2" width="27.85546875" bestFit="1" customWidth="1"/>
    <col min="3" max="4" width="18.7109375" style="37" customWidth="1"/>
    <col min="5" max="5" width="9.140625" style="37"/>
    <col min="6" max="6" width="30.7109375" customWidth="1"/>
    <col min="7" max="8" width="18.7109375" customWidth="1"/>
    <col min="10" max="10" width="30.7109375" customWidth="1"/>
    <col min="11" max="12" width="18.7109375" customWidth="1"/>
  </cols>
  <sheetData>
    <row r="2" spans="2:16">
      <c r="B2" s="48" t="s">
        <v>112</v>
      </c>
      <c r="M2" s="37"/>
      <c r="N2" s="37"/>
      <c r="O2" s="37"/>
      <c r="P2" s="37"/>
    </row>
    <row r="3" spans="2:16" ht="15" customHeight="1">
      <c r="B3" s="265">
        <f ca="1">K10</f>
        <v>101.03478875882037</v>
      </c>
      <c r="C3" s="266"/>
      <c r="F3" s="51" t="s">
        <v>115</v>
      </c>
      <c r="G3" s="55" t="str">
        <f ca="1">_xll.meLWOXccySwapCreate(F13,F14:H46,F50:G52,TRUE)</f>
        <v>PROXY_XCCY_ASSET_SWAP@175:2</v>
      </c>
      <c r="H3" s="40"/>
      <c r="I3" s="40"/>
      <c r="J3" s="51" t="s">
        <v>115</v>
      </c>
      <c r="K3" s="55" t="str">
        <f ca="1">_xll.meLWOSwapCreate(J13,J14:L46,FALSE)</f>
        <v>URIDASHI_ASSET_SWAP@204:4</v>
      </c>
      <c r="L3" s="40"/>
      <c r="M3" s="37"/>
      <c r="N3" s="37"/>
      <c r="O3" s="37"/>
      <c r="P3" s="37"/>
    </row>
    <row r="4" spans="2:16" ht="15" customHeight="1">
      <c r="B4" s="267"/>
      <c r="C4" s="268"/>
      <c r="F4" s="38"/>
      <c r="G4" s="248" t="s">
        <v>263</v>
      </c>
      <c r="H4" s="30" t="s">
        <v>0</v>
      </c>
      <c r="I4" s="40"/>
      <c r="J4" s="248" t="s">
        <v>54</v>
      </c>
      <c r="K4" s="30" t="s">
        <v>52</v>
      </c>
      <c r="L4" s="38"/>
      <c r="M4" s="38"/>
      <c r="N4" s="38"/>
      <c r="O4" s="38"/>
      <c r="P4" s="38"/>
    </row>
    <row r="5" spans="2:16" s="37" customFormat="1">
      <c r="F5" s="38"/>
      <c r="G5" s="249" t="s">
        <v>67</v>
      </c>
      <c r="H5" s="31" t="s">
        <v>52</v>
      </c>
      <c r="I5" s="40"/>
      <c r="J5" s="243" t="s">
        <v>269</v>
      </c>
      <c r="K5" s="250">
        <f ca="1">B10</f>
        <v>44067</v>
      </c>
      <c r="L5" s="38"/>
      <c r="M5" s="38"/>
      <c r="N5" s="38"/>
      <c r="O5" s="38"/>
      <c r="P5" s="38"/>
    </row>
    <row r="6" spans="2:16" s="37" customFormat="1">
      <c r="F6" s="40"/>
      <c r="G6" s="249" t="s">
        <v>268</v>
      </c>
      <c r="H6" s="140">
        <f ca="1">SETTINGS!L5</f>
        <v>0.75</v>
      </c>
      <c r="I6" s="40"/>
      <c r="M6" s="38"/>
      <c r="N6" s="38"/>
      <c r="O6" s="38"/>
      <c r="P6" s="38"/>
    </row>
    <row r="7" spans="2:16" s="37" customFormat="1">
      <c r="F7" s="40"/>
      <c r="G7" s="249" t="s">
        <v>269</v>
      </c>
      <c r="H7" s="269">
        <f ca="1">B10</f>
        <v>44067</v>
      </c>
      <c r="I7" s="40"/>
      <c r="M7" s="38"/>
      <c r="N7" s="38"/>
      <c r="O7" s="38"/>
      <c r="P7" s="38"/>
    </row>
    <row r="8" spans="2:16" s="37" customFormat="1">
      <c r="F8" s="40"/>
      <c r="G8" s="243" t="s">
        <v>41</v>
      </c>
      <c r="H8" s="250" t="str">
        <f>G51</f>
        <v>USD</v>
      </c>
      <c r="I8" s="40"/>
      <c r="M8" s="38"/>
      <c r="N8" s="38"/>
      <c r="O8" s="38"/>
      <c r="P8" s="38"/>
    </row>
    <row r="9" spans="2:16" s="37" customFormat="1">
      <c r="B9" s="42" t="s">
        <v>109</v>
      </c>
      <c r="G9" s="106"/>
      <c r="H9" s="106"/>
      <c r="K9" s="256"/>
      <c r="M9" s="38"/>
      <c r="N9" s="38"/>
      <c r="O9" s="38"/>
      <c r="P9" s="38"/>
    </row>
    <row r="10" spans="2:16">
      <c r="B10" s="58">
        <f ca="1">_xll.meDateFromTenor(TODAY(),"2D","MOD_FOLLOWING","SYB")</f>
        <v>44067</v>
      </c>
      <c r="F10" s="41" t="s">
        <v>108</v>
      </c>
      <c r="G10" s="65">
        <f ca="1">_xll.meLWOAssetSwapSpreadFromPrice(G3,C15,B10,C25,G4:H8)</f>
        <v>330.94196476830371</v>
      </c>
      <c r="H10" s="37"/>
      <c r="I10" s="37"/>
      <c r="J10" s="26" t="s">
        <v>125</v>
      </c>
      <c r="K10" s="65">
        <f ca="1">_xll.meLWOAssetSwapSpreadToCleanPrice(K3,L27,J4:K5)</f>
        <v>101.03478875882037</v>
      </c>
      <c r="M10" s="37"/>
      <c r="N10" s="37"/>
      <c r="O10" s="37"/>
      <c r="P10" s="37"/>
    </row>
    <row r="11" spans="2:16">
      <c r="F11" s="254"/>
      <c r="G11" s="255"/>
      <c r="H11" s="254"/>
      <c r="I11" s="254"/>
      <c r="J11" s="254"/>
      <c r="K11" s="255"/>
      <c r="L11" s="254"/>
      <c r="M11" s="37"/>
      <c r="N11" s="37"/>
      <c r="O11" s="37"/>
      <c r="P11" s="37"/>
    </row>
    <row r="12" spans="2:16">
      <c r="F12" s="254"/>
      <c r="G12" s="253"/>
      <c r="H12" s="253"/>
      <c r="I12" s="254"/>
      <c r="J12" s="254"/>
      <c r="K12" s="253"/>
      <c r="L12" s="253"/>
      <c r="M12" s="37"/>
      <c r="N12" s="37"/>
      <c r="O12" s="37"/>
      <c r="P12" s="37"/>
    </row>
    <row r="13" spans="2:16">
      <c r="B13" s="26" t="s">
        <v>129</v>
      </c>
      <c r="C13" s="25" t="s">
        <v>106</v>
      </c>
      <c r="D13" s="25" t="s">
        <v>107</v>
      </c>
      <c r="F13" s="51" t="s">
        <v>127</v>
      </c>
      <c r="G13" s="25" t="s">
        <v>117</v>
      </c>
      <c r="H13" s="25" t="s">
        <v>119</v>
      </c>
      <c r="I13" s="37"/>
      <c r="J13" s="26" t="s">
        <v>128</v>
      </c>
      <c r="K13" s="25"/>
      <c r="L13" s="25"/>
      <c r="M13" s="37"/>
      <c r="N13" s="37"/>
      <c r="O13" s="37"/>
      <c r="P13" s="37"/>
    </row>
    <row r="14" spans="2:16">
      <c r="B14" s="2" t="s">
        <v>87</v>
      </c>
      <c r="C14" s="63" t="s">
        <v>121</v>
      </c>
      <c r="D14" s="63" t="s">
        <v>122</v>
      </c>
      <c r="F14" s="27" t="s">
        <v>1</v>
      </c>
      <c r="G14" s="30" t="s">
        <v>263</v>
      </c>
      <c r="H14" s="30" t="s">
        <v>67</v>
      </c>
      <c r="I14" s="37"/>
      <c r="J14" s="27" t="s">
        <v>1</v>
      </c>
      <c r="K14" s="30" t="s">
        <v>263</v>
      </c>
      <c r="L14" s="30" t="s">
        <v>67</v>
      </c>
      <c r="M14" s="37"/>
      <c r="N14" s="37"/>
      <c r="O14" s="37"/>
      <c r="P14" s="37"/>
    </row>
    <row r="15" spans="2:16">
      <c r="B15" s="3" t="s">
        <v>111</v>
      </c>
      <c r="C15" s="261">
        <f ca="1">'USD-BONDS'!B6</f>
        <v>96.021000000000001</v>
      </c>
      <c r="D15" s="64">
        <f ca="1">K10</f>
        <v>101.03478875882037</v>
      </c>
      <c r="F15" s="28" t="s">
        <v>2</v>
      </c>
      <c r="G15" s="35">
        <v>1000000</v>
      </c>
      <c r="H15" s="35">
        <f ca="1">G15/H6</f>
        <v>1333333.3333333333</v>
      </c>
      <c r="I15" s="37"/>
      <c r="J15" s="28" t="s">
        <v>2</v>
      </c>
      <c r="K15" s="35">
        <v>1000000</v>
      </c>
      <c r="L15" s="35">
        <v>1000000</v>
      </c>
      <c r="M15" s="37"/>
      <c r="N15" s="37"/>
      <c r="O15" s="37"/>
      <c r="P15" s="37"/>
    </row>
    <row r="16" spans="2:16">
      <c r="B16" s="43" t="s">
        <v>2</v>
      </c>
      <c r="C16" s="46">
        <v>1000000</v>
      </c>
      <c r="D16" s="46">
        <v>1000000</v>
      </c>
      <c r="F16" s="28" t="s">
        <v>3</v>
      </c>
      <c r="G16" s="260" t="s">
        <v>273</v>
      </c>
      <c r="H16" s="260" t="s">
        <v>273</v>
      </c>
      <c r="I16" s="37"/>
      <c r="J16" s="28" t="s">
        <v>3</v>
      </c>
      <c r="K16" s="31" t="s">
        <v>44</v>
      </c>
      <c r="L16" s="31" t="s">
        <v>44</v>
      </c>
      <c r="M16" s="37"/>
      <c r="N16" s="37"/>
      <c r="O16" s="37"/>
      <c r="P16" s="37"/>
    </row>
    <row r="17" spans="2:16">
      <c r="B17" s="43" t="s">
        <v>4</v>
      </c>
      <c r="C17" s="6" t="s">
        <v>5</v>
      </c>
      <c r="D17" s="6" t="s">
        <v>5</v>
      </c>
      <c r="F17" s="28" t="s">
        <v>4</v>
      </c>
      <c r="G17" s="31" t="s">
        <v>96</v>
      </c>
      <c r="H17" s="31" t="s">
        <v>99</v>
      </c>
      <c r="I17" s="37"/>
      <c r="J17" s="28" t="s">
        <v>4</v>
      </c>
      <c r="K17" s="31" t="s">
        <v>96</v>
      </c>
      <c r="L17" s="31" t="s">
        <v>99</v>
      </c>
      <c r="M17" s="37"/>
      <c r="N17" s="37"/>
      <c r="O17" s="37"/>
      <c r="P17" s="37"/>
    </row>
    <row r="18" spans="2:16">
      <c r="B18" s="43" t="s">
        <v>53</v>
      </c>
      <c r="C18" s="12">
        <f>'USD-BONDS'!$H$6</f>
        <v>42089</v>
      </c>
      <c r="D18" s="12">
        <f>'AUD-BONDS'!$H$6</f>
        <v>42566</v>
      </c>
      <c r="F18" s="28" t="s">
        <v>6</v>
      </c>
      <c r="G18" s="31"/>
      <c r="H18" s="66" t="s">
        <v>66</v>
      </c>
      <c r="I18" s="37"/>
      <c r="J18" s="28" t="s">
        <v>6</v>
      </c>
      <c r="K18" s="66"/>
      <c r="L18" s="66" t="s">
        <v>66</v>
      </c>
      <c r="M18" s="37"/>
      <c r="N18" s="37"/>
      <c r="O18" s="37"/>
      <c r="P18" s="37"/>
    </row>
    <row r="19" spans="2:16">
      <c r="B19" s="43" t="s">
        <v>19</v>
      </c>
      <c r="C19" s="12">
        <f ca="1">_xll.meDateFromTenor(Settings.COB,"2D","MOD_FOLLOWING","NYB")</f>
        <v>44067</v>
      </c>
      <c r="D19" s="12">
        <f ca="1">_xll.meDateFromTenor(Settings.COB,"2D","MOD_FOLLOWING","SYB")</f>
        <v>44067</v>
      </c>
      <c r="F19" s="28" t="s">
        <v>7</v>
      </c>
      <c r="G19" s="34" t="s">
        <v>46</v>
      </c>
      <c r="H19" s="34" t="s">
        <v>105</v>
      </c>
      <c r="I19" s="37"/>
      <c r="J19" s="28" t="s">
        <v>7</v>
      </c>
      <c r="K19" s="34" t="s">
        <v>50</v>
      </c>
      <c r="L19" s="34" t="s">
        <v>50</v>
      </c>
      <c r="M19" s="37"/>
      <c r="N19" s="37"/>
      <c r="O19" s="37"/>
      <c r="P19" s="37"/>
    </row>
    <row r="20" spans="2:16">
      <c r="B20" s="43" t="s">
        <v>91</v>
      </c>
      <c r="C20" s="12">
        <f ca="1">_xll.meLWOBondLastCouponDate('USD-BONDS'!D6,Settings.COB)</f>
        <v>43916</v>
      </c>
      <c r="D20" s="12">
        <f ca="1">_xll.meLWOBondLastCouponDate('AUD-BONDS'!D6,Settings.COB)</f>
        <v>44027</v>
      </c>
      <c r="E20" s="71"/>
      <c r="F20" s="28" t="s">
        <v>8</v>
      </c>
      <c r="G20" s="34" t="s">
        <v>9</v>
      </c>
      <c r="H20" s="34" t="s">
        <v>45</v>
      </c>
      <c r="I20" s="37"/>
      <c r="J20" s="28" t="s">
        <v>8</v>
      </c>
      <c r="K20" s="34" t="s">
        <v>45</v>
      </c>
      <c r="L20" s="34" t="s">
        <v>45</v>
      </c>
      <c r="M20" s="37"/>
      <c r="N20" s="37"/>
      <c r="O20" s="37"/>
      <c r="P20" s="37"/>
    </row>
    <row r="21" spans="2:16">
      <c r="B21" s="43" t="s">
        <v>20</v>
      </c>
      <c r="C21" s="12">
        <f>'USD-BONDS'!$L$6</f>
        <v>45742</v>
      </c>
      <c r="D21" s="12">
        <f>'AUD-BONDS'!$L$6</f>
        <v>46037</v>
      </c>
      <c r="F21" s="28" t="s">
        <v>10</v>
      </c>
      <c r="G21" s="33">
        <v>1</v>
      </c>
      <c r="H21" s="57">
        <v>1</v>
      </c>
      <c r="I21" s="37"/>
      <c r="J21" s="28" t="s">
        <v>10</v>
      </c>
      <c r="K21" s="57">
        <f>H21</f>
        <v>1</v>
      </c>
      <c r="L21" s="57">
        <v>1</v>
      </c>
      <c r="M21" s="37"/>
      <c r="N21" s="37"/>
      <c r="O21" s="37"/>
      <c r="P21" s="37"/>
    </row>
    <row r="22" spans="2:16">
      <c r="B22" s="43" t="s">
        <v>54</v>
      </c>
      <c r="C22" s="4" t="s">
        <v>0</v>
      </c>
      <c r="D22" s="4" t="s">
        <v>52</v>
      </c>
      <c r="F22" s="28" t="s">
        <v>11</v>
      </c>
      <c r="G22" s="56">
        <f>C27</f>
        <v>3.2000000000000001E-2</v>
      </c>
      <c r="H22" s="36"/>
      <c r="I22" s="37"/>
      <c r="J22" s="28" t="s">
        <v>11</v>
      </c>
      <c r="K22" s="56">
        <f>D27</f>
        <v>3.9199999999999999E-2</v>
      </c>
      <c r="L22" s="36"/>
      <c r="M22" s="37"/>
      <c r="N22" s="37"/>
      <c r="O22" s="37"/>
      <c r="P22" s="37"/>
    </row>
    <row r="23" spans="2:16">
      <c r="B23" s="43" t="s">
        <v>6</v>
      </c>
      <c r="C23" s="9" t="s">
        <v>102</v>
      </c>
      <c r="D23" s="9" t="s">
        <v>48</v>
      </c>
      <c r="F23" s="28" t="s">
        <v>13</v>
      </c>
      <c r="G23" s="31"/>
      <c r="H23" s="31" t="s">
        <v>14</v>
      </c>
      <c r="I23" s="37"/>
      <c r="J23" s="28" t="s">
        <v>13</v>
      </c>
      <c r="K23" s="31"/>
      <c r="L23" s="31" t="s">
        <v>14</v>
      </c>
      <c r="M23" s="37"/>
      <c r="N23" s="37"/>
      <c r="O23" s="37"/>
      <c r="P23" s="37"/>
    </row>
    <row r="24" spans="2:16">
      <c r="B24" s="43" t="s">
        <v>7</v>
      </c>
      <c r="C24" s="9" t="s">
        <v>46</v>
      </c>
      <c r="D24" s="9" t="s">
        <v>50</v>
      </c>
      <c r="F24" s="28" t="s">
        <v>15</v>
      </c>
      <c r="G24" s="31"/>
      <c r="H24" s="31" t="s">
        <v>14</v>
      </c>
      <c r="I24" s="37"/>
      <c r="J24" s="28" t="s">
        <v>15</v>
      </c>
      <c r="K24" s="31"/>
      <c r="L24" s="31" t="s">
        <v>14</v>
      </c>
      <c r="M24" s="37"/>
      <c r="N24" s="37"/>
      <c r="O24" s="37"/>
      <c r="P24" s="37"/>
    </row>
    <row r="25" spans="2:16">
      <c r="B25" s="43" t="s">
        <v>55</v>
      </c>
      <c r="C25" s="10" t="b">
        <v>1</v>
      </c>
      <c r="D25" s="10" t="b">
        <v>1</v>
      </c>
      <c r="F25" s="28" t="s">
        <v>16</v>
      </c>
      <c r="G25" s="22"/>
      <c r="H25" s="239">
        <f>SETTINGS!I6</f>
        <v>1.7100000000000001E-2</v>
      </c>
      <c r="I25" s="37"/>
      <c r="J25" s="28" t="s">
        <v>16</v>
      </c>
      <c r="K25" s="39"/>
      <c r="L25" s="239">
        <f>SETTINGS!I6</f>
        <v>1.7100000000000001E-2</v>
      </c>
      <c r="M25" s="37"/>
      <c r="N25" s="37"/>
      <c r="O25" s="37"/>
      <c r="P25" s="37"/>
    </row>
    <row r="26" spans="2:16">
      <c r="B26" s="43" t="s">
        <v>56</v>
      </c>
      <c r="C26" s="47" t="s">
        <v>47</v>
      </c>
      <c r="D26" s="47" t="s">
        <v>47</v>
      </c>
      <c r="F26" s="28" t="s">
        <v>17</v>
      </c>
      <c r="G26" s="31" t="s">
        <v>12</v>
      </c>
      <c r="H26" s="31" t="s">
        <v>12</v>
      </c>
      <c r="I26" s="37"/>
      <c r="J26" s="28" t="s">
        <v>17</v>
      </c>
      <c r="K26" s="31" t="s">
        <v>12</v>
      </c>
      <c r="L26" s="31" t="s">
        <v>12</v>
      </c>
      <c r="M26" s="37"/>
      <c r="N26" s="37"/>
      <c r="O26" s="37"/>
      <c r="P26" s="37"/>
    </row>
    <row r="27" spans="2:16">
      <c r="B27" s="43" t="s">
        <v>11</v>
      </c>
      <c r="C27" s="238">
        <f>'USD-BONDS'!$M$6</f>
        <v>3.2000000000000001E-2</v>
      </c>
      <c r="D27" s="238">
        <f>'AUD-BONDS'!$M$6</f>
        <v>3.9199999999999999E-2</v>
      </c>
      <c r="F27" s="28" t="s">
        <v>18</v>
      </c>
      <c r="G27" s="23">
        <v>0</v>
      </c>
      <c r="H27" s="23">
        <v>0</v>
      </c>
      <c r="I27" s="37"/>
      <c r="J27" s="28" t="s">
        <v>18</v>
      </c>
      <c r="K27" s="23"/>
      <c r="L27" s="60">
        <f ca="1">G10</f>
        <v>330.94196476830371</v>
      </c>
      <c r="M27" s="37"/>
      <c r="N27" s="37"/>
      <c r="O27" s="37"/>
      <c r="P27" s="37"/>
    </row>
    <row r="28" spans="2:16">
      <c r="B28" s="43" t="s">
        <v>57</v>
      </c>
      <c r="C28" s="6" t="s">
        <v>104</v>
      </c>
      <c r="D28" s="6" t="s">
        <v>104</v>
      </c>
      <c r="F28" s="28" t="s">
        <v>19</v>
      </c>
      <c r="G28" s="50">
        <f ca="1">C20</f>
        <v>43916</v>
      </c>
      <c r="H28" s="259">
        <f ca="1">C19</f>
        <v>44067</v>
      </c>
      <c r="I28" s="71" t="s">
        <v>123</v>
      </c>
      <c r="J28" s="28" t="s">
        <v>19</v>
      </c>
      <c r="K28" s="50">
        <f ca="1">D20</f>
        <v>44027</v>
      </c>
      <c r="L28" s="259">
        <f ca="1">D19</f>
        <v>44067</v>
      </c>
      <c r="M28" s="71" t="s">
        <v>123</v>
      </c>
      <c r="N28" s="37"/>
      <c r="O28" s="37"/>
      <c r="P28" s="37"/>
    </row>
    <row r="29" spans="2:16">
      <c r="B29" s="44" t="s">
        <v>58</v>
      </c>
      <c r="C29" s="6" t="s">
        <v>82</v>
      </c>
      <c r="D29" s="6" t="s">
        <v>24</v>
      </c>
      <c r="F29" s="28" t="s">
        <v>20</v>
      </c>
      <c r="G29" s="50">
        <f>$C$21</f>
        <v>45742</v>
      </c>
      <c r="H29" s="259">
        <f>L29</f>
        <v>46037</v>
      </c>
      <c r="I29" s="37"/>
      <c r="J29" s="28" t="s">
        <v>20</v>
      </c>
      <c r="K29" s="50">
        <f>$D$21</f>
        <v>46037</v>
      </c>
      <c r="L29" s="50">
        <f>K29</f>
        <v>46037</v>
      </c>
      <c r="M29" s="37"/>
      <c r="N29" s="37"/>
      <c r="O29" s="37"/>
      <c r="P29" s="37"/>
    </row>
    <row r="30" spans="2:16">
      <c r="B30" s="44" t="s">
        <v>59</v>
      </c>
      <c r="C30" s="11" t="s">
        <v>68</v>
      </c>
      <c r="D30" s="11" t="s">
        <v>65</v>
      </c>
      <c r="F30" s="28" t="s">
        <v>21</v>
      </c>
      <c r="G30" s="31" t="s">
        <v>47</v>
      </c>
      <c r="H30" s="31" t="s">
        <v>100</v>
      </c>
      <c r="I30" s="37"/>
      <c r="J30" s="28" t="s">
        <v>21</v>
      </c>
      <c r="K30" s="31" t="s">
        <v>47</v>
      </c>
      <c r="L30" s="31" t="s">
        <v>100</v>
      </c>
      <c r="M30" s="37"/>
      <c r="N30" s="37"/>
      <c r="O30" s="37"/>
      <c r="P30" s="37"/>
    </row>
    <row r="31" spans="2:16">
      <c r="B31" s="43" t="s">
        <v>60</v>
      </c>
      <c r="C31" s="5"/>
      <c r="D31" s="5"/>
      <c r="F31" s="28" t="s">
        <v>22</v>
      </c>
      <c r="G31" s="31" t="s">
        <v>104</v>
      </c>
      <c r="H31" s="31" t="s">
        <v>103</v>
      </c>
      <c r="I31" s="37"/>
      <c r="J31" s="28" t="s">
        <v>22</v>
      </c>
      <c r="K31" s="31" t="s">
        <v>104</v>
      </c>
      <c r="L31" s="31" t="s">
        <v>103</v>
      </c>
      <c r="M31" s="37"/>
      <c r="N31" s="37"/>
      <c r="O31" s="37"/>
      <c r="P31" s="37"/>
    </row>
    <row r="32" spans="2:16">
      <c r="B32" s="43" t="s">
        <v>61</v>
      </c>
      <c r="C32" s="5"/>
      <c r="D32" s="5"/>
      <c r="F32" s="28" t="s">
        <v>23</v>
      </c>
      <c r="G32" s="24" t="s">
        <v>82</v>
      </c>
      <c r="H32" s="24" t="s">
        <v>82</v>
      </c>
      <c r="I32" s="37"/>
      <c r="J32" s="28" t="s">
        <v>23</v>
      </c>
      <c r="K32" s="24" t="s">
        <v>82</v>
      </c>
      <c r="L32" s="24" t="s">
        <v>82</v>
      </c>
      <c r="M32" s="37"/>
      <c r="N32" s="37"/>
      <c r="O32" s="37"/>
      <c r="P32" s="37"/>
    </row>
    <row r="33" spans="2:16">
      <c r="B33" s="43" t="s">
        <v>62</v>
      </c>
      <c r="C33" s="6" t="s">
        <v>33</v>
      </c>
      <c r="D33" s="6" t="s">
        <v>33</v>
      </c>
      <c r="F33" s="28" t="s">
        <v>25</v>
      </c>
      <c r="G33" s="31" t="s">
        <v>68</v>
      </c>
      <c r="H33" s="31" t="s">
        <v>65</v>
      </c>
      <c r="I33" s="37"/>
      <c r="J33" s="28" t="s">
        <v>25</v>
      </c>
      <c r="K33" s="31" t="s">
        <v>65</v>
      </c>
      <c r="L33" s="31" t="s">
        <v>65</v>
      </c>
      <c r="M33" s="37"/>
      <c r="N33" s="37"/>
      <c r="O33" s="37"/>
      <c r="P33" s="37"/>
    </row>
    <row r="34" spans="2:16">
      <c r="B34" s="43" t="s">
        <v>63</v>
      </c>
      <c r="C34" s="7" t="s">
        <v>39</v>
      </c>
      <c r="D34" s="7" t="s">
        <v>39</v>
      </c>
      <c r="F34" s="28" t="s">
        <v>26</v>
      </c>
      <c r="G34" s="24" t="s">
        <v>82</v>
      </c>
      <c r="H34" s="24" t="s">
        <v>82</v>
      </c>
      <c r="I34" s="37"/>
      <c r="J34" s="28" t="s">
        <v>26</v>
      </c>
      <c r="K34" s="24" t="s">
        <v>82</v>
      </c>
      <c r="L34" s="24" t="s">
        <v>82</v>
      </c>
      <c r="M34" s="37"/>
      <c r="N34" s="37"/>
      <c r="O34" s="37"/>
      <c r="P34" s="37"/>
    </row>
    <row r="35" spans="2:16">
      <c r="B35" s="43" t="s">
        <v>64</v>
      </c>
      <c r="C35" s="7" t="s">
        <v>35</v>
      </c>
      <c r="D35" s="7" t="s">
        <v>35</v>
      </c>
      <c r="F35" s="28" t="s">
        <v>27</v>
      </c>
      <c r="G35" s="31" t="s">
        <v>68</v>
      </c>
      <c r="H35" s="31" t="s">
        <v>65</v>
      </c>
      <c r="I35" s="37"/>
      <c r="J35" s="28" t="s">
        <v>27</v>
      </c>
      <c r="K35" s="31" t="s">
        <v>65</v>
      </c>
      <c r="L35" s="31" t="s">
        <v>65</v>
      </c>
      <c r="M35" s="37"/>
      <c r="N35" s="37"/>
      <c r="O35" s="37"/>
      <c r="P35" s="37"/>
    </row>
    <row r="36" spans="2:16">
      <c r="B36" s="45" t="s">
        <v>84</v>
      </c>
      <c r="C36" s="8" t="s">
        <v>265</v>
      </c>
      <c r="D36" s="8"/>
      <c r="F36" s="28" t="s">
        <v>28</v>
      </c>
      <c r="G36" s="24" t="s">
        <v>82</v>
      </c>
      <c r="H36" s="24" t="s">
        <v>82</v>
      </c>
      <c r="I36" s="37"/>
      <c r="J36" s="28" t="s">
        <v>28</v>
      </c>
      <c r="K36" s="24" t="s">
        <v>82</v>
      </c>
      <c r="L36" s="24" t="s">
        <v>82</v>
      </c>
      <c r="M36" s="37"/>
      <c r="N36" s="37"/>
      <c r="O36" s="37"/>
      <c r="P36" s="37"/>
    </row>
    <row r="37" spans="2:16">
      <c r="F37" s="28" t="s">
        <v>29</v>
      </c>
      <c r="G37" s="31" t="s">
        <v>68</v>
      </c>
      <c r="H37" s="31" t="s">
        <v>65</v>
      </c>
      <c r="I37" s="37"/>
      <c r="J37" s="28" t="s">
        <v>29</v>
      </c>
      <c r="K37" s="31" t="s">
        <v>65</v>
      </c>
      <c r="L37" s="31" t="s">
        <v>65</v>
      </c>
      <c r="M37" s="37"/>
      <c r="N37" s="37"/>
      <c r="O37" s="37"/>
      <c r="P37" s="37"/>
    </row>
    <row r="38" spans="2:16">
      <c r="F38" s="28" t="s">
        <v>30</v>
      </c>
      <c r="G38" s="31"/>
      <c r="H38" s="31"/>
      <c r="I38" s="37"/>
      <c r="J38" s="28" t="s">
        <v>30</v>
      </c>
      <c r="K38" s="31"/>
      <c r="L38" s="31"/>
      <c r="M38" s="37"/>
      <c r="N38" s="37"/>
      <c r="O38" s="37"/>
      <c r="P38" s="37"/>
    </row>
    <row r="39" spans="2:16">
      <c r="F39" s="28" t="s">
        <v>31</v>
      </c>
      <c r="G39" s="31"/>
      <c r="H39" s="31"/>
      <c r="I39" s="37"/>
      <c r="J39" s="28" t="s">
        <v>31</v>
      </c>
      <c r="K39" s="31"/>
      <c r="L39" s="31"/>
      <c r="M39" s="37"/>
      <c r="N39" s="37"/>
      <c r="O39" s="37"/>
      <c r="P39" s="37"/>
    </row>
    <row r="40" spans="2:16">
      <c r="F40" s="28" t="s">
        <v>32</v>
      </c>
      <c r="G40" s="31" t="s">
        <v>33</v>
      </c>
      <c r="H40" s="31" t="s">
        <v>33</v>
      </c>
      <c r="I40" s="37"/>
      <c r="J40" s="28" t="s">
        <v>32</v>
      </c>
      <c r="K40" s="31" t="s">
        <v>33</v>
      </c>
      <c r="L40" s="31" t="s">
        <v>33</v>
      </c>
      <c r="M40" s="37"/>
      <c r="N40" s="37"/>
      <c r="O40" s="37"/>
      <c r="P40" s="37"/>
    </row>
    <row r="41" spans="2:16">
      <c r="F41" s="28" t="s">
        <v>34</v>
      </c>
      <c r="G41" s="31"/>
      <c r="H41" s="31" t="s">
        <v>35</v>
      </c>
      <c r="I41" s="37"/>
      <c r="J41" s="28" t="s">
        <v>34</v>
      </c>
      <c r="K41" s="31"/>
      <c r="L41" s="31" t="s">
        <v>35</v>
      </c>
      <c r="M41" s="37"/>
      <c r="N41" s="37"/>
      <c r="O41" s="37"/>
      <c r="P41" s="37"/>
    </row>
    <row r="42" spans="2:16">
      <c r="F42" s="28" t="s">
        <v>36</v>
      </c>
      <c r="G42" s="31"/>
      <c r="H42" s="31"/>
      <c r="I42" s="37"/>
      <c r="J42" s="28" t="s">
        <v>36</v>
      </c>
      <c r="K42" s="31"/>
      <c r="L42" s="31"/>
      <c r="M42" s="37"/>
      <c r="N42" s="37"/>
      <c r="O42" s="37"/>
      <c r="P42" s="37"/>
    </row>
    <row r="43" spans="2:16">
      <c r="F43" s="28" t="s">
        <v>37</v>
      </c>
      <c r="G43" s="31" t="s">
        <v>35</v>
      </c>
      <c r="H43" s="31" t="s">
        <v>35</v>
      </c>
      <c r="I43" s="37"/>
      <c r="J43" s="28" t="s">
        <v>37</v>
      </c>
      <c r="K43" s="31" t="s">
        <v>35</v>
      </c>
      <c r="L43" s="31" t="s">
        <v>35</v>
      </c>
      <c r="M43" s="37"/>
      <c r="N43" s="37"/>
      <c r="O43" s="37"/>
      <c r="P43" s="37"/>
    </row>
    <row r="44" spans="2:16">
      <c r="F44" s="28" t="s">
        <v>84</v>
      </c>
      <c r="G44" s="31" t="s">
        <v>267</v>
      </c>
      <c r="H44" s="31"/>
      <c r="I44" s="37"/>
      <c r="J44" s="28" t="s">
        <v>84</v>
      </c>
      <c r="K44" s="31" t="s">
        <v>267</v>
      </c>
      <c r="L44" s="31"/>
      <c r="M44" s="37"/>
      <c r="N44" s="37"/>
      <c r="O44" s="37"/>
      <c r="P44" s="37"/>
    </row>
    <row r="45" spans="2:16" s="37" customFormat="1">
      <c r="F45" s="28" t="s">
        <v>272</v>
      </c>
      <c r="G45" s="31" t="b">
        <v>0</v>
      </c>
      <c r="H45" s="31" t="b">
        <v>0</v>
      </c>
      <c r="J45" s="28" t="s">
        <v>272</v>
      </c>
      <c r="K45" s="31"/>
      <c r="L45" s="31" t="b">
        <v>0</v>
      </c>
    </row>
    <row r="46" spans="2:16" s="37" customFormat="1">
      <c r="F46" s="29" t="s">
        <v>38</v>
      </c>
      <c r="G46" s="32" t="s">
        <v>39</v>
      </c>
      <c r="H46" s="32" t="s">
        <v>39</v>
      </c>
      <c r="J46" s="29" t="s">
        <v>38</v>
      </c>
      <c r="K46" s="32" t="s">
        <v>39</v>
      </c>
      <c r="L46" s="32" t="s">
        <v>39</v>
      </c>
    </row>
    <row r="47" spans="2:16" s="37" customFormat="1">
      <c r="F47" s="70" t="s">
        <v>124</v>
      </c>
    </row>
    <row r="48" spans="2:16" s="37" customFormat="1"/>
    <row r="49" spans="6:16" s="37" customFormat="1">
      <c r="F49" s="1" t="s">
        <v>113</v>
      </c>
    </row>
    <row r="50" spans="6:16" s="37" customFormat="1">
      <c r="F50" s="27" t="s">
        <v>40</v>
      </c>
      <c r="G50" s="67" t="b">
        <v>0</v>
      </c>
    </row>
    <row r="51" spans="6:16" s="37" customFormat="1">
      <c r="F51" s="28" t="s">
        <v>41</v>
      </c>
      <c r="G51" s="68" t="s">
        <v>9</v>
      </c>
    </row>
    <row r="52" spans="6:16" s="37" customFormat="1">
      <c r="F52" s="29" t="s">
        <v>43</v>
      </c>
      <c r="G52" s="69"/>
    </row>
    <row r="53" spans="6:16">
      <c r="H53" s="37"/>
      <c r="I53" s="37"/>
      <c r="J53" s="37"/>
      <c r="K53" s="37"/>
      <c r="L53" s="37"/>
      <c r="M53" s="37"/>
      <c r="N53" s="37"/>
      <c r="O53" s="37"/>
      <c r="P53" s="37"/>
    </row>
    <row r="54" spans="6:16">
      <c r="F54" s="37"/>
      <c r="G54" s="52"/>
      <c r="H54" s="37"/>
      <c r="I54" s="37"/>
      <c r="J54" s="37"/>
      <c r="K54" s="37"/>
      <c r="L54" s="37"/>
      <c r="M54" s="37"/>
      <c r="N54" s="37"/>
      <c r="O54" s="37"/>
      <c r="P54" s="37"/>
    </row>
    <row r="55" spans="6:16">
      <c r="F55" s="37"/>
      <c r="G55" s="52"/>
      <c r="H55" s="37"/>
      <c r="I55" s="37"/>
      <c r="J55" s="37"/>
      <c r="K55" s="37"/>
      <c r="L55" s="37"/>
    </row>
    <row r="56" spans="6:16">
      <c r="F56" s="37"/>
      <c r="G56" s="37"/>
      <c r="I56" s="37"/>
      <c r="J56" s="37"/>
      <c r="K56" s="37"/>
      <c r="L56" s="37"/>
    </row>
    <row r="57" spans="6:16">
      <c r="I57" s="37"/>
      <c r="J57" s="37"/>
      <c r="K57" s="37"/>
      <c r="L57" s="37"/>
    </row>
  </sheetData>
  <mergeCells count="1">
    <mergeCell ref="B3:C4"/>
  </mergeCells>
  <dataValidations count="3">
    <dataValidation type="list" allowBlank="1" showInputMessage="1" showErrorMessage="1" sqref="C28:D28">
      <formula1>"ACT/ACT,ACT/365,ACT/365_ISDA,ACT/360,30/360,30E/360,ACT/365FJ"</formula1>
    </dataValidation>
    <dataValidation type="list" allowBlank="1" showInputMessage="1" showErrorMessage="1" sqref="C17:D17">
      <formula1>"PAYER,RECEIVER"</formula1>
    </dataValidation>
    <dataValidation type="list" allowBlank="1" showInputMessage="1" showErrorMessage="1" sqref="C34:D34">
      <formula1>"None,ShortStart,ShortEnd,LongStart,LongEnd,SS,SE,LS,LE"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S52"/>
  <sheetViews>
    <sheetView showGridLines="0" topLeftCell="EK1" zoomScaleNormal="100" workbookViewId="0">
      <selection activeCell="EK8" sqref="EK8"/>
    </sheetView>
  </sheetViews>
  <sheetFormatPr defaultRowHeight="15" outlineLevelCol="1"/>
  <cols>
    <col min="2" max="3" width="16.85546875" style="37" customWidth="1"/>
    <col min="4" max="4" width="32.7109375" style="37" customWidth="1"/>
    <col min="5" max="5" width="17.85546875" style="37" bestFit="1" customWidth="1"/>
    <col min="6" max="6" width="11" style="37" hidden="1" customWidth="1" outlineLevel="1"/>
    <col min="7" max="7" width="23.7109375" hidden="1" customWidth="1" outlineLevel="1"/>
    <col min="8" max="8" width="11.7109375" hidden="1" customWidth="1" outlineLevel="1"/>
    <col min="9" max="9" width="17.28515625" hidden="1" customWidth="1" outlineLevel="1"/>
    <col min="10" max="10" width="17.42578125" hidden="1" customWidth="1" outlineLevel="1"/>
    <col min="11" max="11" width="14.7109375" hidden="1" customWidth="1" outlineLevel="1"/>
    <col min="12" max="12" width="16.28515625" hidden="1" customWidth="1" outlineLevel="1"/>
    <col min="13" max="14" width="9.140625" hidden="1" customWidth="1" outlineLevel="1"/>
    <col min="15" max="15" width="10.5703125" hidden="1" customWidth="1" outlineLevel="1"/>
    <col min="16" max="16" width="19.28515625" hidden="1" customWidth="1" outlineLevel="1"/>
    <col min="17" max="17" width="18.85546875" hidden="1" customWidth="1" outlineLevel="1"/>
    <col min="18" max="18" width="10.140625" hidden="1" customWidth="1" outlineLevel="1"/>
    <col min="19" max="19" width="9.7109375" hidden="1" customWidth="1" outlineLevel="1"/>
    <col min="20" max="20" width="11.5703125" hidden="1" customWidth="1" outlineLevel="1"/>
    <col min="21" max="23" width="15.7109375" hidden="1" customWidth="1" outlineLevel="1"/>
    <col min="24" max="24" width="9.28515625" hidden="1" customWidth="1" outlineLevel="1"/>
    <col min="25" max="36" width="15.7109375" hidden="1" customWidth="1" outlineLevel="1"/>
    <col min="37" max="37" width="15.7109375" style="37" hidden="1" customWidth="1" outlineLevel="1"/>
    <col min="38" max="38" width="12.7109375" hidden="1" customWidth="1" outlineLevel="1"/>
    <col min="39" max="39" width="9.140625" hidden="1" customWidth="1" outlineLevel="1"/>
    <col min="40" max="40" width="11" hidden="1" customWidth="1" outlineLevel="1"/>
    <col min="41" max="41" width="11.7109375" hidden="1" customWidth="1" outlineLevel="1"/>
    <col min="42" max="42" width="17.28515625" hidden="1" customWidth="1" outlineLevel="1"/>
    <col min="43" max="43" width="11.140625" hidden="1" customWidth="1" outlineLevel="1"/>
    <col min="44" max="44" width="13.7109375" hidden="1" customWidth="1" outlineLevel="1"/>
    <col min="45" max="45" width="14" hidden="1" customWidth="1" outlineLevel="1"/>
    <col min="46" max="46" width="8.85546875" hidden="1" customWidth="1" outlineLevel="1"/>
    <col min="47" max="47" width="9" hidden="1" customWidth="1" outlineLevel="1"/>
    <col min="48" max="48" width="9.85546875" hidden="1" customWidth="1" outlineLevel="1"/>
    <col min="49" max="49" width="19.28515625" hidden="1" customWidth="1" outlineLevel="1"/>
    <col min="50" max="50" width="18.85546875" hidden="1" customWidth="1" outlineLevel="1"/>
    <col min="51" max="51" width="12.7109375" hidden="1" customWidth="1" outlineLevel="1"/>
    <col min="52" max="52" width="9.7109375" hidden="1" customWidth="1" outlineLevel="1"/>
    <col min="53" max="53" width="11.5703125" hidden="1" customWidth="1" outlineLevel="1"/>
    <col min="54" max="56" width="15.7109375" hidden="1" customWidth="1" outlineLevel="1"/>
    <col min="57" max="57" width="12.7109375" hidden="1" customWidth="1" outlineLevel="1"/>
    <col min="58" max="58" width="28.28515625" hidden="1" customWidth="1" outlineLevel="1"/>
    <col min="59" max="59" width="14.28515625" hidden="1" customWidth="1" outlineLevel="1"/>
    <col min="60" max="60" width="29.42578125" hidden="1" customWidth="1" outlineLevel="1"/>
    <col min="61" max="61" width="15.42578125" hidden="1" customWidth="1" outlineLevel="1"/>
    <col min="62" max="62" width="31" hidden="1" customWidth="1" outlineLevel="1"/>
    <col min="63" max="63" width="16.85546875" hidden="1" customWidth="1" outlineLevel="1"/>
    <col min="64" max="64" width="13.140625" hidden="1" customWidth="1" outlineLevel="1"/>
    <col min="65" max="65" width="12.5703125" hidden="1" customWidth="1" outlineLevel="1"/>
    <col min="66" max="67" width="9.140625" hidden="1" customWidth="1" outlineLevel="1"/>
    <col min="68" max="68" width="13.140625" hidden="1" customWidth="1" outlineLevel="1"/>
    <col min="69" max="69" width="11.7109375" hidden="1" customWidth="1" outlineLevel="1"/>
    <col min="70" max="70" width="11.7109375" style="37" hidden="1" customWidth="1" outlineLevel="1"/>
    <col min="71" max="71" width="12.7109375" hidden="1" customWidth="1" outlineLevel="1"/>
    <col min="72" max="72" width="9.140625" collapsed="1"/>
    <col min="73" max="73" width="32.140625" bestFit="1" customWidth="1"/>
    <col min="74" max="74" width="20.7109375" customWidth="1"/>
    <col min="75" max="75" width="9.140625" hidden="1" customWidth="1" outlineLevel="1"/>
    <col min="76" max="76" width="12.28515625" hidden="1" customWidth="1" outlineLevel="1"/>
    <col min="77" max="78" width="16.28515625" hidden="1" customWidth="1" outlineLevel="1"/>
    <col min="79" max="79" width="15" hidden="1" customWidth="1" outlineLevel="1"/>
    <col min="80" max="80" width="13.7109375" hidden="1" customWidth="1" outlineLevel="1"/>
    <col min="81" max="81" width="19" hidden="1" customWidth="1" outlineLevel="1"/>
    <col min="82" max="82" width="10.7109375" hidden="1" customWidth="1" outlineLevel="1"/>
    <col min="83" max="83" width="9.140625" hidden="1" customWidth="1" outlineLevel="1"/>
    <col min="84" max="84" width="9.85546875" hidden="1" customWidth="1" outlineLevel="1"/>
    <col min="85" max="85" width="19.28515625" hidden="1" customWidth="1" outlineLevel="1"/>
    <col min="86" max="86" width="18.85546875" hidden="1" customWidth="1" outlineLevel="1"/>
    <col min="87" max="87" width="15.7109375" hidden="1" customWidth="1" outlineLevel="1"/>
    <col min="88" max="88" width="9.140625" hidden="1" customWidth="1" outlineLevel="1"/>
    <col min="89" max="93" width="15.7109375" hidden="1" customWidth="1" outlineLevel="1"/>
    <col min="94" max="94" width="28.28515625" hidden="1" customWidth="1" outlineLevel="1"/>
    <col min="95" max="95" width="14.28515625" hidden="1" customWidth="1" outlineLevel="1"/>
    <col min="96" max="96" width="29.42578125" hidden="1" customWidth="1" outlineLevel="1"/>
    <col min="97" max="97" width="15.42578125" hidden="1" customWidth="1" outlineLevel="1"/>
    <col min="98" max="98" width="31" hidden="1" customWidth="1" outlineLevel="1"/>
    <col min="99" max="99" width="16.85546875" hidden="1" customWidth="1" outlineLevel="1"/>
    <col min="100" max="100" width="13.140625" hidden="1" customWidth="1" outlineLevel="1"/>
    <col min="101" max="101" width="12.5703125" hidden="1" customWidth="1" outlineLevel="1"/>
    <col min="102" max="103" width="9.140625" hidden="1" customWidth="1" outlineLevel="1"/>
    <col min="104" max="104" width="13.140625" hidden="1" customWidth="1" outlineLevel="1"/>
    <col min="105" max="105" width="11.7109375" hidden="1" customWidth="1" outlineLevel="1"/>
    <col min="106" max="106" width="15.7109375" hidden="1" customWidth="1" outlineLevel="1"/>
    <col min="107" max="107" width="9.140625" hidden="1" customWidth="1" outlineLevel="1"/>
    <col min="108" max="108" width="14.140625" hidden="1" customWidth="1" outlineLevel="1"/>
    <col min="109" max="109" width="12" hidden="1" customWidth="1" outlineLevel="1"/>
    <col min="110" max="110" width="17.28515625" hidden="1" customWidth="1" outlineLevel="1"/>
    <col min="111" max="111" width="11.140625" hidden="1" customWidth="1" outlineLevel="1"/>
    <col min="112" max="112" width="13.7109375" hidden="1" customWidth="1" outlineLevel="1"/>
    <col min="113" max="113" width="15.28515625" hidden="1" customWidth="1" outlineLevel="1"/>
    <col min="114" max="116" width="9.140625" hidden="1" customWidth="1" outlineLevel="1"/>
    <col min="117" max="117" width="19.28515625" hidden="1" customWidth="1" outlineLevel="1"/>
    <col min="118" max="118" width="18.85546875" hidden="1" customWidth="1" outlineLevel="1"/>
    <col min="119" max="119" width="15.7109375" hidden="1" customWidth="1" outlineLevel="1"/>
    <col min="120" max="120" width="9.7109375" hidden="1" customWidth="1" outlineLevel="1"/>
    <col min="121" max="121" width="11.5703125" hidden="1" customWidth="1" outlineLevel="1"/>
    <col min="122" max="125" width="15.7109375" hidden="1" customWidth="1" outlineLevel="1"/>
    <col min="126" max="126" width="28.28515625" hidden="1" customWidth="1" outlineLevel="1"/>
    <col min="127" max="127" width="14.28515625" hidden="1" customWidth="1" outlineLevel="1"/>
    <col min="128" max="128" width="29.42578125" hidden="1" customWidth="1" outlineLevel="1"/>
    <col min="129" max="129" width="15.42578125" hidden="1" customWidth="1" outlineLevel="1"/>
    <col min="130" max="130" width="31" hidden="1" customWidth="1" outlineLevel="1"/>
    <col min="131" max="131" width="16.85546875" hidden="1" customWidth="1" outlineLevel="1"/>
    <col min="132" max="132" width="13.140625" hidden="1" customWidth="1" outlineLevel="1"/>
    <col min="133" max="133" width="12.5703125" hidden="1" customWidth="1" outlineLevel="1"/>
    <col min="134" max="135" width="9.140625" hidden="1" customWidth="1" outlineLevel="1"/>
    <col min="136" max="136" width="13.140625" hidden="1" customWidth="1" outlineLevel="1"/>
    <col min="137" max="137" width="11.7109375" hidden="1" customWidth="1" outlineLevel="1"/>
    <col min="138" max="138" width="15.7109375" hidden="1" customWidth="1" outlineLevel="1"/>
    <col min="139" max="139" width="9.140625" collapsed="1"/>
    <col min="140" max="140" width="20" bestFit="1" customWidth="1"/>
    <col min="141" max="141" width="31.140625" bestFit="1" customWidth="1"/>
    <col min="142" max="142" width="18.140625" bestFit="1" customWidth="1"/>
    <col min="143" max="143" width="9.140625" style="37" customWidth="1"/>
    <col min="144" max="148" width="18.140625" style="37" customWidth="1"/>
    <col min="149" max="149" width="9.140625" hidden="1" customWidth="1" outlineLevel="1"/>
    <col min="150" max="150" width="23.7109375" hidden="1" customWidth="1" outlineLevel="1"/>
    <col min="151" max="151" width="15.7109375" hidden="1" customWidth="1" outlineLevel="1"/>
    <col min="152" max="152" width="17.28515625" hidden="1" customWidth="1" outlineLevel="1"/>
    <col min="153" max="153" width="18.5703125" hidden="1" customWidth="1" outlineLevel="1"/>
    <col min="154" max="154" width="13.7109375" hidden="1" customWidth="1" outlineLevel="1"/>
    <col min="155" max="155" width="14" hidden="1" customWidth="1" outlineLevel="1"/>
    <col min="156" max="157" width="9.140625" hidden="1" customWidth="1" outlineLevel="1"/>
    <col min="158" max="158" width="15.7109375" hidden="1" customWidth="1" outlineLevel="1"/>
    <col min="159" max="159" width="19.28515625" hidden="1" customWidth="1" outlineLevel="1"/>
    <col min="160" max="160" width="18.85546875" hidden="1" customWidth="1" outlineLevel="1"/>
    <col min="161" max="161" width="10.140625" hidden="1" customWidth="1" outlineLevel="1"/>
    <col min="162" max="162" width="9.7109375" hidden="1" customWidth="1" outlineLevel="1"/>
    <col min="163" max="163" width="11.5703125" hidden="1" customWidth="1" outlineLevel="1"/>
    <col min="164" max="167" width="15.7109375" hidden="1" customWidth="1" outlineLevel="1"/>
    <col min="168" max="168" width="28.28515625" hidden="1" customWidth="1" outlineLevel="1"/>
    <col min="169" max="169" width="9.140625" hidden="1" customWidth="1" outlineLevel="1"/>
    <col min="170" max="170" width="29.42578125" hidden="1" customWidth="1" outlineLevel="1"/>
    <col min="171" max="171" width="9.140625" hidden="1" customWidth="1" outlineLevel="1"/>
    <col min="172" max="172" width="31" hidden="1" customWidth="1" outlineLevel="1"/>
    <col min="173" max="173" width="9.140625" hidden="1" customWidth="1" outlineLevel="1"/>
    <col min="174" max="174" width="13.140625" hidden="1" customWidth="1" outlineLevel="1"/>
    <col min="175" max="175" width="12.5703125" hidden="1" customWidth="1" outlineLevel="1"/>
    <col min="176" max="177" width="9.140625" hidden="1" customWidth="1" outlineLevel="1"/>
    <col min="178" max="178" width="13.140625" hidden="1" customWidth="1" outlineLevel="1"/>
    <col min="179" max="179" width="11.7109375" hidden="1" customWidth="1" outlineLevel="1"/>
    <col min="180" max="180" width="15.7109375" hidden="1" customWidth="1" outlineLevel="1"/>
    <col min="181" max="181" width="9.140625" hidden="1" customWidth="1" outlineLevel="1"/>
    <col min="182" max="182" width="21" hidden="1" customWidth="1" outlineLevel="1"/>
    <col min="183" max="183" width="15.7109375" hidden="1" customWidth="1" outlineLevel="1"/>
    <col min="184" max="184" width="17.28515625" hidden="1" customWidth="1" outlineLevel="1"/>
    <col min="185" max="185" width="11.140625" hidden="1" customWidth="1" outlineLevel="1"/>
    <col min="186" max="186" width="15.7109375" hidden="1" customWidth="1" outlineLevel="1"/>
    <col min="187" max="190" width="9.140625" hidden="1" customWidth="1" outlineLevel="1"/>
    <col min="191" max="191" width="19.28515625" hidden="1" customWidth="1" outlineLevel="1"/>
    <col min="192" max="192" width="18.85546875" hidden="1" customWidth="1" outlineLevel="1"/>
    <col min="193" max="193" width="15.7109375" hidden="1" customWidth="1" outlineLevel="1"/>
    <col min="194" max="194" width="9.7109375" hidden="1" customWidth="1" outlineLevel="1"/>
    <col min="195" max="195" width="11.5703125" hidden="1" customWidth="1" outlineLevel="1"/>
    <col min="196" max="199" width="15.7109375" hidden="1" customWidth="1" outlineLevel="1"/>
    <col min="200" max="200" width="28.28515625" hidden="1" customWidth="1" outlineLevel="1"/>
    <col min="201" max="201" width="14.28515625" hidden="1" customWidth="1" outlineLevel="1"/>
    <col min="202" max="202" width="29.42578125" hidden="1" customWidth="1" outlineLevel="1"/>
    <col min="203" max="203" width="15.42578125" hidden="1" customWidth="1" outlineLevel="1"/>
    <col min="204" max="204" width="31" hidden="1" customWidth="1" outlineLevel="1"/>
    <col min="205" max="205" width="9.140625" hidden="1" customWidth="1" outlineLevel="1"/>
    <col min="206" max="206" width="13.140625" hidden="1" customWidth="1" outlineLevel="1"/>
    <col min="207" max="207" width="12.5703125" hidden="1" customWidth="1" outlineLevel="1"/>
    <col min="208" max="209" width="9.140625" hidden="1" customWidth="1" outlineLevel="1"/>
    <col min="210" max="210" width="13.140625" hidden="1" customWidth="1" outlineLevel="1"/>
    <col min="211" max="211" width="11.7109375" hidden="1" customWidth="1" outlineLevel="1"/>
    <col min="212" max="212" width="15.7109375" hidden="1" customWidth="1" outlineLevel="1"/>
    <col min="213" max="213" width="9.140625" collapsed="1"/>
    <col min="214" max="215" width="15.7109375" style="208" customWidth="1"/>
    <col min="216" max="216" width="19.5703125" style="208" bestFit="1" customWidth="1"/>
    <col min="217" max="217" width="21.7109375" style="208" bestFit="1" customWidth="1"/>
    <col min="218" max="218" width="15.7109375" customWidth="1"/>
    <col min="219" max="219" width="11.7109375" bestFit="1" customWidth="1"/>
    <col min="220" max="220" width="17.28515625" bestFit="1" customWidth="1"/>
    <col min="221" max="223" width="12.7109375" customWidth="1"/>
    <col min="224" max="224" width="14.28515625" bestFit="1" customWidth="1"/>
    <col min="225" max="225" width="12.7109375" customWidth="1"/>
  </cols>
  <sheetData>
    <row r="1" spans="1:227">
      <c r="BT1" s="186" t="s">
        <v>195</v>
      </c>
      <c r="BV1" s="106"/>
      <c r="BZ1" s="26" t="s">
        <v>277</v>
      </c>
      <c r="CC1" s="26" t="s">
        <v>242</v>
      </c>
      <c r="EI1" s="186" t="s">
        <v>237</v>
      </c>
      <c r="EJ1" s="37"/>
      <c r="EK1" s="37"/>
      <c r="EL1" s="37"/>
      <c r="ES1" s="37"/>
      <c r="ET1" s="37"/>
      <c r="EU1" s="37"/>
      <c r="EV1" s="37"/>
      <c r="EW1" s="37"/>
      <c r="EX1" s="37"/>
      <c r="EY1" s="37"/>
      <c r="EZ1" s="37"/>
      <c r="FA1" s="37"/>
      <c r="FB1" s="37"/>
      <c r="FC1" s="37"/>
      <c r="FD1" s="37"/>
      <c r="FE1" s="37"/>
      <c r="FF1" s="37"/>
      <c r="FG1" s="37"/>
      <c r="FH1" s="37"/>
      <c r="FI1" s="37"/>
      <c r="FJ1" s="37"/>
      <c r="FK1" s="37"/>
      <c r="FL1" s="37"/>
      <c r="FM1" s="37"/>
      <c r="FN1" s="37"/>
      <c r="FO1" s="37"/>
      <c r="FP1" s="37"/>
      <c r="FQ1" s="37"/>
      <c r="FR1" s="37"/>
      <c r="FS1" s="37"/>
      <c r="FT1" s="37"/>
      <c r="FU1" s="37"/>
      <c r="FV1" s="37"/>
      <c r="FW1" s="37"/>
      <c r="FX1" s="37"/>
      <c r="FY1" s="37"/>
      <c r="FZ1" s="37"/>
      <c r="GA1" s="37"/>
      <c r="GB1" s="37"/>
      <c r="GC1" s="37"/>
      <c r="GD1" s="37"/>
      <c r="GE1" s="37"/>
      <c r="GF1" s="37"/>
      <c r="GG1" s="37"/>
      <c r="GH1" s="37"/>
      <c r="GI1" s="37"/>
      <c r="GJ1" s="37"/>
      <c r="GK1" s="37"/>
      <c r="GL1" s="37"/>
      <c r="GM1" s="37"/>
      <c r="GN1" s="37"/>
      <c r="GO1" s="37"/>
      <c r="GP1" s="37"/>
      <c r="GQ1" s="37"/>
      <c r="GR1" s="37"/>
      <c r="GS1" s="37"/>
      <c r="GT1" s="37"/>
      <c r="GU1" s="37"/>
      <c r="GV1" s="37"/>
      <c r="GW1" s="37"/>
      <c r="GX1" s="37"/>
      <c r="GY1" s="37"/>
      <c r="GZ1" s="37"/>
      <c r="HA1" s="37"/>
      <c r="HB1" s="37"/>
      <c r="HC1" s="37"/>
      <c r="HD1" s="37"/>
      <c r="HE1" s="186" t="s">
        <v>244</v>
      </c>
      <c r="HF1" s="186"/>
    </row>
    <row r="2" spans="1:227" s="37" customFormat="1">
      <c r="E2" s="106">
        <f ca="1">E8</f>
        <v>370.96728454657466</v>
      </c>
      <c r="BZ2" s="273" t="s">
        <v>97</v>
      </c>
      <c r="CA2" s="274" t="s">
        <v>0</v>
      </c>
      <c r="CC2" s="27" t="s">
        <v>40</v>
      </c>
      <c r="CD2" s="142" t="b">
        <v>0</v>
      </c>
      <c r="HF2" s="208"/>
      <c r="HG2" s="208"/>
      <c r="HH2" s="208"/>
      <c r="HI2" s="208"/>
    </row>
    <row r="3" spans="1:227" s="37" customFormat="1">
      <c r="B3" s="26" t="s">
        <v>235</v>
      </c>
      <c r="D3" s="53" t="s">
        <v>258</v>
      </c>
      <c r="G3" s="26" t="s">
        <v>194</v>
      </c>
      <c r="J3" s="48" t="s">
        <v>206</v>
      </c>
      <c r="AN3" s="26" t="s">
        <v>194</v>
      </c>
      <c r="BU3" s="26" t="s">
        <v>236</v>
      </c>
      <c r="BX3" s="26" t="s">
        <v>236</v>
      </c>
      <c r="BZ3" s="80" t="s">
        <v>67</v>
      </c>
      <c r="CA3" s="33" t="s">
        <v>52</v>
      </c>
      <c r="CC3" s="28" t="s">
        <v>41</v>
      </c>
      <c r="CD3" s="57" t="s">
        <v>9</v>
      </c>
      <c r="DD3" s="26" t="s">
        <v>236</v>
      </c>
      <c r="EJ3" s="26" t="s">
        <v>245</v>
      </c>
      <c r="EK3" s="53" t="s">
        <v>259</v>
      </c>
      <c r="EN3" s="26" t="s">
        <v>253</v>
      </c>
      <c r="ET3" s="26" t="s">
        <v>246</v>
      </c>
      <c r="EW3" s="48" t="s">
        <v>206</v>
      </c>
      <c r="FZ3" s="26" t="s">
        <v>246</v>
      </c>
      <c r="HF3" s="107" t="s">
        <v>260</v>
      </c>
      <c r="HG3" s="208"/>
      <c r="HH3" s="53" t="s">
        <v>261</v>
      </c>
      <c r="HQ3" s="107" t="s">
        <v>262</v>
      </c>
    </row>
    <row r="4" spans="1:227" s="37" customFormat="1">
      <c r="D4" s="114">
        <f ca="1">_xll.meDateFromTenor(Settings.COB,"2D","MOD_FOLLOWING","NYB")</f>
        <v>44067</v>
      </c>
      <c r="E4" s="71"/>
      <c r="J4" s="115" t="s">
        <v>54</v>
      </c>
      <c r="K4" s="263" t="s">
        <v>0</v>
      </c>
      <c r="BZ4" s="271" t="s">
        <v>268</v>
      </c>
      <c r="CA4" s="140">
        <f ca="1">CD4</f>
        <v>0.75</v>
      </c>
      <c r="CC4" s="28" t="s">
        <v>42</v>
      </c>
      <c r="CD4" s="140">
        <f ca="1">SETTINGS!$L$5</f>
        <v>0.75</v>
      </c>
      <c r="CE4" s="26" t="s">
        <v>243</v>
      </c>
      <c r="EK4" s="114">
        <f ca="1">_xll.meDateFromTenor(Settings.COB,"2D","MOD_FOLLOWING","SYB")</f>
        <v>44067</v>
      </c>
      <c r="EN4" s="71"/>
      <c r="EO4" s="71"/>
      <c r="EP4" s="71"/>
      <c r="EQ4" s="71"/>
      <c r="ER4" s="71"/>
      <c r="EW4" s="115" t="s">
        <v>52</v>
      </c>
      <c r="EX4" s="116"/>
      <c r="HF4" s="208"/>
      <c r="HG4" s="208"/>
      <c r="HH4" s="234" t="s">
        <v>256</v>
      </c>
      <c r="HQ4" s="113">
        <f ca="1">MATCH(HH4,'AUD-BONDS'!$F$6:$F$32,0)</f>
        <v>2</v>
      </c>
    </row>
    <row r="5" spans="1:227" s="37" customFormat="1">
      <c r="D5" s="119"/>
      <c r="G5" s="26" t="s">
        <v>207</v>
      </c>
      <c r="J5" s="117" t="s">
        <v>269</v>
      </c>
      <c r="K5" s="264">
        <f ca="1">D4</f>
        <v>44067</v>
      </c>
      <c r="AN5" s="26" t="s">
        <v>208</v>
      </c>
      <c r="BV5" s="106"/>
      <c r="BZ5" s="271" t="s">
        <v>269</v>
      </c>
      <c r="CA5" s="269">
        <f ca="1">'EXAMPLE-XCCY-ASW-PX'!B10</f>
        <v>44067</v>
      </c>
      <c r="CC5" s="29" t="s">
        <v>43</v>
      </c>
      <c r="CD5" s="141"/>
      <c r="EK5" s="119"/>
      <c r="ET5" s="26" t="s">
        <v>207</v>
      </c>
      <c r="EW5" s="117"/>
      <c r="EX5" s="118"/>
      <c r="FZ5" s="26" t="s">
        <v>208</v>
      </c>
      <c r="HF5" s="208"/>
      <c r="HG5" s="208"/>
      <c r="HI5" s="208"/>
    </row>
    <row r="6" spans="1:227" s="37" customFormat="1">
      <c r="B6" s="26"/>
      <c r="E6" s="106"/>
      <c r="BX6" s="26" t="s">
        <v>239</v>
      </c>
      <c r="BZ6" s="272" t="s">
        <v>41</v>
      </c>
      <c r="CA6" s="250">
        <f ca="1">BZ49</f>
        <v>0</v>
      </c>
      <c r="DD6" s="26" t="s">
        <v>240</v>
      </c>
      <c r="EJ6" s="26"/>
      <c r="EL6" s="106"/>
      <c r="EN6" s="26"/>
      <c r="HF6" s="208"/>
      <c r="HG6" s="208"/>
      <c r="HH6" s="208"/>
      <c r="HI6" s="208"/>
    </row>
    <row r="7" spans="1:227">
      <c r="B7" s="53" t="s">
        <v>87</v>
      </c>
      <c r="C7" s="53" t="s">
        <v>198</v>
      </c>
      <c r="D7" s="107" t="s">
        <v>195</v>
      </c>
      <c r="E7" s="53" t="s">
        <v>196</v>
      </c>
      <c r="G7" s="111" t="s">
        <v>1</v>
      </c>
      <c r="H7" s="111" t="s">
        <v>2</v>
      </c>
      <c r="I7" s="111" t="s">
        <v>3</v>
      </c>
      <c r="J7" s="111" t="s">
        <v>4</v>
      </c>
      <c r="K7" s="111" t="s">
        <v>6</v>
      </c>
      <c r="L7" s="111" t="s">
        <v>7</v>
      </c>
      <c r="M7" s="111" t="s">
        <v>8</v>
      </c>
      <c r="N7" s="111" t="s">
        <v>10</v>
      </c>
      <c r="O7" s="111" t="s">
        <v>11</v>
      </c>
      <c r="P7" s="111" t="s">
        <v>13</v>
      </c>
      <c r="Q7" s="111" t="s">
        <v>15</v>
      </c>
      <c r="R7" s="111" t="s">
        <v>16</v>
      </c>
      <c r="S7" s="111" t="s">
        <v>17</v>
      </c>
      <c r="T7" s="111" t="s">
        <v>18</v>
      </c>
      <c r="U7" s="111" t="s">
        <v>19</v>
      </c>
      <c r="V7" s="111" t="s">
        <v>20</v>
      </c>
      <c r="W7" s="111" t="s">
        <v>21</v>
      </c>
      <c r="X7" s="111" t="s">
        <v>22</v>
      </c>
      <c r="Y7" s="111" t="s">
        <v>23</v>
      </c>
      <c r="Z7" s="111" t="s">
        <v>25</v>
      </c>
      <c r="AA7" s="111" t="s">
        <v>26</v>
      </c>
      <c r="AB7" s="111" t="s">
        <v>27</v>
      </c>
      <c r="AC7" s="111" t="s">
        <v>28</v>
      </c>
      <c r="AD7" s="111" t="s">
        <v>29</v>
      </c>
      <c r="AE7" s="111" t="s">
        <v>30</v>
      </c>
      <c r="AF7" s="111" t="s">
        <v>31</v>
      </c>
      <c r="AG7" s="111" t="s">
        <v>32</v>
      </c>
      <c r="AH7" s="111" t="s">
        <v>34</v>
      </c>
      <c r="AI7" s="111" t="s">
        <v>36</v>
      </c>
      <c r="AJ7" s="111" t="s">
        <v>37</v>
      </c>
      <c r="AK7" s="111" t="s">
        <v>84</v>
      </c>
      <c r="AL7" s="111" t="s">
        <v>38</v>
      </c>
      <c r="AM7" s="112"/>
      <c r="AN7" s="111" t="s">
        <v>1</v>
      </c>
      <c r="AO7" s="111" t="s">
        <v>2</v>
      </c>
      <c r="AP7" s="111" t="s">
        <v>3</v>
      </c>
      <c r="AQ7" s="111" t="s">
        <v>4</v>
      </c>
      <c r="AR7" s="111" t="s">
        <v>6</v>
      </c>
      <c r="AS7" s="111" t="s">
        <v>7</v>
      </c>
      <c r="AT7" s="111" t="s">
        <v>8</v>
      </c>
      <c r="AU7" s="111" t="s">
        <v>10</v>
      </c>
      <c r="AV7" s="111" t="s">
        <v>11</v>
      </c>
      <c r="AW7" s="111" t="s">
        <v>13</v>
      </c>
      <c r="AX7" s="111" t="s">
        <v>15</v>
      </c>
      <c r="AY7" s="111" t="s">
        <v>16</v>
      </c>
      <c r="AZ7" s="111" t="s">
        <v>17</v>
      </c>
      <c r="BA7" s="111" t="s">
        <v>18</v>
      </c>
      <c r="BB7" s="111" t="s">
        <v>19</v>
      </c>
      <c r="BC7" s="111" t="s">
        <v>20</v>
      </c>
      <c r="BD7" s="111" t="s">
        <v>21</v>
      </c>
      <c r="BE7" s="111" t="s">
        <v>22</v>
      </c>
      <c r="BF7" s="111" t="s">
        <v>23</v>
      </c>
      <c r="BG7" s="111" t="s">
        <v>25</v>
      </c>
      <c r="BH7" s="111" t="s">
        <v>26</v>
      </c>
      <c r="BI7" s="111" t="s">
        <v>27</v>
      </c>
      <c r="BJ7" s="111" t="s">
        <v>28</v>
      </c>
      <c r="BK7" s="111" t="s">
        <v>29</v>
      </c>
      <c r="BL7" s="111" t="s">
        <v>30</v>
      </c>
      <c r="BM7" s="111" t="s">
        <v>31</v>
      </c>
      <c r="BN7" s="111" t="s">
        <v>32</v>
      </c>
      <c r="BO7" s="111" t="s">
        <v>34</v>
      </c>
      <c r="BP7" s="111" t="s">
        <v>36</v>
      </c>
      <c r="BQ7" s="111" t="s">
        <v>37</v>
      </c>
      <c r="BR7" s="111" t="s">
        <v>84</v>
      </c>
      <c r="BS7" s="111" t="s">
        <v>38</v>
      </c>
      <c r="BU7" s="111" t="s">
        <v>237</v>
      </c>
      <c r="BV7" s="111" t="s">
        <v>238</v>
      </c>
      <c r="BW7" s="110">
        <v>1</v>
      </c>
      <c r="BX7" s="53" t="s">
        <v>1</v>
      </c>
      <c r="BY7" s="53" t="s">
        <v>2</v>
      </c>
      <c r="BZ7" s="53" t="s">
        <v>3</v>
      </c>
      <c r="CA7" s="53" t="s">
        <v>4</v>
      </c>
      <c r="CB7" s="53" t="s">
        <v>6</v>
      </c>
      <c r="CC7" s="53" t="s">
        <v>7</v>
      </c>
      <c r="CD7" s="53" t="s">
        <v>8</v>
      </c>
      <c r="CE7" s="53" t="s">
        <v>10</v>
      </c>
      <c r="CF7" s="53" t="s">
        <v>11</v>
      </c>
      <c r="CG7" s="53" t="s">
        <v>13</v>
      </c>
      <c r="CH7" s="53" t="s">
        <v>15</v>
      </c>
      <c r="CI7" s="53" t="s">
        <v>16</v>
      </c>
      <c r="CJ7" s="53" t="s">
        <v>17</v>
      </c>
      <c r="CK7" s="53" t="s">
        <v>18</v>
      </c>
      <c r="CL7" s="53" t="s">
        <v>19</v>
      </c>
      <c r="CM7" s="53" t="s">
        <v>20</v>
      </c>
      <c r="CN7" s="53" t="s">
        <v>21</v>
      </c>
      <c r="CO7" s="53" t="s">
        <v>22</v>
      </c>
      <c r="CP7" s="53" t="s">
        <v>23</v>
      </c>
      <c r="CQ7" s="53" t="s">
        <v>25</v>
      </c>
      <c r="CR7" s="53" t="s">
        <v>26</v>
      </c>
      <c r="CS7" s="53" t="s">
        <v>27</v>
      </c>
      <c r="CT7" s="53" t="s">
        <v>28</v>
      </c>
      <c r="CU7" s="53" t="s">
        <v>29</v>
      </c>
      <c r="CV7" s="53" t="s">
        <v>30</v>
      </c>
      <c r="CW7" s="53" t="s">
        <v>31</v>
      </c>
      <c r="CX7" s="53" t="s">
        <v>32</v>
      </c>
      <c r="CY7" s="53" t="s">
        <v>34</v>
      </c>
      <c r="CZ7" s="53" t="s">
        <v>36</v>
      </c>
      <c r="DA7" s="53" t="s">
        <v>37</v>
      </c>
      <c r="DB7" s="53" t="s">
        <v>38</v>
      </c>
      <c r="DC7" s="110">
        <v>1</v>
      </c>
      <c r="DD7" s="53" t="s">
        <v>1</v>
      </c>
      <c r="DE7" s="53" t="s">
        <v>2</v>
      </c>
      <c r="DF7" s="53" t="s">
        <v>3</v>
      </c>
      <c r="DG7" s="53" t="s">
        <v>4</v>
      </c>
      <c r="DH7" s="53" t="s">
        <v>6</v>
      </c>
      <c r="DI7" s="53" t="s">
        <v>7</v>
      </c>
      <c r="DJ7" s="53" t="s">
        <v>8</v>
      </c>
      <c r="DK7" s="53" t="s">
        <v>10</v>
      </c>
      <c r="DL7" s="53" t="s">
        <v>11</v>
      </c>
      <c r="DM7" s="53" t="s">
        <v>13</v>
      </c>
      <c r="DN7" s="53" t="s">
        <v>15</v>
      </c>
      <c r="DO7" s="53" t="s">
        <v>16</v>
      </c>
      <c r="DP7" s="53" t="s">
        <v>17</v>
      </c>
      <c r="DQ7" s="53" t="s">
        <v>18</v>
      </c>
      <c r="DR7" s="53" t="s">
        <v>19</v>
      </c>
      <c r="DS7" s="53" t="s">
        <v>20</v>
      </c>
      <c r="DT7" s="53" t="s">
        <v>21</v>
      </c>
      <c r="DU7" s="53" t="s">
        <v>22</v>
      </c>
      <c r="DV7" s="53" t="s">
        <v>23</v>
      </c>
      <c r="DW7" s="53" t="s">
        <v>25</v>
      </c>
      <c r="DX7" s="53" t="s">
        <v>26</v>
      </c>
      <c r="DY7" s="53" t="s">
        <v>27</v>
      </c>
      <c r="DZ7" s="53" t="s">
        <v>28</v>
      </c>
      <c r="EA7" s="53" t="s">
        <v>29</v>
      </c>
      <c r="EB7" s="53" t="s">
        <v>30</v>
      </c>
      <c r="EC7" s="53" t="s">
        <v>31</v>
      </c>
      <c r="ED7" s="53" t="s">
        <v>32</v>
      </c>
      <c r="EE7" s="53" t="s">
        <v>34</v>
      </c>
      <c r="EF7" s="53" t="s">
        <v>36</v>
      </c>
      <c r="EG7" s="53" t="s">
        <v>37</v>
      </c>
      <c r="EH7" s="53" t="s">
        <v>38</v>
      </c>
      <c r="EI7" s="37"/>
      <c r="EJ7" s="53" t="s">
        <v>87</v>
      </c>
      <c r="EK7" s="107" t="s">
        <v>244</v>
      </c>
      <c r="EL7" s="53" t="s">
        <v>247</v>
      </c>
      <c r="EM7" s="53"/>
      <c r="EN7" s="53" t="s">
        <v>249</v>
      </c>
      <c r="EO7" s="53" t="s">
        <v>248</v>
      </c>
      <c r="EP7" s="53" t="s">
        <v>250</v>
      </c>
      <c r="EQ7" s="53" t="s">
        <v>251</v>
      </c>
      <c r="ER7" s="53" t="s">
        <v>252</v>
      </c>
      <c r="ES7" s="37"/>
      <c r="ET7" s="111" t="s">
        <v>1</v>
      </c>
      <c r="EU7" s="111" t="s">
        <v>2</v>
      </c>
      <c r="EV7" s="111" t="s">
        <v>3</v>
      </c>
      <c r="EW7" s="111" t="s">
        <v>4</v>
      </c>
      <c r="EX7" s="111" t="s">
        <v>6</v>
      </c>
      <c r="EY7" s="111" t="s">
        <v>7</v>
      </c>
      <c r="EZ7" s="111" t="s">
        <v>8</v>
      </c>
      <c r="FA7" s="111" t="s">
        <v>10</v>
      </c>
      <c r="FB7" s="111" t="s">
        <v>11</v>
      </c>
      <c r="FC7" s="111" t="s">
        <v>13</v>
      </c>
      <c r="FD7" s="111" t="s">
        <v>15</v>
      </c>
      <c r="FE7" s="111" t="s">
        <v>16</v>
      </c>
      <c r="FF7" s="111" t="s">
        <v>17</v>
      </c>
      <c r="FG7" s="111" t="s">
        <v>18</v>
      </c>
      <c r="FH7" s="111" t="s">
        <v>19</v>
      </c>
      <c r="FI7" s="111" t="s">
        <v>20</v>
      </c>
      <c r="FJ7" s="111" t="s">
        <v>21</v>
      </c>
      <c r="FK7" s="111" t="s">
        <v>22</v>
      </c>
      <c r="FL7" s="111" t="s">
        <v>23</v>
      </c>
      <c r="FM7" s="111" t="s">
        <v>25</v>
      </c>
      <c r="FN7" s="111" t="s">
        <v>26</v>
      </c>
      <c r="FO7" s="111" t="s">
        <v>27</v>
      </c>
      <c r="FP7" s="111" t="s">
        <v>28</v>
      </c>
      <c r="FQ7" s="111" t="s">
        <v>29</v>
      </c>
      <c r="FR7" s="111" t="s">
        <v>30</v>
      </c>
      <c r="FS7" s="111" t="s">
        <v>31</v>
      </c>
      <c r="FT7" s="111" t="s">
        <v>32</v>
      </c>
      <c r="FU7" s="111" t="s">
        <v>34</v>
      </c>
      <c r="FV7" s="111" t="s">
        <v>36</v>
      </c>
      <c r="FW7" s="111" t="s">
        <v>37</v>
      </c>
      <c r="FX7" s="111" t="s">
        <v>38</v>
      </c>
      <c r="FY7" s="112"/>
      <c r="FZ7" s="111" t="s">
        <v>1</v>
      </c>
      <c r="GA7" s="111" t="s">
        <v>2</v>
      </c>
      <c r="GB7" s="111" t="s">
        <v>3</v>
      </c>
      <c r="GC7" s="111" t="s">
        <v>4</v>
      </c>
      <c r="GD7" s="111" t="s">
        <v>6</v>
      </c>
      <c r="GE7" s="111" t="s">
        <v>7</v>
      </c>
      <c r="GF7" s="111" t="s">
        <v>8</v>
      </c>
      <c r="GG7" s="111" t="s">
        <v>10</v>
      </c>
      <c r="GH7" s="111" t="s">
        <v>11</v>
      </c>
      <c r="GI7" s="111" t="s">
        <v>13</v>
      </c>
      <c r="GJ7" s="111" t="s">
        <v>15</v>
      </c>
      <c r="GK7" s="111" t="s">
        <v>16</v>
      </c>
      <c r="GL7" s="111" t="s">
        <v>17</v>
      </c>
      <c r="GM7" s="111" t="s">
        <v>18</v>
      </c>
      <c r="GN7" s="111" t="s">
        <v>19</v>
      </c>
      <c r="GO7" s="111" t="s">
        <v>20</v>
      </c>
      <c r="GP7" s="111" t="s">
        <v>21</v>
      </c>
      <c r="GQ7" s="111" t="s">
        <v>22</v>
      </c>
      <c r="GR7" s="111" t="s">
        <v>23</v>
      </c>
      <c r="GS7" s="111" t="s">
        <v>25</v>
      </c>
      <c r="GT7" s="111" t="s">
        <v>26</v>
      </c>
      <c r="GU7" s="111" t="s">
        <v>27</v>
      </c>
      <c r="GV7" s="111" t="s">
        <v>28</v>
      </c>
      <c r="GW7" s="111" t="s">
        <v>29</v>
      </c>
      <c r="GX7" s="111" t="s">
        <v>30</v>
      </c>
      <c r="GY7" s="111" t="s">
        <v>31</v>
      </c>
      <c r="GZ7" s="111" t="s">
        <v>32</v>
      </c>
      <c r="HA7" s="111" t="s">
        <v>34</v>
      </c>
      <c r="HB7" s="111" t="s">
        <v>36</v>
      </c>
      <c r="HC7" s="111" t="s">
        <v>37</v>
      </c>
      <c r="HD7" s="111" t="s">
        <v>38</v>
      </c>
      <c r="HE7" s="37" t="s">
        <v>264</v>
      </c>
      <c r="HF7" s="230" t="str">
        <f t="array" aca="1" ref="HF7:HQ50" ca="1">_xll.meUtilityResize(_xll.meLWOBondDisplayCashflows(OFFSET('AUD-BONDS'!$D6,$HQ$4-1,0),$EK$4,OFFSET(EN$8,$HQ$4-1,0)),100,100)</f>
        <v>#Error: No range or empty range specified</v>
      </c>
      <c r="HG7" s="230" t="str">
        <f ca="1"/>
        <v>#Error: No range or empty range specified</v>
      </c>
      <c r="HH7" s="230" t="str">
        <f ca="1"/>
        <v>#Error: No range or empty range specified</v>
      </c>
      <c r="HI7" s="230" t="str">
        <f ca="1"/>
        <v>#Error: No range or empty range specified</v>
      </c>
      <c r="HJ7" s="230" t="str">
        <f ca="1"/>
        <v>#Error: No range or empty range specified</v>
      </c>
      <c r="HK7" s="231" t="str">
        <f ca="1"/>
        <v>#Error: No range or empty range specified</v>
      </c>
      <c r="HL7" s="231" t="str">
        <f ca="1"/>
        <v>#Error: No range or empty range specified</v>
      </c>
      <c r="HM7" s="232" t="str">
        <f ca="1"/>
        <v>#Error: No range or empty range specified</v>
      </c>
      <c r="HN7" s="233" t="str">
        <f ca="1"/>
        <v>#Error: No range or empty range specified</v>
      </c>
      <c r="HO7" s="230" t="str">
        <f ca="1"/>
        <v>#Error: No range or empty range specified</v>
      </c>
      <c r="HP7" s="230" t="str">
        <f ca="1"/>
        <v>#Error: No range or empty range specified</v>
      </c>
      <c r="HQ7" s="230" t="str">
        <f ca="1"/>
        <v>#Error: No range or empty range specified</v>
      </c>
    </row>
    <row r="8" spans="1:227">
      <c r="A8" s="110">
        <v>1</v>
      </c>
      <c r="B8" s="120" t="str">
        <f ca="1">'USD-BONDS'!F6</f>
        <v>USJ46186BC59</v>
      </c>
      <c r="C8" s="205">
        <f ca="1">'USD-BONDS'!B6</f>
        <v>96.021000000000001</v>
      </c>
      <c r="D8" s="121" t="str">
        <f ca="1">_xll.meLWOSwapCreate($D$7&amp;"_"&amp;B8,_xll.meUtilityLVBFromKeysAndMultipleValues($G$7:$AL$7,G8:AL8,AN8:BS8))</f>
        <v>USD_ASW_USJ46186BC59@172:6</v>
      </c>
      <c r="E8" s="122">
        <f ca="1">_xll.meLWOAssetSwapSpread(D8,'USD-BONDS'!D6,C8,$J$4:$K$5)</f>
        <v>370.96728454657466</v>
      </c>
      <c r="F8" s="110">
        <v>1</v>
      </c>
      <c r="G8" s="143" t="s">
        <v>263</v>
      </c>
      <c r="H8" s="144">
        <v>1000000</v>
      </c>
      <c r="I8" s="145" t="s">
        <v>44</v>
      </c>
      <c r="J8" s="145" t="s">
        <v>96</v>
      </c>
      <c r="K8" s="145"/>
      <c r="L8" s="145" t="s">
        <v>46</v>
      </c>
      <c r="M8" s="145" t="s">
        <v>9</v>
      </c>
      <c r="N8" s="146">
        <v>1</v>
      </c>
      <c r="O8" s="133">
        <f ca="1">'USD-BONDS'!M6</f>
        <v>3.2000000000000001E-2</v>
      </c>
      <c r="P8" s="145"/>
      <c r="Q8" s="145"/>
      <c r="R8" s="154"/>
      <c r="S8" s="145" t="s">
        <v>12</v>
      </c>
      <c r="T8" s="146"/>
      <c r="U8" s="127">
        <f ca="1">_xll.meLWOBondLastCouponDate('USD-BONDS'!D6,Settings.COB)</f>
        <v>43916</v>
      </c>
      <c r="V8" s="127">
        <f ca="1">'USD-BONDS'!L6</f>
        <v>45742</v>
      </c>
      <c r="W8" s="166" t="str">
        <f ca="1">'USD-BONDS'!O6</f>
        <v>SEMI-ANNUAL</v>
      </c>
      <c r="X8" s="128" t="str">
        <f ca="1">'USD-BONDS'!N6</f>
        <v>30E/360</v>
      </c>
      <c r="Y8" s="145" t="s">
        <v>82</v>
      </c>
      <c r="Z8" s="145" t="s">
        <v>68</v>
      </c>
      <c r="AA8" s="145" t="s">
        <v>82</v>
      </c>
      <c r="AB8" s="145" t="s">
        <v>68</v>
      </c>
      <c r="AC8" s="145" t="s">
        <v>82</v>
      </c>
      <c r="AD8" s="145" t="s">
        <v>68</v>
      </c>
      <c r="AE8" s="145"/>
      <c r="AF8" s="145"/>
      <c r="AG8" s="145" t="s">
        <v>33</v>
      </c>
      <c r="AH8" s="145"/>
      <c r="AI8" s="145"/>
      <c r="AJ8" s="145" t="s">
        <v>35</v>
      </c>
      <c r="AK8" s="262" t="s">
        <v>267</v>
      </c>
      <c r="AL8" s="157" t="s">
        <v>39</v>
      </c>
      <c r="AM8" s="110">
        <v>1</v>
      </c>
      <c r="AN8" s="143" t="s">
        <v>67</v>
      </c>
      <c r="AO8" s="144">
        <v>1000000</v>
      </c>
      <c r="AP8" s="145" t="s">
        <v>44</v>
      </c>
      <c r="AQ8" s="145" t="s">
        <v>99</v>
      </c>
      <c r="AR8" s="166" t="s">
        <v>102</v>
      </c>
      <c r="AS8" s="145" t="s">
        <v>46</v>
      </c>
      <c r="AT8" s="145" t="s">
        <v>9</v>
      </c>
      <c r="AU8" s="146">
        <v>1</v>
      </c>
      <c r="AV8" s="160"/>
      <c r="AW8" s="145" t="s">
        <v>14</v>
      </c>
      <c r="AX8" s="145" t="s">
        <v>14</v>
      </c>
      <c r="AY8" s="169">
        <f ca="1">SETTINGS!$F$6</f>
        <v>1.2955599999999999E-2</v>
      </c>
      <c r="AZ8" s="145" t="s">
        <v>12</v>
      </c>
      <c r="BA8" s="146">
        <v>0</v>
      </c>
      <c r="BB8" s="127">
        <f ca="1">_xll.meLWOBondLastCouponDate('USD-BONDS'!D6,Settings.COB)</f>
        <v>43916</v>
      </c>
      <c r="BC8" s="127">
        <f ca="1">'USD-BONDS'!L6</f>
        <v>45742</v>
      </c>
      <c r="BD8" s="166" t="s">
        <v>100</v>
      </c>
      <c r="BE8" s="128" t="s">
        <v>101</v>
      </c>
      <c r="BF8" s="163" t="s">
        <v>82</v>
      </c>
      <c r="BG8" s="163" t="s">
        <v>68</v>
      </c>
      <c r="BH8" s="163" t="s">
        <v>82</v>
      </c>
      <c r="BI8" s="163" t="s">
        <v>68</v>
      </c>
      <c r="BJ8" s="163" t="s">
        <v>82</v>
      </c>
      <c r="BK8" s="163" t="s">
        <v>68</v>
      </c>
      <c r="BL8" s="145"/>
      <c r="BM8" s="145"/>
      <c r="BN8" s="145" t="s">
        <v>33</v>
      </c>
      <c r="BO8" s="145" t="s">
        <v>35</v>
      </c>
      <c r="BP8" s="145"/>
      <c r="BQ8" s="145" t="s">
        <v>35</v>
      </c>
      <c r="BR8" s="145"/>
      <c r="BS8" s="157" t="s">
        <v>39</v>
      </c>
      <c r="BT8" s="110">
        <v>1</v>
      </c>
      <c r="BU8" s="172" t="str">
        <f ca="1">_xll.meLWOXccySwapCreate($BU$7&amp;"_"&amp;B8,_xll.meUtilityLVBFromKeysAndMultipleValues($BX$7:$DB$7,BX8:DB8,DD8:EH8),$CC$2:$CD$5)</f>
        <v>XCCY_SWAP_USJ46186BC59@176:6</v>
      </c>
      <c r="BV8" s="173">
        <f ca="1">_xll.meLWOXccySwapParSpread(BU8,$BZ$2:$CA$6,,$BZ$3)</f>
        <v>335.86529697693265</v>
      </c>
      <c r="BW8" s="110">
        <f ca="1">BW7+1</f>
        <v>2</v>
      </c>
      <c r="BX8" s="143" t="s">
        <v>97</v>
      </c>
      <c r="BY8" s="144">
        <v>1000000</v>
      </c>
      <c r="BZ8" s="145" t="s">
        <v>71</v>
      </c>
      <c r="CA8" s="145" t="s">
        <v>96</v>
      </c>
      <c r="CB8" s="134" t="s">
        <v>102</v>
      </c>
      <c r="CC8" s="145" t="s">
        <v>46</v>
      </c>
      <c r="CD8" s="145" t="s">
        <v>9</v>
      </c>
      <c r="CE8" s="146">
        <v>1</v>
      </c>
      <c r="CF8" s="145"/>
      <c r="CG8" s="145" t="s">
        <v>14</v>
      </c>
      <c r="CH8" s="145" t="s">
        <v>14</v>
      </c>
      <c r="CI8" s="169">
        <f ca="1">SETTINGS!$F$6</f>
        <v>1.2955599999999999E-2</v>
      </c>
      <c r="CJ8" s="145" t="s">
        <v>12</v>
      </c>
      <c r="CK8" s="177">
        <f ca="1">$E8</f>
        <v>370.96728454657466</v>
      </c>
      <c r="CL8" s="127">
        <f ca="1">_xll.meLWOBondLastCouponDate('USD-BONDS'!D6,Settings.COB)</f>
        <v>43916</v>
      </c>
      <c r="CM8" s="127">
        <f ca="1">'USD-BONDS'!L6</f>
        <v>45742</v>
      </c>
      <c r="CN8" s="166" t="s">
        <v>100</v>
      </c>
      <c r="CO8" s="166" t="s">
        <v>101</v>
      </c>
      <c r="CP8" s="145" t="s">
        <v>82</v>
      </c>
      <c r="CQ8" s="145" t="s">
        <v>68</v>
      </c>
      <c r="CR8" s="145" t="s">
        <v>82</v>
      </c>
      <c r="CS8" s="145" t="s">
        <v>68</v>
      </c>
      <c r="CT8" s="145" t="s">
        <v>82</v>
      </c>
      <c r="CU8" s="145" t="s">
        <v>68</v>
      </c>
      <c r="CV8" s="145"/>
      <c r="CW8" s="145"/>
      <c r="CX8" s="145" t="s">
        <v>33</v>
      </c>
      <c r="CY8" s="145" t="s">
        <v>35</v>
      </c>
      <c r="CZ8" s="145"/>
      <c r="DA8" s="145" t="s">
        <v>35</v>
      </c>
      <c r="DB8" s="157" t="s">
        <v>39</v>
      </c>
      <c r="DC8" s="110">
        <f ca="1">DC7+1</f>
        <v>2</v>
      </c>
      <c r="DD8" s="143" t="s">
        <v>67</v>
      </c>
      <c r="DE8" s="180">
        <f ca="1">BY8/$CD$4</f>
        <v>1333333.3333333333</v>
      </c>
      <c r="DF8" s="145" t="s">
        <v>71</v>
      </c>
      <c r="DG8" s="145" t="s">
        <v>99</v>
      </c>
      <c r="DH8" s="181" t="s">
        <v>66</v>
      </c>
      <c r="DI8" s="145" t="s">
        <v>105</v>
      </c>
      <c r="DJ8" s="145" t="s">
        <v>45</v>
      </c>
      <c r="DK8" s="146">
        <v>1</v>
      </c>
      <c r="DL8" s="145"/>
      <c r="DM8" s="145" t="s">
        <v>14</v>
      </c>
      <c r="DN8" s="145" t="s">
        <v>14</v>
      </c>
      <c r="DO8" s="169">
        <f ca="1">SETTINGS!$I$6</f>
        <v>1.7100000000000001E-2</v>
      </c>
      <c r="DP8" s="145" t="s">
        <v>12</v>
      </c>
      <c r="DQ8" s="146">
        <v>0</v>
      </c>
      <c r="DR8" s="127">
        <f ca="1">_xll.meLWOBondLastCouponDate('AUD-BONDS'!D6,Settings.COB)</f>
        <v>44027</v>
      </c>
      <c r="DS8" s="127">
        <f ca="1">'AUD-BONDS'!L6</f>
        <v>46037</v>
      </c>
      <c r="DT8" s="85" t="s">
        <v>100</v>
      </c>
      <c r="DU8" s="85" t="s">
        <v>103</v>
      </c>
      <c r="DV8" s="145" t="s">
        <v>82</v>
      </c>
      <c r="DW8" s="145" t="s">
        <v>65</v>
      </c>
      <c r="DX8" s="145" t="s">
        <v>82</v>
      </c>
      <c r="DY8" s="145" t="s">
        <v>65</v>
      </c>
      <c r="DZ8" s="145" t="s">
        <v>82</v>
      </c>
      <c r="EA8" s="145" t="s">
        <v>65</v>
      </c>
      <c r="EB8" s="145"/>
      <c r="EC8" s="145"/>
      <c r="ED8" s="145" t="s">
        <v>33</v>
      </c>
      <c r="EE8" s="145" t="s">
        <v>35</v>
      </c>
      <c r="EF8" s="145"/>
      <c r="EG8" s="145" t="s">
        <v>35</v>
      </c>
      <c r="EH8" s="157" t="s">
        <v>39</v>
      </c>
      <c r="EI8" s="110">
        <v>1</v>
      </c>
      <c r="EJ8" s="120" t="str">
        <f ca="1">'AUD-BONDS'!F6</f>
        <v>XS1344710857</v>
      </c>
      <c r="EK8" s="121" t="str">
        <f ca="1">_xll.meLWOSwapCreate($EK$7&amp;"_"&amp;EJ8,_xll.meUtilityLVBFromKeysAndMultipleValues($ET$7:$FX$7,ET8:FX8,FZ8:HD8))</f>
        <v>#Error: Missing key 'CALCULATIONTYPE'. This key is mandatory and must be included in the Label Value Block , 'scheduleLVB'.</v>
      </c>
      <c r="EL8" s="203" t="str">
        <f ca="1">_xll.meLWOAssetSwapSpreadToCleanPrice($EK8,$EK$4,$BV8,$EW$4)</f>
        <v>#Error: Swap #ERROR does not exist</v>
      </c>
      <c r="EM8" s="110">
        <v>1</v>
      </c>
      <c r="EN8" s="193" t="str">
        <f ca="1">_xll.meLWOBondYield('AUD-BONDS'!D6,$EK$4,$EL8)</f>
        <v>#Error: Invalid input, numerical input required</v>
      </c>
      <c r="EO8" s="194" t="str">
        <f ca="1">_xll.meLWOBondCleanPrice('AUD-BONDS'!$D6,$EK$4,$EN8)</f>
        <v>#Error: Invalid Vector Data:  Input Contains Errors</v>
      </c>
      <c r="EP8" s="194" t="str">
        <f ca="1">_xll.meLWOBondDirtyPrice('AUD-BONDS'!$D6,$EK$4,$EN8)</f>
        <v>#Error: Invalid Vector Data:  Input Contains Errors</v>
      </c>
      <c r="EQ8" s="195">
        <f ca="1">_xll.meLWOBondAccruedInterest('AUD-BONDS'!$D6,'AUD-URIDASHI-PX'!$EK$4)</f>
        <v>4250</v>
      </c>
      <c r="ER8" s="196">
        <f ca="1">_xll.meLWOBondAccruedInterestDays('AUD-BONDS'!$D6,'AUD-URIDASHI-PX'!$EK$4)</f>
        <v>39</v>
      </c>
      <c r="ES8" s="110">
        <v>1</v>
      </c>
      <c r="ET8" s="143" t="s">
        <v>263</v>
      </c>
      <c r="EU8" s="180">
        <f ca="1">$DE8</f>
        <v>1333333.3333333333</v>
      </c>
      <c r="EV8" s="145" t="s">
        <v>44</v>
      </c>
      <c r="EW8" s="145" t="s">
        <v>96</v>
      </c>
      <c r="EX8" s="145"/>
      <c r="EY8" s="145" t="s">
        <v>50</v>
      </c>
      <c r="EZ8" s="145" t="s">
        <v>45</v>
      </c>
      <c r="FA8" s="146">
        <v>1</v>
      </c>
      <c r="FB8" s="133">
        <f ca="1">'AUD-BONDS'!M6</f>
        <v>3.9199999999999999E-2</v>
      </c>
      <c r="FC8" s="145"/>
      <c r="FD8" s="145"/>
      <c r="FE8" s="154"/>
      <c r="FF8" s="145" t="s">
        <v>12</v>
      </c>
      <c r="FG8" s="146"/>
      <c r="FH8" s="127">
        <f ca="1">_xll.meLWOBondLastCouponDate('AUD-BONDS'!D6,Settings.COB)</f>
        <v>44027</v>
      </c>
      <c r="FI8" s="127">
        <f ca="1">'AUD-BONDS'!L6</f>
        <v>46037</v>
      </c>
      <c r="FJ8" s="166" t="str">
        <f ca="1">'AUD-BONDS'!O6</f>
        <v>SEMI-ANNUAL</v>
      </c>
      <c r="FK8" s="128" t="str">
        <f ca="1">'AUD-BONDS'!N6</f>
        <v>30E/360</v>
      </c>
      <c r="FL8" s="145" t="s">
        <v>82</v>
      </c>
      <c r="FM8" s="145" t="s">
        <v>68</v>
      </c>
      <c r="FN8" s="145" t="s">
        <v>82</v>
      </c>
      <c r="FO8" s="145" t="s">
        <v>68</v>
      </c>
      <c r="FP8" s="145" t="s">
        <v>82</v>
      </c>
      <c r="FQ8" s="145" t="s">
        <v>68</v>
      </c>
      <c r="FR8" s="145"/>
      <c r="FS8" s="145"/>
      <c r="FT8" s="145" t="s">
        <v>33</v>
      </c>
      <c r="FU8" s="145"/>
      <c r="FV8" s="145"/>
      <c r="FW8" s="145" t="s">
        <v>35</v>
      </c>
      <c r="FX8" s="236" t="s">
        <v>39</v>
      </c>
      <c r="FY8" s="110">
        <v>1</v>
      </c>
      <c r="FZ8" s="143" t="s">
        <v>67</v>
      </c>
      <c r="GA8" s="180">
        <f ca="1">$DE8</f>
        <v>1333333.3333333333</v>
      </c>
      <c r="GB8" s="145" t="s">
        <v>44</v>
      </c>
      <c r="GC8" s="145" t="s">
        <v>99</v>
      </c>
      <c r="GD8" s="166" t="s">
        <v>66</v>
      </c>
      <c r="GE8" s="145" t="s">
        <v>50</v>
      </c>
      <c r="GF8" s="145" t="s">
        <v>45</v>
      </c>
      <c r="GG8" s="146">
        <v>1</v>
      </c>
      <c r="GH8" s="160"/>
      <c r="GI8" s="145" t="s">
        <v>14</v>
      </c>
      <c r="GJ8" s="145" t="s">
        <v>14</v>
      </c>
      <c r="GK8" s="169">
        <f ca="1">SETTINGS!$I$6</f>
        <v>1.7100000000000001E-2</v>
      </c>
      <c r="GL8" s="145" t="s">
        <v>12</v>
      </c>
      <c r="GM8" s="187">
        <f ca="1">$BV8</f>
        <v>335.86529697693265</v>
      </c>
      <c r="GN8" s="127">
        <f ca="1">_xll.meLWOBondLastCouponDate('AUD-BONDS'!D6,Settings.COB)</f>
        <v>44027</v>
      </c>
      <c r="GO8" s="127">
        <f ca="1">'AUD-BONDS'!L6</f>
        <v>46037</v>
      </c>
      <c r="GP8" s="166" t="s">
        <v>100</v>
      </c>
      <c r="GQ8" s="128" t="s">
        <v>101</v>
      </c>
      <c r="GR8" s="163" t="s">
        <v>82</v>
      </c>
      <c r="GS8" s="163" t="s">
        <v>65</v>
      </c>
      <c r="GT8" s="163" t="s">
        <v>82</v>
      </c>
      <c r="GU8" s="163" t="s">
        <v>65</v>
      </c>
      <c r="GV8" s="163" t="s">
        <v>82</v>
      </c>
      <c r="GW8" s="163" t="s">
        <v>65</v>
      </c>
      <c r="GX8" s="145"/>
      <c r="GY8" s="145"/>
      <c r="GZ8" s="145" t="s">
        <v>33</v>
      </c>
      <c r="HA8" s="145" t="s">
        <v>35</v>
      </c>
      <c r="HB8" s="145"/>
      <c r="HC8" s="145" t="s">
        <v>35</v>
      </c>
      <c r="HD8" s="236" t="s">
        <v>39</v>
      </c>
      <c r="HE8" s="37" t="s">
        <v>264</v>
      </c>
      <c r="HF8" s="226" t="str">
        <f ca="1"/>
        <v>#Error: No range or empty range specified</v>
      </c>
      <c r="HG8" s="227" t="str">
        <f ca="1"/>
        <v>#Error: No range or empty range specified</v>
      </c>
      <c r="HH8" s="218" t="str">
        <f ca="1"/>
        <v>#Error: No range or empty range specified</v>
      </c>
      <c r="HI8" s="218" t="str">
        <f ca="1"/>
        <v>#Error: No range or empty range specified</v>
      </c>
      <c r="HJ8" s="227" t="str">
        <f ca="1"/>
        <v>#Error: No range or empty range specified</v>
      </c>
      <c r="HK8" s="215" t="str">
        <f ca="1"/>
        <v>#Error: No range or empty range specified</v>
      </c>
      <c r="HL8" s="215" t="str">
        <f ca="1"/>
        <v>#Error: No range or empty range specified</v>
      </c>
      <c r="HM8" s="218" t="str">
        <f ca="1"/>
        <v>#Error: No range or empty range specified</v>
      </c>
      <c r="HN8" s="219" t="str">
        <f ca="1"/>
        <v>#Error: No range or empty range specified</v>
      </c>
      <c r="HO8" s="215" t="str">
        <f ca="1"/>
        <v>#Error: No range or empty range specified</v>
      </c>
      <c r="HP8" s="228" t="str">
        <f ca="1"/>
        <v>#Error: No range or empty range specified</v>
      </c>
      <c r="HQ8" s="229" t="str">
        <f ca="1"/>
        <v>#Error: No range or empty range specified</v>
      </c>
    </row>
    <row r="9" spans="1:227">
      <c r="A9" s="110">
        <f ca="1">A8+1</f>
        <v>2</v>
      </c>
      <c r="B9" s="123" t="str">
        <f ca="1">'USD-BONDS'!F7</f>
        <v>XS1447582930</v>
      </c>
      <c r="C9" s="206">
        <f ca="1">'USD-BONDS'!B7</f>
        <v>94.55</v>
      </c>
      <c r="D9" s="124" t="str">
        <f ca="1">_xll.meLWOSwapCreate($D$7&amp;"_"&amp;B9,_xll.meUtilityLVBFromKeysAndMultipleValues($G$7:$AL$7,G9:AL9,AN9:BS9))</f>
        <v>USD_ASW_XS1447582930@153:6</v>
      </c>
      <c r="E9" s="270">
        <f ca="1">_xll.meLWOAssetSwapSpread(D9,'USD-BONDS'!D7,C9,$J$4:$K$5)</f>
        <v>698.92859709745028</v>
      </c>
      <c r="F9" s="110">
        <f ca="1">F8+1</f>
        <v>2</v>
      </c>
      <c r="G9" s="59" t="s">
        <v>263</v>
      </c>
      <c r="H9" s="147">
        <v>1000000</v>
      </c>
      <c r="I9" s="148" t="s">
        <v>44</v>
      </c>
      <c r="J9" s="148" t="s">
        <v>96</v>
      </c>
      <c r="K9" s="148"/>
      <c r="L9" s="148" t="s">
        <v>46</v>
      </c>
      <c r="M9" s="148" t="s">
        <v>9</v>
      </c>
      <c r="N9" s="149">
        <v>1</v>
      </c>
      <c r="O9" s="135">
        <f ca="1">'USD-BONDS'!M7</f>
        <v>1.61E-2</v>
      </c>
      <c r="P9" s="148"/>
      <c r="Q9" s="148"/>
      <c r="R9" s="155"/>
      <c r="S9" s="148" t="s">
        <v>12</v>
      </c>
      <c r="T9" s="149"/>
      <c r="U9" s="129">
        <f ca="1">_xll.meLWOBondLastCouponDate('USD-BONDS'!D7,Settings.COB)</f>
        <v>44039</v>
      </c>
      <c r="V9" s="129">
        <f ca="1">'USD-BONDS'!L7</f>
        <v>44404</v>
      </c>
      <c r="W9" s="167" t="str">
        <f ca="1">'USD-BONDS'!O7</f>
        <v>SEMI-ANNUAL</v>
      </c>
      <c r="X9" s="130" t="str">
        <f ca="1">'USD-BONDS'!N7</f>
        <v>30E/360</v>
      </c>
      <c r="Y9" s="148" t="s">
        <v>82</v>
      </c>
      <c r="Z9" s="148" t="s">
        <v>68</v>
      </c>
      <c r="AA9" s="148" t="s">
        <v>82</v>
      </c>
      <c r="AB9" s="148" t="s">
        <v>68</v>
      </c>
      <c r="AC9" s="148" t="s">
        <v>82</v>
      </c>
      <c r="AD9" s="148" t="s">
        <v>68</v>
      </c>
      <c r="AE9" s="148"/>
      <c r="AF9" s="148"/>
      <c r="AG9" s="148" t="s">
        <v>33</v>
      </c>
      <c r="AH9" s="148"/>
      <c r="AI9" s="148"/>
      <c r="AJ9" s="148" t="s">
        <v>35</v>
      </c>
      <c r="AK9" s="262" t="s">
        <v>267</v>
      </c>
      <c r="AL9" s="158" t="s">
        <v>39</v>
      </c>
      <c r="AM9" s="110">
        <f ca="1">AM8+1</f>
        <v>2</v>
      </c>
      <c r="AN9" s="59" t="s">
        <v>67</v>
      </c>
      <c r="AO9" s="147">
        <v>1000000</v>
      </c>
      <c r="AP9" s="148" t="s">
        <v>44</v>
      </c>
      <c r="AQ9" s="148" t="s">
        <v>99</v>
      </c>
      <c r="AR9" s="167" t="s">
        <v>102</v>
      </c>
      <c r="AS9" s="148" t="s">
        <v>46</v>
      </c>
      <c r="AT9" s="148" t="s">
        <v>9</v>
      </c>
      <c r="AU9" s="149">
        <v>1</v>
      </c>
      <c r="AV9" s="161"/>
      <c r="AW9" s="148" t="s">
        <v>14</v>
      </c>
      <c r="AX9" s="148" t="s">
        <v>14</v>
      </c>
      <c r="AY9" s="170">
        <f ca="1">SETTINGS!$F$6</f>
        <v>1.2955599999999999E-2</v>
      </c>
      <c r="AZ9" s="148" t="s">
        <v>12</v>
      </c>
      <c r="BA9" s="149">
        <v>0</v>
      </c>
      <c r="BB9" s="129">
        <f ca="1">_xll.meLWOBondLastCouponDate('USD-BONDS'!D7,Settings.COB)</f>
        <v>44039</v>
      </c>
      <c r="BC9" s="129">
        <f ca="1">'USD-BONDS'!L7</f>
        <v>44404</v>
      </c>
      <c r="BD9" s="167" t="s">
        <v>100</v>
      </c>
      <c r="BE9" s="130" t="s">
        <v>101</v>
      </c>
      <c r="BF9" s="164" t="s">
        <v>82</v>
      </c>
      <c r="BG9" s="164" t="s">
        <v>68</v>
      </c>
      <c r="BH9" s="164" t="s">
        <v>82</v>
      </c>
      <c r="BI9" s="164" t="s">
        <v>68</v>
      </c>
      <c r="BJ9" s="164" t="s">
        <v>82</v>
      </c>
      <c r="BK9" s="164" t="s">
        <v>68</v>
      </c>
      <c r="BL9" s="148"/>
      <c r="BM9" s="148"/>
      <c r="BN9" s="148" t="s">
        <v>33</v>
      </c>
      <c r="BO9" s="148" t="s">
        <v>35</v>
      </c>
      <c r="BP9" s="148"/>
      <c r="BQ9" s="148" t="s">
        <v>35</v>
      </c>
      <c r="BR9" s="148"/>
      <c r="BS9" s="158" t="s">
        <v>39</v>
      </c>
      <c r="BT9" s="110">
        <f ca="1">BT8+1</f>
        <v>2</v>
      </c>
      <c r="BU9" s="174" t="str">
        <f ca="1">_xll.meLWOXccySwapCreate($BU$7&amp;"_"&amp;B9,_xll.meUtilityLVBFromKeysAndMultipleValues($BX$7:$DB$7,BX9:DB9,DD9:EH9),$CC$2:$CD$5)</f>
        <v>XCCY_SWAP_XS1447582930@199:6</v>
      </c>
      <c r="BV9" s="175">
        <f ca="1">_xll.meLWOXccySwapParSpread(BU9,$BZ$2:$CA$6,,$BZ$3)</f>
        <v>703.51585991224681</v>
      </c>
      <c r="BW9" s="110">
        <f t="shared" ref="BW9:BW33" ca="1" si="0">BW8+1</f>
        <v>3</v>
      </c>
      <c r="BX9" s="59" t="s">
        <v>97</v>
      </c>
      <c r="BY9" s="147">
        <v>1000000</v>
      </c>
      <c r="BZ9" s="148" t="s">
        <v>71</v>
      </c>
      <c r="CA9" s="148" t="s">
        <v>96</v>
      </c>
      <c r="CB9" s="136" t="s">
        <v>102</v>
      </c>
      <c r="CC9" s="148" t="s">
        <v>46</v>
      </c>
      <c r="CD9" s="148" t="s">
        <v>9</v>
      </c>
      <c r="CE9" s="149">
        <v>1</v>
      </c>
      <c r="CF9" s="148"/>
      <c r="CG9" s="148" t="s">
        <v>14</v>
      </c>
      <c r="CH9" s="148" t="s">
        <v>14</v>
      </c>
      <c r="CI9" s="170">
        <f ca="1">SETTINGS!$F$6</f>
        <v>1.2955599999999999E-2</v>
      </c>
      <c r="CJ9" s="148" t="s">
        <v>12</v>
      </c>
      <c r="CK9" s="178">
        <f t="shared" ref="CK9:CK34" ca="1" si="1">$E9</f>
        <v>698.92859709745028</v>
      </c>
      <c r="CL9" s="129">
        <f ca="1">_xll.meLWOBondLastCouponDate('USD-BONDS'!D7,Settings.COB)</f>
        <v>44039</v>
      </c>
      <c r="CM9" s="129">
        <f ca="1">'USD-BONDS'!L7</f>
        <v>44404</v>
      </c>
      <c r="CN9" s="167" t="s">
        <v>100</v>
      </c>
      <c r="CO9" s="167" t="s">
        <v>101</v>
      </c>
      <c r="CP9" s="148" t="s">
        <v>82</v>
      </c>
      <c r="CQ9" s="148" t="s">
        <v>68</v>
      </c>
      <c r="CR9" s="148" t="s">
        <v>82</v>
      </c>
      <c r="CS9" s="148" t="s">
        <v>68</v>
      </c>
      <c r="CT9" s="148" t="s">
        <v>82</v>
      </c>
      <c r="CU9" s="148" t="s">
        <v>68</v>
      </c>
      <c r="CV9" s="148"/>
      <c r="CW9" s="148"/>
      <c r="CX9" s="148" t="s">
        <v>33</v>
      </c>
      <c r="CY9" s="148" t="s">
        <v>35</v>
      </c>
      <c r="CZ9" s="148"/>
      <c r="DA9" s="148" t="s">
        <v>35</v>
      </c>
      <c r="DB9" s="158" t="s">
        <v>39</v>
      </c>
      <c r="DC9" s="110">
        <f t="shared" ref="DC9:DC33" ca="1" si="2">DC8+1</f>
        <v>3</v>
      </c>
      <c r="DD9" s="59" t="s">
        <v>67</v>
      </c>
      <c r="DE9" s="182">
        <f t="shared" ref="DE9:DE34" ca="1" si="3">BY9/$CD$4</f>
        <v>1333333.3333333333</v>
      </c>
      <c r="DF9" s="148" t="s">
        <v>71</v>
      </c>
      <c r="DG9" s="148" t="s">
        <v>99</v>
      </c>
      <c r="DH9" s="183" t="s">
        <v>66</v>
      </c>
      <c r="DI9" s="148" t="s">
        <v>105</v>
      </c>
      <c r="DJ9" s="148" t="s">
        <v>45</v>
      </c>
      <c r="DK9" s="149">
        <v>1</v>
      </c>
      <c r="DL9" s="148"/>
      <c r="DM9" s="148" t="s">
        <v>14</v>
      </c>
      <c r="DN9" s="148" t="s">
        <v>14</v>
      </c>
      <c r="DO9" s="170">
        <f ca="1">SETTINGS!$I$6</f>
        <v>1.7100000000000001E-2</v>
      </c>
      <c r="DP9" s="148" t="s">
        <v>12</v>
      </c>
      <c r="DQ9" s="149">
        <v>0</v>
      </c>
      <c r="DR9" s="129">
        <f ca="1">_xll.meLWOBondLastCouponDate('AUD-BONDS'!D7,Settings.COB)</f>
        <v>44039</v>
      </c>
      <c r="DS9" s="129">
        <f ca="1">'AUD-BONDS'!L7</f>
        <v>44404</v>
      </c>
      <c r="DT9" s="90" t="s">
        <v>100</v>
      </c>
      <c r="DU9" s="90" t="s">
        <v>103</v>
      </c>
      <c r="DV9" s="148" t="s">
        <v>82</v>
      </c>
      <c r="DW9" s="148" t="s">
        <v>65</v>
      </c>
      <c r="DX9" s="148" t="s">
        <v>82</v>
      </c>
      <c r="DY9" s="148" t="s">
        <v>65</v>
      </c>
      <c r="DZ9" s="148" t="s">
        <v>82</v>
      </c>
      <c r="EA9" s="148" t="s">
        <v>65</v>
      </c>
      <c r="EB9" s="148"/>
      <c r="EC9" s="148"/>
      <c r="ED9" s="148" t="s">
        <v>33</v>
      </c>
      <c r="EE9" s="148" t="s">
        <v>35</v>
      </c>
      <c r="EF9" s="148"/>
      <c r="EG9" s="148" t="s">
        <v>35</v>
      </c>
      <c r="EH9" s="158" t="s">
        <v>39</v>
      </c>
      <c r="EI9" s="110">
        <f ca="1">EI8+1</f>
        <v>2</v>
      </c>
      <c r="EJ9" s="123" t="str">
        <f ca="1">'AUD-BONDS'!F7</f>
        <v>XS1447583664</v>
      </c>
      <c r="EK9" s="124" t="str">
        <f ca="1">_xll.meLWOSwapCreate($EK$7&amp;"_"&amp;EJ9,_xll.meUtilityLVBFromKeysAndMultipleValues($ET$7:$FX$7,ET9:FX9,FZ9:HD9))</f>
        <v>#Error: Missing key 'CALCULATIONTYPE'. This key is mandatory and must be included in the Label Value Block , 'scheduleLVB'.</v>
      </c>
      <c r="EL9" s="191" t="str">
        <f ca="1">_xll.meLWOAssetSwapSpreadToCleanPrice($EK9,$EK$4,$BV9,$EW$4)</f>
        <v>#Error: Swap #ERROR does not exist</v>
      </c>
      <c r="EM9" s="110">
        <f ca="1">EM8+1</f>
        <v>2</v>
      </c>
      <c r="EN9" s="197" t="str">
        <f ca="1">_xll.meLWOBondYield('AUD-BONDS'!D7,$EK$4,$EL9)</f>
        <v>#Error: Invalid input, numerical input required</v>
      </c>
      <c r="EO9" s="190" t="str">
        <f ca="1">_xll.meLWOBondCleanPrice('AUD-BONDS'!$D7,$EK$4,$EN9)</f>
        <v>#Error: Invalid Vector Data:  Input Contains Errors</v>
      </c>
      <c r="EP9" s="190" t="str">
        <f ca="1">_xll.meLWOBondDirtyPrice('AUD-BONDS'!$D7,$EK$4,$EN9)</f>
        <v>#Error: Invalid Vector Data:  Input Contains Errors</v>
      </c>
      <c r="EQ9" s="192">
        <f ca="1">_xll.meLWOBondAccruedInterest('AUD-BONDS'!$D7,'AUD-URIDASHI-PX'!$EK$4)</f>
        <v>1970</v>
      </c>
      <c r="ER9" s="198">
        <f ca="1">_xll.meLWOBondAccruedInterestDays('AUD-BONDS'!$D7,'AUD-URIDASHI-PX'!$EK$4)</f>
        <v>27</v>
      </c>
      <c r="ES9" s="110">
        <f ca="1">ES8+1</f>
        <v>2</v>
      </c>
      <c r="ET9" s="59" t="s">
        <v>263</v>
      </c>
      <c r="EU9" s="182">
        <f t="shared" ref="EU9:EU34" ca="1" si="4">$DE9</f>
        <v>1333333.3333333333</v>
      </c>
      <c r="EV9" s="148" t="s">
        <v>44</v>
      </c>
      <c r="EW9" s="148" t="s">
        <v>96</v>
      </c>
      <c r="EX9" s="148"/>
      <c r="EY9" s="148" t="s">
        <v>50</v>
      </c>
      <c r="EZ9" s="148" t="s">
        <v>45</v>
      </c>
      <c r="FA9" s="149">
        <v>1</v>
      </c>
      <c r="FB9" s="135">
        <f ca="1">'AUD-BONDS'!M7</f>
        <v>2.6200000000000001E-2</v>
      </c>
      <c r="FC9" s="148"/>
      <c r="FD9" s="148"/>
      <c r="FE9" s="155"/>
      <c r="FF9" s="148" t="s">
        <v>12</v>
      </c>
      <c r="FG9" s="149"/>
      <c r="FH9" s="129">
        <f ca="1">_xll.meLWOBondLastCouponDate('AUD-BONDS'!D7,Settings.COB)</f>
        <v>44039</v>
      </c>
      <c r="FI9" s="129">
        <f ca="1">'AUD-BONDS'!L7</f>
        <v>44404</v>
      </c>
      <c r="FJ9" s="167" t="str">
        <f ca="1">'AUD-BONDS'!O7</f>
        <v>SEMI-ANNUAL</v>
      </c>
      <c r="FK9" s="130" t="str">
        <f ca="1">'AUD-BONDS'!N7</f>
        <v>30E/360</v>
      </c>
      <c r="FL9" s="148" t="s">
        <v>82</v>
      </c>
      <c r="FM9" s="148" t="s">
        <v>68</v>
      </c>
      <c r="FN9" s="148" t="s">
        <v>82</v>
      </c>
      <c r="FO9" s="148" t="s">
        <v>68</v>
      </c>
      <c r="FP9" s="148" t="s">
        <v>82</v>
      </c>
      <c r="FQ9" s="148" t="s">
        <v>68</v>
      </c>
      <c r="FR9" s="148"/>
      <c r="FS9" s="148"/>
      <c r="FT9" s="148" t="s">
        <v>33</v>
      </c>
      <c r="FU9" s="148"/>
      <c r="FV9" s="148"/>
      <c r="FW9" s="148" t="s">
        <v>35</v>
      </c>
      <c r="FX9" s="148" t="s">
        <v>39</v>
      </c>
      <c r="FY9" s="110">
        <f ca="1">FY8+1</f>
        <v>2</v>
      </c>
      <c r="FZ9" s="59" t="s">
        <v>67</v>
      </c>
      <c r="GA9" s="182">
        <f t="shared" ref="GA9:GA34" ca="1" si="5">$DE9</f>
        <v>1333333.3333333333</v>
      </c>
      <c r="GB9" s="148" t="s">
        <v>44</v>
      </c>
      <c r="GC9" s="148" t="s">
        <v>99</v>
      </c>
      <c r="GD9" s="167" t="s">
        <v>66</v>
      </c>
      <c r="GE9" s="148" t="s">
        <v>50</v>
      </c>
      <c r="GF9" s="148" t="s">
        <v>45</v>
      </c>
      <c r="GG9" s="149">
        <v>1</v>
      </c>
      <c r="GH9" s="161"/>
      <c r="GI9" s="148" t="s">
        <v>14</v>
      </c>
      <c r="GJ9" s="148" t="s">
        <v>14</v>
      </c>
      <c r="GK9" s="170">
        <f ca="1">SETTINGS!$I$6</f>
        <v>1.7100000000000001E-2</v>
      </c>
      <c r="GL9" s="148" t="s">
        <v>12</v>
      </c>
      <c r="GM9" s="188">
        <f ca="1">$BV9</f>
        <v>703.51585991224681</v>
      </c>
      <c r="GN9" s="129">
        <f ca="1">_xll.meLWOBondLastCouponDate('AUD-BONDS'!D7,Settings.COB)</f>
        <v>44039</v>
      </c>
      <c r="GO9" s="129">
        <f ca="1">'AUD-BONDS'!L7</f>
        <v>44404</v>
      </c>
      <c r="GP9" s="167" t="s">
        <v>100</v>
      </c>
      <c r="GQ9" s="130" t="s">
        <v>101</v>
      </c>
      <c r="GR9" s="164" t="s">
        <v>82</v>
      </c>
      <c r="GS9" s="164" t="s">
        <v>65</v>
      </c>
      <c r="GT9" s="164" t="s">
        <v>82</v>
      </c>
      <c r="GU9" s="164" t="s">
        <v>65</v>
      </c>
      <c r="GV9" s="164" t="s">
        <v>82</v>
      </c>
      <c r="GW9" s="164" t="s">
        <v>65</v>
      </c>
      <c r="GX9" s="148"/>
      <c r="GY9" s="148"/>
      <c r="GZ9" s="148" t="s">
        <v>33</v>
      </c>
      <c r="HA9" s="148" t="s">
        <v>35</v>
      </c>
      <c r="HB9" s="148"/>
      <c r="HC9" s="148" t="s">
        <v>35</v>
      </c>
      <c r="HD9" s="148" t="s">
        <v>39</v>
      </c>
      <c r="HE9" s="37" t="s">
        <v>264</v>
      </c>
      <c r="HF9" s="209" t="str">
        <f ca="1"/>
        <v>#Error: No range or empty range specified</v>
      </c>
      <c r="HG9" s="210" t="str">
        <f ca="1"/>
        <v>#Error: No range or empty range specified</v>
      </c>
      <c r="HH9" s="211" t="str">
        <f ca="1"/>
        <v>#Error: No range or empty range specified</v>
      </c>
      <c r="HI9" s="211" t="str">
        <f ca="1"/>
        <v>#Error: No range or empty range specified</v>
      </c>
      <c r="HJ9" s="210" t="str">
        <f ca="1"/>
        <v>#Error: No range or empty range specified</v>
      </c>
      <c r="HK9" s="216" t="str">
        <f ca="1"/>
        <v>#Error: No range or empty range specified</v>
      </c>
      <c r="HL9" s="216" t="str">
        <f ca="1"/>
        <v>#Error: No range or empty range specified</v>
      </c>
      <c r="HM9" s="211" t="str">
        <f ca="1"/>
        <v>#Error: No range or empty range specified</v>
      </c>
      <c r="HN9" s="220" t="str">
        <f ca="1"/>
        <v>#Error: No range or empty range specified</v>
      </c>
      <c r="HO9" s="216" t="str">
        <f ca="1"/>
        <v>#Error: No range or empty range specified</v>
      </c>
      <c r="HP9" s="222" t="str">
        <f ca="1"/>
        <v>#Error: No range or empty range specified</v>
      </c>
      <c r="HQ9" s="224" t="str">
        <f ca="1"/>
        <v>#Error: No range or empty range specified</v>
      </c>
    </row>
    <row r="10" spans="1:227">
      <c r="A10" s="110">
        <f t="shared" ref="A10:A34" ca="1" si="6">A9+1</f>
        <v>3</v>
      </c>
      <c r="B10" s="123" t="str">
        <f ca="1">'USD-BONDS'!F8</f>
        <v>ISIN2</v>
      </c>
      <c r="C10" s="206">
        <f ca="1">'USD-BONDS'!B8</f>
        <v>100</v>
      </c>
      <c r="D10" s="124" t="str">
        <f ca="1">_xll.meLWOSwapCreate($D$7&amp;"_"&amp;B10,_xll.meUtilityLVBFromKeysAndMultipleValues($G$7:$AL$7,G10:AL10,AN10:BS10))</f>
        <v>USD_ASW_ISIN2@152:6</v>
      </c>
      <c r="E10" s="270">
        <f ca="1">_xll.meLWOAssetSwapSpread(D10,'USD-BONDS'!D8,C10,$J$4:$K$5)</f>
        <v>285.35446266608909</v>
      </c>
      <c r="F10" s="110">
        <f t="shared" ref="F10:F34" ca="1" si="7">F9+1</f>
        <v>3</v>
      </c>
      <c r="G10" s="59" t="s">
        <v>263</v>
      </c>
      <c r="H10" s="147">
        <v>1000000</v>
      </c>
      <c r="I10" s="148" t="s">
        <v>44</v>
      </c>
      <c r="J10" s="148" t="s">
        <v>96</v>
      </c>
      <c r="K10" s="148"/>
      <c r="L10" s="148" t="s">
        <v>46</v>
      </c>
      <c r="M10" s="148" t="s">
        <v>9</v>
      </c>
      <c r="N10" s="149">
        <v>1</v>
      </c>
      <c r="O10" s="135">
        <f ca="1">'USD-BONDS'!M8</f>
        <v>3.2000000000000001E-2</v>
      </c>
      <c r="P10" s="148"/>
      <c r="Q10" s="148"/>
      <c r="R10" s="155"/>
      <c r="S10" s="148" t="s">
        <v>12</v>
      </c>
      <c r="T10" s="149"/>
      <c r="U10" s="129">
        <f ca="1">_xll.meLWOBondLastCouponDate('USD-BONDS'!D8,Settings.COB)</f>
        <v>43916</v>
      </c>
      <c r="V10" s="129">
        <f ca="1">'USD-BONDS'!L8</f>
        <v>45742</v>
      </c>
      <c r="W10" s="167" t="str">
        <f ca="1">'USD-BONDS'!O8</f>
        <v>SEMI-ANNUAL</v>
      </c>
      <c r="X10" s="130" t="str">
        <f ca="1">'USD-BONDS'!N8</f>
        <v>30E/360</v>
      </c>
      <c r="Y10" s="148" t="s">
        <v>82</v>
      </c>
      <c r="Z10" s="148" t="s">
        <v>68</v>
      </c>
      <c r="AA10" s="148" t="s">
        <v>82</v>
      </c>
      <c r="AB10" s="148" t="s">
        <v>68</v>
      </c>
      <c r="AC10" s="148" t="s">
        <v>82</v>
      </c>
      <c r="AD10" s="148" t="s">
        <v>68</v>
      </c>
      <c r="AE10" s="148"/>
      <c r="AF10" s="148"/>
      <c r="AG10" s="148" t="s">
        <v>33</v>
      </c>
      <c r="AH10" s="148"/>
      <c r="AI10" s="148"/>
      <c r="AJ10" s="148" t="s">
        <v>35</v>
      </c>
      <c r="AK10" s="262" t="s">
        <v>267</v>
      </c>
      <c r="AL10" s="158" t="s">
        <v>39</v>
      </c>
      <c r="AM10" s="110">
        <f t="shared" ref="AM10:AM34" ca="1" si="8">AM9+1</f>
        <v>3</v>
      </c>
      <c r="AN10" s="59" t="s">
        <v>67</v>
      </c>
      <c r="AO10" s="147">
        <v>1000000</v>
      </c>
      <c r="AP10" s="148" t="s">
        <v>44</v>
      </c>
      <c r="AQ10" s="148" t="s">
        <v>99</v>
      </c>
      <c r="AR10" s="167" t="s">
        <v>102</v>
      </c>
      <c r="AS10" s="148" t="s">
        <v>46</v>
      </c>
      <c r="AT10" s="148" t="s">
        <v>9</v>
      </c>
      <c r="AU10" s="149">
        <v>1</v>
      </c>
      <c r="AV10" s="161"/>
      <c r="AW10" s="148" t="s">
        <v>14</v>
      </c>
      <c r="AX10" s="148" t="s">
        <v>14</v>
      </c>
      <c r="AY10" s="170">
        <f ca="1">SETTINGS!$F$6</f>
        <v>1.2955599999999999E-2</v>
      </c>
      <c r="AZ10" s="148" t="s">
        <v>12</v>
      </c>
      <c r="BA10" s="149">
        <v>0</v>
      </c>
      <c r="BB10" s="129">
        <f ca="1">_xll.meLWOBondLastCouponDate('USD-BONDS'!D8,Settings.COB)</f>
        <v>43916</v>
      </c>
      <c r="BC10" s="129">
        <f ca="1">'USD-BONDS'!L8</f>
        <v>45742</v>
      </c>
      <c r="BD10" s="167" t="s">
        <v>100</v>
      </c>
      <c r="BE10" s="130" t="s">
        <v>101</v>
      </c>
      <c r="BF10" s="164" t="s">
        <v>82</v>
      </c>
      <c r="BG10" s="164" t="s">
        <v>68</v>
      </c>
      <c r="BH10" s="164" t="s">
        <v>82</v>
      </c>
      <c r="BI10" s="164" t="s">
        <v>68</v>
      </c>
      <c r="BJ10" s="164" t="s">
        <v>82</v>
      </c>
      <c r="BK10" s="164" t="s">
        <v>68</v>
      </c>
      <c r="BL10" s="148"/>
      <c r="BM10" s="148"/>
      <c r="BN10" s="148" t="s">
        <v>33</v>
      </c>
      <c r="BO10" s="148" t="s">
        <v>35</v>
      </c>
      <c r="BP10" s="148"/>
      <c r="BQ10" s="148" t="s">
        <v>35</v>
      </c>
      <c r="BR10" s="148"/>
      <c r="BS10" s="158" t="s">
        <v>39</v>
      </c>
      <c r="BT10" s="110">
        <f t="shared" ref="BT10:BT34" ca="1" si="9">BT9+1</f>
        <v>3</v>
      </c>
      <c r="BU10" s="174" t="str">
        <f ca="1">_xll.meLWOXccySwapCreate($BU$7&amp;"_"&amp;B10,_xll.meUtilityLVBFromKeysAndMultipleValues($BX$7:$DB$7,BX10:DB10,DD10:EH10),$CC$2:$CD$5)</f>
        <v>XCCY_SWAP_ISIN2@185:6</v>
      </c>
      <c r="BV10" s="175">
        <f ca="1">_xll.meLWOXccySwapParSpread(BU10,$BZ$2:$CA$6,,$BZ$3)</f>
        <v>260.66732023507109</v>
      </c>
      <c r="BW10" s="110">
        <f t="shared" ca="1" si="0"/>
        <v>4</v>
      </c>
      <c r="BX10" s="59" t="s">
        <v>97</v>
      </c>
      <c r="BY10" s="147">
        <v>1000000</v>
      </c>
      <c r="BZ10" s="148" t="s">
        <v>71</v>
      </c>
      <c r="CA10" s="148" t="s">
        <v>96</v>
      </c>
      <c r="CB10" s="136" t="s">
        <v>102</v>
      </c>
      <c r="CC10" s="148" t="s">
        <v>46</v>
      </c>
      <c r="CD10" s="148" t="s">
        <v>9</v>
      </c>
      <c r="CE10" s="149">
        <v>1</v>
      </c>
      <c r="CF10" s="148"/>
      <c r="CG10" s="148" t="s">
        <v>14</v>
      </c>
      <c r="CH10" s="148" t="s">
        <v>14</v>
      </c>
      <c r="CI10" s="170">
        <f ca="1">SETTINGS!$F$6</f>
        <v>1.2955599999999999E-2</v>
      </c>
      <c r="CJ10" s="148" t="s">
        <v>12</v>
      </c>
      <c r="CK10" s="178">
        <f t="shared" ca="1" si="1"/>
        <v>285.35446266608909</v>
      </c>
      <c r="CL10" s="129">
        <f ca="1">_xll.meLWOBondLastCouponDate('USD-BONDS'!D8,Settings.COB)</f>
        <v>43916</v>
      </c>
      <c r="CM10" s="129">
        <f ca="1">'USD-BONDS'!L8</f>
        <v>45742</v>
      </c>
      <c r="CN10" s="167" t="s">
        <v>100</v>
      </c>
      <c r="CO10" s="167" t="s">
        <v>101</v>
      </c>
      <c r="CP10" s="148" t="s">
        <v>82</v>
      </c>
      <c r="CQ10" s="148" t="s">
        <v>68</v>
      </c>
      <c r="CR10" s="148" t="s">
        <v>82</v>
      </c>
      <c r="CS10" s="148" t="s">
        <v>68</v>
      </c>
      <c r="CT10" s="148" t="s">
        <v>82</v>
      </c>
      <c r="CU10" s="148" t="s">
        <v>68</v>
      </c>
      <c r="CV10" s="148"/>
      <c r="CW10" s="148"/>
      <c r="CX10" s="148" t="s">
        <v>33</v>
      </c>
      <c r="CY10" s="148" t="s">
        <v>35</v>
      </c>
      <c r="CZ10" s="148"/>
      <c r="DA10" s="148" t="s">
        <v>35</v>
      </c>
      <c r="DB10" s="158" t="s">
        <v>39</v>
      </c>
      <c r="DC10" s="110">
        <f t="shared" ca="1" si="2"/>
        <v>4</v>
      </c>
      <c r="DD10" s="59" t="s">
        <v>67</v>
      </c>
      <c r="DE10" s="182">
        <f t="shared" ca="1" si="3"/>
        <v>1333333.3333333333</v>
      </c>
      <c r="DF10" s="148" t="s">
        <v>71</v>
      </c>
      <c r="DG10" s="148" t="s">
        <v>99</v>
      </c>
      <c r="DH10" s="183" t="s">
        <v>66</v>
      </c>
      <c r="DI10" s="148" t="s">
        <v>105</v>
      </c>
      <c r="DJ10" s="148" t="s">
        <v>45</v>
      </c>
      <c r="DK10" s="149">
        <v>1</v>
      </c>
      <c r="DL10" s="148"/>
      <c r="DM10" s="148" t="s">
        <v>14</v>
      </c>
      <c r="DN10" s="148" t="s">
        <v>14</v>
      </c>
      <c r="DO10" s="170">
        <f ca="1">SETTINGS!$I$6</f>
        <v>1.7100000000000001E-2</v>
      </c>
      <c r="DP10" s="148" t="s">
        <v>12</v>
      </c>
      <c r="DQ10" s="149">
        <v>0</v>
      </c>
      <c r="DR10" s="129">
        <f ca="1">_xll.meLWOBondLastCouponDate('AUD-BONDS'!D8,Settings.COB)</f>
        <v>44027</v>
      </c>
      <c r="DS10" s="129">
        <f ca="1">'AUD-BONDS'!L8</f>
        <v>46037</v>
      </c>
      <c r="DT10" s="90" t="s">
        <v>100</v>
      </c>
      <c r="DU10" s="90" t="s">
        <v>103</v>
      </c>
      <c r="DV10" s="148" t="s">
        <v>82</v>
      </c>
      <c r="DW10" s="148" t="s">
        <v>65</v>
      </c>
      <c r="DX10" s="148" t="s">
        <v>82</v>
      </c>
      <c r="DY10" s="148" t="s">
        <v>65</v>
      </c>
      <c r="DZ10" s="148" t="s">
        <v>82</v>
      </c>
      <c r="EA10" s="148" t="s">
        <v>65</v>
      </c>
      <c r="EB10" s="148"/>
      <c r="EC10" s="148"/>
      <c r="ED10" s="148" t="s">
        <v>33</v>
      </c>
      <c r="EE10" s="148" t="s">
        <v>35</v>
      </c>
      <c r="EF10" s="148"/>
      <c r="EG10" s="148" t="s">
        <v>35</v>
      </c>
      <c r="EH10" s="158" t="s">
        <v>39</v>
      </c>
      <c r="EI10" s="110">
        <f t="shared" ref="EI10:EI34" ca="1" si="10">EI9+1</f>
        <v>3</v>
      </c>
      <c r="EJ10" s="123" t="str">
        <f ca="1">'AUD-BONDS'!F8</f>
        <v>ISIN2</v>
      </c>
      <c r="EK10" s="124" t="str">
        <f ca="1">_xll.meLWOSwapCreate($EK$7&amp;"_"&amp;EJ10,_xll.meUtilityLVBFromKeysAndMultipleValues($ET$7:$FX$7,ET10:FX10,FZ10:HD10))</f>
        <v>#Error: Missing key 'CALCULATIONTYPE'. This key is mandatory and must be included in the Label Value Block , 'scheduleLVB'.</v>
      </c>
      <c r="EL10" s="191" t="str">
        <f ca="1">_xll.meLWOAssetSwapSpreadToCleanPrice($EK10,$EK$4,$BV10,$EW$4)</f>
        <v>#Error: Swap #ERROR does not exist</v>
      </c>
      <c r="EM10" s="110">
        <f t="shared" ref="EM10" ca="1" si="11">EM9+1</f>
        <v>3</v>
      </c>
      <c r="EN10" s="197" t="str">
        <f ca="1">_xll.meLWOBondYield('AUD-BONDS'!D8,$EK$4,$EL10)</f>
        <v>#Error: Invalid input, numerical input required</v>
      </c>
      <c r="EO10" s="190" t="str">
        <f ca="1">_xll.meLWOBondCleanPrice('AUD-BONDS'!$D8,$EK$4,$EN10)</f>
        <v>#Error: Invalid Vector Data:  Input Contains Errors</v>
      </c>
      <c r="EP10" s="190" t="str">
        <f ca="1">_xll.meLWOBondDirtyPrice('AUD-BONDS'!$D8,$EK$4,$EN10)</f>
        <v>#Error: Invalid Vector Data:  Input Contains Errors</v>
      </c>
      <c r="EQ10" s="192">
        <f ca="1">_xll.meLWOBondAccruedInterest('AUD-BONDS'!$D8,'AUD-URIDASHI-PX'!$EK$4)</f>
        <v>4250</v>
      </c>
      <c r="ER10" s="198">
        <f ca="1">_xll.meLWOBondAccruedInterestDays('AUD-BONDS'!$D8,'AUD-URIDASHI-PX'!$EK$4)</f>
        <v>39</v>
      </c>
      <c r="ES10" s="110">
        <f t="shared" ref="ES10:ES34" ca="1" si="12">ES9+1</f>
        <v>3</v>
      </c>
      <c r="ET10" s="59" t="s">
        <v>263</v>
      </c>
      <c r="EU10" s="182">
        <f t="shared" ca="1" si="4"/>
        <v>1333333.3333333333</v>
      </c>
      <c r="EV10" s="148" t="s">
        <v>44</v>
      </c>
      <c r="EW10" s="148" t="s">
        <v>96</v>
      </c>
      <c r="EX10" s="148"/>
      <c r="EY10" s="148" t="s">
        <v>50</v>
      </c>
      <c r="EZ10" s="148" t="s">
        <v>45</v>
      </c>
      <c r="FA10" s="149">
        <v>1</v>
      </c>
      <c r="FB10" s="135">
        <f ca="1">'AUD-BONDS'!M8</f>
        <v>3.9199999999999999E-2</v>
      </c>
      <c r="FC10" s="148"/>
      <c r="FD10" s="148"/>
      <c r="FE10" s="155"/>
      <c r="FF10" s="148" t="s">
        <v>12</v>
      </c>
      <c r="FG10" s="149"/>
      <c r="FH10" s="129">
        <f ca="1">_xll.meLWOBondLastCouponDate('AUD-BONDS'!D8,Settings.COB)</f>
        <v>44027</v>
      </c>
      <c r="FI10" s="129">
        <f ca="1">'AUD-BONDS'!L8</f>
        <v>46037</v>
      </c>
      <c r="FJ10" s="167" t="str">
        <f ca="1">'AUD-BONDS'!O8</f>
        <v>SEMI-ANNUAL</v>
      </c>
      <c r="FK10" s="130" t="str">
        <f ca="1">'AUD-BONDS'!N8</f>
        <v>30E/360</v>
      </c>
      <c r="FL10" s="148" t="s">
        <v>82</v>
      </c>
      <c r="FM10" s="148" t="s">
        <v>68</v>
      </c>
      <c r="FN10" s="148" t="s">
        <v>82</v>
      </c>
      <c r="FO10" s="148" t="s">
        <v>68</v>
      </c>
      <c r="FP10" s="148" t="s">
        <v>82</v>
      </c>
      <c r="FQ10" s="148" t="s">
        <v>68</v>
      </c>
      <c r="FR10" s="148"/>
      <c r="FS10" s="148"/>
      <c r="FT10" s="148" t="s">
        <v>33</v>
      </c>
      <c r="FU10" s="148"/>
      <c r="FV10" s="148"/>
      <c r="FW10" s="148" t="s">
        <v>35</v>
      </c>
      <c r="FX10" s="148" t="s">
        <v>39</v>
      </c>
      <c r="FY10" s="110">
        <f t="shared" ref="FY10:FY34" ca="1" si="13">FY9+1</f>
        <v>3</v>
      </c>
      <c r="FZ10" s="59" t="s">
        <v>67</v>
      </c>
      <c r="GA10" s="182">
        <f t="shared" ca="1" si="5"/>
        <v>1333333.3333333333</v>
      </c>
      <c r="GB10" s="148" t="s">
        <v>44</v>
      </c>
      <c r="GC10" s="148" t="s">
        <v>99</v>
      </c>
      <c r="GD10" s="167" t="s">
        <v>66</v>
      </c>
      <c r="GE10" s="148" t="s">
        <v>50</v>
      </c>
      <c r="GF10" s="148" t="s">
        <v>45</v>
      </c>
      <c r="GG10" s="149">
        <v>1</v>
      </c>
      <c r="GH10" s="161"/>
      <c r="GI10" s="148" t="s">
        <v>14</v>
      </c>
      <c r="GJ10" s="148" t="s">
        <v>14</v>
      </c>
      <c r="GK10" s="170">
        <f ca="1">SETTINGS!$I$6</f>
        <v>1.7100000000000001E-2</v>
      </c>
      <c r="GL10" s="148" t="s">
        <v>12</v>
      </c>
      <c r="GM10" s="188">
        <f t="shared" ref="GM10:GM34" ca="1" si="14">$BV10</f>
        <v>260.66732023507109</v>
      </c>
      <c r="GN10" s="129">
        <f ca="1">_xll.meLWOBondLastCouponDate('AUD-BONDS'!D8,Settings.COB)</f>
        <v>44027</v>
      </c>
      <c r="GO10" s="129">
        <f ca="1">'AUD-BONDS'!L8</f>
        <v>46037</v>
      </c>
      <c r="GP10" s="167" t="s">
        <v>100</v>
      </c>
      <c r="GQ10" s="130" t="s">
        <v>101</v>
      </c>
      <c r="GR10" s="164" t="s">
        <v>82</v>
      </c>
      <c r="GS10" s="164" t="s">
        <v>65</v>
      </c>
      <c r="GT10" s="164" t="s">
        <v>82</v>
      </c>
      <c r="GU10" s="164" t="s">
        <v>65</v>
      </c>
      <c r="GV10" s="164" t="s">
        <v>82</v>
      </c>
      <c r="GW10" s="164" t="s">
        <v>65</v>
      </c>
      <c r="GX10" s="148"/>
      <c r="GY10" s="148"/>
      <c r="GZ10" s="148" t="s">
        <v>33</v>
      </c>
      <c r="HA10" s="148" t="s">
        <v>35</v>
      </c>
      <c r="HB10" s="148"/>
      <c r="HC10" s="148" t="s">
        <v>35</v>
      </c>
      <c r="HD10" s="148" t="s">
        <v>39</v>
      </c>
      <c r="HE10" s="37" t="s">
        <v>264</v>
      </c>
      <c r="HF10" s="209" t="str">
        <f ca="1"/>
        <v>#Error: No range or empty range specified</v>
      </c>
      <c r="HG10" s="210" t="str">
        <f ca="1"/>
        <v>#Error: No range or empty range specified</v>
      </c>
      <c r="HH10" s="211" t="str">
        <f ca="1"/>
        <v>#Error: No range or empty range specified</v>
      </c>
      <c r="HI10" s="211" t="str">
        <f ca="1"/>
        <v>#Error: No range or empty range specified</v>
      </c>
      <c r="HJ10" s="210" t="str">
        <f ca="1"/>
        <v>#Error: No range or empty range specified</v>
      </c>
      <c r="HK10" s="216" t="str">
        <f ca="1"/>
        <v>#Error: No range or empty range specified</v>
      </c>
      <c r="HL10" s="216" t="str">
        <f ca="1"/>
        <v>#Error: No range or empty range specified</v>
      </c>
      <c r="HM10" s="211" t="str">
        <f ca="1"/>
        <v>#Error: No range or empty range specified</v>
      </c>
      <c r="HN10" s="220" t="str">
        <f ca="1"/>
        <v>#Error: No range or empty range specified</v>
      </c>
      <c r="HO10" s="216" t="str">
        <f ca="1"/>
        <v>#Error: No range or empty range specified</v>
      </c>
      <c r="HP10" s="222" t="str">
        <f ca="1"/>
        <v>#Error: No range or empty range specified</v>
      </c>
      <c r="HQ10" s="224" t="str">
        <f ca="1"/>
        <v>#Error: No range or empty range specified</v>
      </c>
    </row>
    <row r="11" spans="1:227">
      <c r="A11" s="110">
        <f t="shared" ca="1" si="6"/>
        <v>4</v>
      </c>
      <c r="B11" s="123" t="str">
        <f ca="1">'USD-BONDS'!F9</f>
        <v>ISIN3</v>
      </c>
      <c r="C11" s="206">
        <f ca="1">'USD-BONDS'!B9</f>
        <v>100</v>
      </c>
      <c r="D11" s="124" t="str">
        <f ca="1">_xll.meLWOSwapCreate($D$7&amp;"_"&amp;B11,_xll.meUtilityLVBFromKeysAndMultipleValues($G$7:$AL$7,G11:AL11,AN11:BS11))</f>
        <v>USD_ASW_ISIN3@147:6</v>
      </c>
      <c r="E11" s="270">
        <f ca="1">_xll.meLWOAssetSwapSpread(D11,'USD-BONDS'!D9,C11,$J$4:$K$5)</f>
        <v>285.35446266608909</v>
      </c>
      <c r="F11" s="110">
        <f t="shared" ca="1" si="7"/>
        <v>4</v>
      </c>
      <c r="G11" s="59" t="s">
        <v>263</v>
      </c>
      <c r="H11" s="147">
        <v>1000000</v>
      </c>
      <c r="I11" s="148" t="s">
        <v>44</v>
      </c>
      <c r="J11" s="148" t="s">
        <v>96</v>
      </c>
      <c r="K11" s="148"/>
      <c r="L11" s="148" t="s">
        <v>46</v>
      </c>
      <c r="M11" s="148" t="s">
        <v>9</v>
      </c>
      <c r="N11" s="149">
        <v>1</v>
      </c>
      <c r="O11" s="135">
        <f ca="1">'USD-BONDS'!M9</f>
        <v>3.2000000000000001E-2</v>
      </c>
      <c r="P11" s="148"/>
      <c r="Q11" s="148"/>
      <c r="R11" s="155"/>
      <c r="S11" s="148" t="s">
        <v>12</v>
      </c>
      <c r="T11" s="149"/>
      <c r="U11" s="129">
        <f ca="1">_xll.meLWOBondLastCouponDate('USD-BONDS'!D9,Settings.COB)</f>
        <v>43916</v>
      </c>
      <c r="V11" s="129">
        <f ca="1">'USD-BONDS'!L9</f>
        <v>45742</v>
      </c>
      <c r="W11" s="167" t="str">
        <f ca="1">'USD-BONDS'!O9</f>
        <v>SEMI-ANNUAL</v>
      </c>
      <c r="X11" s="130" t="str">
        <f ca="1">'USD-BONDS'!N9</f>
        <v>30E/360</v>
      </c>
      <c r="Y11" s="148" t="s">
        <v>82</v>
      </c>
      <c r="Z11" s="148" t="s">
        <v>68</v>
      </c>
      <c r="AA11" s="148" t="s">
        <v>82</v>
      </c>
      <c r="AB11" s="148" t="s">
        <v>68</v>
      </c>
      <c r="AC11" s="148" t="s">
        <v>82</v>
      </c>
      <c r="AD11" s="148" t="s">
        <v>68</v>
      </c>
      <c r="AE11" s="148"/>
      <c r="AF11" s="148"/>
      <c r="AG11" s="148" t="s">
        <v>33</v>
      </c>
      <c r="AH11" s="148"/>
      <c r="AI11" s="148"/>
      <c r="AJ11" s="148" t="s">
        <v>35</v>
      </c>
      <c r="AK11" s="262" t="s">
        <v>267</v>
      </c>
      <c r="AL11" s="158" t="s">
        <v>39</v>
      </c>
      <c r="AM11" s="110">
        <f t="shared" ca="1" si="8"/>
        <v>4</v>
      </c>
      <c r="AN11" s="59" t="s">
        <v>67</v>
      </c>
      <c r="AO11" s="147">
        <v>1000000</v>
      </c>
      <c r="AP11" s="148" t="s">
        <v>44</v>
      </c>
      <c r="AQ11" s="148" t="s">
        <v>99</v>
      </c>
      <c r="AR11" s="167" t="s">
        <v>102</v>
      </c>
      <c r="AS11" s="148" t="s">
        <v>46</v>
      </c>
      <c r="AT11" s="148" t="s">
        <v>9</v>
      </c>
      <c r="AU11" s="149">
        <v>1</v>
      </c>
      <c r="AV11" s="161"/>
      <c r="AW11" s="148" t="s">
        <v>14</v>
      </c>
      <c r="AX11" s="148" t="s">
        <v>14</v>
      </c>
      <c r="AY11" s="170">
        <f ca="1">SETTINGS!$F$6</f>
        <v>1.2955599999999999E-2</v>
      </c>
      <c r="AZ11" s="148" t="s">
        <v>12</v>
      </c>
      <c r="BA11" s="149">
        <v>0</v>
      </c>
      <c r="BB11" s="129">
        <f ca="1">_xll.meLWOBondLastCouponDate('USD-BONDS'!D9,Settings.COB)</f>
        <v>43916</v>
      </c>
      <c r="BC11" s="129">
        <f ca="1">'USD-BONDS'!L9</f>
        <v>45742</v>
      </c>
      <c r="BD11" s="167" t="s">
        <v>100</v>
      </c>
      <c r="BE11" s="130" t="s">
        <v>101</v>
      </c>
      <c r="BF11" s="164" t="s">
        <v>82</v>
      </c>
      <c r="BG11" s="164" t="s">
        <v>68</v>
      </c>
      <c r="BH11" s="164" t="s">
        <v>82</v>
      </c>
      <c r="BI11" s="164" t="s">
        <v>68</v>
      </c>
      <c r="BJ11" s="164" t="s">
        <v>82</v>
      </c>
      <c r="BK11" s="164" t="s">
        <v>68</v>
      </c>
      <c r="BL11" s="148"/>
      <c r="BM11" s="148"/>
      <c r="BN11" s="148" t="s">
        <v>33</v>
      </c>
      <c r="BO11" s="148" t="s">
        <v>35</v>
      </c>
      <c r="BP11" s="148"/>
      <c r="BQ11" s="148" t="s">
        <v>35</v>
      </c>
      <c r="BR11" s="148"/>
      <c r="BS11" s="158" t="s">
        <v>39</v>
      </c>
      <c r="BT11" s="110">
        <f t="shared" ca="1" si="9"/>
        <v>4</v>
      </c>
      <c r="BU11" s="174" t="str">
        <f ca="1">_xll.meLWOXccySwapCreate($BU$7&amp;"_"&amp;B11,_xll.meUtilityLVBFromKeysAndMultipleValues($BX$7:$DB$7,BX11:DB11,DD11:EH11),$CC$2:$CD$5)</f>
        <v>XCCY_SWAP_ISIN3@196:6</v>
      </c>
      <c r="BV11" s="175">
        <f ca="1">_xll.meLWOXccySwapParSpread(BU11,$BZ$2:$CA$6,,$BZ$3)</f>
        <v>260.66732023507109</v>
      </c>
      <c r="BW11" s="110">
        <f t="shared" ca="1" si="0"/>
        <v>5</v>
      </c>
      <c r="BX11" s="59" t="s">
        <v>97</v>
      </c>
      <c r="BY11" s="147">
        <v>1000000</v>
      </c>
      <c r="BZ11" s="148" t="s">
        <v>71</v>
      </c>
      <c r="CA11" s="148" t="s">
        <v>96</v>
      </c>
      <c r="CB11" s="136" t="s">
        <v>102</v>
      </c>
      <c r="CC11" s="148" t="s">
        <v>46</v>
      </c>
      <c r="CD11" s="148" t="s">
        <v>9</v>
      </c>
      <c r="CE11" s="149">
        <v>1</v>
      </c>
      <c r="CF11" s="148"/>
      <c r="CG11" s="148" t="s">
        <v>14</v>
      </c>
      <c r="CH11" s="148" t="s">
        <v>14</v>
      </c>
      <c r="CI11" s="170">
        <f ca="1">SETTINGS!$F$6</f>
        <v>1.2955599999999999E-2</v>
      </c>
      <c r="CJ11" s="148" t="s">
        <v>12</v>
      </c>
      <c r="CK11" s="178">
        <f t="shared" ca="1" si="1"/>
        <v>285.35446266608909</v>
      </c>
      <c r="CL11" s="129">
        <f ca="1">_xll.meLWOBondLastCouponDate('USD-BONDS'!D9,Settings.COB)</f>
        <v>43916</v>
      </c>
      <c r="CM11" s="129">
        <f ca="1">'USD-BONDS'!L9</f>
        <v>45742</v>
      </c>
      <c r="CN11" s="167" t="s">
        <v>100</v>
      </c>
      <c r="CO11" s="167" t="s">
        <v>101</v>
      </c>
      <c r="CP11" s="148" t="s">
        <v>82</v>
      </c>
      <c r="CQ11" s="148" t="s">
        <v>68</v>
      </c>
      <c r="CR11" s="148" t="s">
        <v>82</v>
      </c>
      <c r="CS11" s="148" t="s">
        <v>68</v>
      </c>
      <c r="CT11" s="148" t="s">
        <v>82</v>
      </c>
      <c r="CU11" s="148" t="s">
        <v>68</v>
      </c>
      <c r="CV11" s="148"/>
      <c r="CW11" s="148"/>
      <c r="CX11" s="148" t="s">
        <v>33</v>
      </c>
      <c r="CY11" s="148" t="s">
        <v>35</v>
      </c>
      <c r="CZ11" s="148"/>
      <c r="DA11" s="148" t="s">
        <v>35</v>
      </c>
      <c r="DB11" s="158" t="s">
        <v>39</v>
      </c>
      <c r="DC11" s="110">
        <f t="shared" ca="1" si="2"/>
        <v>5</v>
      </c>
      <c r="DD11" s="59" t="s">
        <v>67</v>
      </c>
      <c r="DE11" s="182">
        <f t="shared" ca="1" si="3"/>
        <v>1333333.3333333333</v>
      </c>
      <c r="DF11" s="148" t="s">
        <v>71</v>
      </c>
      <c r="DG11" s="148" t="s">
        <v>99</v>
      </c>
      <c r="DH11" s="183" t="s">
        <v>66</v>
      </c>
      <c r="DI11" s="148" t="s">
        <v>105</v>
      </c>
      <c r="DJ11" s="148" t="s">
        <v>45</v>
      </c>
      <c r="DK11" s="149">
        <v>1</v>
      </c>
      <c r="DL11" s="148"/>
      <c r="DM11" s="148" t="s">
        <v>14</v>
      </c>
      <c r="DN11" s="148" t="s">
        <v>14</v>
      </c>
      <c r="DO11" s="170">
        <f ca="1">SETTINGS!$I$6</f>
        <v>1.7100000000000001E-2</v>
      </c>
      <c r="DP11" s="148" t="s">
        <v>12</v>
      </c>
      <c r="DQ11" s="149">
        <v>0</v>
      </c>
      <c r="DR11" s="129">
        <f ca="1">_xll.meLWOBondLastCouponDate('AUD-BONDS'!D9,Settings.COB)</f>
        <v>44027</v>
      </c>
      <c r="DS11" s="129">
        <f ca="1">'AUD-BONDS'!L9</f>
        <v>46037</v>
      </c>
      <c r="DT11" s="90" t="s">
        <v>100</v>
      </c>
      <c r="DU11" s="90" t="s">
        <v>103</v>
      </c>
      <c r="DV11" s="148" t="s">
        <v>82</v>
      </c>
      <c r="DW11" s="148" t="s">
        <v>65</v>
      </c>
      <c r="DX11" s="148" t="s">
        <v>82</v>
      </c>
      <c r="DY11" s="148" t="s">
        <v>65</v>
      </c>
      <c r="DZ11" s="148" t="s">
        <v>82</v>
      </c>
      <c r="EA11" s="148" t="s">
        <v>65</v>
      </c>
      <c r="EB11" s="148"/>
      <c r="EC11" s="148"/>
      <c r="ED11" s="148" t="s">
        <v>33</v>
      </c>
      <c r="EE11" s="148" t="s">
        <v>35</v>
      </c>
      <c r="EF11" s="148"/>
      <c r="EG11" s="148" t="s">
        <v>35</v>
      </c>
      <c r="EH11" s="158" t="s">
        <v>39</v>
      </c>
      <c r="EI11" s="110">
        <f t="shared" ca="1" si="10"/>
        <v>4</v>
      </c>
      <c r="EJ11" s="123" t="str">
        <f ca="1">'AUD-BONDS'!F9</f>
        <v>ISIN3</v>
      </c>
      <c r="EK11" s="124" t="str">
        <f ca="1">_xll.meLWOSwapCreate($EK$7&amp;"_"&amp;EJ11,_xll.meUtilityLVBFromKeysAndMultipleValues($ET$7:$FX$7,ET11:FX11,FZ11:HD11))</f>
        <v>#Error: Missing key 'CALCULATIONTYPE'. This key is mandatory and must be included in the Label Value Block , 'scheduleLVB'.</v>
      </c>
      <c r="EL11" s="191" t="str">
        <f ca="1">_xll.meLWOAssetSwapSpreadToCleanPrice($EK11,$EK$4,$BV11,$EW$4)</f>
        <v>#Error: Swap #ERROR does not exist</v>
      </c>
      <c r="EM11" s="110">
        <f t="shared" ref="EM11" ca="1" si="15">EM10+1</f>
        <v>4</v>
      </c>
      <c r="EN11" s="197" t="str">
        <f ca="1">_xll.meLWOBondYield('AUD-BONDS'!D9,$EK$4,$EL11)</f>
        <v>#Error: Invalid input, numerical input required</v>
      </c>
      <c r="EO11" s="190" t="str">
        <f ca="1">_xll.meLWOBondCleanPrice('AUD-BONDS'!$D9,$EK$4,$EN11)</f>
        <v>#Error: Invalid Vector Data:  Input Contains Errors</v>
      </c>
      <c r="EP11" s="190" t="str">
        <f ca="1">_xll.meLWOBondDirtyPrice('AUD-BONDS'!$D9,$EK$4,$EN11)</f>
        <v>#Error: Invalid Vector Data:  Input Contains Errors</v>
      </c>
      <c r="EQ11" s="192">
        <f ca="1">_xll.meLWOBondAccruedInterest('AUD-BONDS'!$D9,'AUD-URIDASHI-PX'!$EK$4)</f>
        <v>4250</v>
      </c>
      <c r="ER11" s="198">
        <f ca="1">_xll.meLWOBondAccruedInterestDays('AUD-BONDS'!$D9,'AUD-URIDASHI-PX'!$EK$4)</f>
        <v>39</v>
      </c>
      <c r="ES11" s="110">
        <f t="shared" ca="1" si="12"/>
        <v>4</v>
      </c>
      <c r="ET11" s="59" t="s">
        <v>263</v>
      </c>
      <c r="EU11" s="182">
        <f t="shared" ca="1" si="4"/>
        <v>1333333.3333333333</v>
      </c>
      <c r="EV11" s="148" t="s">
        <v>44</v>
      </c>
      <c r="EW11" s="148" t="s">
        <v>96</v>
      </c>
      <c r="EX11" s="148"/>
      <c r="EY11" s="148" t="s">
        <v>50</v>
      </c>
      <c r="EZ11" s="148" t="s">
        <v>45</v>
      </c>
      <c r="FA11" s="149">
        <v>1</v>
      </c>
      <c r="FB11" s="135">
        <f ca="1">'AUD-BONDS'!M9</f>
        <v>3.9199999999999999E-2</v>
      </c>
      <c r="FC11" s="148"/>
      <c r="FD11" s="148"/>
      <c r="FE11" s="155"/>
      <c r="FF11" s="148" t="s">
        <v>12</v>
      </c>
      <c r="FG11" s="149"/>
      <c r="FH11" s="129">
        <f ca="1">_xll.meLWOBondLastCouponDate('AUD-BONDS'!D9,Settings.COB)</f>
        <v>44027</v>
      </c>
      <c r="FI11" s="129">
        <f ca="1">'AUD-BONDS'!L9</f>
        <v>46037</v>
      </c>
      <c r="FJ11" s="167" t="str">
        <f ca="1">'AUD-BONDS'!O9</f>
        <v>SEMI-ANNUAL</v>
      </c>
      <c r="FK11" s="130" t="str">
        <f ca="1">'AUD-BONDS'!N9</f>
        <v>30E/360</v>
      </c>
      <c r="FL11" s="148" t="s">
        <v>82</v>
      </c>
      <c r="FM11" s="148" t="s">
        <v>68</v>
      </c>
      <c r="FN11" s="148" t="s">
        <v>82</v>
      </c>
      <c r="FO11" s="148" t="s">
        <v>68</v>
      </c>
      <c r="FP11" s="148" t="s">
        <v>82</v>
      </c>
      <c r="FQ11" s="148" t="s">
        <v>68</v>
      </c>
      <c r="FR11" s="148"/>
      <c r="FS11" s="148"/>
      <c r="FT11" s="148" t="s">
        <v>33</v>
      </c>
      <c r="FU11" s="148"/>
      <c r="FV11" s="148"/>
      <c r="FW11" s="148" t="s">
        <v>35</v>
      </c>
      <c r="FX11" s="148" t="s">
        <v>39</v>
      </c>
      <c r="FY11" s="110">
        <f t="shared" ca="1" si="13"/>
        <v>4</v>
      </c>
      <c r="FZ11" s="59" t="s">
        <v>67</v>
      </c>
      <c r="GA11" s="182">
        <f t="shared" ca="1" si="5"/>
        <v>1333333.3333333333</v>
      </c>
      <c r="GB11" s="148" t="s">
        <v>44</v>
      </c>
      <c r="GC11" s="148" t="s">
        <v>99</v>
      </c>
      <c r="GD11" s="167" t="s">
        <v>66</v>
      </c>
      <c r="GE11" s="148" t="s">
        <v>50</v>
      </c>
      <c r="GF11" s="148" t="s">
        <v>45</v>
      </c>
      <c r="GG11" s="149">
        <v>1</v>
      </c>
      <c r="GH11" s="161"/>
      <c r="GI11" s="148" t="s">
        <v>14</v>
      </c>
      <c r="GJ11" s="148" t="s">
        <v>14</v>
      </c>
      <c r="GK11" s="170">
        <f ca="1">SETTINGS!$I$6</f>
        <v>1.7100000000000001E-2</v>
      </c>
      <c r="GL11" s="148" t="s">
        <v>12</v>
      </c>
      <c r="GM11" s="188">
        <f t="shared" ca="1" si="14"/>
        <v>260.66732023507109</v>
      </c>
      <c r="GN11" s="129">
        <f ca="1">_xll.meLWOBondLastCouponDate('AUD-BONDS'!D9,Settings.COB)</f>
        <v>44027</v>
      </c>
      <c r="GO11" s="129">
        <f ca="1">'AUD-BONDS'!L9</f>
        <v>46037</v>
      </c>
      <c r="GP11" s="167" t="s">
        <v>100</v>
      </c>
      <c r="GQ11" s="130" t="s">
        <v>101</v>
      </c>
      <c r="GR11" s="164" t="s">
        <v>82</v>
      </c>
      <c r="GS11" s="164" t="s">
        <v>65</v>
      </c>
      <c r="GT11" s="164" t="s">
        <v>82</v>
      </c>
      <c r="GU11" s="164" t="s">
        <v>65</v>
      </c>
      <c r="GV11" s="164" t="s">
        <v>82</v>
      </c>
      <c r="GW11" s="164" t="s">
        <v>65</v>
      </c>
      <c r="GX11" s="148"/>
      <c r="GY11" s="148"/>
      <c r="GZ11" s="148" t="s">
        <v>33</v>
      </c>
      <c r="HA11" s="148" t="s">
        <v>35</v>
      </c>
      <c r="HB11" s="148"/>
      <c r="HC11" s="148" t="s">
        <v>35</v>
      </c>
      <c r="HD11" s="148" t="s">
        <v>39</v>
      </c>
      <c r="HE11" s="37" t="s">
        <v>264</v>
      </c>
      <c r="HF11" s="209" t="str">
        <f ca="1"/>
        <v>#Error: No range or empty range specified</v>
      </c>
      <c r="HG11" s="210" t="str">
        <f ca="1"/>
        <v>#Error: No range or empty range specified</v>
      </c>
      <c r="HH11" s="211" t="str">
        <f ca="1"/>
        <v>#Error: No range or empty range specified</v>
      </c>
      <c r="HI11" s="211" t="str">
        <f ca="1"/>
        <v>#Error: No range or empty range specified</v>
      </c>
      <c r="HJ11" s="210" t="str">
        <f ca="1"/>
        <v>#Error: No range or empty range specified</v>
      </c>
      <c r="HK11" s="216" t="str">
        <f ca="1"/>
        <v>#Error: No range or empty range specified</v>
      </c>
      <c r="HL11" s="216" t="str">
        <f ca="1"/>
        <v>#Error: No range or empty range specified</v>
      </c>
      <c r="HM11" s="211" t="str">
        <f ca="1"/>
        <v>#Error: No range or empty range specified</v>
      </c>
      <c r="HN11" s="220" t="str">
        <f ca="1"/>
        <v>#Error: No range or empty range specified</v>
      </c>
      <c r="HO11" s="216" t="str">
        <f ca="1"/>
        <v>#Error: No range or empty range specified</v>
      </c>
      <c r="HP11" s="222" t="str">
        <f ca="1"/>
        <v>#Error: No range or empty range specified</v>
      </c>
      <c r="HQ11" s="224" t="str">
        <f ca="1"/>
        <v>#Error: No range or empty range specified</v>
      </c>
    </row>
    <row r="12" spans="1:227">
      <c r="A12" s="110">
        <f t="shared" ca="1" si="6"/>
        <v>5</v>
      </c>
      <c r="B12" s="123" t="str">
        <f ca="1">'USD-BONDS'!F10</f>
        <v>ISIN4</v>
      </c>
      <c r="C12" s="206">
        <f ca="1">'USD-BONDS'!B10</f>
        <v>100</v>
      </c>
      <c r="D12" s="124" t="str">
        <f ca="1">_xll.meLWOSwapCreate($D$7&amp;"_"&amp;B12,_xll.meUtilityLVBFromKeysAndMultipleValues($G$7:$AL$7,G12:AL12,AN12:BS12))</f>
        <v>USD_ASW_ISIN4@151:6</v>
      </c>
      <c r="E12" s="270">
        <f ca="1">_xll.meLWOAssetSwapSpread(D12,'USD-BONDS'!D10,C12,$J$4:$K$5)</f>
        <v>285.35446266608909</v>
      </c>
      <c r="F12" s="110">
        <f t="shared" ca="1" si="7"/>
        <v>5</v>
      </c>
      <c r="G12" s="59" t="s">
        <v>263</v>
      </c>
      <c r="H12" s="147">
        <v>1000000</v>
      </c>
      <c r="I12" s="148" t="s">
        <v>44</v>
      </c>
      <c r="J12" s="148" t="s">
        <v>96</v>
      </c>
      <c r="K12" s="148"/>
      <c r="L12" s="148" t="s">
        <v>46</v>
      </c>
      <c r="M12" s="148" t="s">
        <v>9</v>
      </c>
      <c r="N12" s="149">
        <v>1</v>
      </c>
      <c r="O12" s="135">
        <f ca="1">'USD-BONDS'!M10</f>
        <v>3.2000000000000001E-2</v>
      </c>
      <c r="P12" s="148"/>
      <c r="Q12" s="148"/>
      <c r="R12" s="155"/>
      <c r="S12" s="148" t="s">
        <v>12</v>
      </c>
      <c r="T12" s="149"/>
      <c r="U12" s="129">
        <f ca="1">_xll.meLWOBondLastCouponDate('USD-BONDS'!D10,Settings.COB)</f>
        <v>43916</v>
      </c>
      <c r="V12" s="129">
        <f ca="1">'USD-BONDS'!L10</f>
        <v>45742</v>
      </c>
      <c r="W12" s="167" t="str">
        <f ca="1">'USD-BONDS'!O10</f>
        <v>SEMI-ANNUAL</v>
      </c>
      <c r="X12" s="130" t="str">
        <f ca="1">'USD-BONDS'!N10</f>
        <v>30E/360</v>
      </c>
      <c r="Y12" s="148" t="s">
        <v>82</v>
      </c>
      <c r="Z12" s="148" t="s">
        <v>68</v>
      </c>
      <c r="AA12" s="148" t="s">
        <v>82</v>
      </c>
      <c r="AB12" s="148" t="s">
        <v>68</v>
      </c>
      <c r="AC12" s="148" t="s">
        <v>82</v>
      </c>
      <c r="AD12" s="148" t="s">
        <v>68</v>
      </c>
      <c r="AE12" s="148"/>
      <c r="AF12" s="148"/>
      <c r="AG12" s="148" t="s">
        <v>33</v>
      </c>
      <c r="AH12" s="148"/>
      <c r="AI12" s="148"/>
      <c r="AJ12" s="148" t="s">
        <v>35</v>
      </c>
      <c r="AK12" s="262" t="s">
        <v>267</v>
      </c>
      <c r="AL12" s="158" t="s">
        <v>39</v>
      </c>
      <c r="AM12" s="110">
        <f t="shared" ca="1" si="8"/>
        <v>5</v>
      </c>
      <c r="AN12" s="59" t="s">
        <v>67</v>
      </c>
      <c r="AO12" s="147">
        <v>1000000</v>
      </c>
      <c r="AP12" s="148" t="s">
        <v>44</v>
      </c>
      <c r="AQ12" s="148" t="s">
        <v>99</v>
      </c>
      <c r="AR12" s="167" t="s">
        <v>102</v>
      </c>
      <c r="AS12" s="148" t="s">
        <v>46</v>
      </c>
      <c r="AT12" s="148" t="s">
        <v>9</v>
      </c>
      <c r="AU12" s="149">
        <v>1</v>
      </c>
      <c r="AV12" s="161"/>
      <c r="AW12" s="148" t="s">
        <v>14</v>
      </c>
      <c r="AX12" s="148" t="s">
        <v>14</v>
      </c>
      <c r="AY12" s="170">
        <f ca="1">SETTINGS!$F$6</f>
        <v>1.2955599999999999E-2</v>
      </c>
      <c r="AZ12" s="148" t="s">
        <v>12</v>
      </c>
      <c r="BA12" s="149">
        <v>0</v>
      </c>
      <c r="BB12" s="129">
        <f ca="1">_xll.meLWOBondLastCouponDate('USD-BONDS'!D10,Settings.COB)</f>
        <v>43916</v>
      </c>
      <c r="BC12" s="129">
        <f ca="1">'USD-BONDS'!L10</f>
        <v>45742</v>
      </c>
      <c r="BD12" s="167" t="s">
        <v>100</v>
      </c>
      <c r="BE12" s="130" t="s">
        <v>101</v>
      </c>
      <c r="BF12" s="164" t="s">
        <v>82</v>
      </c>
      <c r="BG12" s="164" t="s">
        <v>68</v>
      </c>
      <c r="BH12" s="164" t="s">
        <v>82</v>
      </c>
      <c r="BI12" s="164" t="s">
        <v>68</v>
      </c>
      <c r="BJ12" s="164" t="s">
        <v>82</v>
      </c>
      <c r="BK12" s="164" t="s">
        <v>68</v>
      </c>
      <c r="BL12" s="148"/>
      <c r="BM12" s="148"/>
      <c r="BN12" s="148" t="s">
        <v>33</v>
      </c>
      <c r="BO12" s="148" t="s">
        <v>35</v>
      </c>
      <c r="BP12" s="148"/>
      <c r="BQ12" s="148" t="s">
        <v>35</v>
      </c>
      <c r="BR12" s="148"/>
      <c r="BS12" s="158" t="s">
        <v>39</v>
      </c>
      <c r="BT12" s="110">
        <f t="shared" ca="1" si="9"/>
        <v>5</v>
      </c>
      <c r="BU12" s="174" t="str">
        <f ca="1">_xll.meLWOXccySwapCreate($BU$7&amp;"_"&amp;B12,_xll.meUtilityLVBFromKeysAndMultipleValues($BX$7:$DB$7,BX12:DB12,DD12:EH12),$CC$2:$CD$5)</f>
        <v>XCCY_SWAP_ISIN4@198:6</v>
      </c>
      <c r="BV12" s="175">
        <f ca="1">_xll.meLWOXccySwapParSpread(BU12,$BZ$2:$CA$6,,$BZ$3)</f>
        <v>260.66732023507109</v>
      </c>
      <c r="BW12" s="110">
        <f t="shared" ca="1" si="0"/>
        <v>6</v>
      </c>
      <c r="BX12" s="59" t="s">
        <v>97</v>
      </c>
      <c r="BY12" s="147">
        <v>1000000</v>
      </c>
      <c r="BZ12" s="148" t="s">
        <v>71</v>
      </c>
      <c r="CA12" s="148" t="s">
        <v>96</v>
      </c>
      <c r="CB12" s="136" t="s">
        <v>102</v>
      </c>
      <c r="CC12" s="148" t="s">
        <v>46</v>
      </c>
      <c r="CD12" s="148" t="s">
        <v>9</v>
      </c>
      <c r="CE12" s="149">
        <v>1</v>
      </c>
      <c r="CF12" s="148"/>
      <c r="CG12" s="148" t="s">
        <v>14</v>
      </c>
      <c r="CH12" s="148" t="s">
        <v>14</v>
      </c>
      <c r="CI12" s="170">
        <f ca="1">SETTINGS!$F$6</f>
        <v>1.2955599999999999E-2</v>
      </c>
      <c r="CJ12" s="148" t="s">
        <v>12</v>
      </c>
      <c r="CK12" s="178">
        <f t="shared" ca="1" si="1"/>
        <v>285.35446266608909</v>
      </c>
      <c r="CL12" s="129">
        <f ca="1">_xll.meLWOBondLastCouponDate('USD-BONDS'!D10,Settings.COB)</f>
        <v>43916</v>
      </c>
      <c r="CM12" s="129">
        <f ca="1">'USD-BONDS'!L10</f>
        <v>45742</v>
      </c>
      <c r="CN12" s="167" t="s">
        <v>100</v>
      </c>
      <c r="CO12" s="167" t="s">
        <v>101</v>
      </c>
      <c r="CP12" s="148" t="s">
        <v>82</v>
      </c>
      <c r="CQ12" s="148" t="s">
        <v>68</v>
      </c>
      <c r="CR12" s="148" t="s">
        <v>82</v>
      </c>
      <c r="CS12" s="148" t="s">
        <v>68</v>
      </c>
      <c r="CT12" s="148" t="s">
        <v>82</v>
      </c>
      <c r="CU12" s="148" t="s">
        <v>68</v>
      </c>
      <c r="CV12" s="148"/>
      <c r="CW12" s="148"/>
      <c r="CX12" s="148" t="s">
        <v>33</v>
      </c>
      <c r="CY12" s="148" t="s">
        <v>35</v>
      </c>
      <c r="CZ12" s="148"/>
      <c r="DA12" s="148" t="s">
        <v>35</v>
      </c>
      <c r="DB12" s="158" t="s">
        <v>39</v>
      </c>
      <c r="DC12" s="110">
        <f t="shared" ca="1" si="2"/>
        <v>6</v>
      </c>
      <c r="DD12" s="59" t="s">
        <v>67</v>
      </c>
      <c r="DE12" s="182">
        <f t="shared" ca="1" si="3"/>
        <v>1333333.3333333333</v>
      </c>
      <c r="DF12" s="148" t="s">
        <v>71</v>
      </c>
      <c r="DG12" s="148" t="s">
        <v>99</v>
      </c>
      <c r="DH12" s="183" t="s">
        <v>66</v>
      </c>
      <c r="DI12" s="148" t="s">
        <v>105</v>
      </c>
      <c r="DJ12" s="148" t="s">
        <v>45</v>
      </c>
      <c r="DK12" s="149">
        <v>1</v>
      </c>
      <c r="DL12" s="148"/>
      <c r="DM12" s="148" t="s">
        <v>14</v>
      </c>
      <c r="DN12" s="148" t="s">
        <v>14</v>
      </c>
      <c r="DO12" s="170">
        <f ca="1">SETTINGS!$I$6</f>
        <v>1.7100000000000001E-2</v>
      </c>
      <c r="DP12" s="148" t="s">
        <v>12</v>
      </c>
      <c r="DQ12" s="149">
        <v>0</v>
      </c>
      <c r="DR12" s="129">
        <f ca="1">_xll.meLWOBondLastCouponDate('AUD-BONDS'!D10,Settings.COB)</f>
        <v>44027</v>
      </c>
      <c r="DS12" s="129">
        <f ca="1">'AUD-BONDS'!L10</f>
        <v>46037</v>
      </c>
      <c r="DT12" s="90" t="s">
        <v>100</v>
      </c>
      <c r="DU12" s="90" t="s">
        <v>103</v>
      </c>
      <c r="DV12" s="148" t="s">
        <v>82</v>
      </c>
      <c r="DW12" s="148" t="s">
        <v>65</v>
      </c>
      <c r="DX12" s="148" t="s">
        <v>82</v>
      </c>
      <c r="DY12" s="148" t="s">
        <v>65</v>
      </c>
      <c r="DZ12" s="148" t="s">
        <v>82</v>
      </c>
      <c r="EA12" s="148" t="s">
        <v>65</v>
      </c>
      <c r="EB12" s="148"/>
      <c r="EC12" s="148"/>
      <c r="ED12" s="148" t="s">
        <v>33</v>
      </c>
      <c r="EE12" s="148" t="s">
        <v>35</v>
      </c>
      <c r="EF12" s="148"/>
      <c r="EG12" s="148" t="s">
        <v>35</v>
      </c>
      <c r="EH12" s="158" t="s">
        <v>39</v>
      </c>
      <c r="EI12" s="110">
        <f t="shared" ca="1" si="10"/>
        <v>5</v>
      </c>
      <c r="EJ12" s="123" t="str">
        <f ca="1">'AUD-BONDS'!F10</f>
        <v>ISIN4</v>
      </c>
      <c r="EK12" s="124" t="str">
        <f ca="1">_xll.meLWOSwapCreate($EK$7&amp;"_"&amp;EJ12,_xll.meUtilityLVBFromKeysAndMultipleValues($ET$7:$FX$7,ET12:FX12,FZ12:HD12))</f>
        <v>#Error: Missing key 'CALCULATIONTYPE'. This key is mandatory and must be included in the Label Value Block , 'scheduleLVB'.</v>
      </c>
      <c r="EL12" s="191" t="str">
        <f ca="1">_xll.meLWOAssetSwapSpreadToCleanPrice($EK12,$EK$4,$BV12,$EW$4)</f>
        <v>#Error: Swap #ERROR does not exist</v>
      </c>
      <c r="EM12" s="110">
        <f t="shared" ref="EM12" ca="1" si="16">EM11+1</f>
        <v>5</v>
      </c>
      <c r="EN12" s="197" t="str">
        <f ca="1">_xll.meLWOBondYield('AUD-BONDS'!D10,$EK$4,$EL12)</f>
        <v>#Error: Invalid input, numerical input required</v>
      </c>
      <c r="EO12" s="190" t="str">
        <f ca="1">_xll.meLWOBondCleanPrice('AUD-BONDS'!$D10,$EK$4,$EN12)</f>
        <v>#Error: Invalid Vector Data:  Input Contains Errors</v>
      </c>
      <c r="EP12" s="190" t="str">
        <f ca="1">_xll.meLWOBondDirtyPrice('AUD-BONDS'!$D10,$EK$4,$EN12)</f>
        <v>#Error: Invalid Vector Data:  Input Contains Errors</v>
      </c>
      <c r="EQ12" s="192">
        <f ca="1">_xll.meLWOBondAccruedInterest('AUD-BONDS'!$D10,'AUD-URIDASHI-PX'!$EK$4)</f>
        <v>4250</v>
      </c>
      <c r="ER12" s="198">
        <f ca="1">_xll.meLWOBondAccruedInterestDays('AUD-BONDS'!$D10,'AUD-URIDASHI-PX'!$EK$4)</f>
        <v>39</v>
      </c>
      <c r="ES12" s="110">
        <f t="shared" ca="1" si="12"/>
        <v>5</v>
      </c>
      <c r="ET12" s="59" t="s">
        <v>263</v>
      </c>
      <c r="EU12" s="182">
        <f t="shared" ca="1" si="4"/>
        <v>1333333.3333333333</v>
      </c>
      <c r="EV12" s="148" t="s">
        <v>44</v>
      </c>
      <c r="EW12" s="148" t="s">
        <v>96</v>
      </c>
      <c r="EX12" s="148"/>
      <c r="EY12" s="148" t="s">
        <v>50</v>
      </c>
      <c r="EZ12" s="148" t="s">
        <v>45</v>
      </c>
      <c r="FA12" s="149">
        <v>1</v>
      </c>
      <c r="FB12" s="135">
        <f ca="1">'AUD-BONDS'!M10</f>
        <v>3.9199999999999999E-2</v>
      </c>
      <c r="FC12" s="148"/>
      <c r="FD12" s="148"/>
      <c r="FE12" s="155"/>
      <c r="FF12" s="148" t="s">
        <v>12</v>
      </c>
      <c r="FG12" s="149"/>
      <c r="FH12" s="129">
        <f ca="1">_xll.meLWOBondLastCouponDate('AUD-BONDS'!D10,Settings.COB)</f>
        <v>44027</v>
      </c>
      <c r="FI12" s="129">
        <f ca="1">'AUD-BONDS'!L10</f>
        <v>46037</v>
      </c>
      <c r="FJ12" s="167" t="str">
        <f ca="1">'AUD-BONDS'!O10</f>
        <v>SEMI-ANNUAL</v>
      </c>
      <c r="FK12" s="130" t="str">
        <f ca="1">'AUD-BONDS'!N10</f>
        <v>30E/360</v>
      </c>
      <c r="FL12" s="148" t="s">
        <v>82</v>
      </c>
      <c r="FM12" s="148" t="s">
        <v>68</v>
      </c>
      <c r="FN12" s="148" t="s">
        <v>82</v>
      </c>
      <c r="FO12" s="148" t="s">
        <v>68</v>
      </c>
      <c r="FP12" s="148" t="s">
        <v>82</v>
      </c>
      <c r="FQ12" s="148" t="s">
        <v>68</v>
      </c>
      <c r="FR12" s="148"/>
      <c r="FS12" s="148"/>
      <c r="FT12" s="148" t="s">
        <v>33</v>
      </c>
      <c r="FU12" s="148"/>
      <c r="FV12" s="148"/>
      <c r="FW12" s="148" t="s">
        <v>35</v>
      </c>
      <c r="FX12" s="148" t="s">
        <v>39</v>
      </c>
      <c r="FY12" s="110">
        <f t="shared" ca="1" si="13"/>
        <v>5</v>
      </c>
      <c r="FZ12" s="59" t="s">
        <v>67</v>
      </c>
      <c r="GA12" s="182">
        <f t="shared" ca="1" si="5"/>
        <v>1333333.3333333333</v>
      </c>
      <c r="GB12" s="148" t="s">
        <v>44</v>
      </c>
      <c r="GC12" s="148" t="s">
        <v>99</v>
      </c>
      <c r="GD12" s="167" t="s">
        <v>66</v>
      </c>
      <c r="GE12" s="148" t="s">
        <v>50</v>
      </c>
      <c r="GF12" s="148" t="s">
        <v>45</v>
      </c>
      <c r="GG12" s="149">
        <v>1</v>
      </c>
      <c r="GH12" s="161"/>
      <c r="GI12" s="148" t="s">
        <v>14</v>
      </c>
      <c r="GJ12" s="148" t="s">
        <v>14</v>
      </c>
      <c r="GK12" s="170">
        <f ca="1">SETTINGS!$I$6</f>
        <v>1.7100000000000001E-2</v>
      </c>
      <c r="GL12" s="148" t="s">
        <v>12</v>
      </c>
      <c r="GM12" s="188">
        <f t="shared" ca="1" si="14"/>
        <v>260.66732023507109</v>
      </c>
      <c r="GN12" s="129">
        <f ca="1">_xll.meLWOBondLastCouponDate('AUD-BONDS'!D10,Settings.COB)</f>
        <v>44027</v>
      </c>
      <c r="GO12" s="129">
        <f ca="1">'AUD-BONDS'!L10</f>
        <v>46037</v>
      </c>
      <c r="GP12" s="167" t="s">
        <v>100</v>
      </c>
      <c r="GQ12" s="130" t="s">
        <v>101</v>
      </c>
      <c r="GR12" s="164" t="s">
        <v>82</v>
      </c>
      <c r="GS12" s="164" t="s">
        <v>65</v>
      </c>
      <c r="GT12" s="164" t="s">
        <v>82</v>
      </c>
      <c r="GU12" s="164" t="s">
        <v>65</v>
      </c>
      <c r="GV12" s="164" t="s">
        <v>82</v>
      </c>
      <c r="GW12" s="164" t="s">
        <v>65</v>
      </c>
      <c r="GX12" s="148"/>
      <c r="GY12" s="148"/>
      <c r="GZ12" s="148" t="s">
        <v>33</v>
      </c>
      <c r="HA12" s="148" t="s">
        <v>35</v>
      </c>
      <c r="HB12" s="148"/>
      <c r="HC12" s="148" t="s">
        <v>35</v>
      </c>
      <c r="HD12" s="148" t="s">
        <v>39</v>
      </c>
      <c r="HE12" s="37" t="s">
        <v>264</v>
      </c>
      <c r="HF12" s="209" t="str">
        <f ca="1"/>
        <v>#Error: No range or empty range specified</v>
      </c>
      <c r="HG12" s="210" t="str">
        <f ca="1"/>
        <v>#Error: No range or empty range specified</v>
      </c>
      <c r="HH12" s="211" t="str">
        <f ca="1"/>
        <v>#Error: No range or empty range specified</v>
      </c>
      <c r="HI12" s="211" t="str">
        <f ca="1"/>
        <v>#Error: No range or empty range specified</v>
      </c>
      <c r="HJ12" s="210" t="str">
        <f ca="1"/>
        <v>#Error: No range or empty range specified</v>
      </c>
      <c r="HK12" s="216" t="str">
        <f ca="1"/>
        <v>#Error: No range or empty range specified</v>
      </c>
      <c r="HL12" s="216" t="str">
        <f ca="1"/>
        <v>#Error: No range or empty range specified</v>
      </c>
      <c r="HM12" s="211" t="str">
        <f ca="1"/>
        <v>#Error: No range or empty range specified</v>
      </c>
      <c r="HN12" s="220" t="str">
        <f ca="1"/>
        <v>#Error: No range or empty range specified</v>
      </c>
      <c r="HO12" s="216" t="str">
        <f ca="1"/>
        <v>#Error: No range or empty range specified</v>
      </c>
      <c r="HP12" s="222" t="str">
        <f ca="1"/>
        <v>#Error: No range or empty range specified</v>
      </c>
      <c r="HQ12" s="224" t="str">
        <f ca="1"/>
        <v>#Error: No range or empty range specified</v>
      </c>
      <c r="HS12" s="235"/>
    </row>
    <row r="13" spans="1:227">
      <c r="A13" s="110">
        <f t="shared" ca="1" si="6"/>
        <v>6</v>
      </c>
      <c r="B13" s="123" t="str">
        <f ca="1">'USD-BONDS'!F11</f>
        <v>ISIN5</v>
      </c>
      <c r="C13" s="206">
        <f ca="1">'USD-BONDS'!B11</f>
        <v>100</v>
      </c>
      <c r="D13" s="124" t="str">
        <f ca="1">_xll.meLWOSwapCreate($D$7&amp;"_"&amp;B13,_xll.meUtilityLVBFromKeysAndMultipleValues($G$7:$AL$7,G13:AL13,AN13:BS13))</f>
        <v>USD_ASW_ISIN5@165:6</v>
      </c>
      <c r="E13" s="270">
        <f ca="1">_xll.meLWOAssetSwapSpread(D13,'USD-BONDS'!D11,C13,$J$4:$K$5)</f>
        <v>285.35446266608909</v>
      </c>
      <c r="F13" s="110">
        <f t="shared" ca="1" si="7"/>
        <v>6</v>
      </c>
      <c r="G13" s="59" t="s">
        <v>263</v>
      </c>
      <c r="H13" s="147">
        <v>1000000</v>
      </c>
      <c r="I13" s="148" t="s">
        <v>44</v>
      </c>
      <c r="J13" s="148" t="s">
        <v>96</v>
      </c>
      <c r="K13" s="148"/>
      <c r="L13" s="148" t="s">
        <v>46</v>
      </c>
      <c r="M13" s="148" t="s">
        <v>9</v>
      </c>
      <c r="N13" s="149">
        <v>1</v>
      </c>
      <c r="O13" s="135">
        <f ca="1">'USD-BONDS'!M11</f>
        <v>3.2000000000000001E-2</v>
      </c>
      <c r="P13" s="148"/>
      <c r="Q13" s="148"/>
      <c r="R13" s="155"/>
      <c r="S13" s="148" t="s">
        <v>12</v>
      </c>
      <c r="T13" s="149"/>
      <c r="U13" s="129">
        <f ca="1">_xll.meLWOBondLastCouponDate('USD-BONDS'!D11,Settings.COB)</f>
        <v>43916</v>
      </c>
      <c r="V13" s="129">
        <f ca="1">'USD-BONDS'!L11</f>
        <v>45742</v>
      </c>
      <c r="W13" s="167" t="str">
        <f ca="1">'USD-BONDS'!O11</f>
        <v>SEMI-ANNUAL</v>
      </c>
      <c r="X13" s="130" t="str">
        <f ca="1">'USD-BONDS'!N11</f>
        <v>30E/360</v>
      </c>
      <c r="Y13" s="148" t="s">
        <v>82</v>
      </c>
      <c r="Z13" s="148" t="s">
        <v>68</v>
      </c>
      <c r="AA13" s="148" t="s">
        <v>82</v>
      </c>
      <c r="AB13" s="148" t="s">
        <v>68</v>
      </c>
      <c r="AC13" s="148" t="s">
        <v>82</v>
      </c>
      <c r="AD13" s="148" t="s">
        <v>68</v>
      </c>
      <c r="AE13" s="148"/>
      <c r="AF13" s="148"/>
      <c r="AG13" s="148" t="s">
        <v>33</v>
      </c>
      <c r="AH13" s="148"/>
      <c r="AI13" s="148"/>
      <c r="AJ13" s="148" t="s">
        <v>35</v>
      </c>
      <c r="AK13" s="262" t="s">
        <v>267</v>
      </c>
      <c r="AL13" s="158" t="s">
        <v>39</v>
      </c>
      <c r="AM13" s="110">
        <f t="shared" ca="1" si="8"/>
        <v>6</v>
      </c>
      <c r="AN13" s="59" t="s">
        <v>67</v>
      </c>
      <c r="AO13" s="147">
        <v>1000000</v>
      </c>
      <c r="AP13" s="148" t="s">
        <v>44</v>
      </c>
      <c r="AQ13" s="148" t="s">
        <v>99</v>
      </c>
      <c r="AR13" s="167" t="s">
        <v>102</v>
      </c>
      <c r="AS13" s="148" t="s">
        <v>46</v>
      </c>
      <c r="AT13" s="148" t="s">
        <v>9</v>
      </c>
      <c r="AU13" s="149">
        <v>1</v>
      </c>
      <c r="AV13" s="161"/>
      <c r="AW13" s="148" t="s">
        <v>14</v>
      </c>
      <c r="AX13" s="148" t="s">
        <v>14</v>
      </c>
      <c r="AY13" s="170">
        <f ca="1">SETTINGS!$F$6</f>
        <v>1.2955599999999999E-2</v>
      </c>
      <c r="AZ13" s="148" t="s">
        <v>12</v>
      </c>
      <c r="BA13" s="149">
        <v>0</v>
      </c>
      <c r="BB13" s="129">
        <f ca="1">_xll.meLWOBondLastCouponDate('USD-BONDS'!D11,Settings.COB)</f>
        <v>43916</v>
      </c>
      <c r="BC13" s="129">
        <f ca="1">'USD-BONDS'!L11</f>
        <v>45742</v>
      </c>
      <c r="BD13" s="167" t="s">
        <v>100</v>
      </c>
      <c r="BE13" s="130" t="s">
        <v>101</v>
      </c>
      <c r="BF13" s="164" t="s">
        <v>82</v>
      </c>
      <c r="BG13" s="164" t="s">
        <v>68</v>
      </c>
      <c r="BH13" s="164" t="s">
        <v>82</v>
      </c>
      <c r="BI13" s="164" t="s">
        <v>68</v>
      </c>
      <c r="BJ13" s="164" t="s">
        <v>82</v>
      </c>
      <c r="BK13" s="164" t="s">
        <v>68</v>
      </c>
      <c r="BL13" s="148"/>
      <c r="BM13" s="148"/>
      <c r="BN13" s="148" t="s">
        <v>33</v>
      </c>
      <c r="BO13" s="148" t="s">
        <v>35</v>
      </c>
      <c r="BP13" s="148"/>
      <c r="BQ13" s="148" t="s">
        <v>35</v>
      </c>
      <c r="BR13" s="148"/>
      <c r="BS13" s="158" t="s">
        <v>39</v>
      </c>
      <c r="BT13" s="110">
        <f t="shared" ca="1" si="9"/>
        <v>6</v>
      </c>
      <c r="BU13" s="174" t="str">
        <f ca="1">_xll.meLWOXccySwapCreate($BU$7&amp;"_"&amp;B13,_xll.meUtilityLVBFromKeysAndMultipleValues($BX$7:$DB$7,BX13:DB13,DD13:EH13),$CC$2:$CD$5)</f>
        <v>XCCY_SWAP_ISIN5@182:6</v>
      </c>
      <c r="BV13" s="175">
        <f ca="1">_xll.meLWOXccySwapParSpread(BU13,$BZ$2:$CA$6,,$BZ$3)</f>
        <v>260.66732023507109</v>
      </c>
      <c r="BW13" s="110">
        <f t="shared" ca="1" si="0"/>
        <v>7</v>
      </c>
      <c r="BX13" s="59" t="s">
        <v>97</v>
      </c>
      <c r="BY13" s="147">
        <v>1000000</v>
      </c>
      <c r="BZ13" s="148" t="s">
        <v>71</v>
      </c>
      <c r="CA13" s="148" t="s">
        <v>96</v>
      </c>
      <c r="CB13" s="136" t="s">
        <v>102</v>
      </c>
      <c r="CC13" s="148" t="s">
        <v>46</v>
      </c>
      <c r="CD13" s="148" t="s">
        <v>9</v>
      </c>
      <c r="CE13" s="149">
        <v>1</v>
      </c>
      <c r="CF13" s="148"/>
      <c r="CG13" s="148" t="s">
        <v>14</v>
      </c>
      <c r="CH13" s="148" t="s">
        <v>14</v>
      </c>
      <c r="CI13" s="170">
        <f ca="1">SETTINGS!$F$6</f>
        <v>1.2955599999999999E-2</v>
      </c>
      <c r="CJ13" s="148" t="s">
        <v>12</v>
      </c>
      <c r="CK13" s="178">
        <f t="shared" ca="1" si="1"/>
        <v>285.35446266608909</v>
      </c>
      <c r="CL13" s="129">
        <f ca="1">_xll.meLWOBondLastCouponDate('USD-BONDS'!D11,Settings.COB)</f>
        <v>43916</v>
      </c>
      <c r="CM13" s="129">
        <f ca="1">'USD-BONDS'!L11</f>
        <v>45742</v>
      </c>
      <c r="CN13" s="167" t="s">
        <v>100</v>
      </c>
      <c r="CO13" s="167" t="s">
        <v>101</v>
      </c>
      <c r="CP13" s="148" t="s">
        <v>82</v>
      </c>
      <c r="CQ13" s="148" t="s">
        <v>68</v>
      </c>
      <c r="CR13" s="148" t="s">
        <v>82</v>
      </c>
      <c r="CS13" s="148" t="s">
        <v>68</v>
      </c>
      <c r="CT13" s="148" t="s">
        <v>82</v>
      </c>
      <c r="CU13" s="148" t="s">
        <v>68</v>
      </c>
      <c r="CV13" s="148"/>
      <c r="CW13" s="148"/>
      <c r="CX13" s="148" t="s">
        <v>33</v>
      </c>
      <c r="CY13" s="148" t="s">
        <v>35</v>
      </c>
      <c r="CZ13" s="148"/>
      <c r="DA13" s="148" t="s">
        <v>35</v>
      </c>
      <c r="DB13" s="158" t="s">
        <v>39</v>
      </c>
      <c r="DC13" s="110">
        <f t="shared" ca="1" si="2"/>
        <v>7</v>
      </c>
      <c r="DD13" s="59" t="s">
        <v>67</v>
      </c>
      <c r="DE13" s="182">
        <f t="shared" ca="1" si="3"/>
        <v>1333333.3333333333</v>
      </c>
      <c r="DF13" s="148" t="s">
        <v>71</v>
      </c>
      <c r="DG13" s="148" t="s">
        <v>99</v>
      </c>
      <c r="DH13" s="183" t="s">
        <v>66</v>
      </c>
      <c r="DI13" s="148" t="s">
        <v>105</v>
      </c>
      <c r="DJ13" s="148" t="s">
        <v>45</v>
      </c>
      <c r="DK13" s="149">
        <v>1</v>
      </c>
      <c r="DL13" s="148"/>
      <c r="DM13" s="148" t="s">
        <v>14</v>
      </c>
      <c r="DN13" s="148" t="s">
        <v>14</v>
      </c>
      <c r="DO13" s="170">
        <f ca="1">SETTINGS!$I$6</f>
        <v>1.7100000000000001E-2</v>
      </c>
      <c r="DP13" s="148" t="s">
        <v>12</v>
      </c>
      <c r="DQ13" s="149">
        <v>0</v>
      </c>
      <c r="DR13" s="129">
        <f ca="1">_xll.meLWOBondLastCouponDate('AUD-BONDS'!D11,Settings.COB)</f>
        <v>44027</v>
      </c>
      <c r="DS13" s="129">
        <f ca="1">'AUD-BONDS'!L11</f>
        <v>46037</v>
      </c>
      <c r="DT13" s="90" t="s">
        <v>100</v>
      </c>
      <c r="DU13" s="90" t="s">
        <v>103</v>
      </c>
      <c r="DV13" s="148" t="s">
        <v>82</v>
      </c>
      <c r="DW13" s="148" t="s">
        <v>65</v>
      </c>
      <c r="DX13" s="148" t="s">
        <v>82</v>
      </c>
      <c r="DY13" s="148" t="s">
        <v>65</v>
      </c>
      <c r="DZ13" s="148" t="s">
        <v>82</v>
      </c>
      <c r="EA13" s="148" t="s">
        <v>65</v>
      </c>
      <c r="EB13" s="148"/>
      <c r="EC13" s="148"/>
      <c r="ED13" s="148" t="s">
        <v>33</v>
      </c>
      <c r="EE13" s="148" t="s">
        <v>35</v>
      </c>
      <c r="EF13" s="148"/>
      <c r="EG13" s="148" t="s">
        <v>35</v>
      </c>
      <c r="EH13" s="158" t="s">
        <v>39</v>
      </c>
      <c r="EI13" s="110">
        <f t="shared" ca="1" si="10"/>
        <v>6</v>
      </c>
      <c r="EJ13" s="123" t="str">
        <f ca="1">'AUD-BONDS'!F11</f>
        <v>ISIN5</v>
      </c>
      <c r="EK13" s="124" t="str">
        <f ca="1">_xll.meLWOSwapCreate($EK$7&amp;"_"&amp;EJ13,_xll.meUtilityLVBFromKeysAndMultipleValues($ET$7:$FX$7,ET13:FX13,FZ13:HD13))</f>
        <v>#Error: Missing key 'CALCULATIONTYPE'. This key is mandatory and must be included in the Label Value Block , 'scheduleLVB'.</v>
      </c>
      <c r="EL13" s="191" t="str">
        <f ca="1">_xll.meLWOAssetSwapSpreadToCleanPrice($EK13,$EK$4,$BV13,$EW$4)</f>
        <v>#Error: Swap #ERROR does not exist</v>
      </c>
      <c r="EM13" s="110">
        <f t="shared" ref="EM13" ca="1" si="17">EM12+1</f>
        <v>6</v>
      </c>
      <c r="EN13" s="197" t="str">
        <f ca="1">_xll.meLWOBondYield('AUD-BONDS'!D11,$EK$4,$EL13)</f>
        <v>#Error: Invalid input, numerical input required</v>
      </c>
      <c r="EO13" s="190" t="str">
        <f ca="1">_xll.meLWOBondCleanPrice('AUD-BONDS'!$D11,$EK$4,$EN13)</f>
        <v>#Error: Invalid Vector Data:  Input Contains Errors</v>
      </c>
      <c r="EP13" s="190" t="str">
        <f ca="1">_xll.meLWOBondDirtyPrice('AUD-BONDS'!$D11,$EK$4,$EN13)</f>
        <v>#Error: Invalid Vector Data:  Input Contains Errors</v>
      </c>
      <c r="EQ13" s="192">
        <f ca="1">_xll.meLWOBondAccruedInterest('AUD-BONDS'!$D11,'AUD-URIDASHI-PX'!$EK$4)</f>
        <v>4250</v>
      </c>
      <c r="ER13" s="198">
        <f ca="1">_xll.meLWOBondAccruedInterestDays('AUD-BONDS'!$D11,'AUD-URIDASHI-PX'!$EK$4)</f>
        <v>39</v>
      </c>
      <c r="ES13" s="110">
        <f t="shared" ca="1" si="12"/>
        <v>6</v>
      </c>
      <c r="ET13" s="59" t="s">
        <v>263</v>
      </c>
      <c r="EU13" s="182">
        <f t="shared" ca="1" si="4"/>
        <v>1333333.3333333333</v>
      </c>
      <c r="EV13" s="148" t="s">
        <v>44</v>
      </c>
      <c r="EW13" s="148" t="s">
        <v>96</v>
      </c>
      <c r="EX13" s="148"/>
      <c r="EY13" s="148" t="s">
        <v>50</v>
      </c>
      <c r="EZ13" s="148" t="s">
        <v>45</v>
      </c>
      <c r="FA13" s="149">
        <v>1</v>
      </c>
      <c r="FB13" s="135">
        <f ca="1">'AUD-BONDS'!M11</f>
        <v>3.9199999999999999E-2</v>
      </c>
      <c r="FC13" s="148"/>
      <c r="FD13" s="148"/>
      <c r="FE13" s="155"/>
      <c r="FF13" s="148" t="s">
        <v>12</v>
      </c>
      <c r="FG13" s="149"/>
      <c r="FH13" s="129">
        <f ca="1">_xll.meLWOBondLastCouponDate('AUD-BONDS'!D11,Settings.COB)</f>
        <v>44027</v>
      </c>
      <c r="FI13" s="129">
        <f ca="1">'AUD-BONDS'!L11</f>
        <v>46037</v>
      </c>
      <c r="FJ13" s="167" t="str">
        <f ca="1">'AUD-BONDS'!O11</f>
        <v>SEMI-ANNUAL</v>
      </c>
      <c r="FK13" s="130" t="str">
        <f ca="1">'AUD-BONDS'!N11</f>
        <v>30E/360</v>
      </c>
      <c r="FL13" s="148" t="s">
        <v>82</v>
      </c>
      <c r="FM13" s="148" t="s">
        <v>68</v>
      </c>
      <c r="FN13" s="148" t="s">
        <v>82</v>
      </c>
      <c r="FO13" s="148" t="s">
        <v>68</v>
      </c>
      <c r="FP13" s="148" t="s">
        <v>82</v>
      </c>
      <c r="FQ13" s="148" t="s">
        <v>68</v>
      </c>
      <c r="FR13" s="148"/>
      <c r="FS13" s="148"/>
      <c r="FT13" s="148" t="s">
        <v>33</v>
      </c>
      <c r="FU13" s="148"/>
      <c r="FV13" s="148"/>
      <c r="FW13" s="148" t="s">
        <v>35</v>
      </c>
      <c r="FX13" s="148" t="s">
        <v>39</v>
      </c>
      <c r="FY13" s="110">
        <f t="shared" ca="1" si="13"/>
        <v>6</v>
      </c>
      <c r="FZ13" s="59" t="s">
        <v>67</v>
      </c>
      <c r="GA13" s="182">
        <f t="shared" ca="1" si="5"/>
        <v>1333333.3333333333</v>
      </c>
      <c r="GB13" s="148" t="s">
        <v>44</v>
      </c>
      <c r="GC13" s="148" t="s">
        <v>99</v>
      </c>
      <c r="GD13" s="167" t="s">
        <v>66</v>
      </c>
      <c r="GE13" s="148" t="s">
        <v>50</v>
      </c>
      <c r="GF13" s="148" t="s">
        <v>45</v>
      </c>
      <c r="GG13" s="149">
        <v>1</v>
      </c>
      <c r="GH13" s="161"/>
      <c r="GI13" s="148" t="s">
        <v>14</v>
      </c>
      <c r="GJ13" s="148" t="s">
        <v>14</v>
      </c>
      <c r="GK13" s="170">
        <f ca="1">SETTINGS!$I$6</f>
        <v>1.7100000000000001E-2</v>
      </c>
      <c r="GL13" s="148" t="s">
        <v>12</v>
      </c>
      <c r="GM13" s="188">
        <f t="shared" ca="1" si="14"/>
        <v>260.66732023507109</v>
      </c>
      <c r="GN13" s="129">
        <f ca="1">_xll.meLWOBondLastCouponDate('AUD-BONDS'!D11,Settings.COB)</f>
        <v>44027</v>
      </c>
      <c r="GO13" s="129">
        <f ca="1">'AUD-BONDS'!L11</f>
        <v>46037</v>
      </c>
      <c r="GP13" s="167" t="s">
        <v>100</v>
      </c>
      <c r="GQ13" s="130" t="s">
        <v>101</v>
      </c>
      <c r="GR13" s="164" t="s">
        <v>82</v>
      </c>
      <c r="GS13" s="164" t="s">
        <v>65</v>
      </c>
      <c r="GT13" s="164" t="s">
        <v>82</v>
      </c>
      <c r="GU13" s="164" t="s">
        <v>65</v>
      </c>
      <c r="GV13" s="164" t="s">
        <v>82</v>
      </c>
      <c r="GW13" s="164" t="s">
        <v>65</v>
      </c>
      <c r="GX13" s="148"/>
      <c r="GY13" s="148"/>
      <c r="GZ13" s="148" t="s">
        <v>33</v>
      </c>
      <c r="HA13" s="148" t="s">
        <v>35</v>
      </c>
      <c r="HB13" s="148"/>
      <c r="HC13" s="148" t="s">
        <v>35</v>
      </c>
      <c r="HD13" s="148" t="s">
        <v>39</v>
      </c>
      <c r="HE13" s="37" t="s">
        <v>264</v>
      </c>
      <c r="HF13" s="209" t="str">
        <f ca="1"/>
        <v>#Error: No range or empty range specified</v>
      </c>
      <c r="HG13" s="210" t="str">
        <f ca="1"/>
        <v>#Error: No range or empty range specified</v>
      </c>
      <c r="HH13" s="211" t="str">
        <f ca="1"/>
        <v>#Error: No range or empty range specified</v>
      </c>
      <c r="HI13" s="211" t="str">
        <f ca="1"/>
        <v>#Error: No range or empty range specified</v>
      </c>
      <c r="HJ13" s="210" t="str">
        <f ca="1"/>
        <v>#Error: No range or empty range specified</v>
      </c>
      <c r="HK13" s="216" t="str">
        <f ca="1"/>
        <v>#Error: No range or empty range specified</v>
      </c>
      <c r="HL13" s="216" t="str">
        <f ca="1"/>
        <v>#Error: No range or empty range specified</v>
      </c>
      <c r="HM13" s="211" t="str">
        <f ca="1"/>
        <v>#Error: No range or empty range specified</v>
      </c>
      <c r="HN13" s="220" t="str">
        <f ca="1"/>
        <v>#Error: No range or empty range specified</v>
      </c>
      <c r="HO13" s="216" t="str">
        <f ca="1"/>
        <v>#Error: No range or empty range specified</v>
      </c>
      <c r="HP13" s="222" t="str">
        <f ca="1"/>
        <v>#Error: No range or empty range specified</v>
      </c>
      <c r="HQ13" s="224" t="str">
        <f ca="1"/>
        <v>#Error: No range or empty range specified</v>
      </c>
    </row>
    <row r="14" spans="1:227">
      <c r="A14" s="110">
        <f t="shared" ca="1" si="6"/>
        <v>7</v>
      </c>
      <c r="B14" s="123" t="str">
        <f ca="1">'USD-BONDS'!F12</f>
        <v>ISIN6</v>
      </c>
      <c r="C14" s="206">
        <f ca="1">'USD-BONDS'!B12</f>
        <v>100</v>
      </c>
      <c r="D14" s="124" t="str">
        <f ca="1">_xll.meLWOSwapCreate($D$7&amp;"_"&amp;B14,_xll.meUtilityLVBFromKeysAndMultipleValues($G$7:$AL$7,G14:AL14,AN14:BS14))</f>
        <v>USD_ASW_ISIN6@160:6</v>
      </c>
      <c r="E14" s="270">
        <f ca="1">_xll.meLWOAssetSwapSpread(D14,'USD-BONDS'!D12,C14,$J$4:$K$5)</f>
        <v>285.35446266608909</v>
      </c>
      <c r="F14" s="110">
        <f t="shared" ca="1" si="7"/>
        <v>7</v>
      </c>
      <c r="G14" s="59" t="s">
        <v>263</v>
      </c>
      <c r="H14" s="147">
        <v>1000000</v>
      </c>
      <c r="I14" s="148" t="s">
        <v>44</v>
      </c>
      <c r="J14" s="148" t="s">
        <v>96</v>
      </c>
      <c r="K14" s="148"/>
      <c r="L14" s="148" t="s">
        <v>46</v>
      </c>
      <c r="M14" s="148" t="s">
        <v>9</v>
      </c>
      <c r="N14" s="149">
        <v>1</v>
      </c>
      <c r="O14" s="135">
        <f ca="1">'USD-BONDS'!M12</f>
        <v>3.2000000000000001E-2</v>
      </c>
      <c r="P14" s="148"/>
      <c r="Q14" s="148"/>
      <c r="R14" s="155"/>
      <c r="S14" s="148" t="s">
        <v>12</v>
      </c>
      <c r="T14" s="149"/>
      <c r="U14" s="129">
        <f ca="1">_xll.meLWOBondLastCouponDate('USD-BONDS'!D12,Settings.COB)</f>
        <v>43916</v>
      </c>
      <c r="V14" s="129">
        <f ca="1">'USD-BONDS'!L12</f>
        <v>45742</v>
      </c>
      <c r="W14" s="167" t="str">
        <f ca="1">'USD-BONDS'!O12</f>
        <v>SEMI-ANNUAL</v>
      </c>
      <c r="X14" s="130" t="str">
        <f ca="1">'USD-BONDS'!N12</f>
        <v>30E/360</v>
      </c>
      <c r="Y14" s="148" t="s">
        <v>82</v>
      </c>
      <c r="Z14" s="148" t="s">
        <v>68</v>
      </c>
      <c r="AA14" s="148" t="s">
        <v>82</v>
      </c>
      <c r="AB14" s="148" t="s">
        <v>68</v>
      </c>
      <c r="AC14" s="148" t="s">
        <v>82</v>
      </c>
      <c r="AD14" s="148" t="s">
        <v>68</v>
      </c>
      <c r="AE14" s="148"/>
      <c r="AF14" s="148"/>
      <c r="AG14" s="148" t="s">
        <v>33</v>
      </c>
      <c r="AH14" s="148"/>
      <c r="AI14" s="148"/>
      <c r="AJ14" s="148" t="s">
        <v>35</v>
      </c>
      <c r="AK14" s="262" t="s">
        <v>267</v>
      </c>
      <c r="AL14" s="158" t="s">
        <v>39</v>
      </c>
      <c r="AM14" s="110">
        <f t="shared" ca="1" si="8"/>
        <v>7</v>
      </c>
      <c r="AN14" s="59" t="s">
        <v>67</v>
      </c>
      <c r="AO14" s="147">
        <v>1000000</v>
      </c>
      <c r="AP14" s="148" t="s">
        <v>44</v>
      </c>
      <c r="AQ14" s="148" t="s">
        <v>99</v>
      </c>
      <c r="AR14" s="167" t="s">
        <v>102</v>
      </c>
      <c r="AS14" s="148" t="s">
        <v>46</v>
      </c>
      <c r="AT14" s="148" t="s">
        <v>9</v>
      </c>
      <c r="AU14" s="149">
        <v>1</v>
      </c>
      <c r="AV14" s="161"/>
      <c r="AW14" s="148" t="s">
        <v>14</v>
      </c>
      <c r="AX14" s="148" t="s">
        <v>14</v>
      </c>
      <c r="AY14" s="170">
        <f ca="1">SETTINGS!$F$6</f>
        <v>1.2955599999999999E-2</v>
      </c>
      <c r="AZ14" s="148" t="s">
        <v>12</v>
      </c>
      <c r="BA14" s="149">
        <v>0</v>
      </c>
      <c r="BB14" s="129">
        <f ca="1">_xll.meLWOBondLastCouponDate('USD-BONDS'!D12,Settings.COB)</f>
        <v>43916</v>
      </c>
      <c r="BC14" s="129">
        <f ca="1">'USD-BONDS'!L12</f>
        <v>45742</v>
      </c>
      <c r="BD14" s="167" t="s">
        <v>100</v>
      </c>
      <c r="BE14" s="130" t="s">
        <v>101</v>
      </c>
      <c r="BF14" s="164" t="s">
        <v>82</v>
      </c>
      <c r="BG14" s="164" t="s">
        <v>68</v>
      </c>
      <c r="BH14" s="164" t="s">
        <v>82</v>
      </c>
      <c r="BI14" s="164" t="s">
        <v>68</v>
      </c>
      <c r="BJ14" s="164" t="s">
        <v>82</v>
      </c>
      <c r="BK14" s="164" t="s">
        <v>68</v>
      </c>
      <c r="BL14" s="148"/>
      <c r="BM14" s="148"/>
      <c r="BN14" s="148" t="s">
        <v>33</v>
      </c>
      <c r="BO14" s="148" t="s">
        <v>35</v>
      </c>
      <c r="BP14" s="148"/>
      <c r="BQ14" s="148" t="s">
        <v>35</v>
      </c>
      <c r="BR14" s="148"/>
      <c r="BS14" s="158" t="s">
        <v>39</v>
      </c>
      <c r="BT14" s="110">
        <f t="shared" ca="1" si="9"/>
        <v>7</v>
      </c>
      <c r="BU14" s="174" t="str">
        <f ca="1">_xll.meLWOXccySwapCreate($BU$7&amp;"_"&amp;B14,_xll.meUtilityLVBFromKeysAndMultipleValues($BX$7:$DB$7,BX14:DB14,DD14:EH14),$CC$2:$CD$5)</f>
        <v>XCCY_SWAP_ISIN6@191:6</v>
      </c>
      <c r="BV14" s="175">
        <f ca="1">_xll.meLWOXccySwapParSpread(BU14,$BZ$2:$CA$6,,$BZ$3)</f>
        <v>260.66732023507109</v>
      </c>
      <c r="BW14" s="110">
        <f t="shared" ca="1" si="0"/>
        <v>8</v>
      </c>
      <c r="BX14" s="59" t="s">
        <v>97</v>
      </c>
      <c r="BY14" s="147">
        <v>1000000</v>
      </c>
      <c r="BZ14" s="148" t="s">
        <v>71</v>
      </c>
      <c r="CA14" s="148" t="s">
        <v>96</v>
      </c>
      <c r="CB14" s="136" t="s">
        <v>102</v>
      </c>
      <c r="CC14" s="148" t="s">
        <v>46</v>
      </c>
      <c r="CD14" s="148" t="s">
        <v>9</v>
      </c>
      <c r="CE14" s="149">
        <v>1</v>
      </c>
      <c r="CF14" s="148"/>
      <c r="CG14" s="148" t="s">
        <v>14</v>
      </c>
      <c r="CH14" s="148" t="s">
        <v>14</v>
      </c>
      <c r="CI14" s="170">
        <f ca="1">SETTINGS!$F$6</f>
        <v>1.2955599999999999E-2</v>
      </c>
      <c r="CJ14" s="148" t="s">
        <v>12</v>
      </c>
      <c r="CK14" s="178">
        <f t="shared" ca="1" si="1"/>
        <v>285.35446266608909</v>
      </c>
      <c r="CL14" s="129">
        <f ca="1">_xll.meLWOBondLastCouponDate('USD-BONDS'!D12,Settings.COB)</f>
        <v>43916</v>
      </c>
      <c r="CM14" s="129">
        <f ca="1">'USD-BONDS'!L12</f>
        <v>45742</v>
      </c>
      <c r="CN14" s="167" t="s">
        <v>100</v>
      </c>
      <c r="CO14" s="167" t="s">
        <v>101</v>
      </c>
      <c r="CP14" s="148" t="s">
        <v>82</v>
      </c>
      <c r="CQ14" s="148" t="s">
        <v>68</v>
      </c>
      <c r="CR14" s="148" t="s">
        <v>82</v>
      </c>
      <c r="CS14" s="148" t="s">
        <v>68</v>
      </c>
      <c r="CT14" s="148" t="s">
        <v>82</v>
      </c>
      <c r="CU14" s="148" t="s">
        <v>68</v>
      </c>
      <c r="CV14" s="148"/>
      <c r="CW14" s="148"/>
      <c r="CX14" s="148" t="s">
        <v>33</v>
      </c>
      <c r="CY14" s="148" t="s">
        <v>35</v>
      </c>
      <c r="CZ14" s="148"/>
      <c r="DA14" s="148" t="s">
        <v>35</v>
      </c>
      <c r="DB14" s="158" t="s">
        <v>39</v>
      </c>
      <c r="DC14" s="110">
        <f t="shared" ca="1" si="2"/>
        <v>8</v>
      </c>
      <c r="DD14" s="59" t="s">
        <v>67</v>
      </c>
      <c r="DE14" s="182">
        <f t="shared" ca="1" si="3"/>
        <v>1333333.3333333333</v>
      </c>
      <c r="DF14" s="148" t="s">
        <v>71</v>
      </c>
      <c r="DG14" s="148" t="s">
        <v>99</v>
      </c>
      <c r="DH14" s="183" t="s">
        <v>66</v>
      </c>
      <c r="DI14" s="148" t="s">
        <v>105</v>
      </c>
      <c r="DJ14" s="148" t="s">
        <v>45</v>
      </c>
      <c r="DK14" s="149">
        <v>1</v>
      </c>
      <c r="DL14" s="148"/>
      <c r="DM14" s="148" t="s">
        <v>14</v>
      </c>
      <c r="DN14" s="148" t="s">
        <v>14</v>
      </c>
      <c r="DO14" s="170">
        <f ca="1">SETTINGS!$I$6</f>
        <v>1.7100000000000001E-2</v>
      </c>
      <c r="DP14" s="148" t="s">
        <v>12</v>
      </c>
      <c r="DQ14" s="149">
        <v>0</v>
      </c>
      <c r="DR14" s="129">
        <f ca="1">_xll.meLWOBondLastCouponDate('AUD-BONDS'!D12,Settings.COB)</f>
        <v>44027</v>
      </c>
      <c r="DS14" s="129">
        <f ca="1">'AUD-BONDS'!L12</f>
        <v>46037</v>
      </c>
      <c r="DT14" s="90" t="s">
        <v>100</v>
      </c>
      <c r="DU14" s="90" t="s">
        <v>103</v>
      </c>
      <c r="DV14" s="148" t="s">
        <v>82</v>
      </c>
      <c r="DW14" s="148" t="s">
        <v>65</v>
      </c>
      <c r="DX14" s="148" t="s">
        <v>82</v>
      </c>
      <c r="DY14" s="148" t="s">
        <v>65</v>
      </c>
      <c r="DZ14" s="148" t="s">
        <v>82</v>
      </c>
      <c r="EA14" s="148" t="s">
        <v>65</v>
      </c>
      <c r="EB14" s="148"/>
      <c r="EC14" s="148"/>
      <c r="ED14" s="148" t="s">
        <v>33</v>
      </c>
      <c r="EE14" s="148" t="s">
        <v>35</v>
      </c>
      <c r="EF14" s="148"/>
      <c r="EG14" s="148" t="s">
        <v>35</v>
      </c>
      <c r="EH14" s="158" t="s">
        <v>39</v>
      </c>
      <c r="EI14" s="110">
        <f t="shared" ca="1" si="10"/>
        <v>7</v>
      </c>
      <c r="EJ14" s="123" t="str">
        <f ca="1">'AUD-BONDS'!F12</f>
        <v>ISIN6</v>
      </c>
      <c r="EK14" s="124" t="str">
        <f ca="1">_xll.meLWOSwapCreate($EK$7&amp;"_"&amp;EJ14,_xll.meUtilityLVBFromKeysAndMultipleValues($ET$7:$FX$7,ET14:FX14,FZ14:HD14))</f>
        <v>#Error: Missing key 'CALCULATIONTYPE'. This key is mandatory and must be included in the Label Value Block , 'scheduleLVB'.</v>
      </c>
      <c r="EL14" s="191" t="str">
        <f ca="1">_xll.meLWOAssetSwapSpreadToCleanPrice($EK14,$EK$4,$BV14,$EW$4)</f>
        <v>#Error: Swap #ERROR does not exist</v>
      </c>
      <c r="EM14" s="110">
        <f t="shared" ref="EM14" ca="1" si="18">EM13+1</f>
        <v>7</v>
      </c>
      <c r="EN14" s="197" t="str">
        <f ca="1">_xll.meLWOBondYield('AUD-BONDS'!D12,$EK$4,$EL14)</f>
        <v>#Error: Invalid input, numerical input required</v>
      </c>
      <c r="EO14" s="190" t="str">
        <f ca="1">_xll.meLWOBondCleanPrice('AUD-BONDS'!$D12,$EK$4,$EN14)</f>
        <v>#Error: Invalid Vector Data:  Input Contains Errors</v>
      </c>
      <c r="EP14" s="190" t="str">
        <f ca="1">_xll.meLWOBondDirtyPrice('AUD-BONDS'!$D12,$EK$4,$EN14)</f>
        <v>#Error: Invalid Vector Data:  Input Contains Errors</v>
      </c>
      <c r="EQ14" s="192">
        <f ca="1">_xll.meLWOBondAccruedInterest('AUD-BONDS'!$D12,'AUD-URIDASHI-PX'!$EK$4)</f>
        <v>4250</v>
      </c>
      <c r="ER14" s="198">
        <f ca="1">_xll.meLWOBondAccruedInterestDays('AUD-BONDS'!$D12,'AUD-URIDASHI-PX'!$EK$4)</f>
        <v>39</v>
      </c>
      <c r="ES14" s="110">
        <f t="shared" ca="1" si="12"/>
        <v>7</v>
      </c>
      <c r="ET14" s="59" t="s">
        <v>263</v>
      </c>
      <c r="EU14" s="182">
        <f t="shared" ca="1" si="4"/>
        <v>1333333.3333333333</v>
      </c>
      <c r="EV14" s="148" t="s">
        <v>44</v>
      </c>
      <c r="EW14" s="148" t="s">
        <v>96</v>
      </c>
      <c r="EX14" s="148"/>
      <c r="EY14" s="148" t="s">
        <v>50</v>
      </c>
      <c r="EZ14" s="148" t="s">
        <v>45</v>
      </c>
      <c r="FA14" s="149">
        <v>1</v>
      </c>
      <c r="FB14" s="135">
        <f ca="1">'AUD-BONDS'!M12</f>
        <v>3.9199999999999999E-2</v>
      </c>
      <c r="FC14" s="148"/>
      <c r="FD14" s="148"/>
      <c r="FE14" s="155"/>
      <c r="FF14" s="148" t="s">
        <v>12</v>
      </c>
      <c r="FG14" s="149"/>
      <c r="FH14" s="129">
        <f ca="1">_xll.meLWOBondLastCouponDate('AUD-BONDS'!D12,Settings.COB)</f>
        <v>44027</v>
      </c>
      <c r="FI14" s="129">
        <f ca="1">'AUD-BONDS'!L12</f>
        <v>46037</v>
      </c>
      <c r="FJ14" s="167" t="str">
        <f ca="1">'AUD-BONDS'!O12</f>
        <v>SEMI-ANNUAL</v>
      </c>
      <c r="FK14" s="130" t="str">
        <f ca="1">'AUD-BONDS'!N12</f>
        <v>30E/360</v>
      </c>
      <c r="FL14" s="148" t="s">
        <v>82</v>
      </c>
      <c r="FM14" s="148" t="s">
        <v>68</v>
      </c>
      <c r="FN14" s="148" t="s">
        <v>82</v>
      </c>
      <c r="FO14" s="148" t="s">
        <v>68</v>
      </c>
      <c r="FP14" s="148" t="s">
        <v>82</v>
      </c>
      <c r="FQ14" s="148" t="s">
        <v>68</v>
      </c>
      <c r="FR14" s="148"/>
      <c r="FS14" s="148"/>
      <c r="FT14" s="148" t="s">
        <v>33</v>
      </c>
      <c r="FU14" s="148"/>
      <c r="FV14" s="148"/>
      <c r="FW14" s="148" t="s">
        <v>35</v>
      </c>
      <c r="FX14" s="148" t="s">
        <v>39</v>
      </c>
      <c r="FY14" s="110">
        <f t="shared" ca="1" si="13"/>
        <v>7</v>
      </c>
      <c r="FZ14" s="59" t="s">
        <v>67</v>
      </c>
      <c r="GA14" s="182">
        <f t="shared" ca="1" si="5"/>
        <v>1333333.3333333333</v>
      </c>
      <c r="GB14" s="148" t="s">
        <v>44</v>
      </c>
      <c r="GC14" s="148" t="s">
        <v>99</v>
      </c>
      <c r="GD14" s="167" t="s">
        <v>66</v>
      </c>
      <c r="GE14" s="148" t="s">
        <v>50</v>
      </c>
      <c r="GF14" s="148" t="s">
        <v>45</v>
      </c>
      <c r="GG14" s="149">
        <v>1</v>
      </c>
      <c r="GH14" s="161"/>
      <c r="GI14" s="148" t="s">
        <v>14</v>
      </c>
      <c r="GJ14" s="148" t="s">
        <v>14</v>
      </c>
      <c r="GK14" s="170">
        <f ca="1">SETTINGS!$I$6</f>
        <v>1.7100000000000001E-2</v>
      </c>
      <c r="GL14" s="148" t="s">
        <v>12</v>
      </c>
      <c r="GM14" s="188">
        <f t="shared" ca="1" si="14"/>
        <v>260.66732023507109</v>
      </c>
      <c r="GN14" s="129">
        <f ca="1">_xll.meLWOBondLastCouponDate('AUD-BONDS'!D12,Settings.COB)</f>
        <v>44027</v>
      </c>
      <c r="GO14" s="129">
        <f ca="1">'AUD-BONDS'!L12</f>
        <v>46037</v>
      </c>
      <c r="GP14" s="167" t="s">
        <v>100</v>
      </c>
      <c r="GQ14" s="130" t="s">
        <v>101</v>
      </c>
      <c r="GR14" s="164" t="s">
        <v>82</v>
      </c>
      <c r="GS14" s="164" t="s">
        <v>65</v>
      </c>
      <c r="GT14" s="164" t="s">
        <v>82</v>
      </c>
      <c r="GU14" s="164" t="s">
        <v>65</v>
      </c>
      <c r="GV14" s="164" t="s">
        <v>82</v>
      </c>
      <c r="GW14" s="164" t="s">
        <v>65</v>
      </c>
      <c r="GX14" s="148"/>
      <c r="GY14" s="148"/>
      <c r="GZ14" s="148" t="s">
        <v>33</v>
      </c>
      <c r="HA14" s="148" t="s">
        <v>35</v>
      </c>
      <c r="HB14" s="148"/>
      <c r="HC14" s="148" t="s">
        <v>35</v>
      </c>
      <c r="HD14" s="148" t="s">
        <v>39</v>
      </c>
      <c r="HE14" s="37" t="s">
        <v>264</v>
      </c>
      <c r="HF14" s="209" t="str">
        <f ca="1"/>
        <v>#Error: No range or empty range specified</v>
      </c>
      <c r="HG14" s="210" t="str">
        <f ca="1"/>
        <v>#Error: No range or empty range specified</v>
      </c>
      <c r="HH14" s="211" t="str">
        <f ca="1"/>
        <v>#Error: No range or empty range specified</v>
      </c>
      <c r="HI14" s="211" t="str">
        <f ca="1"/>
        <v>#Error: No range or empty range specified</v>
      </c>
      <c r="HJ14" s="210" t="str">
        <f ca="1"/>
        <v>#Error: No range or empty range specified</v>
      </c>
      <c r="HK14" s="216" t="str">
        <f ca="1"/>
        <v>#Error: No range or empty range specified</v>
      </c>
      <c r="HL14" s="216" t="str">
        <f ca="1"/>
        <v>#Error: No range or empty range specified</v>
      </c>
      <c r="HM14" s="211" t="str">
        <f ca="1"/>
        <v>#Error: No range or empty range specified</v>
      </c>
      <c r="HN14" s="220" t="str">
        <f ca="1"/>
        <v>#Error: No range or empty range specified</v>
      </c>
      <c r="HO14" s="216" t="str">
        <f ca="1"/>
        <v>#Error: No range or empty range specified</v>
      </c>
      <c r="HP14" s="222" t="str">
        <f ca="1"/>
        <v>#Error: No range or empty range specified</v>
      </c>
      <c r="HQ14" s="224" t="str">
        <f ca="1"/>
        <v>#Error: No range or empty range specified</v>
      </c>
    </row>
    <row r="15" spans="1:227">
      <c r="A15" s="110">
        <f t="shared" ca="1" si="6"/>
        <v>8</v>
      </c>
      <c r="B15" s="123" t="str">
        <f ca="1">'USD-BONDS'!F13</f>
        <v>ISIN7</v>
      </c>
      <c r="C15" s="206">
        <f ca="1">'USD-BONDS'!B13</f>
        <v>100</v>
      </c>
      <c r="D15" s="124" t="str">
        <f ca="1">_xll.meLWOSwapCreate($D$7&amp;"_"&amp;B15,_xll.meUtilityLVBFromKeysAndMultipleValues($G$7:$AL$7,G15:AL15,AN15:BS15))</f>
        <v>USD_ASW_ISIN7@146:6</v>
      </c>
      <c r="E15" s="270">
        <f ca="1">_xll.meLWOAssetSwapSpread(D15,'USD-BONDS'!D13,C15,$J$4:$K$5)</f>
        <v>285.35446266608909</v>
      </c>
      <c r="F15" s="110">
        <f t="shared" ca="1" si="7"/>
        <v>8</v>
      </c>
      <c r="G15" s="59" t="s">
        <v>263</v>
      </c>
      <c r="H15" s="147">
        <v>1000000</v>
      </c>
      <c r="I15" s="148" t="s">
        <v>44</v>
      </c>
      <c r="J15" s="148" t="s">
        <v>96</v>
      </c>
      <c r="K15" s="148"/>
      <c r="L15" s="148" t="s">
        <v>46</v>
      </c>
      <c r="M15" s="148" t="s">
        <v>9</v>
      </c>
      <c r="N15" s="149">
        <v>1</v>
      </c>
      <c r="O15" s="135">
        <f ca="1">'USD-BONDS'!M13</f>
        <v>3.2000000000000001E-2</v>
      </c>
      <c r="P15" s="148"/>
      <c r="Q15" s="148"/>
      <c r="R15" s="155"/>
      <c r="S15" s="148" t="s">
        <v>12</v>
      </c>
      <c r="T15" s="149"/>
      <c r="U15" s="129">
        <f ca="1">_xll.meLWOBondLastCouponDate('USD-BONDS'!D13,Settings.COB)</f>
        <v>43916</v>
      </c>
      <c r="V15" s="129">
        <f ca="1">'USD-BONDS'!L13</f>
        <v>45742</v>
      </c>
      <c r="W15" s="167" t="str">
        <f ca="1">'USD-BONDS'!O13</f>
        <v>SEMI-ANNUAL</v>
      </c>
      <c r="X15" s="130" t="str">
        <f ca="1">'USD-BONDS'!N13</f>
        <v>30E/360</v>
      </c>
      <c r="Y15" s="148" t="s">
        <v>82</v>
      </c>
      <c r="Z15" s="148" t="s">
        <v>68</v>
      </c>
      <c r="AA15" s="148" t="s">
        <v>82</v>
      </c>
      <c r="AB15" s="148" t="s">
        <v>68</v>
      </c>
      <c r="AC15" s="148" t="s">
        <v>82</v>
      </c>
      <c r="AD15" s="148" t="s">
        <v>68</v>
      </c>
      <c r="AE15" s="148"/>
      <c r="AF15" s="148"/>
      <c r="AG15" s="148" t="s">
        <v>33</v>
      </c>
      <c r="AH15" s="148"/>
      <c r="AI15" s="148"/>
      <c r="AJ15" s="148" t="s">
        <v>35</v>
      </c>
      <c r="AK15" s="262" t="s">
        <v>267</v>
      </c>
      <c r="AL15" s="158" t="s">
        <v>39</v>
      </c>
      <c r="AM15" s="110">
        <f t="shared" ca="1" si="8"/>
        <v>8</v>
      </c>
      <c r="AN15" s="59" t="s">
        <v>67</v>
      </c>
      <c r="AO15" s="147">
        <v>1000000</v>
      </c>
      <c r="AP15" s="148" t="s">
        <v>44</v>
      </c>
      <c r="AQ15" s="148" t="s">
        <v>99</v>
      </c>
      <c r="AR15" s="167" t="s">
        <v>102</v>
      </c>
      <c r="AS15" s="148" t="s">
        <v>46</v>
      </c>
      <c r="AT15" s="148" t="s">
        <v>9</v>
      </c>
      <c r="AU15" s="149">
        <v>1</v>
      </c>
      <c r="AV15" s="161"/>
      <c r="AW15" s="148" t="s">
        <v>14</v>
      </c>
      <c r="AX15" s="148" t="s">
        <v>14</v>
      </c>
      <c r="AY15" s="170">
        <f ca="1">SETTINGS!$F$6</f>
        <v>1.2955599999999999E-2</v>
      </c>
      <c r="AZ15" s="148" t="s">
        <v>12</v>
      </c>
      <c r="BA15" s="149">
        <v>0</v>
      </c>
      <c r="BB15" s="129">
        <f ca="1">_xll.meLWOBondLastCouponDate('USD-BONDS'!D13,Settings.COB)</f>
        <v>43916</v>
      </c>
      <c r="BC15" s="129">
        <f ca="1">'USD-BONDS'!L13</f>
        <v>45742</v>
      </c>
      <c r="BD15" s="167" t="s">
        <v>100</v>
      </c>
      <c r="BE15" s="130" t="s">
        <v>101</v>
      </c>
      <c r="BF15" s="164" t="s">
        <v>82</v>
      </c>
      <c r="BG15" s="164" t="s">
        <v>68</v>
      </c>
      <c r="BH15" s="164" t="s">
        <v>82</v>
      </c>
      <c r="BI15" s="164" t="s">
        <v>68</v>
      </c>
      <c r="BJ15" s="164" t="s">
        <v>82</v>
      </c>
      <c r="BK15" s="164" t="s">
        <v>68</v>
      </c>
      <c r="BL15" s="148"/>
      <c r="BM15" s="148"/>
      <c r="BN15" s="148" t="s">
        <v>33</v>
      </c>
      <c r="BO15" s="148" t="s">
        <v>35</v>
      </c>
      <c r="BP15" s="148"/>
      <c r="BQ15" s="148" t="s">
        <v>35</v>
      </c>
      <c r="BR15" s="148"/>
      <c r="BS15" s="158" t="s">
        <v>39</v>
      </c>
      <c r="BT15" s="110">
        <f t="shared" ca="1" si="9"/>
        <v>8</v>
      </c>
      <c r="BU15" s="174" t="str">
        <f ca="1">_xll.meLWOXccySwapCreate($BU$7&amp;"_"&amp;B15,_xll.meUtilityLVBFromKeysAndMultipleValues($BX$7:$DB$7,BX15:DB15,DD15:EH15),$CC$2:$CD$5)</f>
        <v>XCCY_SWAP_ISIN7@193:6</v>
      </c>
      <c r="BV15" s="175">
        <f ca="1">_xll.meLWOXccySwapParSpread(BU15,$BZ$2:$CA$6,,$BZ$3)</f>
        <v>260.66732023507109</v>
      </c>
      <c r="BW15" s="110">
        <f t="shared" ca="1" si="0"/>
        <v>9</v>
      </c>
      <c r="BX15" s="59" t="s">
        <v>97</v>
      </c>
      <c r="BY15" s="147">
        <v>1000000</v>
      </c>
      <c r="BZ15" s="148" t="s">
        <v>71</v>
      </c>
      <c r="CA15" s="148" t="s">
        <v>96</v>
      </c>
      <c r="CB15" s="136" t="s">
        <v>102</v>
      </c>
      <c r="CC15" s="148" t="s">
        <v>46</v>
      </c>
      <c r="CD15" s="148" t="s">
        <v>9</v>
      </c>
      <c r="CE15" s="149">
        <v>1</v>
      </c>
      <c r="CF15" s="148"/>
      <c r="CG15" s="148" t="s">
        <v>14</v>
      </c>
      <c r="CH15" s="148" t="s">
        <v>14</v>
      </c>
      <c r="CI15" s="170">
        <f ca="1">SETTINGS!$F$6</f>
        <v>1.2955599999999999E-2</v>
      </c>
      <c r="CJ15" s="148" t="s">
        <v>12</v>
      </c>
      <c r="CK15" s="178">
        <f t="shared" ca="1" si="1"/>
        <v>285.35446266608909</v>
      </c>
      <c r="CL15" s="129">
        <f ca="1">_xll.meLWOBondLastCouponDate('USD-BONDS'!D13,Settings.COB)</f>
        <v>43916</v>
      </c>
      <c r="CM15" s="129">
        <f ca="1">'USD-BONDS'!L13</f>
        <v>45742</v>
      </c>
      <c r="CN15" s="167" t="s">
        <v>100</v>
      </c>
      <c r="CO15" s="167" t="s">
        <v>101</v>
      </c>
      <c r="CP15" s="148" t="s">
        <v>82</v>
      </c>
      <c r="CQ15" s="148" t="s">
        <v>68</v>
      </c>
      <c r="CR15" s="148" t="s">
        <v>82</v>
      </c>
      <c r="CS15" s="148" t="s">
        <v>68</v>
      </c>
      <c r="CT15" s="148" t="s">
        <v>82</v>
      </c>
      <c r="CU15" s="148" t="s">
        <v>68</v>
      </c>
      <c r="CV15" s="148"/>
      <c r="CW15" s="148"/>
      <c r="CX15" s="148" t="s">
        <v>33</v>
      </c>
      <c r="CY15" s="148" t="s">
        <v>35</v>
      </c>
      <c r="CZ15" s="148"/>
      <c r="DA15" s="148" t="s">
        <v>35</v>
      </c>
      <c r="DB15" s="158" t="s">
        <v>39</v>
      </c>
      <c r="DC15" s="110">
        <f t="shared" ca="1" si="2"/>
        <v>9</v>
      </c>
      <c r="DD15" s="59" t="s">
        <v>67</v>
      </c>
      <c r="DE15" s="182">
        <f t="shared" ca="1" si="3"/>
        <v>1333333.3333333333</v>
      </c>
      <c r="DF15" s="148" t="s">
        <v>71</v>
      </c>
      <c r="DG15" s="148" t="s">
        <v>99</v>
      </c>
      <c r="DH15" s="183" t="s">
        <v>66</v>
      </c>
      <c r="DI15" s="148" t="s">
        <v>105</v>
      </c>
      <c r="DJ15" s="148" t="s">
        <v>45</v>
      </c>
      <c r="DK15" s="149">
        <v>1</v>
      </c>
      <c r="DL15" s="148"/>
      <c r="DM15" s="148" t="s">
        <v>14</v>
      </c>
      <c r="DN15" s="148" t="s">
        <v>14</v>
      </c>
      <c r="DO15" s="170">
        <f ca="1">SETTINGS!$I$6</f>
        <v>1.7100000000000001E-2</v>
      </c>
      <c r="DP15" s="148" t="s">
        <v>12</v>
      </c>
      <c r="DQ15" s="149">
        <v>0</v>
      </c>
      <c r="DR15" s="129">
        <f ca="1">_xll.meLWOBondLastCouponDate('AUD-BONDS'!D13,Settings.COB)</f>
        <v>44027</v>
      </c>
      <c r="DS15" s="129">
        <f ca="1">'AUD-BONDS'!L13</f>
        <v>46037</v>
      </c>
      <c r="DT15" s="90" t="s">
        <v>100</v>
      </c>
      <c r="DU15" s="90" t="s">
        <v>103</v>
      </c>
      <c r="DV15" s="148" t="s">
        <v>82</v>
      </c>
      <c r="DW15" s="148" t="s">
        <v>65</v>
      </c>
      <c r="DX15" s="148" t="s">
        <v>82</v>
      </c>
      <c r="DY15" s="148" t="s">
        <v>65</v>
      </c>
      <c r="DZ15" s="148" t="s">
        <v>82</v>
      </c>
      <c r="EA15" s="148" t="s">
        <v>65</v>
      </c>
      <c r="EB15" s="148"/>
      <c r="EC15" s="148"/>
      <c r="ED15" s="148" t="s">
        <v>33</v>
      </c>
      <c r="EE15" s="148" t="s">
        <v>35</v>
      </c>
      <c r="EF15" s="148"/>
      <c r="EG15" s="148" t="s">
        <v>35</v>
      </c>
      <c r="EH15" s="158" t="s">
        <v>39</v>
      </c>
      <c r="EI15" s="110">
        <f t="shared" ca="1" si="10"/>
        <v>8</v>
      </c>
      <c r="EJ15" s="123" t="str">
        <f ca="1">'AUD-BONDS'!F13</f>
        <v>ISIN7</v>
      </c>
      <c r="EK15" s="124" t="str">
        <f ca="1">_xll.meLWOSwapCreate($EK$7&amp;"_"&amp;EJ15,_xll.meUtilityLVBFromKeysAndMultipleValues($ET$7:$FX$7,ET15:FX15,FZ15:HD15))</f>
        <v>#Error: Missing key 'CALCULATIONTYPE'. This key is mandatory and must be included in the Label Value Block , 'scheduleLVB'.</v>
      </c>
      <c r="EL15" s="191" t="str">
        <f ca="1">_xll.meLWOAssetSwapSpreadToCleanPrice($EK15,$EK$4,$BV15,$EW$4)</f>
        <v>#Error: Swap #ERROR does not exist</v>
      </c>
      <c r="EM15" s="110">
        <f t="shared" ref="EM15" ca="1" si="19">EM14+1</f>
        <v>8</v>
      </c>
      <c r="EN15" s="197" t="str">
        <f ca="1">_xll.meLWOBondYield('AUD-BONDS'!D13,$EK$4,$EL15)</f>
        <v>#Error: Invalid input, numerical input required</v>
      </c>
      <c r="EO15" s="190" t="str">
        <f ca="1">_xll.meLWOBondCleanPrice('AUD-BONDS'!$D13,$EK$4,$EN15)</f>
        <v>#Error: Invalid Vector Data:  Input Contains Errors</v>
      </c>
      <c r="EP15" s="190" t="str">
        <f ca="1">_xll.meLWOBondDirtyPrice('AUD-BONDS'!$D13,$EK$4,$EN15)</f>
        <v>#Error: Invalid Vector Data:  Input Contains Errors</v>
      </c>
      <c r="EQ15" s="192">
        <f ca="1">_xll.meLWOBondAccruedInterest('AUD-BONDS'!$D13,'AUD-URIDASHI-PX'!$EK$4)</f>
        <v>4250</v>
      </c>
      <c r="ER15" s="198">
        <f ca="1">_xll.meLWOBondAccruedInterestDays('AUD-BONDS'!$D13,'AUD-URIDASHI-PX'!$EK$4)</f>
        <v>39</v>
      </c>
      <c r="ES15" s="110">
        <f t="shared" ca="1" si="12"/>
        <v>8</v>
      </c>
      <c r="ET15" s="59" t="s">
        <v>263</v>
      </c>
      <c r="EU15" s="182">
        <f t="shared" ca="1" si="4"/>
        <v>1333333.3333333333</v>
      </c>
      <c r="EV15" s="148" t="s">
        <v>44</v>
      </c>
      <c r="EW15" s="148" t="s">
        <v>96</v>
      </c>
      <c r="EX15" s="148"/>
      <c r="EY15" s="148" t="s">
        <v>50</v>
      </c>
      <c r="EZ15" s="148" t="s">
        <v>45</v>
      </c>
      <c r="FA15" s="149">
        <v>1</v>
      </c>
      <c r="FB15" s="135">
        <f ca="1">'AUD-BONDS'!M13</f>
        <v>3.9199999999999999E-2</v>
      </c>
      <c r="FC15" s="148"/>
      <c r="FD15" s="148"/>
      <c r="FE15" s="155"/>
      <c r="FF15" s="148" t="s">
        <v>12</v>
      </c>
      <c r="FG15" s="149"/>
      <c r="FH15" s="129">
        <f ca="1">_xll.meLWOBondLastCouponDate('AUD-BONDS'!D13,Settings.COB)</f>
        <v>44027</v>
      </c>
      <c r="FI15" s="129">
        <f ca="1">'AUD-BONDS'!L13</f>
        <v>46037</v>
      </c>
      <c r="FJ15" s="167" t="str">
        <f ca="1">'AUD-BONDS'!O13</f>
        <v>SEMI-ANNUAL</v>
      </c>
      <c r="FK15" s="130" t="str">
        <f ca="1">'AUD-BONDS'!N13</f>
        <v>30E/360</v>
      </c>
      <c r="FL15" s="148" t="s">
        <v>82</v>
      </c>
      <c r="FM15" s="148" t="s">
        <v>68</v>
      </c>
      <c r="FN15" s="148" t="s">
        <v>82</v>
      </c>
      <c r="FO15" s="148" t="s">
        <v>68</v>
      </c>
      <c r="FP15" s="148" t="s">
        <v>82</v>
      </c>
      <c r="FQ15" s="148" t="s">
        <v>68</v>
      </c>
      <c r="FR15" s="148"/>
      <c r="FS15" s="148"/>
      <c r="FT15" s="148" t="s">
        <v>33</v>
      </c>
      <c r="FU15" s="148"/>
      <c r="FV15" s="148"/>
      <c r="FW15" s="148" t="s">
        <v>35</v>
      </c>
      <c r="FX15" s="148" t="s">
        <v>39</v>
      </c>
      <c r="FY15" s="110">
        <f t="shared" ca="1" si="13"/>
        <v>8</v>
      </c>
      <c r="FZ15" s="59" t="s">
        <v>67</v>
      </c>
      <c r="GA15" s="182">
        <f t="shared" ca="1" si="5"/>
        <v>1333333.3333333333</v>
      </c>
      <c r="GB15" s="148" t="s">
        <v>44</v>
      </c>
      <c r="GC15" s="148" t="s">
        <v>99</v>
      </c>
      <c r="GD15" s="167" t="s">
        <v>66</v>
      </c>
      <c r="GE15" s="148" t="s">
        <v>50</v>
      </c>
      <c r="GF15" s="148" t="s">
        <v>45</v>
      </c>
      <c r="GG15" s="149">
        <v>1</v>
      </c>
      <c r="GH15" s="161"/>
      <c r="GI15" s="148" t="s">
        <v>14</v>
      </c>
      <c r="GJ15" s="148" t="s">
        <v>14</v>
      </c>
      <c r="GK15" s="170">
        <f ca="1">SETTINGS!$I$6</f>
        <v>1.7100000000000001E-2</v>
      </c>
      <c r="GL15" s="148" t="s">
        <v>12</v>
      </c>
      <c r="GM15" s="188">
        <f t="shared" ca="1" si="14"/>
        <v>260.66732023507109</v>
      </c>
      <c r="GN15" s="129">
        <f ca="1">_xll.meLWOBondLastCouponDate('AUD-BONDS'!D13,Settings.COB)</f>
        <v>44027</v>
      </c>
      <c r="GO15" s="129">
        <f ca="1">'AUD-BONDS'!L13</f>
        <v>46037</v>
      </c>
      <c r="GP15" s="167" t="s">
        <v>100</v>
      </c>
      <c r="GQ15" s="130" t="s">
        <v>101</v>
      </c>
      <c r="GR15" s="164" t="s">
        <v>82</v>
      </c>
      <c r="GS15" s="164" t="s">
        <v>65</v>
      </c>
      <c r="GT15" s="164" t="s">
        <v>82</v>
      </c>
      <c r="GU15" s="164" t="s">
        <v>65</v>
      </c>
      <c r="GV15" s="164" t="s">
        <v>82</v>
      </c>
      <c r="GW15" s="164" t="s">
        <v>65</v>
      </c>
      <c r="GX15" s="148"/>
      <c r="GY15" s="148"/>
      <c r="GZ15" s="148" t="s">
        <v>33</v>
      </c>
      <c r="HA15" s="148" t="s">
        <v>35</v>
      </c>
      <c r="HB15" s="148"/>
      <c r="HC15" s="148" t="s">
        <v>35</v>
      </c>
      <c r="HD15" s="148" t="s">
        <v>39</v>
      </c>
      <c r="HE15" s="37" t="s">
        <v>264</v>
      </c>
      <c r="HF15" s="209" t="str">
        <f ca="1"/>
        <v>#Error: No range or empty range specified</v>
      </c>
      <c r="HG15" s="210" t="str">
        <f ca="1"/>
        <v>#Error: No range or empty range specified</v>
      </c>
      <c r="HH15" s="211" t="str">
        <f ca="1"/>
        <v>#Error: No range or empty range specified</v>
      </c>
      <c r="HI15" s="211" t="str">
        <f ca="1"/>
        <v>#Error: No range or empty range specified</v>
      </c>
      <c r="HJ15" s="210" t="str">
        <f ca="1"/>
        <v>#Error: No range or empty range specified</v>
      </c>
      <c r="HK15" s="216" t="str">
        <f ca="1"/>
        <v>#Error: No range or empty range specified</v>
      </c>
      <c r="HL15" s="216" t="str">
        <f ca="1"/>
        <v>#Error: No range or empty range specified</v>
      </c>
      <c r="HM15" s="211" t="str">
        <f ca="1"/>
        <v>#Error: No range or empty range specified</v>
      </c>
      <c r="HN15" s="220" t="str">
        <f ca="1"/>
        <v>#Error: No range or empty range specified</v>
      </c>
      <c r="HO15" s="216" t="str">
        <f ca="1"/>
        <v>#Error: No range or empty range specified</v>
      </c>
      <c r="HP15" s="222" t="str">
        <f ca="1"/>
        <v>#Error: No range or empty range specified</v>
      </c>
      <c r="HQ15" s="224" t="str">
        <f ca="1"/>
        <v>#Error: No range or empty range specified</v>
      </c>
    </row>
    <row r="16" spans="1:227">
      <c r="A16" s="110">
        <f t="shared" ca="1" si="6"/>
        <v>9</v>
      </c>
      <c r="B16" s="123" t="str">
        <f ca="1">'USD-BONDS'!F14</f>
        <v>ISIN8</v>
      </c>
      <c r="C16" s="206">
        <f ca="1">'USD-BONDS'!B14</f>
        <v>100</v>
      </c>
      <c r="D16" s="124" t="str">
        <f ca="1">_xll.meLWOSwapCreate($D$7&amp;"_"&amp;B16,_xll.meUtilityLVBFromKeysAndMultipleValues($G$7:$AL$7,G16:AL16,AN16:BS16))</f>
        <v>USD_ASW_ISIN8@150:6</v>
      </c>
      <c r="E16" s="270">
        <f ca="1">_xll.meLWOAssetSwapSpread(D16,'USD-BONDS'!D14,C16,$J$4:$K$5)</f>
        <v>285.35446266608909</v>
      </c>
      <c r="F16" s="110">
        <f t="shared" ca="1" si="7"/>
        <v>9</v>
      </c>
      <c r="G16" s="59" t="s">
        <v>263</v>
      </c>
      <c r="H16" s="147">
        <v>1000000</v>
      </c>
      <c r="I16" s="148" t="s">
        <v>44</v>
      </c>
      <c r="J16" s="148" t="s">
        <v>96</v>
      </c>
      <c r="K16" s="148"/>
      <c r="L16" s="148" t="s">
        <v>46</v>
      </c>
      <c r="M16" s="148" t="s">
        <v>9</v>
      </c>
      <c r="N16" s="149">
        <v>1</v>
      </c>
      <c r="O16" s="135">
        <f ca="1">'USD-BONDS'!M14</f>
        <v>3.2000000000000001E-2</v>
      </c>
      <c r="P16" s="148"/>
      <c r="Q16" s="148"/>
      <c r="R16" s="155"/>
      <c r="S16" s="148" t="s">
        <v>12</v>
      </c>
      <c r="T16" s="149"/>
      <c r="U16" s="129">
        <f ca="1">_xll.meLWOBondLastCouponDate('USD-BONDS'!D14,Settings.COB)</f>
        <v>43916</v>
      </c>
      <c r="V16" s="129">
        <f ca="1">'USD-BONDS'!L14</f>
        <v>45742</v>
      </c>
      <c r="W16" s="167" t="str">
        <f ca="1">'USD-BONDS'!O14</f>
        <v>SEMI-ANNUAL</v>
      </c>
      <c r="X16" s="130" t="str">
        <f ca="1">'USD-BONDS'!N14</f>
        <v>30E/360</v>
      </c>
      <c r="Y16" s="148" t="s">
        <v>82</v>
      </c>
      <c r="Z16" s="148" t="s">
        <v>68</v>
      </c>
      <c r="AA16" s="148" t="s">
        <v>82</v>
      </c>
      <c r="AB16" s="148" t="s">
        <v>68</v>
      </c>
      <c r="AC16" s="148" t="s">
        <v>82</v>
      </c>
      <c r="AD16" s="148" t="s">
        <v>68</v>
      </c>
      <c r="AE16" s="148"/>
      <c r="AF16" s="148"/>
      <c r="AG16" s="148" t="s">
        <v>33</v>
      </c>
      <c r="AH16" s="148"/>
      <c r="AI16" s="148"/>
      <c r="AJ16" s="148" t="s">
        <v>35</v>
      </c>
      <c r="AK16" s="262" t="s">
        <v>267</v>
      </c>
      <c r="AL16" s="158" t="s">
        <v>39</v>
      </c>
      <c r="AM16" s="110">
        <f t="shared" ca="1" si="8"/>
        <v>9</v>
      </c>
      <c r="AN16" s="59" t="s">
        <v>67</v>
      </c>
      <c r="AO16" s="147">
        <v>1000000</v>
      </c>
      <c r="AP16" s="148" t="s">
        <v>44</v>
      </c>
      <c r="AQ16" s="148" t="s">
        <v>99</v>
      </c>
      <c r="AR16" s="167" t="s">
        <v>102</v>
      </c>
      <c r="AS16" s="148" t="s">
        <v>46</v>
      </c>
      <c r="AT16" s="148" t="s">
        <v>9</v>
      </c>
      <c r="AU16" s="149">
        <v>1</v>
      </c>
      <c r="AV16" s="161"/>
      <c r="AW16" s="148" t="s">
        <v>14</v>
      </c>
      <c r="AX16" s="148" t="s">
        <v>14</v>
      </c>
      <c r="AY16" s="170">
        <f ca="1">SETTINGS!$F$6</f>
        <v>1.2955599999999999E-2</v>
      </c>
      <c r="AZ16" s="148" t="s">
        <v>12</v>
      </c>
      <c r="BA16" s="149">
        <v>0</v>
      </c>
      <c r="BB16" s="129">
        <f ca="1">_xll.meLWOBondLastCouponDate('USD-BONDS'!D14,Settings.COB)</f>
        <v>43916</v>
      </c>
      <c r="BC16" s="129">
        <f ca="1">'USD-BONDS'!L14</f>
        <v>45742</v>
      </c>
      <c r="BD16" s="167" t="s">
        <v>100</v>
      </c>
      <c r="BE16" s="130" t="s">
        <v>101</v>
      </c>
      <c r="BF16" s="164" t="s">
        <v>82</v>
      </c>
      <c r="BG16" s="164" t="s">
        <v>68</v>
      </c>
      <c r="BH16" s="164" t="s">
        <v>82</v>
      </c>
      <c r="BI16" s="164" t="s">
        <v>68</v>
      </c>
      <c r="BJ16" s="164" t="s">
        <v>82</v>
      </c>
      <c r="BK16" s="164" t="s">
        <v>68</v>
      </c>
      <c r="BL16" s="148"/>
      <c r="BM16" s="148"/>
      <c r="BN16" s="148" t="s">
        <v>33</v>
      </c>
      <c r="BO16" s="148" t="s">
        <v>35</v>
      </c>
      <c r="BP16" s="148"/>
      <c r="BQ16" s="148" t="s">
        <v>35</v>
      </c>
      <c r="BR16" s="148"/>
      <c r="BS16" s="158" t="s">
        <v>39</v>
      </c>
      <c r="BT16" s="110">
        <f t="shared" ca="1" si="9"/>
        <v>9</v>
      </c>
      <c r="BU16" s="174" t="str">
        <f ca="1">_xll.meLWOXccySwapCreate($BU$7&amp;"_"&amp;B16,_xll.meUtilityLVBFromKeysAndMultipleValues($BX$7:$DB$7,BX16:DB16,DD16:EH16),$CC$2:$CD$5)</f>
        <v>XCCY_SWAP_ISIN8@181:6</v>
      </c>
      <c r="BV16" s="175">
        <f ca="1">_xll.meLWOXccySwapParSpread(BU16,$BZ$2:$CA$6,,$BZ$3)</f>
        <v>260.66732023507109</v>
      </c>
      <c r="BW16" s="110">
        <f t="shared" ca="1" si="0"/>
        <v>10</v>
      </c>
      <c r="BX16" s="59" t="s">
        <v>97</v>
      </c>
      <c r="BY16" s="147">
        <v>1000000</v>
      </c>
      <c r="BZ16" s="148" t="s">
        <v>71</v>
      </c>
      <c r="CA16" s="148" t="s">
        <v>96</v>
      </c>
      <c r="CB16" s="136" t="s">
        <v>102</v>
      </c>
      <c r="CC16" s="148" t="s">
        <v>46</v>
      </c>
      <c r="CD16" s="148" t="s">
        <v>9</v>
      </c>
      <c r="CE16" s="149">
        <v>1</v>
      </c>
      <c r="CF16" s="148"/>
      <c r="CG16" s="148" t="s">
        <v>14</v>
      </c>
      <c r="CH16" s="148" t="s">
        <v>14</v>
      </c>
      <c r="CI16" s="170">
        <f ca="1">SETTINGS!$F$6</f>
        <v>1.2955599999999999E-2</v>
      </c>
      <c r="CJ16" s="148" t="s">
        <v>12</v>
      </c>
      <c r="CK16" s="178">
        <f t="shared" ca="1" si="1"/>
        <v>285.35446266608909</v>
      </c>
      <c r="CL16" s="129">
        <f ca="1">_xll.meLWOBondLastCouponDate('USD-BONDS'!D14,Settings.COB)</f>
        <v>43916</v>
      </c>
      <c r="CM16" s="129">
        <f ca="1">'USD-BONDS'!L14</f>
        <v>45742</v>
      </c>
      <c r="CN16" s="167" t="s">
        <v>100</v>
      </c>
      <c r="CO16" s="167" t="s">
        <v>101</v>
      </c>
      <c r="CP16" s="148" t="s">
        <v>82</v>
      </c>
      <c r="CQ16" s="148" t="s">
        <v>68</v>
      </c>
      <c r="CR16" s="148" t="s">
        <v>82</v>
      </c>
      <c r="CS16" s="148" t="s">
        <v>68</v>
      </c>
      <c r="CT16" s="148" t="s">
        <v>82</v>
      </c>
      <c r="CU16" s="148" t="s">
        <v>68</v>
      </c>
      <c r="CV16" s="148"/>
      <c r="CW16" s="148"/>
      <c r="CX16" s="148" t="s">
        <v>33</v>
      </c>
      <c r="CY16" s="148" t="s">
        <v>35</v>
      </c>
      <c r="CZ16" s="148"/>
      <c r="DA16" s="148" t="s">
        <v>35</v>
      </c>
      <c r="DB16" s="158" t="s">
        <v>39</v>
      </c>
      <c r="DC16" s="110">
        <f t="shared" ca="1" si="2"/>
        <v>10</v>
      </c>
      <c r="DD16" s="59" t="s">
        <v>67</v>
      </c>
      <c r="DE16" s="182">
        <f t="shared" ca="1" si="3"/>
        <v>1333333.3333333333</v>
      </c>
      <c r="DF16" s="148" t="s">
        <v>71</v>
      </c>
      <c r="DG16" s="148" t="s">
        <v>99</v>
      </c>
      <c r="DH16" s="183" t="s">
        <v>66</v>
      </c>
      <c r="DI16" s="148" t="s">
        <v>105</v>
      </c>
      <c r="DJ16" s="148" t="s">
        <v>45</v>
      </c>
      <c r="DK16" s="149">
        <v>1</v>
      </c>
      <c r="DL16" s="148"/>
      <c r="DM16" s="148" t="s">
        <v>14</v>
      </c>
      <c r="DN16" s="148" t="s">
        <v>14</v>
      </c>
      <c r="DO16" s="170">
        <f ca="1">SETTINGS!$I$6</f>
        <v>1.7100000000000001E-2</v>
      </c>
      <c r="DP16" s="148" t="s">
        <v>12</v>
      </c>
      <c r="DQ16" s="149">
        <v>0</v>
      </c>
      <c r="DR16" s="129">
        <f ca="1">_xll.meLWOBondLastCouponDate('AUD-BONDS'!D14,Settings.COB)</f>
        <v>44027</v>
      </c>
      <c r="DS16" s="129">
        <f ca="1">'AUD-BONDS'!L14</f>
        <v>46037</v>
      </c>
      <c r="DT16" s="90" t="s">
        <v>100</v>
      </c>
      <c r="DU16" s="90" t="s">
        <v>103</v>
      </c>
      <c r="DV16" s="148" t="s">
        <v>82</v>
      </c>
      <c r="DW16" s="148" t="s">
        <v>65</v>
      </c>
      <c r="DX16" s="148" t="s">
        <v>82</v>
      </c>
      <c r="DY16" s="148" t="s">
        <v>65</v>
      </c>
      <c r="DZ16" s="148" t="s">
        <v>82</v>
      </c>
      <c r="EA16" s="148" t="s">
        <v>65</v>
      </c>
      <c r="EB16" s="148"/>
      <c r="EC16" s="148"/>
      <c r="ED16" s="148" t="s">
        <v>33</v>
      </c>
      <c r="EE16" s="148" t="s">
        <v>35</v>
      </c>
      <c r="EF16" s="148"/>
      <c r="EG16" s="148" t="s">
        <v>35</v>
      </c>
      <c r="EH16" s="158" t="s">
        <v>39</v>
      </c>
      <c r="EI16" s="110">
        <f t="shared" ca="1" si="10"/>
        <v>9</v>
      </c>
      <c r="EJ16" s="123" t="str">
        <f ca="1">'AUD-BONDS'!F14</f>
        <v>ISIN8</v>
      </c>
      <c r="EK16" s="124" t="str">
        <f ca="1">_xll.meLWOSwapCreate($EK$7&amp;"_"&amp;EJ16,_xll.meUtilityLVBFromKeysAndMultipleValues($ET$7:$FX$7,ET16:FX16,FZ16:HD16))</f>
        <v>#Error: Missing key 'CALCULATIONTYPE'. This key is mandatory and must be included in the Label Value Block , 'scheduleLVB'.</v>
      </c>
      <c r="EL16" s="191" t="str">
        <f ca="1">_xll.meLWOAssetSwapSpreadToCleanPrice($EK16,$EK$4,$BV16,$EW$4)</f>
        <v>#Error: Swap #ERROR does not exist</v>
      </c>
      <c r="EM16" s="110">
        <f t="shared" ref="EM16" ca="1" si="20">EM15+1</f>
        <v>9</v>
      </c>
      <c r="EN16" s="197" t="str">
        <f ca="1">_xll.meLWOBondYield('AUD-BONDS'!D14,$EK$4,$EL16)</f>
        <v>#Error: Invalid input, numerical input required</v>
      </c>
      <c r="EO16" s="190" t="str">
        <f ca="1">_xll.meLWOBondCleanPrice('AUD-BONDS'!$D14,$EK$4,$EN16)</f>
        <v>#Error: Invalid Vector Data:  Input Contains Errors</v>
      </c>
      <c r="EP16" s="190" t="str">
        <f ca="1">_xll.meLWOBondDirtyPrice('AUD-BONDS'!$D14,$EK$4,$EN16)</f>
        <v>#Error: Invalid Vector Data:  Input Contains Errors</v>
      </c>
      <c r="EQ16" s="192">
        <f ca="1">_xll.meLWOBondAccruedInterest('AUD-BONDS'!$D14,'AUD-URIDASHI-PX'!$EK$4)</f>
        <v>4250</v>
      </c>
      <c r="ER16" s="198">
        <f ca="1">_xll.meLWOBondAccruedInterestDays('AUD-BONDS'!$D14,'AUD-URIDASHI-PX'!$EK$4)</f>
        <v>39</v>
      </c>
      <c r="ES16" s="110">
        <f t="shared" ca="1" si="12"/>
        <v>9</v>
      </c>
      <c r="ET16" s="59" t="s">
        <v>263</v>
      </c>
      <c r="EU16" s="182">
        <f t="shared" ca="1" si="4"/>
        <v>1333333.3333333333</v>
      </c>
      <c r="EV16" s="148" t="s">
        <v>44</v>
      </c>
      <c r="EW16" s="148" t="s">
        <v>96</v>
      </c>
      <c r="EX16" s="148"/>
      <c r="EY16" s="148" t="s">
        <v>50</v>
      </c>
      <c r="EZ16" s="148" t="s">
        <v>45</v>
      </c>
      <c r="FA16" s="149">
        <v>1</v>
      </c>
      <c r="FB16" s="135">
        <f ca="1">'AUD-BONDS'!M14</f>
        <v>3.9199999999999999E-2</v>
      </c>
      <c r="FC16" s="148"/>
      <c r="FD16" s="148"/>
      <c r="FE16" s="155"/>
      <c r="FF16" s="148" t="s">
        <v>12</v>
      </c>
      <c r="FG16" s="149"/>
      <c r="FH16" s="129">
        <f ca="1">_xll.meLWOBondLastCouponDate('AUD-BONDS'!D14,Settings.COB)</f>
        <v>44027</v>
      </c>
      <c r="FI16" s="129">
        <f ca="1">'AUD-BONDS'!L14</f>
        <v>46037</v>
      </c>
      <c r="FJ16" s="167" t="str">
        <f ca="1">'AUD-BONDS'!O14</f>
        <v>SEMI-ANNUAL</v>
      </c>
      <c r="FK16" s="130" t="str">
        <f ca="1">'AUD-BONDS'!N14</f>
        <v>30E/360</v>
      </c>
      <c r="FL16" s="148" t="s">
        <v>82</v>
      </c>
      <c r="FM16" s="148" t="s">
        <v>68</v>
      </c>
      <c r="FN16" s="148" t="s">
        <v>82</v>
      </c>
      <c r="FO16" s="148" t="s">
        <v>68</v>
      </c>
      <c r="FP16" s="148" t="s">
        <v>82</v>
      </c>
      <c r="FQ16" s="148" t="s">
        <v>68</v>
      </c>
      <c r="FR16" s="148"/>
      <c r="FS16" s="148"/>
      <c r="FT16" s="148" t="s">
        <v>33</v>
      </c>
      <c r="FU16" s="148"/>
      <c r="FV16" s="148"/>
      <c r="FW16" s="148" t="s">
        <v>35</v>
      </c>
      <c r="FX16" s="148" t="s">
        <v>39</v>
      </c>
      <c r="FY16" s="110">
        <f t="shared" ca="1" si="13"/>
        <v>9</v>
      </c>
      <c r="FZ16" s="59" t="s">
        <v>67</v>
      </c>
      <c r="GA16" s="182">
        <f t="shared" ca="1" si="5"/>
        <v>1333333.3333333333</v>
      </c>
      <c r="GB16" s="148" t="s">
        <v>44</v>
      </c>
      <c r="GC16" s="148" t="s">
        <v>99</v>
      </c>
      <c r="GD16" s="167" t="s">
        <v>66</v>
      </c>
      <c r="GE16" s="148" t="s">
        <v>50</v>
      </c>
      <c r="GF16" s="148" t="s">
        <v>45</v>
      </c>
      <c r="GG16" s="149">
        <v>1</v>
      </c>
      <c r="GH16" s="161"/>
      <c r="GI16" s="148" t="s">
        <v>14</v>
      </c>
      <c r="GJ16" s="148" t="s">
        <v>14</v>
      </c>
      <c r="GK16" s="170">
        <f ca="1">SETTINGS!$I$6</f>
        <v>1.7100000000000001E-2</v>
      </c>
      <c r="GL16" s="148" t="s">
        <v>12</v>
      </c>
      <c r="GM16" s="188">
        <f t="shared" ca="1" si="14"/>
        <v>260.66732023507109</v>
      </c>
      <c r="GN16" s="129">
        <f ca="1">_xll.meLWOBondLastCouponDate('AUD-BONDS'!D14,Settings.COB)</f>
        <v>44027</v>
      </c>
      <c r="GO16" s="129">
        <f ca="1">'AUD-BONDS'!L14</f>
        <v>46037</v>
      </c>
      <c r="GP16" s="167" t="s">
        <v>100</v>
      </c>
      <c r="GQ16" s="130" t="s">
        <v>101</v>
      </c>
      <c r="GR16" s="164" t="s">
        <v>82</v>
      </c>
      <c r="GS16" s="164" t="s">
        <v>65</v>
      </c>
      <c r="GT16" s="164" t="s">
        <v>82</v>
      </c>
      <c r="GU16" s="164" t="s">
        <v>65</v>
      </c>
      <c r="GV16" s="164" t="s">
        <v>82</v>
      </c>
      <c r="GW16" s="164" t="s">
        <v>65</v>
      </c>
      <c r="GX16" s="148"/>
      <c r="GY16" s="148"/>
      <c r="GZ16" s="148" t="s">
        <v>33</v>
      </c>
      <c r="HA16" s="148" t="s">
        <v>35</v>
      </c>
      <c r="HB16" s="148"/>
      <c r="HC16" s="148" t="s">
        <v>35</v>
      </c>
      <c r="HD16" s="148" t="s">
        <v>39</v>
      </c>
      <c r="HE16" s="37" t="s">
        <v>264</v>
      </c>
      <c r="HF16" s="209" t="str">
        <f ca="1"/>
        <v>#Error: No range or empty range specified</v>
      </c>
      <c r="HG16" s="210" t="str">
        <f ca="1"/>
        <v>#Error: No range or empty range specified</v>
      </c>
      <c r="HH16" s="211" t="str">
        <f ca="1"/>
        <v>#Error: No range or empty range specified</v>
      </c>
      <c r="HI16" s="211" t="str">
        <f ca="1"/>
        <v>#Error: No range or empty range specified</v>
      </c>
      <c r="HJ16" s="210" t="str">
        <f ca="1"/>
        <v>#Error: No range or empty range specified</v>
      </c>
      <c r="HK16" s="216" t="str">
        <f ca="1"/>
        <v>#Error: No range or empty range specified</v>
      </c>
      <c r="HL16" s="216" t="str">
        <f ca="1"/>
        <v>#Error: No range or empty range specified</v>
      </c>
      <c r="HM16" s="211" t="str">
        <f ca="1"/>
        <v>#Error: No range or empty range specified</v>
      </c>
      <c r="HN16" s="220" t="str">
        <f ca="1"/>
        <v>#Error: No range or empty range specified</v>
      </c>
      <c r="HO16" s="216" t="str">
        <f ca="1"/>
        <v>#Error: No range or empty range specified</v>
      </c>
      <c r="HP16" s="222" t="str">
        <f ca="1"/>
        <v>#Error: No range or empty range specified</v>
      </c>
      <c r="HQ16" s="224" t="str">
        <f ca="1"/>
        <v>#Error: No range or empty range specified</v>
      </c>
    </row>
    <row r="17" spans="1:225">
      <c r="A17" s="110">
        <f t="shared" ca="1" si="6"/>
        <v>10</v>
      </c>
      <c r="B17" s="123" t="str">
        <f ca="1">'USD-BONDS'!F15</f>
        <v>ISIN9</v>
      </c>
      <c r="C17" s="206">
        <f ca="1">'USD-BONDS'!B15</f>
        <v>100</v>
      </c>
      <c r="D17" s="124" t="str">
        <f ca="1">_xll.meLWOSwapCreate($D$7&amp;"_"&amp;B17,_xll.meUtilityLVBFromKeysAndMultipleValues($G$7:$AL$7,G17:AL17,AN17:BS17))</f>
        <v>USD_ASW_ISIN9@174:6</v>
      </c>
      <c r="E17" s="270">
        <f ca="1">_xll.meLWOAssetSwapSpread(D17,'USD-BONDS'!D15,C17,$J$4:$K$5)</f>
        <v>285.35446266608909</v>
      </c>
      <c r="F17" s="110">
        <f t="shared" ca="1" si="7"/>
        <v>10</v>
      </c>
      <c r="G17" s="59" t="s">
        <v>263</v>
      </c>
      <c r="H17" s="147">
        <v>1000000</v>
      </c>
      <c r="I17" s="148" t="s">
        <v>44</v>
      </c>
      <c r="J17" s="148" t="s">
        <v>96</v>
      </c>
      <c r="K17" s="148"/>
      <c r="L17" s="148" t="s">
        <v>46</v>
      </c>
      <c r="M17" s="148" t="s">
        <v>9</v>
      </c>
      <c r="N17" s="149">
        <v>1</v>
      </c>
      <c r="O17" s="135">
        <f ca="1">'USD-BONDS'!M15</f>
        <v>3.2000000000000001E-2</v>
      </c>
      <c r="P17" s="148"/>
      <c r="Q17" s="148"/>
      <c r="R17" s="155"/>
      <c r="S17" s="148" t="s">
        <v>12</v>
      </c>
      <c r="T17" s="149"/>
      <c r="U17" s="129">
        <f ca="1">_xll.meLWOBondLastCouponDate('USD-BONDS'!D15,Settings.COB)</f>
        <v>43916</v>
      </c>
      <c r="V17" s="129">
        <f ca="1">'USD-BONDS'!L15</f>
        <v>45742</v>
      </c>
      <c r="W17" s="167" t="str">
        <f ca="1">'USD-BONDS'!O15</f>
        <v>SEMI-ANNUAL</v>
      </c>
      <c r="X17" s="130" t="str">
        <f ca="1">'USD-BONDS'!N15</f>
        <v>30E/360</v>
      </c>
      <c r="Y17" s="148" t="s">
        <v>82</v>
      </c>
      <c r="Z17" s="148" t="s">
        <v>68</v>
      </c>
      <c r="AA17" s="148" t="s">
        <v>82</v>
      </c>
      <c r="AB17" s="148" t="s">
        <v>68</v>
      </c>
      <c r="AC17" s="148" t="s">
        <v>82</v>
      </c>
      <c r="AD17" s="148" t="s">
        <v>68</v>
      </c>
      <c r="AE17" s="148"/>
      <c r="AF17" s="148"/>
      <c r="AG17" s="148" t="s">
        <v>33</v>
      </c>
      <c r="AH17" s="148"/>
      <c r="AI17" s="148"/>
      <c r="AJ17" s="148" t="s">
        <v>35</v>
      </c>
      <c r="AK17" s="262" t="s">
        <v>267</v>
      </c>
      <c r="AL17" s="158" t="s">
        <v>39</v>
      </c>
      <c r="AM17" s="110">
        <f t="shared" ca="1" si="8"/>
        <v>10</v>
      </c>
      <c r="AN17" s="59" t="s">
        <v>67</v>
      </c>
      <c r="AO17" s="147">
        <v>1000000</v>
      </c>
      <c r="AP17" s="148" t="s">
        <v>44</v>
      </c>
      <c r="AQ17" s="148" t="s">
        <v>99</v>
      </c>
      <c r="AR17" s="167" t="s">
        <v>102</v>
      </c>
      <c r="AS17" s="148" t="s">
        <v>46</v>
      </c>
      <c r="AT17" s="148" t="s">
        <v>9</v>
      </c>
      <c r="AU17" s="149">
        <v>1</v>
      </c>
      <c r="AV17" s="161"/>
      <c r="AW17" s="148" t="s">
        <v>14</v>
      </c>
      <c r="AX17" s="148" t="s">
        <v>14</v>
      </c>
      <c r="AY17" s="170">
        <f ca="1">SETTINGS!$F$6</f>
        <v>1.2955599999999999E-2</v>
      </c>
      <c r="AZ17" s="148" t="s">
        <v>12</v>
      </c>
      <c r="BA17" s="149">
        <v>0</v>
      </c>
      <c r="BB17" s="129">
        <f ca="1">_xll.meLWOBondLastCouponDate('USD-BONDS'!D15,Settings.COB)</f>
        <v>43916</v>
      </c>
      <c r="BC17" s="129">
        <f ca="1">'USD-BONDS'!L15</f>
        <v>45742</v>
      </c>
      <c r="BD17" s="167" t="s">
        <v>100</v>
      </c>
      <c r="BE17" s="130" t="s">
        <v>101</v>
      </c>
      <c r="BF17" s="164" t="s">
        <v>82</v>
      </c>
      <c r="BG17" s="164" t="s">
        <v>68</v>
      </c>
      <c r="BH17" s="164" t="s">
        <v>82</v>
      </c>
      <c r="BI17" s="164" t="s">
        <v>68</v>
      </c>
      <c r="BJ17" s="164" t="s">
        <v>82</v>
      </c>
      <c r="BK17" s="164" t="s">
        <v>68</v>
      </c>
      <c r="BL17" s="148"/>
      <c r="BM17" s="148"/>
      <c r="BN17" s="148" t="s">
        <v>33</v>
      </c>
      <c r="BO17" s="148" t="s">
        <v>35</v>
      </c>
      <c r="BP17" s="148"/>
      <c r="BQ17" s="148" t="s">
        <v>35</v>
      </c>
      <c r="BR17" s="148"/>
      <c r="BS17" s="158" t="s">
        <v>39</v>
      </c>
      <c r="BT17" s="110">
        <f t="shared" ca="1" si="9"/>
        <v>10</v>
      </c>
      <c r="BU17" s="174" t="str">
        <f ca="1">_xll.meLWOXccySwapCreate($BU$7&amp;"_"&amp;B17,_xll.meUtilityLVBFromKeysAndMultipleValues($BX$7:$DB$7,BX17:DB17,DD17:EH17),$CC$2:$CD$5)</f>
        <v>XCCY_SWAP_ISIN9@183:6</v>
      </c>
      <c r="BV17" s="175">
        <f ca="1">_xll.meLWOXccySwapParSpread(BU17,$BZ$2:$CA$6,,$BZ$3)</f>
        <v>260.66732023507109</v>
      </c>
      <c r="BW17" s="110">
        <f t="shared" ca="1" si="0"/>
        <v>11</v>
      </c>
      <c r="BX17" s="59" t="s">
        <v>97</v>
      </c>
      <c r="BY17" s="147">
        <v>1000000</v>
      </c>
      <c r="BZ17" s="148" t="s">
        <v>71</v>
      </c>
      <c r="CA17" s="148" t="s">
        <v>96</v>
      </c>
      <c r="CB17" s="136" t="s">
        <v>102</v>
      </c>
      <c r="CC17" s="148" t="s">
        <v>46</v>
      </c>
      <c r="CD17" s="148" t="s">
        <v>9</v>
      </c>
      <c r="CE17" s="149">
        <v>1</v>
      </c>
      <c r="CF17" s="148"/>
      <c r="CG17" s="148" t="s">
        <v>14</v>
      </c>
      <c r="CH17" s="148" t="s">
        <v>14</v>
      </c>
      <c r="CI17" s="170">
        <f ca="1">SETTINGS!$F$6</f>
        <v>1.2955599999999999E-2</v>
      </c>
      <c r="CJ17" s="148" t="s">
        <v>12</v>
      </c>
      <c r="CK17" s="178">
        <f t="shared" ca="1" si="1"/>
        <v>285.35446266608909</v>
      </c>
      <c r="CL17" s="129">
        <f ca="1">_xll.meLWOBondLastCouponDate('USD-BONDS'!D15,Settings.COB)</f>
        <v>43916</v>
      </c>
      <c r="CM17" s="129">
        <f ca="1">'USD-BONDS'!L15</f>
        <v>45742</v>
      </c>
      <c r="CN17" s="167" t="s">
        <v>100</v>
      </c>
      <c r="CO17" s="167" t="s">
        <v>101</v>
      </c>
      <c r="CP17" s="148" t="s">
        <v>82</v>
      </c>
      <c r="CQ17" s="148" t="s">
        <v>68</v>
      </c>
      <c r="CR17" s="148" t="s">
        <v>82</v>
      </c>
      <c r="CS17" s="148" t="s">
        <v>68</v>
      </c>
      <c r="CT17" s="148" t="s">
        <v>82</v>
      </c>
      <c r="CU17" s="148" t="s">
        <v>68</v>
      </c>
      <c r="CV17" s="148"/>
      <c r="CW17" s="148"/>
      <c r="CX17" s="148" t="s">
        <v>33</v>
      </c>
      <c r="CY17" s="148" t="s">
        <v>35</v>
      </c>
      <c r="CZ17" s="148"/>
      <c r="DA17" s="148" t="s">
        <v>35</v>
      </c>
      <c r="DB17" s="158" t="s">
        <v>39</v>
      </c>
      <c r="DC17" s="110">
        <f t="shared" ca="1" si="2"/>
        <v>11</v>
      </c>
      <c r="DD17" s="59" t="s">
        <v>67</v>
      </c>
      <c r="DE17" s="182">
        <f t="shared" ca="1" si="3"/>
        <v>1333333.3333333333</v>
      </c>
      <c r="DF17" s="148" t="s">
        <v>71</v>
      </c>
      <c r="DG17" s="148" t="s">
        <v>99</v>
      </c>
      <c r="DH17" s="183" t="s">
        <v>66</v>
      </c>
      <c r="DI17" s="148" t="s">
        <v>105</v>
      </c>
      <c r="DJ17" s="148" t="s">
        <v>45</v>
      </c>
      <c r="DK17" s="149">
        <v>1</v>
      </c>
      <c r="DL17" s="148"/>
      <c r="DM17" s="148" t="s">
        <v>14</v>
      </c>
      <c r="DN17" s="148" t="s">
        <v>14</v>
      </c>
      <c r="DO17" s="170">
        <f ca="1">SETTINGS!$I$6</f>
        <v>1.7100000000000001E-2</v>
      </c>
      <c r="DP17" s="148" t="s">
        <v>12</v>
      </c>
      <c r="DQ17" s="149">
        <v>0</v>
      </c>
      <c r="DR17" s="129">
        <f ca="1">_xll.meLWOBondLastCouponDate('AUD-BONDS'!D15,Settings.COB)</f>
        <v>44027</v>
      </c>
      <c r="DS17" s="129">
        <f ca="1">'AUD-BONDS'!L15</f>
        <v>46037</v>
      </c>
      <c r="DT17" s="90" t="s">
        <v>100</v>
      </c>
      <c r="DU17" s="90" t="s">
        <v>103</v>
      </c>
      <c r="DV17" s="148" t="s">
        <v>82</v>
      </c>
      <c r="DW17" s="148" t="s">
        <v>65</v>
      </c>
      <c r="DX17" s="148" t="s">
        <v>82</v>
      </c>
      <c r="DY17" s="148" t="s">
        <v>65</v>
      </c>
      <c r="DZ17" s="148" t="s">
        <v>82</v>
      </c>
      <c r="EA17" s="148" t="s">
        <v>65</v>
      </c>
      <c r="EB17" s="148"/>
      <c r="EC17" s="148"/>
      <c r="ED17" s="148" t="s">
        <v>33</v>
      </c>
      <c r="EE17" s="148" t="s">
        <v>35</v>
      </c>
      <c r="EF17" s="148"/>
      <c r="EG17" s="148" t="s">
        <v>35</v>
      </c>
      <c r="EH17" s="158" t="s">
        <v>39</v>
      </c>
      <c r="EI17" s="110">
        <f t="shared" ca="1" si="10"/>
        <v>10</v>
      </c>
      <c r="EJ17" s="123" t="str">
        <f ca="1">'AUD-BONDS'!F15</f>
        <v>ISIN9</v>
      </c>
      <c r="EK17" s="124" t="str">
        <f ca="1">_xll.meLWOSwapCreate($EK$7&amp;"_"&amp;EJ17,_xll.meUtilityLVBFromKeysAndMultipleValues($ET$7:$FX$7,ET17:FX17,FZ17:HD17))</f>
        <v>#Error: Missing key 'CALCULATIONTYPE'. This key is mandatory and must be included in the Label Value Block , 'scheduleLVB'.</v>
      </c>
      <c r="EL17" s="191" t="str">
        <f ca="1">_xll.meLWOAssetSwapSpreadToCleanPrice($EK17,$EK$4,$BV17,$EW$4)</f>
        <v>#Error: Swap #ERROR does not exist</v>
      </c>
      <c r="EM17" s="110">
        <f t="shared" ref="EM17" ca="1" si="21">EM16+1</f>
        <v>10</v>
      </c>
      <c r="EN17" s="197" t="str">
        <f ca="1">_xll.meLWOBondYield('AUD-BONDS'!D15,$EK$4,$EL17)</f>
        <v>#Error: Invalid input, numerical input required</v>
      </c>
      <c r="EO17" s="190" t="str">
        <f ca="1">_xll.meLWOBondCleanPrice('AUD-BONDS'!$D15,$EK$4,$EN17)</f>
        <v>#Error: Invalid Vector Data:  Input Contains Errors</v>
      </c>
      <c r="EP17" s="190" t="str">
        <f ca="1">_xll.meLWOBondDirtyPrice('AUD-BONDS'!$D15,$EK$4,$EN17)</f>
        <v>#Error: Invalid Vector Data:  Input Contains Errors</v>
      </c>
      <c r="EQ17" s="192">
        <f ca="1">_xll.meLWOBondAccruedInterest('AUD-BONDS'!$D15,'AUD-URIDASHI-PX'!$EK$4)</f>
        <v>4250</v>
      </c>
      <c r="ER17" s="198">
        <f ca="1">_xll.meLWOBondAccruedInterestDays('AUD-BONDS'!$D15,'AUD-URIDASHI-PX'!$EK$4)</f>
        <v>39</v>
      </c>
      <c r="ES17" s="110">
        <f t="shared" ca="1" si="12"/>
        <v>10</v>
      </c>
      <c r="ET17" s="59" t="s">
        <v>263</v>
      </c>
      <c r="EU17" s="182">
        <f t="shared" ca="1" si="4"/>
        <v>1333333.3333333333</v>
      </c>
      <c r="EV17" s="148" t="s">
        <v>44</v>
      </c>
      <c r="EW17" s="148" t="s">
        <v>96</v>
      </c>
      <c r="EX17" s="148"/>
      <c r="EY17" s="148" t="s">
        <v>50</v>
      </c>
      <c r="EZ17" s="148" t="s">
        <v>45</v>
      </c>
      <c r="FA17" s="149">
        <v>1</v>
      </c>
      <c r="FB17" s="135">
        <f ca="1">'AUD-BONDS'!M15</f>
        <v>3.9199999999999999E-2</v>
      </c>
      <c r="FC17" s="148"/>
      <c r="FD17" s="148"/>
      <c r="FE17" s="155"/>
      <c r="FF17" s="148" t="s">
        <v>12</v>
      </c>
      <c r="FG17" s="149"/>
      <c r="FH17" s="129">
        <f ca="1">_xll.meLWOBondLastCouponDate('AUD-BONDS'!D15,Settings.COB)</f>
        <v>44027</v>
      </c>
      <c r="FI17" s="129">
        <f ca="1">'AUD-BONDS'!L15</f>
        <v>46037</v>
      </c>
      <c r="FJ17" s="167" t="str">
        <f ca="1">'AUD-BONDS'!O15</f>
        <v>SEMI-ANNUAL</v>
      </c>
      <c r="FK17" s="130" t="str">
        <f ca="1">'AUD-BONDS'!N15</f>
        <v>30E/360</v>
      </c>
      <c r="FL17" s="148" t="s">
        <v>82</v>
      </c>
      <c r="FM17" s="148" t="s">
        <v>68</v>
      </c>
      <c r="FN17" s="148" t="s">
        <v>82</v>
      </c>
      <c r="FO17" s="148" t="s">
        <v>68</v>
      </c>
      <c r="FP17" s="148" t="s">
        <v>82</v>
      </c>
      <c r="FQ17" s="148" t="s">
        <v>68</v>
      </c>
      <c r="FR17" s="148"/>
      <c r="FS17" s="148"/>
      <c r="FT17" s="148" t="s">
        <v>33</v>
      </c>
      <c r="FU17" s="148"/>
      <c r="FV17" s="148"/>
      <c r="FW17" s="148" t="s">
        <v>35</v>
      </c>
      <c r="FX17" s="148" t="s">
        <v>39</v>
      </c>
      <c r="FY17" s="110">
        <f t="shared" ca="1" si="13"/>
        <v>10</v>
      </c>
      <c r="FZ17" s="59" t="s">
        <v>67</v>
      </c>
      <c r="GA17" s="182">
        <f t="shared" ca="1" si="5"/>
        <v>1333333.3333333333</v>
      </c>
      <c r="GB17" s="148" t="s">
        <v>44</v>
      </c>
      <c r="GC17" s="148" t="s">
        <v>99</v>
      </c>
      <c r="GD17" s="167" t="s">
        <v>66</v>
      </c>
      <c r="GE17" s="148" t="s">
        <v>50</v>
      </c>
      <c r="GF17" s="148" t="s">
        <v>45</v>
      </c>
      <c r="GG17" s="149">
        <v>1</v>
      </c>
      <c r="GH17" s="161"/>
      <c r="GI17" s="148" t="s">
        <v>14</v>
      </c>
      <c r="GJ17" s="148" t="s">
        <v>14</v>
      </c>
      <c r="GK17" s="170">
        <f ca="1">SETTINGS!$I$6</f>
        <v>1.7100000000000001E-2</v>
      </c>
      <c r="GL17" s="148" t="s">
        <v>12</v>
      </c>
      <c r="GM17" s="188">
        <f t="shared" ca="1" si="14"/>
        <v>260.66732023507109</v>
      </c>
      <c r="GN17" s="129">
        <f ca="1">_xll.meLWOBondLastCouponDate('AUD-BONDS'!D15,Settings.COB)</f>
        <v>44027</v>
      </c>
      <c r="GO17" s="129">
        <f ca="1">'AUD-BONDS'!L15</f>
        <v>46037</v>
      </c>
      <c r="GP17" s="167" t="s">
        <v>100</v>
      </c>
      <c r="GQ17" s="130" t="s">
        <v>101</v>
      </c>
      <c r="GR17" s="164" t="s">
        <v>82</v>
      </c>
      <c r="GS17" s="164" t="s">
        <v>65</v>
      </c>
      <c r="GT17" s="164" t="s">
        <v>82</v>
      </c>
      <c r="GU17" s="164" t="s">
        <v>65</v>
      </c>
      <c r="GV17" s="164" t="s">
        <v>82</v>
      </c>
      <c r="GW17" s="164" t="s">
        <v>65</v>
      </c>
      <c r="GX17" s="148"/>
      <c r="GY17" s="148"/>
      <c r="GZ17" s="148" t="s">
        <v>33</v>
      </c>
      <c r="HA17" s="148" t="s">
        <v>35</v>
      </c>
      <c r="HB17" s="148"/>
      <c r="HC17" s="148" t="s">
        <v>35</v>
      </c>
      <c r="HD17" s="148" t="s">
        <v>39</v>
      </c>
      <c r="HE17" s="37" t="s">
        <v>264</v>
      </c>
      <c r="HF17" s="209" t="str">
        <f ca="1"/>
        <v>#Error: No range or empty range specified</v>
      </c>
      <c r="HG17" s="210" t="str">
        <f ca="1"/>
        <v>#Error: No range or empty range specified</v>
      </c>
      <c r="HH17" s="211" t="str">
        <f ca="1"/>
        <v>#Error: No range or empty range specified</v>
      </c>
      <c r="HI17" s="211" t="str">
        <f ca="1"/>
        <v>#Error: No range or empty range specified</v>
      </c>
      <c r="HJ17" s="210" t="str">
        <f ca="1"/>
        <v>#Error: No range or empty range specified</v>
      </c>
      <c r="HK17" s="216" t="str">
        <f ca="1"/>
        <v>#Error: No range or empty range specified</v>
      </c>
      <c r="HL17" s="216" t="str">
        <f ca="1"/>
        <v>#Error: No range or empty range specified</v>
      </c>
      <c r="HM17" s="211" t="str">
        <f ca="1"/>
        <v>#Error: No range or empty range specified</v>
      </c>
      <c r="HN17" s="220" t="str">
        <f ca="1"/>
        <v>#Error: No range or empty range specified</v>
      </c>
      <c r="HO17" s="216" t="str">
        <f ca="1"/>
        <v>#Error: No range or empty range specified</v>
      </c>
      <c r="HP17" s="222" t="str">
        <f ca="1"/>
        <v>#Error: No range or empty range specified</v>
      </c>
      <c r="HQ17" s="224" t="str">
        <f ca="1"/>
        <v>#Error: No range or empty range specified</v>
      </c>
    </row>
    <row r="18" spans="1:225">
      <c r="A18" s="110">
        <f t="shared" ca="1" si="6"/>
        <v>11</v>
      </c>
      <c r="B18" s="123" t="str">
        <f ca="1">'USD-BONDS'!F16</f>
        <v>ISIN10</v>
      </c>
      <c r="C18" s="206">
        <f ca="1">'USD-BONDS'!B16</f>
        <v>100</v>
      </c>
      <c r="D18" s="124" t="str">
        <f ca="1">_xll.meLWOSwapCreate($D$7&amp;"_"&amp;B18,_xll.meUtilityLVBFromKeysAndMultipleValues($G$7:$AL$7,G18:AL18,AN18:BS18))</f>
        <v>USD_ASW_ISIN10@161:6</v>
      </c>
      <c r="E18" s="270">
        <f ca="1">_xll.meLWOAssetSwapSpread(D18,'USD-BONDS'!D16,C18,$J$4:$K$5)</f>
        <v>285.35446266608909</v>
      </c>
      <c r="F18" s="110">
        <f t="shared" ca="1" si="7"/>
        <v>11</v>
      </c>
      <c r="G18" s="59" t="s">
        <v>263</v>
      </c>
      <c r="H18" s="147">
        <v>1000000</v>
      </c>
      <c r="I18" s="148" t="s">
        <v>44</v>
      </c>
      <c r="J18" s="148" t="s">
        <v>96</v>
      </c>
      <c r="K18" s="148"/>
      <c r="L18" s="148" t="s">
        <v>46</v>
      </c>
      <c r="M18" s="148" t="s">
        <v>9</v>
      </c>
      <c r="N18" s="149">
        <v>1</v>
      </c>
      <c r="O18" s="135">
        <f ca="1">'USD-BONDS'!M16</f>
        <v>3.2000000000000001E-2</v>
      </c>
      <c r="P18" s="148"/>
      <c r="Q18" s="148"/>
      <c r="R18" s="155"/>
      <c r="S18" s="148" t="s">
        <v>12</v>
      </c>
      <c r="T18" s="149"/>
      <c r="U18" s="129">
        <f ca="1">_xll.meLWOBondLastCouponDate('USD-BONDS'!D16,Settings.COB)</f>
        <v>43916</v>
      </c>
      <c r="V18" s="129">
        <f ca="1">'USD-BONDS'!L16</f>
        <v>45742</v>
      </c>
      <c r="W18" s="167" t="str">
        <f ca="1">'USD-BONDS'!O16</f>
        <v>SEMI-ANNUAL</v>
      </c>
      <c r="X18" s="130" t="str">
        <f ca="1">'USD-BONDS'!N16</f>
        <v>30E/360</v>
      </c>
      <c r="Y18" s="148" t="s">
        <v>82</v>
      </c>
      <c r="Z18" s="148" t="s">
        <v>68</v>
      </c>
      <c r="AA18" s="148" t="s">
        <v>82</v>
      </c>
      <c r="AB18" s="148" t="s">
        <v>68</v>
      </c>
      <c r="AC18" s="148" t="s">
        <v>82</v>
      </c>
      <c r="AD18" s="148" t="s">
        <v>68</v>
      </c>
      <c r="AE18" s="148"/>
      <c r="AF18" s="148"/>
      <c r="AG18" s="148" t="s">
        <v>33</v>
      </c>
      <c r="AH18" s="148"/>
      <c r="AI18" s="148"/>
      <c r="AJ18" s="148" t="s">
        <v>35</v>
      </c>
      <c r="AK18" s="262" t="s">
        <v>267</v>
      </c>
      <c r="AL18" s="158" t="s">
        <v>39</v>
      </c>
      <c r="AM18" s="110">
        <f t="shared" ca="1" si="8"/>
        <v>11</v>
      </c>
      <c r="AN18" s="59" t="s">
        <v>67</v>
      </c>
      <c r="AO18" s="147">
        <v>1000000</v>
      </c>
      <c r="AP18" s="148" t="s">
        <v>44</v>
      </c>
      <c r="AQ18" s="148" t="s">
        <v>99</v>
      </c>
      <c r="AR18" s="167" t="s">
        <v>102</v>
      </c>
      <c r="AS18" s="148" t="s">
        <v>46</v>
      </c>
      <c r="AT18" s="148" t="s">
        <v>9</v>
      </c>
      <c r="AU18" s="149">
        <v>1</v>
      </c>
      <c r="AV18" s="161"/>
      <c r="AW18" s="148" t="s">
        <v>14</v>
      </c>
      <c r="AX18" s="148" t="s">
        <v>14</v>
      </c>
      <c r="AY18" s="170">
        <f ca="1">SETTINGS!$F$6</f>
        <v>1.2955599999999999E-2</v>
      </c>
      <c r="AZ18" s="148" t="s">
        <v>12</v>
      </c>
      <c r="BA18" s="149">
        <v>0</v>
      </c>
      <c r="BB18" s="129">
        <f ca="1">_xll.meLWOBondLastCouponDate('USD-BONDS'!D16,Settings.COB)</f>
        <v>43916</v>
      </c>
      <c r="BC18" s="129">
        <f ca="1">'USD-BONDS'!L16</f>
        <v>45742</v>
      </c>
      <c r="BD18" s="167" t="s">
        <v>100</v>
      </c>
      <c r="BE18" s="130" t="s">
        <v>101</v>
      </c>
      <c r="BF18" s="164" t="s">
        <v>82</v>
      </c>
      <c r="BG18" s="164" t="s">
        <v>68</v>
      </c>
      <c r="BH18" s="164" t="s">
        <v>82</v>
      </c>
      <c r="BI18" s="164" t="s">
        <v>68</v>
      </c>
      <c r="BJ18" s="164" t="s">
        <v>82</v>
      </c>
      <c r="BK18" s="164" t="s">
        <v>68</v>
      </c>
      <c r="BL18" s="148"/>
      <c r="BM18" s="148"/>
      <c r="BN18" s="148" t="s">
        <v>33</v>
      </c>
      <c r="BO18" s="148" t="s">
        <v>35</v>
      </c>
      <c r="BP18" s="148"/>
      <c r="BQ18" s="148" t="s">
        <v>35</v>
      </c>
      <c r="BR18" s="148"/>
      <c r="BS18" s="158" t="s">
        <v>39</v>
      </c>
      <c r="BT18" s="110">
        <f t="shared" ca="1" si="9"/>
        <v>11</v>
      </c>
      <c r="BU18" s="174" t="str">
        <f ca="1">_xll.meLWOXccySwapCreate($BU$7&amp;"_"&amp;B18,_xll.meUtilityLVBFromKeysAndMultipleValues($BX$7:$DB$7,BX18:DB18,DD18:EH18),$CC$2:$CD$5)</f>
        <v>XCCY_SWAP_ISIN10@187:6</v>
      </c>
      <c r="BV18" s="175">
        <f ca="1">_xll.meLWOXccySwapParSpread(BU18,$BZ$2:$CA$6,,$BZ$3)</f>
        <v>260.66732023507109</v>
      </c>
      <c r="BW18" s="110">
        <f t="shared" ca="1" si="0"/>
        <v>12</v>
      </c>
      <c r="BX18" s="59" t="s">
        <v>97</v>
      </c>
      <c r="BY18" s="147">
        <v>1000000</v>
      </c>
      <c r="BZ18" s="148" t="s">
        <v>71</v>
      </c>
      <c r="CA18" s="148" t="s">
        <v>96</v>
      </c>
      <c r="CB18" s="136" t="s">
        <v>102</v>
      </c>
      <c r="CC18" s="148" t="s">
        <v>46</v>
      </c>
      <c r="CD18" s="148" t="s">
        <v>9</v>
      </c>
      <c r="CE18" s="149">
        <v>1</v>
      </c>
      <c r="CF18" s="148"/>
      <c r="CG18" s="148" t="s">
        <v>14</v>
      </c>
      <c r="CH18" s="148" t="s">
        <v>14</v>
      </c>
      <c r="CI18" s="170">
        <f ca="1">SETTINGS!$F$6</f>
        <v>1.2955599999999999E-2</v>
      </c>
      <c r="CJ18" s="148" t="s">
        <v>12</v>
      </c>
      <c r="CK18" s="178">
        <f t="shared" ca="1" si="1"/>
        <v>285.35446266608909</v>
      </c>
      <c r="CL18" s="129">
        <f ca="1">_xll.meLWOBondLastCouponDate('USD-BONDS'!D16,Settings.COB)</f>
        <v>43916</v>
      </c>
      <c r="CM18" s="129">
        <f ca="1">'USD-BONDS'!L16</f>
        <v>45742</v>
      </c>
      <c r="CN18" s="167" t="s">
        <v>100</v>
      </c>
      <c r="CO18" s="167" t="s">
        <v>101</v>
      </c>
      <c r="CP18" s="148" t="s">
        <v>82</v>
      </c>
      <c r="CQ18" s="148" t="s">
        <v>68</v>
      </c>
      <c r="CR18" s="148" t="s">
        <v>82</v>
      </c>
      <c r="CS18" s="148" t="s">
        <v>68</v>
      </c>
      <c r="CT18" s="148" t="s">
        <v>82</v>
      </c>
      <c r="CU18" s="148" t="s">
        <v>68</v>
      </c>
      <c r="CV18" s="148"/>
      <c r="CW18" s="148"/>
      <c r="CX18" s="148" t="s">
        <v>33</v>
      </c>
      <c r="CY18" s="148" t="s">
        <v>35</v>
      </c>
      <c r="CZ18" s="148"/>
      <c r="DA18" s="148" t="s">
        <v>35</v>
      </c>
      <c r="DB18" s="158" t="s">
        <v>39</v>
      </c>
      <c r="DC18" s="110">
        <f t="shared" ca="1" si="2"/>
        <v>12</v>
      </c>
      <c r="DD18" s="59" t="s">
        <v>67</v>
      </c>
      <c r="DE18" s="182">
        <f t="shared" ca="1" si="3"/>
        <v>1333333.3333333333</v>
      </c>
      <c r="DF18" s="148" t="s">
        <v>71</v>
      </c>
      <c r="DG18" s="148" t="s">
        <v>99</v>
      </c>
      <c r="DH18" s="183" t="s">
        <v>66</v>
      </c>
      <c r="DI18" s="148" t="s">
        <v>105</v>
      </c>
      <c r="DJ18" s="148" t="s">
        <v>45</v>
      </c>
      <c r="DK18" s="149">
        <v>1</v>
      </c>
      <c r="DL18" s="148"/>
      <c r="DM18" s="148" t="s">
        <v>14</v>
      </c>
      <c r="DN18" s="148" t="s">
        <v>14</v>
      </c>
      <c r="DO18" s="170">
        <f ca="1">SETTINGS!$I$6</f>
        <v>1.7100000000000001E-2</v>
      </c>
      <c r="DP18" s="148" t="s">
        <v>12</v>
      </c>
      <c r="DQ18" s="149">
        <v>0</v>
      </c>
      <c r="DR18" s="129">
        <f ca="1">_xll.meLWOBondLastCouponDate('AUD-BONDS'!D16,Settings.COB)</f>
        <v>44027</v>
      </c>
      <c r="DS18" s="129">
        <f ca="1">'AUD-BONDS'!L16</f>
        <v>46037</v>
      </c>
      <c r="DT18" s="90" t="s">
        <v>100</v>
      </c>
      <c r="DU18" s="90" t="s">
        <v>103</v>
      </c>
      <c r="DV18" s="148" t="s">
        <v>82</v>
      </c>
      <c r="DW18" s="148" t="s">
        <v>65</v>
      </c>
      <c r="DX18" s="148" t="s">
        <v>82</v>
      </c>
      <c r="DY18" s="148" t="s">
        <v>65</v>
      </c>
      <c r="DZ18" s="148" t="s">
        <v>82</v>
      </c>
      <c r="EA18" s="148" t="s">
        <v>65</v>
      </c>
      <c r="EB18" s="148"/>
      <c r="EC18" s="148"/>
      <c r="ED18" s="148" t="s">
        <v>33</v>
      </c>
      <c r="EE18" s="148" t="s">
        <v>35</v>
      </c>
      <c r="EF18" s="148"/>
      <c r="EG18" s="148" t="s">
        <v>35</v>
      </c>
      <c r="EH18" s="158" t="s">
        <v>39</v>
      </c>
      <c r="EI18" s="110">
        <f t="shared" ca="1" si="10"/>
        <v>11</v>
      </c>
      <c r="EJ18" s="123" t="str">
        <f ca="1">'AUD-BONDS'!F16</f>
        <v>ISIN10</v>
      </c>
      <c r="EK18" s="124" t="str">
        <f ca="1">_xll.meLWOSwapCreate($EK$7&amp;"_"&amp;EJ18,_xll.meUtilityLVBFromKeysAndMultipleValues($ET$7:$FX$7,ET18:FX18,FZ18:HD18))</f>
        <v>#Error: Missing key 'CALCULATIONTYPE'. This key is mandatory and must be included in the Label Value Block , 'scheduleLVB'.</v>
      </c>
      <c r="EL18" s="191" t="str">
        <f ca="1">_xll.meLWOAssetSwapSpreadToCleanPrice($EK18,$EK$4,$BV18,$EW$4)</f>
        <v>#Error: Swap #ERROR does not exist</v>
      </c>
      <c r="EM18" s="110">
        <f t="shared" ref="EM18" ca="1" si="22">EM17+1</f>
        <v>11</v>
      </c>
      <c r="EN18" s="197" t="str">
        <f ca="1">_xll.meLWOBondYield('AUD-BONDS'!D16,$EK$4,$EL18)</f>
        <v>#Error: Invalid input, numerical input required</v>
      </c>
      <c r="EO18" s="190" t="str">
        <f ca="1">_xll.meLWOBondCleanPrice('AUD-BONDS'!$D16,$EK$4,$EN18)</f>
        <v>#Error: Invalid Vector Data:  Input Contains Errors</v>
      </c>
      <c r="EP18" s="190" t="str">
        <f ca="1">_xll.meLWOBondDirtyPrice('AUD-BONDS'!$D16,$EK$4,$EN18)</f>
        <v>#Error: Invalid Vector Data:  Input Contains Errors</v>
      </c>
      <c r="EQ18" s="192">
        <f ca="1">_xll.meLWOBondAccruedInterest('AUD-BONDS'!$D16,'AUD-URIDASHI-PX'!$EK$4)</f>
        <v>4250</v>
      </c>
      <c r="ER18" s="198">
        <f ca="1">_xll.meLWOBondAccruedInterestDays('AUD-BONDS'!$D16,'AUD-URIDASHI-PX'!$EK$4)</f>
        <v>39</v>
      </c>
      <c r="ES18" s="110">
        <f t="shared" ca="1" si="12"/>
        <v>11</v>
      </c>
      <c r="ET18" s="59" t="s">
        <v>263</v>
      </c>
      <c r="EU18" s="182">
        <f t="shared" ca="1" si="4"/>
        <v>1333333.3333333333</v>
      </c>
      <c r="EV18" s="148" t="s">
        <v>44</v>
      </c>
      <c r="EW18" s="148" t="s">
        <v>96</v>
      </c>
      <c r="EX18" s="148"/>
      <c r="EY18" s="148" t="s">
        <v>50</v>
      </c>
      <c r="EZ18" s="148" t="s">
        <v>45</v>
      </c>
      <c r="FA18" s="149">
        <v>1</v>
      </c>
      <c r="FB18" s="135">
        <f ca="1">'AUD-BONDS'!M16</f>
        <v>3.9199999999999999E-2</v>
      </c>
      <c r="FC18" s="148"/>
      <c r="FD18" s="148"/>
      <c r="FE18" s="155"/>
      <c r="FF18" s="148" t="s">
        <v>12</v>
      </c>
      <c r="FG18" s="149"/>
      <c r="FH18" s="129">
        <f ca="1">_xll.meLWOBondLastCouponDate('AUD-BONDS'!D16,Settings.COB)</f>
        <v>44027</v>
      </c>
      <c r="FI18" s="129">
        <f ca="1">'AUD-BONDS'!L16</f>
        <v>46037</v>
      </c>
      <c r="FJ18" s="167" t="str">
        <f ca="1">'AUD-BONDS'!O16</f>
        <v>SEMI-ANNUAL</v>
      </c>
      <c r="FK18" s="130" t="str">
        <f ca="1">'AUD-BONDS'!N16</f>
        <v>30E/360</v>
      </c>
      <c r="FL18" s="148" t="s">
        <v>82</v>
      </c>
      <c r="FM18" s="148" t="s">
        <v>68</v>
      </c>
      <c r="FN18" s="148" t="s">
        <v>82</v>
      </c>
      <c r="FO18" s="148" t="s">
        <v>68</v>
      </c>
      <c r="FP18" s="148" t="s">
        <v>82</v>
      </c>
      <c r="FQ18" s="148" t="s">
        <v>68</v>
      </c>
      <c r="FR18" s="148"/>
      <c r="FS18" s="148"/>
      <c r="FT18" s="148" t="s">
        <v>33</v>
      </c>
      <c r="FU18" s="148"/>
      <c r="FV18" s="148"/>
      <c r="FW18" s="148" t="s">
        <v>35</v>
      </c>
      <c r="FX18" s="148" t="s">
        <v>39</v>
      </c>
      <c r="FY18" s="110">
        <f t="shared" ca="1" si="13"/>
        <v>11</v>
      </c>
      <c r="FZ18" s="59" t="s">
        <v>67</v>
      </c>
      <c r="GA18" s="182">
        <f t="shared" ca="1" si="5"/>
        <v>1333333.3333333333</v>
      </c>
      <c r="GB18" s="148" t="s">
        <v>44</v>
      </c>
      <c r="GC18" s="148" t="s">
        <v>99</v>
      </c>
      <c r="GD18" s="167" t="s">
        <v>66</v>
      </c>
      <c r="GE18" s="148" t="s">
        <v>50</v>
      </c>
      <c r="GF18" s="148" t="s">
        <v>45</v>
      </c>
      <c r="GG18" s="149">
        <v>1</v>
      </c>
      <c r="GH18" s="161"/>
      <c r="GI18" s="148" t="s">
        <v>14</v>
      </c>
      <c r="GJ18" s="148" t="s">
        <v>14</v>
      </c>
      <c r="GK18" s="170">
        <f ca="1">SETTINGS!$I$6</f>
        <v>1.7100000000000001E-2</v>
      </c>
      <c r="GL18" s="148" t="s">
        <v>12</v>
      </c>
      <c r="GM18" s="188">
        <f t="shared" ca="1" si="14"/>
        <v>260.66732023507109</v>
      </c>
      <c r="GN18" s="129">
        <f ca="1">_xll.meLWOBondLastCouponDate('AUD-BONDS'!D16,Settings.COB)</f>
        <v>44027</v>
      </c>
      <c r="GO18" s="129">
        <f ca="1">'AUD-BONDS'!L16</f>
        <v>46037</v>
      </c>
      <c r="GP18" s="167" t="s">
        <v>100</v>
      </c>
      <c r="GQ18" s="130" t="s">
        <v>101</v>
      </c>
      <c r="GR18" s="164" t="s">
        <v>82</v>
      </c>
      <c r="GS18" s="164" t="s">
        <v>65</v>
      </c>
      <c r="GT18" s="164" t="s">
        <v>82</v>
      </c>
      <c r="GU18" s="164" t="s">
        <v>65</v>
      </c>
      <c r="GV18" s="164" t="s">
        <v>82</v>
      </c>
      <c r="GW18" s="164" t="s">
        <v>65</v>
      </c>
      <c r="GX18" s="148"/>
      <c r="GY18" s="148"/>
      <c r="GZ18" s="148" t="s">
        <v>33</v>
      </c>
      <c r="HA18" s="148" t="s">
        <v>35</v>
      </c>
      <c r="HB18" s="148"/>
      <c r="HC18" s="148" t="s">
        <v>35</v>
      </c>
      <c r="HD18" s="148" t="s">
        <v>39</v>
      </c>
      <c r="HE18" s="37" t="s">
        <v>264</v>
      </c>
      <c r="HF18" s="209" t="str">
        <f ca="1"/>
        <v>#Error: No range or empty range specified</v>
      </c>
      <c r="HG18" s="210" t="str">
        <f ca="1"/>
        <v>#Error: No range or empty range specified</v>
      </c>
      <c r="HH18" s="211" t="str">
        <f ca="1"/>
        <v>#Error: No range or empty range specified</v>
      </c>
      <c r="HI18" s="211" t="str">
        <f ca="1"/>
        <v>#Error: No range or empty range specified</v>
      </c>
      <c r="HJ18" s="210" t="str">
        <f ca="1"/>
        <v>#Error: No range or empty range specified</v>
      </c>
      <c r="HK18" s="216" t="str">
        <f ca="1"/>
        <v>#Error: No range or empty range specified</v>
      </c>
      <c r="HL18" s="216" t="str">
        <f ca="1"/>
        <v>#Error: No range or empty range specified</v>
      </c>
      <c r="HM18" s="211" t="str">
        <f ca="1"/>
        <v>#Error: No range or empty range specified</v>
      </c>
      <c r="HN18" s="220" t="str">
        <f ca="1"/>
        <v>#Error: No range or empty range specified</v>
      </c>
      <c r="HO18" s="216" t="str">
        <f ca="1"/>
        <v>#Error: No range or empty range specified</v>
      </c>
      <c r="HP18" s="222" t="str">
        <f ca="1"/>
        <v>#Error: No range or empty range specified</v>
      </c>
      <c r="HQ18" s="224" t="str">
        <f ca="1"/>
        <v>#Error: No range or empty range specified</v>
      </c>
    </row>
    <row r="19" spans="1:225">
      <c r="A19" s="110">
        <f t="shared" ca="1" si="6"/>
        <v>12</v>
      </c>
      <c r="B19" s="123" t="str">
        <f ca="1">'USD-BONDS'!F17</f>
        <v>ISIN11</v>
      </c>
      <c r="C19" s="206">
        <f ca="1">'USD-BONDS'!B17</f>
        <v>100</v>
      </c>
      <c r="D19" s="124" t="str">
        <f ca="1">_xll.meLWOSwapCreate($D$7&amp;"_"&amp;B19,_xll.meUtilityLVBFromKeysAndMultipleValues($G$7:$AL$7,G19:AL19,AN19:BS19))</f>
        <v>USD_ASW_ISIN11@170:6</v>
      </c>
      <c r="E19" s="270">
        <f ca="1">_xll.meLWOAssetSwapSpread(D19,'USD-BONDS'!D17,C19,$J$4:$K$5)</f>
        <v>285.35446266608909</v>
      </c>
      <c r="F19" s="110">
        <f t="shared" ca="1" si="7"/>
        <v>12</v>
      </c>
      <c r="G19" s="59" t="s">
        <v>263</v>
      </c>
      <c r="H19" s="147">
        <v>1000000</v>
      </c>
      <c r="I19" s="148" t="s">
        <v>44</v>
      </c>
      <c r="J19" s="148" t="s">
        <v>96</v>
      </c>
      <c r="K19" s="148"/>
      <c r="L19" s="148" t="s">
        <v>46</v>
      </c>
      <c r="M19" s="148" t="s">
        <v>9</v>
      </c>
      <c r="N19" s="149">
        <v>1</v>
      </c>
      <c r="O19" s="135">
        <f ca="1">'USD-BONDS'!M17</f>
        <v>3.2000000000000001E-2</v>
      </c>
      <c r="P19" s="148"/>
      <c r="Q19" s="148"/>
      <c r="R19" s="155"/>
      <c r="S19" s="148" t="s">
        <v>12</v>
      </c>
      <c r="T19" s="149"/>
      <c r="U19" s="129">
        <f ca="1">_xll.meLWOBondLastCouponDate('USD-BONDS'!D17,Settings.COB)</f>
        <v>43916</v>
      </c>
      <c r="V19" s="129">
        <f ca="1">'USD-BONDS'!L17</f>
        <v>45742</v>
      </c>
      <c r="W19" s="167" t="str">
        <f ca="1">'USD-BONDS'!O17</f>
        <v>SEMI-ANNUAL</v>
      </c>
      <c r="X19" s="130" t="str">
        <f ca="1">'USD-BONDS'!N17</f>
        <v>30E/360</v>
      </c>
      <c r="Y19" s="148" t="s">
        <v>82</v>
      </c>
      <c r="Z19" s="148" t="s">
        <v>68</v>
      </c>
      <c r="AA19" s="148" t="s">
        <v>82</v>
      </c>
      <c r="AB19" s="148" t="s">
        <v>68</v>
      </c>
      <c r="AC19" s="148" t="s">
        <v>82</v>
      </c>
      <c r="AD19" s="148" t="s">
        <v>68</v>
      </c>
      <c r="AE19" s="148"/>
      <c r="AF19" s="148"/>
      <c r="AG19" s="148" t="s">
        <v>33</v>
      </c>
      <c r="AH19" s="148"/>
      <c r="AI19" s="148"/>
      <c r="AJ19" s="148" t="s">
        <v>35</v>
      </c>
      <c r="AK19" s="262" t="s">
        <v>267</v>
      </c>
      <c r="AL19" s="158" t="s">
        <v>39</v>
      </c>
      <c r="AM19" s="110">
        <f t="shared" ca="1" si="8"/>
        <v>12</v>
      </c>
      <c r="AN19" s="59" t="s">
        <v>67</v>
      </c>
      <c r="AO19" s="147">
        <v>1000000</v>
      </c>
      <c r="AP19" s="148" t="s">
        <v>44</v>
      </c>
      <c r="AQ19" s="148" t="s">
        <v>99</v>
      </c>
      <c r="AR19" s="167" t="s">
        <v>102</v>
      </c>
      <c r="AS19" s="148" t="s">
        <v>46</v>
      </c>
      <c r="AT19" s="148" t="s">
        <v>9</v>
      </c>
      <c r="AU19" s="149">
        <v>1</v>
      </c>
      <c r="AV19" s="161"/>
      <c r="AW19" s="148" t="s">
        <v>14</v>
      </c>
      <c r="AX19" s="148" t="s">
        <v>14</v>
      </c>
      <c r="AY19" s="170">
        <f ca="1">SETTINGS!$F$6</f>
        <v>1.2955599999999999E-2</v>
      </c>
      <c r="AZ19" s="148" t="s">
        <v>12</v>
      </c>
      <c r="BA19" s="149">
        <v>0</v>
      </c>
      <c r="BB19" s="129">
        <f ca="1">_xll.meLWOBondLastCouponDate('USD-BONDS'!D17,Settings.COB)</f>
        <v>43916</v>
      </c>
      <c r="BC19" s="129">
        <f ca="1">'USD-BONDS'!L17</f>
        <v>45742</v>
      </c>
      <c r="BD19" s="167" t="s">
        <v>100</v>
      </c>
      <c r="BE19" s="130" t="s">
        <v>101</v>
      </c>
      <c r="BF19" s="164" t="s">
        <v>82</v>
      </c>
      <c r="BG19" s="164" t="s">
        <v>68</v>
      </c>
      <c r="BH19" s="164" t="s">
        <v>82</v>
      </c>
      <c r="BI19" s="164" t="s">
        <v>68</v>
      </c>
      <c r="BJ19" s="164" t="s">
        <v>82</v>
      </c>
      <c r="BK19" s="164" t="s">
        <v>68</v>
      </c>
      <c r="BL19" s="148"/>
      <c r="BM19" s="148"/>
      <c r="BN19" s="148" t="s">
        <v>33</v>
      </c>
      <c r="BO19" s="148" t="s">
        <v>35</v>
      </c>
      <c r="BP19" s="148"/>
      <c r="BQ19" s="148" t="s">
        <v>35</v>
      </c>
      <c r="BR19" s="148"/>
      <c r="BS19" s="158" t="s">
        <v>39</v>
      </c>
      <c r="BT19" s="110">
        <f t="shared" ca="1" si="9"/>
        <v>12</v>
      </c>
      <c r="BU19" s="174" t="str">
        <f ca="1">_xll.meLWOXccySwapCreate($BU$7&amp;"_"&amp;B19,_xll.meUtilityLVBFromKeysAndMultipleValues($BX$7:$DB$7,BX19:DB19,DD19:EH19),$CC$2:$CD$5)</f>
        <v>XCCY_SWAP_ISIN11@179:6</v>
      </c>
      <c r="BV19" s="175">
        <f ca="1">_xll.meLWOXccySwapParSpread(BU19,$BZ$2:$CA$6,,$BZ$3)</f>
        <v>260.66732023507109</v>
      </c>
      <c r="BW19" s="110">
        <f t="shared" ca="1" si="0"/>
        <v>13</v>
      </c>
      <c r="BX19" s="59" t="s">
        <v>97</v>
      </c>
      <c r="BY19" s="147">
        <v>1000000</v>
      </c>
      <c r="BZ19" s="148" t="s">
        <v>71</v>
      </c>
      <c r="CA19" s="148" t="s">
        <v>96</v>
      </c>
      <c r="CB19" s="136" t="s">
        <v>102</v>
      </c>
      <c r="CC19" s="148" t="s">
        <v>46</v>
      </c>
      <c r="CD19" s="148" t="s">
        <v>9</v>
      </c>
      <c r="CE19" s="149">
        <v>1</v>
      </c>
      <c r="CF19" s="148"/>
      <c r="CG19" s="148" t="s">
        <v>14</v>
      </c>
      <c r="CH19" s="148" t="s">
        <v>14</v>
      </c>
      <c r="CI19" s="170">
        <f ca="1">SETTINGS!$F$6</f>
        <v>1.2955599999999999E-2</v>
      </c>
      <c r="CJ19" s="148" t="s">
        <v>12</v>
      </c>
      <c r="CK19" s="178">
        <f t="shared" ca="1" si="1"/>
        <v>285.35446266608909</v>
      </c>
      <c r="CL19" s="129">
        <f ca="1">_xll.meLWOBondLastCouponDate('USD-BONDS'!D17,Settings.COB)</f>
        <v>43916</v>
      </c>
      <c r="CM19" s="129">
        <f ca="1">'USD-BONDS'!L17</f>
        <v>45742</v>
      </c>
      <c r="CN19" s="167" t="s">
        <v>100</v>
      </c>
      <c r="CO19" s="167" t="s">
        <v>101</v>
      </c>
      <c r="CP19" s="148" t="s">
        <v>82</v>
      </c>
      <c r="CQ19" s="148" t="s">
        <v>68</v>
      </c>
      <c r="CR19" s="148" t="s">
        <v>82</v>
      </c>
      <c r="CS19" s="148" t="s">
        <v>68</v>
      </c>
      <c r="CT19" s="148" t="s">
        <v>82</v>
      </c>
      <c r="CU19" s="148" t="s">
        <v>68</v>
      </c>
      <c r="CV19" s="148"/>
      <c r="CW19" s="148"/>
      <c r="CX19" s="148" t="s">
        <v>33</v>
      </c>
      <c r="CY19" s="148" t="s">
        <v>35</v>
      </c>
      <c r="CZ19" s="148"/>
      <c r="DA19" s="148" t="s">
        <v>35</v>
      </c>
      <c r="DB19" s="158" t="s">
        <v>39</v>
      </c>
      <c r="DC19" s="110">
        <f t="shared" ca="1" si="2"/>
        <v>13</v>
      </c>
      <c r="DD19" s="59" t="s">
        <v>67</v>
      </c>
      <c r="DE19" s="182">
        <f t="shared" ca="1" si="3"/>
        <v>1333333.3333333333</v>
      </c>
      <c r="DF19" s="148" t="s">
        <v>71</v>
      </c>
      <c r="DG19" s="148" t="s">
        <v>99</v>
      </c>
      <c r="DH19" s="183" t="s">
        <v>66</v>
      </c>
      <c r="DI19" s="148" t="s">
        <v>105</v>
      </c>
      <c r="DJ19" s="148" t="s">
        <v>45</v>
      </c>
      <c r="DK19" s="149">
        <v>1</v>
      </c>
      <c r="DL19" s="148"/>
      <c r="DM19" s="148" t="s">
        <v>14</v>
      </c>
      <c r="DN19" s="148" t="s">
        <v>14</v>
      </c>
      <c r="DO19" s="170">
        <f ca="1">SETTINGS!$I$6</f>
        <v>1.7100000000000001E-2</v>
      </c>
      <c r="DP19" s="148" t="s">
        <v>12</v>
      </c>
      <c r="DQ19" s="149">
        <v>0</v>
      </c>
      <c r="DR19" s="129">
        <f ca="1">_xll.meLWOBondLastCouponDate('AUD-BONDS'!D17,Settings.COB)</f>
        <v>44027</v>
      </c>
      <c r="DS19" s="129">
        <f ca="1">'AUD-BONDS'!L17</f>
        <v>46037</v>
      </c>
      <c r="DT19" s="90" t="s">
        <v>100</v>
      </c>
      <c r="DU19" s="90" t="s">
        <v>103</v>
      </c>
      <c r="DV19" s="148" t="s">
        <v>82</v>
      </c>
      <c r="DW19" s="148" t="s">
        <v>65</v>
      </c>
      <c r="DX19" s="148" t="s">
        <v>82</v>
      </c>
      <c r="DY19" s="148" t="s">
        <v>65</v>
      </c>
      <c r="DZ19" s="148" t="s">
        <v>82</v>
      </c>
      <c r="EA19" s="148" t="s">
        <v>65</v>
      </c>
      <c r="EB19" s="148"/>
      <c r="EC19" s="148"/>
      <c r="ED19" s="148" t="s">
        <v>33</v>
      </c>
      <c r="EE19" s="148" t="s">
        <v>35</v>
      </c>
      <c r="EF19" s="148"/>
      <c r="EG19" s="148" t="s">
        <v>35</v>
      </c>
      <c r="EH19" s="158" t="s">
        <v>39</v>
      </c>
      <c r="EI19" s="110">
        <f t="shared" ca="1" si="10"/>
        <v>12</v>
      </c>
      <c r="EJ19" s="123" t="str">
        <f ca="1">'AUD-BONDS'!F17</f>
        <v>ISIN11</v>
      </c>
      <c r="EK19" s="124" t="str">
        <f ca="1">_xll.meLWOSwapCreate($EK$7&amp;"_"&amp;EJ19,_xll.meUtilityLVBFromKeysAndMultipleValues($ET$7:$FX$7,ET19:FX19,FZ19:HD19))</f>
        <v>#Error: Missing key 'CALCULATIONTYPE'. This key is mandatory and must be included in the Label Value Block , 'scheduleLVB'.</v>
      </c>
      <c r="EL19" s="191" t="str">
        <f ca="1">_xll.meLWOAssetSwapSpreadToCleanPrice($EK19,$EK$4,$BV19,$EW$4)</f>
        <v>#Error: Swap #ERROR does not exist</v>
      </c>
      <c r="EM19" s="110">
        <f t="shared" ref="EM19" ca="1" si="23">EM18+1</f>
        <v>12</v>
      </c>
      <c r="EN19" s="197" t="str">
        <f ca="1">_xll.meLWOBondYield('AUD-BONDS'!D17,$EK$4,$EL19)</f>
        <v>#Error: Invalid input, numerical input required</v>
      </c>
      <c r="EO19" s="190" t="str">
        <f ca="1">_xll.meLWOBondCleanPrice('AUD-BONDS'!$D17,$EK$4,$EN19)</f>
        <v>#Error: Invalid Vector Data:  Input Contains Errors</v>
      </c>
      <c r="EP19" s="190" t="str">
        <f ca="1">_xll.meLWOBondDirtyPrice('AUD-BONDS'!$D17,$EK$4,$EN19)</f>
        <v>#Error: Invalid Vector Data:  Input Contains Errors</v>
      </c>
      <c r="EQ19" s="192">
        <f ca="1">_xll.meLWOBondAccruedInterest('AUD-BONDS'!$D17,'AUD-URIDASHI-PX'!$EK$4)</f>
        <v>4250</v>
      </c>
      <c r="ER19" s="198">
        <f ca="1">_xll.meLWOBondAccruedInterestDays('AUD-BONDS'!$D17,'AUD-URIDASHI-PX'!$EK$4)</f>
        <v>39</v>
      </c>
      <c r="ES19" s="110">
        <f t="shared" ca="1" si="12"/>
        <v>12</v>
      </c>
      <c r="ET19" s="59" t="s">
        <v>263</v>
      </c>
      <c r="EU19" s="182">
        <f t="shared" ca="1" si="4"/>
        <v>1333333.3333333333</v>
      </c>
      <c r="EV19" s="148" t="s">
        <v>44</v>
      </c>
      <c r="EW19" s="148" t="s">
        <v>96</v>
      </c>
      <c r="EX19" s="148"/>
      <c r="EY19" s="148" t="s">
        <v>50</v>
      </c>
      <c r="EZ19" s="148" t="s">
        <v>45</v>
      </c>
      <c r="FA19" s="149">
        <v>1</v>
      </c>
      <c r="FB19" s="135">
        <f ca="1">'AUD-BONDS'!M17</f>
        <v>3.9199999999999999E-2</v>
      </c>
      <c r="FC19" s="148"/>
      <c r="FD19" s="148"/>
      <c r="FE19" s="155"/>
      <c r="FF19" s="148" t="s">
        <v>12</v>
      </c>
      <c r="FG19" s="149"/>
      <c r="FH19" s="129">
        <f ca="1">_xll.meLWOBondLastCouponDate('AUD-BONDS'!D17,Settings.COB)</f>
        <v>44027</v>
      </c>
      <c r="FI19" s="129">
        <f ca="1">'AUD-BONDS'!L17</f>
        <v>46037</v>
      </c>
      <c r="FJ19" s="167" t="str">
        <f ca="1">'AUD-BONDS'!O17</f>
        <v>SEMI-ANNUAL</v>
      </c>
      <c r="FK19" s="130" t="str">
        <f ca="1">'AUD-BONDS'!N17</f>
        <v>30E/360</v>
      </c>
      <c r="FL19" s="148" t="s">
        <v>82</v>
      </c>
      <c r="FM19" s="148" t="s">
        <v>68</v>
      </c>
      <c r="FN19" s="148" t="s">
        <v>82</v>
      </c>
      <c r="FO19" s="148" t="s">
        <v>68</v>
      </c>
      <c r="FP19" s="148" t="s">
        <v>82</v>
      </c>
      <c r="FQ19" s="148" t="s">
        <v>68</v>
      </c>
      <c r="FR19" s="148"/>
      <c r="FS19" s="148"/>
      <c r="FT19" s="148" t="s">
        <v>33</v>
      </c>
      <c r="FU19" s="148"/>
      <c r="FV19" s="148"/>
      <c r="FW19" s="148" t="s">
        <v>35</v>
      </c>
      <c r="FX19" s="148" t="s">
        <v>39</v>
      </c>
      <c r="FY19" s="110">
        <f t="shared" ca="1" si="13"/>
        <v>12</v>
      </c>
      <c r="FZ19" s="59" t="s">
        <v>67</v>
      </c>
      <c r="GA19" s="182">
        <f t="shared" ca="1" si="5"/>
        <v>1333333.3333333333</v>
      </c>
      <c r="GB19" s="148" t="s">
        <v>44</v>
      </c>
      <c r="GC19" s="148" t="s">
        <v>99</v>
      </c>
      <c r="GD19" s="167" t="s">
        <v>66</v>
      </c>
      <c r="GE19" s="148" t="s">
        <v>50</v>
      </c>
      <c r="GF19" s="148" t="s">
        <v>45</v>
      </c>
      <c r="GG19" s="149">
        <v>1</v>
      </c>
      <c r="GH19" s="161"/>
      <c r="GI19" s="148" t="s">
        <v>14</v>
      </c>
      <c r="GJ19" s="148" t="s">
        <v>14</v>
      </c>
      <c r="GK19" s="170">
        <f ca="1">SETTINGS!$I$6</f>
        <v>1.7100000000000001E-2</v>
      </c>
      <c r="GL19" s="148" t="s">
        <v>12</v>
      </c>
      <c r="GM19" s="188">
        <f t="shared" ca="1" si="14"/>
        <v>260.66732023507109</v>
      </c>
      <c r="GN19" s="129">
        <f ca="1">_xll.meLWOBondLastCouponDate('AUD-BONDS'!D17,Settings.COB)</f>
        <v>44027</v>
      </c>
      <c r="GO19" s="129">
        <f ca="1">'AUD-BONDS'!L17</f>
        <v>46037</v>
      </c>
      <c r="GP19" s="167" t="s">
        <v>100</v>
      </c>
      <c r="GQ19" s="130" t="s">
        <v>101</v>
      </c>
      <c r="GR19" s="164" t="s">
        <v>82</v>
      </c>
      <c r="GS19" s="164" t="s">
        <v>65</v>
      </c>
      <c r="GT19" s="164" t="s">
        <v>82</v>
      </c>
      <c r="GU19" s="164" t="s">
        <v>65</v>
      </c>
      <c r="GV19" s="164" t="s">
        <v>82</v>
      </c>
      <c r="GW19" s="164" t="s">
        <v>65</v>
      </c>
      <c r="GX19" s="148"/>
      <c r="GY19" s="148"/>
      <c r="GZ19" s="148" t="s">
        <v>33</v>
      </c>
      <c r="HA19" s="148" t="s">
        <v>35</v>
      </c>
      <c r="HB19" s="148"/>
      <c r="HC19" s="148" t="s">
        <v>35</v>
      </c>
      <c r="HD19" s="148" t="s">
        <v>39</v>
      </c>
      <c r="HE19" s="37" t="s">
        <v>264</v>
      </c>
      <c r="HF19" s="209" t="str">
        <f ca="1"/>
        <v>#Error: No range or empty range specified</v>
      </c>
      <c r="HG19" s="210" t="str">
        <f ca="1"/>
        <v>#Error: No range or empty range specified</v>
      </c>
      <c r="HH19" s="211" t="str">
        <f ca="1"/>
        <v>#Error: No range or empty range specified</v>
      </c>
      <c r="HI19" s="211" t="str">
        <f ca="1"/>
        <v>#Error: No range or empty range specified</v>
      </c>
      <c r="HJ19" s="210" t="str">
        <f ca="1"/>
        <v>#Error: No range or empty range specified</v>
      </c>
      <c r="HK19" s="216" t="str">
        <f ca="1"/>
        <v>#Error: No range or empty range specified</v>
      </c>
      <c r="HL19" s="216" t="str">
        <f ca="1"/>
        <v>#Error: No range or empty range specified</v>
      </c>
      <c r="HM19" s="211" t="str">
        <f ca="1"/>
        <v>#Error: No range or empty range specified</v>
      </c>
      <c r="HN19" s="220" t="str">
        <f ca="1"/>
        <v>#Error: No range or empty range specified</v>
      </c>
      <c r="HO19" s="216" t="str">
        <f ca="1"/>
        <v>#Error: No range or empty range specified</v>
      </c>
      <c r="HP19" s="222" t="str">
        <f ca="1"/>
        <v>#Error: No range or empty range specified</v>
      </c>
      <c r="HQ19" s="224" t="str">
        <f ca="1"/>
        <v>#Error: No range or empty range specified</v>
      </c>
    </row>
    <row r="20" spans="1:225">
      <c r="A20" s="110">
        <f t="shared" ca="1" si="6"/>
        <v>13</v>
      </c>
      <c r="B20" s="123" t="str">
        <f ca="1">'USD-BONDS'!F18</f>
        <v>ISIN12</v>
      </c>
      <c r="C20" s="206">
        <f ca="1">'USD-BONDS'!B18</f>
        <v>100</v>
      </c>
      <c r="D20" s="124" t="str">
        <f ca="1">_xll.meLWOSwapCreate($D$7&amp;"_"&amp;B20,_xll.meUtilityLVBFromKeysAndMultipleValues($G$7:$AL$7,G20:AL20,AN20:BS20))</f>
        <v>USD_ASW_ISIN12@164:6</v>
      </c>
      <c r="E20" s="270">
        <f ca="1">_xll.meLWOAssetSwapSpread(D20,'USD-BONDS'!D18,C20,$J$4:$K$5)</f>
        <v>285.35446266608909</v>
      </c>
      <c r="F20" s="110">
        <f t="shared" ca="1" si="7"/>
        <v>13</v>
      </c>
      <c r="G20" s="59" t="s">
        <v>263</v>
      </c>
      <c r="H20" s="147">
        <v>1000000</v>
      </c>
      <c r="I20" s="148" t="s">
        <v>44</v>
      </c>
      <c r="J20" s="148" t="s">
        <v>96</v>
      </c>
      <c r="K20" s="148"/>
      <c r="L20" s="148" t="s">
        <v>46</v>
      </c>
      <c r="M20" s="148" t="s">
        <v>9</v>
      </c>
      <c r="N20" s="149">
        <v>1</v>
      </c>
      <c r="O20" s="135">
        <f ca="1">'USD-BONDS'!M18</f>
        <v>3.2000000000000001E-2</v>
      </c>
      <c r="P20" s="148"/>
      <c r="Q20" s="148"/>
      <c r="R20" s="155"/>
      <c r="S20" s="148" t="s">
        <v>12</v>
      </c>
      <c r="T20" s="149"/>
      <c r="U20" s="129">
        <f ca="1">_xll.meLWOBondLastCouponDate('USD-BONDS'!D18,Settings.COB)</f>
        <v>43916</v>
      </c>
      <c r="V20" s="129">
        <f ca="1">'USD-BONDS'!L18</f>
        <v>45742</v>
      </c>
      <c r="W20" s="167" t="str">
        <f ca="1">'USD-BONDS'!O18</f>
        <v>SEMI-ANNUAL</v>
      </c>
      <c r="X20" s="130" t="str">
        <f ca="1">'USD-BONDS'!N18</f>
        <v>30E/360</v>
      </c>
      <c r="Y20" s="148" t="s">
        <v>82</v>
      </c>
      <c r="Z20" s="148" t="s">
        <v>68</v>
      </c>
      <c r="AA20" s="148" t="s">
        <v>82</v>
      </c>
      <c r="AB20" s="148" t="s">
        <v>68</v>
      </c>
      <c r="AC20" s="148" t="s">
        <v>82</v>
      </c>
      <c r="AD20" s="148" t="s">
        <v>68</v>
      </c>
      <c r="AE20" s="148"/>
      <c r="AF20" s="148"/>
      <c r="AG20" s="148" t="s">
        <v>33</v>
      </c>
      <c r="AH20" s="148"/>
      <c r="AI20" s="148"/>
      <c r="AJ20" s="148" t="s">
        <v>35</v>
      </c>
      <c r="AK20" s="262" t="s">
        <v>267</v>
      </c>
      <c r="AL20" s="158" t="s">
        <v>39</v>
      </c>
      <c r="AM20" s="110">
        <f t="shared" ca="1" si="8"/>
        <v>13</v>
      </c>
      <c r="AN20" s="59" t="s">
        <v>67</v>
      </c>
      <c r="AO20" s="147">
        <v>1000000</v>
      </c>
      <c r="AP20" s="148" t="s">
        <v>44</v>
      </c>
      <c r="AQ20" s="148" t="s">
        <v>99</v>
      </c>
      <c r="AR20" s="167" t="s">
        <v>102</v>
      </c>
      <c r="AS20" s="148" t="s">
        <v>46</v>
      </c>
      <c r="AT20" s="148" t="s">
        <v>9</v>
      </c>
      <c r="AU20" s="149">
        <v>1</v>
      </c>
      <c r="AV20" s="161"/>
      <c r="AW20" s="148" t="s">
        <v>14</v>
      </c>
      <c r="AX20" s="148" t="s">
        <v>14</v>
      </c>
      <c r="AY20" s="170">
        <f ca="1">SETTINGS!$F$6</f>
        <v>1.2955599999999999E-2</v>
      </c>
      <c r="AZ20" s="148" t="s">
        <v>12</v>
      </c>
      <c r="BA20" s="149">
        <v>0</v>
      </c>
      <c r="BB20" s="129">
        <f ca="1">_xll.meLWOBondLastCouponDate('USD-BONDS'!D18,Settings.COB)</f>
        <v>43916</v>
      </c>
      <c r="BC20" s="129">
        <f ca="1">'USD-BONDS'!L18</f>
        <v>45742</v>
      </c>
      <c r="BD20" s="167" t="s">
        <v>100</v>
      </c>
      <c r="BE20" s="130" t="s">
        <v>101</v>
      </c>
      <c r="BF20" s="164" t="s">
        <v>82</v>
      </c>
      <c r="BG20" s="164" t="s">
        <v>68</v>
      </c>
      <c r="BH20" s="164" t="s">
        <v>82</v>
      </c>
      <c r="BI20" s="164" t="s">
        <v>68</v>
      </c>
      <c r="BJ20" s="164" t="s">
        <v>82</v>
      </c>
      <c r="BK20" s="164" t="s">
        <v>68</v>
      </c>
      <c r="BL20" s="148"/>
      <c r="BM20" s="148"/>
      <c r="BN20" s="148" t="s">
        <v>33</v>
      </c>
      <c r="BO20" s="148" t="s">
        <v>35</v>
      </c>
      <c r="BP20" s="148"/>
      <c r="BQ20" s="148" t="s">
        <v>35</v>
      </c>
      <c r="BR20" s="148"/>
      <c r="BS20" s="158" t="s">
        <v>39</v>
      </c>
      <c r="BT20" s="110">
        <f t="shared" ca="1" si="9"/>
        <v>13</v>
      </c>
      <c r="BU20" s="174" t="str">
        <f ca="1">_xll.meLWOXccySwapCreate($BU$7&amp;"_"&amp;B20,_xll.meUtilityLVBFromKeysAndMultipleValues($BX$7:$DB$7,BX20:DB20,DD20:EH20),$CC$2:$CD$5)</f>
        <v>XCCY_SWAP_ISIN12@192:6</v>
      </c>
      <c r="BV20" s="175">
        <f ca="1">_xll.meLWOXccySwapParSpread(BU20,$BZ$2:$CA$6,,$BZ$3)</f>
        <v>260.66732023507109</v>
      </c>
      <c r="BW20" s="110">
        <f t="shared" ca="1" si="0"/>
        <v>14</v>
      </c>
      <c r="BX20" s="59" t="s">
        <v>97</v>
      </c>
      <c r="BY20" s="147">
        <v>1000000</v>
      </c>
      <c r="BZ20" s="148" t="s">
        <v>71</v>
      </c>
      <c r="CA20" s="148" t="s">
        <v>96</v>
      </c>
      <c r="CB20" s="136" t="s">
        <v>102</v>
      </c>
      <c r="CC20" s="148" t="s">
        <v>46</v>
      </c>
      <c r="CD20" s="148" t="s">
        <v>9</v>
      </c>
      <c r="CE20" s="149">
        <v>1</v>
      </c>
      <c r="CF20" s="148"/>
      <c r="CG20" s="148" t="s">
        <v>14</v>
      </c>
      <c r="CH20" s="148" t="s">
        <v>14</v>
      </c>
      <c r="CI20" s="170">
        <f ca="1">SETTINGS!$F$6</f>
        <v>1.2955599999999999E-2</v>
      </c>
      <c r="CJ20" s="148" t="s">
        <v>12</v>
      </c>
      <c r="CK20" s="178">
        <f t="shared" ca="1" si="1"/>
        <v>285.35446266608909</v>
      </c>
      <c r="CL20" s="129">
        <f ca="1">_xll.meLWOBondLastCouponDate('USD-BONDS'!D18,Settings.COB)</f>
        <v>43916</v>
      </c>
      <c r="CM20" s="129">
        <f ca="1">'USD-BONDS'!L18</f>
        <v>45742</v>
      </c>
      <c r="CN20" s="167" t="s">
        <v>100</v>
      </c>
      <c r="CO20" s="167" t="s">
        <v>101</v>
      </c>
      <c r="CP20" s="148" t="s">
        <v>82</v>
      </c>
      <c r="CQ20" s="148" t="s">
        <v>68</v>
      </c>
      <c r="CR20" s="148" t="s">
        <v>82</v>
      </c>
      <c r="CS20" s="148" t="s">
        <v>68</v>
      </c>
      <c r="CT20" s="148" t="s">
        <v>82</v>
      </c>
      <c r="CU20" s="148" t="s">
        <v>68</v>
      </c>
      <c r="CV20" s="148"/>
      <c r="CW20" s="148"/>
      <c r="CX20" s="148" t="s">
        <v>33</v>
      </c>
      <c r="CY20" s="148" t="s">
        <v>35</v>
      </c>
      <c r="CZ20" s="148"/>
      <c r="DA20" s="148" t="s">
        <v>35</v>
      </c>
      <c r="DB20" s="158" t="s">
        <v>39</v>
      </c>
      <c r="DC20" s="110">
        <f t="shared" ca="1" si="2"/>
        <v>14</v>
      </c>
      <c r="DD20" s="59" t="s">
        <v>67</v>
      </c>
      <c r="DE20" s="182">
        <f t="shared" ca="1" si="3"/>
        <v>1333333.3333333333</v>
      </c>
      <c r="DF20" s="148" t="s">
        <v>71</v>
      </c>
      <c r="DG20" s="148" t="s">
        <v>99</v>
      </c>
      <c r="DH20" s="183" t="s">
        <v>66</v>
      </c>
      <c r="DI20" s="148" t="s">
        <v>105</v>
      </c>
      <c r="DJ20" s="148" t="s">
        <v>45</v>
      </c>
      <c r="DK20" s="149">
        <v>1</v>
      </c>
      <c r="DL20" s="148"/>
      <c r="DM20" s="148" t="s">
        <v>14</v>
      </c>
      <c r="DN20" s="148" t="s">
        <v>14</v>
      </c>
      <c r="DO20" s="170">
        <f ca="1">SETTINGS!$I$6</f>
        <v>1.7100000000000001E-2</v>
      </c>
      <c r="DP20" s="148" t="s">
        <v>12</v>
      </c>
      <c r="DQ20" s="149">
        <v>0</v>
      </c>
      <c r="DR20" s="129">
        <f ca="1">_xll.meLWOBondLastCouponDate('AUD-BONDS'!D18,Settings.COB)</f>
        <v>44027</v>
      </c>
      <c r="DS20" s="129">
        <f ca="1">'AUD-BONDS'!L18</f>
        <v>46037</v>
      </c>
      <c r="DT20" s="90" t="s">
        <v>100</v>
      </c>
      <c r="DU20" s="90" t="s">
        <v>103</v>
      </c>
      <c r="DV20" s="148" t="s">
        <v>82</v>
      </c>
      <c r="DW20" s="148" t="s">
        <v>65</v>
      </c>
      <c r="DX20" s="148" t="s">
        <v>82</v>
      </c>
      <c r="DY20" s="148" t="s">
        <v>65</v>
      </c>
      <c r="DZ20" s="148" t="s">
        <v>82</v>
      </c>
      <c r="EA20" s="148" t="s">
        <v>65</v>
      </c>
      <c r="EB20" s="148"/>
      <c r="EC20" s="148"/>
      <c r="ED20" s="148" t="s">
        <v>33</v>
      </c>
      <c r="EE20" s="148" t="s">
        <v>35</v>
      </c>
      <c r="EF20" s="148"/>
      <c r="EG20" s="148" t="s">
        <v>35</v>
      </c>
      <c r="EH20" s="158" t="s">
        <v>39</v>
      </c>
      <c r="EI20" s="110">
        <f t="shared" ca="1" si="10"/>
        <v>13</v>
      </c>
      <c r="EJ20" s="123" t="str">
        <f ca="1">'AUD-BONDS'!F18</f>
        <v>ISIN12</v>
      </c>
      <c r="EK20" s="124" t="str">
        <f ca="1">_xll.meLWOSwapCreate($EK$7&amp;"_"&amp;EJ20,_xll.meUtilityLVBFromKeysAndMultipleValues($ET$7:$FX$7,ET20:FX20,FZ20:HD20))</f>
        <v>#Error: Missing key 'CALCULATIONTYPE'. This key is mandatory and must be included in the Label Value Block , 'scheduleLVB'.</v>
      </c>
      <c r="EL20" s="191" t="str">
        <f ca="1">_xll.meLWOAssetSwapSpreadToCleanPrice($EK20,$EK$4,$BV20,$EW$4)</f>
        <v>#Error: Swap #ERROR does not exist</v>
      </c>
      <c r="EM20" s="110">
        <f t="shared" ref="EM20" ca="1" si="24">EM19+1</f>
        <v>13</v>
      </c>
      <c r="EN20" s="197" t="str">
        <f ca="1">_xll.meLWOBondYield('AUD-BONDS'!D18,$EK$4,$EL20)</f>
        <v>#Error: Invalid input, numerical input required</v>
      </c>
      <c r="EO20" s="190" t="str">
        <f ca="1">_xll.meLWOBondCleanPrice('AUD-BONDS'!$D18,$EK$4,$EN20)</f>
        <v>#Error: Invalid Vector Data:  Input Contains Errors</v>
      </c>
      <c r="EP20" s="190" t="str">
        <f ca="1">_xll.meLWOBondDirtyPrice('AUD-BONDS'!$D18,$EK$4,$EN20)</f>
        <v>#Error: Invalid Vector Data:  Input Contains Errors</v>
      </c>
      <c r="EQ20" s="192">
        <f ca="1">_xll.meLWOBondAccruedInterest('AUD-BONDS'!$D18,'AUD-URIDASHI-PX'!$EK$4)</f>
        <v>4250</v>
      </c>
      <c r="ER20" s="198">
        <f ca="1">_xll.meLWOBondAccruedInterestDays('AUD-BONDS'!$D18,'AUD-URIDASHI-PX'!$EK$4)</f>
        <v>39</v>
      </c>
      <c r="ES20" s="110">
        <f t="shared" ca="1" si="12"/>
        <v>13</v>
      </c>
      <c r="ET20" s="59" t="s">
        <v>263</v>
      </c>
      <c r="EU20" s="182">
        <f t="shared" ca="1" si="4"/>
        <v>1333333.3333333333</v>
      </c>
      <c r="EV20" s="148" t="s">
        <v>44</v>
      </c>
      <c r="EW20" s="148" t="s">
        <v>96</v>
      </c>
      <c r="EX20" s="148"/>
      <c r="EY20" s="148" t="s">
        <v>50</v>
      </c>
      <c r="EZ20" s="148" t="s">
        <v>45</v>
      </c>
      <c r="FA20" s="149">
        <v>1</v>
      </c>
      <c r="FB20" s="135">
        <f ca="1">'AUD-BONDS'!M18</f>
        <v>3.9199999999999999E-2</v>
      </c>
      <c r="FC20" s="148"/>
      <c r="FD20" s="148"/>
      <c r="FE20" s="155"/>
      <c r="FF20" s="148" t="s">
        <v>12</v>
      </c>
      <c r="FG20" s="149"/>
      <c r="FH20" s="129">
        <f ca="1">_xll.meLWOBondLastCouponDate('AUD-BONDS'!D18,Settings.COB)</f>
        <v>44027</v>
      </c>
      <c r="FI20" s="129">
        <f ca="1">'AUD-BONDS'!L18</f>
        <v>46037</v>
      </c>
      <c r="FJ20" s="167" t="str">
        <f ca="1">'AUD-BONDS'!O18</f>
        <v>SEMI-ANNUAL</v>
      </c>
      <c r="FK20" s="130" t="str">
        <f ca="1">'AUD-BONDS'!N18</f>
        <v>30E/360</v>
      </c>
      <c r="FL20" s="148" t="s">
        <v>82</v>
      </c>
      <c r="FM20" s="148" t="s">
        <v>68</v>
      </c>
      <c r="FN20" s="148" t="s">
        <v>82</v>
      </c>
      <c r="FO20" s="148" t="s">
        <v>68</v>
      </c>
      <c r="FP20" s="148" t="s">
        <v>82</v>
      </c>
      <c r="FQ20" s="148" t="s">
        <v>68</v>
      </c>
      <c r="FR20" s="148"/>
      <c r="FS20" s="148"/>
      <c r="FT20" s="148" t="s">
        <v>33</v>
      </c>
      <c r="FU20" s="148"/>
      <c r="FV20" s="148"/>
      <c r="FW20" s="148" t="s">
        <v>35</v>
      </c>
      <c r="FX20" s="148" t="s">
        <v>39</v>
      </c>
      <c r="FY20" s="110">
        <f t="shared" ca="1" si="13"/>
        <v>13</v>
      </c>
      <c r="FZ20" s="59" t="s">
        <v>67</v>
      </c>
      <c r="GA20" s="182">
        <f t="shared" ca="1" si="5"/>
        <v>1333333.3333333333</v>
      </c>
      <c r="GB20" s="148" t="s">
        <v>44</v>
      </c>
      <c r="GC20" s="148" t="s">
        <v>99</v>
      </c>
      <c r="GD20" s="167" t="s">
        <v>66</v>
      </c>
      <c r="GE20" s="148" t="s">
        <v>50</v>
      </c>
      <c r="GF20" s="148" t="s">
        <v>45</v>
      </c>
      <c r="GG20" s="149">
        <v>1</v>
      </c>
      <c r="GH20" s="161"/>
      <c r="GI20" s="148" t="s">
        <v>14</v>
      </c>
      <c r="GJ20" s="148" t="s">
        <v>14</v>
      </c>
      <c r="GK20" s="170">
        <f ca="1">SETTINGS!$I$6</f>
        <v>1.7100000000000001E-2</v>
      </c>
      <c r="GL20" s="148" t="s">
        <v>12</v>
      </c>
      <c r="GM20" s="188">
        <f t="shared" ca="1" si="14"/>
        <v>260.66732023507109</v>
      </c>
      <c r="GN20" s="129">
        <f ca="1">_xll.meLWOBondLastCouponDate('AUD-BONDS'!D18,Settings.COB)</f>
        <v>44027</v>
      </c>
      <c r="GO20" s="129">
        <f ca="1">'AUD-BONDS'!L18</f>
        <v>46037</v>
      </c>
      <c r="GP20" s="167" t="s">
        <v>100</v>
      </c>
      <c r="GQ20" s="130" t="s">
        <v>101</v>
      </c>
      <c r="GR20" s="164" t="s">
        <v>82</v>
      </c>
      <c r="GS20" s="164" t="s">
        <v>65</v>
      </c>
      <c r="GT20" s="164" t="s">
        <v>82</v>
      </c>
      <c r="GU20" s="164" t="s">
        <v>65</v>
      </c>
      <c r="GV20" s="164" t="s">
        <v>82</v>
      </c>
      <c r="GW20" s="164" t="s">
        <v>65</v>
      </c>
      <c r="GX20" s="148"/>
      <c r="GY20" s="148"/>
      <c r="GZ20" s="148" t="s">
        <v>33</v>
      </c>
      <c r="HA20" s="148" t="s">
        <v>35</v>
      </c>
      <c r="HB20" s="148"/>
      <c r="HC20" s="148" t="s">
        <v>35</v>
      </c>
      <c r="HD20" s="148" t="s">
        <v>39</v>
      </c>
      <c r="HE20" s="37" t="s">
        <v>264</v>
      </c>
      <c r="HF20" s="209" t="str">
        <f ca="1"/>
        <v>#Error: No range or empty range specified</v>
      </c>
      <c r="HG20" s="210" t="str">
        <f ca="1"/>
        <v>#Error: No range or empty range specified</v>
      </c>
      <c r="HH20" s="211" t="str">
        <f ca="1"/>
        <v>#Error: No range or empty range specified</v>
      </c>
      <c r="HI20" s="211" t="str">
        <f ca="1"/>
        <v>#Error: No range or empty range specified</v>
      </c>
      <c r="HJ20" s="210" t="str">
        <f ca="1"/>
        <v>#Error: No range or empty range specified</v>
      </c>
      <c r="HK20" s="216" t="str">
        <f ca="1"/>
        <v>#Error: No range or empty range specified</v>
      </c>
      <c r="HL20" s="216" t="str">
        <f ca="1"/>
        <v>#Error: No range or empty range specified</v>
      </c>
      <c r="HM20" s="211" t="str">
        <f ca="1"/>
        <v>#Error: No range or empty range specified</v>
      </c>
      <c r="HN20" s="220" t="str">
        <f ca="1"/>
        <v>#Error: No range or empty range specified</v>
      </c>
      <c r="HO20" s="216" t="str">
        <f ca="1"/>
        <v>#Error: No range or empty range specified</v>
      </c>
      <c r="HP20" s="222" t="str">
        <f ca="1"/>
        <v>#Error: No range or empty range specified</v>
      </c>
      <c r="HQ20" s="224" t="str">
        <f ca="1"/>
        <v>#Error: No range or empty range specified</v>
      </c>
    </row>
    <row r="21" spans="1:225">
      <c r="A21" s="110">
        <f t="shared" ca="1" si="6"/>
        <v>14</v>
      </c>
      <c r="B21" s="123" t="str">
        <f ca="1">'USD-BONDS'!F19</f>
        <v>ISIN13</v>
      </c>
      <c r="C21" s="206">
        <f ca="1">'USD-BONDS'!B19</f>
        <v>100</v>
      </c>
      <c r="D21" s="124" t="str">
        <f ca="1">_xll.meLWOSwapCreate($D$7&amp;"_"&amp;B21,_xll.meUtilityLVBFromKeysAndMultipleValues($G$7:$AL$7,G21:AL21,AN21:BS21))</f>
        <v>USD_ASW_ISIN13@162:6</v>
      </c>
      <c r="E21" s="270">
        <f ca="1">_xll.meLWOAssetSwapSpread(D21,'USD-BONDS'!D19,C21,$J$4:$K$5)</f>
        <v>285.35446266608909</v>
      </c>
      <c r="F21" s="110">
        <f t="shared" ca="1" si="7"/>
        <v>14</v>
      </c>
      <c r="G21" s="59" t="s">
        <v>263</v>
      </c>
      <c r="H21" s="147">
        <v>1000000</v>
      </c>
      <c r="I21" s="148" t="s">
        <v>44</v>
      </c>
      <c r="J21" s="148" t="s">
        <v>96</v>
      </c>
      <c r="K21" s="148"/>
      <c r="L21" s="148" t="s">
        <v>46</v>
      </c>
      <c r="M21" s="148" t="s">
        <v>9</v>
      </c>
      <c r="N21" s="149">
        <v>1</v>
      </c>
      <c r="O21" s="135">
        <f ca="1">'USD-BONDS'!M19</f>
        <v>3.2000000000000001E-2</v>
      </c>
      <c r="P21" s="148"/>
      <c r="Q21" s="148"/>
      <c r="R21" s="155"/>
      <c r="S21" s="148" t="s">
        <v>12</v>
      </c>
      <c r="T21" s="149"/>
      <c r="U21" s="129">
        <f ca="1">_xll.meLWOBondLastCouponDate('USD-BONDS'!D19,Settings.COB)</f>
        <v>43916</v>
      </c>
      <c r="V21" s="129">
        <f ca="1">'USD-BONDS'!L19</f>
        <v>45742</v>
      </c>
      <c r="W21" s="167" t="str">
        <f ca="1">'USD-BONDS'!O19</f>
        <v>SEMI-ANNUAL</v>
      </c>
      <c r="X21" s="130" t="str">
        <f ca="1">'USD-BONDS'!N19</f>
        <v>30E/360</v>
      </c>
      <c r="Y21" s="148" t="s">
        <v>82</v>
      </c>
      <c r="Z21" s="148" t="s">
        <v>68</v>
      </c>
      <c r="AA21" s="148" t="s">
        <v>82</v>
      </c>
      <c r="AB21" s="148" t="s">
        <v>68</v>
      </c>
      <c r="AC21" s="148" t="s">
        <v>82</v>
      </c>
      <c r="AD21" s="148" t="s">
        <v>68</v>
      </c>
      <c r="AE21" s="148"/>
      <c r="AF21" s="148"/>
      <c r="AG21" s="148" t="s">
        <v>33</v>
      </c>
      <c r="AH21" s="148"/>
      <c r="AI21" s="148"/>
      <c r="AJ21" s="148" t="s">
        <v>35</v>
      </c>
      <c r="AK21" s="262" t="s">
        <v>267</v>
      </c>
      <c r="AL21" s="158" t="s">
        <v>39</v>
      </c>
      <c r="AM21" s="110">
        <f t="shared" ca="1" si="8"/>
        <v>14</v>
      </c>
      <c r="AN21" s="59" t="s">
        <v>67</v>
      </c>
      <c r="AO21" s="147">
        <v>1000000</v>
      </c>
      <c r="AP21" s="148" t="s">
        <v>44</v>
      </c>
      <c r="AQ21" s="148" t="s">
        <v>99</v>
      </c>
      <c r="AR21" s="167" t="s">
        <v>102</v>
      </c>
      <c r="AS21" s="148" t="s">
        <v>46</v>
      </c>
      <c r="AT21" s="148" t="s">
        <v>9</v>
      </c>
      <c r="AU21" s="149">
        <v>1</v>
      </c>
      <c r="AV21" s="161"/>
      <c r="AW21" s="148" t="s">
        <v>14</v>
      </c>
      <c r="AX21" s="148" t="s">
        <v>14</v>
      </c>
      <c r="AY21" s="170">
        <f ca="1">SETTINGS!$F$6</f>
        <v>1.2955599999999999E-2</v>
      </c>
      <c r="AZ21" s="148" t="s">
        <v>12</v>
      </c>
      <c r="BA21" s="149">
        <v>0</v>
      </c>
      <c r="BB21" s="129">
        <f ca="1">_xll.meLWOBondLastCouponDate('USD-BONDS'!D19,Settings.COB)</f>
        <v>43916</v>
      </c>
      <c r="BC21" s="129">
        <f ca="1">'USD-BONDS'!L19</f>
        <v>45742</v>
      </c>
      <c r="BD21" s="167" t="s">
        <v>100</v>
      </c>
      <c r="BE21" s="130" t="s">
        <v>101</v>
      </c>
      <c r="BF21" s="164" t="s">
        <v>82</v>
      </c>
      <c r="BG21" s="164" t="s">
        <v>68</v>
      </c>
      <c r="BH21" s="164" t="s">
        <v>82</v>
      </c>
      <c r="BI21" s="164" t="s">
        <v>68</v>
      </c>
      <c r="BJ21" s="164" t="s">
        <v>82</v>
      </c>
      <c r="BK21" s="164" t="s">
        <v>68</v>
      </c>
      <c r="BL21" s="148"/>
      <c r="BM21" s="148"/>
      <c r="BN21" s="148" t="s">
        <v>33</v>
      </c>
      <c r="BO21" s="148" t="s">
        <v>35</v>
      </c>
      <c r="BP21" s="148"/>
      <c r="BQ21" s="148" t="s">
        <v>35</v>
      </c>
      <c r="BR21" s="148"/>
      <c r="BS21" s="158" t="s">
        <v>39</v>
      </c>
      <c r="BT21" s="110">
        <f t="shared" ca="1" si="9"/>
        <v>14</v>
      </c>
      <c r="BU21" s="174" t="str">
        <f ca="1">_xll.meLWOXccySwapCreate($BU$7&amp;"_"&amp;B21,_xll.meUtilityLVBFromKeysAndMultipleValues($BX$7:$DB$7,BX21:DB21,DD21:EH21),$CC$2:$CD$5)</f>
        <v>XCCY_SWAP_ISIN13@197:6</v>
      </c>
      <c r="BV21" s="175">
        <f ca="1">_xll.meLWOXccySwapParSpread(BU21,$BZ$2:$CA$6,,$BZ$3)</f>
        <v>260.66732023507109</v>
      </c>
      <c r="BW21" s="110">
        <f t="shared" ca="1" si="0"/>
        <v>15</v>
      </c>
      <c r="BX21" s="59" t="s">
        <v>97</v>
      </c>
      <c r="BY21" s="147">
        <v>1000000</v>
      </c>
      <c r="BZ21" s="148" t="s">
        <v>71</v>
      </c>
      <c r="CA21" s="148" t="s">
        <v>96</v>
      </c>
      <c r="CB21" s="136" t="s">
        <v>102</v>
      </c>
      <c r="CC21" s="148" t="s">
        <v>46</v>
      </c>
      <c r="CD21" s="148" t="s">
        <v>9</v>
      </c>
      <c r="CE21" s="149">
        <v>1</v>
      </c>
      <c r="CF21" s="148"/>
      <c r="CG21" s="148" t="s">
        <v>14</v>
      </c>
      <c r="CH21" s="148" t="s">
        <v>14</v>
      </c>
      <c r="CI21" s="170">
        <f ca="1">SETTINGS!$F$6</f>
        <v>1.2955599999999999E-2</v>
      </c>
      <c r="CJ21" s="148" t="s">
        <v>12</v>
      </c>
      <c r="CK21" s="178">
        <f t="shared" ca="1" si="1"/>
        <v>285.35446266608909</v>
      </c>
      <c r="CL21" s="129">
        <f ca="1">_xll.meLWOBondLastCouponDate('USD-BONDS'!D19,Settings.COB)</f>
        <v>43916</v>
      </c>
      <c r="CM21" s="129">
        <f ca="1">'USD-BONDS'!L19</f>
        <v>45742</v>
      </c>
      <c r="CN21" s="167" t="s">
        <v>100</v>
      </c>
      <c r="CO21" s="167" t="s">
        <v>101</v>
      </c>
      <c r="CP21" s="148" t="s">
        <v>82</v>
      </c>
      <c r="CQ21" s="148" t="s">
        <v>68</v>
      </c>
      <c r="CR21" s="148" t="s">
        <v>82</v>
      </c>
      <c r="CS21" s="148" t="s">
        <v>68</v>
      </c>
      <c r="CT21" s="148" t="s">
        <v>82</v>
      </c>
      <c r="CU21" s="148" t="s">
        <v>68</v>
      </c>
      <c r="CV21" s="148"/>
      <c r="CW21" s="148"/>
      <c r="CX21" s="148" t="s">
        <v>33</v>
      </c>
      <c r="CY21" s="148" t="s">
        <v>35</v>
      </c>
      <c r="CZ21" s="148"/>
      <c r="DA21" s="148" t="s">
        <v>35</v>
      </c>
      <c r="DB21" s="158" t="s">
        <v>39</v>
      </c>
      <c r="DC21" s="110">
        <f t="shared" ca="1" si="2"/>
        <v>15</v>
      </c>
      <c r="DD21" s="59" t="s">
        <v>67</v>
      </c>
      <c r="DE21" s="182">
        <f t="shared" ca="1" si="3"/>
        <v>1333333.3333333333</v>
      </c>
      <c r="DF21" s="148" t="s">
        <v>71</v>
      </c>
      <c r="DG21" s="148" t="s">
        <v>99</v>
      </c>
      <c r="DH21" s="183" t="s">
        <v>66</v>
      </c>
      <c r="DI21" s="148" t="s">
        <v>105</v>
      </c>
      <c r="DJ21" s="148" t="s">
        <v>45</v>
      </c>
      <c r="DK21" s="149">
        <v>1</v>
      </c>
      <c r="DL21" s="148"/>
      <c r="DM21" s="148" t="s">
        <v>14</v>
      </c>
      <c r="DN21" s="148" t="s">
        <v>14</v>
      </c>
      <c r="DO21" s="170">
        <f ca="1">SETTINGS!$I$6</f>
        <v>1.7100000000000001E-2</v>
      </c>
      <c r="DP21" s="148" t="s">
        <v>12</v>
      </c>
      <c r="DQ21" s="149">
        <v>0</v>
      </c>
      <c r="DR21" s="129">
        <f ca="1">_xll.meLWOBondLastCouponDate('AUD-BONDS'!D19,Settings.COB)</f>
        <v>44027</v>
      </c>
      <c r="DS21" s="129">
        <f ca="1">'AUD-BONDS'!L19</f>
        <v>46037</v>
      </c>
      <c r="DT21" s="90" t="s">
        <v>100</v>
      </c>
      <c r="DU21" s="90" t="s">
        <v>103</v>
      </c>
      <c r="DV21" s="148" t="s">
        <v>82</v>
      </c>
      <c r="DW21" s="148" t="s">
        <v>65</v>
      </c>
      <c r="DX21" s="148" t="s">
        <v>82</v>
      </c>
      <c r="DY21" s="148" t="s">
        <v>65</v>
      </c>
      <c r="DZ21" s="148" t="s">
        <v>82</v>
      </c>
      <c r="EA21" s="148" t="s">
        <v>65</v>
      </c>
      <c r="EB21" s="148"/>
      <c r="EC21" s="148"/>
      <c r="ED21" s="148" t="s">
        <v>33</v>
      </c>
      <c r="EE21" s="148" t="s">
        <v>35</v>
      </c>
      <c r="EF21" s="148"/>
      <c r="EG21" s="148" t="s">
        <v>35</v>
      </c>
      <c r="EH21" s="158" t="s">
        <v>39</v>
      </c>
      <c r="EI21" s="110">
        <f t="shared" ca="1" si="10"/>
        <v>14</v>
      </c>
      <c r="EJ21" s="123" t="str">
        <f ca="1">'AUD-BONDS'!F19</f>
        <v>ISIN13</v>
      </c>
      <c r="EK21" s="124" t="str">
        <f ca="1">_xll.meLWOSwapCreate($EK$7&amp;"_"&amp;EJ21,_xll.meUtilityLVBFromKeysAndMultipleValues($ET$7:$FX$7,ET21:FX21,FZ21:HD21))</f>
        <v>#Error: Missing key 'CALCULATIONTYPE'. This key is mandatory and must be included in the Label Value Block , 'scheduleLVB'.</v>
      </c>
      <c r="EL21" s="191" t="str">
        <f ca="1">_xll.meLWOAssetSwapSpreadToCleanPrice($EK21,$EK$4,$BV21,$EW$4)</f>
        <v>#Error: Swap #ERROR does not exist</v>
      </c>
      <c r="EM21" s="110">
        <f t="shared" ref="EM21" ca="1" si="25">EM20+1</f>
        <v>14</v>
      </c>
      <c r="EN21" s="197" t="str">
        <f ca="1">_xll.meLWOBondYield('AUD-BONDS'!D19,$EK$4,$EL21)</f>
        <v>#Error: Invalid input, numerical input required</v>
      </c>
      <c r="EO21" s="190" t="str">
        <f ca="1">_xll.meLWOBondCleanPrice('AUD-BONDS'!$D19,$EK$4,$EN21)</f>
        <v>#Error: Invalid Vector Data:  Input Contains Errors</v>
      </c>
      <c r="EP21" s="190" t="str">
        <f ca="1">_xll.meLWOBondDirtyPrice('AUD-BONDS'!$D19,$EK$4,$EN21)</f>
        <v>#Error: Invalid Vector Data:  Input Contains Errors</v>
      </c>
      <c r="EQ21" s="192">
        <f ca="1">_xll.meLWOBondAccruedInterest('AUD-BONDS'!$D19,'AUD-URIDASHI-PX'!$EK$4)</f>
        <v>4250</v>
      </c>
      <c r="ER21" s="198">
        <f ca="1">_xll.meLWOBondAccruedInterestDays('AUD-BONDS'!$D19,'AUD-URIDASHI-PX'!$EK$4)</f>
        <v>39</v>
      </c>
      <c r="ES21" s="110">
        <f t="shared" ca="1" si="12"/>
        <v>14</v>
      </c>
      <c r="ET21" s="59" t="s">
        <v>263</v>
      </c>
      <c r="EU21" s="182">
        <f t="shared" ca="1" si="4"/>
        <v>1333333.3333333333</v>
      </c>
      <c r="EV21" s="148" t="s">
        <v>44</v>
      </c>
      <c r="EW21" s="148" t="s">
        <v>96</v>
      </c>
      <c r="EX21" s="148"/>
      <c r="EY21" s="148" t="s">
        <v>50</v>
      </c>
      <c r="EZ21" s="148" t="s">
        <v>45</v>
      </c>
      <c r="FA21" s="149">
        <v>1</v>
      </c>
      <c r="FB21" s="135">
        <f ca="1">'AUD-BONDS'!M19</f>
        <v>3.9199999999999999E-2</v>
      </c>
      <c r="FC21" s="148"/>
      <c r="FD21" s="148"/>
      <c r="FE21" s="155"/>
      <c r="FF21" s="148" t="s">
        <v>12</v>
      </c>
      <c r="FG21" s="149"/>
      <c r="FH21" s="129">
        <f ca="1">_xll.meLWOBondLastCouponDate('AUD-BONDS'!D19,Settings.COB)</f>
        <v>44027</v>
      </c>
      <c r="FI21" s="129">
        <f ca="1">'AUD-BONDS'!L19</f>
        <v>46037</v>
      </c>
      <c r="FJ21" s="167" t="str">
        <f ca="1">'AUD-BONDS'!O19</f>
        <v>SEMI-ANNUAL</v>
      </c>
      <c r="FK21" s="130" t="str">
        <f ca="1">'AUD-BONDS'!N19</f>
        <v>30E/360</v>
      </c>
      <c r="FL21" s="148" t="s">
        <v>82</v>
      </c>
      <c r="FM21" s="148" t="s">
        <v>68</v>
      </c>
      <c r="FN21" s="148" t="s">
        <v>82</v>
      </c>
      <c r="FO21" s="148" t="s">
        <v>68</v>
      </c>
      <c r="FP21" s="148" t="s">
        <v>82</v>
      </c>
      <c r="FQ21" s="148" t="s">
        <v>68</v>
      </c>
      <c r="FR21" s="148"/>
      <c r="FS21" s="148"/>
      <c r="FT21" s="148" t="s">
        <v>33</v>
      </c>
      <c r="FU21" s="148"/>
      <c r="FV21" s="148"/>
      <c r="FW21" s="148" t="s">
        <v>35</v>
      </c>
      <c r="FX21" s="148" t="s">
        <v>39</v>
      </c>
      <c r="FY21" s="110">
        <f t="shared" ca="1" si="13"/>
        <v>14</v>
      </c>
      <c r="FZ21" s="59" t="s">
        <v>67</v>
      </c>
      <c r="GA21" s="182">
        <f t="shared" ca="1" si="5"/>
        <v>1333333.3333333333</v>
      </c>
      <c r="GB21" s="148" t="s">
        <v>44</v>
      </c>
      <c r="GC21" s="148" t="s">
        <v>99</v>
      </c>
      <c r="GD21" s="167" t="s">
        <v>66</v>
      </c>
      <c r="GE21" s="148" t="s">
        <v>50</v>
      </c>
      <c r="GF21" s="148" t="s">
        <v>45</v>
      </c>
      <c r="GG21" s="149">
        <v>1</v>
      </c>
      <c r="GH21" s="161"/>
      <c r="GI21" s="148" t="s">
        <v>14</v>
      </c>
      <c r="GJ21" s="148" t="s">
        <v>14</v>
      </c>
      <c r="GK21" s="170">
        <f ca="1">SETTINGS!$I$6</f>
        <v>1.7100000000000001E-2</v>
      </c>
      <c r="GL21" s="148" t="s">
        <v>12</v>
      </c>
      <c r="GM21" s="188">
        <f t="shared" ca="1" si="14"/>
        <v>260.66732023507109</v>
      </c>
      <c r="GN21" s="129">
        <f ca="1">_xll.meLWOBondLastCouponDate('AUD-BONDS'!D19,Settings.COB)</f>
        <v>44027</v>
      </c>
      <c r="GO21" s="129">
        <f ca="1">'AUD-BONDS'!L19</f>
        <v>46037</v>
      </c>
      <c r="GP21" s="167" t="s">
        <v>100</v>
      </c>
      <c r="GQ21" s="130" t="s">
        <v>101</v>
      </c>
      <c r="GR21" s="164" t="s">
        <v>82</v>
      </c>
      <c r="GS21" s="164" t="s">
        <v>65</v>
      </c>
      <c r="GT21" s="164" t="s">
        <v>82</v>
      </c>
      <c r="GU21" s="164" t="s">
        <v>65</v>
      </c>
      <c r="GV21" s="164" t="s">
        <v>82</v>
      </c>
      <c r="GW21" s="164" t="s">
        <v>65</v>
      </c>
      <c r="GX21" s="148"/>
      <c r="GY21" s="148"/>
      <c r="GZ21" s="148" t="s">
        <v>33</v>
      </c>
      <c r="HA21" s="148" t="s">
        <v>35</v>
      </c>
      <c r="HB21" s="148"/>
      <c r="HC21" s="148" t="s">
        <v>35</v>
      </c>
      <c r="HD21" s="148" t="s">
        <v>39</v>
      </c>
      <c r="HE21" s="37" t="s">
        <v>264</v>
      </c>
      <c r="HF21" s="209" t="str">
        <f ca="1"/>
        <v>#Error: No range or empty range specified</v>
      </c>
      <c r="HG21" s="210" t="str">
        <f ca="1"/>
        <v>#Error: No range or empty range specified</v>
      </c>
      <c r="HH21" s="211" t="str">
        <f ca="1"/>
        <v>#Error: No range or empty range specified</v>
      </c>
      <c r="HI21" s="211" t="str">
        <f ca="1"/>
        <v>#Error: No range or empty range specified</v>
      </c>
      <c r="HJ21" s="210" t="str">
        <f ca="1"/>
        <v>#Error: No range or empty range specified</v>
      </c>
      <c r="HK21" s="216" t="str">
        <f ca="1"/>
        <v>#Error: No range or empty range specified</v>
      </c>
      <c r="HL21" s="216" t="str">
        <f ca="1"/>
        <v>#Error: No range or empty range specified</v>
      </c>
      <c r="HM21" s="211" t="str">
        <f ca="1"/>
        <v>#Error: No range or empty range specified</v>
      </c>
      <c r="HN21" s="220" t="str">
        <f ca="1"/>
        <v>#Error: No range or empty range specified</v>
      </c>
      <c r="HO21" s="216" t="str">
        <f ca="1"/>
        <v>#Error: No range or empty range specified</v>
      </c>
      <c r="HP21" s="222" t="str">
        <f ca="1"/>
        <v>#Error: No range or empty range specified</v>
      </c>
      <c r="HQ21" s="224" t="str">
        <f ca="1"/>
        <v>#Error: No range or empty range specified</v>
      </c>
    </row>
    <row r="22" spans="1:225">
      <c r="A22" s="110">
        <f t="shared" ca="1" si="6"/>
        <v>15</v>
      </c>
      <c r="B22" s="123" t="str">
        <f ca="1">'USD-BONDS'!F20</f>
        <v>ISIN14</v>
      </c>
      <c r="C22" s="206">
        <f ca="1">'USD-BONDS'!B20</f>
        <v>100</v>
      </c>
      <c r="D22" s="124" t="str">
        <f ca="1">_xll.meLWOSwapCreate($D$7&amp;"_"&amp;B22,_xll.meUtilityLVBFromKeysAndMultipleValues($G$7:$AL$7,G22:AL22,AN22:BS22))</f>
        <v>USD_ASW_ISIN14@155:6</v>
      </c>
      <c r="E22" s="270">
        <f ca="1">_xll.meLWOAssetSwapSpread(D22,'USD-BONDS'!D20,C22,$J$4:$K$5)</f>
        <v>285.35446266608909</v>
      </c>
      <c r="F22" s="110">
        <f t="shared" ca="1" si="7"/>
        <v>15</v>
      </c>
      <c r="G22" s="59" t="s">
        <v>263</v>
      </c>
      <c r="H22" s="147">
        <v>1000000</v>
      </c>
      <c r="I22" s="148" t="s">
        <v>44</v>
      </c>
      <c r="J22" s="148" t="s">
        <v>96</v>
      </c>
      <c r="K22" s="148"/>
      <c r="L22" s="148" t="s">
        <v>46</v>
      </c>
      <c r="M22" s="148" t="s">
        <v>9</v>
      </c>
      <c r="N22" s="149">
        <v>1</v>
      </c>
      <c r="O22" s="135">
        <f ca="1">'USD-BONDS'!M20</f>
        <v>3.2000000000000001E-2</v>
      </c>
      <c r="P22" s="148"/>
      <c r="Q22" s="148"/>
      <c r="R22" s="155"/>
      <c r="S22" s="148" t="s">
        <v>12</v>
      </c>
      <c r="T22" s="149"/>
      <c r="U22" s="129">
        <f ca="1">_xll.meLWOBondLastCouponDate('USD-BONDS'!D20,Settings.COB)</f>
        <v>43916</v>
      </c>
      <c r="V22" s="129">
        <f ca="1">'USD-BONDS'!L20</f>
        <v>45742</v>
      </c>
      <c r="W22" s="167" t="str">
        <f ca="1">'USD-BONDS'!O20</f>
        <v>SEMI-ANNUAL</v>
      </c>
      <c r="X22" s="130" t="str">
        <f ca="1">'USD-BONDS'!N20</f>
        <v>30E/360</v>
      </c>
      <c r="Y22" s="148" t="s">
        <v>82</v>
      </c>
      <c r="Z22" s="148" t="s">
        <v>68</v>
      </c>
      <c r="AA22" s="148" t="s">
        <v>82</v>
      </c>
      <c r="AB22" s="148" t="s">
        <v>68</v>
      </c>
      <c r="AC22" s="148" t="s">
        <v>82</v>
      </c>
      <c r="AD22" s="148" t="s">
        <v>68</v>
      </c>
      <c r="AE22" s="148"/>
      <c r="AF22" s="148"/>
      <c r="AG22" s="148" t="s">
        <v>33</v>
      </c>
      <c r="AH22" s="148"/>
      <c r="AI22" s="148"/>
      <c r="AJ22" s="148" t="s">
        <v>35</v>
      </c>
      <c r="AK22" s="262" t="s">
        <v>267</v>
      </c>
      <c r="AL22" s="158" t="s">
        <v>39</v>
      </c>
      <c r="AM22" s="110">
        <f t="shared" ca="1" si="8"/>
        <v>15</v>
      </c>
      <c r="AN22" s="59" t="s">
        <v>67</v>
      </c>
      <c r="AO22" s="147">
        <v>1000000</v>
      </c>
      <c r="AP22" s="148" t="s">
        <v>44</v>
      </c>
      <c r="AQ22" s="148" t="s">
        <v>99</v>
      </c>
      <c r="AR22" s="167" t="s">
        <v>102</v>
      </c>
      <c r="AS22" s="148" t="s">
        <v>46</v>
      </c>
      <c r="AT22" s="148" t="s">
        <v>9</v>
      </c>
      <c r="AU22" s="149">
        <v>1</v>
      </c>
      <c r="AV22" s="161"/>
      <c r="AW22" s="148" t="s">
        <v>14</v>
      </c>
      <c r="AX22" s="148" t="s">
        <v>14</v>
      </c>
      <c r="AY22" s="170">
        <f ca="1">SETTINGS!$F$6</f>
        <v>1.2955599999999999E-2</v>
      </c>
      <c r="AZ22" s="148" t="s">
        <v>12</v>
      </c>
      <c r="BA22" s="149">
        <v>0</v>
      </c>
      <c r="BB22" s="129">
        <f ca="1">_xll.meLWOBondLastCouponDate('USD-BONDS'!D20,Settings.COB)</f>
        <v>43916</v>
      </c>
      <c r="BC22" s="129">
        <f ca="1">'USD-BONDS'!L20</f>
        <v>45742</v>
      </c>
      <c r="BD22" s="167" t="s">
        <v>100</v>
      </c>
      <c r="BE22" s="130" t="s">
        <v>101</v>
      </c>
      <c r="BF22" s="164" t="s">
        <v>82</v>
      </c>
      <c r="BG22" s="164" t="s">
        <v>68</v>
      </c>
      <c r="BH22" s="164" t="s">
        <v>82</v>
      </c>
      <c r="BI22" s="164" t="s">
        <v>68</v>
      </c>
      <c r="BJ22" s="164" t="s">
        <v>82</v>
      </c>
      <c r="BK22" s="164" t="s">
        <v>68</v>
      </c>
      <c r="BL22" s="148"/>
      <c r="BM22" s="148"/>
      <c r="BN22" s="148" t="s">
        <v>33</v>
      </c>
      <c r="BO22" s="148" t="s">
        <v>35</v>
      </c>
      <c r="BP22" s="148"/>
      <c r="BQ22" s="148" t="s">
        <v>35</v>
      </c>
      <c r="BR22" s="148"/>
      <c r="BS22" s="158" t="s">
        <v>39</v>
      </c>
      <c r="BT22" s="110">
        <f t="shared" ca="1" si="9"/>
        <v>15</v>
      </c>
      <c r="BU22" s="174" t="str">
        <f ca="1">_xll.meLWOXccySwapCreate($BU$7&amp;"_"&amp;B22,_xll.meUtilityLVBFromKeysAndMultipleValues($BX$7:$DB$7,BX22:DB22,DD22:EH22),$CC$2:$CD$5)</f>
        <v>XCCY_SWAP_ISIN14@186:6</v>
      </c>
      <c r="BV22" s="175">
        <f ca="1">_xll.meLWOXccySwapParSpread(BU22,$BZ$2:$CA$6,,$BZ$3)</f>
        <v>260.66732023507109</v>
      </c>
      <c r="BW22" s="110">
        <f t="shared" ca="1" si="0"/>
        <v>16</v>
      </c>
      <c r="BX22" s="59" t="s">
        <v>97</v>
      </c>
      <c r="BY22" s="147">
        <v>1000000</v>
      </c>
      <c r="BZ22" s="148" t="s">
        <v>71</v>
      </c>
      <c r="CA22" s="148" t="s">
        <v>96</v>
      </c>
      <c r="CB22" s="136" t="s">
        <v>102</v>
      </c>
      <c r="CC22" s="148" t="s">
        <v>46</v>
      </c>
      <c r="CD22" s="148" t="s">
        <v>9</v>
      </c>
      <c r="CE22" s="149">
        <v>1</v>
      </c>
      <c r="CF22" s="148"/>
      <c r="CG22" s="148" t="s">
        <v>14</v>
      </c>
      <c r="CH22" s="148" t="s">
        <v>14</v>
      </c>
      <c r="CI22" s="170">
        <f ca="1">SETTINGS!$F$6</f>
        <v>1.2955599999999999E-2</v>
      </c>
      <c r="CJ22" s="148" t="s">
        <v>12</v>
      </c>
      <c r="CK22" s="178">
        <f t="shared" ca="1" si="1"/>
        <v>285.35446266608909</v>
      </c>
      <c r="CL22" s="129">
        <f ca="1">_xll.meLWOBondLastCouponDate('USD-BONDS'!D20,Settings.COB)</f>
        <v>43916</v>
      </c>
      <c r="CM22" s="129">
        <f ca="1">'USD-BONDS'!L20</f>
        <v>45742</v>
      </c>
      <c r="CN22" s="167" t="s">
        <v>100</v>
      </c>
      <c r="CO22" s="167" t="s">
        <v>101</v>
      </c>
      <c r="CP22" s="148" t="s">
        <v>82</v>
      </c>
      <c r="CQ22" s="148" t="s">
        <v>68</v>
      </c>
      <c r="CR22" s="148" t="s">
        <v>82</v>
      </c>
      <c r="CS22" s="148" t="s">
        <v>68</v>
      </c>
      <c r="CT22" s="148" t="s">
        <v>82</v>
      </c>
      <c r="CU22" s="148" t="s">
        <v>68</v>
      </c>
      <c r="CV22" s="148"/>
      <c r="CW22" s="148"/>
      <c r="CX22" s="148" t="s">
        <v>33</v>
      </c>
      <c r="CY22" s="148" t="s">
        <v>35</v>
      </c>
      <c r="CZ22" s="148"/>
      <c r="DA22" s="148" t="s">
        <v>35</v>
      </c>
      <c r="DB22" s="158" t="s">
        <v>39</v>
      </c>
      <c r="DC22" s="110">
        <f t="shared" ca="1" si="2"/>
        <v>16</v>
      </c>
      <c r="DD22" s="59" t="s">
        <v>67</v>
      </c>
      <c r="DE22" s="182">
        <f t="shared" ca="1" si="3"/>
        <v>1333333.3333333333</v>
      </c>
      <c r="DF22" s="148" t="s">
        <v>71</v>
      </c>
      <c r="DG22" s="148" t="s">
        <v>99</v>
      </c>
      <c r="DH22" s="183" t="s">
        <v>66</v>
      </c>
      <c r="DI22" s="148" t="s">
        <v>105</v>
      </c>
      <c r="DJ22" s="148" t="s">
        <v>45</v>
      </c>
      <c r="DK22" s="149">
        <v>1</v>
      </c>
      <c r="DL22" s="148"/>
      <c r="DM22" s="148" t="s">
        <v>14</v>
      </c>
      <c r="DN22" s="148" t="s">
        <v>14</v>
      </c>
      <c r="DO22" s="170">
        <f ca="1">SETTINGS!$I$6</f>
        <v>1.7100000000000001E-2</v>
      </c>
      <c r="DP22" s="148" t="s">
        <v>12</v>
      </c>
      <c r="DQ22" s="149">
        <v>0</v>
      </c>
      <c r="DR22" s="129">
        <f ca="1">_xll.meLWOBondLastCouponDate('AUD-BONDS'!D20,Settings.COB)</f>
        <v>44027</v>
      </c>
      <c r="DS22" s="129">
        <f ca="1">'AUD-BONDS'!L20</f>
        <v>46037</v>
      </c>
      <c r="DT22" s="90" t="s">
        <v>100</v>
      </c>
      <c r="DU22" s="90" t="s">
        <v>103</v>
      </c>
      <c r="DV22" s="148" t="s">
        <v>82</v>
      </c>
      <c r="DW22" s="148" t="s">
        <v>65</v>
      </c>
      <c r="DX22" s="148" t="s">
        <v>82</v>
      </c>
      <c r="DY22" s="148" t="s">
        <v>65</v>
      </c>
      <c r="DZ22" s="148" t="s">
        <v>82</v>
      </c>
      <c r="EA22" s="148" t="s">
        <v>65</v>
      </c>
      <c r="EB22" s="148"/>
      <c r="EC22" s="148"/>
      <c r="ED22" s="148" t="s">
        <v>33</v>
      </c>
      <c r="EE22" s="148" t="s">
        <v>35</v>
      </c>
      <c r="EF22" s="148"/>
      <c r="EG22" s="148" t="s">
        <v>35</v>
      </c>
      <c r="EH22" s="158" t="s">
        <v>39</v>
      </c>
      <c r="EI22" s="110">
        <f t="shared" ca="1" si="10"/>
        <v>15</v>
      </c>
      <c r="EJ22" s="123" t="str">
        <f ca="1">'AUD-BONDS'!F20</f>
        <v>ISIN14</v>
      </c>
      <c r="EK22" s="124" t="str">
        <f ca="1">_xll.meLWOSwapCreate($EK$7&amp;"_"&amp;EJ22,_xll.meUtilityLVBFromKeysAndMultipleValues($ET$7:$FX$7,ET22:FX22,FZ22:HD22))</f>
        <v>#Error: Missing key 'CALCULATIONTYPE'. This key is mandatory and must be included in the Label Value Block , 'scheduleLVB'.</v>
      </c>
      <c r="EL22" s="191" t="str">
        <f ca="1">_xll.meLWOAssetSwapSpreadToCleanPrice($EK22,$EK$4,$BV22,$EW$4)</f>
        <v>#Error: Swap #ERROR does not exist</v>
      </c>
      <c r="EM22" s="110">
        <f t="shared" ref="EM22" ca="1" si="26">EM21+1</f>
        <v>15</v>
      </c>
      <c r="EN22" s="197" t="str">
        <f ca="1">_xll.meLWOBondYield('AUD-BONDS'!D20,$EK$4,$EL22)</f>
        <v>#Error: Invalid input, numerical input required</v>
      </c>
      <c r="EO22" s="190" t="str">
        <f ca="1">_xll.meLWOBondCleanPrice('AUD-BONDS'!$D20,$EK$4,$EN22)</f>
        <v>#Error: Invalid Vector Data:  Input Contains Errors</v>
      </c>
      <c r="EP22" s="190" t="str">
        <f ca="1">_xll.meLWOBondDirtyPrice('AUD-BONDS'!$D20,$EK$4,$EN22)</f>
        <v>#Error: Invalid Vector Data:  Input Contains Errors</v>
      </c>
      <c r="EQ22" s="192">
        <f ca="1">_xll.meLWOBondAccruedInterest('AUD-BONDS'!$D20,'AUD-URIDASHI-PX'!$EK$4)</f>
        <v>4250</v>
      </c>
      <c r="ER22" s="198">
        <f ca="1">_xll.meLWOBondAccruedInterestDays('AUD-BONDS'!$D20,'AUD-URIDASHI-PX'!$EK$4)</f>
        <v>39</v>
      </c>
      <c r="ES22" s="110">
        <f t="shared" ca="1" si="12"/>
        <v>15</v>
      </c>
      <c r="ET22" s="59" t="s">
        <v>263</v>
      </c>
      <c r="EU22" s="182">
        <f t="shared" ca="1" si="4"/>
        <v>1333333.3333333333</v>
      </c>
      <c r="EV22" s="148" t="s">
        <v>44</v>
      </c>
      <c r="EW22" s="148" t="s">
        <v>96</v>
      </c>
      <c r="EX22" s="148"/>
      <c r="EY22" s="148" t="s">
        <v>50</v>
      </c>
      <c r="EZ22" s="148" t="s">
        <v>45</v>
      </c>
      <c r="FA22" s="149">
        <v>1</v>
      </c>
      <c r="FB22" s="135">
        <f ca="1">'AUD-BONDS'!M20</f>
        <v>3.9199999999999999E-2</v>
      </c>
      <c r="FC22" s="148"/>
      <c r="FD22" s="148"/>
      <c r="FE22" s="155"/>
      <c r="FF22" s="148" t="s">
        <v>12</v>
      </c>
      <c r="FG22" s="149"/>
      <c r="FH22" s="129">
        <f ca="1">_xll.meLWOBondLastCouponDate('AUD-BONDS'!D20,Settings.COB)</f>
        <v>44027</v>
      </c>
      <c r="FI22" s="129">
        <f ca="1">'AUD-BONDS'!L20</f>
        <v>46037</v>
      </c>
      <c r="FJ22" s="167" t="str">
        <f ca="1">'AUD-BONDS'!O20</f>
        <v>SEMI-ANNUAL</v>
      </c>
      <c r="FK22" s="130" t="str">
        <f ca="1">'AUD-BONDS'!N20</f>
        <v>30E/360</v>
      </c>
      <c r="FL22" s="148" t="s">
        <v>82</v>
      </c>
      <c r="FM22" s="148" t="s">
        <v>68</v>
      </c>
      <c r="FN22" s="148" t="s">
        <v>82</v>
      </c>
      <c r="FO22" s="148" t="s">
        <v>68</v>
      </c>
      <c r="FP22" s="148" t="s">
        <v>82</v>
      </c>
      <c r="FQ22" s="148" t="s">
        <v>68</v>
      </c>
      <c r="FR22" s="148"/>
      <c r="FS22" s="148"/>
      <c r="FT22" s="148" t="s">
        <v>33</v>
      </c>
      <c r="FU22" s="148"/>
      <c r="FV22" s="148"/>
      <c r="FW22" s="148" t="s">
        <v>35</v>
      </c>
      <c r="FX22" s="148" t="s">
        <v>39</v>
      </c>
      <c r="FY22" s="110">
        <f t="shared" ca="1" si="13"/>
        <v>15</v>
      </c>
      <c r="FZ22" s="59" t="s">
        <v>67</v>
      </c>
      <c r="GA22" s="182">
        <f t="shared" ca="1" si="5"/>
        <v>1333333.3333333333</v>
      </c>
      <c r="GB22" s="148" t="s">
        <v>44</v>
      </c>
      <c r="GC22" s="148" t="s">
        <v>99</v>
      </c>
      <c r="GD22" s="167" t="s">
        <v>66</v>
      </c>
      <c r="GE22" s="148" t="s">
        <v>50</v>
      </c>
      <c r="GF22" s="148" t="s">
        <v>45</v>
      </c>
      <c r="GG22" s="149">
        <v>1</v>
      </c>
      <c r="GH22" s="161"/>
      <c r="GI22" s="148" t="s">
        <v>14</v>
      </c>
      <c r="GJ22" s="148" t="s">
        <v>14</v>
      </c>
      <c r="GK22" s="170">
        <f ca="1">SETTINGS!$I$6</f>
        <v>1.7100000000000001E-2</v>
      </c>
      <c r="GL22" s="148" t="s">
        <v>12</v>
      </c>
      <c r="GM22" s="188">
        <f t="shared" ca="1" si="14"/>
        <v>260.66732023507109</v>
      </c>
      <c r="GN22" s="129">
        <f ca="1">_xll.meLWOBondLastCouponDate('AUD-BONDS'!D20,Settings.COB)</f>
        <v>44027</v>
      </c>
      <c r="GO22" s="129">
        <f ca="1">'AUD-BONDS'!L20</f>
        <v>46037</v>
      </c>
      <c r="GP22" s="167" t="s">
        <v>100</v>
      </c>
      <c r="GQ22" s="130" t="s">
        <v>101</v>
      </c>
      <c r="GR22" s="164" t="s">
        <v>82</v>
      </c>
      <c r="GS22" s="164" t="s">
        <v>65</v>
      </c>
      <c r="GT22" s="164" t="s">
        <v>82</v>
      </c>
      <c r="GU22" s="164" t="s">
        <v>65</v>
      </c>
      <c r="GV22" s="164" t="s">
        <v>82</v>
      </c>
      <c r="GW22" s="164" t="s">
        <v>65</v>
      </c>
      <c r="GX22" s="148"/>
      <c r="GY22" s="148"/>
      <c r="GZ22" s="148" t="s">
        <v>33</v>
      </c>
      <c r="HA22" s="148" t="s">
        <v>35</v>
      </c>
      <c r="HB22" s="148"/>
      <c r="HC22" s="148" t="s">
        <v>35</v>
      </c>
      <c r="HD22" s="148" t="s">
        <v>39</v>
      </c>
      <c r="HE22" s="37" t="s">
        <v>264</v>
      </c>
      <c r="HF22" s="209" t="str">
        <f ca="1"/>
        <v>#Error: No range or empty range specified</v>
      </c>
      <c r="HG22" s="210" t="str">
        <f ca="1"/>
        <v>#Error: No range or empty range specified</v>
      </c>
      <c r="HH22" s="211" t="str">
        <f ca="1"/>
        <v>#Error: No range or empty range specified</v>
      </c>
      <c r="HI22" s="211" t="str">
        <f ca="1"/>
        <v>#Error: No range or empty range specified</v>
      </c>
      <c r="HJ22" s="210" t="str">
        <f ca="1"/>
        <v>#Error: No range or empty range specified</v>
      </c>
      <c r="HK22" s="216" t="str">
        <f ca="1"/>
        <v>#Error: No range or empty range specified</v>
      </c>
      <c r="HL22" s="216" t="str">
        <f ca="1"/>
        <v>#Error: No range or empty range specified</v>
      </c>
      <c r="HM22" s="211" t="str">
        <f ca="1"/>
        <v>#Error: No range or empty range specified</v>
      </c>
      <c r="HN22" s="220" t="str">
        <f ca="1"/>
        <v>#Error: No range or empty range specified</v>
      </c>
      <c r="HO22" s="216" t="str">
        <f ca="1"/>
        <v>#Error: No range or empty range specified</v>
      </c>
      <c r="HP22" s="222" t="str">
        <f ca="1"/>
        <v>#Error: No range or empty range specified</v>
      </c>
      <c r="HQ22" s="224" t="str">
        <f ca="1"/>
        <v>#Error: No range or empty range specified</v>
      </c>
    </row>
    <row r="23" spans="1:225">
      <c r="A23" s="110">
        <f t="shared" ca="1" si="6"/>
        <v>16</v>
      </c>
      <c r="B23" s="123" t="str">
        <f ca="1">'USD-BONDS'!F21</f>
        <v>ISIN15</v>
      </c>
      <c r="C23" s="206">
        <f ca="1">'USD-BONDS'!B21</f>
        <v>100</v>
      </c>
      <c r="D23" s="124" t="str">
        <f ca="1">_xll.meLWOSwapCreate($D$7&amp;"_"&amp;B23,_xll.meUtilityLVBFromKeysAndMultipleValues($G$7:$AL$7,G23:AL23,AN23:BS23))</f>
        <v>USD_ASW_ISIN15@148:6</v>
      </c>
      <c r="E23" s="270">
        <f ca="1">_xll.meLWOAssetSwapSpread(D23,'USD-BONDS'!D21,C23,$J$4:$K$5)</f>
        <v>285.35446266608909</v>
      </c>
      <c r="F23" s="110">
        <f t="shared" ca="1" si="7"/>
        <v>16</v>
      </c>
      <c r="G23" s="59" t="s">
        <v>263</v>
      </c>
      <c r="H23" s="147">
        <v>1000000</v>
      </c>
      <c r="I23" s="148" t="s">
        <v>44</v>
      </c>
      <c r="J23" s="148" t="s">
        <v>96</v>
      </c>
      <c r="K23" s="148"/>
      <c r="L23" s="148" t="s">
        <v>46</v>
      </c>
      <c r="M23" s="148" t="s">
        <v>9</v>
      </c>
      <c r="N23" s="149">
        <v>1</v>
      </c>
      <c r="O23" s="135">
        <f ca="1">'USD-BONDS'!M21</f>
        <v>3.2000000000000001E-2</v>
      </c>
      <c r="P23" s="148"/>
      <c r="Q23" s="148"/>
      <c r="R23" s="155"/>
      <c r="S23" s="148" t="s">
        <v>12</v>
      </c>
      <c r="T23" s="149"/>
      <c r="U23" s="129">
        <f ca="1">_xll.meLWOBondLastCouponDate('USD-BONDS'!D21,Settings.COB)</f>
        <v>43916</v>
      </c>
      <c r="V23" s="129">
        <f ca="1">'USD-BONDS'!L21</f>
        <v>45742</v>
      </c>
      <c r="W23" s="167" t="str">
        <f ca="1">'USD-BONDS'!O21</f>
        <v>SEMI-ANNUAL</v>
      </c>
      <c r="X23" s="130" t="str">
        <f ca="1">'USD-BONDS'!N21</f>
        <v>30E/360</v>
      </c>
      <c r="Y23" s="148" t="s">
        <v>82</v>
      </c>
      <c r="Z23" s="148" t="s">
        <v>68</v>
      </c>
      <c r="AA23" s="148" t="s">
        <v>82</v>
      </c>
      <c r="AB23" s="148" t="s">
        <v>68</v>
      </c>
      <c r="AC23" s="148" t="s">
        <v>82</v>
      </c>
      <c r="AD23" s="148" t="s">
        <v>68</v>
      </c>
      <c r="AE23" s="148"/>
      <c r="AF23" s="148"/>
      <c r="AG23" s="148" t="s">
        <v>33</v>
      </c>
      <c r="AH23" s="148"/>
      <c r="AI23" s="148"/>
      <c r="AJ23" s="148" t="s">
        <v>35</v>
      </c>
      <c r="AK23" s="262" t="s">
        <v>267</v>
      </c>
      <c r="AL23" s="158" t="s">
        <v>39</v>
      </c>
      <c r="AM23" s="110">
        <f t="shared" ca="1" si="8"/>
        <v>16</v>
      </c>
      <c r="AN23" s="59" t="s">
        <v>67</v>
      </c>
      <c r="AO23" s="147">
        <v>1000000</v>
      </c>
      <c r="AP23" s="148" t="s">
        <v>44</v>
      </c>
      <c r="AQ23" s="148" t="s">
        <v>99</v>
      </c>
      <c r="AR23" s="167" t="s">
        <v>102</v>
      </c>
      <c r="AS23" s="148" t="s">
        <v>46</v>
      </c>
      <c r="AT23" s="148" t="s">
        <v>9</v>
      </c>
      <c r="AU23" s="149">
        <v>1</v>
      </c>
      <c r="AV23" s="161"/>
      <c r="AW23" s="148" t="s">
        <v>14</v>
      </c>
      <c r="AX23" s="148" t="s">
        <v>14</v>
      </c>
      <c r="AY23" s="170">
        <f ca="1">SETTINGS!$F$6</f>
        <v>1.2955599999999999E-2</v>
      </c>
      <c r="AZ23" s="148" t="s">
        <v>12</v>
      </c>
      <c r="BA23" s="149">
        <v>0</v>
      </c>
      <c r="BB23" s="129">
        <f ca="1">_xll.meLWOBondLastCouponDate('USD-BONDS'!D21,Settings.COB)</f>
        <v>43916</v>
      </c>
      <c r="BC23" s="129">
        <f ca="1">'USD-BONDS'!L21</f>
        <v>45742</v>
      </c>
      <c r="BD23" s="167" t="s">
        <v>100</v>
      </c>
      <c r="BE23" s="130" t="s">
        <v>101</v>
      </c>
      <c r="BF23" s="164" t="s">
        <v>82</v>
      </c>
      <c r="BG23" s="164" t="s">
        <v>68</v>
      </c>
      <c r="BH23" s="164" t="s">
        <v>82</v>
      </c>
      <c r="BI23" s="164" t="s">
        <v>68</v>
      </c>
      <c r="BJ23" s="164" t="s">
        <v>82</v>
      </c>
      <c r="BK23" s="164" t="s">
        <v>68</v>
      </c>
      <c r="BL23" s="148"/>
      <c r="BM23" s="148"/>
      <c r="BN23" s="148" t="s">
        <v>33</v>
      </c>
      <c r="BO23" s="148" t="s">
        <v>35</v>
      </c>
      <c r="BP23" s="148"/>
      <c r="BQ23" s="148" t="s">
        <v>35</v>
      </c>
      <c r="BR23" s="148"/>
      <c r="BS23" s="158" t="s">
        <v>39</v>
      </c>
      <c r="BT23" s="110">
        <f t="shared" ca="1" si="9"/>
        <v>16</v>
      </c>
      <c r="BU23" s="174" t="str">
        <f ca="1">_xll.meLWOXccySwapCreate($BU$7&amp;"_"&amp;B23,_xll.meUtilityLVBFromKeysAndMultipleValues($BX$7:$DB$7,BX23:DB23,DD23:EH23),$CC$2:$CD$5)</f>
        <v>XCCY_SWAP_ISIN15@189:6</v>
      </c>
      <c r="BV23" s="175">
        <f ca="1">_xll.meLWOXccySwapParSpread(BU23,$BZ$2:$CA$6,,$BZ$3)</f>
        <v>260.66732023507109</v>
      </c>
      <c r="BW23" s="110">
        <f t="shared" ca="1" si="0"/>
        <v>17</v>
      </c>
      <c r="BX23" s="59" t="s">
        <v>97</v>
      </c>
      <c r="BY23" s="147">
        <v>1000000</v>
      </c>
      <c r="BZ23" s="148" t="s">
        <v>71</v>
      </c>
      <c r="CA23" s="148" t="s">
        <v>96</v>
      </c>
      <c r="CB23" s="136" t="s">
        <v>102</v>
      </c>
      <c r="CC23" s="148" t="s">
        <v>46</v>
      </c>
      <c r="CD23" s="148" t="s">
        <v>9</v>
      </c>
      <c r="CE23" s="149">
        <v>1</v>
      </c>
      <c r="CF23" s="148"/>
      <c r="CG23" s="148" t="s">
        <v>14</v>
      </c>
      <c r="CH23" s="148" t="s">
        <v>14</v>
      </c>
      <c r="CI23" s="170">
        <f ca="1">SETTINGS!$F$6</f>
        <v>1.2955599999999999E-2</v>
      </c>
      <c r="CJ23" s="148" t="s">
        <v>12</v>
      </c>
      <c r="CK23" s="178">
        <f t="shared" ca="1" si="1"/>
        <v>285.35446266608909</v>
      </c>
      <c r="CL23" s="129">
        <f ca="1">_xll.meLWOBondLastCouponDate('USD-BONDS'!D21,Settings.COB)</f>
        <v>43916</v>
      </c>
      <c r="CM23" s="129">
        <f ca="1">'USD-BONDS'!L21</f>
        <v>45742</v>
      </c>
      <c r="CN23" s="167" t="s">
        <v>100</v>
      </c>
      <c r="CO23" s="167" t="s">
        <v>101</v>
      </c>
      <c r="CP23" s="148" t="s">
        <v>82</v>
      </c>
      <c r="CQ23" s="148" t="s">
        <v>68</v>
      </c>
      <c r="CR23" s="148" t="s">
        <v>82</v>
      </c>
      <c r="CS23" s="148" t="s">
        <v>68</v>
      </c>
      <c r="CT23" s="148" t="s">
        <v>82</v>
      </c>
      <c r="CU23" s="148" t="s">
        <v>68</v>
      </c>
      <c r="CV23" s="148"/>
      <c r="CW23" s="148"/>
      <c r="CX23" s="148" t="s">
        <v>33</v>
      </c>
      <c r="CY23" s="148" t="s">
        <v>35</v>
      </c>
      <c r="CZ23" s="148"/>
      <c r="DA23" s="148" t="s">
        <v>35</v>
      </c>
      <c r="DB23" s="158" t="s">
        <v>39</v>
      </c>
      <c r="DC23" s="110">
        <f t="shared" ca="1" si="2"/>
        <v>17</v>
      </c>
      <c r="DD23" s="59" t="s">
        <v>67</v>
      </c>
      <c r="DE23" s="182">
        <f t="shared" ca="1" si="3"/>
        <v>1333333.3333333333</v>
      </c>
      <c r="DF23" s="148" t="s">
        <v>71</v>
      </c>
      <c r="DG23" s="148" t="s">
        <v>99</v>
      </c>
      <c r="DH23" s="183" t="s">
        <v>66</v>
      </c>
      <c r="DI23" s="148" t="s">
        <v>105</v>
      </c>
      <c r="DJ23" s="148" t="s">
        <v>45</v>
      </c>
      <c r="DK23" s="149">
        <v>1</v>
      </c>
      <c r="DL23" s="148"/>
      <c r="DM23" s="148" t="s">
        <v>14</v>
      </c>
      <c r="DN23" s="148" t="s">
        <v>14</v>
      </c>
      <c r="DO23" s="170">
        <f ca="1">SETTINGS!$I$6</f>
        <v>1.7100000000000001E-2</v>
      </c>
      <c r="DP23" s="148" t="s">
        <v>12</v>
      </c>
      <c r="DQ23" s="149">
        <v>0</v>
      </c>
      <c r="DR23" s="129">
        <f ca="1">_xll.meLWOBondLastCouponDate('AUD-BONDS'!D21,Settings.COB)</f>
        <v>44027</v>
      </c>
      <c r="DS23" s="129">
        <f ca="1">'AUD-BONDS'!L21</f>
        <v>46037</v>
      </c>
      <c r="DT23" s="90" t="s">
        <v>100</v>
      </c>
      <c r="DU23" s="90" t="s">
        <v>103</v>
      </c>
      <c r="DV23" s="148" t="s">
        <v>82</v>
      </c>
      <c r="DW23" s="148" t="s">
        <v>65</v>
      </c>
      <c r="DX23" s="148" t="s">
        <v>82</v>
      </c>
      <c r="DY23" s="148" t="s">
        <v>65</v>
      </c>
      <c r="DZ23" s="148" t="s">
        <v>82</v>
      </c>
      <c r="EA23" s="148" t="s">
        <v>65</v>
      </c>
      <c r="EB23" s="148"/>
      <c r="EC23" s="148"/>
      <c r="ED23" s="148" t="s">
        <v>33</v>
      </c>
      <c r="EE23" s="148" t="s">
        <v>35</v>
      </c>
      <c r="EF23" s="148"/>
      <c r="EG23" s="148" t="s">
        <v>35</v>
      </c>
      <c r="EH23" s="158" t="s">
        <v>39</v>
      </c>
      <c r="EI23" s="110">
        <f t="shared" ca="1" si="10"/>
        <v>16</v>
      </c>
      <c r="EJ23" s="123" t="str">
        <f ca="1">'AUD-BONDS'!F21</f>
        <v>ISIN15</v>
      </c>
      <c r="EK23" s="124" t="str">
        <f ca="1">_xll.meLWOSwapCreate($EK$7&amp;"_"&amp;EJ23,_xll.meUtilityLVBFromKeysAndMultipleValues($ET$7:$FX$7,ET23:FX23,FZ23:HD23))</f>
        <v>#Error: Missing key 'CALCULATIONTYPE'. This key is mandatory and must be included in the Label Value Block , 'scheduleLVB'.</v>
      </c>
      <c r="EL23" s="191" t="str">
        <f ca="1">_xll.meLWOAssetSwapSpreadToCleanPrice($EK23,$EK$4,$BV23,$EW$4)</f>
        <v>#Error: Swap #ERROR does not exist</v>
      </c>
      <c r="EM23" s="110">
        <f t="shared" ref="EM23" ca="1" si="27">EM22+1</f>
        <v>16</v>
      </c>
      <c r="EN23" s="197" t="str">
        <f ca="1">_xll.meLWOBondYield('AUD-BONDS'!D21,$EK$4,$EL23)</f>
        <v>#Error: Invalid input, numerical input required</v>
      </c>
      <c r="EO23" s="190" t="str">
        <f ca="1">_xll.meLWOBondCleanPrice('AUD-BONDS'!$D21,$EK$4,$EN23)</f>
        <v>#Error: Invalid Vector Data:  Input Contains Errors</v>
      </c>
      <c r="EP23" s="190" t="str">
        <f ca="1">_xll.meLWOBondDirtyPrice('AUD-BONDS'!$D21,$EK$4,$EN23)</f>
        <v>#Error: Invalid Vector Data:  Input Contains Errors</v>
      </c>
      <c r="EQ23" s="192">
        <f ca="1">_xll.meLWOBondAccruedInterest('AUD-BONDS'!$D21,'AUD-URIDASHI-PX'!$EK$4)</f>
        <v>4250</v>
      </c>
      <c r="ER23" s="198">
        <f ca="1">_xll.meLWOBondAccruedInterestDays('AUD-BONDS'!$D21,'AUD-URIDASHI-PX'!$EK$4)</f>
        <v>39</v>
      </c>
      <c r="ES23" s="110">
        <f t="shared" ca="1" si="12"/>
        <v>16</v>
      </c>
      <c r="ET23" s="59" t="s">
        <v>263</v>
      </c>
      <c r="EU23" s="182">
        <f t="shared" ca="1" si="4"/>
        <v>1333333.3333333333</v>
      </c>
      <c r="EV23" s="148" t="s">
        <v>44</v>
      </c>
      <c r="EW23" s="148" t="s">
        <v>96</v>
      </c>
      <c r="EX23" s="148"/>
      <c r="EY23" s="148" t="s">
        <v>50</v>
      </c>
      <c r="EZ23" s="148" t="s">
        <v>45</v>
      </c>
      <c r="FA23" s="149">
        <v>1</v>
      </c>
      <c r="FB23" s="135">
        <f ca="1">'AUD-BONDS'!M21</f>
        <v>3.9199999999999999E-2</v>
      </c>
      <c r="FC23" s="148"/>
      <c r="FD23" s="148"/>
      <c r="FE23" s="155"/>
      <c r="FF23" s="148" t="s">
        <v>12</v>
      </c>
      <c r="FG23" s="149"/>
      <c r="FH23" s="129">
        <f ca="1">_xll.meLWOBondLastCouponDate('AUD-BONDS'!D21,Settings.COB)</f>
        <v>44027</v>
      </c>
      <c r="FI23" s="129">
        <f ca="1">'AUD-BONDS'!L21</f>
        <v>46037</v>
      </c>
      <c r="FJ23" s="167" t="str">
        <f ca="1">'AUD-BONDS'!O21</f>
        <v>SEMI-ANNUAL</v>
      </c>
      <c r="FK23" s="130" t="str">
        <f ca="1">'AUD-BONDS'!N21</f>
        <v>30E/360</v>
      </c>
      <c r="FL23" s="148" t="s">
        <v>82</v>
      </c>
      <c r="FM23" s="148" t="s">
        <v>68</v>
      </c>
      <c r="FN23" s="148" t="s">
        <v>82</v>
      </c>
      <c r="FO23" s="148" t="s">
        <v>68</v>
      </c>
      <c r="FP23" s="148" t="s">
        <v>82</v>
      </c>
      <c r="FQ23" s="148" t="s">
        <v>68</v>
      </c>
      <c r="FR23" s="148"/>
      <c r="FS23" s="148"/>
      <c r="FT23" s="148" t="s">
        <v>33</v>
      </c>
      <c r="FU23" s="148"/>
      <c r="FV23" s="148"/>
      <c r="FW23" s="148" t="s">
        <v>35</v>
      </c>
      <c r="FX23" s="148" t="s">
        <v>39</v>
      </c>
      <c r="FY23" s="110">
        <f t="shared" ca="1" si="13"/>
        <v>16</v>
      </c>
      <c r="FZ23" s="59" t="s">
        <v>67</v>
      </c>
      <c r="GA23" s="182">
        <f t="shared" ca="1" si="5"/>
        <v>1333333.3333333333</v>
      </c>
      <c r="GB23" s="148" t="s">
        <v>44</v>
      </c>
      <c r="GC23" s="148" t="s">
        <v>99</v>
      </c>
      <c r="GD23" s="167" t="s">
        <v>66</v>
      </c>
      <c r="GE23" s="148" t="s">
        <v>50</v>
      </c>
      <c r="GF23" s="148" t="s">
        <v>45</v>
      </c>
      <c r="GG23" s="149">
        <v>1</v>
      </c>
      <c r="GH23" s="161"/>
      <c r="GI23" s="148" t="s">
        <v>14</v>
      </c>
      <c r="GJ23" s="148" t="s">
        <v>14</v>
      </c>
      <c r="GK23" s="170">
        <f ca="1">SETTINGS!$I$6</f>
        <v>1.7100000000000001E-2</v>
      </c>
      <c r="GL23" s="148" t="s">
        <v>12</v>
      </c>
      <c r="GM23" s="188">
        <f t="shared" ca="1" si="14"/>
        <v>260.66732023507109</v>
      </c>
      <c r="GN23" s="129">
        <f ca="1">_xll.meLWOBondLastCouponDate('AUD-BONDS'!D21,Settings.COB)</f>
        <v>44027</v>
      </c>
      <c r="GO23" s="129">
        <f ca="1">'AUD-BONDS'!L21</f>
        <v>46037</v>
      </c>
      <c r="GP23" s="167" t="s">
        <v>100</v>
      </c>
      <c r="GQ23" s="130" t="s">
        <v>101</v>
      </c>
      <c r="GR23" s="164" t="s">
        <v>82</v>
      </c>
      <c r="GS23" s="164" t="s">
        <v>65</v>
      </c>
      <c r="GT23" s="164" t="s">
        <v>82</v>
      </c>
      <c r="GU23" s="164" t="s">
        <v>65</v>
      </c>
      <c r="GV23" s="164" t="s">
        <v>82</v>
      </c>
      <c r="GW23" s="164" t="s">
        <v>65</v>
      </c>
      <c r="GX23" s="148"/>
      <c r="GY23" s="148"/>
      <c r="GZ23" s="148" t="s">
        <v>33</v>
      </c>
      <c r="HA23" s="148" t="s">
        <v>35</v>
      </c>
      <c r="HB23" s="148"/>
      <c r="HC23" s="148" t="s">
        <v>35</v>
      </c>
      <c r="HD23" s="148" t="s">
        <v>39</v>
      </c>
      <c r="HE23" s="37" t="s">
        <v>264</v>
      </c>
      <c r="HF23" s="209" t="str">
        <f ca="1"/>
        <v>#Error: No range or empty range specified</v>
      </c>
      <c r="HG23" s="210" t="str">
        <f ca="1"/>
        <v>#Error: No range or empty range specified</v>
      </c>
      <c r="HH23" s="211" t="str">
        <f ca="1"/>
        <v>#Error: No range or empty range specified</v>
      </c>
      <c r="HI23" s="211" t="str">
        <f ca="1"/>
        <v>#Error: No range or empty range specified</v>
      </c>
      <c r="HJ23" s="210" t="str">
        <f ca="1"/>
        <v>#Error: No range or empty range specified</v>
      </c>
      <c r="HK23" s="216" t="str">
        <f ca="1"/>
        <v>#Error: No range or empty range specified</v>
      </c>
      <c r="HL23" s="216" t="str">
        <f ca="1"/>
        <v>#Error: No range or empty range specified</v>
      </c>
      <c r="HM23" s="211" t="str">
        <f ca="1"/>
        <v>#Error: No range or empty range specified</v>
      </c>
      <c r="HN23" s="220" t="str">
        <f ca="1"/>
        <v>#Error: No range or empty range specified</v>
      </c>
      <c r="HO23" s="216" t="str">
        <f ca="1"/>
        <v>#Error: No range or empty range specified</v>
      </c>
      <c r="HP23" s="222" t="str">
        <f ca="1"/>
        <v>#Error: No range or empty range specified</v>
      </c>
      <c r="HQ23" s="224" t="str">
        <f ca="1"/>
        <v>#Error: No range or empty range specified</v>
      </c>
    </row>
    <row r="24" spans="1:225">
      <c r="A24" s="110">
        <f t="shared" ca="1" si="6"/>
        <v>17</v>
      </c>
      <c r="B24" s="123" t="str">
        <f ca="1">'USD-BONDS'!F22</f>
        <v>ISIN16</v>
      </c>
      <c r="C24" s="206">
        <f ca="1">'USD-BONDS'!B22</f>
        <v>100</v>
      </c>
      <c r="D24" s="124" t="str">
        <f ca="1">_xll.meLWOSwapCreate($D$7&amp;"_"&amp;B24,_xll.meUtilityLVBFromKeysAndMultipleValues($G$7:$AL$7,G24:AL24,AN24:BS24))</f>
        <v>USD_ASW_ISIN16@149:6</v>
      </c>
      <c r="E24" s="270">
        <f ca="1">_xll.meLWOAssetSwapSpread(D24,'USD-BONDS'!D22,C24,$J$4:$K$5)</f>
        <v>285.35446266608909</v>
      </c>
      <c r="F24" s="110">
        <f t="shared" ca="1" si="7"/>
        <v>17</v>
      </c>
      <c r="G24" s="59" t="s">
        <v>263</v>
      </c>
      <c r="H24" s="147">
        <v>1000000</v>
      </c>
      <c r="I24" s="148" t="s">
        <v>44</v>
      </c>
      <c r="J24" s="148" t="s">
        <v>96</v>
      </c>
      <c r="K24" s="148"/>
      <c r="L24" s="148" t="s">
        <v>46</v>
      </c>
      <c r="M24" s="148" t="s">
        <v>9</v>
      </c>
      <c r="N24" s="149">
        <v>1</v>
      </c>
      <c r="O24" s="135">
        <f ca="1">'USD-BONDS'!M22</f>
        <v>3.2000000000000001E-2</v>
      </c>
      <c r="P24" s="148"/>
      <c r="Q24" s="148"/>
      <c r="R24" s="155"/>
      <c r="S24" s="148" t="s">
        <v>12</v>
      </c>
      <c r="T24" s="149"/>
      <c r="U24" s="129">
        <f ca="1">_xll.meLWOBondLastCouponDate('USD-BONDS'!D22,Settings.COB)</f>
        <v>43916</v>
      </c>
      <c r="V24" s="129">
        <f ca="1">'USD-BONDS'!L22</f>
        <v>45742</v>
      </c>
      <c r="W24" s="167" t="str">
        <f ca="1">'USD-BONDS'!O22</f>
        <v>SEMI-ANNUAL</v>
      </c>
      <c r="X24" s="130" t="str">
        <f ca="1">'USD-BONDS'!N22</f>
        <v>30E/360</v>
      </c>
      <c r="Y24" s="148" t="s">
        <v>82</v>
      </c>
      <c r="Z24" s="148" t="s">
        <v>68</v>
      </c>
      <c r="AA24" s="148" t="s">
        <v>82</v>
      </c>
      <c r="AB24" s="148" t="s">
        <v>68</v>
      </c>
      <c r="AC24" s="148" t="s">
        <v>82</v>
      </c>
      <c r="AD24" s="148" t="s">
        <v>68</v>
      </c>
      <c r="AE24" s="148"/>
      <c r="AF24" s="148"/>
      <c r="AG24" s="148" t="s">
        <v>33</v>
      </c>
      <c r="AH24" s="148"/>
      <c r="AI24" s="148"/>
      <c r="AJ24" s="148" t="s">
        <v>35</v>
      </c>
      <c r="AK24" s="262" t="s">
        <v>267</v>
      </c>
      <c r="AL24" s="158" t="s">
        <v>39</v>
      </c>
      <c r="AM24" s="110">
        <f t="shared" ca="1" si="8"/>
        <v>17</v>
      </c>
      <c r="AN24" s="59" t="s">
        <v>67</v>
      </c>
      <c r="AO24" s="147">
        <v>1000000</v>
      </c>
      <c r="AP24" s="148" t="s">
        <v>44</v>
      </c>
      <c r="AQ24" s="148" t="s">
        <v>99</v>
      </c>
      <c r="AR24" s="167" t="s">
        <v>102</v>
      </c>
      <c r="AS24" s="148" t="s">
        <v>46</v>
      </c>
      <c r="AT24" s="148" t="s">
        <v>9</v>
      </c>
      <c r="AU24" s="149">
        <v>1</v>
      </c>
      <c r="AV24" s="161"/>
      <c r="AW24" s="148" t="s">
        <v>14</v>
      </c>
      <c r="AX24" s="148" t="s">
        <v>14</v>
      </c>
      <c r="AY24" s="170">
        <f ca="1">SETTINGS!$F$6</f>
        <v>1.2955599999999999E-2</v>
      </c>
      <c r="AZ24" s="148" t="s">
        <v>12</v>
      </c>
      <c r="BA24" s="149">
        <v>0</v>
      </c>
      <c r="BB24" s="129">
        <f ca="1">_xll.meLWOBondLastCouponDate('USD-BONDS'!D22,Settings.COB)</f>
        <v>43916</v>
      </c>
      <c r="BC24" s="129">
        <f ca="1">'USD-BONDS'!L22</f>
        <v>45742</v>
      </c>
      <c r="BD24" s="167" t="s">
        <v>100</v>
      </c>
      <c r="BE24" s="130" t="s">
        <v>101</v>
      </c>
      <c r="BF24" s="164" t="s">
        <v>82</v>
      </c>
      <c r="BG24" s="164" t="s">
        <v>68</v>
      </c>
      <c r="BH24" s="164" t="s">
        <v>82</v>
      </c>
      <c r="BI24" s="164" t="s">
        <v>68</v>
      </c>
      <c r="BJ24" s="164" t="s">
        <v>82</v>
      </c>
      <c r="BK24" s="164" t="s">
        <v>68</v>
      </c>
      <c r="BL24" s="148"/>
      <c r="BM24" s="148"/>
      <c r="BN24" s="148" t="s">
        <v>33</v>
      </c>
      <c r="BO24" s="148" t="s">
        <v>35</v>
      </c>
      <c r="BP24" s="148"/>
      <c r="BQ24" s="148" t="s">
        <v>35</v>
      </c>
      <c r="BR24" s="148"/>
      <c r="BS24" s="158" t="s">
        <v>39</v>
      </c>
      <c r="BT24" s="110">
        <f t="shared" ca="1" si="9"/>
        <v>17</v>
      </c>
      <c r="BU24" s="174" t="str">
        <f ca="1">_xll.meLWOXccySwapCreate($BU$7&amp;"_"&amp;B24,_xll.meUtilityLVBFromKeysAndMultipleValues($BX$7:$DB$7,BX24:DB24,DD24:EH24),$CC$2:$CD$5)</f>
        <v>XCCY_SWAP_ISIN16@180:6</v>
      </c>
      <c r="BV24" s="175">
        <f ca="1">_xll.meLWOXccySwapParSpread(BU24,$BZ$2:$CA$6,,$BZ$3)</f>
        <v>260.66732023507109</v>
      </c>
      <c r="BW24" s="110">
        <f t="shared" ca="1" si="0"/>
        <v>18</v>
      </c>
      <c r="BX24" s="59" t="s">
        <v>97</v>
      </c>
      <c r="BY24" s="147">
        <v>1000000</v>
      </c>
      <c r="BZ24" s="148" t="s">
        <v>71</v>
      </c>
      <c r="CA24" s="148" t="s">
        <v>96</v>
      </c>
      <c r="CB24" s="136" t="s">
        <v>102</v>
      </c>
      <c r="CC24" s="148" t="s">
        <v>46</v>
      </c>
      <c r="CD24" s="148" t="s">
        <v>9</v>
      </c>
      <c r="CE24" s="149">
        <v>1</v>
      </c>
      <c r="CF24" s="148"/>
      <c r="CG24" s="148" t="s">
        <v>14</v>
      </c>
      <c r="CH24" s="148" t="s">
        <v>14</v>
      </c>
      <c r="CI24" s="170">
        <f ca="1">SETTINGS!$F$6</f>
        <v>1.2955599999999999E-2</v>
      </c>
      <c r="CJ24" s="148" t="s">
        <v>12</v>
      </c>
      <c r="CK24" s="178">
        <f t="shared" ca="1" si="1"/>
        <v>285.35446266608909</v>
      </c>
      <c r="CL24" s="129">
        <f ca="1">_xll.meLWOBondLastCouponDate('USD-BONDS'!D22,Settings.COB)</f>
        <v>43916</v>
      </c>
      <c r="CM24" s="129">
        <f ca="1">'USD-BONDS'!L22</f>
        <v>45742</v>
      </c>
      <c r="CN24" s="167" t="s">
        <v>100</v>
      </c>
      <c r="CO24" s="167" t="s">
        <v>101</v>
      </c>
      <c r="CP24" s="148" t="s">
        <v>82</v>
      </c>
      <c r="CQ24" s="148" t="s">
        <v>68</v>
      </c>
      <c r="CR24" s="148" t="s">
        <v>82</v>
      </c>
      <c r="CS24" s="148" t="s">
        <v>68</v>
      </c>
      <c r="CT24" s="148" t="s">
        <v>82</v>
      </c>
      <c r="CU24" s="148" t="s">
        <v>68</v>
      </c>
      <c r="CV24" s="148"/>
      <c r="CW24" s="148"/>
      <c r="CX24" s="148" t="s">
        <v>33</v>
      </c>
      <c r="CY24" s="148" t="s">
        <v>35</v>
      </c>
      <c r="CZ24" s="148"/>
      <c r="DA24" s="148" t="s">
        <v>35</v>
      </c>
      <c r="DB24" s="158" t="s">
        <v>39</v>
      </c>
      <c r="DC24" s="110">
        <f t="shared" ca="1" si="2"/>
        <v>18</v>
      </c>
      <c r="DD24" s="59" t="s">
        <v>67</v>
      </c>
      <c r="DE24" s="182">
        <f t="shared" ca="1" si="3"/>
        <v>1333333.3333333333</v>
      </c>
      <c r="DF24" s="148" t="s">
        <v>71</v>
      </c>
      <c r="DG24" s="148" t="s">
        <v>99</v>
      </c>
      <c r="DH24" s="183" t="s">
        <v>66</v>
      </c>
      <c r="DI24" s="148" t="s">
        <v>105</v>
      </c>
      <c r="DJ24" s="148" t="s">
        <v>45</v>
      </c>
      <c r="DK24" s="149">
        <v>1</v>
      </c>
      <c r="DL24" s="148"/>
      <c r="DM24" s="148" t="s">
        <v>14</v>
      </c>
      <c r="DN24" s="148" t="s">
        <v>14</v>
      </c>
      <c r="DO24" s="170">
        <f ca="1">SETTINGS!$I$6</f>
        <v>1.7100000000000001E-2</v>
      </c>
      <c r="DP24" s="148" t="s">
        <v>12</v>
      </c>
      <c r="DQ24" s="149">
        <v>0</v>
      </c>
      <c r="DR24" s="129">
        <f ca="1">_xll.meLWOBondLastCouponDate('AUD-BONDS'!D22,Settings.COB)</f>
        <v>44027</v>
      </c>
      <c r="DS24" s="129">
        <f ca="1">'AUD-BONDS'!L22</f>
        <v>46037</v>
      </c>
      <c r="DT24" s="90" t="s">
        <v>100</v>
      </c>
      <c r="DU24" s="90" t="s">
        <v>103</v>
      </c>
      <c r="DV24" s="148" t="s">
        <v>82</v>
      </c>
      <c r="DW24" s="148" t="s">
        <v>65</v>
      </c>
      <c r="DX24" s="148" t="s">
        <v>82</v>
      </c>
      <c r="DY24" s="148" t="s">
        <v>65</v>
      </c>
      <c r="DZ24" s="148" t="s">
        <v>82</v>
      </c>
      <c r="EA24" s="148" t="s">
        <v>65</v>
      </c>
      <c r="EB24" s="148"/>
      <c r="EC24" s="148"/>
      <c r="ED24" s="148" t="s">
        <v>33</v>
      </c>
      <c r="EE24" s="148" t="s">
        <v>35</v>
      </c>
      <c r="EF24" s="148"/>
      <c r="EG24" s="148" t="s">
        <v>35</v>
      </c>
      <c r="EH24" s="158" t="s">
        <v>39</v>
      </c>
      <c r="EI24" s="110">
        <f t="shared" ca="1" si="10"/>
        <v>17</v>
      </c>
      <c r="EJ24" s="123" t="str">
        <f ca="1">'AUD-BONDS'!F22</f>
        <v>ISIN16</v>
      </c>
      <c r="EK24" s="124" t="str">
        <f ca="1">_xll.meLWOSwapCreate($EK$7&amp;"_"&amp;EJ24,_xll.meUtilityLVBFromKeysAndMultipleValues($ET$7:$FX$7,ET24:FX24,FZ24:HD24))</f>
        <v>#Error: Missing key 'CALCULATIONTYPE'. This key is mandatory and must be included in the Label Value Block , 'scheduleLVB'.</v>
      </c>
      <c r="EL24" s="191" t="str">
        <f ca="1">_xll.meLWOAssetSwapSpreadToCleanPrice($EK24,$EK$4,$BV24,$EW$4)</f>
        <v>#Error: Swap #ERROR does not exist</v>
      </c>
      <c r="EM24" s="110">
        <f t="shared" ref="EM24" ca="1" si="28">EM23+1</f>
        <v>17</v>
      </c>
      <c r="EN24" s="197" t="str">
        <f ca="1">_xll.meLWOBondYield('AUD-BONDS'!D22,$EK$4,$EL24)</f>
        <v>#Error: Invalid input, numerical input required</v>
      </c>
      <c r="EO24" s="190" t="str">
        <f ca="1">_xll.meLWOBondCleanPrice('AUD-BONDS'!$D22,$EK$4,$EN24)</f>
        <v>#Error: Invalid Vector Data:  Input Contains Errors</v>
      </c>
      <c r="EP24" s="190" t="str">
        <f ca="1">_xll.meLWOBondDirtyPrice('AUD-BONDS'!$D22,$EK$4,$EN24)</f>
        <v>#Error: Invalid Vector Data:  Input Contains Errors</v>
      </c>
      <c r="EQ24" s="192">
        <f ca="1">_xll.meLWOBondAccruedInterest('AUD-BONDS'!$D22,'AUD-URIDASHI-PX'!$EK$4)</f>
        <v>4250</v>
      </c>
      <c r="ER24" s="198">
        <f ca="1">_xll.meLWOBondAccruedInterestDays('AUD-BONDS'!$D22,'AUD-URIDASHI-PX'!$EK$4)</f>
        <v>39</v>
      </c>
      <c r="ES24" s="110">
        <f t="shared" ca="1" si="12"/>
        <v>17</v>
      </c>
      <c r="ET24" s="59" t="s">
        <v>263</v>
      </c>
      <c r="EU24" s="182">
        <f t="shared" ca="1" si="4"/>
        <v>1333333.3333333333</v>
      </c>
      <c r="EV24" s="148" t="s">
        <v>44</v>
      </c>
      <c r="EW24" s="148" t="s">
        <v>96</v>
      </c>
      <c r="EX24" s="148"/>
      <c r="EY24" s="148" t="s">
        <v>50</v>
      </c>
      <c r="EZ24" s="148" t="s">
        <v>45</v>
      </c>
      <c r="FA24" s="149">
        <v>1</v>
      </c>
      <c r="FB24" s="135">
        <f ca="1">'AUD-BONDS'!M22</f>
        <v>3.9199999999999999E-2</v>
      </c>
      <c r="FC24" s="148"/>
      <c r="FD24" s="148"/>
      <c r="FE24" s="155"/>
      <c r="FF24" s="148" t="s">
        <v>12</v>
      </c>
      <c r="FG24" s="149"/>
      <c r="FH24" s="129">
        <f ca="1">_xll.meLWOBondLastCouponDate('AUD-BONDS'!D22,Settings.COB)</f>
        <v>44027</v>
      </c>
      <c r="FI24" s="129">
        <f ca="1">'AUD-BONDS'!L22</f>
        <v>46037</v>
      </c>
      <c r="FJ24" s="167" t="str">
        <f ca="1">'AUD-BONDS'!O22</f>
        <v>SEMI-ANNUAL</v>
      </c>
      <c r="FK24" s="130" t="str">
        <f ca="1">'AUD-BONDS'!N22</f>
        <v>30E/360</v>
      </c>
      <c r="FL24" s="148" t="s">
        <v>82</v>
      </c>
      <c r="FM24" s="148" t="s">
        <v>68</v>
      </c>
      <c r="FN24" s="148" t="s">
        <v>82</v>
      </c>
      <c r="FO24" s="148" t="s">
        <v>68</v>
      </c>
      <c r="FP24" s="148" t="s">
        <v>82</v>
      </c>
      <c r="FQ24" s="148" t="s">
        <v>68</v>
      </c>
      <c r="FR24" s="148"/>
      <c r="FS24" s="148"/>
      <c r="FT24" s="148" t="s">
        <v>33</v>
      </c>
      <c r="FU24" s="148"/>
      <c r="FV24" s="148"/>
      <c r="FW24" s="148" t="s">
        <v>35</v>
      </c>
      <c r="FX24" s="148" t="s">
        <v>39</v>
      </c>
      <c r="FY24" s="110">
        <f t="shared" ca="1" si="13"/>
        <v>17</v>
      </c>
      <c r="FZ24" s="59" t="s">
        <v>67</v>
      </c>
      <c r="GA24" s="182">
        <f t="shared" ca="1" si="5"/>
        <v>1333333.3333333333</v>
      </c>
      <c r="GB24" s="148" t="s">
        <v>44</v>
      </c>
      <c r="GC24" s="148" t="s">
        <v>99</v>
      </c>
      <c r="GD24" s="167" t="s">
        <v>66</v>
      </c>
      <c r="GE24" s="148" t="s">
        <v>50</v>
      </c>
      <c r="GF24" s="148" t="s">
        <v>45</v>
      </c>
      <c r="GG24" s="149">
        <v>1</v>
      </c>
      <c r="GH24" s="161"/>
      <c r="GI24" s="148" t="s">
        <v>14</v>
      </c>
      <c r="GJ24" s="148" t="s">
        <v>14</v>
      </c>
      <c r="GK24" s="170">
        <f ca="1">SETTINGS!$I$6</f>
        <v>1.7100000000000001E-2</v>
      </c>
      <c r="GL24" s="148" t="s">
        <v>12</v>
      </c>
      <c r="GM24" s="188">
        <f t="shared" ca="1" si="14"/>
        <v>260.66732023507109</v>
      </c>
      <c r="GN24" s="129">
        <f ca="1">_xll.meLWOBondLastCouponDate('AUD-BONDS'!D22,Settings.COB)</f>
        <v>44027</v>
      </c>
      <c r="GO24" s="129">
        <f ca="1">'AUD-BONDS'!L22</f>
        <v>46037</v>
      </c>
      <c r="GP24" s="167" t="s">
        <v>100</v>
      </c>
      <c r="GQ24" s="130" t="s">
        <v>101</v>
      </c>
      <c r="GR24" s="164" t="s">
        <v>82</v>
      </c>
      <c r="GS24" s="164" t="s">
        <v>65</v>
      </c>
      <c r="GT24" s="164" t="s">
        <v>82</v>
      </c>
      <c r="GU24" s="164" t="s">
        <v>65</v>
      </c>
      <c r="GV24" s="164" t="s">
        <v>82</v>
      </c>
      <c r="GW24" s="164" t="s">
        <v>65</v>
      </c>
      <c r="GX24" s="148"/>
      <c r="GY24" s="148"/>
      <c r="GZ24" s="148" t="s">
        <v>33</v>
      </c>
      <c r="HA24" s="148" t="s">
        <v>35</v>
      </c>
      <c r="HB24" s="148"/>
      <c r="HC24" s="148" t="s">
        <v>35</v>
      </c>
      <c r="HD24" s="148" t="s">
        <v>39</v>
      </c>
      <c r="HE24" s="37" t="s">
        <v>264</v>
      </c>
      <c r="HF24" s="209" t="str">
        <f ca="1"/>
        <v>#Error: No range or empty range specified</v>
      </c>
      <c r="HG24" s="210" t="str">
        <f ca="1"/>
        <v>#Error: No range or empty range specified</v>
      </c>
      <c r="HH24" s="211" t="str">
        <f ca="1"/>
        <v>#Error: No range or empty range specified</v>
      </c>
      <c r="HI24" s="211" t="str">
        <f ca="1"/>
        <v>#Error: No range or empty range specified</v>
      </c>
      <c r="HJ24" s="210" t="str">
        <f ca="1"/>
        <v>#Error: No range or empty range specified</v>
      </c>
      <c r="HK24" s="216" t="str">
        <f ca="1"/>
        <v>#Error: No range or empty range specified</v>
      </c>
      <c r="HL24" s="216" t="str">
        <f ca="1"/>
        <v>#Error: No range or empty range specified</v>
      </c>
      <c r="HM24" s="211" t="str">
        <f ca="1"/>
        <v>#Error: No range or empty range specified</v>
      </c>
      <c r="HN24" s="220" t="str">
        <f ca="1"/>
        <v>#Error: No range or empty range specified</v>
      </c>
      <c r="HO24" s="216" t="str">
        <f ca="1"/>
        <v>#Error: No range or empty range specified</v>
      </c>
      <c r="HP24" s="222" t="str">
        <f ca="1"/>
        <v>#Error: No range or empty range specified</v>
      </c>
      <c r="HQ24" s="224" t="str">
        <f ca="1"/>
        <v>#Error: No range or empty range specified</v>
      </c>
    </row>
    <row r="25" spans="1:225">
      <c r="A25" s="110">
        <f t="shared" ca="1" si="6"/>
        <v>18</v>
      </c>
      <c r="B25" s="123" t="str">
        <f ca="1">'USD-BONDS'!F23</f>
        <v>ISIN17</v>
      </c>
      <c r="C25" s="206">
        <f ca="1">'USD-BONDS'!B23</f>
        <v>100</v>
      </c>
      <c r="D25" s="124" t="str">
        <f ca="1">_xll.meLWOSwapCreate($D$7&amp;"_"&amp;B25,_xll.meUtilityLVBFromKeysAndMultipleValues($G$7:$AL$7,G25:AL25,AN25:BS25))</f>
        <v>USD_ASW_ISIN17@159:6</v>
      </c>
      <c r="E25" s="270">
        <f ca="1">_xll.meLWOAssetSwapSpread(D25,'USD-BONDS'!D23,C25,$J$4:$K$5)</f>
        <v>285.35446266608909</v>
      </c>
      <c r="F25" s="110">
        <f t="shared" ca="1" si="7"/>
        <v>18</v>
      </c>
      <c r="G25" s="59" t="s">
        <v>263</v>
      </c>
      <c r="H25" s="147">
        <v>1000000</v>
      </c>
      <c r="I25" s="148" t="s">
        <v>44</v>
      </c>
      <c r="J25" s="148" t="s">
        <v>96</v>
      </c>
      <c r="K25" s="148"/>
      <c r="L25" s="148" t="s">
        <v>46</v>
      </c>
      <c r="M25" s="148" t="s">
        <v>9</v>
      </c>
      <c r="N25" s="149">
        <v>1</v>
      </c>
      <c r="O25" s="135">
        <f ca="1">'USD-BONDS'!M23</f>
        <v>3.2000000000000001E-2</v>
      </c>
      <c r="P25" s="148"/>
      <c r="Q25" s="148"/>
      <c r="R25" s="155"/>
      <c r="S25" s="148" t="s">
        <v>12</v>
      </c>
      <c r="T25" s="149"/>
      <c r="U25" s="129">
        <f ca="1">_xll.meLWOBondLastCouponDate('USD-BONDS'!D23,Settings.COB)</f>
        <v>43916</v>
      </c>
      <c r="V25" s="129">
        <f ca="1">'USD-BONDS'!L23</f>
        <v>45742</v>
      </c>
      <c r="W25" s="167" t="str">
        <f ca="1">'USD-BONDS'!O23</f>
        <v>SEMI-ANNUAL</v>
      </c>
      <c r="X25" s="130" t="str">
        <f ca="1">'USD-BONDS'!N23</f>
        <v>30E/360</v>
      </c>
      <c r="Y25" s="148" t="s">
        <v>82</v>
      </c>
      <c r="Z25" s="148" t="s">
        <v>68</v>
      </c>
      <c r="AA25" s="148" t="s">
        <v>82</v>
      </c>
      <c r="AB25" s="148" t="s">
        <v>68</v>
      </c>
      <c r="AC25" s="148" t="s">
        <v>82</v>
      </c>
      <c r="AD25" s="148" t="s">
        <v>68</v>
      </c>
      <c r="AE25" s="148"/>
      <c r="AF25" s="148"/>
      <c r="AG25" s="148" t="s">
        <v>33</v>
      </c>
      <c r="AH25" s="148"/>
      <c r="AI25" s="148"/>
      <c r="AJ25" s="148" t="s">
        <v>35</v>
      </c>
      <c r="AK25" s="262" t="s">
        <v>267</v>
      </c>
      <c r="AL25" s="158" t="s">
        <v>39</v>
      </c>
      <c r="AM25" s="110">
        <f t="shared" ca="1" si="8"/>
        <v>18</v>
      </c>
      <c r="AN25" s="59" t="s">
        <v>67</v>
      </c>
      <c r="AO25" s="147">
        <v>1000000</v>
      </c>
      <c r="AP25" s="148" t="s">
        <v>44</v>
      </c>
      <c r="AQ25" s="148" t="s">
        <v>99</v>
      </c>
      <c r="AR25" s="167" t="s">
        <v>102</v>
      </c>
      <c r="AS25" s="148" t="s">
        <v>46</v>
      </c>
      <c r="AT25" s="148" t="s">
        <v>9</v>
      </c>
      <c r="AU25" s="149">
        <v>1</v>
      </c>
      <c r="AV25" s="161"/>
      <c r="AW25" s="148" t="s">
        <v>14</v>
      </c>
      <c r="AX25" s="148" t="s">
        <v>14</v>
      </c>
      <c r="AY25" s="170">
        <f ca="1">SETTINGS!$F$6</f>
        <v>1.2955599999999999E-2</v>
      </c>
      <c r="AZ25" s="148" t="s">
        <v>12</v>
      </c>
      <c r="BA25" s="149">
        <v>0</v>
      </c>
      <c r="BB25" s="129">
        <f ca="1">_xll.meLWOBondLastCouponDate('USD-BONDS'!D23,Settings.COB)</f>
        <v>43916</v>
      </c>
      <c r="BC25" s="129">
        <f ca="1">'USD-BONDS'!L23</f>
        <v>45742</v>
      </c>
      <c r="BD25" s="167" t="s">
        <v>100</v>
      </c>
      <c r="BE25" s="130" t="s">
        <v>101</v>
      </c>
      <c r="BF25" s="164" t="s">
        <v>82</v>
      </c>
      <c r="BG25" s="164" t="s">
        <v>68</v>
      </c>
      <c r="BH25" s="164" t="s">
        <v>82</v>
      </c>
      <c r="BI25" s="164" t="s">
        <v>68</v>
      </c>
      <c r="BJ25" s="164" t="s">
        <v>82</v>
      </c>
      <c r="BK25" s="164" t="s">
        <v>68</v>
      </c>
      <c r="BL25" s="148"/>
      <c r="BM25" s="148"/>
      <c r="BN25" s="148" t="s">
        <v>33</v>
      </c>
      <c r="BO25" s="148" t="s">
        <v>35</v>
      </c>
      <c r="BP25" s="148"/>
      <c r="BQ25" s="148" t="s">
        <v>35</v>
      </c>
      <c r="BR25" s="148"/>
      <c r="BS25" s="158" t="s">
        <v>39</v>
      </c>
      <c r="BT25" s="110">
        <f t="shared" ca="1" si="9"/>
        <v>18</v>
      </c>
      <c r="BU25" s="174" t="str">
        <f ca="1">_xll.meLWOXccySwapCreate($BU$7&amp;"_"&amp;B25,_xll.meUtilityLVBFromKeysAndMultipleValues($BX$7:$DB$7,BX25:DB25,DD25:EH25),$CC$2:$CD$5)</f>
        <v>XCCY_SWAP_ISIN17@184:6</v>
      </c>
      <c r="BV25" s="175">
        <f ca="1">_xll.meLWOXccySwapParSpread(BU25,$BZ$2:$CA$6,,$BZ$3)</f>
        <v>260.66732023507109</v>
      </c>
      <c r="BW25" s="110">
        <f t="shared" ca="1" si="0"/>
        <v>19</v>
      </c>
      <c r="BX25" s="59" t="s">
        <v>97</v>
      </c>
      <c r="BY25" s="147">
        <v>1000000</v>
      </c>
      <c r="BZ25" s="148" t="s">
        <v>71</v>
      </c>
      <c r="CA25" s="148" t="s">
        <v>96</v>
      </c>
      <c r="CB25" s="136" t="s">
        <v>102</v>
      </c>
      <c r="CC25" s="148" t="s">
        <v>46</v>
      </c>
      <c r="CD25" s="148" t="s">
        <v>9</v>
      </c>
      <c r="CE25" s="149">
        <v>1</v>
      </c>
      <c r="CF25" s="148"/>
      <c r="CG25" s="148" t="s">
        <v>14</v>
      </c>
      <c r="CH25" s="148" t="s">
        <v>14</v>
      </c>
      <c r="CI25" s="170">
        <f ca="1">SETTINGS!$F$6</f>
        <v>1.2955599999999999E-2</v>
      </c>
      <c r="CJ25" s="148" t="s">
        <v>12</v>
      </c>
      <c r="CK25" s="178">
        <f t="shared" ca="1" si="1"/>
        <v>285.35446266608909</v>
      </c>
      <c r="CL25" s="129">
        <f ca="1">_xll.meLWOBondLastCouponDate('USD-BONDS'!D23,Settings.COB)</f>
        <v>43916</v>
      </c>
      <c r="CM25" s="129">
        <f ca="1">'USD-BONDS'!L23</f>
        <v>45742</v>
      </c>
      <c r="CN25" s="167" t="s">
        <v>100</v>
      </c>
      <c r="CO25" s="167" t="s">
        <v>101</v>
      </c>
      <c r="CP25" s="148" t="s">
        <v>82</v>
      </c>
      <c r="CQ25" s="148" t="s">
        <v>68</v>
      </c>
      <c r="CR25" s="148" t="s">
        <v>82</v>
      </c>
      <c r="CS25" s="148" t="s">
        <v>68</v>
      </c>
      <c r="CT25" s="148" t="s">
        <v>82</v>
      </c>
      <c r="CU25" s="148" t="s">
        <v>68</v>
      </c>
      <c r="CV25" s="148"/>
      <c r="CW25" s="148"/>
      <c r="CX25" s="148" t="s">
        <v>33</v>
      </c>
      <c r="CY25" s="148" t="s">
        <v>35</v>
      </c>
      <c r="CZ25" s="148"/>
      <c r="DA25" s="148" t="s">
        <v>35</v>
      </c>
      <c r="DB25" s="158" t="s">
        <v>39</v>
      </c>
      <c r="DC25" s="110">
        <f t="shared" ca="1" si="2"/>
        <v>19</v>
      </c>
      <c r="DD25" s="59" t="s">
        <v>67</v>
      </c>
      <c r="DE25" s="182">
        <f t="shared" ca="1" si="3"/>
        <v>1333333.3333333333</v>
      </c>
      <c r="DF25" s="148" t="s">
        <v>71</v>
      </c>
      <c r="DG25" s="148" t="s">
        <v>99</v>
      </c>
      <c r="DH25" s="183" t="s">
        <v>66</v>
      </c>
      <c r="DI25" s="148" t="s">
        <v>105</v>
      </c>
      <c r="DJ25" s="148" t="s">
        <v>45</v>
      </c>
      <c r="DK25" s="149">
        <v>1</v>
      </c>
      <c r="DL25" s="148"/>
      <c r="DM25" s="148" t="s">
        <v>14</v>
      </c>
      <c r="DN25" s="148" t="s">
        <v>14</v>
      </c>
      <c r="DO25" s="170">
        <f ca="1">SETTINGS!$I$6</f>
        <v>1.7100000000000001E-2</v>
      </c>
      <c r="DP25" s="148" t="s">
        <v>12</v>
      </c>
      <c r="DQ25" s="149">
        <v>0</v>
      </c>
      <c r="DR25" s="129">
        <f ca="1">_xll.meLWOBondLastCouponDate('AUD-BONDS'!D23,Settings.COB)</f>
        <v>44027</v>
      </c>
      <c r="DS25" s="129">
        <f ca="1">'AUD-BONDS'!L23</f>
        <v>46037</v>
      </c>
      <c r="DT25" s="90" t="s">
        <v>100</v>
      </c>
      <c r="DU25" s="90" t="s">
        <v>103</v>
      </c>
      <c r="DV25" s="148" t="s">
        <v>82</v>
      </c>
      <c r="DW25" s="148" t="s">
        <v>65</v>
      </c>
      <c r="DX25" s="148" t="s">
        <v>82</v>
      </c>
      <c r="DY25" s="148" t="s">
        <v>65</v>
      </c>
      <c r="DZ25" s="148" t="s">
        <v>82</v>
      </c>
      <c r="EA25" s="148" t="s">
        <v>65</v>
      </c>
      <c r="EB25" s="148"/>
      <c r="EC25" s="148"/>
      <c r="ED25" s="148" t="s">
        <v>33</v>
      </c>
      <c r="EE25" s="148" t="s">
        <v>35</v>
      </c>
      <c r="EF25" s="148"/>
      <c r="EG25" s="148" t="s">
        <v>35</v>
      </c>
      <c r="EH25" s="158" t="s">
        <v>39</v>
      </c>
      <c r="EI25" s="110">
        <f t="shared" ca="1" si="10"/>
        <v>18</v>
      </c>
      <c r="EJ25" s="123" t="str">
        <f ca="1">'AUD-BONDS'!F23</f>
        <v>ISIN17</v>
      </c>
      <c r="EK25" s="124" t="str">
        <f ca="1">_xll.meLWOSwapCreate($EK$7&amp;"_"&amp;EJ25,_xll.meUtilityLVBFromKeysAndMultipleValues($ET$7:$FX$7,ET25:FX25,FZ25:HD25))</f>
        <v>#Error: Missing key 'CALCULATIONTYPE'. This key is mandatory and must be included in the Label Value Block , 'scheduleLVB'.</v>
      </c>
      <c r="EL25" s="191" t="str">
        <f ca="1">_xll.meLWOAssetSwapSpreadToCleanPrice($EK25,$EK$4,$BV25,$EW$4)</f>
        <v>#Error: Swap #ERROR does not exist</v>
      </c>
      <c r="EM25" s="110">
        <f t="shared" ref="EM25" ca="1" si="29">EM24+1</f>
        <v>18</v>
      </c>
      <c r="EN25" s="197" t="str">
        <f ca="1">_xll.meLWOBondYield('AUD-BONDS'!D23,$EK$4,$EL25)</f>
        <v>#Error: Invalid input, numerical input required</v>
      </c>
      <c r="EO25" s="190" t="str">
        <f ca="1">_xll.meLWOBondCleanPrice('AUD-BONDS'!$D23,$EK$4,$EN25)</f>
        <v>#Error: Invalid Vector Data:  Input Contains Errors</v>
      </c>
      <c r="EP25" s="190" t="str">
        <f ca="1">_xll.meLWOBondDirtyPrice('AUD-BONDS'!$D23,$EK$4,$EN25)</f>
        <v>#Error: Invalid Vector Data:  Input Contains Errors</v>
      </c>
      <c r="EQ25" s="192">
        <f ca="1">_xll.meLWOBondAccruedInterest('AUD-BONDS'!$D23,'AUD-URIDASHI-PX'!$EK$4)</f>
        <v>4250</v>
      </c>
      <c r="ER25" s="198">
        <f ca="1">_xll.meLWOBondAccruedInterestDays('AUD-BONDS'!$D23,'AUD-URIDASHI-PX'!$EK$4)</f>
        <v>39</v>
      </c>
      <c r="ES25" s="110">
        <f t="shared" ca="1" si="12"/>
        <v>18</v>
      </c>
      <c r="ET25" s="59" t="s">
        <v>263</v>
      </c>
      <c r="EU25" s="182">
        <f t="shared" ca="1" si="4"/>
        <v>1333333.3333333333</v>
      </c>
      <c r="EV25" s="148" t="s">
        <v>44</v>
      </c>
      <c r="EW25" s="148" t="s">
        <v>96</v>
      </c>
      <c r="EX25" s="148"/>
      <c r="EY25" s="148" t="s">
        <v>50</v>
      </c>
      <c r="EZ25" s="148" t="s">
        <v>45</v>
      </c>
      <c r="FA25" s="149">
        <v>1</v>
      </c>
      <c r="FB25" s="135">
        <f ca="1">'AUD-BONDS'!M23</f>
        <v>3.9199999999999999E-2</v>
      </c>
      <c r="FC25" s="148"/>
      <c r="FD25" s="148"/>
      <c r="FE25" s="155"/>
      <c r="FF25" s="148" t="s">
        <v>12</v>
      </c>
      <c r="FG25" s="149"/>
      <c r="FH25" s="129">
        <f ca="1">_xll.meLWOBondLastCouponDate('AUD-BONDS'!D23,Settings.COB)</f>
        <v>44027</v>
      </c>
      <c r="FI25" s="129">
        <f ca="1">'AUD-BONDS'!L23</f>
        <v>46037</v>
      </c>
      <c r="FJ25" s="167" t="str">
        <f ca="1">'AUD-BONDS'!O23</f>
        <v>SEMI-ANNUAL</v>
      </c>
      <c r="FK25" s="130" t="str">
        <f ca="1">'AUD-BONDS'!N23</f>
        <v>30E/360</v>
      </c>
      <c r="FL25" s="148" t="s">
        <v>82</v>
      </c>
      <c r="FM25" s="148" t="s">
        <v>68</v>
      </c>
      <c r="FN25" s="148" t="s">
        <v>82</v>
      </c>
      <c r="FO25" s="148" t="s">
        <v>68</v>
      </c>
      <c r="FP25" s="148" t="s">
        <v>82</v>
      </c>
      <c r="FQ25" s="148" t="s">
        <v>68</v>
      </c>
      <c r="FR25" s="148"/>
      <c r="FS25" s="148"/>
      <c r="FT25" s="148" t="s">
        <v>33</v>
      </c>
      <c r="FU25" s="148"/>
      <c r="FV25" s="148"/>
      <c r="FW25" s="148" t="s">
        <v>35</v>
      </c>
      <c r="FX25" s="148" t="s">
        <v>39</v>
      </c>
      <c r="FY25" s="110">
        <f t="shared" ca="1" si="13"/>
        <v>18</v>
      </c>
      <c r="FZ25" s="59" t="s">
        <v>67</v>
      </c>
      <c r="GA25" s="182">
        <f t="shared" ca="1" si="5"/>
        <v>1333333.3333333333</v>
      </c>
      <c r="GB25" s="148" t="s">
        <v>44</v>
      </c>
      <c r="GC25" s="148" t="s">
        <v>99</v>
      </c>
      <c r="GD25" s="167" t="s">
        <v>66</v>
      </c>
      <c r="GE25" s="148" t="s">
        <v>50</v>
      </c>
      <c r="GF25" s="148" t="s">
        <v>45</v>
      </c>
      <c r="GG25" s="149">
        <v>1</v>
      </c>
      <c r="GH25" s="161"/>
      <c r="GI25" s="148" t="s">
        <v>14</v>
      </c>
      <c r="GJ25" s="148" t="s">
        <v>14</v>
      </c>
      <c r="GK25" s="170">
        <f ca="1">SETTINGS!$I$6</f>
        <v>1.7100000000000001E-2</v>
      </c>
      <c r="GL25" s="148" t="s">
        <v>12</v>
      </c>
      <c r="GM25" s="188">
        <f t="shared" ca="1" si="14"/>
        <v>260.66732023507109</v>
      </c>
      <c r="GN25" s="129">
        <f ca="1">_xll.meLWOBondLastCouponDate('AUD-BONDS'!D23,Settings.COB)</f>
        <v>44027</v>
      </c>
      <c r="GO25" s="129">
        <f ca="1">'AUD-BONDS'!L23</f>
        <v>46037</v>
      </c>
      <c r="GP25" s="167" t="s">
        <v>100</v>
      </c>
      <c r="GQ25" s="130" t="s">
        <v>101</v>
      </c>
      <c r="GR25" s="164" t="s">
        <v>82</v>
      </c>
      <c r="GS25" s="164" t="s">
        <v>65</v>
      </c>
      <c r="GT25" s="164" t="s">
        <v>82</v>
      </c>
      <c r="GU25" s="164" t="s">
        <v>65</v>
      </c>
      <c r="GV25" s="164" t="s">
        <v>82</v>
      </c>
      <c r="GW25" s="164" t="s">
        <v>65</v>
      </c>
      <c r="GX25" s="148"/>
      <c r="GY25" s="148"/>
      <c r="GZ25" s="148" t="s">
        <v>33</v>
      </c>
      <c r="HA25" s="148" t="s">
        <v>35</v>
      </c>
      <c r="HB25" s="148"/>
      <c r="HC25" s="148" t="s">
        <v>35</v>
      </c>
      <c r="HD25" s="148" t="s">
        <v>39</v>
      </c>
      <c r="HE25" s="37" t="s">
        <v>264</v>
      </c>
      <c r="HF25" s="209" t="str">
        <f ca="1"/>
        <v>#Error: No range or empty range specified</v>
      </c>
      <c r="HG25" s="210" t="str">
        <f ca="1"/>
        <v>#Error: No range or empty range specified</v>
      </c>
      <c r="HH25" s="211" t="str">
        <f ca="1"/>
        <v>#Error: No range or empty range specified</v>
      </c>
      <c r="HI25" s="211" t="str">
        <f ca="1"/>
        <v>#Error: No range or empty range specified</v>
      </c>
      <c r="HJ25" s="210" t="str">
        <f ca="1"/>
        <v>#Error: No range or empty range specified</v>
      </c>
      <c r="HK25" s="216" t="str">
        <f ca="1"/>
        <v>#Error: No range or empty range specified</v>
      </c>
      <c r="HL25" s="216" t="str">
        <f ca="1"/>
        <v>#Error: No range or empty range specified</v>
      </c>
      <c r="HM25" s="211" t="str">
        <f ca="1"/>
        <v>#Error: No range or empty range specified</v>
      </c>
      <c r="HN25" s="220" t="str">
        <f ca="1"/>
        <v>#Error: No range or empty range specified</v>
      </c>
      <c r="HO25" s="216" t="str">
        <f ca="1"/>
        <v>#Error: No range or empty range specified</v>
      </c>
      <c r="HP25" s="222" t="str">
        <f ca="1"/>
        <v>#Error: No range or empty range specified</v>
      </c>
      <c r="HQ25" s="224" t="str">
        <f ca="1"/>
        <v>#Error: No range or empty range specified</v>
      </c>
    </row>
    <row r="26" spans="1:225">
      <c r="A26" s="110">
        <f t="shared" ca="1" si="6"/>
        <v>19</v>
      </c>
      <c r="B26" s="123" t="str">
        <f ca="1">'USD-BONDS'!F24</f>
        <v>ISIN18</v>
      </c>
      <c r="C26" s="206">
        <f ca="1">'USD-BONDS'!B24</f>
        <v>100</v>
      </c>
      <c r="D26" s="124" t="str">
        <f ca="1">_xll.meLWOSwapCreate($D$7&amp;"_"&amp;B26,_xll.meUtilityLVBFromKeysAndMultipleValues($G$7:$AL$7,G26:AL26,AN26:BS26))</f>
        <v>USD_ASW_ISIN18@166:6</v>
      </c>
      <c r="E26" s="270">
        <f ca="1">_xll.meLWOAssetSwapSpread(D26,'USD-BONDS'!D24,C26,$J$4:$K$5)</f>
        <v>285.35446266608909</v>
      </c>
      <c r="F26" s="110">
        <f t="shared" ca="1" si="7"/>
        <v>19</v>
      </c>
      <c r="G26" s="59" t="s">
        <v>263</v>
      </c>
      <c r="H26" s="147">
        <v>1000000</v>
      </c>
      <c r="I26" s="148" t="s">
        <v>44</v>
      </c>
      <c r="J26" s="148" t="s">
        <v>96</v>
      </c>
      <c r="K26" s="148"/>
      <c r="L26" s="148" t="s">
        <v>46</v>
      </c>
      <c r="M26" s="148" t="s">
        <v>9</v>
      </c>
      <c r="N26" s="149">
        <v>1</v>
      </c>
      <c r="O26" s="135">
        <f ca="1">'USD-BONDS'!M24</f>
        <v>3.2000000000000001E-2</v>
      </c>
      <c r="P26" s="148"/>
      <c r="Q26" s="148"/>
      <c r="R26" s="155"/>
      <c r="S26" s="148" t="s">
        <v>12</v>
      </c>
      <c r="T26" s="149"/>
      <c r="U26" s="129">
        <f ca="1">_xll.meLWOBondLastCouponDate('USD-BONDS'!D24,Settings.COB)</f>
        <v>43916</v>
      </c>
      <c r="V26" s="129">
        <f ca="1">'USD-BONDS'!L24</f>
        <v>45742</v>
      </c>
      <c r="W26" s="167" t="str">
        <f ca="1">'USD-BONDS'!O24</f>
        <v>SEMI-ANNUAL</v>
      </c>
      <c r="X26" s="130" t="str">
        <f ca="1">'USD-BONDS'!N24</f>
        <v>30E/360</v>
      </c>
      <c r="Y26" s="148" t="s">
        <v>82</v>
      </c>
      <c r="Z26" s="148" t="s">
        <v>68</v>
      </c>
      <c r="AA26" s="148" t="s">
        <v>82</v>
      </c>
      <c r="AB26" s="148" t="s">
        <v>68</v>
      </c>
      <c r="AC26" s="148" t="s">
        <v>82</v>
      </c>
      <c r="AD26" s="148" t="s">
        <v>68</v>
      </c>
      <c r="AE26" s="148"/>
      <c r="AF26" s="148"/>
      <c r="AG26" s="148" t="s">
        <v>33</v>
      </c>
      <c r="AH26" s="148"/>
      <c r="AI26" s="148"/>
      <c r="AJ26" s="148" t="s">
        <v>35</v>
      </c>
      <c r="AK26" s="262" t="s">
        <v>267</v>
      </c>
      <c r="AL26" s="158" t="s">
        <v>39</v>
      </c>
      <c r="AM26" s="110">
        <f t="shared" ca="1" si="8"/>
        <v>19</v>
      </c>
      <c r="AN26" s="59" t="s">
        <v>67</v>
      </c>
      <c r="AO26" s="147">
        <v>1000000</v>
      </c>
      <c r="AP26" s="148" t="s">
        <v>44</v>
      </c>
      <c r="AQ26" s="148" t="s">
        <v>99</v>
      </c>
      <c r="AR26" s="167" t="s">
        <v>102</v>
      </c>
      <c r="AS26" s="148" t="s">
        <v>46</v>
      </c>
      <c r="AT26" s="148" t="s">
        <v>9</v>
      </c>
      <c r="AU26" s="149">
        <v>1</v>
      </c>
      <c r="AV26" s="161"/>
      <c r="AW26" s="148" t="s">
        <v>14</v>
      </c>
      <c r="AX26" s="148" t="s">
        <v>14</v>
      </c>
      <c r="AY26" s="170">
        <f ca="1">SETTINGS!$F$6</f>
        <v>1.2955599999999999E-2</v>
      </c>
      <c r="AZ26" s="148" t="s">
        <v>12</v>
      </c>
      <c r="BA26" s="149">
        <v>0</v>
      </c>
      <c r="BB26" s="129">
        <f ca="1">_xll.meLWOBondLastCouponDate('USD-BONDS'!D24,Settings.COB)</f>
        <v>43916</v>
      </c>
      <c r="BC26" s="129">
        <f ca="1">'USD-BONDS'!L24</f>
        <v>45742</v>
      </c>
      <c r="BD26" s="167" t="s">
        <v>100</v>
      </c>
      <c r="BE26" s="130" t="s">
        <v>101</v>
      </c>
      <c r="BF26" s="164" t="s">
        <v>82</v>
      </c>
      <c r="BG26" s="164" t="s">
        <v>68</v>
      </c>
      <c r="BH26" s="164" t="s">
        <v>82</v>
      </c>
      <c r="BI26" s="164" t="s">
        <v>68</v>
      </c>
      <c r="BJ26" s="164" t="s">
        <v>82</v>
      </c>
      <c r="BK26" s="164" t="s">
        <v>68</v>
      </c>
      <c r="BL26" s="148"/>
      <c r="BM26" s="148"/>
      <c r="BN26" s="148" t="s">
        <v>33</v>
      </c>
      <c r="BO26" s="148" t="s">
        <v>35</v>
      </c>
      <c r="BP26" s="148"/>
      <c r="BQ26" s="148" t="s">
        <v>35</v>
      </c>
      <c r="BR26" s="148"/>
      <c r="BS26" s="158" t="s">
        <v>39</v>
      </c>
      <c r="BT26" s="110">
        <f t="shared" ca="1" si="9"/>
        <v>19</v>
      </c>
      <c r="BU26" s="174" t="str">
        <f ca="1">_xll.meLWOXccySwapCreate($BU$7&amp;"_"&amp;B26,_xll.meUtilityLVBFromKeysAndMultipleValues($BX$7:$DB$7,BX26:DB26,DD26:EH26),$CC$2:$CD$5)</f>
        <v>XCCY_SWAP_ISIN18@188:6</v>
      </c>
      <c r="BV26" s="175">
        <f ca="1">_xll.meLWOXccySwapParSpread(BU26,$BZ$2:$CA$6,,$BZ$3)</f>
        <v>260.66732023507109</v>
      </c>
      <c r="BW26" s="110">
        <f t="shared" ca="1" si="0"/>
        <v>20</v>
      </c>
      <c r="BX26" s="59" t="s">
        <v>97</v>
      </c>
      <c r="BY26" s="147">
        <v>1000000</v>
      </c>
      <c r="BZ26" s="148" t="s">
        <v>71</v>
      </c>
      <c r="CA26" s="148" t="s">
        <v>96</v>
      </c>
      <c r="CB26" s="136" t="s">
        <v>102</v>
      </c>
      <c r="CC26" s="148" t="s">
        <v>46</v>
      </c>
      <c r="CD26" s="148" t="s">
        <v>9</v>
      </c>
      <c r="CE26" s="149">
        <v>1</v>
      </c>
      <c r="CF26" s="148"/>
      <c r="CG26" s="148" t="s">
        <v>14</v>
      </c>
      <c r="CH26" s="148" t="s">
        <v>14</v>
      </c>
      <c r="CI26" s="170">
        <f ca="1">SETTINGS!$F$6</f>
        <v>1.2955599999999999E-2</v>
      </c>
      <c r="CJ26" s="148" t="s">
        <v>12</v>
      </c>
      <c r="CK26" s="178">
        <f t="shared" ca="1" si="1"/>
        <v>285.35446266608909</v>
      </c>
      <c r="CL26" s="129">
        <f ca="1">_xll.meLWOBondLastCouponDate('USD-BONDS'!D24,Settings.COB)</f>
        <v>43916</v>
      </c>
      <c r="CM26" s="129">
        <f ca="1">'USD-BONDS'!L24</f>
        <v>45742</v>
      </c>
      <c r="CN26" s="167" t="s">
        <v>100</v>
      </c>
      <c r="CO26" s="167" t="s">
        <v>101</v>
      </c>
      <c r="CP26" s="148" t="s">
        <v>82</v>
      </c>
      <c r="CQ26" s="148" t="s">
        <v>68</v>
      </c>
      <c r="CR26" s="148" t="s">
        <v>82</v>
      </c>
      <c r="CS26" s="148" t="s">
        <v>68</v>
      </c>
      <c r="CT26" s="148" t="s">
        <v>82</v>
      </c>
      <c r="CU26" s="148" t="s">
        <v>68</v>
      </c>
      <c r="CV26" s="148"/>
      <c r="CW26" s="148"/>
      <c r="CX26" s="148" t="s">
        <v>33</v>
      </c>
      <c r="CY26" s="148" t="s">
        <v>35</v>
      </c>
      <c r="CZ26" s="148"/>
      <c r="DA26" s="148" t="s">
        <v>35</v>
      </c>
      <c r="DB26" s="158" t="s">
        <v>39</v>
      </c>
      <c r="DC26" s="110">
        <f t="shared" ca="1" si="2"/>
        <v>20</v>
      </c>
      <c r="DD26" s="59" t="s">
        <v>67</v>
      </c>
      <c r="DE26" s="182">
        <f t="shared" ca="1" si="3"/>
        <v>1333333.3333333333</v>
      </c>
      <c r="DF26" s="148" t="s">
        <v>71</v>
      </c>
      <c r="DG26" s="148" t="s">
        <v>99</v>
      </c>
      <c r="DH26" s="183" t="s">
        <v>66</v>
      </c>
      <c r="DI26" s="148" t="s">
        <v>105</v>
      </c>
      <c r="DJ26" s="148" t="s">
        <v>45</v>
      </c>
      <c r="DK26" s="149">
        <v>1</v>
      </c>
      <c r="DL26" s="148"/>
      <c r="DM26" s="148" t="s">
        <v>14</v>
      </c>
      <c r="DN26" s="148" t="s">
        <v>14</v>
      </c>
      <c r="DO26" s="170">
        <f ca="1">SETTINGS!$I$6</f>
        <v>1.7100000000000001E-2</v>
      </c>
      <c r="DP26" s="148" t="s">
        <v>12</v>
      </c>
      <c r="DQ26" s="149">
        <v>0</v>
      </c>
      <c r="DR26" s="129">
        <f ca="1">_xll.meLWOBondLastCouponDate('AUD-BONDS'!D24,Settings.COB)</f>
        <v>44027</v>
      </c>
      <c r="DS26" s="129">
        <f ca="1">'AUD-BONDS'!L24</f>
        <v>46037</v>
      </c>
      <c r="DT26" s="90" t="s">
        <v>100</v>
      </c>
      <c r="DU26" s="90" t="s">
        <v>103</v>
      </c>
      <c r="DV26" s="148" t="s">
        <v>82</v>
      </c>
      <c r="DW26" s="148" t="s">
        <v>65</v>
      </c>
      <c r="DX26" s="148" t="s">
        <v>82</v>
      </c>
      <c r="DY26" s="148" t="s">
        <v>65</v>
      </c>
      <c r="DZ26" s="148" t="s">
        <v>82</v>
      </c>
      <c r="EA26" s="148" t="s">
        <v>65</v>
      </c>
      <c r="EB26" s="148"/>
      <c r="EC26" s="148"/>
      <c r="ED26" s="148" t="s">
        <v>33</v>
      </c>
      <c r="EE26" s="148" t="s">
        <v>35</v>
      </c>
      <c r="EF26" s="148"/>
      <c r="EG26" s="148" t="s">
        <v>35</v>
      </c>
      <c r="EH26" s="158" t="s">
        <v>39</v>
      </c>
      <c r="EI26" s="110">
        <f t="shared" ca="1" si="10"/>
        <v>19</v>
      </c>
      <c r="EJ26" s="123" t="str">
        <f ca="1">'AUD-BONDS'!F24</f>
        <v>ISIN18</v>
      </c>
      <c r="EK26" s="124" t="str">
        <f ca="1">_xll.meLWOSwapCreate($EK$7&amp;"_"&amp;EJ26,_xll.meUtilityLVBFromKeysAndMultipleValues($ET$7:$FX$7,ET26:FX26,FZ26:HD26))</f>
        <v>#Error: Missing key 'CALCULATIONTYPE'. This key is mandatory and must be included in the Label Value Block , 'scheduleLVB'.</v>
      </c>
      <c r="EL26" s="191" t="str">
        <f ca="1">_xll.meLWOAssetSwapSpreadToCleanPrice($EK26,$EK$4,$BV26,$EW$4)</f>
        <v>#Error: Swap #ERROR does not exist</v>
      </c>
      <c r="EM26" s="110">
        <f t="shared" ref="EM26" ca="1" si="30">EM25+1</f>
        <v>19</v>
      </c>
      <c r="EN26" s="197" t="str">
        <f ca="1">_xll.meLWOBondYield('AUD-BONDS'!D24,$EK$4,$EL26)</f>
        <v>#Error: Invalid input, numerical input required</v>
      </c>
      <c r="EO26" s="190" t="str">
        <f ca="1">_xll.meLWOBondCleanPrice('AUD-BONDS'!$D24,$EK$4,$EN26)</f>
        <v>#Error: Invalid Vector Data:  Input Contains Errors</v>
      </c>
      <c r="EP26" s="190" t="str">
        <f ca="1">_xll.meLWOBondDirtyPrice('AUD-BONDS'!$D24,$EK$4,$EN26)</f>
        <v>#Error: Invalid Vector Data:  Input Contains Errors</v>
      </c>
      <c r="EQ26" s="192">
        <f ca="1">_xll.meLWOBondAccruedInterest('AUD-BONDS'!$D24,'AUD-URIDASHI-PX'!$EK$4)</f>
        <v>4250</v>
      </c>
      <c r="ER26" s="198">
        <f ca="1">_xll.meLWOBondAccruedInterestDays('AUD-BONDS'!$D24,'AUD-URIDASHI-PX'!$EK$4)</f>
        <v>39</v>
      </c>
      <c r="ES26" s="110">
        <f t="shared" ca="1" si="12"/>
        <v>19</v>
      </c>
      <c r="ET26" s="59" t="s">
        <v>263</v>
      </c>
      <c r="EU26" s="182">
        <f t="shared" ca="1" si="4"/>
        <v>1333333.3333333333</v>
      </c>
      <c r="EV26" s="148" t="s">
        <v>44</v>
      </c>
      <c r="EW26" s="148" t="s">
        <v>96</v>
      </c>
      <c r="EX26" s="148"/>
      <c r="EY26" s="148" t="s">
        <v>50</v>
      </c>
      <c r="EZ26" s="148" t="s">
        <v>45</v>
      </c>
      <c r="FA26" s="149">
        <v>1</v>
      </c>
      <c r="FB26" s="135">
        <f ca="1">'AUD-BONDS'!M24</f>
        <v>3.9199999999999999E-2</v>
      </c>
      <c r="FC26" s="148"/>
      <c r="FD26" s="148"/>
      <c r="FE26" s="155"/>
      <c r="FF26" s="148" t="s">
        <v>12</v>
      </c>
      <c r="FG26" s="149"/>
      <c r="FH26" s="129">
        <f ca="1">_xll.meLWOBondLastCouponDate('AUD-BONDS'!D24,Settings.COB)</f>
        <v>44027</v>
      </c>
      <c r="FI26" s="129">
        <f ca="1">'AUD-BONDS'!L24</f>
        <v>46037</v>
      </c>
      <c r="FJ26" s="167" t="str">
        <f ca="1">'AUD-BONDS'!O24</f>
        <v>SEMI-ANNUAL</v>
      </c>
      <c r="FK26" s="130" t="str">
        <f ca="1">'AUD-BONDS'!N24</f>
        <v>30E/360</v>
      </c>
      <c r="FL26" s="148" t="s">
        <v>82</v>
      </c>
      <c r="FM26" s="148" t="s">
        <v>68</v>
      </c>
      <c r="FN26" s="148" t="s">
        <v>82</v>
      </c>
      <c r="FO26" s="148" t="s">
        <v>68</v>
      </c>
      <c r="FP26" s="148" t="s">
        <v>82</v>
      </c>
      <c r="FQ26" s="148" t="s">
        <v>68</v>
      </c>
      <c r="FR26" s="148"/>
      <c r="FS26" s="148"/>
      <c r="FT26" s="148" t="s">
        <v>33</v>
      </c>
      <c r="FU26" s="148"/>
      <c r="FV26" s="148"/>
      <c r="FW26" s="148" t="s">
        <v>35</v>
      </c>
      <c r="FX26" s="148" t="s">
        <v>39</v>
      </c>
      <c r="FY26" s="110">
        <f t="shared" ca="1" si="13"/>
        <v>19</v>
      </c>
      <c r="FZ26" s="59" t="s">
        <v>67</v>
      </c>
      <c r="GA26" s="182">
        <f t="shared" ca="1" si="5"/>
        <v>1333333.3333333333</v>
      </c>
      <c r="GB26" s="148" t="s">
        <v>44</v>
      </c>
      <c r="GC26" s="148" t="s">
        <v>99</v>
      </c>
      <c r="GD26" s="167" t="s">
        <v>66</v>
      </c>
      <c r="GE26" s="148" t="s">
        <v>50</v>
      </c>
      <c r="GF26" s="148" t="s">
        <v>45</v>
      </c>
      <c r="GG26" s="149">
        <v>1</v>
      </c>
      <c r="GH26" s="161"/>
      <c r="GI26" s="148" t="s">
        <v>14</v>
      </c>
      <c r="GJ26" s="148" t="s">
        <v>14</v>
      </c>
      <c r="GK26" s="170">
        <f ca="1">SETTINGS!$I$6</f>
        <v>1.7100000000000001E-2</v>
      </c>
      <c r="GL26" s="148" t="s">
        <v>12</v>
      </c>
      <c r="GM26" s="188">
        <f t="shared" ca="1" si="14"/>
        <v>260.66732023507109</v>
      </c>
      <c r="GN26" s="129">
        <f ca="1">_xll.meLWOBondLastCouponDate('AUD-BONDS'!D24,Settings.COB)</f>
        <v>44027</v>
      </c>
      <c r="GO26" s="129">
        <f ca="1">'AUD-BONDS'!L24</f>
        <v>46037</v>
      </c>
      <c r="GP26" s="167" t="s">
        <v>100</v>
      </c>
      <c r="GQ26" s="130" t="s">
        <v>101</v>
      </c>
      <c r="GR26" s="164" t="s">
        <v>82</v>
      </c>
      <c r="GS26" s="164" t="s">
        <v>65</v>
      </c>
      <c r="GT26" s="164" t="s">
        <v>82</v>
      </c>
      <c r="GU26" s="164" t="s">
        <v>65</v>
      </c>
      <c r="GV26" s="164" t="s">
        <v>82</v>
      </c>
      <c r="GW26" s="164" t="s">
        <v>65</v>
      </c>
      <c r="GX26" s="148"/>
      <c r="GY26" s="148"/>
      <c r="GZ26" s="148" t="s">
        <v>33</v>
      </c>
      <c r="HA26" s="148" t="s">
        <v>35</v>
      </c>
      <c r="HB26" s="148"/>
      <c r="HC26" s="148" t="s">
        <v>35</v>
      </c>
      <c r="HD26" s="148" t="s">
        <v>39</v>
      </c>
      <c r="HE26" s="37" t="s">
        <v>264</v>
      </c>
      <c r="HF26" s="209" t="str">
        <f ca="1"/>
        <v>#Error: No range or empty range specified</v>
      </c>
      <c r="HG26" s="210" t="str">
        <f ca="1"/>
        <v>#Error: No range or empty range specified</v>
      </c>
      <c r="HH26" s="211" t="str">
        <f ca="1"/>
        <v>#Error: No range or empty range specified</v>
      </c>
      <c r="HI26" s="211" t="str">
        <f ca="1"/>
        <v>#Error: No range or empty range specified</v>
      </c>
      <c r="HJ26" s="210" t="str">
        <f ca="1"/>
        <v>#Error: No range or empty range specified</v>
      </c>
      <c r="HK26" s="216" t="str">
        <f ca="1"/>
        <v>#Error: No range or empty range specified</v>
      </c>
      <c r="HL26" s="216" t="str">
        <f ca="1"/>
        <v>#Error: No range or empty range specified</v>
      </c>
      <c r="HM26" s="211" t="str">
        <f ca="1"/>
        <v>#Error: No range or empty range specified</v>
      </c>
      <c r="HN26" s="220" t="str">
        <f ca="1"/>
        <v>#Error: No range or empty range specified</v>
      </c>
      <c r="HO26" s="216" t="str">
        <f ca="1"/>
        <v>#Error: No range or empty range specified</v>
      </c>
      <c r="HP26" s="222" t="str">
        <f ca="1"/>
        <v>#Error: No range or empty range specified</v>
      </c>
      <c r="HQ26" s="224" t="str">
        <f ca="1"/>
        <v>#Error: No range or empty range specified</v>
      </c>
    </row>
    <row r="27" spans="1:225">
      <c r="A27" s="110">
        <f t="shared" ca="1" si="6"/>
        <v>20</v>
      </c>
      <c r="B27" s="123" t="str">
        <f ca="1">'USD-BONDS'!F25</f>
        <v>ISIN19</v>
      </c>
      <c r="C27" s="206">
        <f ca="1">'USD-BONDS'!B25</f>
        <v>100</v>
      </c>
      <c r="D27" s="124" t="str">
        <f ca="1">_xll.meLWOSwapCreate($D$7&amp;"_"&amp;B27,_xll.meUtilityLVBFromKeysAndMultipleValues($G$7:$AL$7,G27:AL27,AN27:BS27))</f>
        <v>USD_ASW_ISIN19@168:6</v>
      </c>
      <c r="E27" s="270">
        <f ca="1">_xll.meLWOAssetSwapSpread(D27,'USD-BONDS'!D25,C27,$J$4:$K$5)</f>
        <v>285.35446266608909</v>
      </c>
      <c r="F27" s="110">
        <f t="shared" ca="1" si="7"/>
        <v>20</v>
      </c>
      <c r="G27" s="59" t="s">
        <v>263</v>
      </c>
      <c r="H27" s="147">
        <v>1000000</v>
      </c>
      <c r="I27" s="148" t="s">
        <v>44</v>
      </c>
      <c r="J27" s="148" t="s">
        <v>96</v>
      </c>
      <c r="K27" s="148"/>
      <c r="L27" s="148" t="s">
        <v>46</v>
      </c>
      <c r="M27" s="148" t="s">
        <v>9</v>
      </c>
      <c r="N27" s="149">
        <v>1</v>
      </c>
      <c r="O27" s="135">
        <f ca="1">'USD-BONDS'!M25</f>
        <v>3.2000000000000001E-2</v>
      </c>
      <c r="P27" s="148"/>
      <c r="Q27" s="148"/>
      <c r="R27" s="155"/>
      <c r="S27" s="148" t="s">
        <v>12</v>
      </c>
      <c r="T27" s="149"/>
      <c r="U27" s="129">
        <f ca="1">_xll.meLWOBondLastCouponDate('USD-BONDS'!D25,Settings.COB)</f>
        <v>43916</v>
      </c>
      <c r="V27" s="129">
        <f ca="1">'USD-BONDS'!L25</f>
        <v>45742</v>
      </c>
      <c r="W27" s="167" t="str">
        <f ca="1">'USD-BONDS'!O25</f>
        <v>SEMI-ANNUAL</v>
      </c>
      <c r="X27" s="130" t="str">
        <f ca="1">'USD-BONDS'!N25</f>
        <v>30E/360</v>
      </c>
      <c r="Y27" s="148" t="s">
        <v>82</v>
      </c>
      <c r="Z27" s="148" t="s">
        <v>68</v>
      </c>
      <c r="AA27" s="148" t="s">
        <v>82</v>
      </c>
      <c r="AB27" s="148" t="s">
        <v>68</v>
      </c>
      <c r="AC27" s="148" t="s">
        <v>82</v>
      </c>
      <c r="AD27" s="148" t="s">
        <v>68</v>
      </c>
      <c r="AE27" s="148"/>
      <c r="AF27" s="148"/>
      <c r="AG27" s="148" t="s">
        <v>33</v>
      </c>
      <c r="AH27" s="148"/>
      <c r="AI27" s="148"/>
      <c r="AJ27" s="148" t="s">
        <v>35</v>
      </c>
      <c r="AK27" s="262" t="s">
        <v>267</v>
      </c>
      <c r="AL27" s="158" t="s">
        <v>39</v>
      </c>
      <c r="AM27" s="110">
        <f t="shared" ca="1" si="8"/>
        <v>20</v>
      </c>
      <c r="AN27" s="59" t="s">
        <v>67</v>
      </c>
      <c r="AO27" s="147">
        <v>1000000</v>
      </c>
      <c r="AP27" s="148" t="s">
        <v>44</v>
      </c>
      <c r="AQ27" s="148" t="s">
        <v>99</v>
      </c>
      <c r="AR27" s="167" t="s">
        <v>102</v>
      </c>
      <c r="AS27" s="148" t="s">
        <v>46</v>
      </c>
      <c r="AT27" s="148" t="s">
        <v>9</v>
      </c>
      <c r="AU27" s="149">
        <v>1</v>
      </c>
      <c r="AV27" s="161"/>
      <c r="AW27" s="148" t="s">
        <v>14</v>
      </c>
      <c r="AX27" s="148" t="s">
        <v>14</v>
      </c>
      <c r="AY27" s="170">
        <f ca="1">SETTINGS!$F$6</f>
        <v>1.2955599999999999E-2</v>
      </c>
      <c r="AZ27" s="148" t="s">
        <v>12</v>
      </c>
      <c r="BA27" s="149">
        <v>0</v>
      </c>
      <c r="BB27" s="129">
        <f ca="1">_xll.meLWOBondLastCouponDate('USD-BONDS'!D25,Settings.COB)</f>
        <v>43916</v>
      </c>
      <c r="BC27" s="129">
        <f ca="1">'USD-BONDS'!L25</f>
        <v>45742</v>
      </c>
      <c r="BD27" s="167" t="s">
        <v>100</v>
      </c>
      <c r="BE27" s="130" t="s">
        <v>101</v>
      </c>
      <c r="BF27" s="164" t="s">
        <v>82</v>
      </c>
      <c r="BG27" s="164" t="s">
        <v>68</v>
      </c>
      <c r="BH27" s="164" t="s">
        <v>82</v>
      </c>
      <c r="BI27" s="164" t="s">
        <v>68</v>
      </c>
      <c r="BJ27" s="164" t="s">
        <v>82</v>
      </c>
      <c r="BK27" s="164" t="s">
        <v>68</v>
      </c>
      <c r="BL27" s="148"/>
      <c r="BM27" s="148"/>
      <c r="BN27" s="148" t="s">
        <v>33</v>
      </c>
      <c r="BO27" s="148" t="s">
        <v>35</v>
      </c>
      <c r="BP27" s="148"/>
      <c r="BQ27" s="148" t="s">
        <v>35</v>
      </c>
      <c r="BR27" s="148"/>
      <c r="BS27" s="158" t="s">
        <v>39</v>
      </c>
      <c r="BT27" s="110">
        <f t="shared" ca="1" si="9"/>
        <v>20</v>
      </c>
      <c r="BU27" s="174" t="str">
        <f ca="1">_xll.meLWOXccySwapCreate($BU$7&amp;"_"&amp;B27,_xll.meUtilityLVBFromKeysAndMultipleValues($BX$7:$DB$7,BX27:DB27,DD27:EH27),$CC$2:$CD$5)</f>
        <v>XCCY_SWAP_ISIN19@200:6</v>
      </c>
      <c r="BV27" s="175">
        <f ca="1">_xll.meLWOXccySwapParSpread(BU27,$BZ$2:$CA$6,,$BZ$3)</f>
        <v>260.66732023507109</v>
      </c>
      <c r="BW27" s="110">
        <f t="shared" ca="1" si="0"/>
        <v>21</v>
      </c>
      <c r="BX27" s="59" t="s">
        <v>97</v>
      </c>
      <c r="BY27" s="147">
        <v>1000000</v>
      </c>
      <c r="BZ27" s="148" t="s">
        <v>71</v>
      </c>
      <c r="CA27" s="148" t="s">
        <v>96</v>
      </c>
      <c r="CB27" s="136" t="s">
        <v>102</v>
      </c>
      <c r="CC27" s="148" t="s">
        <v>46</v>
      </c>
      <c r="CD27" s="148" t="s">
        <v>9</v>
      </c>
      <c r="CE27" s="149">
        <v>1</v>
      </c>
      <c r="CF27" s="148"/>
      <c r="CG27" s="148" t="s">
        <v>14</v>
      </c>
      <c r="CH27" s="148" t="s">
        <v>14</v>
      </c>
      <c r="CI27" s="170">
        <f ca="1">SETTINGS!$F$6</f>
        <v>1.2955599999999999E-2</v>
      </c>
      <c r="CJ27" s="148" t="s">
        <v>12</v>
      </c>
      <c r="CK27" s="178">
        <f t="shared" ca="1" si="1"/>
        <v>285.35446266608909</v>
      </c>
      <c r="CL27" s="129">
        <f ca="1">_xll.meLWOBondLastCouponDate('USD-BONDS'!D25,Settings.COB)</f>
        <v>43916</v>
      </c>
      <c r="CM27" s="129">
        <f ca="1">'USD-BONDS'!L25</f>
        <v>45742</v>
      </c>
      <c r="CN27" s="167" t="s">
        <v>100</v>
      </c>
      <c r="CO27" s="167" t="s">
        <v>101</v>
      </c>
      <c r="CP27" s="148" t="s">
        <v>82</v>
      </c>
      <c r="CQ27" s="148" t="s">
        <v>68</v>
      </c>
      <c r="CR27" s="148" t="s">
        <v>82</v>
      </c>
      <c r="CS27" s="148" t="s">
        <v>68</v>
      </c>
      <c r="CT27" s="148" t="s">
        <v>82</v>
      </c>
      <c r="CU27" s="148" t="s">
        <v>68</v>
      </c>
      <c r="CV27" s="148"/>
      <c r="CW27" s="148"/>
      <c r="CX27" s="148" t="s">
        <v>33</v>
      </c>
      <c r="CY27" s="148" t="s">
        <v>35</v>
      </c>
      <c r="CZ27" s="148"/>
      <c r="DA27" s="148" t="s">
        <v>35</v>
      </c>
      <c r="DB27" s="158" t="s">
        <v>39</v>
      </c>
      <c r="DC27" s="110">
        <f t="shared" ca="1" si="2"/>
        <v>21</v>
      </c>
      <c r="DD27" s="59" t="s">
        <v>67</v>
      </c>
      <c r="DE27" s="182">
        <f t="shared" ca="1" si="3"/>
        <v>1333333.3333333333</v>
      </c>
      <c r="DF27" s="148" t="s">
        <v>71</v>
      </c>
      <c r="DG27" s="148" t="s">
        <v>99</v>
      </c>
      <c r="DH27" s="183" t="s">
        <v>66</v>
      </c>
      <c r="DI27" s="148" t="s">
        <v>105</v>
      </c>
      <c r="DJ27" s="148" t="s">
        <v>45</v>
      </c>
      <c r="DK27" s="149">
        <v>1</v>
      </c>
      <c r="DL27" s="148"/>
      <c r="DM27" s="148" t="s">
        <v>14</v>
      </c>
      <c r="DN27" s="148" t="s">
        <v>14</v>
      </c>
      <c r="DO27" s="170">
        <f ca="1">SETTINGS!$I$6</f>
        <v>1.7100000000000001E-2</v>
      </c>
      <c r="DP27" s="148" t="s">
        <v>12</v>
      </c>
      <c r="DQ27" s="149">
        <v>0</v>
      </c>
      <c r="DR27" s="129">
        <f ca="1">_xll.meLWOBondLastCouponDate('AUD-BONDS'!D25,Settings.COB)</f>
        <v>44027</v>
      </c>
      <c r="DS27" s="129">
        <f ca="1">'AUD-BONDS'!L25</f>
        <v>46037</v>
      </c>
      <c r="DT27" s="90" t="s">
        <v>100</v>
      </c>
      <c r="DU27" s="90" t="s">
        <v>103</v>
      </c>
      <c r="DV27" s="148" t="s">
        <v>82</v>
      </c>
      <c r="DW27" s="148" t="s">
        <v>65</v>
      </c>
      <c r="DX27" s="148" t="s">
        <v>82</v>
      </c>
      <c r="DY27" s="148" t="s">
        <v>65</v>
      </c>
      <c r="DZ27" s="148" t="s">
        <v>82</v>
      </c>
      <c r="EA27" s="148" t="s">
        <v>65</v>
      </c>
      <c r="EB27" s="148"/>
      <c r="EC27" s="148"/>
      <c r="ED27" s="148" t="s">
        <v>33</v>
      </c>
      <c r="EE27" s="148" t="s">
        <v>35</v>
      </c>
      <c r="EF27" s="148"/>
      <c r="EG27" s="148" t="s">
        <v>35</v>
      </c>
      <c r="EH27" s="158" t="s">
        <v>39</v>
      </c>
      <c r="EI27" s="110">
        <f t="shared" ca="1" si="10"/>
        <v>20</v>
      </c>
      <c r="EJ27" s="123" t="str">
        <f ca="1">'AUD-BONDS'!F25</f>
        <v>ISIN19</v>
      </c>
      <c r="EK27" s="124" t="str">
        <f ca="1">_xll.meLWOSwapCreate($EK$7&amp;"_"&amp;EJ27,_xll.meUtilityLVBFromKeysAndMultipleValues($ET$7:$FX$7,ET27:FX27,FZ27:HD27))</f>
        <v>#Error: Missing key 'CALCULATIONTYPE'. This key is mandatory and must be included in the Label Value Block , 'scheduleLVB'.</v>
      </c>
      <c r="EL27" s="191" t="str">
        <f ca="1">_xll.meLWOAssetSwapSpreadToCleanPrice($EK27,$EK$4,$BV27,$EW$4)</f>
        <v>#Error: Swap #ERROR does not exist</v>
      </c>
      <c r="EM27" s="110">
        <f t="shared" ref="EM27" ca="1" si="31">EM26+1</f>
        <v>20</v>
      </c>
      <c r="EN27" s="197" t="str">
        <f ca="1">_xll.meLWOBondYield('AUD-BONDS'!D25,$EK$4,$EL27)</f>
        <v>#Error: Invalid input, numerical input required</v>
      </c>
      <c r="EO27" s="190" t="str">
        <f ca="1">_xll.meLWOBondCleanPrice('AUD-BONDS'!$D25,$EK$4,$EN27)</f>
        <v>#Error: Invalid Vector Data:  Input Contains Errors</v>
      </c>
      <c r="EP27" s="190" t="str">
        <f ca="1">_xll.meLWOBondDirtyPrice('AUD-BONDS'!$D25,$EK$4,$EN27)</f>
        <v>#Error: Invalid Vector Data:  Input Contains Errors</v>
      </c>
      <c r="EQ27" s="192">
        <f ca="1">_xll.meLWOBondAccruedInterest('AUD-BONDS'!$D25,'AUD-URIDASHI-PX'!$EK$4)</f>
        <v>4250</v>
      </c>
      <c r="ER27" s="198">
        <f ca="1">_xll.meLWOBondAccruedInterestDays('AUD-BONDS'!$D25,'AUD-URIDASHI-PX'!$EK$4)</f>
        <v>39</v>
      </c>
      <c r="ES27" s="110">
        <f t="shared" ca="1" si="12"/>
        <v>20</v>
      </c>
      <c r="ET27" s="59" t="s">
        <v>263</v>
      </c>
      <c r="EU27" s="182">
        <f t="shared" ca="1" si="4"/>
        <v>1333333.3333333333</v>
      </c>
      <c r="EV27" s="148" t="s">
        <v>44</v>
      </c>
      <c r="EW27" s="148" t="s">
        <v>96</v>
      </c>
      <c r="EX27" s="148"/>
      <c r="EY27" s="148" t="s">
        <v>50</v>
      </c>
      <c r="EZ27" s="148" t="s">
        <v>45</v>
      </c>
      <c r="FA27" s="149">
        <v>1</v>
      </c>
      <c r="FB27" s="135">
        <f ca="1">'AUD-BONDS'!M25</f>
        <v>3.9199999999999999E-2</v>
      </c>
      <c r="FC27" s="148"/>
      <c r="FD27" s="148"/>
      <c r="FE27" s="155"/>
      <c r="FF27" s="148" t="s">
        <v>12</v>
      </c>
      <c r="FG27" s="149"/>
      <c r="FH27" s="129">
        <f ca="1">_xll.meLWOBondLastCouponDate('AUD-BONDS'!D25,Settings.COB)</f>
        <v>44027</v>
      </c>
      <c r="FI27" s="129">
        <f ca="1">'AUD-BONDS'!L25</f>
        <v>46037</v>
      </c>
      <c r="FJ27" s="167" t="str">
        <f ca="1">'AUD-BONDS'!O25</f>
        <v>SEMI-ANNUAL</v>
      </c>
      <c r="FK27" s="130" t="str">
        <f ca="1">'AUD-BONDS'!N25</f>
        <v>30E/360</v>
      </c>
      <c r="FL27" s="148" t="s">
        <v>82</v>
      </c>
      <c r="FM27" s="148" t="s">
        <v>68</v>
      </c>
      <c r="FN27" s="148" t="s">
        <v>82</v>
      </c>
      <c r="FO27" s="148" t="s">
        <v>68</v>
      </c>
      <c r="FP27" s="148" t="s">
        <v>82</v>
      </c>
      <c r="FQ27" s="148" t="s">
        <v>68</v>
      </c>
      <c r="FR27" s="148"/>
      <c r="FS27" s="148"/>
      <c r="FT27" s="148" t="s">
        <v>33</v>
      </c>
      <c r="FU27" s="148"/>
      <c r="FV27" s="148"/>
      <c r="FW27" s="148" t="s">
        <v>35</v>
      </c>
      <c r="FX27" s="148" t="s">
        <v>39</v>
      </c>
      <c r="FY27" s="110">
        <f t="shared" ca="1" si="13"/>
        <v>20</v>
      </c>
      <c r="FZ27" s="59" t="s">
        <v>67</v>
      </c>
      <c r="GA27" s="182">
        <f t="shared" ca="1" si="5"/>
        <v>1333333.3333333333</v>
      </c>
      <c r="GB27" s="148" t="s">
        <v>44</v>
      </c>
      <c r="GC27" s="148" t="s">
        <v>99</v>
      </c>
      <c r="GD27" s="167" t="s">
        <v>66</v>
      </c>
      <c r="GE27" s="148" t="s">
        <v>50</v>
      </c>
      <c r="GF27" s="148" t="s">
        <v>45</v>
      </c>
      <c r="GG27" s="149">
        <v>1</v>
      </c>
      <c r="GH27" s="161"/>
      <c r="GI27" s="148" t="s">
        <v>14</v>
      </c>
      <c r="GJ27" s="148" t="s">
        <v>14</v>
      </c>
      <c r="GK27" s="170">
        <f ca="1">SETTINGS!$I$6</f>
        <v>1.7100000000000001E-2</v>
      </c>
      <c r="GL27" s="148" t="s">
        <v>12</v>
      </c>
      <c r="GM27" s="188">
        <f t="shared" ca="1" si="14"/>
        <v>260.66732023507109</v>
      </c>
      <c r="GN27" s="129">
        <f ca="1">_xll.meLWOBondLastCouponDate('AUD-BONDS'!D25,Settings.COB)</f>
        <v>44027</v>
      </c>
      <c r="GO27" s="129">
        <f ca="1">'AUD-BONDS'!L25</f>
        <v>46037</v>
      </c>
      <c r="GP27" s="167" t="s">
        <v>100</v>
      </c>
      <c r="GQ27" s="130" t="s">
        <v>101</v>
      </c>
      <c r="GR27" s="164" t="s">
        <v>82</v>
      </c>
      <c r="GS27" s="164" t="s">
        <v>65</v>
      </c>
      <c r="GT27" s="164" t="s">
        <v>82</v>
      </c>
      <c r="GU27" s="164" t="s">
        <v>65</v>
      </c>
      <c r="GV27" s="164" t="s">
        <v>82</v>
      </c>
      <c r="GW27" s="164" t="s">
        <v>65</v>
      </c>
      <c r="GX27" s="148"/>
      <c r="GY27" s="148"/>
      <c r="GZ27" s="148" t="s">
        <v>33</v>
      </c>
      <c r="HA27" s="148" t="s">
        <v>35</v>
      </c>
      <c r="HB27" s="148"/>
      <c r="HC27" s="148" t="s">
        <v>35</v>
      </c>
      <c r="HD27" s="148" t="s">
        <v>39</v>
      </c>
      <c r="HE27" s="37" t="s">
        <v>264</v>
      </c>
      <c r="HF27" s="209" t="str">
        <f ca="1"/>
        <v>#Error: No range or empty range specified</v>
      </c>
      <c r="HG27" s="210" t="str">
        <f ca="1"/>
        <v>#Error: No range or empty range specified</v>
      </c>
      <c r="HH27" s="211" t="str">
        <f ca="1"/>
        <v>#Error: No range or empty range specified</v>
      </c>
      <c r="HI27" s="211" t="str">
        <f ca="1"/>
        <v>#Error: No range or empty range specified</v>
      </c>
      <c r="HJ27" s="210" t="str">
        <f ca="1"/>
        <v>#Error: No range or empty range specified</v>
      </c>
      <c r="HK27" s="216" t="str">
        <f ca="1"/>
        <v>#Error: No range or empty range specified</v>
      </c>
      <c r="HL27" s="216" t="str">
        <f ca="1"/>
        <v>#Error: No range or empty range specified</v>
      </c>
      <c r="HM27" s="211" t="str">
        <f ca="1"/>
        <v>#Error: No range or empty range specified</v>
      </c>
      <c r="HN27" s="220" t="str">
        <f ca="1"/>
        <v>#Error: No range or empty range specified</v>
      </c>
      <c r="HO27" s="216" t="str">
        <f ca="1"/>
        <v>#Error: No range or empty range specified</v>
      </c>
      <c r="HP27" s="222" t="str">
        <f ca="1"/>
        <v>#Error: No range or empty range specified</v>
      </c>
      <c r="HQ27" s="224" t="str">
        <f ca="1"/>
        <v>#Error: No range or empty range specified</v>
      </c>
    </row>
    <row r="28" spans="1:225">
      <c r="A28" s="110">
        <f t="shared" ca="1" si="6"/>
        <v>21</v>
      </c>
      <c r="B28" s="123" t="str">
        <f ca="1">'USD-BONDS'!F26</f>
        <v>ISIN20</v>
      </c>
      <c r="C28" s="206">
        <f ca="1">'USD-BONDS'!B26</f>
        <v>100</v>
      </c>
      <c r="D28" s="124" t="str">
        <f ca="1">_xll.meLWOSwapCreate($D$7&amp;"_"&amp;B28,_xll.meUtilityLVBFromKeysAndMultipleValues($G$7:$AL$7,G28:AL28,AN28:BS28))</f>
        <v>USD_ASW_ISIN20@171:6</v>
      </c>
      <c r="E28" s="270">
        <f ca="1">_xll.meLWOAssetSwapSpread(D28,'USD-BONDS'!D26,C28,$J$4:$K$5)</f>
        <v>285.35446266608909</v>
      </c>
      <c r="F28" s="110">
        <f t="shared" ca="1" si="7"/>
        <v>21</v>
      </c>
      <c r="G28" s="59" t="s">
        <v>263</v>
      </c>
      <c r="H28" s="147">
        <v>1000000</v>
      </c>
      <c r="I28" s="148" t="s">
        <v>44</v>
      </c>
      <c r="J28" s="148" t="s">
        <v>96</v>
      </c>
      <c r="K28" s="148"/>
      <c r="L28" s="148" t="s">
        <v>46</v>
      </c>
      <c r="M28" s="148" t="s">
        <v>9</v>
      </c>
      <c r="N28" s="149">
        <v>1</v>
      </c>
      <c r="O28" s="135">
        <f ca="1">'USD-BONDS'!M26</f>
        <v>3.2000000000000001E-2</v>
      </c>
      <c r="P28" s="148"/>
      <c r="Q28" s="148"/>
      <c r="R28" s="155"/>
      <c r="S28" s="148" t="s">
        <v>12</v>
      </c>
      <c r="T28" s="149"/>
      <c r="U28" s="129">
        <f ca="1">_xll.meLWOBondLastCouponDate('USD-BONDS'!D26,Settings.COB)</f>
        <v>43916</v>
      </c>
      <c r="V28" s="129">
        <f ca="1">'USD-BONDS'!L26</f>
        <v>45742</v>
      </c>
      <c r="W28" s="167" t="str">
        <f ca="1">'USD-BONDS'!O26</f>
        <v>SEMI-ANNUAL</v>
      </c>
      <c r="X28" s="130" t="str">
        <f ca="1">'USD-BONDS'!N26</f>
        <v>30E/360</v>
      </c>
      <c r="Y28" s="148" t="s">
        <v>82</v>
      </c>
      <c r="Z28" s="148" t="s">
        <v>68</v>
      </c>
      <c r="AA28" s="148" t="s">
        <v>82</v>
      </c>
      <c r="AB28" s="148" t="s">
        <v>68</v>
      </c>
      <c r="AC28" s="148" t="s">
        <v>82</v>
      </c>
      <c r="AD28" s="148" t="s">
        <v>68</v>
      </c>
      <c r="AE28" s="148"/>
      <c r="AF28" s="148"/>
      <c r="AG28" s="148" t="s">
        <v>33</v>
      </c>
      <c r="AH28" s="148"/>
      <c r="AI28" s="148"/>
      <c r="AJ28" s="148" t="s">
        <v>35</v>
      </c>
      <c r="AK28" s="262" t="s">
        <v>267</v>
      </c>
      <c r="AL28" s="158" t="s">
        <v>39</v>
      </c>
      <c r="AM28" s="110">
        <f t="shared" ca="1" si="8"/>
        <v>21</v>
      </c>
      <c r="AN28" s="59" t="s">
        <v>67</v>
      </c>
      <c r="AO28" s="147">
        <v>1000000</v>
      </c>
      <c r="AP28" s="148" t="s">
        <v>44</v>
      </c>
      <c r="AQ28" s="148" t="s">
        <v>99</v>
      </c>
      <c r="AR28" s="167" t="s">
        <v>102</v>
      </c>
      <c r="AS28" s="148" t="s">
        <v>46</v>
      </c>
      <c r="AT28" s="148" t="s">
        <v>9</v>
      </c>
      <c r="AU28" s="149">
        <v>1</v>
      </c>
      <c r="AV28" s="161"/>
      <c r="AW28" s="148" t="s">
        <v>14</v>
      </c>
      <c r="AX28" s="148" t="s">
        <v>14</v>
      </c>
      <c r="AY28" s="170">
        <f ca="1">SETTINGS!$F$6</f>
        <v>1.2955599999999999E-2</v>
      </c>
      <c r="AZ28" s="148" t="s">
        <v>12</v>
      </c>
      <c r="BA28" s="149">
        <v>0</v>
      </c>
      <c r="BB28" s="129">
        <f ca="1">_xll.meLWOBondLastCouponDate('USD-BONDS'!D26,Settings.COB)</f>
        <v>43916</v>
      </c>
      <c r="BC28" s="129">
        <f ca="1">'USD-BONDS'!L26</f>
        <v>45742</v>
      </c>
      <c r="BD28" s="167" t="s">
        <v>100</v>
      </c>
      <c r="BE28" s="130" t="s">
        <v>101</v>
      </c>
      <c r="BF28" s="164" t="s">
        <v>82</v>
      </c>
      <c r="BG28" s="164" t="s">
        <v>68</v>
      </c>
      <c r="BH28" s="164" t="s">
        <v>82</v>
      </c>
      <c r="BI28" s="164" t="s">
        <v>68</v>
      </c>
      <c r="BJ28" s="164" t="s">
        <v>82</v>
      </c>
      <c r="BK28" s="164" t="s">
        <v>68</v>
      </c>
      <c r="BL28" s="148"/>
      <c r="BM28" s="148"/>
      <c r="BN28" s="148" t="s">
        <v>33</v>
      </c>
      <c r="BO28" s="148" t="s">
        <v>35</v>
      </c>
      <c r="BP28" s="148"/>
      <c r="BQ28" s="148" t="s">
        <v>35</v>
      </c>
      <c r="BR28" s="148"/>
      <c r="BS28" s="158" t="s">
        <v>39</v>
      </c>
      <c r="BT28" s="110">
        <f t="shared" ca="1" si="9"/>
        <v>21</v>
      </c>
      <c r="BU28" s="174" t="str">
        <f ca="1">_xll.meLWOXccySwapCreate($BU$7&amp;"_"&amp;B28,_xll.meUtilityLVBFromKeysAndMultipleValues($BX$7:$DB$7,BX28:DB28,DD28:EH28),$CC$2:$CD$5)</f>
        <v>XCCY_SWAP_ISIN20@194:6</v>
      </c>
      <c r="BV28" s="175">
        <f ca="1">_xll.meLWOXccySwapParSpread(BU28,$BZ$2:$CA$6,,$BZ$3)</f>
        <v>260.66732023507109</v>
      </c>
      <c r="BW28" s="110">
        <f t="shared" ca="1" si="0"/>
        <v>22</v>
      </c>
      <c r="BX28" s="59" t="s">
        <v>97</v>
      </c>
      <c r="BY28" s="147">
        <v>1000000</v>
      </c>
      <c r="BZ28" s="148" t="s">
        <v>71</v>
      </c>
      <c r="CA28" s="148" t="s">
        <v>96</v>
      </c>
      <c r="CB28" s="136" t="s">
        <v>102</v>
      </c>
      <c r="CC28" s="148" t="s">
        <v>46</v>
      </c>
      <c r="CD28" s="148" t="s">
        <v>9</v>
      </c>
      <c r="CE28" s="149">
        <v>1</v>
      </c>
      <c r="CF28" s="148"/>
      <c r="CG28" s="148" t="s">
        <v>14</v>
      </c>
      <c r="CH28" s="148" t="s">
        <v>14</v>
      </c>
      <c r="CI28" s="170">
        <f ca="1">SETTINGS!$F$6</f>
        <v>1.2955599999999999E-2</v>
      </c>
      <c r="CJ28" s="148" t="s">
        <v>12</v>
      </c>
      <c r="CK28" s="178">
        <f t="shared" ca="1" si="1"/>
        <v>285.35446266608909</v>
      </c>
      <c r="CL28" s="129">
        <f ca="1">_xll.meLWOBondLastCouponDate('USD-BONDS'!D26,Settings.COB)</f>
        <v>43916</v>
      </c>
      <c r="CM28" s="129">
        <f ca="1">'USD-BONDS'!L26</f>
        <v>45742</v>
      </c>
      <c r="CN28" s="167" t="s">
        <v>100</v>
      </c>
      <c r="CO28" s="167" t="s">
        <v>101</v>
      </c>
      <c r="CP28" s="148" t="s">
        <v>82</v>
      </c>
      <c r="CQ28" s="148" t="s">
        <v>68</v>
      </c>
      <c r="CR28" s="148" t="s">
        <v>82</v>
      </c>
      <c r="CS28" s="148" t="s">
        <v>68</v>
      </c>
      <c r="CT28" s="148" t="s">
        <v>82</v>
      </c>
      <c r="CU28" s="148" t="s">
        <v>68</v>
      </c>
      <c r="CV28" s="148"/>
      <c r="CW28" s="148"/>
      <c r="CX28" s="148" t="s">
        <v>33</v>
      </c>
      <c r="CY28" s="148" t="s">
        <v>35</v>
      </c>
      <c r="CZ28" s="148"/>
      <c r="DA28" s="148" t="s">
        <v>35</v>
      </c>
      <c r="DB28" s="158" t="s">
        <v>39</v>
      </c>
      <c r="DC28" s="110">
        <f t="shared" ca="1" si="2"/>
        <v>22</v>
      </c>
      <c r="DD28" s="59" t="s">
        <v>67</v>
      </c>
      <c r="DE28" s="182">
        <f t="shared" ca="1" si="3"/>
        <v>1333333.3333333333</v>
      </c>
      <c r="DF28" s="148" t="s">
        <v>71</v>
      </c>
      <c r="DG28" s="148" t="s">
        <v>99</v>
      </c>
      <c r="DH28" s="183" t="s">
        <v>66</v>
      </c>
      <c r="DI28" s="148" t="s">
        <v>105</v>
      </c>
      <c r="DJ28" s="148" t="s">
        <v>45</v>
      </c>
      <c r="DK28" s="149">
        <v>1</v>
      </c>
      <c r="DL28" s="148"/>
      <c r="DM28" s="148" t="s">
        <v>14</v>
      </c>
      <c r="DN28" s="148" t="s">
        <v>14</v>
      </c>
      <c r="DO28" s="170">
        <f ca="1">SETTINGS!$I$6</f>
        <v>1.7100000000000001E-2</v>
      </c>
      <c r="DP28" s="148" t="s">
        <v>12</v>
      </c>
      <c r="DQ28" s="149">
        <v>0</v>
      </c>
      <c r="DR28" s="129">
        <f ca="1">_xll.meLWOBondLastCouponDate('AUD-BONDS'!D26,Settings.COB)</f>
        <v>44027</v>
      </c>
      <c r="DS28" s="129">
        <f ca="1">'AUD-BONDS'!L26</f>
        <v>46037</v>
      </c>
      <c r="DT28" s="90" t="s">
        <v>100</v>
      </c>
      <c r="DU28" s="90" t="s">
        <v>103</v>
      </c>
      <c r="DV28" s="148" t="s">
        <v>82</v>
      </c>
      <c r="DW28" s="148" t="s">
        <v>65</v>
      </c>
      <c r="DX28" s="148" t="s">
        <v>82</v>
      </c>
      <c r="DY28" s="148" t="s">
        <v>65</v>
      </c>
      <c r="DZ28" s="148" t="s">
        <v>82</v>
      </c>
      <c r="EA28" s="148" t="s">
        <v>65</v>
      </c>
      <c r="EB28" s="148"/>
      <c r="EC28" s="148"/>
      <c r="ED28" s="148" t="s">
        <v>33</v>
      </c>
      <c r="EE28" s="148" t="s">
        <v>35</v>
      </c>
      <c r="EF28" s="148"/>
      <c r="EG28" s="148" t="s">
        <v>35</v>
      </c>
      <c r="EH28" s="158" t="s">
        <v>39</v>
      </c>
      <c r="EI28" s="110">
        <f t="shared" ca="1" si="10"/>
        <v>21</v>
      </c>
      <c r="EJ28" s="123" t="str">
        <f ca="1">'AUD-BONDS'!F26</f>
        <v>ISIN20</v>
      </c>
      <c r="EK28" s="124" t="str">
        <f ca="1">_xll.meLWOSwapCreate($EK$7&amp;"_"&amp;EJ28,_xll.meUtilityLVBFromKeysAndMultipleValues($ET$7:$FX$7,ET28:FX28,FZ28:HD28))</f>
        <v>#Error: Missing key 'CALCULATIONTYPE'. This key is mandatory and must be included in the Label Value Block , 'scheduleLVB'.</v>
      </c>
      <c r="EL28" s="191" t="str">
        <f ca="1">_xll.meLWOAssetSwapSpreadToCleanPrice($EK28,$EK$4,$BV28,$EW$4)</f>
        <v>#Error: Swap #ERROR does not exist</v>
      </c>
      <c r="EM28" s="110">
        <f t="shared" ref="EM28" ca="1" si="32">EM27+1</f>
        <v>21</v>
      </c>
      <c r="EN28" s="197" t="str">
        <f ca="1">_xll.meLWOBondYield('AUD-BONDS'!D26,$EK$4,$EL28)</f>
        <v>#Error: Invalid input, numerical input required</v>
      </c>
      <c r="EO28" s="190" t="str">
        <f ca="1">_xll.meLWOBondCleanPrice('AUD-BONDS'!$D26,$EK$4,$EN28)</f>
        <v>#Error: Invalid Vector Data:  Input Contains Errors</v>
      </c>
      <c r="EP28" s="190" t="str">
        <f ca="1">_xll.meLWOBondDirtyPrice('AUD-BONDS'!$D26,$EK$4,$EN28)</f>
        <v>#Error: Invalid Vector Data:  Input Contains Errors</v>
      </c>
      <c r="EQ28" s="192">
        <f ca="1">_xll.meLWOBondAccruedInterest('AUD-BONDS'!$D26,'AUD-URIDASHI-PX'!$EK$4)</f>
        <v>4250</v>
      </c>
      <c r="ER28" s="198">
        <f ca="1">_xll.meLWOBondAccruedInterestDays('AUD-BONDS'!$D26,'AUD-URIDASHI-PX'!$EK$4)</f>
        <v>39</v>
      </c>
      <c r="ES28" s="110">
        <f t="shared" ca="1" si="12"/>
        <v>21</v>
      </c>
      <c r="ET28" s="59" t="s">
        <v>263</v>
      </c>
      <c r="EU28" s="182">
        <f t="shared" ca="1" si="4"/>
        <v>1333333.3333333333</v>
      </c>
      <c r="EV28" s="148" t="s">
        <v>44</v>
      </c>
      <c r="EW28" s="148" t="s">
        <v>96</v>
      </c>
      <c r="EX28" s="148"/>
      <c r="EY28" s="148" t="s">
        <v>50</v>
      </c>
      <c r="EZ28" s="148" t="s">
        <v>45</v>
      </c>
      <c r="FA28" s="149">
        <v>1</v>
      </c>
      <c r="FB28" s="135">
        <f ca="1">'AUD-BONDS'!M26</f>
        <v>3.9199999999999999E-2</v>
      </c>
      <c r="FC28" s="148"/>
      <c r="FD28" s="148"/>
      <c r="FE28" s="155"/>
      <c r="FF28" s="148" t="s">
        <v>12</v>
      </c>
      <c r="FG28" s="149"/>
      <c r="FH28" s="129">
        <f ca="1">_xll.meLWOBondLastCouponDate('AUD-BONDS'!D26,Settings.COB)</f>
        <v>44027</v>
      </c>
      <c r="FI28" s="129">
        <f ca="1">'AUD-BONDS'!L26</f>
        <v>46037</v>
      </c>
      <c r="FJ28" s="167" t="str">
        <f ca="1">'AUD-BONDS'!O26</f>
        <v>SEMI-ANNUAL</v>
      </c>
      <c r="FK28" s="130" t="str">
        <f ca="1">'AUD-BONDS'!N26</f>
        <v>30E/360</v>
      </c>
      <c r="FL28" s="148" t="s">
        <v>82</v>
      </c>
      <c r="FM28" s="148" t="s">
        <v>68</v>
      </c>
      <c r="FN28" s="148" t="s">
        <v>82</v>
      </c>
      <c r="FO28" s="148" t="s">
        <v>68</v>
      </c>
      <c r="FP28" s="148" t="s">
        <v>82</v>
      </c>
      <c r="FQ28" s="148" t="s">
        <v>68</v>
      </c>
      <c r="FR28" s="148"/>
      <c r="FS28" s="148"/>
      <c r="FT28" s="148" t="s">
        <v>33</v>
      </c>
      <c r="FU28" s="148"/>
      <c r="FV28" s="148"/>
      <c r="FW28" s="148" t="s">
        <v>35</v>
      </c>
      <c r="FX28" s="148" t="s">
        <v>39</v>
      </c>
      <c r="FY28" s="110">
        <f t="shared" ca="1" si="13"/>
        <v>21</v>
      </c>
      <c r="FZ28" s="59" t="s">
        <v>67</v>
      </c>
      <c r="GA28" s="182">
        <f t="shared" ca="1" si="5"/>
        <v>1333333.3333333333</v>
      </c>
      <c r="GB28" s="148" t="s">
        <v>44</v>
      </c>
      <c r="GC28" s="148" t="s">
        <v>99</v>
      </c>
      <c r="GD28" s="167" t="s">
        <v>66</v>
      </c>
      <c r="GE28" s="148" t="s">
        <v>50</v>
      </c>
      <c r="GF28" s="148" t="s">
        <v>45</v>
      </c>
      <c r="GG28" s="149">
        <v>1</v>
      </c>
      <c r="GH28" s="161"/>
      <c r="GI28" s="148" t="s">
        <v>14</v>
      </c>
      <c r="GJ28" s="148" t="s">
        <v>14</v>
      </c>
      <c r="GK28" s="170">
        <f ca="1">SETTINGS!$I$6</f>
        <v>1.7100000000000001E-2</v>
      </c>
      <c r="GL28" s="148" t="s">
        <v>12</v>
      </c>
      <c r="GM28" s="188">
        <f t="shared" ca="1" si="14"/>
        <v>260.66732023507109</v>
      </c>
      <c r="GN28" s="129">
        <f ca="1">_xll.meLWOBondLastCouponDate('AUD-BONDS'!D26,Settings.COB)</f>
        <v>44027</v>
      </c>
      <c r="GO28" s="129">
        <f ca="1">'AUD-BONDS'!L26</f>
        <v>46037</v>
      </c>
      <c r="GP28" s="167" t="s">
        <v>100</v>
      </c>
      <c r="GQ28" s="130" t="s">
        <v>101</v>
      </c>
      <c r="GR28" s="164" t="s">
        <v>82</v>
      </c>
      <c r="GS28" s="164" t="s">
        <v>65</v>
      </c>
      <c r="GT28" s="164" t="s">
        <v>82</v>
      </c>
      <c r="GU28" s="164" t="s">
        <v>65</v>
      </c>
      <c r="GV28" s="164" t="s">
        <v>82</v>
      </c>
      <c r="GW28" s="164" t="s">
        <v>65</v>
      </c>
      <c r="GX28" s="148"/>
      <c r="GY28" s="148"/>
      <c r="GZ28" s="148" t="s">
        <v>33</v>
      </c>
      <c r="HA28" s="148" t="s">
        <v>35</v>
      </c>
      <c r="HB28" s="148"/>
      <c r="HC28" s="148" t="s">
        <v>35</v>
      </c>
      <c r="HD28" s="148" t="s">
        <v>39</v>
      </c>
      <c r="HE28" s="37" t="s">
        <v>264</v>
      </c>
      <c r="HF28" s="209" t="str">
        <f ca="1"/>
        <v>#Error: No range or empty range specified</v>
      </c>
      <c r="HG28" s="210" t="str">
        <f ca="1"/>
        <v>#Error: No range or empty range specified</v>
      </c>
      <c r="HH28" s="211" t="str">
        <f ca="1"/>
        <v>#Error: No range or empty range specified</v>
      </c>
      <c r="HI28" s="211" t="str">
        <f ca="1"/>
        <v>#Error: No range or empty range specified</v>
      </c>
      <c r="HJ28" s="210" t="str">
        <f ca="1"/>
        <v>#Error: No range or empty range specified</v>
      </c>
      <c r="HK28" s="216" t="str">
        <f ca="1"/>
        <v>#Error: No range or empty range specified</v>
      </c>
      <c r="HL28" s="216" t="str">
        <f ca="1"/>
        <v>#Error: No range or empty range specified</v>
      </c>
      <c r="HM28" s="211" t="str">
        <f ca="1"/>
        <v>#Error: No range or empty range specified</v>
      </c>
      <c r="HN28" s="220" t="str">
        <f ca="1"/>
        <v>#Error: No range or empty range specified</v>
      </c>
      <c r="HO28" s="216" t="str">
        <f ca="1"/>
        <v>#Error: No range or empty range specified</v>
      </c>
      <c r="HP28" s="222" t="str">
        <f ca="1"/>
        <v>#Error: No range or empty range specified</v>
      </c>
      <c r="HQ28" s="224" t="str">
        <f ca="1"/>
        <v>#Error: No range or empty range specified</v>
      </c>
    </row>
    <row r="29" spans="1:225">
      <c r="A29" s="110">
        <f t="shared" ca="1" si="6"/>
        <v>22</v>
      </c>
      <c r="B29" s="123" t="str">
        <f ca="1">'USD-BONDS'!F27</f>
        <v>ISIN21</v>
      </c>
      <c r="C29" s="206">
        <f ca="1">'USD-BONDS'!B27</f>
        <v>100</v>
      </c>
      <c r="D29" s="124" t="str">
        <f ca="1">_xll.meLWOSwapCreate($D$7&amp;"_"&amp;B29,_xll.meUtilityLVBFromKeysAndMultipleValues($G$7:$AL$7,G29:AL29,AN29:BS29))</f>
        <v>USD_ASW_ISIN21@157:6</v>
      </c>
      <c r="E29" s="270">
        <f ca="1">_xll.meLWOAssetSwapSpread(D29,'USD-BONDS'!D27,C29,$J$4:$K$5)</f>
        <v>285.35446266608909</v>
      </c>
      <c r="F29" s="110">
        <f t="shared" ca="1" si="7"/>
        <v>22</v>
      </c>
      <c r="G29" s="59" t="s">
        <v>263</v>
      </c>
      <c r="H29" s="147">
        <v>1000000</v>
      </c>
      <c r="I29" s="148" t="s">
        <v>44</v>
      </c>
      <c r="J29" s="148" t="s">
        <v>96</v>
      </c>
      <c r="K29" s="148"/>
      <c r="L29" s="148" t="s">
        <v>46</v>
      </c>
      <c r="M29" s="148" t="s">
        <v>9</v>
      </c>
      <c r="N29" s="149">
        <v>1</v>
      </c>
      <c r="O29" s="135">
        <f ca="1">'USD-BONDS'!M27</f>
        <v>3.2000000000000001E-2</v>
      </c>
      <c r="P29" s="148"/>
      <c r="Q29" s="148"/>
      <c r="R29" s="155"/>
      <c r="S29" s="148" t="s">
        <v>12</v>
      </c>
      <c r="T29" s="149"/>
      <c r="U29" s="129">
        <f ca="1">_xll.meLWOBondLastCouponDate('USD-BONDS'!D27,Settings.COB)</f>
        <v>43916</v>
      </c>
      <c r="V29" s="129">
        <f ca="1">'USD-BONDS'!L27</f>
        <v>45742</v>
      </c>
      <c r="W29" s="167" t="str">
        <f ca="1">'USD-BONDS'!O27</f>
        <v>SEMI-ANNUAL</v>
      </c>
      <c r="X29" s="130" t="str">
        <f ca="1">'USD-BONDS'!N27</f>
        <v>30E/360</v>
      </c>
      <c r="Y29" s="148" t="s">
        <v>82</v>
      </c>
      <c r="Z29" s="148" t="s">
        <v>68</v>
      </c>
      <c r="AA29" s="148" t="s">
        <v>82</v>
      </c>
      <c r="AB29" s="148" t="s">
        <v>68</v>
      </c>
      <c r="AC29" s="148" t="s">
        <v>82</v>
      </c>
      <c r="AD29" s="148" t="s">
        <v>68</v>
      </c>
      <c r="AE29" s="148"/>
      <c r="AF29" s="148"/>
      <c r="AG29" s="148" t="s">
        <v>33</v>
      </c>
      <c r="AH29" s="148"/>
      <c r="AI29" s="148"/>
      <c r="AJ29" s="148" t="s">
        <v>35</v>
      </c>
      <c r="AK29" s="262" t="s">
        <v>267</v>
      </c>
      <c r="AL29" s="158" t="s">
        <v>39</v>
      </c>
      <c r="AM29" s="110">
        <f t="shared" ca="1" si="8"/>
        <v>22</v>
      </c>
      <c r="AN29" s="59" t="s">
        <v>67</v>
      </c>
      <c r="AO29" s="147">
        <v>1000000</v>
      </c>
      <c r="AP29" s="148" t="s">
        <v>44</v>
      </c>
      <c r="AQ29" s="148" t="s">
        <v>99</v>
      </c>
      <c r="AR29" s="167" t="s">
        <v>102</v>
      </c>
      <c r="AS29" s="148" t="s">
        <v>46</v>
      </c>
      <c r="AT29" s="148" t="s">
        <v>9</v>
      </c>
      <c r="AU29" s="149">
        <v>1</v>
      </c>
      <c r="AV29" s="161"/>
      <c r="AW29" s="148" t="s">
        <v>14</v>
      </c>
      <c r="AX29" s="148" t="s">
        <v>14</v>
      </c>
      <c r="AY29" s="170">
        <f ca="1">SETTINGS!$F$6</f>
        <v>1.2955599999999999E-2</v>
      </c>
      <c r="AZ29" s="148" t="s">
        <v>12</v>
      </c>
      <c r="BA29" s="149">
        <v>0</v>
      </c>
      <c r="BB29" s="129">
        <f ca="1">_xll.meLWOBondLastCouponDate('USD-BONDS'!D27,Settings.COB)</f>
        <v>43916</v>
      </c>
      <c r="BC29" s="129">
        <f ca="1">'USD-BONDS'!L27</f>
        <v>45742</v>
      </c>
      <c r="BD29" s="167" t="s">
        <v>100</v>
      </c>
      <c r="BE29" s="130" t="s">
        <v>101</v>
      </c>
      <c r="BF29" s="164" t="s">
        <v>82</v>
      </c>
      <c r="BG29" s="164" t="s">
        <v>68</v>
      </c>
      <c r="BH29" s="164" t="s">
        <v>82</v>
      </c>
      <c r="BI29" s="164" t="s">
        <v>68</v>
      </c>
      <c r="BJ29" s="164" t="s">
        <v>82</v>
      </c>
      <c r="BK29" s="164" t="s">
        <v>68</v>
      </c>
      <c r="BL29" s="148"/>
      <c r="BM29" s="148"/>
      <c r="BN29" s="148" t="s">
        <v>33</v>
      </c>
      <c r="BO29" s="148" t="s">
        <v>35</v>
      </c>
      <c r="BP29" s="148"/>
      <c r="BQ29" s="148" t="s">
        <v>35</v>
      </c>
      <c r="BR29" s="148"/>
      <c r="BS29" s="158" t="s">
        <v>39</v>
      </c>
      <c r="BT29" s="110">
        <f t="shared" ca="1" si="9"/>
        <v>22</v>
      </c>
      <c r="BU29" s="174" t="str">
        <f ca="1">_xll.meLWOXccySwapCreate($BU$7&amp;"_"&amp;B29,_xll.meUtilityLVBFromKeysAndMultipleValues($BX$7:$DB$7,BX29:DB29,DD29:EH29),$CC$2:$CD$5)</f>
        <v>XCCY_SWAP_ISIN21@190:6</v>
      </c>
      <c r="BV29" s="175">
        <f ca="1">_xll.meLWOXccySwapParSpread(BU29,$BZ$2:$CA$6,,$BZ$3)</f>
        <v>260.66732023507109</v>
      </c>
      <c r="BW29" s="110">
        <f t="shared" ca="1" si="0"/>
        <v>23</v>
      </c>
      <c r="BX29" s="59" t="s">
        <v>97</v>
      </c>
      <c r="BY29" s="147">
        <v>1000000</v>
      </c>
      <c r="BZ29" s="148" t="s">
        <v>71</v>
      </c>
      <c r="CA29" s="148" t="s">
        <v>96</v>
      </c>
      <c r="CB29" s="136" t="s">
        <v>102</v>
      </c>
      <c r="CC29" s="148" t="s">
        <v>46</v>
      </c>
      <c r="CD29" s="148" t="s">
        <v>9</v>
      </c>
      <c r="CE29" s="149">
        <v>1</v>
      </c>
      <c r="CF29" s="148"/>
      <c r="CG29" s="148" t="s">
        <v>14</v>
      </c>
      <c r="CH29" s="148" t="s">
        <v>14</v>
      </c>
      <c r="CI29" s="170">
        <f ca="1">SETTINGS!$F$6</f>
        <v>1.2955599999999999E-2</v>
      </c>
      <c r="CJ29" s="148" t="s">
        <v>12</v>
      </c>
      <c r="CK29" s="178">
        <f t="shared" ca="1" si="1"/>
        <v>285.35446266608909</v>
      </c>
      <c r="CL29" s="129">
        <f ca="1">_xll.meLWOBondLastCouponDate('USD-BONDS'!D27,Settings.COB)</f>
        <v>43916</v>
      </c>
      <c r="CM29" s="129">
        <f ca="1">'USD-BONDS'!L27</f>
        <v>45742</v>
      </c>
      <c r="CN29" s="167" t="s">
        <v>100</v>
      </c>
      <c r="CO29" s="167" t="s">
        <v>101</v>
      </c>
      <c r="CP29" s="148" t="s">
        <v>82</v>
      </c>
      <c r="CQ29" s="148" t="s">
        <v>68</v>
      </c>
      <c r="CR29" s="148" t="s">
        <v>82</v>
      </c>
      <c r="CS29" s="148" t="s">
        <v>68</v>
      </c>
      <c r="CT29" s="148" t="s">
        <v>82</v>
      </c>
      <c r="CU29" s="148" t="s">
        <v>68</v>
      </c>
      <c r="CV29" s="148"/>
      <c r="CW29" s="148"/>
      <c r="CX29" s="148" t="s">
        <v>33</v>
      </c>
      <c r="CY29" s="148" t="s">
        <v>35</v>
      </c>
      <c r="CZ29" s="148"/>
      <c r="DA29" s="148" t="s">
        <v>35</v>
      </c>
      <c r="DB29" s="158" t="s">
        <v>39</v>
      </c>
      <c r="DC29" s="110">
        <f t="shared" ca="1" si="2"/>
        <v>23</v>
      </c>
      <c r="DD29" s="59" t="s">
        <v>67</v>
      </c>
      <c r="DE29" s="182">
        <f t="shared" ca="1" si="3"/>
        <v>1333333.3333333333</v>
      </c>
      <c r="DF29" s="148" t="s">
        <v>71</v>
      </c>
      <c r="DG29" s="148" t="s">
        <v>99</v>
      </c>
      <c r="DH29" s="183" t="s">
        <v>66</v>
      </c>
      <c r="DI29" s="148" t="s">
        <v>105</v>
      </c>
      <c r="DJ29" s="148" t="s">
        <v>45</v>
      </c>
      <c r="DK29" s="149">
        <v>1</v>
      </c>
      <c r="DL29" s="148"/>
      <c r="DM29" s="148" t="s">
        <v>14</v>
      </c>
      <c r="DN29" s="148" t="s">
        <v>14</v>
      </c>
      <c r="DO29" s="170">
        <f ca="1">SETTINGS!$I$6</f>
        <v>1.7100000000000001E-2</v>
      </c>
      <c r="DP29" s="148" t="s">
        <v>12</v>
      </c>
      <c r="DQ29" s="149">
        <v>0</v>
      </c>
      <c r="DR29" s="129">
        <f ca="1">_xll.meLWOBondLastCouponDate('AUD-BONDS'!D27,Settings.COB)</f>
        <v>44027</v>
      </c>
      <c r="DS29" s="129">
        <f ca="1">'AUD-BONDS'!L27</f>
        <v>46037</v>
      </c>
      <c r="DT29" s="90" t="s">
        <v>100</v>
      </c>
      <c r="DU29" s="90" t="s">
        <v>103</v>
      </c>
      <c r="DV29" s="148" t="s">
        <v>82</v>
      </c>
      <c r="DW29" s="148" t="s">
        <v>65</v>
      </c>
      <c r="DX29" s="148" t="s">
        <v>82</v>
      </c>
      <c r="DY29" s="148" t="s">
        <v>65</v>
      </c>
      <c r="DZ29" s="148" t="s">
        <v>82</v>
      </c>
      <c r="EA29" s="148" t="s">
        <v>65</v>
      </c>
      <c r="EB29" s="148"/>
      <c r="EC29" s="148"/>
      <c r="ED29" s="148" t="s">
        <v>33</v>
      </c>
      <c r="EE29" s="148" t="s">
        <v>35</v>
      </c>
      <c r="EF29" s="148"/>
      <c r="EG29" s="148" t="s">
        <v>35</v>
      </c>
      <c r="EH29" s="158" t="s">
        <v>39</v>
      </c>
      <c r="EI29" s="110">
        <f t="shared" ca="1" si="10"/>
        <v>22</v>
      </c>
      <c r="EJ29" s="123" t="str">
        <f ca="1">'AUD-BONDS'!F27</f>
        <v>ISIN21</v>
      </c>
      <c r="EK29" s="124" t="str">
        <f ca="1">_xll.meLWOSwapCreate($EK$7&amp;"_"&amp;EJ29,_xll.meUtilityLVBFromKeysAndMultipleValues($ET$7:$FX$7,ET29:FX29,FZ29:HD29))</f>
        <v>#Error: Missing key 'CALCULATIONTYPE'. This key is mandatory and must be included in the Label Value Block , 'scheduleLVB'.</v>
      </c>
      <c r="EL29" s="191" t="str">
        <f ca="1">_xll.meLWOAssetSwapSpreadToCleanPrice($EK29,$EK$4,$BV29,$EW$4)</f>
        <v>#Error: Swap #ERROR does not exist</v>
      </c>
      <c r="EM29" s="110">
        <f t="shared" ref="EM29" ca="1" si="33">EM28+1</f>
        <v>22</v>
      </c>
      <c r="EN29" s="197" t="str">
        <f ca="1">_xll.meLWOBondYield('AUD-BONDS'!D27,$EK$4,$EL29)</f>
        <v>#Error: Invalid input, numerical input required</v>
      </c>
      <c r="EO29" s="190" t="str">
        <f ca="1">_xll.meLWOBondCleanPrice('AUD-BONDS'!$D27,$EK$4,$EN29)</f>
        <v>#Error: Invalid Vector Data:  Input Contains Errors</v>
      </c>
      <c r="EP29" s="190" t="str">
        <f ca="1">_xll.meLWOBondDirtyPrice('AUD-BONDS'!$D27,$EK$4,$EN29)</f>
        <v>#Error: Invalid Vector Data:  Input Contains Errors</v>
      </c>
      <c r="EQ29" s="192">
        <f ca="1">_xll.meLWOBondAccruedInterest('AUD-BONDS'!$D27,'AUD-URIDASHI-PX'!$EK$4)</f>
        <v>4250</v>
      </c>
      <c r="ER29" s="198">
        <f ca="1">_xll.meLWOBondAccruedInterestDays('AUD-BONDS'!$D27,'AUD-URIDASHI-PX'!$EK$4)</f>
        <v>39</v>
      </c>
      <c r="ES29" s="110">
        <f t="shared" ca="1" si="12"/>
        <v>22</v>
      </c>
      <c r="ET29" s="59" t="s">
        <v>263</v>
      </c>
      <c r="EU29" s="182">
        <f t="shared" ca="1" si="4"/>
        <v>1333333.3333333333</v>
      </c>
      <c r="EV29" s="148" t="s">
        <v>44</v>
      </c>
      <c r="EW29" s="148" t="s">
        <v>96</v>
      </c>
      <c r="EX29" s="148"/>
      <c r="EY29" s="148" t="s">
        <v>50</v>
      </c>
      <c r="EZ29" s="148" t="s">
        <v>45</v>
      </c>
      <c r="FA29" s="149">
        <v>1</v>
      </c>
      <c r="FB29" s="135">
        <f ca="1">'AUD-BONDS'!M27</f>
        <v>3.9199999999999999E-2</v>
      </c>
      <c r="FC29" s="148"/>
      <c r="FD29" s="148"/>
      <c r="FE29" s="155"/>
      <c r="FF29" s="148" t="s">
        <v>12</v>
      </c>
      <c r="FG29" s="149"/>
      <c r="FH29" s="129">
        <f ca="1">_xll.meLWOBondLastCouponDate('AUD-BONDS'!D27,Settings.COB)</f>
        <v>44027</v>
      </c>
      <c r="FI29" s="129">
        <f ca="1">'AUD-BONDS'!L27</f>
        <v>46037</v>
      </c>
      <c r="FJ29" s="167" t="str">
        <f ca="1">'AUD-BONDS'!O27</f>
        <v>SEMI-ANNUAL</v>
      </c>
      <c r="FK29" s="130" t="str">
        <f ca="1">'AUD-BONDS'!N27</f>
        <v>30E/360</v>
      </c>
      <c r="FL29" s="148" t="s">
        <v>82</v>
      </c>
      <c r="FM29" s="148" t="s">
        <v>68</v>
      </c>
      <c r="FN29" s="148" t="s">
        <v>82</v>
      </c>
      <c r="FO29" s="148" t="s">
        <v>68</v>
      </c>
      <c r="FP29" s="148" t="s">
        <v>82</v>
      </c>
      <c r="FQ29" s="148" t="s">
        <v>68</v>
      </c>
      <c r="FR29" s="148"/>
      <c r="FS29" s="148"/>
      <c r="FT29" s="148" t="s">
        <v>33</v>
      </c>
      <c r="FU29" s="148"/>
      <c r="FV29" s="148"/>
      <c r="FW29" s="148" t="s">
        <v>35</v>
      </c>
      <c r="FX29" s="148" t="s">
        <v>39</v>
      </c>
      <c r="FY29" s="110">
        <f t="shared" ca="1" si="13"/>
        <v>22</v>
      </c>
      <c r="FZ29" s="59" t="s">
        <v>67</v>
      </c>
      <c r="GA29" s="182">
        <f t="shared" ca="1" si="5"/>
        <v>1333333.3333333333</v>
      </c>
      <c r="GB29" s="148" t="s">
        <v>44</v>
      </c>
      <c r="GC29" s="148" t="s">
        <v>99</v>
      </c>
      <c r="GD29" s="167" t="s">
        <v>66</v>
      </c>
      <c r="GE29" s="148" t="s">
        <v>50</v>
      </c>
      <c r="GF29" s="148" t="s">
        <v>45</v>
      </c>
      <c r="GG29" s="149">
        <v>1</v>
      </c>
      <c r="GH29" s="161"/>
      <c r="GI29" s="148" t="s">
        <v>14</v>
      </c>
      <c r="GJ29" s="148" t="s">
        <v>14</v>
      </c>
      <c r="GK29" s="170">
        <f ca="1">SETTINGS!$I$6</f>
        <v>1.7100000000000001E-2</v>
      </c>
      <c r="GL29" s="148" t="s">
        <v>12</v>
      </c>
      <c r="GM29" s="188">
        <f t="shared" ca="1" si="14"/>
        <v>260.66732023507109</v>
      </c>
      <c r="GN29" s="129">
        <f ca="1">_xll.meLWOBondLastCouponDate('AUD-BONDS'!D27,Settings.COB)</f>
        <v>44027</v>
      </c>
      <c r="GO29" s="129">
        <f ca="1">'AUD-BONDS'!L27</f>
        <v>46037</v>
      </c>
      <c r="GP29" s="167" t="s">
        <v>100</v>
      </c>
      <c r="GQ29" s="130" t="s">
        <v>101</v>
      </c>
      <c r="GR29" s="164" t="s">
        <v>82</v>
      </c>
      <c r="GS29" s="164" t="s">
        <v>65</v>
      </c>
      <c r="GT29" s="164" t="s">
        <v>82</v>
      </c>
      <c r="GU29" s="164" t="s">
        <v>65</v>
      </c>
      <c r="GV29" s="164" t="s">
        <v>82</v>
      </c>
      <c r="GW29" s="164" t="s">
        <v>65</v>
      </c>
      <c r="GX29" s="148"/>
      <c r="GY29" s="148"/>
      <c r="GZ29" s="148" t="s">
        <v>33</v>
      </c>
      <c r="HA29" s="148" t="s">
        <v>35</v>
      </c>
      <c r="HB29" s="148"/>
      <c r="HC29" s="148" t="s">
        <v>35</v>
      </c>
      <c r="HD29" s="148" t="s">
        <v>39</v>
      </c>
      <c r="HE29" s="37" t="s">
        <v>264</v>
      </c>
      <c r="HF29" s="209" t="str">
        <f ca="1"/>
        <v>#Error: No range or empty range specified</v>
      </c>
      <c r="HG29" s="210" t="str">
        <f ca="1"/>
        <v>#Error: No range or empty range specified</v>
      </c>
      <c r="HH29" s="211" t="str">
        <f ca="1"/>
        <v>#Error: No range or empty range specified</v>
      </c>
      <c r="HI29" s="211" t="str">
        <f ca="1"/>
        <v>#Error: No range or empty range specified</v>
      </c>
      <c r="HJ29" s="210" t="str">
        <f ca="1"/>
        <v>#Error: No range or empty range specified</v>
      </c>
      <c r="HK29" s="216" t="str">
        <f ca="1"/>
        <v>#Error: No range or empty range specified</v>
      </c>
      <c r="HL29" s="216" t="str">
        <f ca="1"/>
        <v>#Error: No range or empty range specified</v>
      </c>
      <c r="HM29" s="211" t="str">
        <f ca="1"/>
        <v>#Error: No range or empty range specified</v>
      </c>
      <c r="HN29" s="220" t="str">
        <f ca="1"/>
        <v>#Error: No range or empty range specified</v>
      </c>
      <c r="HO29" s="216" t="str">
        <f ca="1"/>
        <v>#Error: No range or empty range specified</v>
      </c>
      <c r="HP29" s="222" t="str">
        <f ca="1"/>
        <v>#Error: No range or empty range specified</v>
      </c>
      <c r="HQ29" s="224" t="str">
        <f ca="1"/>
        <v>#Error: No range or empty range specified</v>
      </c>
    </row>
    <row r="30" spans="1:225">
      <c r="A30" s="110">
        <f t="shared" ca="1" si="6"/>
        <v>23</v>
      </c>
      <c r="B30" s="123" t="str">
        <f ca="1">'USD-BONDS'!F28</f>
        <v>ISIN22</v>
      </c>
      <c r="C30" s="206">
        <f ca="1">'USD-BONDS'!B28</f>
        <v>100</v>
      </c>
      <c r="D30" s="124" t="str">
        <f ca="1">_xll.meLWOSwapCreate($D$7&amp;"_"&amp;B30,_xll.meUtilityLVBFromKeysAndMultipleValues($G$7:$AL$7,G30:AL30,AN30:BS30))</f>
        <v>USD_ASW_ISIN22@158:6</v>
      </c>
      <c r="E30" s="270">
        <f ca="1">_xll.meLWOAssetSwapSpread(D30,'USD-BONDS'!D28,C30,$J$4:$K$5)</f>
        <v>285.35446266608909</v>
      </c>
      <c r="F30" s="110">
        <f t="shared" ca="1" si="7"/>
        <v>23</v>
      </c>
      <c r="G30" s="59" t="s">
        <v>263</v>
      </c>
      <c r="H30" s="147">
        <v>1000000</v>
      </c>
      <c r="I30" s="148" t="s">
        <v>44</v>
      </c>
      <c r="J30" s="148" t="s">
        <v>96</v>
      </c>
      <c r="K30" s="148"/>
      <c r="L30" s="148" t="s">
        <v>46</v>
      </c>
      <c r="M30" s="148" t="s">
        <v>9</v>
      </c>
      <c r="N30" s="149">
        <v>1</v>
      </c>
      <c r="O30" s="135">
        <f ca="1">'USD-BONDS'!M28</f>
        <v>3.2000000000000001E-2</v>
      </c>
      <c r="P30" s="148"/>
      <c r="Q30" s="148"/>
      <c r="R30" s="155"/>
      <c r="S30" s="148" t="s">
        <v>12</v>
      </c>
      <c r="T30" s="149"/>
      <c r="U30" s="129">
        <f ca="1">_xll.meLWOBondLastCouponDate('USD-BONDS'!D28,Settings.COB)</f>
        <v>43916</v>
      </c>
      <c r="V30" s="129">
        <f ca="1">'USD-BONDS'!L28</f>
        <v>45742</v>
      </c>
      <c r="W30" s="167" t="str">
        <f ca="1">'USD-BONDS'!O28</f>
        <v>SEMI-ANNUAL</v>
      </c>
      <c r="X30" s="130" t="str">
        <f ca="1">'USD-BONDS'!N28</f>
        <v>30E/360</v>
      </c>
      <c r="Y30" s="148" t="s">
        <v>82</v>
      </c>
      <c r="Z30" s="148" t="s">
        <v>68</v>
      </c>
      <c r="AA30" s="148" t="s">
        <v>82</v>
      </c>
      <c r="AB30" s="148" t="s">
        <v>68</v>
      </c>
      <c r="AC30" s="148" t="s">
        <v>82</v>
      </c>
      <c r="AD30" s="148" t="s">
        <v>68</v>
      </c>
      <c r="AE30" s="148"/>
      <c r="AF30" s="148"/>
      <c r="AG30" s="148" t="s">
        <v>33</v>
      </c>
      <c r="AH30" s="148"/>
      <c r="AI30" s="148"/>
      <c r="AJ30" s="148" t="s">
        <v>35</v>
      </c>
      <c r="AK30" s="262" t="s">
        <v>267</v>
      </c>
      <c r="AL30" s="158" t="s">
        <v>39</v>
      </c>
      <c r="AM30" s="110">
        <f t="shared" ca="1" si="8"/>
        <v>23</v>
      </c>
      <c r="AN30" s="59" t="s">
        <v>67</v>
      </c>
      <c r="AO30" s="147">
        <v>1000000</v>
      </c>
      <c r="AP30" s="148" t="s">
        <v>44</v>
      </c>
      <c r="AQ30" s="148" t="s">
        <v>99</v>
      </c>
      <c r="AR30" s="167" t="s">
        <v>102</v>
      </c>
      <c r="AS30" s="148" t="s">
        <v>46</v>
      </c>
      <c r="AT30" s="148" t="s">
        <v>9</v>
      </c>
      <c r="AU30" s="149">
        <v>1</v>
      </c>
      <c r="AV30" s="161"/>
      <c r="AW30" s="148" t="s">
        <v>14</v>
      </c>
      <c r="AX30" s="148" t="s">
        <v>14</v>
      </c>
      <c r="AY30" s="170">
        <f ca="1">SETTINGS!$F$6</f>
        <v>1.2955599999999999E-2</v>
      </c>
      <c r="AZ30" s="148" t="s">
        <v>12</v>
      </c>
      <c r="BA30" s="149">
        <v>0</v>
      </c>
      <c r="BB30" s="129">
        <f ca="1">_xll.meLWOBondLastCouponDate('USD-BONDS'!D28,Settings.COB)</f>
        <v>43916</v>
      </c>
      <c r="BC30" s="129">
        <f ca="1">'USD-BONDS'!L28</f>
        <v>45742</v>
      </c>
      <c r="BD30" s="167" t="s">
        <v>100</v>
      </c>
      <c r="BE30" s="130" t="s">
        <v>101</v>
      </c>
      <c r="BF30" s="164" t="s">
        <v>82</v>
      </c>
      <c r="BG30" s="164" t="s">
        <v>68</v>
      </c>
      <c r="BH30" s="164" t="s">
        <v>82</v>
      </c>
      <c r="BI30" s="164" t="s">
        <v>68</v>
      </c>
      <c r="BJ30" s="164" t="s">
        <v>82</v>
      </c>
      <c r="BK30" s="164" t="s">
        <v>68</v>
      </c>
      <c r="BL30" s="148"/>
      <c r="BM30" s="148"/>
      <c r="BN30" s="148" t="s">
        <v>33</v>
      </c>
      <c r="BO30" s="148" t="s">
        <v>35</v>
      </c>
      <c r="BP30" s="148"/>
      <c r="BQ30" s="148" t="s">
        <v>35</v>
      </c>
      <c r="BR30" s="148"/>
      <c r="BS30" s="158" t="s">
        <v>39</v>
      </c>
      <c r="BT30" s="110">
        <f t="shared" ca="1" si="9"/>
        <v>23</v>
      </c>
      <c r="BU30" s="174" t="str">
        <f ca="1">_xll.meLWOXccySwapCreate($BU$7&amp;"_"&amp;B30,_xll.meUtilityLVBFromKeysAndMultipleValues($BX$7:$DB$7,BX30:DB30,DD30:EH30),$CC$2:$CD$5)</f>
        <v>XCCY_SWAP_ISIN22@201:6</v>
      </c>
      <c r="BV30" s="175">
        <f ca="1">_xll.meLWOXccySwapParSpread(BU30,$BZ$2:$CA$6,,$BZ$3)</f>
        <v>260.66732023507109</v>
      </c>
      <c r="BW30" s="110">
        <f t="shared" ca="1" si="0"/>
        <v>24</v>
      </c>
      <c r="BX30" s="59" t="s">
        <v>97</v>
      </c>
      <c r="BY30" s="147">
        <v>1000000</v>
      </c>
      <c r="BZ30" s="148" t="s">
        <v>71</v>
      </c>
      <c r="CA30" s="148" t="s">
        <v>96</v>
      </c>
      <c r="CB30" s="136" t="s">
        <v>102</v>
      </c>
      <c r="CC30" s="148" t="s">
        <v>46</v>
      </c>
      <c r="CD30" s="148" t="s">
        <v>9</v>
      </c>
      <c r="CE30" s="149">
        <v>1</v>
      </c>
      <c r="CF30" s="148"/>
      <c r="CG30" s="148" t="s">
        <v>14</v>
      </c>
      <c r="CH30" s="148" t="s">
        <v>14</v>
      </c>
      <c r="CI30" s="170">
        <f ca="1">SETTINGS!$F$6</f>
        <v>1.2955599999999999E-2</v>
      </c>
      <c r="CJ30" s="148" t="s">
        <v>12</v>
      </c>
      <c r="CK30" s="178">
        <f t="shared" ca="1" si="1"/>
        <v>285.35446266608909</v>
      </c>
      <c r="CL30" s="129">
        <f ca="1">_xll.meLWOBondLastCouponDate('USD-BONDS'!D28,Settings.COB)</f>
        <v>43916</v>
      </c>
      <c r="CM30" s="129">
        <f ca="1">'USD-BONDS'!L28</f>
        <v>45742</v>
      </c>
      <c r="CN30" s="167" t="s">
        <v>100</v>
      </c>
      <c r="CO30" s="167" t="s">
        <v>101</v>
      </c>
      <c r="CP30" s="148" t="s">
        <v>82</v>
      </c>
      <c r="CQ30" s="148" t="s">
        <v>68</v>
      </c>
      <c r="CR30" s="148" t="s">
        <v>82</v>
      </c>
      <c r="CS30" s="148" t="s">
        <v>68</v>
      </c>
      <c r="CT30" s="148" t="s">
        <v>82</v>
      </c>
      <c r="CU30" s="148" t="s">
        <v>68</v>
      </c>
      <c r="CV30" s="148"/>
      <c r="CW30" s="148"/>
      <c r="CX30" s="148" t="s">
        <v>33</v>
      </c>
      <c r="CY30" s="148" t="s">
        <v>35</v>
      </c>
      <c r="CZ30" s="148"/>
      <c r="DA30" s="148" t="s">
        <v>35</v>
      </c>
      <c r="DB30" s="158" t="s">
        <v>39</v>
      </c>
      <c r="DC30" s="110">
        <f t="shared" ca="1" si="2"/>
        <v>24</v>
      </c>
      <c r="DD30" s="59" t="s">
        <v>67</v>
      </c>
      <c r="DE30" s="182">
        <f t="shared" ca="1" si="3"/>
        <v>1333333.3333333333</v>
      </c>
      <c r="DF30" s="148" t="s">
        <v>71</v>
      </c>
      <c r="DG30" s="148" t="s">
        <v>99</v>
      </c>
      <c r="DH30" s="183" t="s">
        <v>66</v>
      </c>
      <c r="DI30" s="148" t="s">
        <v>105</v>
      </c>
      <c r="DJ30" s="148" t="s">
        <v>45</v>
      </c>
      <c r="DK30" s="149">
        <v>1</v>
      </c>
      <c r="DL30" s="148"/>
      <c r="DM30" s="148" t="s">
        <v>14</v>
      </c>
      <c r="DN30" s="148" t="s">
        <v>14</v>
      </c>
      <c r="DO30" s="170">
        <f ca="1">SETTINGS!$I$6</f>
        <v>1.7100000000000001E-2</v>
      </c>
      <c r="DP30" s="148" t="s">
        <v>12</v>
      </c>
      <c r="DQ30" s="149">
        <v>0</v>
      </c>
      <c r="DR30" s="129">
        <f ca="1">_xll.meLWOBondLastCouponDate('AUD-BONDS'!D28,Settings.COB)</f>
        <v>44027</v>
      </c>
      <c r="DS30" s="129">
        <f ca="1">'AUD-BONDS'!L28</f>
        <v>46037</v>
      </c>
      <c r="DT30" s="90" t="s">
        <v>100</v>
      </c>
      <c r="DU30" s="90" t="s">
        <v>103</v>
      </c>
      <c r="DV30" s="148" t="s">
        <v>82</v>
      </c>
      <c r="DW30" s="148" t="s">
        <v>65</v>
      </c>
      <c r="DX30" s="148" t="s">
        <v>82</v>
      </c>
      <c r="DY30" s="148" t="s">
        <v>65</v>
      </c>
      <c r="DZ30" s="148" t="s">
        <v>82</v>
      </c>
      <c r="EA30" s="148" t="s">
        <v>65</v>
      </c>
      <c r="EB30" s="148"/>
      <c r="EC30" s="148"/>
      <c r="ED30" s="148" t="s">
        <v>33</v>
      </c>
      <c r="EE30" s="148" t="s">
        <v>35</v>
      </c>
      <c r="EF30" s="148"/>
      <c r="EG30" s="148" t="s">
        <v>35</v>
      </c>
      <c r="EH30" s="158" t="s">
        <v>39</v>
      </c>
      <c r="EI30" s="110">
        <f t="shared" ca="1" si="10"/>
        <v>23</v>
      </c>
      <c r="EJ30" s="123" t="str">
        <f ca="1">'AUD-BONDS'!F28</f>
        <v>ISIN22</v>
      </c>
      <c r="EK30" s="124" t="str">
        <f ca="1">_xll.meLWOSwapCreate($EK$7&amp;"_"&amp;EJ30,_xll.meUtilityLVBFromKeysAndMultipleValues($ET$7:$FX$7,ET30:FX30,FZ30:HD30))</f>
        <v>#Error: Missing key 'CALCULATIONTYPE'. This key is mandatory and must be included in the Label Value Block , 'scheduleLVB'.</v>
      </c>
      <c r="EL30" s="191" t="str">
        <f ca="1">_xll.meLWOAssetSwapSpreadToCleanPrice($EK30,$EK$4,$BV30,$EW$4)</f>
        <v>#Error: Swap #ERROR does not exist</v>
      </c>
      <c r="EM30" s="110">
        <f t="shared" ref="EM30" ca="1" si="34">EM29+1</f>
        <v>23</v>
      </c>
      <c r="EN30" s="197" t="str">
        <f ca="1">_xll.meLWOBondYield('AUD-BONDS'!D28,$EK$4,$EL30)</f>
        <v>#Error: Invalid input, numerical input required</v>
      </c>
      <c r="EO30" s="190" t="str">
        <f ca="1">_xll.meLWOBondCleanPrice('AUD-BONDS'!$D28,$EK$4,$EN30)</f>
        <v>#Error: Invalid Vector Data:  Input Contains Errors</v>
      </c>
      <c r="EP30" s="190" t="str">
        <f ca="1">_xll.meLWOBondDirtyPrice('AUD-BONDS'!$D28,$EK$4,$EN30)</f>
        <v>#Error: Invalid Vector Data:  Input Contains Errors</v>
      </c>
      <c r="EQ30" s="192">
        <f ca="1">_xll.meLWOBondAccruedInterest('AUD-BONDS'!$D28,'AUD-URIDASHI-PX'!$EK$4)</f>
        <v>4250</v>
      </c>
      <c r="ER30" s="198">
        <f ca="1">_xll.meLWOBondAccruedInterestDays('AUD-BONDS'!$D28,'AUD-URIDASHI-PX'!$EK$4)</f>
        <v>39</v>
      </c>
      <c r="ES30" s="110">
        <f t="shared" ca="1" si="12"/>
        <v>23</v>
      </c>
      <c r="ET30" s="59" t="s">
        <v>263</v>
      </c>
      <c r="EU30" s="182">
        <f t="shared" ca="1" si="4"/>
        <v>1333333.3333333333</v>
      </c>
      <c r="EV30" s="148" t="s">
        <v>44</v>
      </c>
      <c r="EW30" s="148" t="s">
        <v>96</v>
      </c>
      <c r="EX30" s="148"/>
      <c r="EY30" s="148" t="s">
        <v>50</v>
      </c>
      <c r="EZ30" s="148" t="s">
        <v>45</v>
      </c>
      <c r="FA30" s="149">
        <v>1</v>
      </c>
      <c r="FB30" s="135">
        <f ca="1">'AUD-BONDS'!M28</f>
        <v>3.9199999999999999E-2</v>
      </c>
      <c r="FC30" s="148"/>
      <c r="FD30" s="148"/>
      <c r="FE30" s="155"/>
      <c r="FF30" s="148" t="s">
        <v>12</v>
      </c>
      <c r="FG30" s="149"/>
      <c r="FH30" s="129">
        <f ca="1">_xll.meLWOBondLastCouponDate('AUD-BONDS'!D28,Settings.COB)</f>
        <v>44027</v>
      </c>
      <c r="FI30" s="129">
        <f ca="1">'AUD-BONDS'!L28</f>
        <v>46037</v>
      </c>
      <c r="FJ30" s="167" t="str">
        <f ca="1">'AUD-BONDS'!O28</f>
        <v>SEMI-ANNUAL</v>
      </c>
      <c r="FK30" s="130" t="str">
        <f ca="1">'AUD-BONDS'!N28</f>
        <v>30E/360</v>
      </c>
      <c r="FL30" s="148" t="s">
        <v>82</v>
      </c>
      <c r="FM30" s="148" t="s">
        <v>68</v>
      </c>
      <c r="FN30" s="148" t="s">
        <v>82</v>
      </c>
      <c r="FO30" s="148" t="s">
        <v>68</v>
      </c>
      <c r="FP30" s="148" t="s">
        <v>82</v>
      </c>
      <c r="FQ30" s="148" t="s">
        <v>68</v>
      </c>
      <c r="FR30" s="148"/>
      <c r="FS30" s="148"/>
      <c r="FT30" s="148" t="s">
        <v>33</v>
      </c>
      <c r="FU30" s="148"/>
      <c r="FV30" s="148"/>
      <c r="FW30" s="148" t="s">
        <v>35</v>
      </c>
      <c r="FX30" s="148" t="s">
        <v>39</v>
      </c>
      <c r="FY30" s="110">
        <f t="shared" ca="1" si="13"/>
        <v>23</v>
      </c>
      <c r="FZ30" s="59" t="s">
        <v>67</v>
      </c>
      <c r="GA30" s="182">
        <f t="shared" ca="1" si="5"/>
        <v>1333333.3333333333</v>
      </c>
      <c r="GB30" s="148" t="s">
        <v>44</v>
      </c>
      <c r="GC30" s="148" t="s">
        <v>99</v>
      </c>
      <c r="GD30" s="167" t="s">
        <v>66</v>
      </c>
      <c r="GE30" s="148" t="s">
        <v>50</v>
      </c>
      <c r="GF30" s="148" t="s">
        <v>45</v>
      </c>
      <c r="GG30" s="149">
        <v>1</v>
      </c>
      <c r="GH30" s="161"/>
      <c r="GI30" s="148" t="s">
        <v>14</v>
      </c>
      <c r="GJ30" s="148" t="s">
        <v>14</v>
      </c>
      <c r="GK30" s="170">
        <f ca="1">SETTINGS!$I$6</f>
        <v>1.7100000000000001E-2</v>
      </c>
      <c r="GL30" s="148" t="s">
        <v>12</v>
      </c>
      <c r="GM30" s="188">
        <f t="shared" ca="1" si="14"/>
        <v>260.66732023507109</v>
      </c>
      <c r="GN30" s="129">
        <f ca="1">_xll.meLWOBondLastCouponDate('AUD-BONDS'!D28,Settings.COB)</f>
        <v>44027</v>
      </c>
      <c r="GO30" s="129">
        <f ca="1">'AUD-BONDS'!L28</f>
        <v>46037</v>
      </c>
      <c r="GP30" s="167" t="s">
        <v>100</v>
      </c>
      <c r="GQ30" s="130" t="s">
        <v>101</v>
      </c>
      <c r="GR30" s="164" t="s">
        <v>82</v>
      </c>
      <c r="GS30" s="164" t="s">
        <v>65</v>
      </c>
      <c r="GT30" s="164" t="s">
        <v>82</v>
      </c>
      <c r="GU30" s="164" t="s">
        <v>65</v>
      </c>
      <c r="GV30" s="164" t="s">
        <v>82</v>
      </c>
      <c r="GW30" s="164" t="s">
        <v>65</v>
      </c>
      <c r="GX30" s="148"/>
      <c r="GY30" s="148"/>
      <c r="GZ30" s="148" t="s">
        <v>33</v>
      </c>
      <c r="HA30" s="148" t="s">
        <v>35</v>
      </c>
      <c r="HB30" s="148"/>
      <c r="HC30" s="148" t="s">
        <v>35</v>
      </c>
      <c r="HD30" s="148" t="s">
        <v>39</v>
      </c>
      <c r="HE30" s="37" t="s">
        <v>264</v>
      </c>
      <c r="HF30" s="209" t="str">
        <f ca="1"/>
        <v>#Error: No range or empty range specified</v>
      </c>
      <c r="HG30" s="210" t="str">
        <f ca="1"/>
        <v>#Error: No range or empty range specified</v>
      </c>
      <c r="HH30" s="211" t="str">
        <f ca="1"/>
        <v>#Error: No range or empty range specified</v>
      </c>
      <c r="HI30" s="211" t="str">
        <f ca="1"/>
        <v>#Error: No range or empty range specified</v>
      </c>
      <c r="HJ30" s="210" t="str">
        <f ca="1"/>
        <v>#Error: No range or empty range specified</v>
      </c>
      <c r="HK30" s="216" t="str">
        <f ca="1"/>
        <v>#Error: No range or empty range specified</v>
      </c>
      <c r="HL30" s="216" t="str">
        <f ca="1"/>
        <v>#Error: No range or empty range specified</v>
      </c>
      <c r="HM30" s="211" t="str">
        <f ca="1"/>
        <v>#Error: No range or empty range specified</v>
      </c>
      <c r="HN30" s="220" t="str">
        <f ca="1"/>
        <v>#Error: No range or empty range specified</v>
      </c>
      <c r="HO30" s="216" t="str">
        <f ca="1"/>
        <v>#Error: No range or empty range specified</v>
      </c>
      <c r="HP30" s="222" t="str">
        <f ca="1"/>
        <v>#Error: No range or empty range specified</v>
      </c>
      <c r="HQ30" s="224" t="str">
        <f ca="1"/>
        <v>#Error: No range or empty range specified</v>
      </c>
    </row>
    <row r="31" spans="1:225">
      <c r="A31" s="110">
        <f t="shared" ca="1" si="6"/>
        <v>24</v>
      </c>
      <c r="B31" s="123" t="str">
        <f ca="1">'USD-BONDS'!F29</f>
        <v>ISIN23</v>
      </c>
      <c r="C31" s="206">
        <f ca="1">'USD-BONDS'!B29</f>
        <v>100</v>
      </c>
      <c r="D31" s="124" t="str">
        <f ca="1">_xll.meLWOSwapCreate($D$7&amp;"_"&amp;B31,_xll.meUtilityLVBFromKeysAndMultipleValues($G$7:$AL$7,G31:AL31,AN31:BS31))</f>
        <v>USD_ASW_ISIN23@163:6</v>
      </c>
      <c r="E31" s="270">
        <f ca="1">_xll.meLWOAssetSwapSpread(D31,'USD-BONDS'!D29,C31,$J$4:$K$5)</f>
        <v>285.35446266608909</v>
      </c>
      <c r="F31" s="110">
        <f t="shared" ca="1" si="7"/>
        <v>24</v>
      </c>
      <c r="G31" s="59" t="s">
        <v>263</v>
      </c>
      <c r="H31" s="147">
        <v>1000000</v>
      </c>
      <c r="I31" s="148" t="s">
        <v>44</v>
      </c>
      <c r="J31" s="148" t="s">
        <v>96</v>
      </c>
      <c r="K31" s="148"/>
      <c r="L31" s="148" t="s">
        <v>46</v>
      </c>
      <c r="M31" s="148" t="s">
        <v>9</v>
      </c>
      <c r="N31" s="149">
        <v>1</v>
      </c>
      <c r="O31" s="135">
        <f ca="1">'USD-BONDS'!M29</f>
        <v>3.2000000000000001E-2</v>
      </c>
      <c r="P31" s="148"/>
      <c r="Q31" s="148"/>
      <c r="R31" s="155"/>
      <c r="S31" s="148" t="s">
        <v>12</v>
      </c>
      <c r="T31" s="149"/>
      <c r="U31" s="129">
        <f ca="1">_xll.meLWOBondLastCouponDate('USD-BONDS'!D29,Settings.COB)</f>
        <v>43916</v>
      </c>
      <c r="V31" s="129">
        <f ca="1">'USD-BONDS'!L29</f>
        <v>45742</v>
      </c>
      <c r="W31" s="167" t="str">
        <f ca="1">'USD-BONDS'!O29</f>
        <v>SEMI-ANNUAL</v>
      </c>
      <c r="X31" s="130" t="str">
        <f ca="1">'USD-BONDS'!N29</f>
        <v>30E/360</v>
      </c>
      <c r="Y31" s="148" t="s">
        <v>82</v>
      </c>
      <c r="Z31" s="148" t="s">
        <v>68</v>
      </c>
      <c r="AA31" s="148" t="s">
        <v>82</v>
      </c>
      <c r="AB31" s="148" t="s">
        <v>68</v>
      </c>
      <c r="AC31" s="148" t="s">
        <v>82</v>
      </c>
      <c r="AD31" s="148" t="s">
        <v>68</v>
      </c>
      <c r="AE31" s="148"/>
      <c r="AF31" s="148"/>
      <c r="AG31" s="148" t="s">
        <v>33</v>
      </c>
      <c r="AH31" s="148"/>
      <c r="AI31" s="148"/>
      <c r="AJ31" s="148" t="s">
        <v>35</v>
      </c>
      <c r="AK31" s="262" t="s">
        <v>267</v>
      </c>
      <c r="AL31" s="158" t="s">
        <v>39</v>
      </c>
      <c r="AM31" s="110">
        <f t="shared" ca="1" si="8"/>
        <v>24</v>
      </c>
      <c r="AN31" s="59" t="s">
        <v>67</v>
      </c>
      <c r="AO31" s="147">
        <v>1000000</v>
      </c>
      <c r="AP31" s="148" t="s">
        <v>44</v>
      </c>
      <c r="AQ31" s="148" t="s">
        <v>99</v>
      </c>
      <c r="AR31" s="167" t="s">
        <v>102</v>
      </c>
      <c r="AS31" s="148" t="s">
        <v>46</v>
      </c>
      <c r="AT31" s="148" t="s">
        <v>9</v>
      </c>
      <c r="AU31" s="149">
        <v>1</v>
      </c>
      <c r="AV31" s="161"/>
      <c r="AW31" s="148" t="s">
        <v>14</v>
      </c>
      <c r="AX31" s="148" t="s">
        <v>14</v>
      </c>
      <c r="AY31" s="170">
        <f ca="1">SETTINGS!$F$6</f>
        <v>1.2955599999999999E-2</v>
      </c>
      <c r="AZ31" s="148" t="s">
        <v>12</v>
      </c>
      <c r="BA31" s="149">
        <v>0</v>
      </c>
      <c r="BB31" s="129">
        <f ca="1">_xll.meLWOBondLastCouponDate('USD-BONDS'!D29,Settings.COB)</f>
        <v>43916</v>
      </c>
      <c r="BC31" s="129">
        <f ca="1">'USD-BONDS'!L29</f>
        <v>45742</v>
      </c>
      <c r="BD31" s="167" t="s">
        <v>100</v>
      </c>
      <c r="BE31" s="130" t="s">
        <v>101</v>
      </c>
      <c r="BF31" s="164" t="s">
        <v>82</v>
      </c>
      <c r="BG31" s="164" t="s">
        <v>68</v>
      </c>
      <c r="BH31" s="164" t="s">
        <v>82</v>
      </c>
      <c r="BI31" s="164" t="s">
        <v>68</v>
      </c>
      <c r="BJ31" s="164" t="s">
        <v>82</v>
      </c>
      <c r="BK31" s="164" t="s">
        <v>68</v>
      </c>
      <c r="BL31" s="148"/>
      <c r="BM31" s="148"/>
      <c r="BN31" s="148" t="s">
        <v>33</v>
      </c>
      <c r="BO31" s="148" t="s">
        <v>35</v>
      </c>
      <c r="BP31" s="148"/>
      <c r="BQ31" s="148" t="s">
        <v>35</v>
      </c>
      <c r="BR31" s="148"/>
      <c r="BS31" s="158" t="s">
        <v>39</v>
      </c>
      <c r="BT31" s="110">
        <f t="shared" ca="1" si="9"/>
        <v>24</v>
      </c>
      <c r="BU31" s="174" t="str">
        <f ca="1">_xll.meLWOXccySwapCreate($BU$7&amp;"_"&amp;B31,_xll.meUtilityLVBFromKeysAndMultipleValues($BX$7:$DB$7,BX31:DB31,DD31:EH31),$CC$2:$CD$5)</f>
        <v>XCCY_SWAP_ISIN23@177:6</v>
      </c>
      <c r="BV31" s="175">
        <f ca="1">_xll.meLWOXccySwapParSpread(BU31,$BZ$2:$CA$6,,$BZ$3)</f>
        <v>260.66732023507109</v>
      </c>
      <c r="BW31" s="110">
        <f t="shared" ca="1" si="0"/>
        <v>25</v>
      </c>
      <c r="BX31" s="59" t="s">
        <v>97</v>
      </c>
      <c r="BY31" s="147">
        <v>1000000</v>
      </c>
      <c r="BZ31" s="148" t="s">
        <v>71</v>
      </c>
      <c r="CA31" s="148" t="s">
        <v>96</v>
      </c>
      <c r="CB31" s="136" t="s">
        <v>102</v>
      </c>
      <c r="CC31" s="148" t="s">
        <v>46</v>
      </c>
      <c r="CD31" s="148" t="s">
        <v>9</v>
      </c>
      <c r="CE31" s="149">
        <v>1</v>
      </c>
      <c r="CF31" s="148"/>
      <c r="CG31" s="148" t="s">
        <v>14</v>
      </c>
      <c r="CH31" s="148" t="s">
        <v>14</v>
      </c>
      <c r="CI31" s="170">
        <f ca="1">SETTINGS!$F$6</f>
        <v>1.2955599999999999E-2</v>
      </c>
      <c r="CJ31" s="148" t="s">
        <v>12</v>
      </c>
      <c r="CK31" s="178">
        <f t="shared" ca="1" si="1"/>
        <v>285.35446266608909</v>
      </c>
      <c r="CL31" s="129">
        <f ca="1">_xll.meLWOBondLastCouponDate('USD-BONDS'!D29,Settings.COB)</f>
        <v>43916</v>
      </c>
      <c r="CM31" s="129">
        <f ca="1">'USD-BONDS'!L29</f>
        <v>45742</v>
      </c>
      <c r="CN31" s="167" t="s">
        <v>100</v>
      </c>
      <c r="CO31" s="167" t="s">
        <v>101</v>
      </c>
      <c r="CP31" s="148" t="s">
        <v>82</v>
      </c>
      <c r="CQ31" s="148" t="s">
        <v>68</v>
      </c>
      <c r="CR31" s="148" t="s">
        <v>82</v>
      </c>
      <c r="CS31" s="148" t="s">
        <v>68</v>
      </c>
      <c r="CT31" s="148" t="s">
        <v>82</v>
      </c>
      <c r="CU31" s="148" t="s">
        <v>68</v>
      </c>
      <c r="CV31" s="148"/>
      <c r="CW31" s="148"/>
      <c r="CX31" s="148" t="s">
        <v>33</v>
      </c>
      <c r="CY31" s="148" t="s">
        <v>35</v>
      </c>
      <c r="CZ31" s="148"/>
      <c r="DA31" s="148" t="s">
        <v>35</v>
      </c>
      <c r="DB31" s="158" t="s">
        <v>39</v>
      </c>
      <c r="DC31" s="110">
        <f t="shared" ca="1" si="2"/>
        <v>25</v>
      </c>
      <c r="DD31" s="59" t="s">
        <v>67</v>
      </c>
      <c r="DE31" s="182">
        <f t="shared" ca="1" si="3"/>
        <v>1333333.3333333333</v>
      </c>
      <c r="DF31" s="148" t="s">
        <v>71</v>
      </c>
      <c r="DG31" s="148" t="s">
        <v>99</v>
      </c>
      <c r="DH31" s="183" t="s">
        <v>66</v>
      </c>
      <c r="DI31" s="148" t="s">
        <v>105</v>
      </c>
      <c r="DJ31" s="148" t="s">
        <v>45</v>
      </c>
      <c r="DK31" s="149">
        <v>1</v>
      </c>
      <c r="DL31" s="148"/>
      <c r="DM31" s="148" t="s">
        <v>14</v>
      </c>
      <c r="DN31" s="148" t="s">
        <v>14</v>
      </c>
      <c r="DO31" s="170">
        <f ca="1">SETTINGS!$I$6</f>
        <v>1.7100000000000001E-2</v>
      </c>
      <c r="DP31" s="148" t="s">
        <v>12</v>
      </c>
      <c r="DQ31" s="149">
        <v>0</v>
      </c>
      <c r="DR31" s="129">
        <f ca="1">_xll.meLWOBondLastCouponDate('AUD-BONDS'!D29,Settings.COB)</f>
        <v>44027</v>
      </c>
      <c r="DS31" s="129">
        <f ca="1">'AUD-BONDS'!L29</f>
        <v>46037</v>
      </c>
      <c r="DT31" s="90" t="s">
        <v>100</v>
      </c>
      <c r="DU31" s="90" t="s">
        <v>103</v>
      </c>
      <c r="DV31" s="148" t="s">
        <v>82</v>
      </c>
      <c r="DW31" s="148" t="s">
        <v>65</v>
      </c>
      <c r="DX31" s="148" t="s">
        <v>82</v>
      </c>
      <c r="DY31" s="148" t="s">
        <v>65</v>
      </c>
      <c r="DZ31" s="148" t="s">
        <v>82</v>
      </c>
      <c r="EA31" s="148" t="s">
        <v>65</v>
      </c>
      <c r="EB31" s="148"/>
      <c r="EC31" s="148"/>
      <c r="ED31" s="148" t="s">
        <v>33</v>
      </c>
      <c r="EE31" s="148" t="s">
        <v>35</v>
      </c>
      <c r="EF31" s="148"/>
      <c r="EG31" s="148" t="s">
        <v>35</v>
      </c>
      <c r="EH31" s="158" t="s">
        <v>39</v>
      </c>
      <c r="EI31" s="110">
        <f t="shared" ca="1" si="10"/>
        <v>24</v>
      </c>
      <c r="EJ31" s="123" t="str">
        <f ca="1">'AUD-BONDS'!F29</f>
        <v>ISIN23</v>
      </c>
      <c r="EK31" s="124" t="str">
        <f ca="1">_xll.meLWOSwapCreate($EK$7&amp;"_"&amp;EJ31,_xll.meUtilityLVBFromKeysAndMultipleValues($ET$7:$FX$7,ET31:FX31,FZ31:HD31))</f>
        <v>#Error: Missing key 'CALCULATIONTYPE'. This key is mandatory and must be included in the Label Value Block , 'scheduleLVB'.</v>
      </c>
      <c r="EL31" s="191" t="str">
        <f ca="1">_xll.meLWOAssetSwapSpreadToCleanPrice($EK31,$EK$4,$BV31,$EW$4)</f>
        <v>#Error: Swap #ERROR does not exist</v>
      </c>
      <c r="EM31" s="110">
        <f t="shared" ref="EM31" ca="1" si="35">EM30+1</f>
        <v>24</v>
      </c>
      <c r="EN31" s="197" t="str">
        <f ca="1">_xll.meLWOBondYield('AUD-BONDS'!D29,$EK$4,$EL31)</f>
        <v>#Error: Invalid input, numerical input required</v>
      </c>
      <c r="EO31" s="190" t="str">
        <f ca="1">_xll.meLWOBondCleanPrice('AUD-BONDS'!$D29,$EK$4,$EN31)</f>
        <v>#Error: Invalid Vector Data:  Input Contains Errors</v>
      </c>
      <c r="EP31" s="190" t="str">
        <f ca="1">_xll.meLWOBondDirtyPrice('AUD-BONDS'!$D29,$EK$4,$EN31)</f>
        <v>#Error: Invalid Vector Data:  Input Contains Errors</v>
      </c>
      <c r="EQ31" s="192">
        <f ca="1">_xll.meLWOBondAccruedInterest('AUD-BONDS'!$D29,'AUD-URIDASHI-PX'!$EK$4)</f>
        <v>4250</v>
      </c>
      <c r="ER31" s="198">
        <f ca="1">_xll.meLWOBondAccruedInterestDays('AUD-BONDS'!$D29,'AUD-URIDASHI-PX'!$EK$4)</f>
        <v>39</v>
      </c>
      <c r="ES31" s="110">
        <f t="shared" ca="1" si="12"/>
        <v>24</v>
      </c>
      <c r="ET31" s="59" t="s">
        <v>263</v>
      </c>
      <c r="EU31" s="182">
        <f t="shared" ca="1" si="4"/>
        <v>1333333.3333333333</v>
      </c>
      <c r="EV31" s="148" t="s">
        <v>44</v>
      </c>
      <c r="EW31" s="148" t="s">
        <v>96</v>
      </c>
      <c r="EX31" s="148"/>
      <c r="EY31" s="148" t="s">
        <v>50</v>
      </c>
      <c r="EZ31" s="148" t="s">
        <v>45</v>
      </c>
      <c r="FA31" s="149">
        <v>1</v>
      </c>
      <c r="FB31" s="135">
        <f ca="1">'AUD-BONDS'!M29</f>
        <v>3.9199999999999999E-2</v>
      </c>
      <c r="FC31" s="148"/>
      <c r="FD31" s="148"/>
      <c r="FE31" s="155"/>
      <c r="FF31" s="148" t="s">
        <v>12</v>
      </c>
      <c r="FG31" s="149"/>
      <c r="FH31" s="129">
        <f ca="1">_xll.meLWOBondLastCouponDate('AUD-BONDS'!D29,Settings.COB)</f>
        <v>44027</v>
      </c>
      <c r="FI31" s="129">
        <f ca="1">'AUD-BONDS'!L29</f>
        <v>46037</v>
      </c>
      <c r="FJ31" s="167" t="str">
        <f ca="1">'AUD-BONDS'!O29</f>
        <v>SEMI-ANNUAL</v>
      </c>
      <c r="FK31" s="130" t="str">
        <f ca="1">'AUD-BONDS'!N29</f>
        <v>30E/360</v>
      </c>
      <c r="FL31" s="148" t="s">
        <v>82</v>
      </c>
      <c r="FM31" s="148" t="s">
        <v>68</v>
      </c>
      <c r="FN31" s="148" t="s">
        <v>82</v>
      </c>
      <c r="FO31" s="148" t="s">
        <v>68</v>
      </c>
      <c r="FP31" s="148" t="s">
        <v>82</v>
      </c>
      <c r="FQ31" s="148" t="s">
        <v>68</v>
      </c>
      <c r="FR31" s="148"/>
      <c r="FS31" s="148"/>
      <c r="FT31" s="148" t="s">
        <v>33</v>
      </c>
      <c r="FU31" s="148"/>
      <c r="FV31" s="148"/>
      <c r="FW31" s="148" t="s">
        <v>35</v>
      </c>
      <c r="FX31" s="148" t="s">
        <v>39</v>
      </c>
      <c r="FY31" s="110">
        <f t="shared" ca="1" si="13"/>
        <v>24</v>
      </c>
      <c r="FZ31" s="59" t="s">
        <v>67</v>
      </c>
      <c r="GA31" s="182">
        <f t="shared" ca="1" si="5"/>
        <v>1333333.3333333333</v>
      </c>
      <c r="GB31" s="148" t="s">
        <v>44</v>
      </c>
      <c r="GC31" s="148" t="s">
        <v>99</v>
      </c>
      <c r="GD31" s="167" t="s">
        <v>66</v>
      </c>
      <c r="GE31" s="148" t="s">
        <v>50</v>
      </c>
      <c r="GF31" s="148" t="s">
        <v>45</v>
      </c>
      <c r="GG31" s="149">
        <v>1</v>
      </c>
      <c r="GH31" s="161"/>
      <c r="GI31" s="148" t="s">
        <v>14</v>
      </c>
      <c r="GJ31" s="148" t="s">
        <v>14</v>
      </c>
      <c r="GK31" s="170">
        <f ca="1">SETTINGS!$I$6</f>
        <v>1.7100000000000001E-2</v>
      </c>
      <c r="GL31" s="148" t="s">
        <v>12</v>
      </c>
      <c r="GM31" s="188">
        <f t="shared" ca="1" si="14"/>
        <v>260.66732023507109</v>
      </c>
      <c r="GN31" s="129">
        <f ca="1">_xll.meLWOBondLastCouponDate('AUD-BONDS'!D29,Settings.COB)</f>
        <v>44027</v>
      </c>
      <c r="GO31" s="129">
        <f ca="1">'AUD-BONDS'!L29</f>
        <v>46037</v>
      </c>
      <c r="GP31" s="167" t="s">
        <v>100</v>
      </c>
      <c r="GQ31" s="130" t="s">
        <v>101</v>
      </c>
      <c r="GR31" s="164" t="s">
        <v>82</v>
      </c>
      <c r="GS31" s="164" t="s">
        <v>65</v>
      </c>
      <c r="GT31" s="164" t="s">
        <v>82</v>
      </c>
      <c r="GU31" s="164" t="s">
        <v>65</v>
      </c>
      <c r="GV31" s="164" t="s">
        <v>82</v>
      </c>
      <c r="GW31" s="164" t="s">
        <v>65</v>
      </c>
      <c r="GX31" s="148"/>
      <c r="GY31" s="148"/>
      <c r="GZ31" s="148" t="s">
        <v>33</v>
      </c>
      <c r="HA31" s="148" t="s">
        <v>35</v>
      </c>
      <c r="HB31" s="148"/>
      <c r="HC31" s="148" t="s">
        <v>35</v>
      </c>
      <c r="HD31" s="148" t="s">
        <v>39</v>
      </c>
      <c r="HE31" s="37" t="s">
        <v>264</v>
      </c>
      <c r="HF31" s="209" t="str">
        <f ca="1"/>
        <v>#Error: No range or empty range specified</v>
      </c>
      <c r="HG31" s="210" t="str">
        <f ca="1"/>
        <v>#Error: No range or empty range specified</v>
      </c>
      <c r="HH31" s="211" t="str">
        <f ca="1"/>
        <v>#Error: No range or empty range specified</v>
      </c>
      <c r="HI31" s="211" t="str">
        <f ca="1"/>
        <v>#Error: No range or empty range specified</v>
      </c>
      <c r="HJ31" s="210" t="str">
        <f ca="1"/>
        <v>#Error: No range or empty range specified</v>
      </c>
      <c r="HK31" s="216" t="str">
        <f ca="1"/>
        <v>#Error: No range or empty range specified</v>
      </c>
      <c r="HL31" s="216" t="str">
        <f ca="1"/>
        <v>#Error: No range or empty range specified</v>
      </c>
      <c r="HM31" s="211" t="str">
        <f ca="1"/>
        <v>#Error: No range or empty range specified</v>
      </c>
      <c r="HN31" s="220" t="str">
        <f ca="1"/>
        <v>#Error: No range or empty range specified</v>
      </c>
      <c r="HO31" s="216" t="str">
        <f ca="1"/>
        <v>#Error: No range or empty range specified</v>
      </c>
      <c r="HP31" s="222" t="str">
        <f ca="1"/>
        <v>#Error: No range or empty range specified</v>
      </c>
      <c r="HQ31" s="224" t="str">
        <f ca="1"/>
        <v>#Error: No range or empty range specified</v>
      </c>
    </row>
    <row r="32" spans="1:225">
      <c r="A32" s="110">
        <f t="shared" ca="1" si="6"/>
        <v>25</v>
      </c>
      <c r="B32" s="123" t="str">
        <f ca="1">'USD-BONDS'!F30</f>
        <v>ISIN24</v>
      </c>
      <c r="C32" s="206">
        <f ca="1">'USD-BONDS'!B30</f>
        <v>100</v>
      </c>
      <c r="D32" s="124" t="str">
        <f ca="1">_xll.meLWOSwapCreate($D$7&amp;"_"&amp;B32,_xll.meUtilityLVBFromKeysAndMultipleValues($G$7:$AL$7,G32:AL32,AN32:BS32))</f>
        <v>USD_ASW_ISIN24@154:6</v>
      </c>
      <c r="E32" s="270">
        <f ca="1">_xll.meLWOAssetSwapSpread(D32,'USD-BONDS'!D30,C32,$J$4:$K$5)</f>
        <v>285.35446266608909</v>
      </c>
      <c r="F32" s="110">
        <f t="shared" ca="1" si="7"/>
        <v>25</v>
      </c>
      <c r="G32" s="59" t="s">
        <v>263</v>
      </c>
      <c r="H32" s="147">
        <v>1000000</v>
      </c>
      <c r="I32" s="148" t="s">
        <v>44</v>
      </c>
      <c r="J32" s="148" t="s">
        <v>96</v>
      </c>
      <c r="K32" s="148"/>
      <c r="L32" s="148" t="s">
        <v>46</v>
      </c>
      <c r="M32" s="148" t="s">
        <v>9</v>
      </c>
      <c r="N32" s="149">
        <v>1</v>
      </c>
      <c r="O32" s="135">
        <f ca="1">'USD-BONDS'!M30</f>
        <v>3.2000000000000001E-2</v>
      </c>
      <c r="P32" s="148"/>
      <c r="Q32" s="148"/>
      <c r="R32" s="155"/>
      <c r="S32" s="148" t="s">
        <v>12</v>
      </c>
      <c r="T32" s="149"/>
      <c r="U32" s="129">
        <f ca="1">_xll.meLWOBondLastCouponDate('USD-BONDS'!D30,Settings.COB)</f>
        <v>43916</v>
      </c>
      <c r="V32" s="129">
        <f ca="1">'USD-BONDS'!L30</f>
        <v>45742</v>
      </c>
      <c r="W32" s="167" t="str">
        <f ca="1">'USD-BONDS'!O30</f>
        <v>SEMI-ANNUAL</v>
      </c>
      <c r="X32" s="130" t="str">
        <f ca="1">'USD-BONDS'!N30</f>
        <v>30E/360</v>
      </c>
      <c r="Y32" s="148" t="s">
        <v>82</v>
      </c>
      <c r="Z32" s="148" t="s">
        <v>68</v>
      </c>
      <c r="AA32" s="148" t="s">
        <v>82</v>
      </c>
      <c r="AB32" s="148" t="s">
        <v>68</v>
      </c>
      <c r="AC32" s="148" t="s">
        <v>82</v>
      </c>
      <c r="AD32" s="148" t="s">
        <v>68</v>
      </c>
      <c r="AE32" s="148"/>
      <c r="AF32" s="148"/>
      <c r="AG32" s="148" t="s">
        <v>33</v>
      </c>
      <c r="AH32" s="148"/>
      <c r="AI32" s="148"/>
      <c r="AJ32" s="148" t="s">
        <v>35</v>
      </c>
      <c r="AK32" s="262" t="s">
        <v>267</v>
      </c>
      <c r="AL32" s="158" t="s">
        <v>39</v>
      </c>
      <c r="AM32" s="110">
        <f t="shared" ca="1" si="8"/>
        <v>25</v>
      </c>
      <c r="AN32" s="59" t="s">
        <v>67</v>
      </c>
      <c r="AO32" s="147">
        <v>1000000</v>
      </c>
      <c r="AP32" s="148" t="s">
        <v>44</v>
      </c>
      <c r="AQ32" s="148" t="s">
        <v>99</v>
      </c>
      <c r="AR32" s="167" t="s">
        <v>102</v>
      </c>
      <c r="AS32" s="148" t="s">
        <v>46</v>
      </c>
      <c r="AT32" s="148" t="s">
        <v>9</v>
      </c>
      <c r="AU32" s="149">
        <v>1</v>
      </c>
      <c r="AV32" s="161"/>
      <c r="AW32" s="148" t="s">
        <v>14</v>
      </c>
      <c r="AX32" s="148" t="s">
        <v>14</v>
      </c>
      <c r="AY32" s="170">
        <f ca="1">SETTINGS!$F$6</f>
        <v>1.2955599999999999E-2</v>
      </c>
      <c r="AZ32" s="148" t="s">
        <v>12</v>
      </c>
      <c r="BA32" s="149">
        <v>0</v>
      </c>
      <c r="BB32" s="129">
        <f ca="1">_xll.meLWOBondLastCouponDate('USD-BONDS'!D30,Settings.COB)</f>
        <v>43916</v>
      </c>
      <c r="BC32" s="129">
        <f ca="1">'USD-BONDS'!L30</f>
        <v>45742</v>
      </c>
      <c r="BD32" s="167" t="s">
        <v>100</v>
      </c>
      <c r="BE32" s="130" t="s">
        <v>101</v>
      </c>
      <c r="BF32" s="164" t="s">
        <v>82</v>
      </c>
      <c r="BG32" s="164" t="s">
        <v>68</v>
      </c>
      <c r="BH32" s="164" t="s">
        <v>82</v>
      </c>
      <c r="BI32" s="164" t="s">
        <v>68</v>
      </c>
      <c r="BJ32" s="164" t="s">
        <v>82</v>
      </c>
      <c r="BK32" s="164" t="s">
        <v>68</v>
      </c>
      <c r="BL32" s="148"/>
      <c r="BM32" s="148"/>
      <c r="BN32" s="148" t="s">
        <v>33</v>
      </c>
      <c r="BO32" s="148" t="s">
        <v>35</v>
      </c>
      <c r="BP32" s="148"/>
      <c r="BQ32" s="148" t="s">
        <v>35</v>
      </c>
      <c r="BR32" s="148"/>
      <c r="BS32" s="158" t="s">
        <v>39</v>
      </c>
      <c r="BT32" s="110">
        <f t="shared" ca="1" si="9"/>
        <v>25</v>
      </c>
      <c r="BU32" s="174" t="str">
        <f ca="1">_xll.meLWOXccySwapCreate($BU$7&amp;"_"&amp;B32,_xll.meUtilityLVBFromKeysAndMultipleValues($BX$7:$DB$7,BX32:DB32,DD32:EH32),$CC$2:$CD$5)</f>
        <v>XCCY_SWAP_ISIN24@195:6</v>
      </c>
      <c r="BV32" s="175">
        <f ca="1">_xll.meLWOXccySwapParSpread(BU32,$BZ$2:$CA$6,,$BZ$3)</f>
        <v>260.66732023507109</v>
      </c>
      <c r="BW32" s="110">
        <f t="shared" ca="1" si="0"/>
        <v>26</v>
      </c>
      <c r="BX32" s="59" t="s">
        <v>97</v>
      </c>
      <c r="BY32" s="147">
        <v>1000000</v>
      </c>
      <c r="BZ32" s="148" t="s">
        <v>71</v>
      </c>
      <c r="CA32" s="148" t="s">
        <v>96</v>
      </c>
      <c r="CB32" s="136" t="s">
        <v>102</v>
      </c>
      <c r="CC32" s="148" t="s">
        <v>46</v>
      </c>
      <c r="CD32" s="148" t="s">
        <v>9</v>
      </c>
      <c r="CE32" s="149">
        <v>1</v>
      </c>
      <c r="CF32" s="148"/>
      <c r="CG32" s="148" t="s">
        <v>14</v>
      </c>
      <c r="CH32" s="148" t="s">
        <v>14</v>
      </c>
      <c r="CI32" s="170">
        <f ca="1">SETTINGS!$F$6</f>
        <v>1.2955599999999999E-2</v>
      </c>
      <c r="CJ32" s="148" t="s">
        <v>12</v>
      </c>
      <c r="CK32" s="178">
        <f t="shared" ca="1" si="1"/>
        <v>285.35446266608909</v>
      </c>
      <c r="CL32" s="129">
        <f ca="1">_xll.meLWOBondLastCouponDate('USD-BONDS'!D30,Settings.COB)</f>
        <v>43916</v>
      </c>
      <c r="CM32" s="129">
        <f ca="1">'USD-BONDS'!L30</f>
        <v>45742</v>
      </c>
      <c r="CN32" s="167" t="s">
        <v>100</v>
      </c>
      <c r="CO32" s="167" t="s">
        <v>101</v>
      </c>
      <c r="CP32" s="148" t="s">
        <v>82</v>
      </c>
      <c r="CQ32" s="148" t="s">
        <v>68</v>
      </c>
      <c r="CR32" s="148" t="s">
        <v>82</v>
      </c>
      <c r="CS32" s="148" t="s">
        <v>68</v>
      </c>
      <c r="CT32" s="148" t="s">
        <v>82</v>
      </c>
      <c r="CU32" s="148" t="s">
        <v>68</v>
      </c>
      <c r="CV32" s="148"/>
      <c r="CW32" s="148"/>
      <c r="CX32" s="148" t="s">
        <v>33</v>
      </c>
      <c r="CY32" s="148" t="s">
        <v>35</v>
      </c>
      <c r="CZ32" s="148"/>
      <c r="DA32" s="148" t="s">
        <v>35</v>
      </c>
      <c r="DB32" s="158" t="s">
        <v>39</v>
      </c>
      <c r="DC32" s="110">
        <f t="shared" ca="1" si="2"/>
        <v>26</v>
      </c>
      <c r="DD32" s="59" t="s">
        <v>67</v>
      </c>
      <c r="DE32" s="182">
        <f t="shared" ca="1" si="3"/>
        <v>1333333.3333333333</v>
      </c>
      <c r="DF32" s="148" t="s">
        <v>71</v>
      </c>
      <c r="DG32" s="148" t="s">
        <v>99</v>
      </c>
      <c r="DH32" s="183" t="s">
        <v>66</v>
      </c>
      <c r="DI32" s="148" t="s">
        <v>105</v>
      </c>
      <c r="DJ32" s="148" t="s">
        <v>45</v>
      </c>
      <c r="DK32" s="149">
        <v>1</v>
      </c>
      <c r="DL32" s="148"/>
      <c r="DM32" s="148" t="s">
        <v>14</v>
      </c>
      <c r="DN32" s="148" t="s">
        <v>14</v>
      </c>
      <c r="DO32" s="170">
        <f ca="1">SETTINGS!$I$6</f>
        <v>1.7100000000000001E-2</v>
      </c>
      <c r="DP32" s="148" t="s">
        <v>12</v>
      </c>
      <c r="DQ32" s="149">
        <v>0</v>
      </c>
      <c r="DR32" s="129">
        <f ca="1">_xll.meLWOBondLastCouponDate('AUD-BONDS'!D30,Settings.COB)</f>
        <v>44027</v>
      </c>
      <c r="DS32" s="129">
        <f ca="1">'AUD-BONDS'!L30</f>
        <v>46037</v>
      </c>
      <c r="DT32" s="90" t="s">
        <v>100</v>
      </c>
      <c r="DU32" s="90" t="s">
        <v>103</v>
      </c>
      <c r="DV32" s="148" t="s">
        <v>82</v>
      </c>
      <c r="DW32" s="148" t="s">
        <v>65</v>
      </c>
      <c r="DX32" s="148" t="s">
        <v>82</v>
      </c>
      <c r="DY32" s="148" t="s">
        <v>65</v>
      </c>
      <c r="DZ32" s="148" t="s">
        <v>82</v>
      </c>
      <c r="EA32" s="148" t="s">
        <v>65</v>
      </c>
      <c r="EB32" s="148"/>
      <c r="EC32" s="148"/>
      <c r="ED32" s="148" t="s">
        <v>33</v>
      </c>
      <c r="EE32" s="148" t="s">
        <v>35</v>
      </c>
      <c r="EF32" s="148"/>
      <c r="EG32" s="148" t="s">
        <v>35</v>
      </c>
      <c r="EH32" s="158" t="s">
        <v>39</v>
      </c>
      <c r="EI32" s="110">
        <f t="shared" ca="1" si="10"/>
        <v>25</v>
      </c>
      <c r="EJ32" s="123" t="str">
        <f ca="1">'AUD-BONDS'!F30</f>
        <v>ISIN24</v>
      </c>
      <c r="EK32" s="124" t="str">
        <f ca="1">_xll.meLWOSwapCreate($EK$7&amp;"_"&amp;EJ32,_xll.meUtilityLVBFromKeysAndMultipleValues($ET$7:$FX$7,ET32:FX32,FZ32:HD32))</f>
        <v>#Error: Missing key 'CALCULATIONTYPE'. This key is mandatory and must be included in the Label Value Block , 'scheduleLVB'.</v>
      </c>
      <c r="EL32" s="191" t="str">
        <f ca="1">_xll.meLWOAssetSwapSpreadToCleanPrice($EK32,$EK$4,$BV32,$EW$4)</f>
        <v>#Error: Swap #ERROR does not exist</v>
      </c>
      <c r="EM32" s="110">
        <f t="shared" ref="EM32" ca="1" si="36">EM31+1</f>
        <v>25</v>
      </c>
      <c r="EN32" s="197" t="str">
        <f ca="1">_xll.meLWOBondYield('AUD-BONDS'!D30,$EK$4,$EL32)</f>
        <v>#Error: Invalid input, numerical input required</v>
      </c>
      <c r="EO32" s="190" t="str">
        <f ca="1">_xll.meLWOBondCleanPrice('AUD-BONDS'!$D30,$EK$4,$EN32)</f>
        <v>#Error: Invalid Vector Data:  Input Contains Errors</v>
      </c>
      <c r="EP32" s="190" t="str">
        <f ca="1">_xll.meLWOBondDirtyPrice('AUD-BONDS'!$D30,$EK$4,$EN32)</f>
        <v>#Error: Invalid Vector Data:  Input Contains Errors</v>
      </c>
      <c r="EQ32" s="192">
        <f ca="1">_xll.meLWOBondAccruedInterest('AUD-BONDS'!$D30,'AUD-URIDASHI-PX'!$EK$4)</f>
        <v>4250</v>
      </c>
      <c r="ER32" s="198">
        <f ca="1">_xll.meLWOBondAccruedInterestDays('AUD-BONDS'!$D30,'AUD-URIDASHI-PX'!$EK$4)</f>
        <v>39</v>
      </c>
      <c r="ES32" s="110">
        <f t="shared" ca="1" si="12"/>
        <v>25</v>
      </c>
      <c r="ET32" s="59" t="s">
        <v>263</v>
      </c>
      <c r="EU32" s="182">
        <f t="shared" ca="1" si="4"/>
        <v>1333333.3333333333</v>
      </c>
      <c r="EV32" s="148" t="s">
        <v>44</v>
      </c>
      <c r="EW32" s="148" t="s">
        <v>96</v>
      </c>
      <c r="EX32" s="148"/>
      <c r="EY32" s="148" t="s">
        <v>50</v>
      </c>
      <c r="EZ32" s="148" t="s">
        <v>45</v>
      </c>
      <c r="FA32" s="149">
        <v>1</v>
      </c>
      <c r="FB32" s="135">
        <f ca="1">'AUD-BONDS'!M30</f>
        <v>3.9199999999999999E-2</v>
      </c>
      <c r="FC32" s="148"/>
      <c r="FD32" s="148"/>
      <c r="FE32" s="155"/>
      <c r="FF32" s="148" t="s">
        <v>12</v>
      </c>
      <c r="FG32" s="149"/>
      <c r="FH32" s="129">
        <f ca="1">_xll.meLWOBondLastCouponDate('AUD-BONDS'!D30,Settings.COB)</f>
        <v>44027</v>
      </c>
      <c r="FI32" s="129">
        <f ca="1">'AUD-BONDS'!L30</f>
        <v>46037</v>
      </c>
      <c r="FJ32" s="167" t="str">
        <f ca="1">'AUD-BONDS'!O30</f>
        <v>SEMI-ANNUAL</v>
      </c>
      <c r="FK32" s="130" t="str">
        <f ca="1">'AUD-BONDS'!N30</f>
        <v>30E/360</v>
      </c>
      <c r="FL32" s="148" t="s">
        <v>82</v>
      </c>
      <c r="FM32" s="148" t="s">
        <v>68</v>
      </c>
      <c r="FN32" s="148" t="s">
        <v>82</v>
      </c>
      <c r="FO32" s="148" t="s">
        <v>68</v>
      </c>
      <c r="FP32" s="148" t="s">
        <v>82</v>
      </c>
      <c r="FQ32" s="148" t="s">
        <v>68</v>
      </c>
      <c r="FR32" s="148"/>
      <c r="FS32" s="148"/>
      <c r="FT32" s="148" t="s">
        <v>33</v>
      </c>
      <c r="FU32" s="148"/>
      <c r="FV32" s="148"/>
      <c r="FW32" s="148" t="s">
        <v>35</v>
      </c>
      <c r="FX32" s="148" t="s">
        <v>39</v>
      </c>
      <c r="FY32" s="110">
        <f t="shared" ca="1" si="13"/>
        <v>25</v>
      </c>
      <c r="FZ32" s="59" t="s">
        <v>67</v>
      </c>
      <c r="GA32" s="182">
        <f t="shared" ca="1" si="5"/>
        <v>1333333.3333333333</v>
      </c>
      <c r="GB32" s="148" t="s">
        <v>44</v>
      </c>
      <c r="GC32" s="148" t="s">
        <v>99</v>
      </c>
      <c r="GD32" s="167" t="s">
        <v>66</v>
      </c>
      <c r="GE32" s="148" t="s">
        <v>50</v>
      </c>
      <c r="GF32" s="148" t="s">
        <v>45</v>
      </c>
      <c r="GG32" s="149">
        <v>1</v>
      </c>
      <c r="GH32" s="161"/>
      <c r="GI32" s="148" t="s">
        <v>14</v>
      </c>
      <c r="GJ32" s="148" t="s">
        <v>14</v>
      </c>
      <c r="GK32" s="170">
        <f ca="1">SETTINGS!$I$6</f>
        <v>1.7100000000000001E-2</v>
      </c>
      <c r="GL32" s="148" t="s">
        <v>12</v>
      </c>
      <c r="GM32" s="188">
        <f t="shared" ca="1" si="14"/>
        <v>260.66732023507109</v>
      </c>
      <c r="GN32" s="129">
        <f ca="1">_xll.meLWOBondLastCouponDate('AUD-BONDS'!D30,Settings.COB)</f>
        <v>44027</v>
      </c>
      <c r="GO32" s="129">
        <f ca="1">'AUD-BONDS'!L30</f>
        <v>46037</v>
      </c>
      <c r="GP32" s="167" t="s">
        <v>100</v>
      </c>
      <c r="GQ32" s="130" t="s">
        <v>101</v>
      </c>
      <c r="GR32" s="164" t="s">
        <v>82</v>
      </c>
      <c r="GS32" s="164" t="s">
        <v>65</v>
      </c>
      <c r="GT32" s="164" t="s">
        <v>82</v>
      </c>
      <c r="GU32" s="164" t="s">
        <v>65</v>
      </c>
      <c r="GV32" s="164" t="s">
        <v>82</v>
      </c>
      <c r="GW32" s="164" t="s">
        <v>65</v>
      </c>
      <c r="GX32" s="148"/>
      <c r="GY32" s="148"/>
      <c r="GZ32" s="148" t="s">
        <v>33</v>
      </c>
      <c r="HA32" s="148" t="s">
        <v>35</v>
      </c>
      <c r="HB32" s="148"/>
      <c r="HC32" s="148" t="s">
        <v>35</v>
      </c>
      <c r="HD32" s="148" t="s">
        <v>39</v>
      </c>
      <c r="HE32" s="37" t="s">
        <v>264</v>
      </c>
      <c r="HF32" s="209" t="str">
        <f ca="1"/>
        <v>#Error: No range or empty range specified</v>
      </c>
      <c r="HG32" s="210" t="str">
        <f ca="1"/>
        <v>#Error: No range or empty range specified</v>
      </c>
      <c r="HH32" s="211" t="str">
        <f ca="1"/>
        <v>#Error: No range or empty range specified</v>
      </c>
      <c r="HI32" s="211" t="str">
        <f ca="1"/>
        <v>#Error: No range or empty range specified</v>
      </c>
      <c r="HJ32" s="210" t="str">
        <f ca="1"/>
        <v>#Error: No range or empty range specified</v>
      </c>
      <c r="HK32" s="216" t="str">
        <f ca="1"/>
        <v>#Error: No range or empty range specified</v>
      </c>
      <c r="HL32" s="216" t="str">
        <f ca="1"/>
        <v>#Error: No range or empty range specified</v>
      </c>
      <c r="HM32" s="211" t="str">
        <f ca="1"/>
        <v>#Error: No range or empty range specified</v>
      </c>
      <c r="HN32" s="220" t="str">
        <f ca="1"/>
        <v>#Error: No range or empty range specified</v>
      </c>
      <c r="HO32" s="216" t="str">
        <f ca="1"/>
        <v>#Error: No range or empty range specified</v>
      </c>
      <c r="HP32" s="222" t="str">
        <f ca="1"/>
        <v>#Error: No range or empty range specified</v>
      </c>
      <c r="HQ32" s="224" t="str">
        <f ca="1"/>
        <v>#Error: No range or empty range specified</v>
      </c>
    </row>
    <row r="33" spans="1:225">
      <c r="A33" s="110">
        <f t="shared" ca="1" si="6"/>
        <v>26</v>
      </c>
      <c r="B33" s="123" t="str">
        <f ca="1">'USD-BONDS'!F31</f>
        <v>ISIN25</v>
      </c>
      <c r="C33" s="206">
        <f ca="1">'USD-BONDS'!B31</f>
        <v>100</v>
      </c>
      <c r="D33" s="124" t="str">
        <f ca="1">_xll.meLWOSwapCreate($D$7&amp;"_"&amp;B33,_xll.meUtilityLVBFromKeysAndMultipleValues($G$7:$AL$7,G33:AL33,AN33:BS33))</f>
        <v>USD_ASW_ISIN25@167:6</v>
      </c>
      <c r="E33" s="270">
        <f ca="1">_xll.meLWOAssetSwapSpread(D33,'USD-BONDS'!D31,C33,$J$4:$K$5)</f>
        <v>285.35446266608909</v>
      </c>
      <c r="F33" s="110">
        <f t="shared" ca="1" si="7"/>
        <v>26</v>
      </c>
      <c r="G33" s="59" t="s">
        <v>263</v>
      </c>
      <c r="H33" s="147">
        <v>1000000</v>
      </c>
      <c r="I33" s="148" t="s">
        <v>44</v>
      </c>
      <c r="J33" s="148" t="s">
        <v>96</v>
      </c>
      <c r="K33" s="148"/>
      <c r="L33" s="148" t="s">
        <v>46</v>
      </c>
      <c r="M33" s="148" t="s">
        <v>9</v>
      </c>
      <c r="N33" s="149">
        <v>1</v>
      </c>
      <c r="O33" s="135">
        <f ca="1">'USD-BONDS'!M31</f>
        <v>3.2000000000000001E-2</v>
      </c>
      <c r="P33" s="148"/>
      <c r="Q33" s="148"/>
      <c r="R33" s="155"/>
      <c r="S33" s="148" t="s">
        <v>12</v>
      </c>
      <c r="T33" s="149"/>
      <c r="U33" s="129">
        <f ca="1">_xll.meLWOBondLastCouponDate('USD-BONDS'!D31,Settings.COB)</f>
        <v>43916</v>
      </c>
      <c r="V33" s="129">
        <f ca="1">'USD-BONDS'!L31</f>
        <v>45742</v>
      </c>
      <c r="W33" s="167" t="str">
        <f ca="1">'USD-BONDS'!O31</f>
        <v>SEMI-ANNUAL</v>
      </c>
      <c r="X33" s="130" t="str">
        <f ca="1">'USD-BONDS'!N31</f>
        <v>30E/360</v>
      </c>
      <c r="Y33" s="148" t="s">
        <v>82</v>
      </c>
      <c r="Z33" s="148" t="s">
        <v>68</v>
      </c>
      <c r="AA33" s="148" t="s">
        <v>82</v>
      </c>
      <c r="AB33" s="148" t="s">
        <v>68</v>
      </c>
      <c r="AC33" s="148" t="s">
        <v>82</v>
      </c>
      <c r="AD33" s="148" t="s">
        <v>68</v>
      </c>
      <c r="AE33" s="148"/>
      <c r="AF33" s="148"/>
      <c r="AG33" s="148" t="s">
        <v>33</v>
      </c>
      <c r="AH33" s="148"/>
      <c r="AI33" s="148"/>
      <c r="AJ33" s="148" t="s">
        <v>35</v>
      </c>
      <c r="AK33" s="262" t="s">
        <v>267</v>
      </c>
      <c r="AL33" s="158" t="s">
        <v>39</v>
      </c>
      <c r="AM33" s="110">
        <f t="shared" ca="1" si="8"/>
        <v>26</v>
      </c>
      <c r="AN33" s="59" t="s">
        <v>67</v>
      </c>
      <c r="AO33" s="147">
        <v>1000000</v>
      </c>
      <c r="AP33" s="148" t="s">
        <v>44</v>
      </c>
      <c r="AQ33" s="148" t="s">
        <v>99</v>
      </c>
      <c r="AR33" s="167" t="s">
        <v>102</v>
      </c>
      <c r="AS33" s="148" t="s">
        <v>46</v>
      </c>
      <c r="AT33" s="148" t="s">
        <v>9</v>
      </c>
      <c r="AU33" s="149">
        <v>1</v>
      </c>
      <c r="AV33" s="161"/>
      <c r="AW33" s="148" t="s">
        <v>14</v>
      </c>
      <c r="AX33" s="148" t="s">
        <v>14</v>
      </c>
      <c r="AY33" s="170">
        <f ca="1">SETTINGS!$F$6</f>
        <v>1.2955599999999999E-2</v>
      </c>
      <c r="AZ33" s="148" t="s">
        <v>12</v>
      </c>
      <c r="BA33" s="149">
        <v>0</v>
      </c>
      <c r="BB33" s="129">
        <f ca="1">_xll.meLWOBondLastCouponDate('USD-BONDS'!D31,Settings.COB)</f>
        <v>43916</v>
      </c>
      <c r="BC33" s="129">
        <f ca="1">'USD-BONDS'!L31</f>
        <v>45742</v>
      </c>
      <c r="BD33" s="167" t="s">
        <v>100</v>
      </c>
      <c r="BE33" s="130" t="s">
        <v>101</v>
      </c>
      <c r="BF33" s="164" t="s">
        <v>82</v>
      </c>
      <c r="BG33" s="164" t="s">
        <v>68</v>
      </c>
      <c r="BH33" s="164" t="s">
        <v>82</v>
      </c>
      <c r="BI33" s="164" t="s">
        <v>68</v>
      </c>
      <c r="BJ33" s="164" t="s">
        <v>82</v>
      </c>
      <c r="BK33" s="164" t="s">
        <v>68</v>
      </c>
      <c r="BL33" s="148"/>
      <c r="BM33" s="148"/>
      <c r="BN33" s="148" t="s">
        <v>33</v>
      </c>
      <c r="BO33" s="148" t="s">
        <v>35</v>
      </c>
      <c r="BP33" s="148"/>
      <c r="BQ33" s="148" t="s">
        <v>35</v>
      </c>
      <c r="BR33" s="148"/>
      <c r="BS33" s="158" t="s">
        <v>39</v>
      </c>
      <c r="BT33" s="110">
        <f t="shared" ca="1" si="9"/>
        <v>26</v>
      </c>
      <c r="BU33" s="174" t="str">
        <f ca="1">_xll.meLWOXccySwapCreate($BU$7&amp;"_"&amp;B33,_xll.meUtilityLVBFromKeysAndMultipleValues($BX$7:$DB$7,BX33:DB33,DD33:EH33),$CC$2:$CD$5)</f>
        <v>XCCY_SWAP_ISIN25@202:6</v>
      </c>
      <c r="BV33" s="175">
        <f ca="1">_xll.meLWOXccySwapParSpread(BU33,$BZ$2:$CA$6,,$BZ$3)</f>
        <v>260.66732023507109</v>
      </c>
      <c r="BW33" s="110">
        <f t="shared" ca="1" si="0"/>
        <v>27</v>
      </c>
      <c r="BX33" s="59" t="s">
        <v>97</v>
      </c>
      <c r="BY33" s="147">
        <v>1000000</v>
      </c>
      <c r="BZ33" s="148" t="s">
        <v>71</v>
      </c>
      <c r="CA33" s="148" t="s">
        <v>96</v>
      </c>
      <c r="CB33" s="136" t="s">
        <v>102</v>
      </c>
      <c r="CC33" s="148" t="s">
        <v>46</v>
      </c>
      <c r="CD33" s="148" t="s">
        <v>9</v>
      </c>
      <c r="CE33" s="149">
        <v>1</v>
      </c>
      <c r="CF33" s="148"/>
      <c r="CG33" s="148" t="s">
        <v>14</v>
      </c>
      <c r="CH33" s="148" t="s">
        <v>14</v>
      </c>
      <c r="CI33" s="170">
        <f ca="1">SETTINGS!$F$6</f>
        <v>1.2955599999999999E-2</v>
      </c>
      <c r="CJ33" s="148" t="s">
        <v>12</v>
      </c>
      <c r="CK33" s="178">
        <f t="shared" ca="1" si="1"/>
        <v>285.35446266608909</v>
      </c>
      <c r="CL33" s="129">
        <f ca="1">_xll.meLWOBondLastCouponDate('USD-BONDS'!D31,Settings.COB)</f>
        <v>43916</v>
      </c>
      <c r="CM33" s="129">
        <f ca="1">'USD-BONDS'!L31</f>
        <v>45742</v>
      </c>
      <c r="CN33" s="167" t="s">
        <v>100</v>
      </c>
      <c r="CO33" s="167" t="s">
        <v>101</v>
      </c>
      <c r="CP33" s="148" t="s">
        <v>82</v>
      </c>
      <c r="CQ33" s="148" t="s">
        <v>68</v>
      </c>
      <c r="CR33" s="148" t="s">
        <v>82</v>
      </c>
      <c r="CS33" s="148" t="s">
        <v>68</v>
      </c>
      <c r="CT33" s="148" t="s">
        <v>82</v>
      </c>
      <c r="CU33" s="148" t="s">
        <v>68</v>
      </c>
      <c r="CV33" s="148"/>
      <c r="CW33" s="148"/>
      <c r="CX33" s="148" t="s">
        <v>33</v>
      </c>
      <c r="CY33" s="148" t="s">
        <v>35</v>
      </c>
      <c r="CZ33" s="148"/>
      <c r="DA33" s="148" t="s">
        <v>35</v>
      </c>
      <c r="DB33" s="158" t="s">
        <v>39</v>
      </c>
      <c r="DC33" s="110">
        <f t="shared" ca="1" si="2"/>
        <v>27</v>
      </c>
      <c r="DD33" s="59" t="s">
        <v>67</v>
      </c>
      <c r="DE33" s="182">
        <f t="shared" ca="1" si="3"/>
        <v>1333333.3333333333</v>
      </c>
      <c r="DF33" s="148" t="s">
        <v>71</v>
      </c>
      <c r="DG33" s="148" t="s">
        <v>99</v>
      </c>
      <c r="DH33" s="183" t="s">
        <v>66</v>
      </c>
      <c r="DI33" s="148" t="s">
        <v>105</v>
      </c>
      <c r="DJ33" s="148" t="s">
        <v>45</v>
      </c>
      <c r="DK33" s="149">
        <v>1</v>
      </c>
      <c r="DL33" s="148"/>
      <c r="DM33" s="148" t="s">
        <v>14</v>
      </c>
      <c r="DN33" s="148" t="s">
        <v>14</v>
      </c>
      <c r="DO33" s="170">
        <f ca="1">SETTINGS!$I$6</f>
        <v>1.7100000000000001E-2</v>
      </c>
      <c r="DP33" s="148" t="s">
        <v>12</v>
      </c>
      <c r="DQ33" s="149">
        <v>0</v>
      </c>
      <c r="DR33" s="129">
        <f ca="1">_xll.meLWOBondLastCouponDate('AUD-BONDS'!D31,Settings.COB)</f>
        <v>44027</v>
      </c>
      <c r="DS33" s="129">
        <f ca="1">'AUD-BONDS'!L31</f>
        <v>46037</v>
      </c>
      <c r="DT33" s="90" t="s">
        <v>100</v>
      </c>
      <c r="DU33" s="90" t="s">
        <v>103</v>
      </c>
      <c r="DV33" s="148" t="s">
        <v>82</v>
      </c>
      <c r="DW33" s="148" t="s">
        <v>65</v>
      </c>
      <c r="DX33" s="148" t="s">
        <v>82</v>
      </c>
      <c r="DY33" s="148" t="s">
        <v>65</v>
      </c>
      <c r="DZ33" s="148" t="s">
        <v>82</v>
      </c>
      <c r="EA33" s="148" t="s">
        <v>65</v>
      </c>
      <c r="EB33" s="148"/>
      <c r="EC33" s="148"/>
      <c r="ED33" s="148" t="s">
        <v>33</v>
      </c>
      <c r="EE33" s="148" t="s">
        <v>35</v>
      </c>
      <c r="EF33" s="148"/>
      <c r="EG33" s="148" t="s">
        <v>35</v>
      </c>
      <c r="EH33" s="158" t="s">
        <v>39</v>
      </c>
      <c r="EI33" s="110">
        <f t="shared" ca="1" si="10"/>
        <v>26</v>
      </c>
      <c r="EJ33" s="123" t="str">
        <f ca="1">'AUD-BONDS'!F31</f>
        <v>ISIN25</v>
      </c>
      <c r="EK33" s="124" t="str">
        <f ca="1">_xll.meLWOSwapCreate($EK$7&amp;"_"&amp;EJ33,_xll.meUtilityLVBFromKeysAndMultipleValues($ET$7:$FX$7,ET33:FX33,FZ33:HD33))</f>
        <v>#Error: Missing key 'CALCULATIONTYPE'. This key is mandatory and must be included in the Label Value Block , 'scheduleLVB'.</v>
      </c>
      <c r="EL33" s="191" t="str">
        <f ca="1">_xll.meLWOAssetSwapSpreadToCleanPrice($EK33,$EK$4,$BV33,$EW$4)</f>
        <v>#Error: Swap #ERROR does not exist</v>
      </c>
      <c r="EM33" s="110">
        <f t="shared" ref="EM33" ca="1" si="37">EM32+1</f>
        <v>26</v>
      </c>
      <c r="EN33" s="197" t="str">
        <f ca="1">_xll.meLWOBondYield('AUD-BONDS'!D31,$EK$4,$EL33)</f>
        <v>#Error: Invalid input, numerical input required</v>
      </c>
      <c r="EO33" s="190" t="str">
        <f ca="1">_xll.meLWOBondCleanPrice('AUD-BONDS'!$D31,$EK$4,$EN33)</f>
        <v>#Error: Invalid Vector Data:  Input Contains Errors</v>
      </c>
      <c r="EP33" s="190" t="str">
        <f ca="1">_xll.meLWOBondDirtyPrice('AUD-BONDS'!$D31,$EK$4,$EN33)</f>
        <v>#Error: Invalid Vector Data:  Input Contains Errors</v>
      </c>
      <c r="EQ33" s="192">
        <f ca="1">_xll.meLWOBondAccruedInterest('AUD-BONDS'!$D31,'AUD-URIDASHI-PX'!$EK$4)</f>
        <v>4250</v>
      </c>
      <c r="ER33" s="198">
        <f ca="1">_xll.meLWOBondAccruedInterestDays('AUD-BONDS'!$D31,'AUD-URIDASHI-PX'!$EK$4)</f>
        <v>39</v>
      </c>
      <c r="ES33" s="110">
        <f t="shared" ca="1" si="12"/>
        <v>26</v>
      </c>
      <c r="ET33" s="59" t="s">
        <v>263</v>
      </c>
      <c r="EU33" s="182">
        <f t="shared" ca="1" si="4"/>
        <v>1333333.3333333333</v>
      </c>
      <c r="EV33" s="148" t="s">
        <v>44</v>
      </c>
      <c r="EW33" s="148" t="s">
        <v>96</v>
      </c>
      <c r="EX33" s="148"/>
      <c r="EY33" s="148" t="s">
        <v>50</v>
      </c>
      <c r="EZ33" s="148" t="s">
        <v>45</v>
      </c>
      <c r="FA33" s="149">
        <v>1</v>
      </c>
      <c r="FB33" s="135">
        <f ca="1">'AUD-BONDS'!M31</f>
        <v>3.9199999999999999E-2</v>
      </c>
      <c r="FC33" s="148"/>
      <c r="FD33" s="148"/>
      <c r="FE33" s="155"/>
      <c r="FF33" s="148" t="s">
        <v>12</v>
      </c>
      <c r="FG33" s="149"/>
      <c r="FH33" s="129">
        <f ca="1">_xll.meLWOBondLastCouponDate('AUD-BONDS'!D31,Settings.COB)</f>
        <v>44027</v>
      </c>
      <c r="FI33" s="129">
        <f ca="1">'AUD-BONDS'!L31</f>
        <v>46037</v>
      </c>
      <c r="FJ33" s="167" t="str">
        <f ca="1">'AUD-BONDS'!O31</f>
        <v>SEMI-ANNUAL</v>
      </c>
      <c r="FK33" s="130" t="str">
        <f ca="1">'AUD-BONDS'!N31</f>
        <v>30E/360</v>
      </c>
      <c r="FL33" s="148" t="s">
        <v>82</v>
      </c>
      <c r="FM33" s="148" t="s">
        <v>68</v>
      </c>
      <c r="FN33" s="148" t="s">
        <v>82</v>
      </c>
      <c r="FO33" s="148" t="s">
        <v>68</v>
      </c>
      <c r="FP33" s="148" t="s">
        <v>82</v>
      </c>
      <c r="FQ33" s="148" t="s">
        <v>68</v>
      </c>
      <c r="FR33" s="148"/>
      <c r="FS33" s="148"/>
      <c r="FT33" s="148" t="s">
        <v>33</v>
      </c>
      <c r="FU33" s="148"/>
      <c r="FV33" s="148"/>
      <c r="FW33" s="148" t="s">
        <v>35</v>
      </c>
      <c r="FX33" s="148" t="s">
        <v>39</v>
      </c>
      <c r="FY33" s="110">
        <f t="shared" ca="1" si="13"/>
        <v>26</v>
      </c>
      <c r="FZ33" s="59" t="s">
        <v>67</v>
      </c>
      <c r="GA33" s="182">
        <f t="shared" ca="1" si="5"/>
        <v>1333333.3333333333</v>
      </c>
      <c r="GB33" s="148" t="s">
        <v>44</v>
      </c>
      <c r="GC33" s="148" t="s">
        <v>99</v>
      </c>
      <c r="GD33" s="167" t="s">
        <v>66</v>
      </c>
      <c r="GE33" s="148" t="s">
        <v>50</v>
      </c>
      <c r="GF33" s="148" t="s">
        <v>45</v>
      </c>
      <c r="GG33" s="149">
        <v>1</v>
      </c>
      <c r="GH33" s="161"/>
      <c r="GI33" s="148" t="s">
        <v>14</v>
      </c>
      <c r="GJ33" s="148" t="s">
        <v>14</v>
      </c>
      <c r="GK33" s="170">
        <f ca="1">SETTINGS!$I$6</f>
        <v>1.7100000000000001E-2</v>
      </c>
      <c r="GL33" s="148" t="s">
        <v>12</v>
      </c>
      <c r="GM33" s="188">
        <f t="shared" ca="1" si="14"/>
        <v>260.66732023507109</v>
      </c>
      <c r="GN33" s="129">
        <f ca="1">_xll.meLWOBondLastCouponDate('AUD-BONDS'!D31,Settings.COB)</f>
        <v>44027</v>
      </c>
      <c r="GO33" s="129">
        <f ca="1">'AUD-BONDS'!L31</f>
        <v>46037</v>
      </c>
      <c r="GP33" s="167" t="s">
        <v>100</v>
      </c>
      <c r="GQ33" s="130" t="s">
        <v>101</v>
      </c>
      <c r="GR33" s="164" t="s">
        <v>82</v>
      </c>
      <c r="GS33" s="164" t="s">
        <v>65</v>
      </c>
      <c r="GT33" s="164" t="s">
        <v>82</v>
      </c>
      <c r="GU33" s="164" t="s">
        <v>65</v>
      </c>
      <c r="GV33" s="164" t="s">
        <v>82</v>
      </c>
      <c r="GW33" s="164" t="s">
        <v>65</v>
      </c>
      <c r="GX33" s="148"/>
      <c r="GY33" s="148"/>
      <c r="GZ33" s="148" t="s">
        <v>33</v>
      </c>
      <c r="HA33" s="148" t="s">
        <v>35</v>
      </c>
      <c r="HB33" s="148"/>
      <c r="HC33" s="148" t="s">
        <v>35</v>
      </c>
      <c r="HD33" s="148" t="s">
        <v>39</v>
      </c>
      <c r="HE33" s="37" t="s">
        <v>264</v>
      </c>
      <c r="HF33" s="209" t="str">
        <f ca="1"/>
        <v>#Error: No range or empty range specified</v>
      </c>
      <c r="HG33" s="210" t="str">
        <f ca="1"/>
        <v>#Error: No range or empty range specified</v>
      </c>
      <c r="HH33" s="211" t="str">
        <f ca="1"/>
        <v>#Error: No range or empty range specified</v>
      </c>
      <c r="HI33" s="211" t="str">
        <f ca="1"/>
        <v>#Error: No range or empty range specified</v>
      </c>
      <c r="HJ33" s="210" t="str">
        <f ca="1"/>
        <v>#Error: No range or empty range specified</v>
      </c>
      <c r="HK33" s="216" t="str">
        <f ca="1"/>
        <v>#Error: No range or empty range specified</v>
      </c>
      <c r="HL33" s="216" t="str">
        <f ca="1"/>
        <v>#Error: No range or empty range specified</v>
      </c>
      <c r="HM33" s="211" t="str">
        <f ca="1"/>
        <v>#Error: No range or empty range specified</v>
      </c>
      <c r="HN33" s="220" t="str">
        <f ca="1"/>
        <v>#Error: No range or empty range specified</v>
      </c>
      <c r="HO33" s="216" t="str">
        <f ca="1"/>
        <v>#Error: No range or empty range specified</v>
      </c>
      <c r="HP33" s="222" t="str">
        <f ca="1"/>
        <v>#Error: No range or empty range specified</v>
      </c>
      <c r="HQ33" s="224" t="str">
        <f ca="1"/>
        <v>#Error: No range or empty range specified</v>
      </c>
    </row>
    <row r="34" spans="1:225">
      <c r="A34" s="110">
        <f t="shared" ca="1" si="6"/>
        <v>27</v>
      </c>
      <c r="B34" s="125" t="str">
        <f ca="1">'USD-BONDS'!F32</f>
        <v>ISIN26</v>
      </c>
      <c r="C34" s="207">
        <f ca="1">'USD-BONDS'!B32</f>
        <v>100</v>
      </c>
      <c r="D34" s="126" t="str">
        <f ca="1">_xll.meLWOSwapCreate($D$7&amp;"_"&amp;B34,_xll.meUtilityLVBFromKeysAndMultipleValues($G$7:$AL$7,G34:AL34,AN34:BS34))</f>
        <v>USD_ASW_ISIN26@156:6</v>
      </c>
      <c r="E34" s="270">
        <f ca="1">_xll.meLWOAssetSwapSpread(D34,'USD-BONDS'!D32,C34,$J$4:$K$5)</f>
        <v>285.35446266608909</v>
      </c>
      <c r="F34" s="110">
        <f t="shared" ca="1" si="7"/>
        <v>27</v>
      </c>
      <c r="G34" s="150" t="s">
        <v>263</v>
      </c>
      <c r="H34" s="151">
        <v>1000000</v>
      </c>
      <c r="I34" s="152" t="s">
        <v>44</v>
      </c>
      <c r="J34" s="152" t="s">
        <v>96</v>
      </c>
      <c r="K34" s="152"/>
      <c r="L34" s="152" t="s">
        <v>46</v>
      </c>
      <c r="M34" s="152" t="s">
        <v>9</v>
      </c>
      <c r="N34" s="153">
        <v>1</v>
      </c>
      <c r="O34" s="137">
        <f ca="1">'USD-BONDS'!M32</f>
        <v>3.2000000000000001E-2</v>
      </c>
      <c r="P34" s="152"/>
      <c r="Q34" s="152"/>
      <c r="R34" s="156"/>
      <c r="S34" s="152" t="s">
        <v>12</v>
      </c>
      <c r="T34" s="153"/>
      <c r="U34" s="131">
        <f ca="1">_xll.meLWOBondLastCouponDate('USD-BONDS'!D32,Settings.COB)</f>
        <v>43916</v>
      </c>
      <c r="V34" s="131">
        <f ca="1">'USD-BONDS'!L32</f>
        <v>45742</v>
      </c>
      <c r="W34" s="168" t="str">
        <f ca="1">'USD-BONDS'!O32</f>
        <v>SEMI-ANNUAL</v>
      </c>
      <c r="X34" s="132" t="str">
        <f ca="1">'USD-BONDS'!N32</f>
        <v>30E/360</v>
      </c>
      <c r="Y34" s="152" t="s">
        <v>82</v>
      </c>
      <c r="Z34" s="152" t="s">
        <v>68</v>
      </c>
      <c r="AA34" s="152" t="s">
        <v>82</v>
      </c>
      <c r="AB34" s="152" t="s">
        <v>68</v>
      </c>
      <c r="AC34" s="152" t="s">
        <v>82</v>
      </c>
      <c r="AD34" s="152" t="s">
        <v>68</v>
      </c>
      <c r="AE34" s="152"/>
      <c r="AF34" s="152"/>
      <c r="AG34" s="152" t="s">
        <v>33</v>
      </c>
      <c r="AH34" s="152"/>
      <c r="AI34" s="152"/>
      <c r="AJ34" s="152" t="s">
        <v>35</v>
      </c>
      <c r="AK34" s="262" t="s">
        <v>267</v>
      </c>
      <c r="AL34" s="159" t="s">
        <v>39</v>
      </c>
      <c r="AM34" s="110">
        <f t="shared" ca="1" si="8"/>
        <v>27</v>
      </c>
      <c r="AN34" s="150" t="s">
        <v>67</v>
      </c>
      <c r="AO34" s="151">
        <v>1000000</v>
      </c>
      <c r="AP34" s="152" t="s">
        <v>44</v>
      </c>
      <c r="AQ34" s="152" t="s">
        <v>99</v>
      </c>
      <c r="AR34" s="168" t="s">
        <v>102</v>
      </c>
      <c r="AS34" s="152" t="s">
        <v>46</v>
      </c>
      <c r="AT34" s="152" t="s">
        <v>9</v>
      </c>
      <c r="AU34" s="153">
        <v>1</v>
      </c>
      <c r="AV34" s="162"/>
      <c r="AW34" s="152" t="s">
        <v>14</v>
      </c>
      <c r="AX34" s="152" t="s">
        <v>14</v>
      </c>
      <c r="AY34" s="171">
        <f ca="1">SETTINGS!$F$6</f>
        <v>1.2955599999999999E-2</v>
      </c>
      <c r="AZ34" s="152" t="s">
        <v>12</v>
      </c>
      <c r="BA34" s="153">
        <v>0</v>
      </c>
      <c r="BB34" s="131">
        <f ca="1">_xll.meLWOBondLastCouponDate('USD-BONDS'!D32,Settings.COB)</f>
        <v>43916</v>
      </c>
      <c r="BC34" s="131">
        <f ca="1">'USD-BONDS'!L32</f>
        <v>45742</v>
      </c>
      <c r="BD34" s="168" t="s">
        <v>100</v>
      </c>
      <c r="BE34" s="132" t="s">
        <v>101</v>
      </c>
      <c r="BF34" s="165" t="s">
        <v>82</v>
      </c>
      <c r="BG34" s="165" t="s">
        <v>68</v>
      </c>
      <c r="BH34" s="165" t="s">
        <v>82</v>
      </c>
      <c r="BI34" s="165" t="s">
        <v>68</v>
      </c>
      <c r="BJ34" s="165" t="s">
        <v>82</v>
      </c>
      <c r="BK34" s="165" t="s">
        <v>68</v>
      </c>
      <c r="BL34" s="152"/>
      <c r="BM34" s="152"/>
      <c r="BN34" s="152" t="s">
        <v>33</v>
      </c>
      <c r="BO34" s="152" t="s">
        <v>35</v>
      </c>
      <c r="BP34" s="152"/>
      <c r="BQ34" s="152" t="s">
        <v>35</v>
      </c>
      <c r="BR34" s="152"/>
      <c r="BS34" s="159" t="s">
        <v>39</v>
      </c>
      <c r="BT34" s="110">
        <f t="shared" ca="1" si="9"/>
        <v>27</v>
      </c>
      <c r="BU34" s="117" t="str">
        <f ca="1">_xll.meLWOXccySwapCreate($BU$7&amp;"_"&amp;B34,_xll.meUtilityLVBFromKeysAndMultipleValues($BX$7:$DB$7,BX34:DB34,DD34:EH34),$CC$2:$CD$5)</f>
        <v>XCCY_SWAP_ISIN26@178:6</v>
      </c>
      <c r="BV34" s="176">
        <f ca="1">_xll.meLWOXccySwapParSpread(BU34,$BZ$2:$CA$6,,$BZ$3)</f>
        <v>260.66732023507109</v>
      </c>
      <c r="BW34" s="37"/>
      <c r="BX34" s="150" t="s">
        <v>97</v>
      </c>
      <c r="BY34" s="151">
        <v>1000000</v>
      </c>
      <c r="BZ34" s="152" t="s">
        <v>71</v>
      </c>
      <c r="CA34" s="152" t="s">
        <v>96</v>
      </c>
      <c r="CB34" s="138" t="s">
        <v>102</v>
      </c>
      <c r="CC34" s="152" t="s">
        <v>46</v>
      </c>
      <c r="CD34" s="152" t="s">
        <v>9</v>
      </c>
      <c r="CE34" s="153">
        <v>1</v>
      </c>
      <c r="CF34" s="152"/>
      <c r="CG34" s="152" t="s">
        <v>14</v>
      </c>
      <c r="CH34" s="152" t="s">
        <v>14</v>
      </c>
      <c r="CI34" s="171">
        <f ca="1">SETTINGS!$F$6</f>
        <v>1.2955599999999999E-2</v>
      </c>
      <c r="CJ34" s="152" t="s">
        <v>12</v>
      </c>
      <c r="CK34" s="179">
        <f t="shared" ca="1" si="1"/>
        <v>285.35446266608909</v>
      </c>
      <c r="CL34" s="131">
        <f ca="1">_xll.meLWOBondLastCouponDate('USD-BONDS'!D32,Settings.COB)</f>
        <v>43916</v>
      </c>
      <c r="CM34" s="131">
        <f ca="1">'USD-BONDS'!L32</f>
        <v>45742</v>
      </c>
      <c r="CN34" s="168" t="s">
        <v>100</v>
      </c>
      <c r="CO34" s="168" t="s">
        <v>101</v>
      </c>
      <c r="CP34" s="152" t="s">
        <v>82</v>
      </c>
      <c r="CQ34" s="152" t="s">
        <v>68</v>
      </c>
      <c r="CR34" s="152" t="s">
        <v>82</v>
      </c>
      <c r="CS34" s="152" t="s">
        <v>68</v>
      </c>
      <c r="CT34" s="152" t="s">
        <v>82</v>
      </c>
      <c r="CU34" s="152" t="s">
        <v>68</v>
      </c>
      <c r="CV34" s="152"/>
      <c r="CW34" s="152"/>
      <c r="CX34" s="152" t="s">
        <v>33</v>
      </c>
      <c r="CY34" s="152" t="s">
        <v>35</v>
      </c>
      <c r="CZ34" s="152"/>
      <c r="DA34" s="152" t="s">
        <v>35</v>
      </c>
      <c r="DB34" s="159" t="s">
        <v>39</v>
      </c>
      <c r="DC34" s="37"/>
      <c r="DD34" s="150" t="s">
        <v>67</v>
      </c>
      <c r="DE34" s="184">
        <f t="shared" ca="1" si="3"/>
        <v>1333333.3333333333</v>
      </c>
      <c r="DF34" s="152" t="s">
        <v>71</v>
      </c>
      <c r="DG34" s="152" t="s">
        <v>99</v>
      </c>
      <c r="DH34" s="185" t="s">
        <v>66</v>
      </c>
      <c r="DI34" s="152" t="s">
        <v>105</v>
      </c>
      <c r="DJ34" s="152" t="s">
        <v>45</v>
      </c>
      <c r="DK34" s="153">
        <v>1</v>
      </c>
      <c r="DL34" s="152"/>
      <c r="DM34" s="152" t="s">
        <v>14</v>
      </c>
      <c r="DN34" s="152" t="s">
        <v>14</v>
      </c>
      <c r="DO34" s="171">
        <f ca="1">SETTINGS!$I$6</f>
        <v>1.7100000000000001E-2</v>
      </c>
      <c r="DP34" s="152" t="s">
        <v>12</v>
      </c>
      <c r="DQ34" s="153">
        <v>0</v>
      </c>
      <c r="DR34" s="131">
        <f ca="1">_xll.meLWOBondLastCouponDate('AUD-BONDS'!D32,Settings.COB)</f>
        <v>44027</v>
      </c>
      <c r="DS34" s="131">
        <f ca="1">'AUD-BONDS'!L32</f>
        <v>46037</v>
      </c>
      <c r="DT34" s="95" t="s">
        <v>100</v>
      </c>
      <c r="DU34" s="95" t="s">
        <v>103</v>
      </c>
      <c r="DV34" s="152" t="s">
        <v>82</v>
      </c>
      <c r="DW34" s="152" t="s">
        <v>65</v>
      </c>
      <c r="DX34" s="152" t="s">
        <v>82</v>
      </c>
      <c r="DY34" s="152" t="s">
        <v>65</v>
      </c>
      <c r="DZ34" s="152" t="s">
        <v>82</v>
      </c>
      <c r="EA34" s="152" t="s">
        <v>65</v>
      </c>
      <c r="EB34" s="152"/>
      <c r="EC34" s="152"/>
      <c r="ED34" s="152" t="s">
        <v>33</v>
      </c>
      <c r="EE34" s="152" t="s">
        <v>35</v>
      </c>
      <c r="EF34" s="152"/>
      <c r="EG34" s="152" t="s">
        <v>35</v>
      </c>
      <c r="EH34" s="159" t="s">
        <v>39</v>
      </c>
      <c r="EI34" s="110">
        <f t="shared" ca="1" si="10"/>
        <v>27</v>
      </c>
      <c r="EJ34" s="125" t="str">
        <f ca="1">'AUD-BONDS'!F32</f>
        <v>ISIN26</v>
      </c>
      <c r="EK34" s="126" t="str">
        <f ca="1">_xll.meLWOSwapCreate($EK$7&amp;"_"&amp;EJ34,_xll.meUtilityLVBFromKeysAndMultipleValues($ET$7:$FX$7,ET34:FX34,FZ34:HD34))</f>
        <v>#Error: Missing key 'CALCULATIONTYPE'. This key is mandatory and must be included in the Label Value Block , 'scheduleLVB'.</v>
      </c>
      <c r="EL34" s="204" t="str">
        <f ca="1">_xll.meLWOAssetSwapSpreadToCleanPrice($EK34,$EK$4,$BV34,$EW$4)</f>
        <v>#Error: Swap #ERROR does not exist</v>
      </c>
      <c r="EM34" s="110">
        <f t="shared" ref="EM34" ca="1" si="38">EM33+1</f>
        <v>27</v>
      </c>
      <c r="EN34" s="199" t="str">
        <f ca="1">_xll.meLWOBondYield('AUD-BONDS'!D32,$EK$4,$EL34)</f>
        <v>#Error: Invalid input, numerical input required</v>
      </c>
      <c r="EO34" s="200" t="str">
        <f ca="1">_xll.meLWOBondCleanPrice('AUD-BONDS'!$D32,$EK$4,$EN34)</f>
        <v>#Error: Invalid Vector Data:  Input Contains Errors</v>
      </c>
      <c r="EP34" s="200" t="str">
        <f ca="1">_xll.meLWOBondDirtyPrice('AUD-BONDS'!$D32,$EK$4,$EN34)</f>
        <v>#Error: Invalid Vector Data:  Input Contains Errors</v>
      </c>
      <c r="EQ34" s="201">
        <f ca="1">_xll.meLWOBondAccruedInterest('AUD-BONDS'!$D32,'AUD-URIDASHI-PX'!$EK$4)</f>
        <v>4250</v>
      </c>
      <c r="ER34" s="202">
        <f ca="1">_xll.meLWOBondAccruedInterestDays('AUD-BONDS'!$D32,'AUD-URIDASHI-PX'!$EK$4)</f>
        <v>39</v>
      </c>
      <c r="ES34" s="110">
        <f t="shared" ca="1" si="12"/>
        <v>27</v>
      </c>
      <c r="ET34" s="150" t="s">
        <v>263</v>
      </c>
      <c r="EU34" s="184">
        <f t="shared" ca="1" si="4"/>
        <v>1333333.3333333333</v>
      </c>
      <c r="EV34" s="152" t="s">
        <v>44</v>
      </c>
      <c r="EW34" s="152" t="s">
        <v>96</v>
      </c>
      <c r="EX34" s="152"/>
      <c r="EY34" s="152" t="s">
        <v>50</v>
      </c>
      <c r="EZ34" s="152" t="s">
        <v>45</v>
      </c>
      <c r="FA34" s="153">
        <v>1</v>
      </c>
      <c r="FB34" s="137">
        <f ca="1">'AUD-BONDS'!M32</f>
        <v>3.9199999999999999E-2</v>
      </c>
      <c r="FC34" s="152"/>
      <c r="FD34" s="152"/>
      <c r="FE34" s="156"/>
      <c r="FF34" s="152" t="s">
        <v>12</v>
      </c>
      <c r="FG34" s="153"/>
      <c r="FH34" s="131">
        <f ca="1">_xll.meLWOBondLastCouponDate('AUD-BONDS'!D32,Settings.COB)</f>
        <v>44027</v>
      </c>
      <c r="FI34" s="131">
        <f ca="1">'AUD-BONDS'!L32</f>
        <v>46037</v>
      </c>
      <c r="FJ34" s="168" t="str">
        <f ca="1">'AUD-BONDS'!O32</f>
        <v>SEMI-ANNUAL</v>
      </c>
      <c r="FK34" s="132" t="str">
        <f ca="1">'AUD-BONDS'!N32</f>
        <v>30E/360</v>
      </c>
      <c r="FL34" s="152" t="s">
        <v>82</v>
      </c>
      <c r="FM34" s="152" t="s">
        <v>68</v>
      </c>
      <c r="FN34" s="152" t="s">
        <v>82</v>
      </c>
      <c r="FO34" s="152" t="s">
        <v>68</v>
      </c>
      <c r="FP34" s="152" t="s">
        <v>82</v>
      </c>
      <c r="FQ34" s="152" t="s">
        <v>68</v>
      </c>
      <c r="FR34" s="152"/>
      <c r="FS34" s="152"/>
      <c r="FT34" s="152" t="s">
        <v>33</v>
      </c>
      <c r="FU34" s="152"/>
      <c r="FV34" s="152"/>
      <c r="FW34" s="152" t="s">
        <v>35</v>
      </c>
      <c r="FX34" s="237" t="s">
        <v>39</v>
      </c>
      <c r="FY34" s="110">
        <f t="shared" ca="1" si="13"/>
        <v>27</v>
      </c>
      <c r="FZ34" s="150" t="s">
        <v>67</v>
      </c>
      <c r="GA34" s="184">
        <f t="shared" ca="1" si="5"/>
        <v>1333333.3333333333</v>
      </c>
      <c r="GB34" s="152" t="s">
        <v>44</v>
      </c>
      <c r="GC34" s="152" t="s">
        <v>99</v>
      </c>
      <c r="GD34" s="168" t="s">
        <v>66</v>
      </c>
      <c r="GE34" s="152" t="s">
        <v>50</v>
      </c>
      <c r="GF34" s="152" t="s">
        <v>45</v>
      </c>
      <c r="GG34" s="153">
        <v>1</v>
      </c>
      <c r="GH34" s="162"/>
      <c r="GI34" s="152" t="s">
        <v>14</v>
      </c>
      <c r="GJ34" s="152" t="s">
        <v>14</v>
      </c>
      <c r="GK34" s="171">
        <f ca="1">SETTINGS!$I$6</f>
        <v>1.7100000000000001E-2</v>
      </c>
      <c r="GL34" s="152" t="s">
        <v>12</v>
      </c>
      <c r="GM34" s="189">
        <f t="shared" ca="1" si="14"/>
        <v>260.66732023507109</v>
      </c>
      <c r="GN34" s="131">
        <f ca="1">_xll.meLWOBondLastCouponDate('AUD-BONDS'!D32,Settings.COB)</f>
        <v>44027</v>
      </c>
      <c r="GO34" s="131">
        <f ca="1">'AUD-BONDS'!L32</f>
        <v>46037</v>
      </c>
      <c r="GP34" s="168" t="s">
        <v>100</v>
      </c>
      <c r="GQ34" s="132" t="s">
        <v>101</v>
      </c>
      <c r="GR34" s="165" t="s">
        <v>82</v>
      </c>
      <c r="GS34" s="165" t="s">
        <v>65</v>
      </c>
      <c r="GT34" s="165" t="s">
        <v>82</v>
      </c>
      <c r="GU34" s="165" t="s">
        <v>65</v>
      </c>
      <c r="GV34" s="165" t="s">
        <v>82</v>
      </c>
      <c r="GW34" s="165" t="s">
        <v>65</v>
      </c>
      <c r="GX34" s="152"/>
      <c r="GY34" s="152"/>
      <c r="GZ34" s="152" t="s">
        <v>33</v>
      </c>
      <c r="HA34" s="152" t="s">
        <v>35</v>
      </c>
      <c r="HB34" s="152"/>
      <c r="HC34" s="152" t="s">
        <v>35</v>
      </c>
      <c r="HD34" s="237" t="s">
        <v>39</v>
      </c>
      <c r="HE34" s="37" t="s">
        <v>264</v>
      </c>
      <c r="HF34" s="209" t="str">
        <f ca="1"/>
        <v>#Error: No range or empty range specified</v>
      </c>
      <c r="HG34" s="210" t="str">
        <f ca="1"/>
        <v>#Error: No range or empty range specified</v>
      </c>
      <c r="HH34" s="211" t="str">
        <f ca="1"/>
        <v>#Error: No range or empty range specified</v>
      </c>
      <c r="HI34" s="211" t="str">
        <f ca="1"/>
        <v>#Error: No range or empty range specified</v>
      </c>
      <c r="HJ34" s="210" t="str">
        <f ca="1"/>
        <v>#Error: No range or empty range specified</v>
      </c>
      <c r="HK34" s="216" t="str">
        <f ca="1"/>
        <v>#Error: No range or empty range specified</v>
      </c>
      <c r="HL34" s="216" t="str">
        <f ca="1"/>
        <v>#Error: No range or empty range specified</v>
      </c>
      <c r="HM34" s="211" t="str">
        <f ca="1"/>
        <v>#Error: No range or empty range specified</v>
      </c>
      <c r="HN34" s="220" t="str">
        <f ca="1"/>
        <v>#Error: No range or empty range specified</v>
      </c>
      <c r="HO34" s="216" t="str">
        <f ca="1"/>
        <v>#Error: No range or empty range specified</v>
      </c>
      <c r="HP34" s="222" t="str">
        <f ca="1"/>
        <v>#Error: No range or empty range specified</v>
      </c>
      <c r="HQ34" s="224" t="str">
        <f ca="1"/>
        <v>#Error: No range or empty range specified</v>
      </c>
    </row>
    <row r="35" spans="1:225"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BX35" s="37"/>
      <c r="BY35" s="37"/>
      <c r="BZ35" s="37"/>
      <c r="CA35" s="37"/>
      <c r="EM35" s="53"/>
      <c r="HE35" s="37" t="s">
        <v>264</v>
      </c>
      <c r="HF35" s="209" t="str">
        <f ca="1"/>
        <v>#Error: No range or empty range specified</v>
      </c>
      <c r="HG35" s="210" t="str">
        <f ca="1"/>
        <v>#Error: No range or empty range specified</v>
      </c>
      <c r="HH35" s="211" t="str">
        <f ca="1"/>
        <v>#Error: No range or empty range specified</v>
      </c>
      <c r="HI35" s="211" t="str">
        <f ca="1"/>
        <v>#Error: No range or empty range specified</v>
      </c>
      <c r="HJ35" s="210" t="str">
        <f ca="1"/>
        <v>#Error: No range or empty range specified</v>
      </c>
      <c r="HK35" s="216" t="str">
        <f ca="1"/>
        <v>#Error: No range or empty range specified</v>
      </c>
      <c r="HL35" s="216" t="str">
        <f ca="1"/>
        <v>#Error: No range or empty range specified</v>
      </c>
      <c r="HM35" s="211" t="str">
        <f ca="1"/>
        <v>#Error: No range or empty range specified</v>
      </c>
      <c r="HN35" s="220" t="str">
        <f ca="1"/>
        <v>#Error: No range or empty range specified</v>
      </c>
      <c r="HO35" s="216" t="str">
        <f ca="1"/>
        <v>#Error: No range or empty range specified</v>
      </c>
      <c r="HP35" s="222" t="str">
        <f ca="1"/>
        <v>#Error: No range or empty range specified</v>
      </c>
      <c r="HQ35" s="224" t="str">
        <f ca="1"/>
        <v>#Error: No range or empty range specified</v>
      </c>
    </row>
    <row r="36" spans="1:225"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BX36" s="37"/>
      <c r="BY36" s="37"/>
      <c r="BZ36" s="37"/>
      <c r="CA36" s="37"/>
      <c r="EM36" s="53"/>
      <c r="HE36" s="37" t="s">
        <v>264</v>
      </c>
      <c r="HF36" s="209" t="str">
        <f ca="1"/>
        <v>#Error: No range or empty range specified</v>
      </c>
      <c r="HG36" s="210" t="str">
        <f ca="1"/>
        <v>#Error: No range or empty range specified</v>
      </c>
      <c r="HH36" s="211" t="str">
        <f ca="1"/>
        <v>#Error: No range or empty range specified</v>
      </c>
      <c r="HI36" s="211" t="str">
        <f ca="1"/>
        <v>#Error: No range or empty range specified</v>
      </c>
      <c r="HJ36" s="210" t="str">
        <f ca="1"/>
        <v>#Error: No range or empty range specified</v>
      </c>
      <c r="HK36" s="216" t="str">
        <f ca="1"/>
        <v>#Error: No range or empty range specified</v>
      </c>
      <c r="HL36" s="216" t="str">
        <f ca="1"/>
        <v>#Error: No range or empty range specified</v>
      </c>
      <c r="HM36" s="211" t="str">
        <f ca="1"/>
        <v>#Error: No range or empty range specified</v>
      </c>
      <c r="HN36" s="220" t="str">
        <f ca="1"/>
        <v>#Error: No range or empty range specified</v>
      </c>
      <c r="HO36" s="216" t="str">
        <f ca="1"/>
        <v>#Error: No range or empty range specified</v>
      </c>
      <c r="HP36" s="222" t="str">
        <f ca="1"/>
        <v>#Error: No range or empty range specified</v>
      </c>
      <c r="HQ36" s="224" t="str">
        <f ca="1"/>
        <v>#Error: No range or empty range specified</v>
      </c>
    </row>
    <row r="37" spans="1:225"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BX37" s="37"/>
      <c r="BY37" s="37"/>
      <c r="BZ37" s="37"/>
      <c r="CA37" s="37"/>
      <c r="EL37" s="106"/>
      <c r="EM37" s="53"/>
      <c r="HE37" s="37" t="s">
        <v>264</v>
      </c>
      <c r="HF37" s="209" t="str">
        <f ca="1"/>
        <v>#Error: No range or empty range specified</v>
      </c>
      <c r="HG37" s="210" t="str">
        <f ca="1"/>
        <v>#Error: No range or empty range specified</v>
      </c>
      <c r="HH37" s="211" t="str">
        <f ca="1"/>
        <v>#Error: No range or empty range specified</v>
      </c>
      <c r="HI37" s="211" t="str">
        <f ca="1"/>
        <v>#Error: No range or empty range specified</v>
      </c>
      <c r="HJ37" s="210" t="str">
        <f ca="1"/>
        <v>#Error: No range or empty range specified</v>
      </c>
      <c r="HK37" s="216" t="str">
        <f ca="1"/>
        <v>#Error: No range or empty range specified</v>
      </c>
      <c r="HL37" s="216" t="str">
        <f ca="1"/>
        <v>#Error: No range or empty range specified</v>
      </c>
      <c r="HM37" s="211" t="str">
        <f ca="1"/>
        <v>#Error: No range or empty range specified</v>
      </c>
      <c r="HN37" s="220" t="str">
        <f ca="1"/>
        <v>#Error: No range or empty range specified</v>
      </c>
      <c r="HO37" s="216" t="str">
        <f ca="1"/>
        <v>#Error: No range or empty range specified</v>
      </c>
      <c r="HP37" s="222" t="str">
        <f ca="1"/>
        <v>#Error: No range or empty range specified</v>
      </c>
      <c r="HQ37" s="224" t="str">
        <f ca="1"/>
        <v>#Error: No range or empty range specified</v>
      </c>
    </row>
    <row r="38" spans="1:225"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BX38" s="37"/>
      <c r="BY38" s="37"/>
      <c r="BZ38" s="37"/>
      <c r="CA38" s="37"/>
      <c r="EM38" s="53"/>
      <c r="HE38" s="37" t="s">
        <v>264</v>
      </c>
      <c r="HF38" s="209" t="str">
        <f ca="1"/>
        <v>#Error: No range or empty range specified</v>
      </c>
      <c r="HG38" s="210" t="str">
        <f ca="1"/>
        <v>#Error: No range or empty range specified</v>
      </c>
      <c r="HH38" s="211" t="str">
        <f ca="1"/>
        <v>#Error: No range or empty range specified</v>
      </c>
      <c r="HI38" s="211" t="str">
        <f ca="1"/>
        <v>#Error: No range or empty range specified</v>
      </c>
      <c r="HJ38" s="210" t="str">
        <f ca="1"/>
        <v>#Error: No range or empty range specified</v>
      </c>
      <c r="HK38" s="216" t="str">
        <f ca="1"/>
        <v>#Error: No range or empty range specified</v>
      </c>
      <c r="HL38" s="216" t="str">
        <f ca="1"/>
        <v>#Error: No range or empty range specified</v>
      </c>
      <c r="HM38" s="211" t="str">
        <f ca="1"/>
        <v>#Error: No range or empty range specified</v>
      </c>
      <c r="HN38" s="220" t="str">
        <f ca="1"/>
        <v>#Error: No range or empty range specified</v>
      </c>
      <c r="HO38" s="216" t="str">
        <f ca="1"/>
        <v>#Error: No range or empty range specified</v>
      </c>
      <c r="HP38" s="222" t="str">
        <f ca="1"/>
        <v>#Error: No range or empty range specified</v>
      </c>
      <c r="HQ38" s="224" t="str">
        <f ca="1"/>
        <v>#Error: No range or empty range specified</v>
      </c>
    </row>
    <row r="39" spans="1:225"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BX39" s="37"/>
      <c r="BY39" s="37"/>
      <c r="BZ39" s="37"/>
      <c r="CA39" s="37"/>
      <c r="EM39" s="53"/>
      <c r="HE39" s="37" t="s">
        <v>264</v>
      </c>
      <c r="HF39" s="209" t="str">
        <f ca="1"/>
        <v>#Error: No range or empty range specified</v>
      </c>
      <c r="HG39" s="210" t="str">
        <f ca="1"/>
        <v>#Error: No range or empty range specified</v>
      </c>
      <c r="HH39" s="211" t="str">
        <f ca="1"/>
        <v>#Error: No range or empty range specified</v>
      </c>
      <c r="HI39" s="211" t="str">
        <f ca="1"/>
        <v>#Error: No range or empty range specified</v>
      </c>
      <c r="HJ39" s="210" t="str">
        <f ca="1"/>
        <v>#Error: No range or empty range specified</v>
      </c>
      <c r="HK39" s="216" t="str">
        <f ca="1"/>
        <v>#Error: No range or empty range specified</v>
      </c>
      <c r="HL39" s="216" t="str">
        <f ca="1"/>
        <v>#Error: No range or empty range specified</v>
      </c>
      <c r="HM39" s="211" t="str">
        <f ca="1"/>
        <v>#Error: No range or empty range specified</v>
      </c>
      <c r="HN39" s="220" t="str">
        <f ca="1"/>
        <v>#Error: No range or empty range specified</v>
      </c>
      <c r="HO39" s="216" t="str">
        <f ca="1"/>
        <v>#Error: No range or empty range specified</v>
      </c>
      <c r="HP39" s="222" t="str">
        <f ca="1"/>
        <v>#Error: No range or empty range specified</v>
      </c>
      <c r="HQ39" s="224" t="str">
        <f ca="1"/>
        <v>#Error: No range or empty range specified</v>
      </c>
    </row>
    <row r="40" spans="1:225"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BX40" s="37"/>
      <c r="BY40" s="37"/>
      <c r="BZ40" s="37"/>
      <c r="CA40" s="37"/>
      <c r="EM40" s="53"/>
      <c r="HE40" s="37" t="s">
        <v>264</v>
      </c>
      <c r="HF40" s="209" t="str">
        <f ca="1"/>
        <v>#Error: No range or empty range specified</v>
      </c>
      <c r="HG40" s="210" t="str">
        <f ca="1"/>
        <v>#Error: No range or empty range specified</v>
      </c>
      <c r="HH40" s="211" t="str">
        <f ca="1"/>
        <v>#Error: No range or empty range specified</v>
      </c>
      <c r="HI40" s="211" t="str">
        <f ca="1"/>
        <v>#Error: No range or empty range specified</v>
      </c>
      <c r="HJ40" s="210" t="str">
        <f ca="1"/>
        <v>#Error: No range or empty range specified</v>
      </c>
      <c r="HK40" s="216" t="str">
        <f ca="1"/>
        <v>#Error: No range or empty range specified</v>
      </c>
      <c r="HL40" s="216" t="str">
        <f ca="1"/>
        <v>#Error: No range or empty range specified</v>
      </c>
      <c r="HM40" s="211" t="str">
        <f ca="1"/>
        <v>#Error: No range or empty range specified</v>
      </c>
      <c r="HN40" s="220" t="str">
        <f ca="1"/>
        <v>#Error: No range or empty range specified</v>
      </c>
      <c r="HO40" s="216" t="str">
        <f ca="1"/>
        <v>#Error: No range or empty range specified</v>
      </c>
      <c r="HP40" s="222" t="str">
        <f ca="1"/>
        <v>#Error: No range or empty range specified</v>
      </c>
      <c r="HQ40" s="224" t="str">
        <f ca="1"/>
        <v>#Error: No range or empty range specified</v>
      </c>
    </row>
    <row r="41" spans="1:225">
      <c r="K41" s="37"/>
      <c r="L41" s="37"/>
      <c r="M41" s="37"/>
      <c r="N41" s="37"/>
      <c r="O41" s="37"/>
      <c r="P41" s="37"/>
      <c r="Q41" s="37"/>
      <c r="R41" s="37"/>
      <c r="S41" s="37"/>
      <c r="BX41" s="37"/>
      <c r="BY41" s="37"/>
      <c r="BZ41" s="37"/>
      <c r="CA41" s="37"/>
      <c r="EM41" s="53"/>
      <c r="HE41" s="37" t="s">
        <v>264</v>
      </c>
      <c r="HF41" s="209" t="str">
        <f ca="1"/>
        <v>#Error: No range or empty range specified</v>
      </c>
      <c r="HG41" s="210" t="str">
        <f ca="1"/>
        <v>#Error: No range or empty range specified</v>
      </c>
      <c r="HH41" s="211" t="str">
        <f ca="1"/>
        <v>#Error: No range or empty range specified</v>
      </c>
      <c r="HI41" s="211" t="str">
        <f ca="1"/>
        <v>#Error: No range or empty range specified</v>
      </c>
      <c r="HJ41" s="210" t="str">
        <f ca="1"/>
        <v>#Error: No range or empty range specified</v>
      </c>
      <c r="HK41" s="216" t="str">
        <f ca="1"/>
        <v>#Error: No range or empty range specified</v>
      </c>
      <c r="HL41" s="216" t="str">
        <f ca="1"/>
        <v>#Error: No range or empty range specified</v>
      </c>
      <c r="HM41" s="211" t="str">
        <f ca="1"/>
        <v>#Error: No range or empty range specified</v>
      </c>
      <c r="HN41" s="220" t="str">
        <f ca="1"/>
        <v>#Error: No range or empty range specified</v>
      </c>
      <c r="HO41" s="216" t="str">
        <f ca="1"/>
        <v>#Error: No range or empty range specified</v>
      </c>
      <c r="HP41" s="222" t="str">
        <f ca="1"/>
        <v>#Error: No range or empty range specified</v>
      </c>
      <c r="HQ41" s="224" t="str">
        <f ca="1"/>
        <v>#Error: No range or empty range specified</v>
      </c>
    </row>
    <row r="42" spans="1:225">
      <c r="K42" s="37"/>
      <c r="L42" s="37"/>
      <c r="M42" s="37"/>
      <c r="N42" s="37"/>
      <c r="O42" s="37"/>
      <c r="P42" s="37"/>
      <c r="Q42" s="37"/>
      <c r="R42" s="37"/>
      <c r="S42" s="37"/>
      <c r="BX42" s="37"/>
      <c r="BY42" s="37"/>
      <c r="BZ42" s="37"/>
      <c r="CA42" s="37"/>
      <c r="EM42" s="53"/>
      <c r="HE42" s="37" t="s">
        <v>264</v>
      </c>
      <c r="HF42" s="209" t="str">
        <f ca="1"/>
        <v>#Error: No range or empty range specified</v>
      </c>
      <c r="HG42" s="210" t="str">
        <f ca="1"/>
        <v>#Error: No range or empty range specified</v>
      </c>
      <c r="HH42" s="211" t="str">
        <f ca="1"/>
        <v>#Error: No range or empty range specified</v>
      </c>
      <c r="HI42" s="211" t="str">
        <f ca="1"/>
        <v>#Error: No range or empty range specified</v>
      </c>
      <c r="HJ42" s="210" t="str">
        <f ca="1"/>
        <v>#Error: No range or empty range specified</v>
      </c>
      <c r="HK42" s="216" t="str">
        <f ca="1"/>
        <v>#Error: No range or empty range specified</v>
      </c>
      <c r="HL42" s="216" t="str">
        <f ca="1"/>
        <v>#Error: No range or empty range specified</v>
      </c>
      <c r="HM42" s="211" t="str">
        <f ca="1"/>
        <v>#Error: No range or empty range specified</v>
      </c>
      <c r="HN42" s="220" t="str">
        <f ca="1"/>
        <v>#Error: No range or empty range specified</v>
      </c>
      <c r="HO42" s="216" t="str">
        <f ca="1"/>
        <v>#Error: No range or empty range specified</v>
      </c>
      <c r="HP42" s="222" t="str">
        <f ca="1"/>
        <v>#Error: No range or empty range specified</v>
      </c>
      <c r="HQ42" s="224" t="str">
        <f ca="1"/>
        <v>#Error: No range or empty range specified</v>
      </c>
    </row>
    <row r="43" spans="1:225">
      <c r="K43" s="37"/>
      <c r="L43" s="37"/>
      <c r="M43" s="37"/>
      <c r="N43" s="37"/>
      <c r="O43" s="37"/>
      <c r="P43" s="37"/>
      <c r="Q43" s="37"/>
      <c r="R43" s="37"/>
      <c r="S43" s="37"/>
      <c r="EM43" s="53"/>
      <c r="HE43" s="37" t="s">
        <v>264</v>
      </c>
      <c r="HF43" s="209" t="str">
        <f ca="1"/>
        <v>#Error: No range or empty range specified</v>
      </c>
      <c r="HG43" s="210" t="str">
        <f ca="1"/>
        <v>#Error: No range or empty range specified</v>
      </c>
      <c r="HH43" s="211" t="str">
        <f ca="1"/>
        <v>#Error: No range or empty range specified</v>
      </c>
      <c r="HI43" s="211" t="str">
        <f ca="1"/>
        <v>#Error: No range or empty range specified</v>
      </c>
      <c r="HJ43" s="210" t="str">
        <f ca="1"/>
        <v>#Error: No range or empty range specified</v>
      </c>
      <c r="HK43" s="216" t="str">
        <f ca="1"/>
        <v>#Error: No range or empty range specified</v>
      </c>
      <c r="HL43" s="216" t="str">
        <f ca="1"/>
        <v>#Error: No range or empty range specified</v>
      </c>
      <c r="HM43" s="211" t="str">
        <f ca="1"/>
        <v>#Error: No range or empty range specified</v>
      </c>
      <c r="HN43" s="220" t="str">
        <f ca="1"/>
        <v>#Error: No range or empty range specified</v>
      </c>
      <c r="HO43" s="216" t="str">
        <f ca="1"/>
        <v>#Error: No range or empty range specified</v>
      </c>
      <c r="HP43" s="222" t="str">
        <f ca="1"/>
        <v>#Error: No range or empty range specified</v>
      </c>
      <c r="HQ43" s="224" t="str">
        <f ca="1"/>
        <v>#Error: No range or empty range specified</v>
      </c>
    </row>
    <row r="44" spans="1:225">
      <c r="K44" s="37"/>
      <c r="L44" s="37"/>
      <c r="M44" s="37"/>
      <c r="N44" s="37"/>
      <c r="O44" s="37"/>
      <c r="P44" s="37"/>
      <c r="Q44" s="37"/>
      <c r="R44" s="37"/>
      <c r="S44" s="37"/>
      <c r="EM44" s="53"/>
      <c r="HE44" s="37" t="s">
        <v>264</v>
      </c>
      <c r="HF44" s="209" t="str">
        <f ca="1"/>
        <v>#Error: No range or empty range specified</v>
      </c>
      <c r="HG44" s="210" t="str">
        <f ca="1"/>
        <v>#Error: No range or empty range specified</v>
      </c>
      <c r="HH44" s="211" t="str">
        <f ca="1"/>
        <v>#Error: No range or empty range specified</v>
      </c>
      <c r="HI44" s="211" t="str">
        <f ca="1"/>
        <v>#Error: No range or empty range specified</v>
      </c>
      <c r="HJ44" s="210" t="str">
        <f ca="1"/>
        <v>#Error: No range or empty range specified</v>
      </c>
      <c r="HK44" s="216" t="str">
        <f ca="1"/>
        <v>#Error: No range or empty range specified</v>
      </c>
      <c r="HL44" s="216" t="str">
        <f ca="1"/>
        <v>#Error: No range or empty range specified</v>
      </c>
      <c r="HM44" s="211" t="str">
        <f ca="1"/>
        <v>#Error: No range or empty range specified</v>
      </c>
      <c r="HN44" s="220" t="str">
        <f ca="1"/>
        <v>#Error: No range or empty range specified</v>
      </c>
      <c r="HO44" s="216" t="str">
        <f ca="1"/>
        <v>#Error: No range or empty range specified</v>
      </c>
      <c r="HP44" s="222" t="str">
        <f ca="1"/>
        <v>#Error: No range or empty range specified</v>
      </c>
      <c r="HQ44" s="224" t="str">
        <f ca="1"/>
        <v>#Error: No range or empty range specified</v>
      </c>
    </row>
    <row r="45" spans="1:225">
      <c r="K45" s="37"/>
      <c r="L45" s="37"/>
      <c r="M45" s="37"/>
      <c r="N45" s="37"/>
      <c r="O45" s="37"/>
      <c r="P45" s="37"/>
      <c r="Q45" s="37"/>
      <c r="R45" s="37"/>
      <c r="S45" s="37"/>
      <c r="EM45" s="53"/>
      <c r="HE45" s="37" t="s">
        <v>264</v>
      </c>
      <c r="HF45" s="209" t="str">
        <f ca="1"/>
        <v>#Error: No range or empty range specified</v>
      </c>
      <c r="HG45" s="210" t="str">
        <f ca="1"/>
        <v>#Error: No range or empty range specified</v>
      </c>
      <c r="HH45" s="211" t="str">
        <f ca="1"/>
        <v>#Error: No range or empty range specified</v>
      </c>
      <c r="HI45" s="211" t="str">
        <f ca="1"/>
        <v>#Error: No range or empty range specified</v>
      </c>
      <c r="HJ45" s="210" t="str">
        <f ca="1"/>
        <v>#Error: No range or empty range specified</v>
      </c>
      <c r="HK45" s="216" t="str">
        <f ca="1"/>
        <v>#Error: No range or empty range specified</v>
      </c>
      <c r="HL45" s="216" t="str">
        <f ca="1"/>
        <v>#Error: No range or empty range specified</v>
      </c>
      <c r="HM45" s="211" t="str">
        <f ca="1"/>
        <v>#Error: No range or empty range specified</v>
      </c>
      <c r="HN45" s="220" t="str">
        <f ca="1"/>
        <v>#Error: No range or empty range specified</v>
      </c>
      <c r="HO45" s="216" t="str">
        <f ca="1"/>
        <v>#Error: No range or empty range specified</v>
      </c>
      <c r="HP45" s="222" t="str">
        <f ca="1"/>
        <v>#Error: No range or empty range specified</v>
      </c>
      <c r="HQ45" s="224" t="str">
        <f ca="1"/>
        <v>#Error: No range or empty range specified</v>
      </c>
    </row>
    <row r="46" spans="1:225">
      <c r="K46" s="37"/>
      <c r="L46" s="37"/>
      <c r="M46" s="37"/>
      <c r="N46" s="37"/>
      <c r="O46" s="37"/>
      <c r="P46" s="37"/>
      <c r="Q46" s="37"/>
      <c r="R46" s="37"/>
      <c r="S46" s="37"/>
      <c r="EM46" s="53"/>
      <c r="HE46" s="37" t="s">
        <v>264</v>
      </c>
      <c r="HF46" s="209" t="str">
        <f ca="1"/>
        <v>#Error: No range or empty range specified</v>
      </c>
      <c r="HG46" s="210" t="str">
        <f ca="1"/>
        <v>#Error: No range or empty range specified</v>
      </c>
      <c r="HH46" s="211" t="str">
        <f ca="1"/>
        <v>#Error: No range or empty range specified</v>
      </c>
      <c r="HI46" s="211" t="str">
        <f ca="1"/>
        <v>#Error: No range or empty range specified</v>
      </c>
      <c r="HJ46" s="210" t="str">
        <f ca="1"/>
        <v>#Error: No range or empty range specified</v>
      </c>
      <c r="HK46" s="216" t="str">
        <f ca="1"/>
        <v>#Error: No range or empty range specified</v>
      </c>
      <c r="HL46" s="216" t="str">
        <f ca="1"/>
        <v>#Error: No range or empty range specified</v>
      </c>
      <c r="HM46" s="211" t="str">
        <f ca="1"/>
        <v>#Error: No range or empty range specified</v>
      </c>
      <c r="HN46" s="220" t="str">
        <f ca="1"/>
        <v>#Error: No range or empty range specified</v>
      </c>
      <c r="HO46" s="216" t="str">
        <f ca="1"/>
        <v>#Error: No range or empty range specified</v>
      </c>
      <c r="HP46" s="222" t="str">
        <f ca="1"/>
        <v>#Error: No range or empty range specified</v>
      </c>
      <c r="HQ46" s="224" t="str">
        <f ca="1"/>
        <v>#Error: No range or empty range specified</v>
      </c>
    </row>
    <row r="47" spans="1:225">
      <c r="K47" s="37"/>
      <c r="L47" s="37"/>
      <c r="M47" s="37"/>
      <c r="N47" s="37"/>
      <c r="O47" s="37"/>
      <c r="P47" s="37"/>
      <c r="Q47" s="37"/>
      <c r="R47" s="37"/>
      <c r="S47" s="37"/>
      <c r="EM47" s="53"/>
      <c r="HE47" s="37" t="s">
        <v>264</v>
      </c>
      <c r="HF47" s="209" t="str">
        <f ca="1"/>
        <v>#Error: No range or empty range specified</v>
      </c>
      <c r="HG47" s="210" t="str">
        <f ca="1"/>
        <v>#Error: No range or empty range specified</v>
      </c>
      <c r="HH47" s="211" t="str">
        <f ca="1"/>
        <v>#Error: No range or empty range specified</v>
      </c>
      <c r="HI47" s="211" t="str">
        <f ca="1"/>
        <v>#Error: No range or empty range specified</v>
      </c>
      <c r="HJ47" s="210" t="str">
        <f ca="1"/>
        <v>#Error: No range or empty range specified</v>
      </c>
      <c r="HK47" s="216" t="str">
        <f ca="1"/>
        <v>#Error: No range or empty range specified</v>
      </c>
      <c r="HL47" s="216" t="str">
        <f ca="1"/>
        <v>#Error: No range or empty range specified</v>
      </c>
      <c r="HM47" s="211" t="str">
        <f ca="1"/>
        <v>#Error: No range or empty range specified</v>
      </c>
      <c r="HN47" s="220" t="str">
        <f ca="1"/>
        <v>#Error: No range or empty range specified</v>
      </c>
      <c r="HO47" s="216" t="str">
        <f ca="1"/>
        <v>#Error: No range or empty range specified</v>
      </c>
      <c r="HP47" s="222" t="str">
        <f ca="1"/>
        <v>#Error: No range or empty range specified</v>
      </c>
      <c r="HQ47" s="224" t="str">
        <f ca="1"/>
        <v>#Error: No range or empty range specified</v>
      </c>
    </row>
    <row r="48" spans="1:225">
      <c r="K48" s="37"/>
      <c r="L48" s="37"/>
      <c r="M48" s="37"/>
      <c r="N48" s="37"/>
      <c r="O48" s="37"/>
      <c r="P48" s="37"/>
      <c r="Q48" s="37"/>
      <c r="R48" s="37"/>
      <c r="S48" s="37"/>
      <c r="EM48" s="53"/>
      <c r="HE48" s="37" t="s">
        <v>264</v>
      </c>
      <c r="HF48" s="209" t="str">
        <f ca="1"/>
        <v>#Error: No range or empty range specified</v>
      </c>
      <c r="HG48" s="210" t="str">
        <f ca="1"/>
        <v>#Error: No range or empty range specified</v>
      </c>
      <c r="HH48" s="211" t="str">
        <f ca="1"/>
        <v>#Error: No range or empty range specified</v>
      </c>
      <c r="HI48" s="211" t="str">
        <f ca="1"/>
        <v>#Error: No range or empty range specified</v>
      </c>
      <c r="HJ48" s="210" t="str">
        <f ca="1"/>
        <v>#Error: No range or empty range specified</v>
      </c>
      <c r="HK48" s="216" t="str">
        <f ca="1"/>
        <v>#Error: No range or empty range specified</v>
      </c>
      <c r="HL48" s="216" t="str">
        <f ca="1"/>
        <v>#Error: No range or empty range specified</v>
      </c>
      <c r="HM48" s="211" t="str">
        <f ca="1"/>
        <v>#Error: No range or empty range specified</v>
      </c>
      <c r="HN48" s="220" t="str">
        <f ca="1"/>
        <v>#Error: No range or empty range specified</v>
      </c>
      <c r="HO48" s="216" t="str">
        <f ca="1"/>
        <v>#Error: No range or empty range specified</v>
      </c>
      <c r="HP48" s="222" t="str">
        <f ca="1"/>
        <v>#Error: No range or empty range specified</v>
      </c>
      <c r="HQ48" s="224" t="str">
        <f ca="1"/>
        <v>#Error: No range or empty range specified</v>
      </c>
    </row>
    <row r="49" spans="11:225">
      <c r="K49" s="37"/>
      <c r="L49" s="37"/>
      <c r="M49" s="37"/>
      <c r="N49" s="37"/>
      <c r="O49" s="37"/>
      <c r="P49" s="37"/>
      <c r="Q49" s="37"/>
      <c r="R49" s="37"/>
      <c r="S49" s="37"/>
      <c r="EM49" s="53"/>
      <c r="HE49" s="37" t="s">
        <v>264</v>
      </c>
      <c r="HF49" s="209" t="str">
        <f ca="1"/>
        <v>#Error: No range or empty range specified</v>
      </c>
      <c r="HG49" s="210" t="str">
        <f ca="1"/>
        <v>#Error: No range or empty range specified</v>
      </c>
      <c r="HH49" s="211" t="str">
        <f ca="1"/>
        <v>#Error: No range or empty range specified</v>
      </c>
      <c r="HI49" s="211" t="str">
        <f ca="1"/>
        <v>#Error: No range or empty range specified</v>
      </c>
      <c r="HJ49" s="210" t="str">
        <f ca="1"/>
        <v>#Error: No range or empty range specified</v>
      </c>
      <c r="HK49" s="216" t="str">
        <f ca="1"/>
        <v>#Error: No range or empty range specified</v>
      </c>
      <c r="HL49" s="216" t="str">
        <f ca="1"/>
        <v>#Error: No range or empty range specified</v>
      </c>
      <c r="HM49" s="211" t="str">
        <f ca="1"/>
        <v>#Error: No range or empty range specified</v>
      </c>
      <c r="HN49" s="220" t="str">
        <f ca="1"/>
        <v>#Error: No range or empty range specified</v>
      </c>
      <c r="HO49" s="216" t="str">
        <f ca="1"/>
        <v>#Error: No range or empty range specified</v>
      </c>
      <c r="HP49" s="222" t="str">
        <f ca="1"/>
        <v>#Error: No range or empty range specified</v>
      </c>
      <c r="HQ49" s="224" t="str">
        <f ca="1"/>
        <v>#Error: No range or empty range specified</v>
      </c>
    </row>
    <row r="50" spans="11:225">
      <c r="K50" s="37"/>
      <c r="L50" s="37"/>
      <c r="M50" s="37"/>
      <c r="N50" s="37"/>
      <c r="O50" s="37"/>
      <c r="P50" s="37"/>
      <c r="Q50" s="37"/>
      <c r="R50" s="37"/>
      <c r="S50" s="37"/>
      <c r="HE50" s="37" t="s">
        <v>264</v>
      </c>
      <c r="HF50" s="212" t="str">
        <f ca="1"/>
        <v>#Error: No range or empty range specified</v>
      </c>
      <c r="HG50" s="213" t="str">
        <f ca="1"/>
        <v>#Error: No range or empty range specified</v>
      </c>
      <c r="HH50" s="214" t="str">
        <f ca="1"/>
        <v>#Error: No range or empty range specified</v>
      </c>
      <c r="HI50" s="214" t="str">
        <f ca="1"/>
        <v>#Error: No range or empty range specified</v>
      </c>
      <c r="HJ50" s="213" t="str">
        <f ca="1"/>
        <v>#Error: No range or empty range specified</v>
      </c>
      <c r="HK50" s="217" t="str">
        <f ca="1"/>
        <v>#Error: No range or empty range specified</v>
      </c>
      <c r="HL50" s="217" t="str">
        <f ca="1"/>
        <v>#Error: No range or empty range specified</v>
      </c>
      <c r="HM50" s="214" t="str">
        <f ca="1"/>
        <v>#Error: No range or empty range specified</v>
      </c>
      <c r="HN50" s="221" t="str">
        <f ca="1"/>
        <v>#Error: No range or empty range specified</v>
      </c>
      <c r="HO50" s="217" t="str">
        <f ca="1"/>
        <v>#Error: No range or empty range specified</v>
      </c>
      <c r="HP50" s="223" t="str">
        <f ca="1"/>
        <v>#Error: No range or empty range specified</v>
      </c>
      <c r="HQ50" s="225" t="str">
        <f ca="1"/>
        <v>#Error: No range or empty range specified</v>
      </c>
    </row>
    <row r="51" spans="11:225">
      <c r="K51" s="37"/>
      <c r="L51" s="37"/>
      <c r="M51" s="37"/>
      <c r="N51" s="37"/>
      <c r="O51" s="37"/>
      <c r="P51" s="37"/>
      <c r="Q51" s="37"/>
      <c r="R51" s="37"/>
      <c r="S51" s="37"/>
    </row>
    <row r="52" spans="11:225">
      <c r="K52" s="37"/>
      <c r="L52" s="37"/>
      <c r="M52" s="37"/>
      <c r="N52" s="37"/>
      <c r="O52" s="37"/>
      <c r="P52" s="37"/>
      <c r="Q52" s="37"/>
      <c r="R52" s="37"/>
      <c r="S52" s="3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'AUD-BONDS'!$F$6:$F$32</xm:f>
          </x14:formula1>
          <xm:sqref>HH4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6"/>
  <sheetViews>
    <sheetView showGridLines="0" workbookViewId="0">
      <selection activeCell="EK8" sqref="EK8"/>
    </sheetView>
  </sheetViews>
  <sheetFormatPr defaultRowHeight="15"/>
  <cols>
    <col min="2" max="2" width="19.7109375" customWidth="1"/>
    <col min="3" max="3" width="27" bestFit="1" customWidth="1"/>
    <col min="5" max="5" width="31" bestFit="1" customWidth="1"/>
    <col min="6" max="6" width="27" bestFit="1" customWidth="1"/>
    <col min="10" max="10" width="27.85546875" bestFit="1" customWidth="1"/>
    <col min="11" max="11" width="14.85546875" bestFit="1" customWidth="1"/>
    <col min="12" max="12" width="17.42578125" bestFit="1" customWidth="1"/>
  </cols>
  <sheetData>
    <row r="2" spans="2:13" s="37" customFormat="1">
      <c r="B2" s="37" t="s">
        <v>92</v>
      </c>
      <c r="C2" s="54" t="str">
        <f>_xll.meLWOBondCreate(C14,B14:C20,B23:C39)</f>
        <v>MIZUHO 3.2% 26/03/26 USD@104:3</v>
      </c>
      <c r="E2" s="37" t="s">
        <v>92</v>
      </c>
      <c r="F2" s="54" t="str">
        <f>_xll.meLWOBondCreate(F14,E14:F20,E23:F39)</f>
        <v>MIZUHO 3.92% 15-JAN-26 AUD@169:3</v>
      </c>
    </row>
    <row r="3" spans="2:13" s="37" customFormat="1"/>
    <row r="4" spans="2:13" s="37" customFormat="1">
      <c r="B4" s="37" t="s">
        <v>133</v>
      </c>
      <c r="C4" s="240">
        <f ca="1">'EXAMPLE-XCCY-ASW-PX'!C15</f>
        <v>95.483000000000004</v>
      </c>
      <c r="E4" s="37" t="s">
        <v>134</v>
      </c>
      <c r="F4" s="240">
        <f ca="1">'EXAMPLE-ASW-PX'!D13</f>
        <v>100.49514113150285</v>
      </c>
    </row>
    <row r="5" spans="2:13">
      <c r="E5" t="s">
        <v>135</v>
      </c>
      <c r="F5" s="72">
        <f ca="1">_xll.meLWOBondYield(F2,Settings.COB,F4)</f>
        <v>3.8171125928791107E-2</v>
      </c>
      <c r="J5" s="37"/>
      <c r="K5" s="37"/>
      <c r="L5" s="37"/>
      <c r="M5" s="37"/>
    </row>
    <row r="6" spans="2:13" s="37" customFormat="1"/>
    <row r="7" spans="2:13">
      <c r="E7" t="s">
        <v>94</v>
      </c>
      <c r="F7" s="61">
        <f ca="1">_xll.meLWOBondCleanPrice($F$2,Settings.COB,$F$5)</f>
        <v>100.49514113150279</v>
      </c>
      <c r="J7" s="37"/>
      <c r="K7" s="37"/>
      <c r="L7" s="37"/>
      <c r="M7" s="37"/>
    </row>
    <row r="8" spans="2:13" s="37" customFormat="1">
      <c r="E8" s="37" t="s">
        <v>95</v>
      </c>
      <c r="F8" s="61">
        <f ca="1">_xll.meLWOBondDirtyPrice($F$2,Settings.COB,$F$5)</f>
        <v>100.8762522426139</v>
      </c>
    </row>
    <row r="9" spans="2:13" s="37" customFormat="1">
      <c r="E9" s="37" t="s">
        <v>136</v>
      </c>
      <c r="F9" s="73">
        <f ca="1">_xll.meLWOBondAccruedInterest($F$2,Settings.COB)</f>
        <v>3811.1111111111113</v>
      </c>
    </row>
    <row r="10" spans="2:13" s="37" customFormat="1">
      <c r="E10" s="37" t="s">
        <v>137</v>
      </c>
      <c r="F10" s="73">
        <f ca="1">_xll.meLWOBondAccruedInterestDays($F$2,Settings.COB)</f>
        <v>35</v>
      </c>
    </row>
    <row r="11" spans="2:13" s="37" customFormat="1"/>
    <row r="12" spans="2:13">
      <c r="J12" s="37"/>
      <c r="K12" s="37"/>
      <c r="L12" s="37"/>
      <c r="M12" s="37"/>
    </row>
    <row r="13" spans="2:13">
      <c r="B13" s="26" t="s">
        <v>72</v>
      </c>
      <c r="C13" s="53" t="s">
        <v>131</v>
      </c>
      <c r="E13" s="26" t="s">
        <v>72</v>
      </c>
      <c r="F13" s="53" t="s">
        <v>132</v>
      </c>
      <c r="J13" s="37"/>
      <c r="K13" s="37"/>
      <c r="L13" s="37"/>
      <c r="M13" s="37"/>
    </row>
    <row r="14" spans="2:13">
      <c r="B14" s="27" t="s">
        <v>86</v>
      </c>
      <c r="C14" s="14" t="s">
        <v>130</v>
      </c>
      <c r="E14" s="27" t="s">
        <v>86</v>
      </c>
      <c r="F14" s="14" t="s">
        <v>204</v>
      </c>
      <c r="J14" s="37"/>
      <c r="K14" s="37"/>
      <c r="L14" s="37"/>
      <c r="M14" s="37"/>
    </row>
    <row r="15" spans="2:13">
      <c r="B15" s="28" t="s">
        <v>73</v>
      </c>
      <c r="C15" s="15" t="s">
        <v>74</v>
      </c>
      <c r="E15" s="28" t="s">
        <v>73</v>
      </c>
      <c r="F15" s="15" t="s">
        <v>74</v>
      </c>
      <c r="J15" s="37"/>
      <c r="K15" s="37"/>
      <c r="L15" s="37"/>
      <c r="M15" s="37"/>
    </row>
    <row r="16" spans="2:13">
      <c r="B16" s="28" t="s">
        <v>8</v>
      </c>
      <c r="C16" s="15" t="s">
        <v>9</v>
      </c>
      <c r="E16" s="28" t="s">
        <v>8</v>
      </c>
      <c r="F16" s="15" t="s">
        <v>45</v>
      </c>
      <c r="J16" s="37"/>
      <c r="K16" s="37"/>
      <c r="L16" s="37"/>
      <c r="M16" s="37"/>
    </row>
    <row r="17" spans="2:13">
      <c r="B17" s="28" t="s">
        <v>87</v>
      </c>
      <c r="C17" s="16" t="s">
        <v>121</v>
      </c>
      <c r="E17" s="28" t="s">
        <v>87</v>
      </c>
      <c r="F17" s="16" t="s">
        <v>93</v>
      </c>
      <c r="J17" s="37"/>
      <c r="K17" s="37"/>
      <c r="L17" s="37"/>
      <c r="M17" s="37"/>
    </row>
    <row r="18" spans="2:13">
      <c r="B18" s="28" t="s">
        <v>75</v>
      </c>
      <c r="C18" s="17" t="s">
        <v>76</v>
      </c>
      <c r="E18" s="28" t="s">
        <v>75</v>
      </c>
      <c r="F18" s="17" t="s">
        <v>76</v>
      </c>
      <c r="J18" s="37"/>
      <c r="K18" s="37"/>
      <c r="L18" s="37"/>
      <c r="M18" s="37"/>
    </row>
    <row r="19" spans="2:13">
      <c r="B19" s="28" t="s">
        <v>77</v>
      </c>
      <c r="C19" s="17" t="b">
        <v>1</v>
      </c>
      <c r="E19" s="28" t="s">
        <v>77</v>
      </c>
      <c r="F19" s="17" t="b">
        <v>1</v>
      </c>
      <c r="J19" s="37"/>
      <c r="K19" s="37"/>
      <c r="L19" s="37"/>
      <c r="M19" s="37"/>
    </row>
    <row r="20" spans="2:13">
      <c r="B20" s="29" t="s">
        <v>78</v>
      </c>
      <c r="C20" s="18" t="s">
        <v>79</v>
      </c>
      <c r="E20" s="29" t="s">
        <v>78</v>
      </c>
      <c r="F20" s="18" t="s">
        <v>79</v>
      </c>
      <c r="J20" s="37"/>
      <c r="K20" s="37"/>
      <c r="L20" s="37"/>
      <c r="M20" s="37"/>
    </row>
    <row r="21" spans="2:13">
      <c r="B21" s="37"/>
      <c r="C21" s="37"/>
      <c r="E21" s="37"/>
      <c r="F21" s="37"/>
      <c r="J21" s="37"/>
      <c r="K21" s="37"/>
      <c r="L21" s="37"/>
      <c r="M21" s="37"/>
    </row>
    <row r="22" spans="2:13">
      <c r="B22" s="26" t="s">
        <v>80</v>
      </c>
      <c r="C22" s="37"/>
      <c r="E22" s="26" t="s">
        <v>80</v>
      </c>
      <c r="F22" s="37"/>
      <c r="J22" s="37"/>
      <c r="K22" s="37"/>
      <c r="L22" s="37"/>
      <c r="M22" s="37"/>
    </row>
    <row r="23" spans="2:13">
      <c r="B23" s="27" t="s">
        <v>4</v>
      </c>
      <c r="C23" s="14" t="s">
        <v>70</v>
      </c>
      <c r="E23" s="27" t="s">
        <v>4</v>
      </c>
      <c r="F23" s="14" t="s">
        <v>70</v>
      </c>
      <c r="J23" s="37"/>
      <c r="K23" s="37"/>
      <c r="L23" s="37"/>
      <c r="M23" s="37"/>
    </row>
    <row r="24" spans="2:13">
      <c r="B24" s="13" t="s">
        <v>3</v>
      </c>
      <c r="C24" s="15" t="s">
        <v>71</v>
      </c>
      <c r="E24" s="13" t="s">
        <v>3</v>
      </c>
      <c r="F24" s="15" t="s">
        <v>71</v>
      </c>
      <c r="J24" s="37"/>
      <c r="K24" s="37"/>
      <c r="L24" s="37"/>
      <c r="M24" s="37"/>
    </row>
    <row r="25" spans="2:13">
      <c r="B25" s="28" t="s">
        <v>81</v>
      </c>
      <c r="C25" s="16">
        <v>1000000</v>
      </c>
      <c r="E25" s="28" t="s">
        <v>81</v>
      </c>
      <c r="F25" s="16">
        <v>1000000</v>
      </c>
      <c r="J25" s="37"/>
      <c r="K25" s="37"/>
      <c r="L25" s="37"/>
      <c r="M25" s="37"/>
    </row>
    <row r="26" spans="2:13">
      <c r="B26" s="28" t="s">
        <v>88</v>
      </c>
      <c r="C26" s="20">
        <v>42089</v>
      </c>
      <c r="E26" s="28" t="s">
        <v>88</v>
      </c>
      <c r="F26" s="20">
        <f>'EXAMPLE-ASW-PX'!D16</f>
        <v>42566</v>
      </c>
      <c r="J26" s="37"/>
      <c r="K26" s="37"/>
      <c r="L26" s="37"/>
      <c r="M26" s="37"/>
    </row>
    <row r="27" spans="2:13">
      <c r="B27" s="28" t="s">
        <v>89</v>
      </c>
      <c r="C27" s="20">
        <f>C26</f>
        <v>42089</v>
      </c>
      <c r="E27" s="28" t="s">
        <v>89</v>
      </c>
      <c r="F27" s="20">
        <f>F26</f>
        <v>42566</v>
      </c>
      <c r="J27" s="37"/>
      <c r="K27" s="37"/>
      <c r="L27" s="37"/>
      <c r="M27" s="37"/>
    </row>
    <row r="28" spans="2:13">
      <c r="B28" s="28" t="s">
        <v>90</v>
      </c>
      <c r="C28" s="17"/>
      <c r="E28" s="28" t="s">
        <v>90</v>
      </c>
      <c r="F28" s="17"/>
      <c r="J28" s="37"/>
      <c r="K28" s="37"/>
      <c r="L28" s="37"/>
      <c r="M28" s="37"/>
    </row>
    <row r="29" spans="2:13">
      <c r="B29" s="28" t="s">
        <v>91</v>
      </c>
      <c r="C29" s="17"/>
      <c r="E29" s="28" t="s">
        <v>91</v>
      </c>
      <c r="F29" s="17"/>
      <c r="J29" s="37"/>
      <c r="K29" s="37"/>
      <c r="L29" s="37"/>
      <c r="M29" s="37"/>
    </row>
    <row r="30" spans="2:13">
      <c r="B30" s="28" t="s">
        <v>20</v>
      </c>
      <c r="C30" s="20">
        <v>45742</v>
      </c>
      <c r="E30" s="28" t="s">
        <v>20</v>
      </c>
      <c r="F30" s="20">
        <f>'EXAMPLE-ASW-PX'!D19</f>
        <v>46037</v>
      </c>
      <c r="J30" s="37"/>
      <c r="K30" s="37"/>
      <c r="L30" s="37"/>
      <c r="M30" s="37"/>
    </row>
    <row r="31" spans="2:13">
      <c r="B31" s="28" t="s">
        <v>69</v>
      </c>
      <c r="C31" s="21">
        <v>3.2000000000000001E-2</v>
      </c>
      <c r="E31" s="28" t="s">
        <v>69</v>
      </c>
      <c r="F31" s="21">
        <f>'EXAMPLE-ASW-PX'!D25</f>
        <v>3.9199999999999999E-2</v>
      </c>
      <c r="J31" s="37"/>
      <c r="K31" s="37"/>
      <c r="L31" s="37"/>
      <c r="M31" s="37"/>
    </row>
    <row r="32" spans="2:13">
      <c r="B32" s="28" t="s">
        <v>21</v>
      </c>
      <c r="C32" s="15" t="s">
        <v>47</v>
      </c>
      <c r="E32" s="28" t="s">
        <v>21</v>
      </c>
      <c r="F32" s="15" t="s">
        <v>47</v>
      </c>
      <c r="J32" s="37"/>
      <c r="K32" s="37"/>
      <c r="L32" s="37"/>
      <c r="M32" s="37"/>
    </row>
    <row r="33" spans="2:13">
      <c r="B33" s="28" t="s">
        <v>26</v>
      </c>
      <c r="C33" s="15" t="s">
        <v>24</v>
      </c>
      <c r="E33" s="28" t="s">
        <v>26</v>
      </c>
      <c r="F33" s="15" t="s">
        <v>24</v>
      </c>
      <c r="J33" s="37"/>
      <c r="K33" s="37"/>
      <c r="L33" s="37"/>
      <c r="M33" s="37"/>
    </row>
    <row r="34" spans="2:13">
      <c r="B34" s="28" t="s">
        <v>27</v>
      </c>
      <c r="C34" s="15" t="s">
        <v>68</v>
      </c>
      <c r="E34" s="28" t="s">
        <v>27</v>
      </c>
      <c r="F34" s="15" t="s">
        <v>65</v>
      </c>
      <c r="J34" s="37"/>
      <c r="K34" s="37"/>
      <c r="L34" s="37"/>
      <c r="M34" s="37"/>
    </row>
    <row r="35" spans="2:13">
      <c r="B35" s="28" t="s">
        <v>28</v>
      </c>
      <c r="C35" s="15" t="s">
        <v>82</v>
      </c>
      <c r="E35" s="28" t="s">
        <v>28</v>
      </c>
      <c r="F35" s="15" t="s">
        <v>82</v>
      </c>
      <c r="J35" s="37"/>
      <c r="K35" s="37"/>
      <c r="L35" s="37"/>
      <c r="M35" s="37"/>
    </row>
    <row r="36" spans="2:13">
      <c r="B36" s="28" t="s">
        <v>29</v>
      </c>
      <c r="C36" s="15" t="s">
        <v>68</v>
      </c>
      <c r="E36" s="28" t="s">
        <v>29</v>
      </c>
      <c r="F36" s="15" t="s">
        <v>65</v>
      </c>
      <c r="J36" s="37"/>
      <c r="K36" s="37"/>
      <c r="L36" s="37"/>
      <c r="M36" s="37"/>
    </row>
    <row r="37" spans="2:13">
      <c r="B37" s="28" t="s">
        <v>37</v>
      </c>
      <c r="C37" s="15" t="s">
        <v>35</v>
      </c>
      <c r="E37" s="28" t="s">
        <v>37</v>
      </c>
      <c r="F37" s="15" t="s">
        <v>35</v>
      </c>
      <c r="J37" s="37"/>
      <c r="K37" s="37"/>
      <c r="L37" s="37"/>
      <c r="M37" s="37"/>
    </row>
    <row r="38" spans="2:13">
      <c r="B38" s="28" t="s">
        <v>83</v>
      </c>
      <c r="C38" s="15" t="s">
        <v>104</v>
      </c>
      <c r="E38" s="28" t="s">
        <v>83</v>
      </c>
      <c r="F38" s="15" t="s">
        <v>104</v>
      </c>
      <c r="J38" s="37"/>
      <c r="K38" s="37"/>
      <c r="L38" s="37"/>
      <c r="M38" s="37"/>
    </row>
    <row r="39" spans="2:13">
      <c r="B39" s="29" t="s">
        <v>84</v>
      </c>
      <c r="C39" s="19" t="s">
        <v>85</v>
      </c>
      <c r="E39" s="29" t="s">
        <v>84</v>
      </c>
      <c r="F39" s="19" t="s">
        <v>85</v>
      </c>
      <c r="J39" s="37"/>
      <c r="K39" s="37"/>
      <c r="L39" s="37"/>
      <c r="M39" s="37"/>
    </row>
    <row r="40" spans="2:13">
      <c r="J40" s="37"/>
      <c r="K40" s="37"/>
      <c r="L40" s="37"/>
      <c r="M40" s="37"/>
    </row>
    <row r="41" spans="2:13">
      <c r="J41" s="37"/>
      <c r="K41" s="37"/>
      <c r="L41" s="37"/>
      <c r="M41" s="37"/>
    </row>
    <row r="42" spans="2:13">
      <c r="J42" s="37"/>
      <c r="K42" s="37"/>
      <c r="L42" s="37"/>
      <c r="M42" s="37"/>
    </row>
    <row r="43" spans="2:13">
      <c r="J43" s="37"/>
      <c r="K43" s="37"/>
      <c r="L43" s="37"/>
      <c r="M43" s="37"/>
    </row>
    <row r="44" spans="2:13">
      <c r="J44" s="37"/>
      <c r="K44" s="37"/>
      <c r="L44" s="37"/>
      <c r="M44" s="37"/>
    </row>
    <row r="45" spans="2:13">
      <c r="J45" s="37"/>
      <c r="K45" s="37"/>
      <c r="L45" s="37"/>
      <c r="M45" s="37"/>
    </row>
    <row r="46" spans="2:13">
      <c r="J46" s="37"/>
      <c r="K46" s="37"/>
      <c r="L46" s="37"/>
      <c r="M46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SETTINGS</vt:lpstr>
      <vt:lpstr>USD-BONDS</vt:lpstr>
      <vt:lpstr>AUD-BONDS</vt:lpstr>
      <vt:lpstr>EXAMPLE-ASW-PX</vt:lpstr>
      <vt:lpstr>EXAMPLE-XCCY-ASW-PX</vt:lpstr>
      <vt:lpstr>AUD-URIDASHI-PX</vt:lpstr>
      <vt:lpstr>EXAMPLE-BOND-ANALYSIS</vt:lpstr>
      <vt:lpstr>Settings.COB</vt:lpstr>
    </vt:vector>
  </TitlesOfParts>
  <Company>Mizuho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Burgess Nicholas</cp:lastModifiedBy>
  <dcterms:created xsi:type="dcterms:W3CDTF">2017-08-15T13:21:06Z</dcterms:created>
  <dcterms:modified xsi:type="dcterms:W3CDTF">2020-08-20T14:42:36Z</dcterms:modified>
</cp:coreProperties>
</file>